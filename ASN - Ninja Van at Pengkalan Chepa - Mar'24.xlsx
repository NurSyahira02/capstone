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NJAVAN\BILLING 2024\Mar'24\Billing\ASN\Split\ASN Walk-in\"/>
    </mc:Choice>
  </mc:AlternateContent>
  <xr:revisionPtr revIDLastSave="0" documentId="8_{EA94572F-6DD0-4C07-8476-EB7E11DE0D3D}" xr6:coauthVersionLast="47" xr6:coauthVersionMax="47" xr10:uidLastSave="{00000000-0000-0000-0000-000000000000}"/>
  <bookViews>
    <workbookView xWindow="-110" yWindow="490" windowWidth="19420" windowHeight="10420" xr2:uid="{3BFCB287-4E3C-4A5E-BC53-B18744BB7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71" i="1" l="1"/>
  <c r="AF771" i="1"/>
  <c r="AE771" i="1"/>
  <c r="AD771" i="1"/>
  <c r="AC771" i="1"/>
  <c r="AB771" i="1"/>
  <c r="AA771" i="1"/>
  <c r="AA769" i="1"/>
  <c r="AA768" i="1"/>
  <c r="AF767" i="1"/>
  <c r="AA767" i="1"/>
  <c r="AG767" i="1" s="1"/>
  <c r="AA766" i="1"/>
  <c r="AF765" i="1"/>
  <c r="AA765" i="1"/>
  <c r="AG765" i="1" s="1"/>
  <c r="AG764" i="1"/>
  <c r="AA764" i="1"/>
  <c r="AF764" i="1" s="1"/>
  <c r="AF763" i="1"/>
  <c r="AG763" i="1" s="1"/>
  <c r="AA763" i="1"/>
  <c r="AA762" i="1"/>
  <c r="AF761" i="1"/>
  <c r="AA761" i="1"/>
  <c r="AG761" i="1" s="1"/>
  <c r="AA760" i="1"/>
  <c r="AF759" i="1"/>
  <c r="AA759" i="1"/>
  <c r="AA758" i="1"/>
  <c r="AF757" i="1"/>
  <c r="AA757" i="1"/>
  <c r="AG757" i="1" s="1"/>
  <c r="AA756" i="1"/>
  <c r="AF756" i="1" s="1"/>
  <c r="AG756" i="1" s="1"/>
  <c r="AF755" i="1"/>
  <c r="AG755" i="1" s="1"/>
  <c r="AA755" i="1"/>
  <c r="AA754" i="1"/>
  <c r="AF753" i="1"/>
  <c r="AA753" i="1"/>
  <c r="AG753" i="1" s="1"/>
  <c r="AA752" i="1"/>
  <c r="AF751" i="1"/>
  <c r="AA751" i="1"/>
  <c r="AG751" i="1" s="1"/>
  <c r="AA750" i="1"/>
  <c r="AF749" i="1"/>
  <c r="AG749" i="1" s="1"/>
  <c r="AA749" i="1"/>
  <c r="AA748" i="1"/>
  <c r="AF748" i="1" s="1"/>
  <c r="AG748" i="1" s="1"/>
  <c r="AF747" i="1"/>
  <c r="AG747" i="1" s="1"/>
  <c r="AA747" i="1"/>
  <c r="AA746" i="1"/>
  <c r="AF745" i="1"/>
  <c r="AA745" i="1"/>
  <c r="AG745" i="1" s="1"/>
  <c r="AA744" i="1"/>
  <c r="AF743" i="1"/>
  <c r="AA743" i="1"/>
  <c r="AA742" i="1"/>
  <c r="AF741" i="1"/>
  <c r="AG741" i="1" s="1"/>
  <c r="AA741" i="1"/>
  <c r="AA740" i="1"/>
  <c r="AF740" i="1" s="1"/>
  <c r="AG740" i="1" s="1"/>
  <c r="AF739" i="1"/>
  <c r="AA739" i="1"/>
  <c r="AG739" i="1" s="1"/>
  <c r="AA738" i="1"/>
  <c r="AF737" i="1"/>
  <c r="AA737" i="1"/>
  <c r="AG737" i="1" s="1"/>
  <c r="AA736" i="1"/>
  <c r="AF735" i="1"/>
  <c r="AA735" i="1"/>
  <c r="AG735" i="1" s="1"/>
  <c r="AA734" i="1"/>
  <c r="AF734" i="1" s="1"/>
  <c r="AG734" i="1" s="1"/>
  <c r="AF733" i="1"/>
  <c r="AG733" i="1" s="1"/>
  <c r="AA733" i="1"/>
  <c r="AG732" i="1"/>
  <c r="AA732" i="1"/>
  <c r="AF732" i="1" s="1"/>
  <c r="AF731" i="1"/>
  <c r="AA731" i="1"/>
  <c r="AG731" i="1" s="1"/>
  <c r="AA730" i="1"/>
  <c r="AF729" i="1"/>
  <c r="AG729" i="1" s="1"/>
  <c r="AA729" i="1"/>
  <c r="AA728" i="1"/>
  <c r="AF727" i="1"/>
  <c r="AA727" i="1"/>
  <c r="AA726" i="1"/>
  <c r="AF726" i="1" s="1"/>
  <c r="AG726" i="1" s="1"/>
  <c r="AF725" i="1"/>
  <c r="AG725" i="1" s="1"/>
  <c r="AA725" i="1"/>
  <c r="AA724" i="1"/>
  <c r="AF724" i="1" s="1"/>
  <c r="AG724" i="1" s="1"/>
  <c r="AF723" i="1"/>
  <c r="AA723" i="1"/>
  <c r="AG723" i="1" s="1"/>
  <c r="AA722" i="1"/>
  <c r="AF721" i="1"/>
  <c r="AG721" i="1" s="1"/>
  <c r="AA721" i="1"/>
  <c r="AA720" i="1"/>
  <c r="AF719" i="1"/>
  <c r="AA719" i="1"/>
  <c r="AA718" i="1"/>
  <c r="AF718" i="1" s="1"/>
  <c r="AG718" i="1" s="1"/>
  <c r="AF717" i="1"/>
  <c r="AG717" i="1" s="1"/>
  <c r="AA717" i="1"/>
  <c r="AG716" i="1"/>
  <c r="AA716" i="1"/>
  <c r="AF716" i="1" s="1"/>
  <c r="AF715" i="1"/>
  <c r="AA715" i="1"/>
  <c r="AG715" i="1" s="1"/>
  <c r="AA714" i="1"/>
  <c r="AF713" i="1"/>
  <c r="AA713" i="1"/>
  <c r="AG713" i="1" s="1"/>
  <c r="AA712" i="1"/>
  <c r="AF711" i="1"/>
  <c r="AA711" i="1"/>
  <c r="AA710" i="1"/>
  <c r="AF710" i="1" s="1"/>
  <c r="AG710" i="1" s="1"/>
  <c r="AF709" i="1"/>
  <c r="AG709" i="1" s="1"/>
  <c r="AA709" i="1"/>
  <c r="AA708" i="1"/>
  <c r="AF708" i="1" s="1"/>
  <c r="AG708" i="1" s="1"/>
  <c r="AA707" i="1"/>
  <c r="AA706" i="1"/>
  <c r="AF705" i="1"/>
  <c r="AA705" i="1"/>
  <c r="AG705" i="1" s="1"/>
  <c r="AA704" i="1"/>
  <c r="AF703" i="1"/>
  <c r="AA703" i="1"/>
  <c r="AG703" i="1" s="1"/>
  <c r="AA702" i="1"/>
  <c r="AF702" i="1" s="1"/>
  <c r="AG702" i="1" s="1"/>
  <c r="AF701" i="1"/>
  <c r="AA701" i="1"/>
  <c r="AG701" i="1" s="1"/>
  <c r="AA700" i="1"/>
  <c r="AF700" i="1" s="1"/>
  <c r="AG700" i="1" s="1"/>
  <c r="AA699" i="1"/>
  <c r="AA698" i="1"/>
  <c r="AF697" i="1"/>
  <c r="AA697" i="1"/>
  <c r="AG697" i="1" s="1"/>
  <c r="AA696" i="1"/>
  <c r="AF695" i="1"/>
  <c r="AG695" i="1" s="1"/>
  <c r="AA695" i="1"/>
  <c r="AA694" i="1"/>
  <c r="AF694" i="1" s="1"/>
  <c r="AG694" i="1" s="1"/>
  <c r="AF693" i="1"/>
  <c r="AA693" i="1"/>
  <c r="AG693" i="1" s="1"/>
  <c r="AA692" i="1"/>
  <c r="AF692" i="1" s="1"/>
  <c r="AG692" i="1" s="1"/>
  <c r="AA691" i="1"/>
  <c r="AA690" i="1"/>
  <c r="AF689" i="1"/>
  <c r="AA689" i="1"/>
  <c r="AG689" i="1" s="1"/>
  <c r="AA688" i="1"/>
  <c r="AF687" i="1"/>
  <c r="AA687" i="1"/>
  <c r="AA686" i="1"/>
  <c r="AF686" i="1" s="1"/>
  <c r="AG686" i="1" s="1"/>
  <c r="AF685" i="1"/>
  <c r="AA685" i="1"/>
  <c r="AG685" i="1" s="1"/>
  <c r="AA684" i="1"/>
  <c r="AF684" i="1" s="1"/>
  <c r="AG684" i="1" s="1"/>
  <c r="AA683" i="1"/>
  <c r="AA682" i="1"/>
  <c r="AF681" i="1"/>
  <c r="AA681" i="1"/>
  <c r="AG681" i="1" s="1"/>
  <c r="AA680" i="1"/>
  <c r="AF679" i="1"/>
  <c r="AA679" i="1"/>
  <c r="AA678" i="1"/>
  <c r="AF678" i="1" s="1"/>
  <c r="AG678" i="1" s="1"/>
  <c r="AF677" i="1"/>
  <c r="AG677" i="1" s="1"/>
  <c r="AA677" i="1"/>
  <c r="AA676" i="1"/>
  <c r="AF676" i="1" s="1"/>
  <c r="AG676" i="1" s="1"/>
  <c r="AA675" i="1"/>
  <c r="AA674" i="1"/>
  <c r="AF673" i="1"/>
  <c r="AA673" i="1"/>
  <c r="AG673" i="1" s="1"/>
  <c r="AA672" i="1"/>
  <c r="AF671" i="1"/>
  <c r="AA671" i="1"/>
  <c r="AA670" i="1"/>
  <c r="AF670" i="1" s="1"/>
  <c r="AG670" i="1" s="1"/>
  <c r="AF669" i="1"/>
  <c r="AG669" i="1" s="1"/>
  <c r="AA669" i="1"/>
  <c r="AA668" i="1"/>
  <c r="AF668" i="1" s="1"/>
  <c r="AG668" i="1" s="1"/>
  <c r="AA667" i="1"/>
  <c r="AA666" i="1"/>
  <c r="AF665" i="1"/>
  <c r="AG665" i="1" s="1"/>
  <c r="AA665" i="1"/>
  <c r="AF664" i="1"/>
  <c r="AA664" i="1"/>
  <c r="AG664" i="1" s="1"/>
  <c r="AF663" i="1"/>
  <c r="AA663" i="1"/>
  <c r="AG663" i="1" s="1"/>
  <c r="AA662" i="1"/>
  <c r="AF662" i="1" s="1"/>
  <c r="AG662" i="1" s="1"/>
  <c r="AG661" i="1"/>
  <c r="AF661" i="1"/>
  <c r="AA661" i="1"/>
  <c r="AA660" i="1"/>
  <c r="AF660" i="1" s="1"/>
  <c r="AG660" i="1" s="1"/>
  <c r="AA659" i="1"/>
  <c r="AA658" i="1"/>
  <c r="AF657" i="1"/>
  <c r="AA657" i="1"/>
  <c r="AG657" i="1" s="1"/>
  <c r="AF656" i="1"/>
  <c r="AA656" i="1"/>
  <c r="AG656" i="1" s="1"/>
  <c r="AF655" i="1"/>
  <c r="AA655" i="1"/>
  <c r="AG655" i="1" s="1"/>
  <c r="AA654" i="1"/>
  <c r="AF654" i="1" s="1"/>
  <c r="AG654" i="1" s="1"/>
  <c r="AA653" i="1"/>
  <c r="AF653" i="1" s="1"/>
  <c r="AG653" i="1" s="1"/>
  <c r="AA652" i="1"/>
  <c r="AF652" i="1" s="1"/>
  <c r="AG652" i="1" s="1"/>
  <c r="AA651" i="1"/>
  <c r="AA650" i="1"/>
  <c r="AF649" i="1"/>
  <c r="AA649" i="1"/>
  <c r="AG649" i="1" s="1"/>
  <c r="AF648" i="1"/>
  <c r="AA648" i="1"/>
  <c r="AG648" i="1" s="1"/>
  <c r="AF647" i="1"/>
  <c r="AA647" i="1"/>
  <c r="AG647" i="1" s="1"/>
  <c r="AA646" i="1"/>
  <c r="AA645" i="1"/>
  <c r="AF645" i="1" s="1"/>
  <c r="AG645" i="1" s="1"/>
  <c r="AA644" i="1"/>
  <c r="AF644" i="1" s="1"/>
  <c r="AG644" i="1" s="1"/>
  <c r="AA643" i="1"/>
  <c r="AA642" i="1"/>
  <c r="AA641" i="1"/>
  <c r="AF640" i="1"/>
  <c r="AA640" i="1"/>
  <c r="AG640" i="1" s="1"/>
  <c r="AF639" i="1"/>
  <c r="AA639" i="1"/>
  <c r="AA638" i="1"/>
  <c r="AG637" i="1"/>
  <c r="AF637" i="1"/>
  <c r="AA637" i="1"/>
  <c r="AG636" i="1"/>
  <c r="AA636" i="1"/>
  <c r="AF636" i="1" s="1"/>
  <c r="AA635" i="1"/>
  <c r="AA634" i="1"/>
  <c r="AA633" i="1"/>
  <c r="AF632" i="1"/>
  <c r="AA632" i="1"/>
  <c r="AG632" i="1" s="1"/>
  <c r="AF631" i="1"/>
  <c r="AA631" i="1"/>
  <c r="AG631" i="1" s="1"/>
  <c r="AF630" i="1"/>
  <c r="AA630" i="1"/>
  <c r="AG630" i="1" s="1"/>
  <c r="AA629" i="1"/>
  <c r="AF629" i="1" s="1"/>
  <c r="AG629" i="1" s="1"/>
  <c r="AG628" i="1"/>
  <c r="AF628" i="1"/>
  <c r="AA628" i="1"/>
  <c r="AA627" i="1"/>
  <c r="AA626" i="1"/>
  <c r="AA625" i="1"/>
  <c r="AF624" i="1"/>
  <c r="AA624" i="1"/>
  <c r="AG624" i="1" s="1"/>
  <c r="AF623" i="1"/>
  <c r="AA623" i="1"/>
  <c r="AA622" i="1"/>
  <c r="AA621" i="1"/>
  <c r="AF621" i="1" s="1"/>
  <c r="AG621" i="1" s="1"/>
  <c r="AG620" i="1"/>
  <c r="AA620" i="1"/>
  <c r="AF620" i="1" s="1"/>
  <c r="AA619" i="1"/>
  <c r="AA618" i="1"/>
  <c r="AA617" i="1"/>
  <c r="AF616" i="1"/>
  <c r="AA616" i="1"/>
  <c r="AG616" i="1" s="1"/>
  <c r="AF615" i="1"/>
  <c r="AA615" i="1"/>
  <c r="AG615" i="1" s="1"/>
  <c r="AA614" i="1"/>
  <c r="AA613" i="1"/>
  <c r="AF613" i="1" s="1"/>
  <c r="AG613" i="1" s="1"/>
  <c r="AA612" i="1"/>
  <c r="AF612" i="1" s="1"/>
  <c r="AG612" i="1" s="1"/>
  <c r="AA611" i="1"/>
  <c r="AA610" i="1"/>
  <c r="AA609" i="1"/>
  <c r="AF608" i="1"/>
  <c r="AA608" i="1"/>
  <c r="AG608" i="1" s="1"/>
  <c r="AF607" i="1"/>
  <c r="AA607" i="1"/>
  <c r="AF606" i="1"/>
  <c r="AA606" i="1"/>
  <c r="AG606" i="1" s="1"/>
  <c r="AG605" i="1"/>
  <c r="AF605" i="1"/>
  <c r="AA605" i="1"/>
  <c r="AG604" i="1"/>
  <c r="AF604" i="1"/>
  <c r="AA604" i="1"/>
  <c r="AA603" i="1"/>
  <c r="AA602" i="1"/>
  <c r="AA601" i="1"/>
  <c r="AF600" i="1"/>
  <c r="AA600" i="1"/>
  <c r="AG600" i="1" s="1"/>
  <c r="AF599" i="1"/>
  <c r="AA599" i="1"/>
  <c r="AG599" i="1" s="1"/>
  <c r="AA598" i="1"/>
  <c r="AG597" i="1"/>
  <c r="AF597" i="1"/>
  <c r="AA597" i="1"/>
  <c r="AG596" i="1"/>
  <c r="AF596" i="1"/>
  <c r="AA596" i="1"/>
  <c r="AA595" i="1"/>
  <c r="AA594" i="1"/>
  <c r="AA593" i="1"/>
  <c r="AF593" i="1" s="1"/>
  <c r="AG593" i="1" s="1"/>
  <c r="AF592" i="1"/>
  <c r="AA592" i="1"/>
  <c r="AG592" i="1" s="1"/>
  <c r="AF591" i="1"/>
  <c r="AA591" i="1"/>
  <c r="AG591" i="1" s="1"/>
  <c r="AA590" i="1"/>
  <c r="AG589" i="1"/>
  <c r="AF589" i="1"/>
  <c r="AA589" i="1"/>
  <c r="AG588" i="1"/>
  <c r="AF588" i="1"/>
  <c r="AA588" i="1"/>
  <c r="AA587" i="1"/>
  <c r="AA586" i="1"/>
  <c r="AA585" i="1"/>
  <c r="AF585" i="1" s="1"/>
  <c r="AG585" i="1" s="1"/>
  <c r="AF584" i="1"/>
  <c r="AA584" i="1"/>
  <c r="AG584" i="1" s="1"/>
  <c r="AF583" i="1"/>
  <c r="AA583" i="1"/>
  <c r="AG583" i="1" s="1"/>
  <c r="AF582" i="1"/>
  <c r="AG582" i="1" s="1"/>
  <c r="AA582" i="1"/>
  <c r="AG581" i="1"/>
  <c r="AF581" i="1"/>
  <c r="AA581" i="1"/>
  <c r="AG580" i="1"/>
  <c r="AA580" i="1"/>
  <c r="AF580" i="1" s="1"/>
  <c r="AA579" i="1"/>
  <c r="AA578" i="1"/>
  <c r="AA577" i="1"/>
  <c r="AF576" i="1"/>
  <c r="AA576" i="1"/>
  <c r="AG576" i="1" s="1"/>
  <c r="AF575" i="1"/>
  <c r="AA575" i="1"/>
  <c r="AG575" i="1" s="1"/>
  <c r="AF574" i="1"/>
  <c r="AG574" i="1" s="1"/>
  <c r="AA574" i="1"/>
  <c r="AG573" i="1"/>
  <c r="AF573" i="1"/>
  <c r="AA573" i="1"/>
  <c r="AG572" i="1"/>
  <c r="AA572" i="1"/>
  <c r="AF572" i="1" s="1"/>
  <c r="AA571" i="1"/>
  <c r="AA570" i="1"/>
  <c r="AA569" i="1"/>
  <c r="AF568" i="1"/>
  <c r="AA568" i="1"/>
  <c r="AG568" i="1" s="1"/>
  <c r="AF567" i="1"/>
  <c r="AA567" i="1"/>
  <c r="AG567" i="1" s="1"/>
  <c r="AF566" i="1"/>
  <c r="AG566" i="1" s="1"/>
  <c r="AA566" i="1"/>
  <c r="AG565" i="1"/>
  <c r="AF565" i="1"/>
  <c r="AA565" i="1"/>
  <c r="AA564" i="1"/>
  <c r="AF564" i="1" s="1"/>
  <c r="AG564" i="1" s="1"/>
  <c r="AA563" i="1"/>
  <c r="AA562" i="1"/>
  <c r="AA561" i="1"/>
  <c r="AF560" i="1"/>
  <c r="AA560" i="1"/>
  <c r="AG560" i="1" s="1"/>
  <c r="AF559" i="1"/>
  <c r="AA559" i="1"/>
  <c r="AF558" i="1"/>
  <c r="AG558" i="1" s="1"/>
  <c r="AA558" i="1"/>
  <c r="AG557" i="1"/>
  <c r="AF557" i="1"/>
  <c r="AA557" i="1"/>
  <c r="AG556" i="1"/>
  <c r="AA556" i="1"/>
  <c r="AF556" i="1" s="1"/>
  <c r="AA555" i="1"/>
  <c r="AA554" i="1"/>
  <c r="AF553" i="1"/>
  <c r="AA553" i="1"/>
  <c r="AG553" i="1" s="1"/>
  <c r="AF552" i="1"/>
  <c r="AA552" i="1"/>
  <c r="AG552" i="1" s="1"/>
  <c r="AF551" i="1"/>
  <c r="AA551" i="1"/>
  <c r="AG550" i="1"/>
  <c r="AF550" i="1"/>
  <c r="AA550" i="1"/>
  <c r="AG549" i="1"/>
  <c r="AF549" i="1"/>
  <c r="AA549" i="1"/>
  <c r="AG548" i="1"/>
  <c r="AA548" i="1"/>
  <c r="AF548" i="1" s="1"/>
  <c r="AA547" i="1"/>
  <c r="AA546" i="1"/>
  <c r="AA545" i="1"/>
  <c r="AF544" i="1"/>
  <c r="AA544" i="1"/>
  <c r="AG544" i="1" s="1"/>
  <c r="AF543" i="1"/>
  <c r="AA543" i="1"/>
  <c r="AG543" i="1" s="1"/>
  <c r="AF542" i="1"/>
  <c r="AG542" i="1" s="1"/>
  <c r="AA542" i="1"/>
  <c r="AG541" i="1"/>
  <c r="AF541" i="1"/>
  <c r="AA541" i="1"/>
  <c r="AG540" i="1"/>
  <c r="AA540" i="1"/>
  <c r="AF540" i="1" s="1"/>
  <c r="AA539" i="1"/>
  <c r="AA538" i="1"/>
  <c r="AA537" i="1"/>
  <c r="AF536" i="1"/>
  <c r="AA536" i="1"/>
  <c r="AG536" i="1" s="1"/>
  <c r="AF535" i="1"/>
  <c r="AA535" i="1"/>
  <c r="AG535" i="1" s="1"/>
  <c r="AF534" i="1"/>
  <c r="AG534" i="1" s="1"/>
  <c r="AA534" i="1"/>
  <c r="AG533" i="1"/>
  <c r="AF533" i="1"/>
  <c r="AA533" i="1"/>
  <c r="AG532" i="1"/>
  <c r="AA532" i="1"/>
  <c r="AF532" i="1" s="1"/>
  <c r="AA531" i="1"/>
  <c r="AA530" i="1"/>
  <c r="AF529" i="1"/>
  <c r="AA529" i="1"/>
  <c r="AG529" i="1" s="1"/>
  <c r="AF528" i="1"/>
  <c r="AA528" i="1"/>
  <c r="AG528" i="1" s="1"/>
  <c r="AF527" i="1"/>
  <c r="AA527" i="1"/>
  <c r="AG526" i="1"/>
  <c r="AF526" i="1"/>
  <c r="AA526" i="1"/>
  <c r="AG525" i="1"/>
  <c r="AF525" i="1"/>
  <c r="AA525" i="1"/>
  <c r="AG524" i="1"/>
  <c r="AA524" i="1"/>
  <c r="AF524" i="1" s="1"/>
  <c r="AA523" i="1"/>
  <c r="AA522" i="1"/>
  <c r="AF521" i="1"/>
  <c r="AA521" i="1"/>
  <c r="AG521" i="1" s="1"/>
  <c r="AF520" i="1"/>
  <c r="AA520" i="1"/>
  <c r="AG520" i="1" s="1"/>
  <c r="AF519" i="1"/>
  <c r="AA519" i="1"/>
  <c r="AG518" i="1"/>
  <c r="AF518" i="1"/>
  <c r="AA518" i="1"/>
  <c r="AG517" i="1"/>
  <c r="AF517" i="1"/>
  <c r="AA517" i="1"/>
  <c r="AG516" i="1"/>
  <c r="AA516" i="1"/>
  <c r="AF516" i="1" s="1"/>
  <c r="AA515" i="1"/>
  <c r="AA514" i="1"/>
  <c r="AF513" i="1"/>
  <c r="AA513" i="1"/>
  <c r="AG513" i="1" s="1"/>
  <c r="AF512" i="1"/>
  <c r="AA512" i="1"/>
  <c r="AG512" i="1" s="1"/>
  <c r="AF511" i="1"/>
  <c r="AA511" i="1"/>
  <c r="AA510" i="1"/>
  <c r="AF510" i="1" s="1"/>
  <c r="AG510" i="1" s="1"/>
  <c r="AG509" i="1"/>
  <c r="AF509" i="1"/>
  <c r="AA509" i="1"/>
  <c r="AA508" i="1"/>
  <c r="AF508" i="1" s="1"/>
  <c r="AG508" i="1" s="1"/>
  <c r="AA507" i="1"/>
  <c r="AA506" i="1"/>
  <c r="AF505" i="1"/>
  <c r="AA505" i="1"/>
  <c r="AG505" i="1" s="1"/>
  <c r="AF504" i="1"/>
  <c r="AA504" i="1"/>
  <c r="AG504" i="1" s="1"/>
  <c r="AF503" i="1"/>
  <c r="AA503" i="1"/>
  <c r="AG503" i="1" s="1"/>
  <c r="AA502" i="1"/>
  <c r="AF502" i="1" s="1"/>
  <c r="AG502" i="1" s="1"/>
  <c r="AA501" i="1"/>
  <c r="AF501" i="1" s="1"/>
  <c r="AG501" i="1" s="1"/>
  <c r="AG500" i="1"/>
  <c r="AA500" i="1"/>
  <c r="AF500" i="1" s="1"/>
  <c r="AA499" i="1"/>
  <c r="AA498" i="1"/>
  <c r="AF497" i="1"/>
  <c r="AA497" i="1"/>
  <c r="AG497" i="1" s="1"/>
  <c r="AF496" i="1"/>
  <c r="AA496" i="1"/>
  <c r="AG496" i="1" s="1"/>
  <c r="AF495" i="1"/>
  <c r="AA495" i="1"/>
  <c r="AG494" i="1"/>
  <c r="AF494" i="1"/>
  <c r="AA494" i="1"/>
  <c r="AG493" i="1"/>
  <c r="AF493" i="1"/>
  <c r="AA493" i="1"/>
  <c r="AG492" i="1"/>
  <c r="AA492" i="1"/>
  <c r="AF492" i="1" s="1"/>
  <c r="AA491" i="1"/>
  <c r="AA490" i="1"/>
  <c r="AF489" i="1"/>
  <c r="AA489" i="1"/>
  <c r="AG489" i="1" s="1"/>
  <c r="AF488" i="1"/>
  <c r="AA488" i="1"/>
  <c r="AG488" i="1" s="1"/>
  <c r="AF487" i="1"/>
  <c r="AA487" i="1"/>
  <c r="AA486" i="1"/>
  <c r="AF486" i="1" s="1"/>
  <c r="AG486" i="1" s="1"/>
  <c r="AG485" i="1"/>
  <c r="AF485" i="1"/>
  <c r="AA485" i="1"/>
  <c r="AG484" i="1"/>
  <c r="AA484" i="1"/>
  <c r="AF484" i="1" s="1"/>
  <c r="AA483" i="1"/>
  <c r="AA482" i="1"/>
  <c r="AF481" i="1"/>
  <c r="AA481" i="1"/>
  <c r="AG481" i="1" s="1"/>
  <c r="AF480" i="1"/>
  <c r="AA480" i="1"/>
  <c r="AG480" i="1" s="1"/>
  <c r="AF479" i="1"/>
  <c r="AA479" i="1"/>
  <c r="AA478" i="1"/>
  <c r="AF478" i="1" s="1"/>
  <c r="AG478" i="1" s="1"/>
  <c r="AG477" i="1"/>
  <c r="AF477" i="1"/>
  <c r="AA477" i="1"/>
  <c r="AA476" i="1"/>
  <c r="AF476" i="1" s="1"/>
  <c r="AG476" i="1" s="1"/>
  <c r="AA475" i="1"/>
  <c r="AA474" i="1"/>
  <c r="AF473" i="1"/>
  <c r="AA473" i="1"/>
  <c r="AG473" i="1" s="1"/>
  <c r="AF472" i="1"/>
  <c r="AA472" i="1"/>
  <c r="AG472" i="1" s="1"/>
  <c r="AF471" i="1"/>
  <c r="AA471" i="1"/>
  <c r="AG471" i="1" s="1"/>
  <c r="AA470" i="1"/>
  <c r="AF470" i="1" s="1"/>
  <c r="AG470" i="1" s="1"/>
  <c r="AG469" i="1"/>
  <c r="AF469" i="1"/>
  <c r="AA469" i="1"/>
  <c r="AG468" i="1"/>
  <c r="AA468" i="1"/>
  <c r="AF468" i="1" s="1"/>
  <c r="AA467" i="1"/>
  <c r="AA466" i="1"/>
  <c r="AF465" i="1"/>
  <c r="AA465" i="1"/>
  <c r="AG465" i="1" s="1"/>
  <c r="AF464" i="1"/>
  <c r="AA464" i="1"/>
  <c r="AG464" i="1" s="1"/>
  <c r="AF463" i="1"/>
  <c r="AA463" i="1"/>
  <c r="AA462" i="1"/>
  <c r="AF462" i="1" s="1"/>
  <c r="AG462" i="1" s="1"/>
  <c r="AG461" i="1"/>
  <c r="AF461" i="1"/>
  <c r="AA461" i="1"/>
  <c r="AG460" i="1"/>
  <c r="AA460" i="1"/>
  <c r="AF460" i="1" s="1"/>
  <c r="AA459" i="1"/>
  <c r="AA458" i="1"/>
  <c r="AF457" i="1"/>
  <c r="AA457" i="1"/>
  <c r="AG457" i="1" s="1"/>
  <c r="AF456" i="1"/>
  <c r="AA456" i="1"/>
  <c r="AG456" i="1" s="1"/>
  <c r="AF455" i="1"/>
  <c r="AA455" i="1"/>
  <c r="AG454" i="1"/>
  <c r="AF454" i="1"/>
  <c r="AA454" i="1"/>
  <c r="AG453" i="1"/>
  <c r="AF453" i="1"/>
  <c r="AA453" i="1"/>
  <c r="AG452" i="1"/>
  <c r="AA452" i="1"/>
  <c r="AF452" i="1" s="1"/>
  <c r="AA451" i="1"/>
  <c r="AA450" i="1"/>
  <c r="AF449" i="1"/>
  <c r="AA449" i="1"/>
  <c r="AG449" i="1" s="1"/>
  <c r="AF448" i="1"/>
  <c r="AA448" i="1"/>
  <c r="AG448" i="1" s="1"/>
  <c r="AF447" i="1"/>
  <c r="AA447" i="1"/>
  <c r="AA446" i="1"/>
  <c r="AF446" i="1" s="1"/>
  <c r="AG446" i="1" s="1"/>
  <c r="AG445" i="1"/>
  <c r="AF445" i="1"/>
  <c r="AA445" i="1"/>
  <c r="AG444" i="1"/>
  <c r="AA444" i="1"/>
  <c r="AF444" i="1" s="1"/>
  <c r="AA443" i="1"/>
  <c r="AA442" i="1"/>
  <c r="AF441" i="1"/>
  <c r="AG441" i="1" s="1"/>
  <c r="AA441" i="1"/>
  <c r="AF440" i="1"/>
  <c r="AA440" i="1"/>
  <c r="AG440" i="1" s="1"/>
  <c r="AF439" i="1"/>
  <c r="AA439" i="1"/>
  <c r="AA438" i="1"/>
  <c r="AA437" i="1"/>
  <c r="AF437" i="1" s="1"/>
  <c r="AG437" i="1" s="1"/>
  <c r="AG436" i="1"/>
  <c r="AA436" i="1"/>
  <c r="AF436" i="1" s="1"/>
  <c r="AA435" i="1"/>
  <c r="AA434" i="1"/>
  <c r="AF433" i="1"/>
  <c r="AG433" i="1" s="1"/>
  <c r="AA433" i="1"/>
  <c r="AF432" i="1"/>
  <c r="AA432" i="1"/>
  <c r="AF431" i="1"/>
  <c r="AA431" i="1"/>
  <c r="AA430" i="1"/>
  <c r="AA429" i="1"/>
  <c r="AF429" i="1" s="1"/>
  <c r="AF428" i="1"/>
  <c r="AA428" i="1"/>
  <c r="AG428" i="1" s="1"/>
  <c r="AG427" i="1"/>
  <c r="AA427" i="1"/>
  <c r="AF427" i="1" s="1"/>
  <c r="AF426" i="1"/>
  <c r="AA426" i="1"/>
  <c r="AG426" i="1" s="1"/>
  <c r="AA425" i="1"/>
  <c r="AA424" i="1"/>
  <c r="AA423" i="1"/>
  <c r="AF422" i="1"/>
  <c r="AG422" i="1" s="1"/>
  <c r="AA422" i="1"/>
  <c r="AA421" i="1"/>
  <c r="AF420" i="1"/>
  <c r="AA420" i="1"/>
  <c r="AG420" i="1" s="1"/>
  <c r="AA419" i="1"/>
  <c r="AF419" i="1" s="1"/>
  <c r="AG419" i="1" s="1"/>
  <c r="AF418" i="1"/>
  <c r="AG418" i="1" s="1"/>
  <c r="AA418" i="1"/>
  <c r="AA417" i="1"/>
  <c r="AA416" i="1"/>
  <c r="AA415" i="1"/>
  <c r="AF414" i="1"/>
  <c r="AG414" i="1" s="1"/>
  <c r="AA414" i="1"/>
  <c r="AA413" i="1"/>
  <c r="AF412" i="1"/>
  <c r="AA412" i="1"/>
  <c r="AG412" i="1" s="1"/>
  <c r="AG411" i="1"/>
  <c r="AF411" i="1"/>
  <c r="AA411" i="1"/>
  <c r="AF410" i="1"/>
  <c r="AG410" i="1" s="1"/>
  <c r="AA410" i="1"/>
  <c r="AA409" i="1"/>
  <c r="AA408" i="1"/>
  <c r="AA407" i="1"/>
  <c r="AF406" i="1"/>
  <c r="AG406" i="1" s="1"/>
  <c r="AA406" i="1"/>
  <c r="AA405" i="1"/>
  <c r="AF404" i="1"/>
  <c r="AA404" i="1"/>
  <c r="AG404" i="1" s="1"/>
  <c r="AG403" i="1"/>
  <c r="AA403" i="1"/>
  <c r="AF403" i="1" s="1"/>
  <c r="AF402" i="1"/>
  <c r="AG402" i="1" s="1"/>
  <c r="AA402" i="1"/>
  <c r="AA401" i="1"/>
  <c r="AA400" i="1"/>
  <c r="AA399" i="1"/>
  <c r="AF398" i="1"/>
  <c r="AG398" i="1" s="1"/>
  <c r="AA398" i="1"/>
  <c r="AA397" i="1"/>
  <c r="AF396" i="1"/>
  <c r="AA396" i="1"/>
  <c r="AG396" i="1" s="1"/>
  <c r="AA395" i="1"/>
  <c r="AF395" i="1" s="1"/>
  <c r="AG395" i="1" s="1"/>
  <c r="AF394" i="1"/>
  <c r="AG394" i="1" s="1"/>
  <c r="AA394" i="1"/>
  <c r="AA393" i="1"/>
  <c r="AA392" i="1"/>
  <c r="AA391" i="1"/>
  <c r="AF390" i="1"/>
  <c r="AG390" i="1" s="1"/>
  <c r="AA390" i="1"/>
  <c r="AA389" i="1"/>
  <c r="AF388" i="1"/>
  <c r="AA388" i="1"/>
  <c r="AG388" i="1" s="1"/>
  <c r="AA387" i="1"/>
  <c r="AF387" i="1" s="1"/>
  <c r="AG387" i="1" s="1"/>
  <c r="AF386" i="1"/>
  <c r="AA386" i="1"/>
  <c r="AG386" i="1" s="1"/>
  <c r="AA385" i="1"/>
  <c r="AA384" i="1"/>
  <c r="AA383" i="1"/>
  <c r="AF382" i="1"/>
  <c r="AA382" i="1"/>
  <c r="AG382" i="1" s="1"/>
  <c r="AA381" i="1"/>
  <c r="AF380" i="1"/>
  <c r="AA380" i="1"/>
  <c r="AG380" i="1" s="1"/>
  <c r="AA379" i="1"/>
  <c r="AF379" i="1" s="1"/>
  <c r="AG379" i="1" s="1"/>
  <c r="AF378" i="1"/>
  <c r="AA378" i="1"/>
  <c r="AG378" i="1" s="1"/>
  <c r="AA377" i="1"/>
  <c r="AA376" i="1"/>
  <c r="AA375" i="1"/>
  <c r="AF374" i="1"/>
  <c r="AG374" i="1" s="1"/>
  <c r="AA374" i="1"/>
  <c r="AA373" i="1"/>
  <c r="AF372" i="1"/>
  <c r="AA372" i="1"/>
  <c r="AG372" i="1" s="1"/>
  <c r="AG371" i="1"/>
  <c r="AA371" i="1"/>
  <c r="AF371" i="1" s="1"/>
  <c r="AF370" i="1"/>
  <c r="AA370" i="1"/>
  <c r="AG370" i="1" s="1"/>
  <c r="AA369" i="1"/>
  <c r="AA368" i="1"/>
  <c r="AA367" i="1"/>
  <c r="AF366" i="1"/>
  <c r="AA366" i="1"/>
  <c r="AG366" i="1" s="1"/>
  <c r="AA365" i="1"/>
  <c r="AF364" i="1"/>
  <c r="AA364" i="1"/>
  <c r="AG364" i="1" s="1"/>
  <c r="AA363" i="1"/>
  <c r="AF363" i="1" s="1"/>
  <c r="AG363" i="1" s="1"/>
  <c r="AF362" i="1"/>
  <c r="AA362" i="1"/>
  <c r="AG362" i="1" s="1"/>
  <c r="AA361" i="1"/>
  <c r="AA360" i="1"/>
  <c r="AA359" i="1"/>
  <c r="AF359" i="1" s="1"/>
  <c r="AG359" i="1" s="1"/>
  <c r="AF358" i="1"/>
  <c r="AA358" i="1"/>
  <c r="AA357" i="1"/>
  <c r="AF356" i="1"/>
  <c r="AA356" i="1"/>
  <c r="AG356" i="1" s="1"/>
  <c r="AG355" i="1"/>
  <c r="AA355" i="1"/>
  <c r="AF355" i="1" s="1"/>
  <c r="AF354" i="1"/>
  <c r="AA354" i="1"/>
  <c r="AG354" i="1" s="1"/>
  <c r="AA353" i="1"/>
  <c r="AA352" i="1"/>
  <c r="AA351" i="1"/>
  <c r="AF351" i="1" s="1"/>
  <c r="AG351" i="1" s="1"/>
  <c r="AF350" i="1"/>
  <c r="AA350" i="1"/>
  <c r="AG350" i="1" s="1"/>
  <c r="AA349" i="1"/>
  <c r="AF348" i="1"/>
  <c r="AA348" i="1"/>
  <c r="AG348" i="1" s="1"/>
  <c r="AA347" i="1"/>
  <c r="AF347" i="1" s="1"/>
  <c r="AG347" i="1" s="1"/>
  <c r="AF346" i="1"/>
  <c r="AA346" i="1"/>
  <c r="AG346" i="1" s="1"/>
  <c r="AA345" i="1"/>
  <c r="AA344" i="1"/>
  <c r="AA343" i="1"/>
  <c r="AF343" i="1" s="1"/>
  <c r="AG343" i="1" s="1"/>
  <c r="AF342" i="1"/>
  <c r="AA342" i="1"/>
  <c r="AA341" i="1"/>
  <c r="AF340" i="1"/>
  <c r="AA340" i="1"/>
  <c r="AG340" i="1" s="1"/>
  <c r="AG339" i="1"/>
  <c r="AA339" i="1"/>
  <c r="AF339" i="1" s="1"/>
  <c r="AF338" i="1"/>
  <c r="AA338" i="1"/>
  <c r="AG338" i="1" s="1"/>
  <c r="AA337" i="1"/>
  <c r="AA336" i="1"/>
  <c r="AA335" i="1"/>
  <c r="AF335" i="1" s="1"/>
  <c r="AG335" i="1" s="1"/>
  <c r="AF334" i="1"/>
  <c r="AA334" i="1"/>
  <c r="AG334" i="1" s="1"/>
  <c r="AA333" i="1"/>
  <c r="AF332" i="1"/>
  <c r="AA332" i="1"/>
  <c r="AG332" i="1" s="1"/>
  <c r="AG331" i="1"/>
  <c r="AF331" i="1"/>
  <c r="AA331" i="1"/>
  <c r="AF330" i="1"/>
  <c r="AA330" i="1"/>
  <c r="AG330" i="1" s="1"/>
  <c r="AA329" i="1"/>
  <c r="AA328" i="1"/>
  <c r="AA327" i="1"/>
  <c r="AF326" i="1"/>
  <c r="AA326" i="1"/>
  <c r="AG326" i="1" s="1"/>
  <c r="AA325" i="1"/>
  <c r="AF324" i="1"/>
  <c r="AA324" i="1"/>
  <c r="AG324" i="1" s="1"/>
  <c r="AG323" i="1"/>
  <c r="AA323" i="1"/>
  <c r="AF323" i="1" s="1"/>
  <c r="AF322" i="1"/>
  <c r="AA322" i="1"/>
  <c r="AG322" i="1" s="1"/>
  <c r="AA321" i="1"/>
  <c r="AA320" i="1"/>
  <c r="AA319" i="1"/>
  <c r="AF318" i="1"/>
  <c r="AA318" i="1"/>
  <c r="AA317" i="1"/>
  <c r="AA316" i="1"/>
  <c r="AA315" i="1"/>
  <c r="AF315" i="1" s="1"/>
  <c r="AG315" i="1" s="1"/>
  <c r="AF314" i="1"/>
  <c r="AA314" i="1"/>
  <c r="AG314" i="1" s="1"/>
  <c r="AA313" i="1"/>
  <c r="AF312" i="1"/>
  <c r="AA312" i="1"/>
  <c r="AG312" i="1" s="1"/>
  <c r="AA311" i="1"/>
  <c r="AF310" i="1"/>
  <c r="AA310" i="1"/>
  <c r="AG310" i="1" s="1"/>
  <c r="AA309" i="1"/>
  <c r="AF308" i="1"/>
  <c r="AA308" i="1"/>
  <c r="AG308" i="1" s="1"/>
  <c r="AG307" i="1"/>
  <c r="AA307" i="1"/>
  <c r="AF307" i="1" s="1"/>
  <c r="AF306" i="1"/>
  <c r="AA306" i="1"/>
  <c r="AG306" i="1" s="1"/>
  <c r="AA305" i="1"/>
  <c r="AF304" i="1"/>
  <c r="AA304" i="1"/>
  <c r="AG304" i="1" s="1"/>
  <c r="AA303" i="1"/>
  <c r="AF302" i="1"/>
  <c r="AA302" i="1"/>
  <c r="AA301" i="1"/>
  <c r="AF301" i="1" s="1"/>
  <c r="AG301" i="1" s="1"/>
  <c r="AF300" i="1"/>
  <c r="AA300" i="1"/>
  <c r="AG300" i="1" s="1"/>
  <c r="AG299" i="1"/>
  <c r="AA299" i="1"/>
  <c r="AF299" i="1" s="1"/>
  <c r="AF298" i="1"/>
  <c r="AA298" i="1"/>
  <c r="AG298" i="1" s="1"/>
  <c r="AA297" i="1"/>
  <c r="AF296" i="1"/>
  <c r="AA296" i="1"/>
  <c r="AG296" i="1" s="1"/>
  <c r="AA295" i="1"/>
  <c r="AF294" i="1"/>
  <c r="AA294" i="1"/>
  <c r="AA293" i="1"/>
  <c r="AF293" i="1" s="1"/>
  <c r="AG293" i="1" s="1"/>
  <c r="AF292" i="1"/>
  <c r="AA292" i="1"/>
  <c r="AG292" i="1" s="1"/>
  <c r="AG291" i="1"/>
  <c r="AA291" i="1"/>
  <c r="AF291" i="1" s="1"/>
  <c r="AF290" i="1"/>
  <c r="AA290" i="1"/>
  <c r="AG290" i="1" s="1"/>
  <c r="AA289" i="1"/>
  <c r="AF288" i="1"/>
  <c r="AA288" i="1"/>
  <c r="AG288" i="1" s="1"/>
  <c r="AA287" i="1"/>
  <c r="AF287" i="1" s="1"/>
  <c r="AG287" i="1" s="1"/>
  <c r="AF286" i="1"/>
  <c r="AA286" i="1"/>
  <c r="AA285" i="1"/>
  <c r="AF285" i="1" s="1"/>
  <c r="AG285" i="1" s="1"/>
  <c r="AA284" i="1"/>
  <c r="AA283" i="1"/>
  <c r="AF283" i="1" s="1"/>
  <c r="AG283" i="1" s="1"/>
  <c r="AF282" i="1"/>
  <c r="AA282" i="1"/>
  <c r="AG282" i="1" s="1"/>
  <c r="AA281" i="1"/>
  <c r="AF280" i="1"/>
  <c r="AA280" i="1"/>
  <c r="AG280" i="1" s="1"/>
  <c r="AA279" i="1"/>
  <c r="AF278" i="1"/>
  <c r="AA278" i="1"/>
  <c r="AG278" i="1" s="1"/>
  <c r="AA277" i="1"/>
  <c r="AF277" i="1" s="1"/>
  <c r="AG277" i="1" s="1"/>
  <c r="AF276" i="1"/>
  <c r="AA276" i="1"/>
  <c r="AG276" i="1" s="1"/>
  <c r="AA275" i="1"/>
  <c r="AF275" i="1" s="1"/>
  <c r="AG275" i="1" s="1"/>
  <c r="AF274" i="1"/>
  <c r="AA274" i="1"/>
  <c r="AG274" i="1" s="1"/>
  <c r="AA273" i="1"/>
  <c r="AF272" i="1"/>
  <c r="AA272" i="1"/>
  <c r="AG272" i="1" s="1"/>
  <c r="AA271" i="1"/>
  <c r="AF271" i="1" s="1"/>
  <c r="AG271" i="1" s="1"/>
  <c r="AF270" i="1"/>
  <c r="AA270" i="1"/>
  <c r="AG270" i="1" s="1"/>
  <c r="AA269" i="1"/>
  <c r="AF269" i="1" s="1"/>
  <c r="AG269" i="1" s="1"/>
  <c r="AA268" i="1"/>
  <c r="AG267" i="1"/>
  <c r="AA267" i="1"/>
  <c r="AF267" i="1" s="1"/>
  <c r="AF266" i="1"/>
  <c r="AA266" i="1"/>
  <c r="AG266" i="1" s="1"/>
  <c r="AA265" i="1"/>
  <c r="AF264" i="1"/>
  <c r="AA264" i="1"/>
  <c r="AG264" i="1" s="1"/>
  <c r="AA263" i="1"/>
  <c r="AF263" i="1" s="1"/>
  <c r="AG263" i="1" s="1"/>
  <c r="AF262" i="1"/>
  <c r="AG262" i="1" s="1"/>
  <c r="AA262" i="1"/>
  <c r="AA261" i="1"/>
  <c r="AF261" i="1" s="1"/>
  <c r="AG261" i="1" s="1"/>
  <c r="AA260" i="1"/>
  <c r="AA259" i="1"/>
  <c r="AF259" i="1" s="1"/>
  <c r="AG259" i="1" s="1"/>
  <c r="AF258" i="1"/>
  <c r="AA258" i="1"/>
  <c r="AG258" i="1" s="1"/>
  <c r="AA257" i="1"/>
  <c r="AF256" i="1"/>
  <c r="AA256" i="1"/>
  <c r="AG256" i="1" s="1"/>
  <c r="AA255" i="1"/>
  <c r="AF254" i="1"/>
  <c r="AG254" i="1" s="1"/>
  <c r="AA254" i="1"/>
  <c r="AA253" i="1"/>
  <c r="AF253" i="1" s="1"/>
  <c r="AG253" i="1" s="1"/>
  <c r="AA252" i="1"/>
  <c r="AG251" i="1"/>
  <c r="AA251" i="1"/>
  <c r="AF251" i="1" s="1"/>
  <c r="AA250" i="1"/>
  <c r="AA249" i="1"/>
  <c r="AF248" i="1"/>
  <c r="AA248" i="1"/>
  <c r="AG248" i="1" s="1"/>
  <c r="AF247" i="1"/>
  <c r="AG247" i="1" s="1"/>
  <c r="AA247" i="1"/>
  <c r="AF246" i="1"/>
  <c r="AA246" i="1"/>
  <c r="AA245" i="1"/>
  <c r="AF245" i="1" s="1"/>
  <c r="AG245" i="1" s="1"/>
  <c r="AA244" i="1"/>
  <c r="AF244" i="1" s="1"/>
  <c r="AG244" i="1" s="1"/>
  <c r="AA243" i="1"/>
  <c r="AF243" i="1" s="1"/>
  <c r="AG243" i="1" s="1"/>
  <c r="AF242" i="1"/>
  <c r="AA242" i="1"/>
  <c r="AG242" i="1" s="1"/>
  <c r="AA241" i="1"/>
  <c r="AF240" i="1"/>
  <c r="AA240" i="1"/>
  <c r="AG240" i="1" s="1"/>
  <c r="AA239" i="1"/>
  <c r="AF238" i="1"/>
  <c r="AA238" i="1"/>
  <c r="AG238" i="1" s="1"/>
  <c r="AA237" i="1"/>
  <c r="AF237" i="1" s="1"/>
  <c r="AG237" i="1" s="1"/>
  <c r="AF236" i="1"/>
  <c r="AA236" i="1"/>
  <c r="AG236" i="1" s="1"/>
  <c r="AG235" i="1"/>
  <c r="AA235" i="1"/>
  <c r="AF235" i="1" s="1"/>
  <c r="AA234" i="1"/>
  <c r="AA233" i="1"/>
  <c r="AF232" i="1"/>
  <c r="AA232" i="1"/>
  <c r="AG232" i="1" s="1"/>
  <c r="AA231" i="1"/>
  <c r="AF230" i="1"/>
  <c r="AA230" i="1"/>
  <c r="AG229" i="1"/>
  <c r="AF229" i="1"/>
  <c r="AA229" i="1"/>
  <c r="AF228" i="1"/>
  <c r="AA228" i="1"/>
  <c r="AG228" i="1" s="1"/>
  <c r="AA227" i="1"/>
  <c r="AF227" i="1" s="1"/>
  <c r="AG227" i="1" s="1"/>
  <c r="AA226" i="1"/>
  <c r="AF226" i="1" s="1"/>
  <c r="AG226" i="1" s="1"/>
  <c r="AA225" i="1"/>
  <c r="AF224" i="1"/>
  <c r="AA224" i="1"/>
  <c r="AG224" i="1" s="1"/>
  <c r="AA223" i="1"/>
  <c r="AF222" i="1"/>
  <c r="AA222" i="1"/>
  <c r="AG221" i="1"/>
  <c r="AF221" i="1"/>
  <c r="AA221" i="1"/>
  <c r="AA220" i="1"/>
  <c r="AA219" i="1"/>
  <c r="AF219" i="1" s="1"/>
  <c r="AG219" i="1" s="1"/>
  <c r="AA218" i="1"/>
  <c r="AF218" i="1" s="1"/>
  <c r="AG218" i="1" s="1"/>
  <c r="AA217" i="1"/>
  <c r="AF216" i="1"/>
  <c r="AA216" i="1"/>
  <c r="AG216" i="1" s="1"/>
  <c r="AA215" i="1"/>
  <c r="AF214" i="1"/>
  <c r="AA214" i="1"/>
  <c r="AA213" i="1"/>
  <c r="AF213" i="1" s="1"/>
  <c r="AG213" i="1" s="1"/>
  <c r="AA212" i="1"/>
  <c r="AA211" i="1"/>
  <c r="AF211" i="1" s="1"/>
  <c r="AG211" i="1" s="1"/>
  <c r="AF210" i="1"/>
  <c r="AG210" i="1" s="1"/>
  <c r="AA210" i="1"/>
  <c r="AA209" i="1"/>
  <c r="AF208" i="1"/>
  <c r="AA208" i="1"/>
  <c r="AG208" i="1" s="1"/>
  <c r="AA207" i="1"/>
  <c r="AF206" i="1"/>
  <c r="AA206" i="1"/>
  <c r="AG206" i="1" s="1"/>
  <c r="AA205" i="1"/>
  <c r="AF205" i="1" s="1"/>
  <c r="AG205" i="1" s="1"/>
  <c r="AA204" i="1"/>
  <c r="AG203" i="1"/>
  <c r="AA203" i="1"/>
  <c r="AF203" i="1" s="1"/>
  <c r="AA202" i="1"/>
  <c r="AA201" i="1"/>
  <c r="AF200" i="1"/>
  <c r="AA200" i="1"/>
  <c r="AG200" i="1" s="1"/>
  <c r="AA199" i="1"/>
  <c r="AF198" i="1"/>
  <c r="AG198" i="1" s="1"/>
  <c r="AA198" i="1"/>
  <c r="AA197" i="1"/>
  <c r="AA196" i="1"/>
  <c r="AG195" i="1"/>
  <c r="AA195" i="1"/>
  <c r="AF195" i="1" s="1"/>
  <c r="AA194" i="1"/>
  <c r="AA193" i="1"/>
  <c r="AF192" i="1"/>
  <c r="AA192" i="1"/>
  <c r="AG192" i="1" s="1"/>
  <c r="AA191" i="1"/>
  <c r="AF190" i="1"/>
  <c r="AA190" i="1"/>
  <c r="AG190" i="1" s="1"/>
  <c r="AA189" i="1"/>
  <c r="AA188" i="1"/>
  <c r="AG187" i="1"/>
  <c r="AA187" i="1"/>
  <c r="AF187" i="1" s="1"/>
  <c r="AF186" i="1"/>
  <c r="AA186" i="1"/>
  <c r="AG186" i="1" s="1"/>
  <c r="AA185" i="1"/>
  <c r="AF184" i="1"/>
  <c r="AA184" i="1"/>
  <c r="AG184" i="1" s="1"/>
  <c r="AA183" i="1"/>
  <c r="AF182" i="1"/>
  <c r="AA182" i="1"/>
  <c r="AA181" i="1"/>
  <c r="AF181" i="1" s="1"/>
  <c r="AG181" i="1" s="1"/>
  <c r="AA180" i="1"/>
  <c r="AA179" i="1"/>
  <c r="AF179" i="1" s="1"/>
  <c r="AG179" i="1" s="1"/>
  <c r="AA178" i="1"/>
  <c r="AA177" i="1"/>
  <c r="AF176" i="1"/>
  <c r="AA176" i="1"/>
  <c r="AG176" i="1" s="1"/>
  <c r="AA175" i="1"/>
  <c r="AF174" i="1"/>
  <c r="AA174" i="1"/>
  <c r="AG174" i="1" s="1"/>
  <c r="AA173" i="1"/>
  <c r="AA172" i="1"/>
  <c r="AF172" i="1" s="1"/>
  <c r="AG172" i="1" s="1"/>
  <c r="AA171" i="1"/>
  <c r="AA170" i="1"/>
  <c r="AA169" i="1"/>
  <c r="AF168" i="1"/>
  <c r="AA168" i="1"/>
  <c r="AG168" i="1" s="1"/>
  <c r="AF167" i="1"/>
  <c r="AG167" i="1" s="1"/>
  <c r="AA167" i="1"/>
  <c r="AF166" i="1"/>
  <c r="AG166" i="1" s="1"/>
  <c r="AA166" i="1"/>
  <c r="AA165" i="1"/>
  <c r="AA164" i="1"/>
  <c r="AF164" i="1" s="1"/>
  <c r="AG164" i="1" s="1"/>
  <c r="AA163" i="1"/>
  <c r="AA162" i="1"/>
  <c r="AA161" i="1"/>
  <c r="AF160" i="1"/>
  <c r="AA160" i="1"/>
  <c r="AG160" i="1" s="1"/>
  <c r="AF159" i="1"/>
  <c r="AG159" i="1" s="1"/>
  <c r="AA159" i="1"/>
  <c r="AF158" i="1"/>
  <c r="AG158" i="1" s="1"/>
  <c r="AA158" i="1"/>
  <c r="AA157" i="1"/>
  <c r="AA156" i="1"/>
  <c r="AF156" i="1" s="1"/>
  <c r="AG156" i="1" s="1"/>
  <c r="AA155" i="1"/>
  <c r="AA154" i="1"/>
  <c r="AA153" i="1"/>
  <c r="AF152" i="1"/>
  <c r="AA152" i="1"/>
  <c r="AG152" i="1" s="1"/>
  <c r="AF151" i="1"/>
  <c r="AG151" i="1" s="1"/>
  <c r="AA151" i="1"/>
  <c r="AF150" i="1"/>
  <c r="AG150" i="1" s="1"/>
  <c r="AA150" i="1"/>
  <c r="AA149" i="1"/>
  <c r="AA148" i="1"/>
  <c r="AF148" i="1" s="1"/>
  <c r="AG148" i="1" s="1"/>
  <c r="AA147" i="1"/>
  <c r="AA146" i="1"/>
  <c r="AA145" i="1"/>
  <c r="AF144" i="1"/>
  <c r="AA144" i="1"/>
  <c r="AG144" i="1" s="1"/>
  <c r="AF143" i="1"/>
  <c r="AG143" i="1" s="1"/>
  <c r="AA143" i="1"/>
  <c r="AF142" i="1"/>
  <c r="AG142" i="1" s="1"/>
  <c r="AA142" i="1"/>
  <c r="AA141" i="1"/>
  <c r="AA140" i="1"/>
  <c r="AF140" i="1" s="1"/>
  <c r="AG140" i="1" s="1"/>
  <c r="AA139" i="1"/>
  <c r="AA138" i="1"/>
  <c r="AA137" i="1"/>
  <c r="AF136" i="1"/>
  <c r="AA136" i="1"/>
  <c r="AG136" i="1" s="1"/>
  <c r="AF135" i="1"/>
  <c r="AG135" i="1" s="1"/>
  <c r="AA135" i="1"/>
  <c r="AF134" i="1"/>
  <c r="AG134" i="1" s="1"/>
  <c r="AA134" i="1"/>
  <c r="AA133" i="1"/>
  <c r="AA132" i="1"/>
  <c r="AF132" i="1" s="1"/>
  <c r="AG132" i="1" s="1"/>
  <c r="AA131" i="1"/>
  <c r="AA130" i="1"/>
  <c r="AA129" i="1"/>
  <c r="AF128" i="1"/>
  <c r="AA128" i="1"/>
  <c r="AG128" i="1" s="1"/>
  <c r="AF127" i="1"/>
  <c r="AG127" i="1" s="1"/>
  <c r="AA127" i="1"/>
  <c r="AF126" i="1"/>
  <c r="AG126" i="1" s="1"/>
  <c r="AA126" i="1"/>
  <c r="AA125" i="1"/>
  <c r="AA124" i="1"/>
  <c r="AF124" i="1" s="1"/>
  <c r="AG124" i="1" s="1"/>
  <c r="AA123" i="1"/>
  <c r="AA122" i="1"/>
  <c r="AA121" i="1"/>
  <c r="AF120" i="1"/>
  <c r="AA120" i="1"/>
  <c r="AG120" i="1" s="1"/>
  <c r="AF119" i="1"/>
  <c r="AG119" i="1" s="1"/>
  <c r="AA119" i="1"/>
  <c r="AF118" i="1"/>
  <c r="AG118" i="1" s="1"/>
  <c r="AA118" i="1"/>
  <c r="AA117" i="1"/>
  <c r="AA116" i="1"/>
  <c r="AF116" i="1" s="1"/>
  <c r="AG116" i="1" s="1"/>
  <c r="AA115" i="1"/>
  <c r="AA114" i="1"/>
  <c r="AA113" i="1"/>
  <c r="AF112" i="1"/>
  <c r="AA112" i="1"/>
  <c r="AG112" i="1" s="1"/>
  <c r="AF111" i="1"/>
  <c r="AG111" i="1" s="1"/>
  <c r="AA111" i="1"/>
  <c r="AF110" i="1"/>
  <c r="AG110" i="1" s="1"/>
  <c r="AA110" i="1"/>
  <c r="AA109" i="1"/>
  <c r="AA108" i="1"/>
  <c r="AF108" i="1" s="1"/>
  <c r="AG108" i="1" s="1"/>
  <c r="AA107" i="1"/>
  <c r="AF107" i="1" s="1"/>
  <c r="AG107" i="1" s="1"/>
  <c r="AA106" i="1"/>
  <c r="AA105" i="1"/>
  <c r="AF104" i="1"/>
  <c r="AA104" i="1"/>
  <c r="AG104" i="1" s="1"/>
  <c r="AF103" i="1"/>
  <c r="AG103" i="1" s="1"/>
  <c r="AA103" i="1"/>
  <c r="AF102" i="1"/>
  <c r="AG102" i="1" s="1"/>
  <c r="AA102" i="1"/>
  <c r="AA101" i="1"/>
  <c r="AA100" i="1"/>
  <c r="AF100" i="1" s="1"/>
  <c r="AG100" i="1" s="1"/>
  <c r="AA99" i="1"/>
  <c r="AF99" i="1" s="1"/>
  <c r="AG99" i="1" s="1"/>
  <c r="AA98" i="1"/>
  <c r="AA97" i="1"/>
  <c r="AF96" i="1"/>
  <c r="AA96" i="1"/>
  <c r="AG96" i="1" s="1"/>
  <c r="AF95" i="1"/>
  <c r="AG95" i="1" s="1"/>
  <c r="AA95" i="1"/>
  <c r="AF94" i="1"/>
  <c r="AG94" i="1" s="1"/>
  <c r="AA94" i="1"/>
  <c r="AA93" i="1"/>
  <c r="AA92" i="1"/>
  <c r="AF92" i="1" s="1"/>
  <c r="AG92" i="1" s="1"/>
  <c r="AA91" i="1"/>
  <c r="AF91" i="1" s="1"/>
  <c r="AG91" i="1" s="1"/>
  <c r="AA90" i="1"/>
  <c r="AA89" i="1"/>
  <c r="AF88" i="1"/>
  <c r="AA88" i="1"/>
  <c r="AG88" i="1" s="1"/>
  <c r="AF87" i="1"/>
  <c r="AG87" i="1" s="1"/>
  <c r="AA87" i="1"/>
  <c r="AF86" i="1"/>
  <c r="AG86" i="1" s="1"/>
  <c r="AA86" i="1"/>
  <c r="AA85" i="1"/>
  <c r="AA84" i="1"/>
  <c r="AF84" i="1" s="1"/>
  <c r="AG84" i="1" s="1"/>
  <c r="AA83" i="1"/>
  <c r="AF83" i="1" s="1"/>
  <c r="AG83" i="1" s="1"/>
  <c r="AA82" i="1"/>
  <c r="AA81" i="1"/>
  <c r="AF80" i="1"/>
  <c r="AA80" i="1"/>
  <c r="AG80" i="1" s="1"/>
  <c r="AF79" i="1"/>
  <c r="AG79" i="1" s="1"/>
  <c r="AA79" i="1"/>
  <c r="AF78" i="1"/>
  <c r="AG78" i="1" s="1"/>
  <c r="AA78" i="1"/>
  <c r="AA77" i="1"/>
  <c r="AA76" i="1"/>
  <c r="AF76" i="1" s="1"/>
  <c r="AG76" i="1" s="1"/>
  <c r="AA75" i="1"/>
  <c r="AF75" i="1" s="1"/>
  <c r="AG75" i="1" s="1"/>
  <c r="AA74" i="1"/>
  <c r="AA73" i="1"/>
  <c r="AF72" i="1"/>
  <c r="AA72" i="1"/>
  <c r="AG72" i="1" s="1"/>
  <c r="AF71" i="1"/>
  <c r="AG71" i="1" s="1"/>
  <c r="AA71" i="1"/>
  <c r="AF70" i="1"/>
  <c r="AG70" i="1" s="1"/>
  <c r="AA70" i="1"/>
  <c r="AA69" i="1"/>
  <c r="AA68" i="1"/>
  <c r="AF68" i="1" s="1"/>
  <c r="AG68" i="1" s="1"/>
  <c r="AA67" i="1"/>
  <c r="AF67" i="1" s="1"/>
  <c r="AG67" i="1" s="1"/>
  <c r="AA66" i="1"/>
  <c r="AA65" i="1"/>
  <c r="AF64" i="1"/>
  <c r="AG64" i="1" s="1"/>
  <c r="AA64" i="1"/>
  <c r="AF63" i="1"/>
  <c r="AG63" i="1" s="1"/>
  <c r="AA63" i="1"/>
  <c r="AF62" i="1"/>
  <c r="AG62" i="1" s="1"/>
  <c r="AA62" i="1"/>
  <c r="AA61" i="1"/>
  <c r="AA60" i="1"/>
  <c r="AF60" i="1" s="1"/>
  <c r="AG60" i="1" s="1"/>
  <c r="AA59" i="1"/>
  <c r="AF59" i="1" s="1"/>
  <c r="AG59" i="1" s="1"/>
  <c r="AA58" i="1"/>
  <c r="AA57" i="1"/>
  <c r="AF56" i="1"/>
  <c r="AG56" i="1" s="1"/>
  <c r="AA56" i="1"/>
  <c r="AF55" i="1"/>
  <c r="AG55" i="1" s="1"/>
  <c r="AA55" i="1"/>
  <c r="AF54" i="1"/>
  <c r="AG54" i="1" s="1"/>
  <c r="AA54" i="1"/>
  <c r="AA53" i="1"/>
  <c r="AA52" i="1"/>
  <c r="AF52" i="1" s="1"/>
  <c r="AG52" i="1" s="1"/>
  <c r="AA51" i="1"/>
  <c r="AF51" i="1" s="1"/>
  <c r="AG51" i="1" s="1"/>
  <c r="AA50" i="1"/>
  <c r="AA49" i="1"/>
  <c r="AF48" i="1"/>
  <c r="AA48" i="1"/>
  <c r="AG48" i="1" s="1"/>
  <c r="AF47" i="1"/>
  <c r="AG47" i="1" s="1"/>
  <c r="AA47" i="1"/>
  <c r="AF46" i="1"/>
  <c r="AG46" i="1" s="1"/>
  <c r="AA46" i="1"/>
  <c r="AA45" i="1"/>
  <c r="AA44" i="1"/>
  <c r="AF44" i="1" s="1"/>
  <c r="AG44" i="1" s="1"/>
  <c r="AA43" i="1"/>
  <c r="AF43" i="1" s="1"/>
  <c r="AG43" i="1" s="1"/>
  <c r="AA42" i="1"/>
  <c r="AA41" i="1"/>
  <c r="AF40" i="1"/>
  <c r="AA40" i="1"/>
  <c r="AG40" i="1" s="1"/>
  <c r="AF39" i="1"/>
  <c r="AG39" i="1" s="1"/>
  <c r="AA39" i="1"/>
  <c r="AF38" i="1"/>
  <c r="AG38" i="1" s="1"/>
  <c r="AA38" i="1"/>
  <c r="AA37" i="1"/>
  <c r="AA36" i="1"/>
  <c r="AF36" i="1" s="1"/>
  <c r="AG36" i="1" s="1"/>
  <c r="AA35" i="1"/>
  <c r="AF35" i="1" s="1"/>
  <c r="AG35" i="1" s="1"/>
  <c r="AA34" i="1"/>
  <c r="AA33" i="1"/>
  <c r="AF32" i="1"/>
  <c r="AA32" i="1"/>
  <c r="AG32" i="1" s="1"/>
  <c r="AF31" i="1"/>
  <c r="AG31" i="1" s="1"/>
  <c r="AA31" i="1"/>
  <c r="AF30" i="1"/>
  <c r="AG30" i="1" s="1"/>
  <c r="AA30" i="1"/>
  <c r="AA29" i="1"/>
  <c r="AA28" i="1"/>
  <c r="AF28" i="1" s="1"/>
  <c r="AG28" i="1" s="1"/>
  <c r="AA27" i="1"/>
  <c r="AF27" i="1" s="1"/>
  <c r="AG27" i="1" s="1"/>
  <c r="AA26" i="1"/>
  <c r="AA25" i="1"/>
  <c r="AF24" i="1"/>
  <c r="AA24" i="1"/>
  <c r="AG24" i="1" s="1"/>
  <c r="AF23" i="1"/>
  <c r="AG23" i="1" s="1"/>
  <c r="AA23" i="1"/>
  <c r="AF22" i="1"/>
  <c r="AG22" i="1" s="1"/>
  <c r="AA22" i="1"/>
  <c r="AA21" i="1"/>
  <c r="AA20" i="1"/>
  <c r="AF20" i="1" s="1"/>
  <c r="AG20" i="1" s="1"/>
  <c r="AA19" i="1"/>
  <c r="AF19" i="1" s="1"/>
  <c r="AG19" i="1" s="1"/>
  <c r="AA18" i="1"/>
  <c r="AA17" i="1"/>
  <c r="AF16" i="1"/>
  <c r="AA16" i="1"/>
  <c r="AG16" i="1" s="1"/>
  <c r="AF15" i="1"/>
  <c r="AG15" i="1" s="1"/>
  <c r="AA15" i="1"/>
  <c r="AF14" i="1"/>
  <c r="AG14" i="1" s="1"/>
  <c r="AA14" i="1"/>
  <c r="AA13" i="1"/>
  <c r="AA12" i="1"/>
  <c r="AF12" i="1" s="1"/>
  <c r="AG12" i="1" s="1"/>
  <c r="AA11" i="1"/>
  <c r="AF11" i="1" s="1"/>
  <c r="AG11" i="1" s="1"/>
  <c r="AA10" i="1"/>
  <c r="AA9" i="1"/>
  <c r="AF8" i="1"/>
  <c r="AA8" i="1"/>
  <c r="AG8" i="1" s="1"/>
  <c r="AF7" i="1"/>
  <c r="AG7" i="1" s="1"/>
  <c r="AA7" i="1"/>
  <c r="AF6" i="1"/>
  <c r="AG6" i="1" s="1"/>
  <c r="AA6" i="1"/>
  <c r="AA5" i="1"/>
  <c r="AA4" i="1"/>
  <c r="AF4" i="1" s="1"/>
  <c r="AG4" i="1" s="1"/>
  <c r="AA3" i="1"/>
  <c r="AF3" i="1" s="1"/>
  <c r="AG3" i="1" s="1"/>
  <c r="AA2" i="1"/>
  <c r="AG29" i="1" l="1"/>
  <c r="AG121" i="1"/>
  <c r="AG139" i="1"/>
  <c r="AG157" i="1"/>
  <c r="AG162" i="1"/>
  <c r="AG53" i="1"/>
  <c r="AG58" i="1"/>
  <c r="AG33" i="1"/>
  <c r="AG138" i="1"/>
  <c r="AG13" i="1"/>
  <c r="AG18" i="1"/>
  <c r="AG123" i="1"/>
  <c r="AG141" i="1"/>
  <c r="AG146" i="1"/>
  <c r="AG106" i="1"/>
  <c r="AG25" i="1"/>
  <c r="AG61" i="1"/>
  <c r="AG21" i="1"/>
  <c r="AG26" i="1"/>
  <c r="AG85" i="1"/>
  <c r="AG154" i="1"/>
  <c r="AG74" i="1"/>
  <c r="AG137" i="1"/>
  <c r="AG155" i="1"/>
  <c r="AF2" i="1"/>
  <c r="AG2" i="1" s="1"/>
  <c r="AF10" i="1"/>
  <c r="AG10" i="1" s="1"/>
  <c r="AF18" i="1"/>
  <c r="AF26" i="1"/>
  <c r="AF34" i="1"/>
  <c r="AG34" i="1" s="1"/>
  <c r="AF42" i="1"/>
  <c r="AG42" i="1" s="1"/>
  <c r="AF50" i="1"/>
  <c r="AG50" i="1" s="1"/>
  <c r="AF58" i="1"/>
  <c r="AF66" i="1"/>
  <c r="AG66" i="1" s="1"/>
  <c r="AF74" i="1"/>
  <c r="AF82" i="1"/>
  <c r="AG82" i="1" s="1"/>
  <c r="AF90" i="1"/>
  <c r="AG90" i="1" s="1"/>
  <c r="AF98" i="1"/>
  <c r="AG98" i="1" s="1"/>
  <c r="AF106" i="1"/>
  <c r="AF114" i="1"/>
  <c r="AG114" i="1" s="1"/>
  <c r="AF122" i="1"/>
  <c r="AG122" i="1" s="1"/>
  <c r="AF130" i="1"/>
  <c r="AG130" i="1" s="1"/>
  <c r="AF138" i="1"/>
  <c r="AF146" i="1"/>
  <c r="AF154" i="1"/>
  <c r="AF162" i="1"/>
  <c r="AF170" i="1"/>
  <c r="AG170" i="1" s="1"/>
  <c r="AG185" i="1"/>
  <c r="AF185" i="1"/>
  <c r="AF305" i="1"/>
  <c r="AG305" i="1" s="1"/>
  <c r="AG321" i="1"/>
  <c r="AF321" i="1"/>
  <c r="AG373" i="1"/>
  <c r="AG384" i="1"/>
  <c r="AF201" i="1"/>
  <c r="AG201" i="1" s="1"/>
  <c r="AF5" i="1"/>
  <c r="AG5" i="1" s="1"/>
  <c r="AF13" i="1"/>
  <c r="AF21" i="1"/>
  <c r="AF29" i="1"/>
  <c r="AF37" i="1"/>
  <c r="AG37" i="1" s="1"/>
  <c r="AF45" i="1"/>
  <c r="AG45" i="1" s="1"/>
  <c r="AF53" i="1"/>
  <c r="AF61" i="1"/>
  <c r="AF69" i="1"/>
  <c r="AG69" i="1" s="1"/>
  <c r="AF77" i="1"/>
  <c r="AG77" i="1" s="1"/>
  <c r="AF85" i="1"/>
  <c r="AF93" i="1"/>
  <c r="AG93" i="1" s="1"/>
  <c r="AF101" i="1"/>
  <c r="AG101" i="1" s="1"/>
  <c r="AF109" i="1"/>
  <c r="AG109" i="1" s="1"/>
  <c r="AF117" i="1"/>
  <c r="AG117" i="1" s="1"/>
  <c r="AF125" i="1"/>
  <c r="AG125" i="1" s="1"/>
  <c r="AF133" i="1"/>
  <c r="AG133" i="1" s="1"/>
  <c r="AF141" i="1"/>
  <c r="AF149" i="1"/>
  <c r="AG149" i="1" s="1"/>
  <c r="AF157" i="1"/>
  <c r="AF165" i="1"/>
  <c r="AG165" i="1" s="1"/>
  <c r="AG180" i="1"/>
  <c r="AG214" i="1"/>
  <c r="AF233" i="1"/>
  <c r="AG233" i="1" s="1"/>
  <c r="AF265" i="1"/>
  <c r="AG265" i="1" s="1"/>
  <c r="AG286" i="1"/>
  <c r="AF337" i="1"/>
  <c r="AG337" i="1" s="1"/>
  <c r="AG342" i="1"/>
  <c r="AF353" i="1"/>
  <c r="AG353" i="1" s="1"/>
  <c r="AG358" i="1"/>
  <c r="AF369" i="1"/>
  <c r="AG369" i="1" s="1"/>
  <c r="AF385" i="1"/>
  <c r="AG385" i="1" s="1"/>
  <c r="AF401" i="1"/>
  <c r="AG401" i="1" s="1"/>
  <c r="AG325" i="1"/>
  <c r="AG399" i="1"/>
  <c r="AG209" i="1"/>
  <c r="AF209" i="1"/>
  <c r="AF249" i="1"/>
  <c r="AG249" i="1" s="1"/>
  <c r="AF281" i="1"/>
  <c r="AG281" i="1" s="1"/>
  <c r="AG417" i="1"/>
  <c r="AF417" i="1"/>
  <c r="AG658" i="1"/>
  <c r="AF658" i="1"/>
  <c r="AF730" i="1"/>
  <c r="AG730" i="1" s="1"/>
  <c r="AG207" i="1"/>
  <c r="AG284" i="1"/>
  <c r="AF115" i="1"/>
  <c r="AG115" i="1" s="1"/>
  <c r="AF123" i="1"/>
  <c r="AF131" i="1"/>
  <c r="AG131" i="1" s="1"/>
  <c r="AF139" i="1"/>
  <c r="AF147" i="1"/>
  <c r="AG147" i="1" s="1"/>
  <c r="AF155" i="1"/>
  <c r="AF163" i="1"/>
  <c r="AG163" i="1" s="1"/>
  <c r="AF171" i="1"/>
  <c r="AG171" i="1" s="1"/>
  <c r="AG182" i="1"/>
  <c r="AF225" i="1"/>
  <c r="AG225" i="1" s="1"/>
  <c r="AG297" i="1"/>
  <c r="AF297" i="1"/>
  <c r="AG302" i="1"/>
  <c r="AG375" i="1"/>
  <c r="AG391" i="1"/>
  <c r="AF193" i="1"/>
  <c r="AG193" i="1" s="1"/>
  <c r="AG199" i="1"/>
  <c r="AG230" i="1"/>
  <c r="AG246" i="1"/>
  <c r="AG318" i="1"/>
  <c r="AF329" i="1"/>
  <c r="AG329" i="1" s="1"/>
  <c r="AG349" i="1"/>
  <c r="AG360" i="1"/>
  <c r="AG622" i="1"/>
  <c r="AF642" i="1"/>
  <c r="AG642" i="1" s="1"/>
  <c r="AF9" i="1"/>
  <c r="AG9" i="1" s="1"/>
  <c r="AF17" i="1"/>
  <c r="AG17" i="1" s="1"/>
  <c r="AF25" i="1"/>
  <c r="AF33" i="1"/>
  <c r="AF41" i="1"/>
  <c r="AG41" i="1" s="1"/>
  <c r="AF49" i="1"/>
  <c r="AG49" i="1" s="1"/>
  <c r="AF57" i="1"/>
  <c r="AG57" i="1" s="1"/>
  <c r="AF65" i="1"/>
  <c r="AG65" i="1" s="1"/>
  <c r="AF73" i="1"/>
  <c r="AG73" i="1" s="1"/>
  <c r="AF81" i="1"/>
  <c r="AG81" i="1" s="1"/>
  <c r="AF89" i="1"/>
  <c r="AG89" i="1" s="1"/>
  <c r="AF97" i="1"/>
  <c r="AG97" i="1" s="1"/>
  <c r="AF105" i="1"/>
  <c r="AG105" i="1" s="1"/>
  <c r="AF113" i="1"/>
  <c r="AG113" i="1" s="1"/>
  <c r="AF121" i="1"/>
  <c r="AF129" i="1"/>
  <c r="AG129" i="1" s="1"/>
  <c r="AF137" i="1"/>
  <c r="AF145" i="1"/>
  <c r="AG145" i="1" s="1"/>
  <c r="AF153" i="1"/>
  <c r="AG153" i="1" s="1"/>
  <c r="AF161" i="1"/>
  <c r="AG161" i="1" s="1"/>
  <c r="AF169" i="1"/>
  <c r="AG169" i="1" s="1"/>
  <c r="AG177" i="1"/>
  <c r="AF177" i="1"/>
  <c r="AF241" i="1"/>
  <c r="AG241" i="1" s="1"/>
  <c r="AF257" i="1"/>
  <c r="AG257" i="1" s="1"/>
  <c r="AF273" i="1"/>
  <c r="AG273" i="1" s="1"/>
  <c r="AF313" i="1"/>
  <c r="AG313" i="1" s="1"/>
  <c r="AF345" i="1"/>
  <c r="AG345" i="1" s="1"/>
  <c r="AG361" i="1"/>
  <c r="AF361" i="1"/>
  <c r="AG377" i="1"/>
  <c r="AF377" i="1"/>
  <c r="AF393" i="1"/>
  <c r="AG393" i="1" s="1"/>
  <c r="AF409" i="1"/>
  <c r="AG409" i="1" s="1"/>
  <c r="AG413" i="1"/>
  <c r="AF610" i="1"/>
  <c r="AG610" i="1" s="1"/>
  <c r="AG189" i="1"/>
  <c r="AF217" i="1"/>
  <c r="AG217" i="1" s="1"/>
  <c r="AG222" i="1"/>
  <c r="AF289" i="1"/>
  <c r="AG289" i="1" s="1"/>
  <c r="AG294" i="1"/>
  <c r="AF425" i="1"/>
  <c r="AG425" i="1" s="1"/>
  <c r="AG432" i="1"/>
  <c r="AF442" i="1"/>
  <c r="AG442" i="1" s="1"/>
  <c r="AG447" i="1"/>
  <c r="AG455" i="1"/>
  <c r="AF482" i="1"/>
  <c r="AG482" i="1" s="1"/>
  <c r="AG487" i="1"/>
  <c r="AG495" i="1"/>
  <c r="AF514" i="1"/>
  <c r="AG514" i="1" s="1"/>
  <c r="AF522" i="1"/>
  <c r="AG522" i="1" s="1"/>
  <c r="AF530" i="1"/>
  <c r="AG530" i="1" s="1"/>
  <c r="AF570" i="1"/>
  <c r="AG570" i="1" s="1"/>
  <c r="AF602" i="1"/>
  <c r="AG602" i="1" s="1"/>
  <c r="AG623" i="1"/>
  <c r="AG679" i="1"/>
  <c r="AG711" i="1"/>
  <c r="AG750" i="1"/>
  <c r="AG760" i="1"/>
  <c r="AF180" i="1"/>
  <c r="AF188" i="1"/>
  <c r="AG188" i="1" s="1"/>
  <c r="AF196" i="1"/>
  <c r="AG196" i="1" s="1"/>
  <c r="AF204" i="1"/>
  <c r="AG204" i="1" s="1"/>
  <c r="AF212" i="1"/>
  <c r="AG212" i="1" s="1"/>
  <c r="AF220" i="1"/>
  <c r="AG220" i="1" s="1"/>
  <c r="AF252" i="1"/>
  <c r="AG252" i="1" s="1"/>
  <c r="AF260" i="1"/>
  <c r="AG260" i="1" s="1"/>
  <c r="AF268" i="1"/>
  <c r="AG268" i="1" s="1"/>
  <c r="AF284" i="1"/>
  <c r="AF316" i="1"/>
  <c r="AG316" i="1" s="1"/>
  <c r="AG515" i="1"/>
  <c r="AG523" i="1"/>
  <c r="AG674" i="1"/>
  <c r="AF674" i="1"/>
  <c r="AG690" i="1"/>
  <c r="AF690" i="1"/>
  <c r="AF706" i="1"/>
  <c r="AG706" i="1" s="1"/>
  <c r="AF746" i="1"/>
  <c r="AG746" i="1" s="1"/>
  <c r="AF175" i="1"/>
  <c r="AG175" i="1" s="1"/>
  <c r="AF183" i="1"/>
  <c r="AG183" i="1" s="1"/>
  <c r="AF191" i="1"/>
  <c r="AG191" i="1" s="1"/>
  <c r="AF199" i="1"/>
  <c r="AF207" i="1"/>
  <c r="AF215" i="1"/>
  <c r="AG215" i="1" s="1"/>
  <c r="AF223" i="1"/>
  <c r="AG223" i="1" s="1"/>
  <c r="AF231" i="1"/>
  <c r="AG231" i="1" s="1"/>
  <c r="AF239" i="1"/>
  <c r="AG239" i="1" s="1"/>
  <c r="AF255" i="1"/>
  <c r="AG255" i="1" s="1"/>
  <c r="AF279" i="1"/>
  <c r="AG279" i="1" s="1"/>
  <c r="AF295" i="1"/>
  <c r="AG295" i="1" s="1"/>
  <c r="AF303" i="1"/>
  <c r="AG303" i="1" s="1"/>
  <c r="AF311" i="1"/>
  <c r="AG311" i="1" s="1"/>
  <c r="AF319" i="1"/>
  <c r="AG319" i="1" s="1"/>
  <c r="AF327" i="1"/>
  <c r="AG327" i="1" s="1"/>
  <c r="AF367" i="1"/>
  <c r="AG367" i="1" s="1"/>
  <c r="AF375" i="1"/>
  <c r="AF383" i="1"/>
  <c r="AG383" i="1" s="1"/>
  <c r="AF391" i="1"/>
  <c r="AF399" i="1"/>
  <c r="AF407" i="1"/>
  <c r="AG407" i="1" s="1"/>
  <c r="AF415" i="1"/>
  <c r="AG415" i="1" s="1"/>
  <c r="AF423" i="1"/>
  <c r="AG423" i="1" s="1"/>
  <c r="AG439" i="1"/>
  <c r="AG474" i="1"/>
  <c r="AF474" i="1"/>
  <c r="AG479" i="1"/>
  <c r="AF506" i="1"/>
  <c r="AG506" i="1" s="1"/>
  <c r="AG511" i="1"/>
  <c r="AG519" i="1"/>
  <c r="AG527" i="1"/>
  <c r="AG562" i="1"/>
  <c r="AF562" i="1"/>
  <c r="AF594" i="1"/>
  <c r="AG594" i="1" s="1"/>
  <c r="AG607" i="1"/>
  <c r="AG618" i="1"/>
  <c r="AF618" i="1"/>
  <c r="AG634" i="1"/>
  <c r="AF634" i="1"/>
  <c r="AG639" i="1"/>
  <c r="AG696" i="1"/>
  <c r="AF722" i="1"/>
  <c r="AG722" i="1" s="1"/>
  <c r="AG727" i="1"/>
  <c r="AF178" i="1"/>
  <c r="AG178" i="1" s="1"/>
  <c r="AF194" i="1"/>
  <c r="AG194" i="1" s="1"/>
  <c r="AF202" i="1"/>
  <c r="AG202" i="1" s="1"/>
  <c r="AF234" i="1"/>
  <c r="AG234" i="1" s="1"/>
  <c r="AF250" i="1"/>
  <c r="AG250" i="1" s="1"/>
  <c r="AG595" i="1"/>
  <c r="AF650" i="1"/>
  <c r="AG650" i="1" s="1"/>
  <c r="AF762" i="1"/>
  <c r="AG762" i="1" s="1"/>
  <c r="AF173" i="1"/>
  <c r="AG173" i="1" s="1"/>
  <c r="AF189" i="1"/>
  <c r="AF197" i="1"/>
  <c r="AG197" i="1" s="1"/>
  <c r="AF309" i="1"/>
  <c r="AG309" i="1" s="1"/>
  <c r="AF317" i="1"/>
  <c r="AG317" i="1" s="1"/>
  <c r="AF325" i="1"/>
  <c r="AF333" i="1"/>
  <c r="AG333" i="1" s="1"/>
  <c r="AF341" i="1"/>
  <c r="AG341" i="1" s="1"/>
  <c r="AF349" i="1"/>
  <c r="AF357" i="1"/>
  <c r="AG357" i="1" s="1"/>
  <c r="AF365" i="1"/>
  <c r="AG365" i="1" s="1"/>
  <c r="AF373" i="1"/>
  <c r="AF381" i="1"/>
  <c r="AG381" i="1" s="1"/>
  <c r="AF389" i="1"/>
  <c r="AG389" i="1" s="1"/>
  <c r="AF397" i="1"/>
  <c r="AG397" i="1" s="1"/>
  <c r="AF405" i="1"/>
  <c r="AG405" i="1" s="1"/>
  <c r="AF413" i="1"/>
  <c r="AF421" i="1"/>
  <c r="AG421" i="1" s="1"/>
  <c r="AG429" i="1"/>
  <c r="AF434" i="1"/>
  <c r="AG434" i="1" s="1"/>
  <c r="AF466" i="1"/>
  <c r="AG466" i="1" s="1"/>
  <c r="AG546" i="1"/>
  <c r="AF546" i="1"/>
  <c r="AG554" i="1"/>
  <c r="AF554" i="1"/>
  <c r="AF586" i="1"/>
  <c r="AG586" i="1" s="1"/>
  <c r="AG614" i="1"/>
  <c r="AG625" i="1"/>
  <c r="AG671" i="1"/>
  <c r="AG687" i="1"/>
  <c r="AF738" i="1"/>
  <c r="AG738" i="1" s="1"/>
  <c r="AG743" i="1"/>
  <c r="AF320" i="1"/>
  <c r="AG320" i="1" s="1"/>
  <c r="AF328" i="1"/>
  <c r="AG328" i="1" s="1"/>
  <c r="AF336" i="1"/>
  <c r="AG336" i="1" s="1"/>
  <c r="AF344" i="1"/>
  <c r="AG344" i="1" s="1"/>
  <c r="AF352" i="1"/>
  <c r="AG352" i="1" s="1"/>
  <c r="AF360" i="1"/>
  <c r="AF368" i="1"/>
  <c r="AG368" i="1" s="1"/>
  <c r="AF376" i="1"/>
  <c r="AG376" i="1" s="1"/>
  <c r="AF384" i="1"/>
  <c r="AF392" i="1"/>
  <c r="AG392" i="1" s="1"/>
  <c r="AF400" i="1"/>
  <c r="AG400" i="1" s="1"/>
  <c r="AF408" i="1"/>
  <c r="AG408" i="1" s="1"/>
  <c r="AF416" i="1"/>
  <c r="AG416" i="1" s="1"/>
  <c r="AF424" i="1"/>
  <c r="AG424" i="1" s="1"/>
  <c r="AG430" i="1"/>
  <c r="AG435" i="1"/>
  <c r="AG559" i="1"/>
  <c r="AG587" i="1"/>
  <c r="AG626" i="1"/>
  <c r="AF626" i="1"/>
  <c r="AG666" i="1"/>
  <c r="AF666" i="1"/>
  <c r="AF682" i="1"/>
  <c r="AG682" i="1" s="1"/>
  <c r="AF698" i="1"/>
  <c r="AG698" i="1" s="1"/>
  <c r="AG714" i="1"/>
  <c r="AF714" i="1"/>
  <c r="AG719" i="1"/>
  <c r="AG431" i="1"/>
  <c r="AF450" i="1"/>
  <c r="AG450" i="1" s="1"/>
  <c r="AG458" i="1"/>
  <c r="AF458" i="1"/>
  <c r="AG463" i="1"/>
  <c r="AF490" i="1"/>
  <c r="AG490" i="1" s="1"/>
  <c r="AG498" i="1"/>
  <c r="AF498" i="1"/>
  <c r="AF538" i="1"/>
  <c r="AG538" i="1" s="1"/>
  <c r="AG551" i="1"/>
  <c r="AG578" i="1"/>
  <c r="AF578" i="1"/>
  <c r="AG667" i="1"/>
  <c r="AG672" i="1"/>
  <c r="AG688" i="1"/>
  <c r="AF754" i="1"/>
  <c r="AG754" i="1" s="1"/>
  <c r="AG759" i="1"/>
  <c r="AF672" i="1"/>
  <c r="AF680" i="1"/>
  <c r="AG680" i="1" s="1"/>
  <c r="AF688" i="1"/>
  <c r="AF696" i="1"/>
  <c r="AF704" i="1"/>
  <c r="AG704" i="1" s="1"/>
  <c r="AF712" i="1"/>
  <c r="AG712" i="1" s="1"/>
  <c r="AF720" i="1"/>
  <c r="AG720" i="1" s="1"/>
  <c r="AF728" i="1"/>
  <c r="AG728" i="1" s="1"/>
  <c r="AF736" i="1"/>
  <c r="AG736" i="1" s="1"/>
  <c r="AF744" i="1"/>
  <c r="AG744" i="1" s="1"/>
  <c r="AF752" i="1"/>
  <c r="AG752" i="1" s="1"/>
  <c r="AF760" i="1"/>
  <c r="AF768" i="1"/>
  <c r="AG768" i="1" s="1"/>
  <c r="AF435" i="1"/>
  <c r="AF443" i="1"/>
  <c r="AG443" i="1" s="1"/>
  <c r="AF451" i="1"/>
  <c r="AG451" i="1" s="1"/>
  <c r="AF459" i="1"/>
  <c r="AG459" i="1" s="1"/>
  <c r="AF467" i="1"/>
  <c r="AG467" i="1" s="1"/>
  <c r="AF475" i="1"/>
  <c r="AG475" i="1" s="1"/>
  <c r="AF483" i="1"/>
  <c r="AG483" i="1" s="1"/>
  <c r="AF491" i="1"/>
  <c r="AG491" i="1" s="1"/>
  <c r="AF499" i="1"/>
  <c r="AG499" i="1" s="1"/>
  <c r="AF507" i="1"/>
  <c r="AG507" i="1" s="1"/>
  <c r="AF515" i="1"/>
  <c r="AF523" i="1"/>
  <c r="AF531" i="1"/>
  <c r="AG531" i="1" s="1"/>
  <c r="AF539" i="1"/>
  <c r="AG539" i="1" s="1"/>
  <c r="AF547" i="1"/>
  <c r="AG547" i="1" s="1"/>
  <c r="AF555" i="1"/>
  <c r="AG555" i="1" s="1"/>
  <c r="AF563" i="1"/>
  <c r="AG563" i="1" s="1"/>
  <c r="AF571" i="1"/>
  <c r="AG571" i="1" s="1"/>
  <c r="AF579" i="1"/>
  <c r="AG579" i="1" s="1"/>
  <c r="AF587" i="1"/>
  <c r="AF595" i="1"/>
  <c r="AF603" i="1"/>
  <c r="AG603" i="1" s="1"/>
  <c r="AF611" i="1"/>
  <c r="AG611" i="1" s="1"/>
  <c r="AF619" i="1"/>
  <c r="AG619" i="1" s="1"/>
  <c r="AF627" i="1"/>
  <c r="AG627" i="1" s="1"/>
  <c r="AF635" i="1"/>
  <c r="AG635" i="1" s="1"/>
  <c r="AF643" i="1"/>
  <c r="AG643" i="1" s="1"/>
  <c r="AF651" i="1"/>
  <c r="AG651" i="1" s="1"/>
  <c r="AF659" i="1"/>
  <c r="AG659" i="1" s="1"/>
  <c r="AF667" i="1"/>
  <c r="AF675" i="1"/>
  <c r="AG675" i="1" s="1"/>
  <c r="AF683" i="1"/>
  <c r="AG683" i="1" s="1"/>
  <c r="AF691" i="1"/>
  <c r="AG691" i="1" s="1"/>
  <c r="AF699" i="1"/>
  <c r="AG699" i="1" s="1"/>
  <c r="AF707" i="1"/>
  <c r="AG707" i="1" s="1"/>
  <c r="AF430" i="1"/>
  <c r="AF438" i="1"/>
  <c r="AG438" i="1" s="1"/>
  <c r="AF590" i="1"/>
  <c r="AG590" i="1" s="1"/>
  <c r="AF598" i="1"/>
  <c r="AG598" i="1" s="1"/>
  <c r="AF614" i="1"/>
  <c r="AF622" i="1"/>
  <c r="AF638" i="1"/>
  <c r="AG638" i="1" s="1"/>
  <c r="AF646" i="1"/>
  <c r="AG646" i="1" s="1"/>
  <c r="AF742" i="1"/>
  <c r="AG742" i="1" s="1"/>
  <c r="AF750" i="1"/>
  <c r="AF758" i="1"/>
  <c r="AG758" i="1" s="1"/>
  <c r="AF766" i="1"/>
  <c r="AG766" i="1" s="1"/>
  <c r="AF537" i="1"/>
  <c r="AG537" i="1" s="1"/>
  <c r="AF545" i="1"/>
  <c r="AG545" i="1" s="1"/>
  <c r="AF561" i="1"/>
  <c r="AG561" i="1" s="1"/>
  <c r="AF569" i="1"/>
  <c r="AG569" i="1" s="1"/>
  <c r="AF577" i="1"/>
  <c r="AG577" i="1" s="1"/>
  <c r="AF601" i="1"/>
  <c r="AG601" i="1" s="1"/>
  <c r="AF609" i="1"/>
  <c r="AG609" i="1" s="1"/>
  <c r="AF617" i="1"/>
  <c r="AG617" i="1" s="1"/>
  <c r="AF625" i="1"/>
  <c r="AF633" i="1"/>
  <c r="AG633" i="1" s="1"/>
  <c r="AF641" i="1"/>
  <c r="AG641" i="1" s="1"/>
  <c r="AF769" i="1"/>
  <c r="AG769" i="1" s="1"/>
</calcChain>
</file>

<file path=xl/sharedStrings.xml><?xml version="1.0" encoding="utf-8"?>
<sst xmlns="http://schemas.openxmlformats.org/spreadsheetml/2006/main" count="15312" uniqueCount="2350">
  <si>
    <t>Global Shipper ID</t>
  </si>
  <si>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</si>
  <si>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</si>
  <si>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</si>
  <si>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</si>
  <si>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</si>
  <si>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</si>
  <si>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</si>
  <si>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</si>
  <si>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</si>
  <si>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</si>
  <si>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</si>
  <si>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</si>
  <si>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</si>
  <si>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</si>
  <si>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</si>
  <si>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</si>
  <si>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</si>
  <si>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</si>
  <si>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</si>
  <si>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</si>
  <si>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</si>
  <si>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</si>
  <si>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</si>
  <si>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</si>
  <si>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</si>
  <si>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</si>
  <si>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</si>
  <si>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</si>
  <si>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</si>
  <si>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</si>
  <si>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</si>
  <si>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</si>
  <si>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</si>
  <si>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</si>
  <si>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</si>
  <si>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NVMY34535000009981</t>
  </si>
  <si>
    <t/>
  </si>
  <si>
    <t>Completed</t>
  </si>
  <si>
    <t>NOREHAN MOHD RAFI</t>
  </si>
  <si>
    <t>DELIVERY_THREE_DAYS_ANYTIME</t>
  </si>
  <si>
    <t>Parcel</t>
  </si>
  <si>
    <t>STANDARD</t>
  </si>
  <si>
    <t>SMALL</t>
  </si>
  <si>
    <t>Kota Bharu</t>
  </si>
  <si>
    <t>WMSIA</t>
  </si>
  <si>
    <t>PT 1128, Perumahan PKINK Pengkalan Chepa, Kota Bharu</t>
  </si>
  <si>
    <t>Terengganu</t>
  </si>
  <si>
    <t>A70 KG BARU SUNGAI BINJAI 21820 AJIL, TERENGGANU  Ajil Terengganu - my 21820</t>
  </si>
  <si>
    <t>TGG-TGG</t>
  </si>
  <si>
    <t>AHMAD RETAIL</t>
  </si>
  <si>
    <t>WM</t>
  </si>
  <si>
    <t>NVMY34535000009980</t>
  </si>
  <si>
    <t>SARILA MAHTI</t>
  </si>
  <si>
    <t>Selangor</t>
  </si>
  <si>
    <t>NO 19 JALAN KEPUK 19/2B SEKSYEN 19, 40300 SHAH ALAM SELANGOR  Shah Alam Selangor - my 40300</t>
  </si>
  <si>
    <t>D1-SHA-26-95</t>
  </si>
  <si>
    <t>NVMY34535000009977</t>
  </si>
  <si>
    <t>Yaty Ismail</t>
  </si>
  <si>
    <t>23, JALAN LEP 5/7, TAMAN LESTARI PUTRA (SEKSYEN 5) 43300 SERI KEMBANGAN, SELANGOR  Seri Kembangan Selangor - my 43300</t>
  </si>
  <si>
    <t>D3-SRD-10-126</t>
  </si>
  <si>
    <t>NVMY34535000009974</t>
  </si>
  <si>
    <t>RAHIMAH</t>
  </si>
  <si>
    <t>NO 1 M JALAN LIMA TAMAN SERI 43300 BATANG KALI, SELANGOR  Batang Kali Selangor - my 44300</t>
  </si>
  <si>
    <t>D3-KKB-12-124</t>
  </si>
  <si>
    <t>NVMY34535000009961</t>
  </si>
  <si>
    <t>ATTN PN AMIRAH/MARIZA</t>
  </si>
  <si>
    <t>Kuala Lumpur</t>
  </si>
  <si>
    <t>MAHMOOD SECURITY (M) SDN BHD NO 12 TINGKAT 3 JALAN DANG WANGI 50100 KUALA LUMPUR  Kuala Lumpur Kuala Lumpur - my 50100</t>
  </si>
  <si>
    <t>D2-CKT-18-112</t>
  </si>
  <si>
    <t>NVMY34535000009968</t>
  </si>
  <si>
    <t>IEZAZIN</t>
  </si>
  <si>
    <t>NO 49 JALAN ENGGANG TAMAN KERAMAT  54200 KUALA LUMPUR  Kuala Lumpur Kuala Lumpur - my 54200</t>
  </si>
  <si>
    <t>D5-MLT-4-141</t>
  </si>
  <si>
    <t>NVMY34535000009971</t>
  </si>
  <si>
    <t>NVMY34535000009905</t>
  </si>
  <si>
    <t>NURUL HIDAYAH ISMAIL</t>
  </si>
  <si>
    <t>Melaka</t>
  </si>
  <si>
    <t>DLAMAN SELERA,109-1 JALAN KLEBANG KECHIL KLEBANG KECHIL 75200 MELAKA  Melaka Melaka - my 75200</t>
  </si>
  <si>
    <t>MM-MM</t>
  </si>
  <si>
    <t>NVMY34535000009943</t>
  </si>
  <si>
    <t>NORHAYATI BINTI AMIR</t>
  </si>
  <si>
    <t>Johor</t>
  </si>
  <si>
    <t>NO 111 , JALAN SERAMPANG TAMAN SRI TEBRAU 80050 JOHOR BAHRU JOHOR   Johor Bahru Johor - my 80050</t>
  </si>
  <si>
    <t>NVMY34535000009993</t>
  </si>
  <si>
    <t>HARIKA AISHAH STYLE</t>
  </si>
  <si>
    <t>Negeri Sembilan</t>
  </si>
  <si>
    <t>LOT 12898 JALAN SALAK KAMPUNG JIJAN 71800 NILAI NEGERI SEMBILAN  Labu Negeri Sembilan - my 71800</t>
  </si>
  <si>
    <t>C4-NIL-28-93</t>
  </si>
  <si>
    <t>NVMY34535000009975</t>
  </si>
  <si>
    <t>AQEEF SYAHMI BIN SHUKRI</t>
  </si>
  <si>
    <t>INSTITUT PENDIDIKAN GURU KAMPUS RAJA MELEWAR JALAN SIKAMAT 70400 SEREMBAN NEGERI SEMBILAN  Seremban Negeri Sembilan - my 70400</t>
  </si>
  <si>
    <t>C4-SBN-28-91</t>
  </si>
  <si>
    <t>NVMY34535000009959</t>
  </si>
  <si>
    <t>AINAA MAATHIRAH</t>
  </si>
  <si>
    <t>NO 1, DESA ALI-IMRAN, JLN ULU RANTAU, KG RANTAU PANJANG,  78300 MASJID TANAH, MELAKA  Masjid Tanah Melaka - my 78300</t>
  </si>
  <si>
    <t>C3-AGH-3-83</t>
  </si>
  <si>
    <t>NVMY34535000009962</t>
  </si>
  <si>
    <t>ROGAYAH ISMAIL</t>
  </si>
  <si>
    <t>Kelantan</t>
  </si>
  <si>
    <t>NO 208 FELDA CHIKU 01 , 18300 GUA MUSANG KELANTAN   Gua Musang Kelantan - my 18300</t>
  </si>
  <si>
    <t>NVMY34535000009978</t>
  </si>
  <si>
    <t>EFAN WAJDI</t>
  </si>
  <si>
    <t>Perlis</t>
  </si>
  <si>
    <t>LOT 857 KM 1.6 KAMPUNG KUBANG PAYA 02600 ARAU PERLIS   Arau Perlis - my 02600</t>
  </si>
  <si>
    <t>A3-KGR-21-23</t>
  </si>
  <si>
    <t>NVMY34535000010013</t>
  </si>
  <si>
    <t>SheFaa</t>
  </si>
  <si>
    <t>No. 9 Jalan Impian Murni 2/2, Taman Impian Murni 43000 Kajang, Selangor  Kajang Selangor - my 43000</t>
  </si>
  <si>
    <t>D4-BMC-6-135</t>
  </si>
  <si>
    <t>NVMY34535000009945</t>
  </si>
  <si>
    <t>DORIS BINTI LIBUN</t>
  </si>
  <si>
    <t>Sabah</t>
  </si>
  <si>
    <t>B 6 BLOK B TAMAN NAGAPAS 89600 PAPAR SABAH   Papar Sabah - my 89600</t>
  </si>
  <si>
    <t>EMSIA</t>
  </si>
  <si>
    <t>SBH-SBH</t>
  </si>
  <si>
    <t>EM</t>
  </si>
  <si>
    <t>NVMY34535000010014</t>
  </si>
  <si>
    <t>NURUL SYAFIQAH BINTI MAT RASID</t>
  </si>
  <si>
    <t>876 C KAMPUNG TITIAN BARU 21070 KUALA TERENGGANU   Kuala Terengganu Terengganu - my 21070</t>
  </si>
  <si>
    <t>NVMY34535000009952</t>
  </si>
  <si>
    <t>MARCELL EDWARD (JIJIE)</t>
  </si>
  <si>
    <t>SK ST PAUL KOLOPIS PETI SURAT 414, 89500 PENAMPANG, SABAH  Kota Kinabalu Sabah - my 89500</t>
  </si>
  <si>
    <t>NVMY34535000009957</t>
  </si>
  <si>
    <t>SHAZWAN BIN JAMALUDIN</t>
  </si>
  <si>
    <t>E-18-18 SIMFONI HEIGHT, JALAN MEDAN BATU CAVES, 68100 BATU CAVES, SELANGOR  Batu Caves Selangor - my 68100</t>
  </si>
  <si>
    <t>D1-CAV-24-99</t>
  </si>
  <si>
    <t>NVMY34535000009992</t>
  </si>
  <si>
    <t>Returned to Sender</t>
  </si>
  <si>
    <t>FATIMAH BINTI SAKAWI (BIS DEPT)</t>
  </si>
  <si>
    <t>Sarawak</t>
  </si>
  <si>
    <t xml:space="preserve">MURATA MANUFACTURING SARAWAK SDN BHD PERSIARAN ELEKTRONIK 1, SAMA JAYA FREE INDUSTRIAL ZONE 93450 KUCHING SARAWAK </t>
  </si>
  <si>
    <t>NVMY34535000009951</t>
  </si>
  <si>
    <t>NURUL MUAZZAH BINTI ROALLI</t>
  </si>
  <si>
    <t>Kedah</t>
  </si>
  <si>
    <t>NO 48, JALAN CITRA 6, TAMAN CITRA 05350 ALOR SETAR, KEDAH  Alor Setar Kedah - my 05350</t>
  </si>
  <si>
    <t>A3-AOR-21-25</t>
  </si>
  <si>
    <t>NVMY34535000010010</t>
  </si>
  <si>
    <t>PN SALMI</t>
  </si>
  <si>
    <t>MY-SUTERA SDN BHD, LOT NO 9&amp;11, JALAN TUKANG 16/4 KAWASAN PERINDUSTRIAN SEKSYEN 16, 40702 SHAH ALAM, SELANGOR  Shah Alam Selangor - my 40000</t>
  </si>
  <si>
    <t>D1-KLG-22-105</t>
  </si>
  <si>
    <t>NVMY34535000009985</t>
  </si>
  <si>
    <t>AIN SHAFIQAH</t>
  </si>
  <si>
    <t>LOT 2644-A JALAN KUALA SELANGOR BATU 1 SG PLONG 47000 SUNGAI BULOH, SELANGOR  Kuala Lumpur Kuala Lumpur - my 47000</t>
  </si>
  <si>
    <t>D3-SGB-14-121</t>
  </si>
  <si>
    <t>NVMY34535000009994</t>
  </si>
  <si>
    <t>WAN ZAFIRAH SYAZANA BINTI WAN HAMID</t>
  </si>
  <si>
    <t>NO 634 KAMPUNG SEBERANG WATT SIAM 09100 BALING, KEDAH  Baling Kedah - my 09100</t>
  </si>
  <si>
    <t>A3-BAL-21-27</t>
  </si>
  <si>
    <t>NVMY34535000009995</t>
  </si>
  <si>
    <t>MARZITA MD ISA</t>
  </si>
  <si>
    <t>NO 4, 18 LORONG 8/2 TAMAN SISWA 2 JITRA 06000 KEDAH  Jitra Kedah - my 06000</t>
  </si>
  <si>
    <t>A3-JIT-21-24</t>
  </si>
  <si>
    <t>NVMY34535000010006</t>
  </si>
  <si>
    <t>MOHD HAFIZ BIN ZULKEPALI</t>
  </si>
  <si>
    <t>BATALION KEDUA PULUH SATU REJIMEN ASKAR MELAYU DIRAJA, KEM PENGKALAN CHEPA 16100 KOTA BHARU KELANTAN  Kota Bharu Kelantan - my 16100</t>
  </si>
  <si>
    <t>KEL-KEL</t>
  </si>
  <si>
    <t>NVMY34535000009967</t>
  </si>
  <si>
    <t>SHIDA MAT</t>
  </si>
  <si>
    <t>BLOK A 17-03 KUARTERS INTEGRASI HOSPITAL SUNGAI BULOH 47000 SUNGAI BULOH SELANGOR  Kuala Lumpur Kuala Lumpur - my 47000</t>
  </si>
  <si>
    <t>NVMY34535000009966</t>
  </si>
  <si>
    <t>NVMY34535000009950</t>
  </si>
  <si>
    <t>MOHAMMAD FAEZ</t>
  </si>
  <si>
    <t>A-2-26 BLOK A, DAHLIA IMPIANA JALAN DAHLIA 6/3, TAMAN DAHLIA BANDAR BARU SALAK TINGGI 43900 SEPANG, SELANGOR  Sepang Selangor - my 43900</t>
  </si>
  <si>
    <t>NVMY34535000009942</t>
  </si>
  <si>
    <t>Izzz cantik</t>
  </si>
  <si>
    <t>Lot 19 Kg Balik Angin 09300 Kuala Ketil Kedah  Kuala Ketil Kedah - my 09300</t>
  </si>
  <si>
    <t>NVMY34535000009948</t>
  </si>
  <si>
    <t>SITI FATIMAH ALI</t>
  </si>
  <si>
    <t>NO 272 LORONG 8 TAMAN MESRA 09200 KUPANG KEDAH   Kupang Kedah - my 09200</t>
  </si>
  <si>
    <t>NVMY34535000009969</t>
  </si>
  <si>
    <t>HAFIZAH BB PANTAI REMIS</t>
  </si>
  <si>
    <t>Perak</t>
  </si>
  <si>
    <t>D 2 JALAN SG BATU PANTAI REMIX 34900 PANTAI REMIS, PERAK  Pantai Remis Perak - my 34900</t>
  </si>
  <si>
    <t>B3-ATW-11-55</t>
  </si>
  <si>
    <t>NVMY34535000009970</t>
  </si>
  <si>
    <t>D 2 JALAN SG BATU PANTAI REMIS 34900 PANTAI REMIS PERAK   Perak my 34900</t>
  </si>
  <si>
    <t>NVMY34535000010003</t>
  </si>
  <si>
    <t>Zuraida ASMANITA CHE Mat</t>
  </si>
  <si>
    <t>No 688c lorong Sri Astana, 11/4 Bandar Astana 08000 Sungai Petani Kedah  Sungai Petani Kedah - my 08000</t>
  </si>
  <si>
    <t>A3-SPT-23-18</t>
  </si>
  <si>
    <t>NVMY34535000009976</t>
  </si>
  <si>
    <t>SARAH ALYAA</t>
  </si>
  <si>
    <t>NO 254 JALAN ANGGERIK 2/7 BANDAR TENGGARA 81000 BANDAR TENGGARA JOHOR  Kulai Johor - my 81000</t>
  </si>
  <si>
    <t>C1-KLI-7-69</t>
  </si>
  <si>
    <t>NVMY34535000010004</t>
  </si>
  <si>
    <t>NVMY34535000010002</t>
  </si>
  <si>
    <t>NVMY34535000010005</t>
  </si>
  <si>
    <t>NVMY34535000010019</t>
  </si>
  <si>
    <t>JAMILAH BINTI SULAIMAN</t>
  </si>
  <si>
    <t>Pahang</t>
  </si>
  <si>
    <t>SEKOLAH RENDAH JENIS KEBANGSAAN CINA KAMPUNG SUNGAI RUAN, SUNGAI RUAN 27600 RAUB PAHANG  Raub Pahang - my 27600</t>
  </si>
  <si>
    <t>KBR1-KBR1</t>
  </si>
  <si>
    <t>NVMY34535000010007</t>
  </si>
  <si>
    <t>Zuraida ASMANITA CHE Ma</t>
  </si>
  <si>
    <t>NVMY34535000010011</t>
  </si>
  <si>
    <t>ZULAIQHA</t>
  </si>
  <si>
    <t>PP 64 KAMPUNG PULAU PENARIK SUNGAI MATI 84400 TANGKAK, JOHOR  Sungai Mati Johor - my 84400</t>
  </si>
  <si>
    <t>C2-GMR-5-78</t>
  </si>
  <si>
    <t>NVMY34535000010031</t>
  </si>
  <si>
    <t>Aina Aufa</t>
  </si>
  <si>
    <t>Kg Banggol lepah 16450  Ketereh Kelantan  Ketereh Kelantan - my 16450</t>
  </si>
  <si>
    <t>A1-KET-29-2</t>
  </si>
  <si>
    <t>NVMY34535000009982</t>
  </si>
  <si>
    <t>ELIZABETH</t>
  </si>
  <si>
    <t>LEVEL 3, LOT28, B2 AT SURVEY LOT 19545, KUCHING, SARAWAK  Kuching Sarawak - my 93350</t>
  </si>
  <si>
    <t>SWK-SWK</t>
  </si>
  <si>
    <t>NVMY34535000009865</t>
  </si>
  <si>
    <t>KAK NENG</t>
  </si>
  <si>
    <t>SHAH ALAM , SELANGOR , MALAYSIA , 507 TKT 5 BLOK , 50 JALAN 7/99 FASA 3C SEK 7 , 40000 SHAH ALAM SELANGOR , MALAYISA   Selangor Shah Alam Selangor - my 40000</t>
  </si>
  <si>
    <t>RECOVERY - KV</t>
  </si>
  <si>
    <t>NVMY34535000010021</t>
  </si>
  <si>
    <t>NABILA  YUSOF</t>
  </si>
  <si>
    <t>NO 139 , LORONG LAUTAN SAMUDERA 9/3 LAVENDAR VILLE , 42300 BDR PUNCAK ALAM   Bandar Puncak Alam Selangor - my 42300</t>
  </si>
  <si>
    <t>D3-PCK-14-118</t>
  </si>
  <si>
    <t>NVMY34535000009989</t>
  </si>
  <si>
    <t>Ayu</t>
  </si>
  <si>
    <t>24 jln marlin height 1, taman marlin height 70300 Mambau Negeri Sembilan  Seremban Negeri Sembilan - my 70300</t>
  </si>
  <si>
    <t>NVMY34535000009998</t>
  </si>
  <si>
    <t>NUR AIN</t>
  </si>
  <si>
    <t>NO 1684 JALAN WARISAN PUTERI A57 PRECINT 6, 70400 SEREMBAN NEGERI SEMBILAN  Seremban Negeri Sembilan - my 70400</t>
  </si>
  <si>
    <t>NVMY34535000010018</t>
  </si>
  <si>
    <t>MUNIRAH BINTI IBRAHIM</t>
  </si>
  <si>
    <t>NO 23 JLN PULAI IDAMAN 8 TAMAN PULAI IDAMAN 28000 TEMERLOH PAHANG  Temerloh Pahang - my 28000</t>
  </si>
  <si>
    <t>B1-TMH-19-32</t>
  </si>
  <si>
    <t>NVMY34535000010039</t>
  </si>
  <si>
    <t>DAYANG AIMI SHAHIRA</t>
  </si>
  <si>
    <t>PUBLIC BANK AMPANG BRANCH NO 22 &amp; 24 JALAN WAWASAN AMPANG 2/12, BANDAR BARU AMPANG 68000 AMPANG, SELANGOR  Ampang Selangor - my 68000</t>
  </si>
  <si>
    <t>D1-AMP-26-96</t>
  </si>
  <si>
    <t>NVMY34535000010000</t>
  </si>
  <si>
    <t>NURUL SHARIZA BINTI AHMAD</t>
  </si>
  <si>
    <t>NO 84, JALAN BAKTI YNS 3/4, TAMAN BAKTI YNS, 71900 LABU, NEGERI SEMBILAN  Labu Negeri Sembilan - my 71900</t>
  </si>
  <si>
    <t>NVMY34535000010001</t>
  </si>
  <si>
    <t>NVMY34535000009979</t>
  </si>
  <si>
    <t>JOYCELANE CHUNG YEN SHAN</t>
  </si>
  <si>
    <t>KG MUHIBBAH LORONG 10, NO 44 RANAU 89300 SABAH  Tamparuli Sabah - my 89300</t>
  </si>
  <si>
    <t>NVMY34535000010009</t>
  </si>
  <si>
    <t>MOHD BAZLIE IKHRAM BIN AZMI</t>
  </si>
  <si>
    <t>Labuan</t>
  </si>
  <si>
    <t xml:space="preserve">JABATAN LAUT MALAYSIA W.P.LABUAN JALAN MERDEKA 87020 W.P LABUAN  </t>
  </si>
  <si>
    <t>NVMY34535000010035</t>
  </si>
  <si>
    <t>WAN NOOR SALWANI WAN HUSIN</t>
  </si>
  <si>
    <t xml:space="preserve"> PERODUA FARESH MOTOR  NO 36, JALAN SIBU 16 TAMAN WAHYU JALAN IPOH 68100 BATU CAVES SELANGOR  Batu Caves Selangor - my 68100</t>
  </si>
  <si>
    <t>D5-SLG-2-142</t>
  </si>
  <si>
    <t>NVMY34535000010015</t>
  </si>
  <si>
    <t>Nurun Nadiya</t>
  </si>
  <si>
    <t>No 45, Jalan Putera 7/1 ,  Seksyen 1, Bandar Mahkota Cheras  43200 Selangor  Kuala Lumpur Kuala Lumpur - my 43200</t>
  </si>
  <si>
    <t>NVMY34535000010036</t>
  </si>
  <si>
    <t>POKOKS</t>
  </si>
  <si>
    <t>54-1, JALAN SETIA UTAMA AS U13/AS , SETIA ALAM SEKSYEN U13, SHAH ALAM 40170 SELANGOR  Shah Alam Selangor - my 40170</t>
  </si>
  <si>
    <t>D4-ALM-6-136</t>
  </si>
  <si>
    <t>NVMY34535000009999</t>
  </si>
  <si>
    <t>Nora Mohd Nordin</t>
  </si>
  <si>
    <t>No 94, Jalan Jaya Putra 8/17, Taman Jaya Putra Perdana, 81100 Johor Bahru, Johor Darul Takzim  Johor Bahru Johor - my 81100</t>
  </si>
  <si>
    <t>NVMY34535000010042</t>
  </si>
  <si>
    <t>FARIDAH MUHD NOOR</t>
  </si>
  <si>
    <t>LOT 2125 JALAN KLINIK 17500 TANAH MERAH, KELANTAN  Tanah Merah Kelantan - my 17500</t>
  </si>
  <si>
    <t>NVMY34535000010012</t>
  </si>
  <si>
    <t>Norizan</t>
  </si>
  <si>
    <t>No 35 Taman Talang 33000  Kuala Kangsar  Perak  Kuala Kangsar Perak - my 33000</t>
  </si>
  <si>
    <t>B3-SAR-11-57</t>
  </si>
  <si>
    <t>NVMY34535000010040</t>
  </si>
  <si>
    <t>NVMY34535000010037</t>
  </si>
  <si>
    <t>WAN ALI BIN WAN MAT</t>
  </si>
  <si>
    <t>3195 / 18-B , LORONG KERDAS 2 , BT 51/2 JALAN GOMBAK 53100 KUALA LUMPUR   Hulu Langat Kuala Lumpur - my 53100</t>
  </si>
  <si>
    <t>NVMY34535000010026</t>
  </si>
  <si>
    <t>NABILA AFIQAH.</t>
  </si>
  <si>
    <t>LOT 132A JALAN SUNGAI BUAYA, KAMPUNG SUNGAI BUAYA, 42700 BANTING, SELANGOR  Telok Panglima Garang Selangor - my 42700</t>
  </si>
  <si>
    <t>D4-BAN-6-137</t>
  </si>
  <si>
    <t>NVMY34535000009997</t>
  </si>
  <si>
    <t>NIK NOR KHAZIMAH BT MOHAMAD YUSOFF</t>
  </si>
  <si>
    <t>NO 41 JALAN SEMERBAK 4, TAMAN BUKIT DAHLIA 81700 PASIR GUDANG, JOHOR  Pasir Gudang Johor - my 81700</t>
  </si>
  <si>
    <t>NVMY34535000010023</t>
  </si>
  <si>
    <t>SYAFIKA</t>
  </si>
  <si>
    <t>A-16-9 BLOK A , PUTRA MAJESTIK JALAN KASIPILLAY , JALAN IPOH , 51200 KUALA LUMPUR   Kuala Lumpur Kuala Lumpur - my 51200</t>
  </si>
  <si>
    <t>D2-SEG-20-107</t>
  </si>
  <si>
    <t>NVMY34535000010008</t>
  </si>
  <si>
    <t>NUR AZWANI BINTI IBRAHIM</t>
  </si>
  <si>
    <t>Pulau Pinang</t>
  </si>
  <si>
    <t>NO 44 LORONG 6, TMN PENAGA 13100 PENAGA, PULAU PINANG  Penaga Pulau Pinang - my 13100</t>
  </si>
  <si>
    <t>B2-BTS-15-42</t>
  </si>
  <si>
    <t>NVMY34535000010027</t>
  </si>
  <si>
    <t>hajar</t>
  </si>
  <si>
    <t>UMOBILE VCOM MAXI SERVICES  BG 08, econsave cash &amp; carry (bangi,reko sentral,jalan reko,43000 kajang,selangor D,E  Kajang Selangor - my 43000</t>
  </si>
  <si>
    <t>D2-KAJ-16-117</t>
  </si>
  <si>
    <t>NVMY34535000010051</t>
  </si>
  <si>
    <t>NOR SALEHA KAMARUDDIN</t>
  </si>
  <si>
    <t>Machang</t>
  </si>
  <si>
    <t>NO 49 JLN 23/154 TAMAN BUKIT ANGGERIK, 56000 CHERAS KUALA LUMPUR  Kuala Lumpur Kuala Lumpur - my 56000</t>
  </si>
  <si>
    <t>NVMY34535000010038</t>
  </si>
  <si>
    <t>BTK INTEGRATED TRANSPORT SDN BHD (ATTN: MISS SIEW)</t>
  </si>
  <si>
    <t>LOT999/1454 JALAN KUALA KANGSAR 34700 SIMPANG TAIPING PERAK  Simpang Perak - my 34700</t>
  </si>
  <si>
    <t>NVMY34535000010034</t>
  </si>
  <si>
    <t>TENGKU MALAYSIAH BINTI TENGKU MANSOR</t>
  </si>
  <si>
    <t>NO 14C, JALAN DATO SYED OSMAN IDID KUALA MUDA SUNGAI PETANI 08000 KEDAH  Sungai Petani Kedah - my 08000</t>
  </si>
  <si>
    <t>NVMY34535000010044</t>
  </si>
  <si>
    <t>FATIMAH CHE DRAMAT</t>
  </si>
  <si>
    <t>LOT 2470 KAMPUNG KELAR JALAN TANAH MERAH 17040 PASIR MAS KELANTAN   Pasir Mas Kelantan - my 17040</t>
  </si>
  <si>
    <t>NVMY34535000010020</t>
  </si>
  <si>
    <t>MOHAMAD ERSHAM RAMLI ( AZIM )</t>
  </si>
  <si>
    <t>D1 , JALAN MASJID , KAMPUNG PLENTONG BARU , 81750M MASAI , JOHOR DT   Masai Johor - my 81750</t>
  </si>
  <si>
    <t>C1-PSG-9-68</t>
  </si>
  <si>
    <t>NVMY34535000010024</t>
  </si>
  <si>
    <t>PUAN HARTINI ALI</t>
  </si>
  <si>
    <t>NO 10 LORONG PERDA TIMUR 20 , BANDAR PERDA , SEBERANG PERAI TENGAH , 14000 PENANG   Bukit Mertajam Pulau Pinang - my 14000</t>
  </si>
  <si>
    <t>B2-BWH-15-41</t>
  </si>
  <si>
    <t>NVMY34535000010022</t>
  </si>
  <si>
    <t>SHUHAIDA</t>
  </si>
  <si>
    <t>NO 19 , JALAN TEMBAGA KUNING 13 ,TAMAN SRI SKUDAI 81300 SKUDAI JOHOR   Johor Bahru Johor - my 81300</t>
  </si>
  <si>
    <t>C1-NSJ-9-65</t>
  </si>
  <si>
    <t>NVMY34535000010046</t>
  </si>
  <si>
    <t>HAZIELA HAMZAH</t>
  </si>
  <si>
    <t>NO 153, JALAN GATE KUARTERS JBA/HL 43000 KAJANG SELANGOR  Kajang Selangor - my 43000</t>
  </si>
  <si>
    <t>NVMY34535000010029</t>
  </si>
  <si>
    <t>Laili ghazali</t>
  </si>
  <si>
    <t>Blok a.4.11 flat sri perantau 42000 pelabuhan klang  Pelabuhan Klang Selangor - my 42000</t>
  </si>
  <si>
    <t>D5-PKL-2-146</t>
  </si>
  <si>
    <t>NVMY34535000010033</t>
  </si>
  <si>
    <t>NVMY34535000009960</t>
  </si>
  <si>
    <t>NIK RASDI CHE MAHMOOD</t>
  </si>
  <si>
    <t>NO 68 JALAN DANAU 22 , TAMAN DESA JAYA 81100 JOHOR BAHRU JOHOR   Johor Bahru Johor - my 81100</t>
  </si>
  <si>
    <t>C2-BPT-5-80</t>
  </si>
  <si>
    <t>NVMY34535000010030</t>
  </si>
  <si>
    <t>Noor Azlina Binti Ibrahim</t>
  </si>
  <si>
    <t>No.2-722, Blok 2  Jalan Matahari U5/117 Seksyen U5 40150 Shah Alam Selangor  Shah Alam Selangor - my 40150</t>
  </si>
  <si>
    <t>D1-SZB-26-94</t>
  </si>
  <si>
    <t>NVMY34535000010032</t>
  </si>
  <si>
    <t>C1-AUS-9-67</t>
  </si>
  <si>
    <t>NVMY34535000010052</t>
  </si>
  <si>
    <t>AZIM</t>
  </si>
  <si>
    <t>PANDAN MEWAH HEIGHTS CONDOMINIUM, B3-3-5 PANDAN MEWAH HEIGHTS JALAN PANDAN MEWAH 1, 68000 AMPANG, SELANGOR  Ampang Selangor - my 68000</t>
  </si>
  <si>
    <t>D3-TMJ-10-129</t>
  </si>
  <si>
    <t>NVMY34535000010028</t>
  </si>
  <si>
    <t>Azwanizam Bt Johari</t>
  </si>
  <si>
    <t xml:space="preserve"> No 53. Jalan RI 4. Taman Rambai Idaman ..Bukit Rambai 75250 Melaka  Melaka Melaka - my 75250</t>
  </si>
  <si>
    <t>C3-MYK-3-82</t>
  </si>
  <si>
    <t>NVMY34535000010017</t>
  </si>
  <si>
    <t>STEVEN LIM</t>
  </si>
  <si>
    <t>239 , KAMPUNG CHINA , 34900 PANTAI REMIS PERAK   Pantai Remis Perak - my 34900</t>
  </si>
  <si>
    <t>NVMY34535000010053</t>
  </si>
  <si>
    <t>Norizah</t>
  </si>
  <si>
    <t xml:space="preserve"> 84A Simpang Empat, Mukim G, Barat Daya, 11000, Pulau Pinang  Balik Pulau Pulau Pinang - my 11000</t>
  </si>
  <si>
    <t>B2-BAY-15-45</t>
  </si>
  <si>
    <t>NVMY34535000010067</t>
  </si>
  <si>
    <t>DYNIE BATRISYIA</t>
  </si>
  <si>
    <t>Putrajaya</t>
  </si>
  <si>
    <t>EXPRES STESEN NO 27 ARAS 2, ANJUNG DENGKIL PUSAT ASASI UNIVERSITI TEKNOLOGI MARA CAWANGAN SELANGOR KAMPUS DENGKIL SEPANG 43800 SELANGOR  Telok Panglima Garang Selangor - my 43800</t>
  </si>
  <si>
    <t>D4-STG-8-130</t>
  </si>
  <si>
    <t>NVMY34535000010058</t>
  </si>
  <si>
    <t>MAZLINA MAT ALI</t>
  </si>
  <si>
    <t>JKR 899 KUATERS POLIS , BALAI POLIS CHENOR , 28100 CHENOR , MARAN , PAHANG   Chenor Pahang - my 28100</t>
  </si>
  <si>
    <t>B1-JKA-17-34</t>
  </si>
  <si>
    <t>NVMY34535000010049</t>
  </si>
  <si>
    <t>MARIANIZA ABU BAKAR</t>
  </si>
  <si>
    <t>NO 9 TAMAN SRI MANIS 2, 01000 KANGAR PERLIS  Kangar Perlis - my 01000</t>
  </si>
  <si>
    <t>NVMY34535000010095</t>
  </si>
  <si>
    <t>Tengku Norazlina Bt Tengku Mohd</t>
  </si>
  <si>
    <t>1008, KG.FIKRI 22110 SETIU TERENGGANU  Permaisuri Terengganu - my 22100</t>
  </si>
  <si>
    <t>A2-STU-25-15</t>
  </si>
  <si>
    <t>NVMY34535000010062</t>
  </si>
  <si>
    <t>Nur Aznida Izzaty binti zawawi</t>
  </si>
  <si>
    <t>No 3, Jalan Permai, Taman Permai Indah,27200 Kuala Lipis,Pahang  Kuala Lipis Pahang - my 27200</t>
  </si>
  <si>
    <t>PHG-PHG</t>
  </si>
  <si>
    <t>NVMY34535000010063</t>
  </si>
  <si>
    <t>SYAZA NAJLAA</t>
  </si>
  <si>
    <t>LOT 410, KG TELUK IRA 28000, TEMERLOH PAHANG  Temerloh Pahang - my 28000</t>
  </si>
  <si>
    <t>NVMY34535000010066</t>
  </si>
  <si>
    <t>NUR AQILAH KAMARINA</t>
  </si>
  <si>
    <t>NO 10 JALAN PUALAM 7/32 SEKSYEN 7, SHAH ALAM, 40000 SELANGOR  Shah Alam Selangor - my 40000</t>
  </si>
  <si>
    <t>NVMY34535000010016</t>
  </si>
  <si>
    <t>Sakthi Uganya</t>
  </si>
  <si>
    <t>S-16-13,1 Tebrau, Jalan Seri Setanggi 2, Taman Seri Setanggi, Johor Bahru, 80250, Johor  Johor Bahru Johor - my 80250</t>
  </si>
  <si>
    <t>C1-LKN-7-72</t>
  </si>
  <si>
    <t>NVMY34535000010068</t>
  </si>
  <si>
    <t>FAZLEN BT MOHAMAD SALLEH</t>
  </si>
  <si>
    <t>116A-P KUARTERS KOLEJ VOKASIONAL BESUT KG RAJA 22200 BESUT, TERENGGANU  Kampung Raja Terengganu - my 22200</t>
  </si>
  <si>
    <t>NVMY34535000010076</t>
  </si>
  <si>
    <t>ANIQ</t>
  </si>
  <si>
    <t>B24 PERUMAHAN KILANG SAWIT CHIKU PETI SURAT 29, 18300 GUA MUSANG KELANTAN  Gua Musang Kelantan - my 18300</t>
  </si>
  <si>
    <t>NVMY34535000010045</t>
  </si>
  <si>
    <t>AHMILAH BINTI HAMDZAH</t>
  </si>
  <si>
    <t>NO 33 JALAN MANIS 3, TMN MANIS 86400 PARIT RAJA BATU PAHAT JOHOR  Parit Raja Johor - my 86400</t>
  </si>
  <si>
    <t>C2-HTM-5-81</t>
  </si>
  <si>
    <t>NVMY34535000010050</t>
  </si>
  <si>
    <t>NORFARAHIN BINTI ABDULLAH</t>
  </si>
  <si>
    <t>LORONG BATU NILAM JLN 1E NO 31/1/2 BANDAR BUKIT TINGGI 41200 KLANG, SELANGOR  Klang Selangor - my 41200</t>
  </si>
  <si>
    <t>NVMY34535000010075</t>
  </si>
  <si>
    <t>NVMY34535000010079</t>
  </si>
  <si>
    <t>MUHAMMAD AMMAR BIN ROSLAN</t>
  </si>
  <si>
    <t>JALAN KAMPUNG GUNUNG SENYUM, LOT 6041 KG GUNUNG SENYUM 28050 KUALA KRAU, PAHANG  Kuala Krau Pahang - my 28050</t>
  </si>
  <si>
    <t>NVMY34535000010073</t>
  </si>
  <si>
    <t>NUR NABIHAH BINTI NASRUDDIN</t>
  </si>
  <si>
    <t>MEQS LAWO KOSMETIK, BAWAH PUSAT IQRA PULAU RUSA 20050 KUALA TERENGGANU   Kuala Terengganu Terengganu - my 20050</t>
  </si>
  <si>
    <t>NVMY34535000010059</t>
  </si>
  <si>
    <t>ALONG</t>
  </si>
  <si>
    <t>NO 4, JALAN PADANG LUAS TAMAN PERUMAHAN RKR PADANG LUAS 22000 JERTEH, TERENGGANU  Jerteh Terengganu - my 22000</t>
  </si>
  <si>
    <t>NVMY34535000010085</t>
  </si>
  <si>
    <t>NURILAILIZA MOHD ZAIN</t>
  </si>
  <si>
    <t>LOT 7653 KG DERDAP JALAN PASIR PUTEH  16150 KOTA BHARU, KELANTAN  Kota Bharu Kelantan - my 16150</t>
  </si>
  <si>
    <t>A1-BCK-29-3</t>
  </si>
  <si>
    <t>NVMY34535000010048</t>
  </si>
  <si>
    <t>MAIMUNAH MAAWAL</t>
  </si>
  <si>
    <t>SEKOLAH RENDAH FELDA BUKIT JALOR GEMENCHEH 73200 NEGERI SEMBILAN  Gemencheh Negeri Sembilan - my 73200</t>
  </si>
  <si>
    <t>C4-GMS-28-92</t>
  </si>
  <si>
    <t>NVMY34535000010114</t>
  </si>
  <si>
    <t>NOOR SYAMINA</t>
  </si>
  <si>
    <t>NO 36 BANGUNAN KONICA MIHOLTA JALAN AIR JERNIH 20300 KUALA TERENGGANU   Kuala Terengganu Terengganu - my 20300</t>
  </si>
  <si>
    <t>NVMY34535000010088</t>
  </si>
  <si>
    <t>ZAIDIAZRUL BIN MAT ZAINAL</t>
  </si>
  <si>
    <t>NO.250 LORONG 5/10 SRI IORA JALAN KELISA RIA II, 08000 SG PETANI KEDAH  Sungai Petani Kedah - my 08000</t>
  </si>
  <si>
    <t>NVMY34535000010094</t>
  </si>
  <si>
    <t>Azlina Muhamad</t>
  </si>
  <si>
    <t>9683 air melintas besar 13300 tasek gelugor Pulau Pinang  Tasek Gelugor Pulau Pinang - my 13300</t>
  </si>
  <si>
    <t>NVMY34535000010078</t>
  </si>
  <si>
    <t>NORUL JANNAH</t>
  </si>
  <si>
    <t>NO 25A/B, LOT 127 KG PAYA DALAM 85000 SEGAMAT JOHOR  Segamat Johor - my 85000</t>
  </si>
  <si>
    <t>C2-SGT-5-77</t>
  </si>
  <si>
    <t>NVMY34535000010072</t>
  </si>
  <si>
    <t>Norliana Anuar</t>
  </si>
  <si>
    <t>no 79 jalan pgbf harmoni pasir besar 1/6 taman pgbf harmoni pasir besar 73420 gemas negeri sembilan  Gemas Negeri Sembilan - my 73400</t>
  </si>
  <si>
    <t>NVMY34535000010056</t>
  </si>
  <si>
    <t>IBRAHIM BIN ALI</t>
  </si>
  <si>
    <t>116A, JLN BUMBONG LIMA 3, TOK NAYA 02600 ARAU PERLIS  Arau Perlis - my 02600</t>
  </si>
  <si>
    <t>NVMY34535000010065</t>
  </si>
  <si>
    <t>ROSNITA</t>
  </si>
  <si>
    <t>NO 41 JALAN PULAU LUMUT U10/76 TAMAN ALAM BUDIMAN 40170 SHAH ALAM   Shah Alam Selangor - my 40170</t>
  </si>
  <si>
    <t>NVMY34535000010087</t>
  </si>
  <si>
    <t>NVMY34535000010096</t>
  </si>
  <si>
    <t>NVMY34535000010092</t>
  </si>
  <si>
    <t>NVMY34535000010133</t>
  </si>
  <si>
    <t>ROSLINA ABD RAHMAN</t>
  </si>
  <si>
    <t>SEKOLAH KEBANGSAAN LUBUK KAWAH 22000  BESUT JERTEH, TERENGGANU  Jerteh Terengganu - my 22000</t>
  </si>
  <si>
    <t>NVMY34535000010093</t>
  </si>
  <si>
    <t>NVMY34535000010091</t>
  </si>
  <si>
    <t>NVMY34535000010089</t>
  </si>
  <si>
    <t>NVMY34535000010082</t>
  </si>
  <si>
    <t>nur syazwanie binti zuber</t>
  </si>
  <si>
    <t>C-3-17 Blok Anggerik Markas Fru Cheras,43200 Cheras Selangor  Kuala Lumpur Kuala Lumpur - my 43200</t>
  </si>
  <si>
    <t>NVMY34535000010071</t>
  </si>
  <si>
    <t>WAN NURUL AINI</t>
  </si>
  <si>
    <t>BLOCK A,TINGKAT 23, NO 7 CASA SUBANG JALAN SUBANG 1 SUBANG LIGHT INDUSTRIAL PARK PETALING 47500 SELANGOR  Subang Jaya Selangor - my 47500</t>
  </si>
  <si>
    <t>D2-HTC-16-114</t>
  </si>
  <si>
    <t>NVMY34535000010118</t>
  </si>
  <si>
    <t>ATTN SYAKUR</t>
  </si>
  <si>
    <t>LOT NO 9&amp;11 JALAN TUKANG 16/4 KAWASAN PERINDUSTRIAN SEKSYEN 16, 40702 SHAH ALAM SELANGOR  Shah Alam Selangor - my 40000</t>
  </si>
  <si>
    <t>NVMY34535000010086</t>
  </si>
  <si>
    <t>Zalmah bt Che Omar</t>
  </si>
  <si>
    <t>No.102 blok 7 Kuarters Polis Seksyen 20 Jln 20/16 40300 Shah Alam  Shah Alam Selangor - my 40300</t>
  </si>
  <si>
    <t>NVMY34535000010083</t>
  </si>
  <si>
    <t>NVMY34535000010097</t>
  </si>
  <si>
    <t>Wan Zunaidah Bt Wan Ab Rahman</t>
  </si>
  <si>
    <t>B-27-07, RESIDENSI DESA SATUMAS, NO. 264, JLN DESA, TAMAN DESA, 58100 KUALA LUMPUR.  Kuala Lumpur Kuala Lumpur - my 58100</t>
  </si>
  <si>
    <t>D2-DSA-20-109</t>
  </si>
  <si>
    <t>NVMY34535000010100</t>
  </si>
  <si>
    <t>SAIF SHAHRIN TT EXCHANGE</t>
  </si>
  <si>
    <t>16977 JALAN BUKIT BESI KG CHE LIJAH 23000 DUNGUN, TERENGGANU  Dungun Terengganu - my 23000</t>
  </si>
  <si>
    <t>NVMY34535000010109</t>
  </si>
  <si>
    <t>IZZAH HAZIRAH</t>
  </si>
  <si>
    <t>C-G-06 PANGSAPURI ORCHID PUCHONG PRIMA 47100 PUCHONG, SELANGOR  Telok Panglima Garang Selangor - my 47100</t>
  </si>
  <si>
    <t>D1-PUC-22-104</t>
  </si>
  <si>
    <t>NVMY34535000010061</t>
  </si>
  <si>
    <t>Fyna</t>
  </si>
  <si>
    <t>381,persiaran desa manjung point 2/19,taman desa manjung point 2,32040 lumut,perak   Seri Manjong Perak - my 32040</t>
  </si>
  <si>
    <t>B3-STW-11-60</t>
  </si>
  <si>
    <t>NVMY34535000010064</t>
  </si>
  <si>
    <t>NNF MAJU JAYA ENT</t>
  </si>
  <si>
    <t>K4 RUMAH KEDAI PKNP KG JERUAS, 27660 RAUB PAHANG  Sega Pahang - my 27660</t>
  </si>
  <si>
    <t>NVMY34535000010132</t>
  </si>
  <si>
    <t>MZN 002 (NIK UNNA)</t>
  </si>
  <si>
    <t>KLINIK KESIHATAN CHIKU 3, 18300 GUA MUSANG KELANTAN  Gua Musang Kelantan - my 18300</t>
  </si>
  <si>
    <t>NVMY34535000010057</t>
  </si>
  <si>
    <t>MAS ANUM BT ROSLI</t>
  </si>
  <si>
    <t>94-B, RUMAH KAKITANGAN JABATAN HUTAN, PERSIARAN DAYANG ENDAH 39000 TANAH RATA CAMERON HIGHLANDS  Tanah Rata Pahang - my 39000</t>
  </si>
  <si>
    <t>NVMY34535000010054</t>
  </si>
  <si>
    <t>ERMAH YAHYA</t>
  </si>
  <si>
    <t>DESA AMAN 2, BLOK A-21-13, JALAN PANTAI MURNI 6, PANTAI DALAM 59200 KUALA LUMPUR  Kuala Lumpur Kuala Lumpur - my 59200</t>
  </si>
  <si>
    <t>NVMY34535000010116</t>
  </si>
  <si>
    <t>AHMED TERMIZE</t>
  </si>
  <si>
    <t>NO 13, JALAN METAFASA U16/167, SHAH ALAM, 40170 SELANGOR  Shah Alam Selangor - my 40160</t>
  </si>
  <si>
    <t>NVMY34535000010060</t>
  </si>
  <si>
    <t>SITI NAJWA HANIM BINTI KATMAI@KATIMAN</t>
  </si>
  <si>
    <t>LOT 5634-6 JALAN HAJI DAMANSOR KG JENJAROM 42600 JENJAROM, SELANGOR  Jenjarom Selangor - my 42600</t>
  </si>
  <si>
    <t>NVMY34535000010084</t>
  </si>
  <si>
    <t>NVMY34535000010047</t>
  </si>
  <si>
    <t>Isberth Nachia</t>
  </si>
  <si>
    <t>No 10, Jalan GP 10, Taman Garing Permai 48000 Rawang Selangor  Kuala Lumpur Kuala Lumpur - my 48000</t>
  </si>
  <si>
    <t>D4-RWG-6-134</t>
  </si>
  <si>
    <t>NVMY34535000010131</t>
  </si>
  <si>
    <t>ADIBAH</t>
  </si>
  <si>
    <t>LOT 364 KAMPUNG BUKIT BATOR 16370 BACHOK, KELANTAN  Bachok Kelantan - my 16300</t>
  </si>
  <si>
    <t>NVMY34535000010111</t>
  </si>
  <si>
    <t>NUR INSYIRAH</t>
  </si>
  <si>
    <t>LOT 2994 KAMPUNG TEMPOYAK BEKELAM 16070 BACHOK KELANTAN   Bachok Kelantan - my 16070</t>
  </si>
  <si>
    <t>NVMY34535000010055</t>
  </si>
  <si>
    <t>MUBARAK8 (MAMU)</t>
  </si>
  <si>
    <t>PERUMAHAN POLIS MENARA SRI MAHANG NO 8-5-5 JALAN 27/56 KERAMAT WANGSA   Kuala Lumpur Kuala Lumpur - my 54200</t>
  </si>
  <si>
    <t>NVMY34535000010090</t>
  </si>
  <si>
    <t>Nor azlina Abdullah</t>
  </si>
  <si>
    <t>C-17-11 ppr kerinchi, Pantai dalam bangsar 59200 KL  Kuala Lumpur Kuala Lumpur - my 59200</t>
  </si>
  <si>
    <t>NVMY34535000010074</t>
  </si>
  <si>
    <t>NO 49 JALAN ENGGANG  TAMAN KERAMAT 54200 KL   Kuala Lumpur Kuala Lumpur - my 54200</t>
  </si>
  <si>
    <t>NVMY34535000010104</t>
  </si>
  <si>
    <t>SYED</t>
  </si>
  <si>
    <t>90, JALAN PADI RIA 19, BANDAR BARU UDA 81200 JOHOR BAHRU, JOHOR  Johor Bahru Johor - my 81200</t>
  </si>
  <si>
    <t>C1-TSK-7-184</t>
  </si>
  <si>
    <t>NVMY34535000010041</t>
  </si>
  <si>
    <t>MURATA MANUFACTURING SARAWAK SDN BHD PERSIARAN ELEKTRONIK 1, SAMA JAYA FREE INDUSTRIAL ZONE 93450 KUCHING SARAWAK  Kuching Sarawak - my 93450</t>
  </si>
  <si>
    <t>NVMY34535000010127</t>
  </si>
  <si>
    <t>FATIN SAHIRAA</t>
  </si>
  <si>
    <t>NO 18 , JALAN TAMAN SG DURI INDAH 10 , TAMAN SG DURI INDAH , 14200 SG BAKAP , PULAU PINANG   Sungai Jawi Pulau Pinang - my 14200</t>
  </si>
  <si>
    <t>B2-SIM-15-43</t>
  </si>
  <si>
    <t>NVMY34535000010142</t>
  </si>
  <si>
    <t>IZZAH SHAFII</t>
  </si>
  <si>
    <t>LOT 743 KAMPUNG KAYU TINGGI BUNUT SUSU, 17020 PASIR MAS, KELANTAN  Pasir Mas Kelantan - my 17020</t>
  </si>
  <si>
    <t>NVMY34535000010138</t>
  </si>
  <si>
    <t>MOHD SUKRI</t>
  </si>
  <si>
    <t>NO 342 LORONG LENGKOK KANAN, TANAH PUTIH BARU 25150 KUANTAN PAHANG  Kuantan Pahang - my 25150</t>
  </si>
  <si>
    <t>NVMY34535000010147</t>
  </si>
  <si>
    <t>SITI ROHANI BT AWANG KECHIK</t>
  </si>
  <si>
    <t>2056 KG TASEK PAUH 16810 SELISING PASIR PUTEH KELANTAN  Selising Kelantan - my 16810</t>
  </si>
  <si>
    <t>NVMY34535000010120</t>
  </si>
  <si>
    <t>AZIZAH</t>
  </si>
  <si>
    <t>LOT 11789 , NO 5 JALAN ALOR ARA KG KETAPANG , 26600 PAHANG   , - , Pekan , Pahang Pekan Pahang - MY 26600</t>
  </si>
  <si>
    <t>NVMY34535000010070</t>
  </si>
  <si>
    <t>BARRY STANLY (UZAIR( (AZIZ)</t>
  </si>
  <si>
    <t>HPMT INDUSTRIES SDN BHD NO 5 JALAN SUNGAI KAYU ARA 32/39, BERJAYA PARK 40460 SHAH ALAM, SELANGOR  Selangor Shah Alam Selangor - my 40460</t>
  </si>
  <si>
    <t>D2-KMU-18-113</t>
  </si>
  <si>
    <t>NVMY34535000010121</t>
  </si>
  <si>
    <t>CIKKNURUL</t>
  </si>
  <si>
    <t>NO 2A, JALAN PANTAI TANAH LOT 23000 DUNGUN, TERENGGANU  , - , Dungun , Terengganu Dungun Terengganu - MY 23000</t>
  </si>
  <si>
    <t>NVMY34535000010137</t>
  </si>
  <si>
    <t>ATIKAH BINTI AHMAD</t>
  </si>
  <si>
    <t>110 B LORONB SENA 13 KAMPUNG SENA 02600 ARAU PERLIS  Arau Perlis - my 02600</t>
  </si>
  <si>
    <t>NVMY34535000010080</t>
  </si>
  <si>
    <t>AHMAD FAIZAL BIN ABDUL RAHAMAN</t>
  </si>
  <si>
    <t>13, JLN LEMBAH PERPADUAN 5, LEMBAH PERPADUAN PERMAI, (RUMAH TERES 1 TINGKAT ) 31150 ULU KINTA, PERAK  Ulu Kinta Perak - my 31150</t>
  </si>
  <si>
    <t>NVMY34535000010146</t>
  </si>
  <si>
    <t>SYAMSUL SYAHRIL BIN SHAMSUDIN</t>
  </si>
  <si>
    <t>NO 77 KAMPUNG MATA AYER DEPAN PONDOK POLIS MATA AYER 16600 PULAI CHONDONG , MACHANG KELANTAN   Pulai Chondong Kelantan - my 16600</t>
  </si>
  <si>
    <t>NVMY34535000010103</t>
  </si>
  <si>
    <t>NVMY34535000010139</t>
  </si>
  <si>
    <t>NUR FATIN BATRISYA</t>
  </si>
  <si>
    <t>NO 24 LORONG TERATAI 2 TAMAN TERATAI KG MARHUM 26600 PEKAN PAHANG  Pekan Pahang - my 26600</t>
  </si>
  <si>
    <t>B1-PKN-17-36</t>
  </si>
  <si>
    <t>NVMY34535000010151</t>
  </si>
  <si>
    <t>Nur farahdiana aisya (Chacha)</t>
  </si>
  <si>
    <t>( rumah belakang Kn maju hardware )  21448 JALAN BESAR KG NYIOR PAKA , DUNGUN 23100 TERENGGANU  Paka Terengganu - my 23100</t>
  </si>
  <si>
    <t>A2-PAK-25-14</t>
  </si>
  <si>
    <t>NVMY34535000010110</t>
  </si>
  <si>
    <t>NUR FAZIRA</t>
  </si>
  <si>
    <t>S LOT 80281 JALAN HJ MD YUDIN OFF JALAN JOHAN KAMPUNG SETIA BARU ( REVOUSI HIJAU ) 41200 KLANG   Klang Selangor - my 41200</t>
  </si>
  <si>
    <t>NVMY34535000010148</t>
  </si>
  <si>
    <t>ZAINAB ABDUL AIZIZ</t>
  </si>
  <si>
    <t>LOT 60948, KG APEK, 22100 PERMAISURI SETIU TERENGGANU  Permaisuri Terengganu - my 22100</t>
  </si>
  <si>
    <t>NVMY34535000010160</t>
  </si>
  <si>
    <t>Mokhairizam bin morad</t>
  </si>
  <si>
    <t>No 6 lorong 7 peramu maju 26060 kuantan phg  Kuantan Pahang - my 26060</t>
  </si>
  <si>
    <t>NVMY34535000010171</t>
  </si>
  <si>
    <t>TUN AZLINA BT WAN LOKMAN</t>
  </si>
  <si>
    <t>5223 LORONG SUSUR PERUMAHAN HASSAN HUSSIN GONG KEKABU 21400 BUKIT PAYONG MARANG TERENGGANUI  Bukit Payong Terengganu - my 21400</t>
  </si>
  <si>
    <t>A2-PYG-25-17</t>
  </si>
  <si>
    <t>NVMY34535000010102</t>
  </si>
  <si>
    <t>Hamrita binti Mohd Nor</t>
  </si>
  <si>
    <t>1860-5 kampung geliga baru,24000 Kemaman Terengganu   Ayer Puteh Terengganu - my 24000</t>
  </si>
  <si>
    <t>NVMY34535000010162</t>
  </si>
  <si>
    <t>Mohd Zulkifli Che idris</t>
  </si>
  <si>
    <t>Lot7. Kawasan perindustrian Jeli 17600 Jeli. Kelantan  Jeli Kelantan - my 17600</t>
  </si>
  <si>
    <t>NVMY34535000010119</t>
  </si>
  <si>
    <t>ANIZA BINTI AB KADIR</t>
  </si>
  <si>
    <t>PEJABAT KESIHATAN DAERAH TANAH MERAH , UNIT KESIHATAN SEKOLAH 17500 TANAH MERAH KELANTAN   , - , Tanah Merah , Kelantan Tanah Merah Kelantan - MY 17500</t>
  </si>
  <si>
    <t>NVMY34535000010179</t>
  </si>
  <si>
    <t>SYAWANI SYAMEEZAN</t>
  </si>
  <si>
    <t>22 KG CHERANG MELINTANG PASIR AKAR 22000 JERTEH TERENGGANU  Jerteh Terengganu - my 22000</t>
  </si>
  <si>
    <t>NVMY34535000010077</t>
  </si>
  <si>
    <t>SARINA BT SALEH</t>
  </si>
  <si>
    <t>2924 KAMPUNG GAMBIR JALAN KEBUN SIREH 14000 BUKIT MERTAJAM SEBERANG PRAI PENANG  Bukit Mertajam Pulau Pinang - my 14000</t>
  </si>
  <si>
    <t>NVMY34535000010107</t>
  </si>
  <si>
    <t>RUSLIZA IDRUS</t>
  </si>
  <si>
    <t>6844 PERUMAHAN EHSAN PERMAI 2, TAMAN BUKIT KUANG SEJAHTERA 24000 KEMAMAN, TERENGGANU  Ayer Puteh Terengganu - my 24000</t>
  </si>
  <si>
    <t>NVMY34535000010069</t>
  </si>
  <si>
    <t>POR AH SUAN</t>
  </si>
  <si>
    <t>26 CHANGKAT SUNGAI ARA 3 DESA ARA 11900 BAYAN LEPAS PULAU PINANG  Bayan Lepas Pulau Pinang - my 11900</t>
  </si>
  <si>
    <t>NVMY34535000010101</t>
  </si>
  <si>
    <t>NVMY34535000010150</t>
  </si>
  <si>
    <t>AIHA NATASHA</t>
  </si>
  <si>
    <t>PT 9700 LORONG BINTANG MAS , KG BECHAH PELETING 17500 TANAH MERAH KELANTAN   Tanah Merah Kelantan - my 17500</t>
  </si>
  <si>
    <t>NVMY34535000010124</t>
  </si>
  <si>
    <t>MOHD HAFIZ BIN HARON</t>
  </si>
  <si>
    <t>LORONG 1/1 NO 75 KAMPUNG SEKOLAH AMPANGAN 70400 SEREMBAN NEGERI SEMBILAN  Seremban Negeri Sembilan - my 70400</t>
  </si>
  <si>
    <t>C4-SWG-28-89</t>
  </si>
  <si>
    <t>NVMY34535000010152</t>
  </si>
  <si>
    <t>Aziah jasmin</t>
  </si>
  <si>
    <t>Lot 4640 Lorong Balai Raya Kampung Gong Pasir, 23000 Dungun Terengganu   Dungun Terengganu - my 23000</t>
  </si>
  <si>
    <t>NVMY34535000010135</t>
  </si>
  <si>
    <t>HARIZ AZMI BIN MISWAN</t>
  </si>
  <si>
    <t>NO45 JALAN RAJA OMAR TAMAN BUNGA RAYA 32000 SETIAWAN PERAK  Sitiawan Perak - my 32000</t>
  </si>
  <si>
    <t>NVMY34535000010181</t>
  </si>
  <si>
    <t>MOHD BOKHARY BIN MAMAT</t>
  </si>
  <si>
    <t>KG ALOR BAKAT MELOR 16400 KOTA BHARU KELANTAN  Melor Kelantan - my 16400</t>
  </si>
  <si>
    <t>NVMY34535000010144</t>
  </si>
  <si>
    <t>NUR IZZATI BINTI YAHYA</t>
  </si>
  <si>
    <t>1146 JALAN PERMAI JAYA KAMPUNG BATU 3 24000 KEMAMAN TERENGGANU   Ayer Puteh Terengganu - my 24000</t>
  </si>
  <si>
    <t>NVMY34535000010108</t>
  </si>
  <si>
    <t>WAN NUR NAJWA BT WAN NASIR</t>
  </si>
  <si>
    <t>NO 132 BLOK 6, TAMAN AGROPOLITAN, TANJUNG BATU 26680 NENASI PEKAN, PAHANG  Pekan Pahang - my 26680</t>
  </si>
  <si>
    <t>NVMY34535000010198</t>
  </si>
  <si>
    <t>liyana rashek</t>
  </si>
  <si>
    <t>Lot 24406 Lrg Hijrah 9 Taman Engku Long Haji Jln. Hulu Takir 21300 Kuala Nerus Terengganu  Kuala Terengganu Terengganu - my 21300</t>
  </si>
  <si>
    <t>NVMY34535000010126</t>
  </si>
  <si>
    <t>NURUL SYAHIRAH ABDUL GANI</t>
  </si>
  <si>
    <t>PD MAZE , JALAN DS2/10 , DATARAN SEGAR , PORT DICKSON 71010 NEGERI SEMBILAN   Port Dickson Negeri Sembilan - my 71010</t>
  </si>
  <si>
    <t>C4-PDS-28-90</t>
  </si>
  <si>
    <t>NVMY34535000010157</t>
  </si>
  <si>
    <t>Mohd redwan bin rahmat</t>
  </si>
  <si>
    <t>no 36,jalan seri tanjung 2,taman seri  tanjung, 76400 tanjung kling melaka  Tanjong Kling Melaka - my 76400</t>
  </si>
  <si>
    <t>NVMY34535000010195</t>
  </si>
  <si>
    <t>Azam Rosdi</t>
  </si>
  <si>
    <t>No 12, Jalan Industri USJ 1/15, Taman Perindustrian USJ 1, 47600 petaling selangor  Subang Jaya Selangor - my 47600</t>
  </si>
  <si>
    <t>NVMY34535000010123</t>
  </si>
  <si>
    <t>WAN NURFARHANA BT WAN MOHD NASIR</t>
  </si>
  <si>
    <t>NO 9 JALAN ST 11 TAMAN SAUJANA TEHEL 77200 MELAKA  Bemban Melaka - my 77200</t>
  </si>
  <si>
    <t>NVMY34535000010134</t>
  </si>
  <si>
    <t>HANANI HARUN</t>
  </si>
  <si>
    <t>PEJABAT PENTADBIRAN AM JABATAN PENJARA TAPAH 35400 TAPAH ROAD, PERAK  Tapah Road Perak - my 35400</t>
  </si>
  <si>
    <t>NVMY34535000010165</t>
  </si>
  <si>
    <t>MOHD AZANI BIN AB LATIFF</t>
  </si>
  <si>
    <t>No 159, Jalan Wawasan 2, Taman Wawasan, 86800 Mersing Johor  Mersing Johor - my 86800</t>
  </si>
  <si>
    <t>C2-MSG-5-75</t>
  </si>
  <si>
    <t>NVMY34535000010178</t>
  </si>
  <si>
    <t>AHMAD YUSRI BIN ROSLI</t>
  </si>
  <si>
    <t>NO 12 JALAN UNIVERISITI 19, TAMAN UNIVERSITI 86400 BATU PAHAT JOHOR  Parit Raja Johor - my 86400</t>
  </si>
  <si>
    <t>NVMY34535000010098</t>
  </si>
  <si>
    <t>MISS TAN HUEY JUEN</t>
  </si>
  <si>
    <t>XEPA-SOUL PATTINSON MALAYSIA SDN BHD 1-5 CHENG INDUSTRIAL ESTATE 75250 MELAKA MALAYSIA  Melaka Melaka - my 75250</t>
  </si>
  <si>
    <t>NVMY34535000010155</t>
  </si>
  <si>
    <t>Johari bin abdul Hamid</t>
  </si>
  <si>
    <t>st984, Jalan Seri jeram 5,taman Seri jeram, 78300 Masjid tanah, melaka  Masjid Tanah Melaka - my 78300</t>
  </si>
  <si>
    <t>NVMY34535000010136</t>
  </si>
  <si>
    <t>M N AZRIQ B A KADIR</t>
  </si>
  <si>
    <t>MRSM KUALA KLAWANG, JLN TITI, 71600 KUALA KLAWANG, NEGERI SEMBILAN  Kuala Klawang Negeri Sembilan - my 71600</t>
  </si>
  <si>
    <t>C4-BHU-28-88</t>
  </si>
  <si>
    <t>NVMY34535000010130</t>
  </si>
  <si>
    <t>NORASHIMA</t>
  </si>
  <si>
    <t>NO 22 JALAN KEROJA 42 TAMAN LANGAT UTAMA , KUALA LANGAT SELANGOR , 42700 BANTING SELANGOR   Telok Panglima Garang Selangor - my 42700</t>
  </si>
  <si>
    <t>NVMY34535000010180</t>
  </si>
  <si>
    <t>MICHAEL CHIN</t>
  </si>
  <si>
    <t>25 JALAN DELIMA 1/3, BATU 3, SUBANG HI-TECH INDUSTRIAL PARK 40000 SHAH ALAM, SELANGOR  Shah Alam Selangor - my 40000</t>
  </si>
  <si>
    <t>NVMY34535000010043</t>
  </si>
  <si>
    <t>MOHD HANIF BIN JAMSARI</t>
  </si>
  <si>
    <t>NO 4 PT 41799 LORONG HAJI WARDI, BATU 4 IJOK, 45620 BESTARI JAYA KUALA SELANGOR  Bestari Jaya Selangor - my 45620</t>
  </si>
  <si>
    <t>NVMY34535000010125</t>
  </si>
  <si>
    <t>SAADIAH MORAD</t>
  </si>
  <si>
    <t>33B JALAN HAJI AHMAD KG BUKIT RAYA DALAM 06700 PENDANG KEDAH   Pendang Kedah - my 06700</t>
  </si>
  <si>
    <t>NVMY34535000010192</t>
  </si>
  <si>
    <t>SURIANA HASSAN</t>
  </si>
  <si>
    <t>KG BERANGAN JELAWANG 18200 DABONG KUALA KRAI KELANTAN  Dabong Kelantan - my 18200</t>
  </si>
  <si>
    <t>NVMY34535000010194</t>
  </si>
  <si>
    <t>Muhamad.Sanusi Che.Mohd.Nasir</t>
  </si>
  <si>
    <t>478 kg Manek Urai Lama 18000 Kuala Krai Kelantan  Kuala Krai Kelantan - my 18000</t>
  </si>
  <si>
    <t>NVMY34535000010163</t>
  </si>
  <si>
    <t>Kamarudin bin Mansor</t>
  </si>
  <si>
    <t>44 JLN cekap 25/45 Shah Alam Selangor 40400  Shah Alam Selangor - my 40400</t>
  </si>
  <si>
    <t>D2-HGT-16-115</t>
  </si>
  <si>
    <t>NVMY34535000010117</t>
  </si>
  <si>
    <t>MAT ZOL BIN ISMAIL</t>
  </si>
  <si>
    <t>JKR 1752 KUARTERS PEGAWAI POLIS IBU PEJABAT POLIS DAERAH GERIK JALAN YAACOB LATIF 33300 GERIK PERAK  Gerik Perak - my 33300</t>
  </si>
  <si>
    <t>B3-GER-11-56</t>
  </si>
  <si>
    <t>NVMY34535000010177</t>
  </si>
  <si>
    <t>Asiyah binti Mohd Apandi</t>
  </si>
  <si>
    <t>JC 4357 , Jalan Balkis  Taman Balkis 77300 Merlimau Melaka  Merlimau Melaka - my 77300</t>
  </si>
  <si>
    <t>NVMY34535000010154</t>
  </si>
  <si>
    <t>NVMY34535000010170</t>
  </si>
  <si>
    <t>Black smith</t>
  </si>
  <si>
    <t>3058 lrg 20,tmn ria 08000 ,sg petani kedah darulaman  Sungai Petani Kedah - my 08000</t>
  </si>
  <si>
    <t>NVMY34535000010196</t>
  </si>
  <si>
    <t>Hasyahayati (Sihabudin)</t>
  </si>
  <si>
    <t>3084-A, Kampung Tok Dir, 21070 Kuala Terengganu, Terengganu  Kuala Terengganu Terengganu - my 21070</t>
  </si>
  <si>
    <t>NVMY34535000010115</t>
  </si>
  <si>
    <t>SITI ZULAIKHA</t>
  </si>
  <si>
    <t>NO 306 JALAN BM 6 TAMAN BUKIT MAHOGANI KUALA KLAWANG 71600 JELEBU NEGERI SEMBILAN  Kuala Klawang Negeri Sembilan - my 71600</t>
  </si>
  <si>
    <t>NVMY34535000010172</t>
  </si>
  <si>
    <t>PROF DR SHAHRIMAN ABU BAKAR</t>
  </si>
  <si>
    <t>FAKULTI TEKNOLOGI KEJURUTERAAN MEKANIKAL PAUH PUTRA CAMPUS UNIVERSITI MALAYSIA PERLIS 02400 ARAU PERLIS  Arau Perlis - my 02600</t>
  </si>
  <si>
    <t>NVMY34535000010149</t>
  </si>
  <si>
    <t>NOR WAHIDAH BT ZAINUDIN</t>
  </si>
  <si>
    <t>NO 19 , JALAN ZAITUN 8/4 , BANDAR HILLPARK , 42300 PUNCAK ALAM , SELANGOR   Bandar Puncak Alam Selangor - my 42300</t>
  </si>
  <si>
    <t>NVMY34535000010202</t>
  </si>
  <si>
    <t>Syazrul izham</t>
  </si>
  <si>
    <t>Kg. Batu Garam, Gual Ipoh, 17500 Tanah Merah, Kelantan  Tanah Merah Kelantan - my 17500</t>
  </si>
  <si>
    <t>NVMY34535000010199</t>
  </si>
  <si>
    <t>User</t>
  </si>
  <si>
    <t>Alamat ,kg Bukit Lada Awah ,Cenor Maran 28100  Chenor Pahang - my 28100</t>
  </si>
  <si>
    <t>NVMY34535000010161</t>
  </si>
  <si>
    <t>Razali bin samat</t>
  </si>
  <si>
    <t>No 124 jalan 4 taman jugra jaya 42700 banting..  Telok Panglima Garang Selangor - my 42700</t>
  </si>
  <si>
    <t>NVMY34535000010105</t>
  </si>
  <si>
    <t>AMIRA</t>
  </si>
  <si>
    <t>LOT 683 , JALAN HAJI NOH BATU 18 , KG SG TIRAM 81800 ULU TIRAM , JOHOR   Ulu Tiram Johor - my 81800</t>
  </si>
  <si>
    <t>C1-TRM-7-71</t>
  </si>
  <si>
    <t>NVMY34535000010168</t>
  </si>
  <si>
    <t>Nor Heirme bin Siman</t>
  </si>
  <si>
    <t>Sekolah Menengah Agama Kerajaan Johor, Jalan Sentosa, 86000 Kluang, Johor Darul Takzim  Kluang Johor - my 86000</t>
  </si>
  <si>
    <t>C2-KLU-5-76</t>
  </si>
  <si>
    <t>NVMY34535000010169</t>
  </si>
  <si>
    <t>Norazizi bin Abu kasim</t>
  </si>
  <si>
    <t>Km 16, kampung tanjung laboh, Tehel, 77200, bemban,  Melaka  Bemban Melaka - my 77200</t>
  </si>
  <si>
    <t>C3-JAS-3-85</t>
  </si>
  <si>
    <t>NVMY34535000010159</t>
  </si>
  <si>
    <t>Jeffry b Abdullah</t>
  </si>
  <si>
    <t>PT 157, Kg Ujung Batu, Bagan Dalam 12100 Butterworth Pulau Pinang  Butterworth Pulau Pinang - my 12100</t>
  </si>
  <si>
    <t>NVMY34535000010210</t>
  </si>
  <si>
    <t>Noraini</t>
  </si>
  <si>
    <t>NO 10 , LORONG 8 TAMAN TUALANG INDAH , 28400 MERTAKAB , PAHANG , TEMERLOH 28400 , PAHANG   Mentakab Pahang - my 28400</t>
  </si>
  <si>
    <t>NVMY34535000010203</t>
  </si>
  <si>
    <t>Mohd Ramli bin Deris</t>
  </si>
  <si>
    <t>Sk Bukit Sekilau,  Jalan Sekilau 2, Kampung Bukit Sekilau,  25200 Kuantan, Pahang  Kuantan Pahang - my 25200</t>
  </si>
  <si>
    <t>NVMY34535000010128</t>
  </si>
  <si>
    <t>Diana</t>
  </si>
  <si>
    <t>223 block 12, Felcra Sungai Ara 81900 Kota Tinggi Johor  Kota Tinggi Johor - my 81900</t>
  </si>
  <si>
    <t>NVMY34535000010112</t>
  </si>
  <si>
    <t>NURUL AMIRA</t>
  </si>
  <si>
    <t>NO 28B , JALAN HJ ABD GHANI , KG ULU PULAI 81550 GELANG PATAH JOHOR   Gelang Patah Johor - my 81550</t>
  </si>
  <si>
    <t>NVMY34535000010145</t>
  </si>
  <si>
    <t>C9-9 , BLOK C PANGSAPURI SERI UTAMA , JALAN PUCHONG UTAMA 6 , TAMAN PUCHONG UTAMAN , 47140 PUCHONG SELANGOR   Puchong Selangor - my 47140</t>
  </si>
  <si>
    <t>NVMY34535000010190</t>
  </si>
  <si>
    <t>WANZAR GROUP SDN BHD</t>
  </si>
  <si>
    <t>NO 2-G , 2-1 , 2-2 JALAN PUTRA MAHKOTA 7/8E , PUTRA HEIGHT , 47560 SUBANG JAYA , SELANGOR MALAYSIA   Subang Jaya Selangor - my 47650</t>
  </si>
  <si>
    <t>NVMY34535000010113</t>
  </si>
  <si>
    <t>NORAZIAH</t>
  </si>
  <si>
    <t>NO 160 JALAN MERPATI FELDA TAIB ANDAK 81000 KULAIJAYA JOHOR   Kulai Johor - my 81000</t>
  </si>
  <si>
    <t>NVMY34535000010186</t>
  </si>
  <si>
    <t>NUR SYAFIQAH BT MAZLAN</t>
  </si>
  <si>
    <t>LOT 6479, B-13, TAMAN MUHIBBAH JAYA, KG CHAT RIMAU, 17500 TANAH MERAH, KELANTAN  Tanah Merah Kelantan - my 17500</t>
  </si>
  <si>
    <t>A1-MAC-27-6</t>
  </si>
  <si>
    <t>NVMY34535000010164</t>
  </si>
  <si>
    <t>Maman</t>
  </si>
  <si>
    <t>No 11 jln puj 2/37 puncak jalil 43300 seri kembangan  Seri Kembangan Selangor - my 43300</t>
  </si>
  <si>
    <t>NVMY34535000010158</t>
  </si>
  <si>
    <t>Abdullah Sani</t>
  </si>
  <si>
    <t>Warung Mak Leha No 10 Jalan Dewan Sultan Sulaiman Kg Baru 50300 Kuala Lumpur  Kuala Lumpur Kuala Lumpur - my 50300</t>
  </si>
  <si>
    <t>NVMY34535000010122</t>
  </si>
  <si>
    <t>FAZUN (0142300448)</t>
  </si>
  <si>
    <t>1-31-7, M-CITY, JALAN AMPANG 50450 KUALA LUMPUR  , - , Kuala Lumpur , Kuala Lumpur Kuala Lumpur Kuala Lumpur - MY 50450</t>
  </si>
  <si>
    <t>NVMY34535000010156</t>
  </si>
  <si>
    <t>Syamsul mohammad</t>
  </si>
  <si>
    <t>Lot 558,tingkat 2 pintu F, jalan 7,kg melayu sri gombak 68100,batu caves selangor  Batu Caves Selangor - my 68100</t>
  </si>
  <si>
    <t>NVMY34535000010166</t>
  </si>
  <si>
    <t>Farid farhan</t>
  </si>
  <si>
    <t xml:space="preserve"> Unit 1 (Belakang), Plot 79, Lilitan Bayan, Kampung Tersusun Sungai Ara 11900 , Bayan Lepas, Pulau Pinang  Bayan Lepas Pulau Pinang - my 11900</t>
  </si>
  <si>
    <t>NVMY34535000010167</t>
  </si>
  <si>
    <t>Mohd abdul shukkur bin abdullah</t>
  </si>
  <si>
    <t>Blok t,04,05 apartment permata,jalan perda utama bandar perda 14000 bukit mertajam  Pulau pinang  Bukit Mertajam Pulau Pinang - my 14000</t>
  </si>
  <si>
    <t>NVMY34535000010175</t>
  </si>
  <si>
    <t>Syikin</t>
  </si>
  <si>
    <t>D-12-1, Residensi Adelia, Persiaran Bangi Avenue 2, Taman Bangi Avenue, 43000 Kajang Selangor  Kajang Selangor - my 43000</t>
  </si>
  <si>
    <t>NVMY34535000010212</t>
  </si>
  <si>
    <t>AZLINA HASAN</t>
  </si>
  <si>
    <t>NO 881 JLN 2/7 TMN TUANKU JAAFAR 71450 SEREMBAN N.SEMBILAN  Seremban Negeri Sembilan - my 71450</t>
  </si>
  <si>
    <t>NVMY34535000010250</t>
  </si>
  <si>
    <t>AINUN MARTDIAH HASBULLAH</t>
  </si>
  <si>
    <t>KAMPUNG DURIAN TELOR , PASIR AKAR , 22000 JERTEH TERENGGANU   Jerteh Terengganu - my 22000</t>
  </si>
  <si>
    <t>A1-JTH-27-9</t>
  </si>
  <si>
    <t>NVMY34535000010211</t>
  </si>
  <si>
    <t>KOK SOON SENG</t>
  </si>
  <si>
    <t>16 JALAN BRUSEH BIDOR PERAK , BATANG PADANG , 35500 PERAK  Bidor Perak - my 35500</t>
  </si>
  <si>
    <t>NVMY34535000010153</t>
  </si>
  <si>
    <t>NOR HAFIZAH ZAKARIA</t>
  </si>
  <si>
    <t>62A  KG BANIR TEMBUS 02700 SIMPANG EMPAT, PERLIS  Simpang Ampat Perlis - my 02700</t>
  </si>
  <si>
    <t>NVMY34535000010182</t>
  </si>
  <si>
    <t>MOHD ZAINUDIN BIN LAZIM</t>
  </si>
  <si>
    <t>RESTORAN ARIFAN SEAFOOD JLN SEMELIANG KG PADANG LANJUT 06300 KUALA NERANG KEDAH  Kuala Nerang Kedah - my 06300</t>
  </si>
  <si>
    <t>NVMY34535000010174</t>
  </si>
  <si>
    <t>Ainzatus Shuhada Binti Ahmad</t>
  </si>
  <si>
    <t>Kampung Tanjung Setar, 08200, Sik, Kedah Darul Aman  Sik Kedah - my 08200</t>
  </si>
  <si>
    <t>NVMY34535000010209</t>
  </si>
  <si>
    <t>NOR AZLAN</t>
  </si>
  <si>
    <t>AIR ASIA BERHAD ARAS 1 LAPANGAN TERBANG SULTAN ABDUL HALIM 06550 ALOR SETAR KEDAH   Alor Setar Kedah - my 06550</t>
  </si>
  <si>
    <t>NVMY34535000010201</t>
  </si>
  <si>
    <t>M yusuf b sukiman</t>
  </si>
  <si>
    <t>NO 15A, JALAN 22/42 SEKSYEN 22, 46300 PETALING JAYA SELANGOR DARUL EHSAN  Petaling Jaya Selangor - my 46300</t>
  </si>
  <si>
    <t>D1-PJY-22-102</t>
  </si>
  <si>
    <t>NVMY34535000010176</t>
  </si>
  <si>
    <t>Nurul Ain Binti Mohd Tarmizi</t>
  </si>
  <si>
    <t>No 9, Kampung Sri Gading, Tanjung Sedili, Kota Tinggi, Johor   Kota Tinggi Johor - my 81900</t>
  </si>
  <si>
    <t>NVMY34535000010141</t>
  </si>
  <si>
    <t>YATI</t>
  </si>
  <si>
    <t>NO 13 JALAN PANDAN 2/2 PANDAN JAYA ULU LANGAT SELANGOR 55100  Kuala Lumpur Kuala Lumpur - my 55100</t>
  </si>
  <si>
    <t>NVMY34535000010226</t>
  </si>
  <si>
    <t>ADLI ZIL IKRAM BIN HANAPI</t>
  </si>
  <si>
    <t>Petaling</t>
  </si>
  <si>
    <t>A-07-11, PANGSAPURI KITA IMPIAN, PERSIARAN CYBERSOUTH PERDANA, BANDAR CYBERSOUTH, 43800 DENGKIL, SELANGOR  Telok Panglima Garang Selangor - my 43800</t>
  </si>
  <si>
    <t>NVMY34535000010205</t>
  </si>
  <si>
    <t>Muhammad fikri</t>
  </si>
  <si>
    <t>Tas fright services sdn bhd 6&amp;8 lengkok KAPAL jalan new ferry seberang perai Utara 12100 butterworth pulau pinang.  Butterworth Pulau Pinang - my 12100</t>
  </si>
  <si>
    <t>NVMY34535000010241</t>
  </si>
  <si>
    <t>Normalina Binti Abdul Rahim</t>
  </si>
  <si>
    <t>No 4 Depan Kilang Papan, 27100 Padang Tengku, Kuala Lipis Pahang.  Padang Tengku Pahang - my 27100</t>
  </si>
  <si>
    <t>B1-LIP-17-39</t>
  </si>
  <si>
    <t>NVMY34535000010256</t>
  </si>
  <si>
    <t>AZMULIZA</t>
  </si>
  <si>
    <t>LOT 8936 LORONG 3 KIRI JALAN KENANGA 23000 DUNGUN, TERENGGANU  Dungun Terengganu - my 23000</t>
  </si>
  <si>
    <t>NVMY34535000010208</t>
  </si>
  <si>
    <t>MONA</t>
  </si>
  <si>
    <t>NO 15 JALAN 6/144 A , TAMAN BUKIT CHERAS , 56000 KL   Kuala Lumpur Kuala Lumpur - my 56000</t>
  </si>
  <si>
    <t>D2-CHE-18-111</t>
  </si>
  <si>
    <t>NVMY34535000010204</t>
  </si>
  <si>
    <t>Que</t>
  </si>
  <si>
    <t>ALAMAT: SMART MASTER, LOT F40, 1ST FLOOR, AEON MALL, JLN AKUATIK 13/64, D'KAYANGAN SEKSYEN 13 ,40100 SHAH ALAM SELANGOR DARUL EHSAN  Shah Alam Selangor - my 40100</t>
  </si>
  <si>
    <t>NVMY34535000010191</t>
  </si>
  <si>
    <t>BULAN BINTANG CLOTHING SDN BHD</t>
  </si>
  <si>
    <t>BLOK C , LOT 3704 , JALAN 7/5 , TAMAN INDUSTRI SELESA JAYA , 43300 , BALAKONG , SELANGOR   Seri Kembangan Selangor - my 43300</t>
  </si>
  <si>
    <t>NVMY34535000010188</t>
  </si>
  <si>
    <t>SYAHIRAH RAZALI</t>
  </si>
  <si>
    <t>B-26-6 NOVUM RESIDENSI JALAN KERINCHI KIRI 2 BANGSAR SOUTH 59200 KL   Kuala Lumpur Kuala Lumpur - my 59200</t>
  </si>
  <si>
    <t>NVMY34535000009983</t>
  </si>
  <si>
    <t>AFFY_B</t>
  </si>
  <si>
    <t>BALAI POLIS CENDERAWASIH FELDA SAHABAT 07, LAHAD DATU, SABAH  Lahad Datu Sabah - my 91150</t>
  </si>
  <si>
    <t>NVMY34535000010237</t>
  </si>
  <si>
    <t>DAHARI</t>
  </si>
  <si>
    <t>no21 jalan mawar 8A taman mawar d'residensi bandar baru salak tinggi 43900 sepang selangor  Sepang Selangor - my 43900</t>
  </si>
  <si>
    <t>NVMY34535000010129</t>
  </si>
  <si>
    <t>NVMY34535000010244</t>
  </si>
  <si>
    <t>HAJAR</t>
  </si>
  <si>
    <t>NO 40 JALAN DBI 17 DESA BUKIT INDAH 47000 SUNGAI BULOH SELANGOR   Kuala Lumpur Kuala Lumpur - my 47000</t>
  </si>
  <si>
    <t>NVMY34535000010099</t>
  </si>
  <si>
    <t>NOOR AIN BINTI HANIF</t>
  </si>
  <si>
    <t>LOT 788 JALAN PIALA TAMAN SUKMA 93050 KUCHING, SARAWAK  Kuching Sarawak - my 93050</t>
  </si>
  <si>
    <t>NVMY34535000010189</t>
  </si>
  <si>
    <t>LILY OKTAA</t>
  </si>
  <si>
    <t>411 , TINGKAT 4 , PANGSAPURI SERI INDAH , JALAN SUNGAI BESI INDAH 2 , TAMAN SUNGAI BESI INDAH , 43300 SERI KEMBANGAN   Seri Kembangan Selangor - my 43300</t>
  </si>
  <si>
    <t>NVMY34535000010081</t>
  </si>
  <si>
    <t>JABATAN LAUT MALAYSIA W.P.LABUAN JALAN MERDEKA 87020 W.P LABUAN   Labuan Labuan - my 87020</t>
  </si>
  <si>
    <t>NVMY34535000010197</t>
  </si>
  <si>
    <t>MOHAMAD SAIFFUL IQMARUDDIN</t>
  </si>
  <si>
    <t>Blok Kemboja 2n-4-1 Berek Polis Fasa 2 Lebuhraya Thean Theik ayer hitam pulau pinang, 11500, Penang  Ayer Itam Pulau Pinang - my 11500</t>
  </si>
  <si>
    <t>NVMY34535000010200</t>
  </si>
  <si>
    <t>MOHD HADI BIN MOHD HASHIM</t>
  </si>
  <si>
    <t>NO 102 JALAN PUTERA INDAH 9/14 TAMAN PUTERA INDAH, TONGKANG PECHAH 83010 BATU PAHAT JOHOR  Batu Pahat Johor - my 83010</t>
  </si>
  <si>
    <t>NVMY34535000010220</t>
  </si>
  <si>
    <t>NURLIYANA MOHD TERMIZE</t>
  </si>
  <si>
    <t>NO 17 JALAN MAKYONG 1C/KU5, BANDAR BUKIT RAJA 41050 KLANG, SELANGOR  Klang Selangor - my 41050</t>
  </si>
  <si>
    <t>NVMY34535000010248</t>
  </si>
  <si>
    <t>NVMY34535000010255</t>
  </si>
  <si>
    <t>IRFAN</t>
  </si>
  <si>
    <t>JLN SETIA 4 TAMAN SETIA INDAH BLOK 1, 02-08 TEBRAU 81100 JOHOR BAHRU JOHOR  Johor Bahru Johor - my 81100</t>
  </si>
  <si>
    <t>NVMY34535000010233</t>
  </si>
  <si>
    <t>MUHAMMAD KAMARULZAMAN BIN ZAKARIA</t>
  </si>
  <si>
    <t>NO237 RKT KESEDAR RENOK BARU 18300 GUA MUSANG KEL  Gua Musang Kelantan - my 18300</t>
  </si>
  <si>
    <t>AB1-GUA-27-10</t>
  </si>
  <si>
    <t>NVMY34535000010225</t>
  </si>
  <si>
    <t>Zafrilzam bin Zakaria</t>
  </si>
  <si>
    <t>Lot 934-8B, Jalan Ikan Keli, Kampung bukit Lanchong 40400 Shah Alam Selangor  Shah Alam Selangor - my 40400</t>
  </si>
  <si>
    <t>NVMY34535000010217</t>
  </si>
  <si>
    <t>LINDA SAUNDARI A/P MUNIANDY</t>
  </si>
  <si>
    <t>NO 11 LORONG 2 TAMAN KEKWA 09000 KULIM, KEDAH  Kulim Kedah - my 09000</t>
  </si>
  <si>
    <t>B2-KLM-15-40</t>
  </si>
  <si>
    <t>NVMY34535000010231</t>
  </si>
  <si>
    <t>Adam Razak</t>
  </si>
  <si>
    <t>lot 372 lorong tmn jelutong.jln salor.15100 kota Bharu.kelantan  Kota Bharu Kelantan - my 15100</t>
  </si>
  <si>
    <t>A1-WKB-29-1</t>
  </si>
  <si>
    <t>NVMY34535000010216</t>
  </si>
  <si>
    <t>SHURA MALEK</t>
  </si>
  <si>
    <t>NO 11 SERI SUTERA B2, BANDAR SERI BOTANI 31350 IPOH PERAK  Ipoh Perak - my 31350</t>
  </si>
  <si>
    <t>B3-HLD-13-48</t>
  </si>
  <si>
    <t>NVMY34535000010183</t>
  </si>
  <si>
    <t>SEVENTH-DAY ADVENTIST CORPORATION (M) SDN BHD</t>
  </si>
  <si>
    <t>22-1 JALAN 2/114 KUCHAI BUSINESS CENTRE 58200 KUALA LUMPUR  Kuala Lumpur Kuala Lumpur - my 58200</t>
  </si>
  <si>
    <t>NVMY34535000010235</t>
  </si>
  <si>
    <t>NVMY34535000010257</t>
  </si>
  <si>
    <t>EVONNE KHOR</t>
  </si>
  <si>
    <t>G1-8 JALAN TUN PERAK 2, TAMAN TUN PERAK 43200 CHERAS, SELANGOR  Kuala Lumpur Kuala Lumpur - my 43200</t>
  </si>
  <si>
    <t>NVMY34535000010206</t>
  </si>
  <si>
    <t>KELVIN</t>
  </si>
  <si>
    <t>NO 3 JALAN SAGA TAMAN SRI AMAN 83700 YONG PENG JOHOR  Yong Peng Johor - my 83700</t>
  </si>
  <si>
    <t>NVMY34535000010227</t>
  </si>
  <si>
    <t>Muhd nazry</t>
  </si>
  <si>
    <t>10-1, IMPIAN SERI SETIA@ PARK 51 JLN 18A SUNGAI WAY 46000 PETALING JAYA SELANGOR  Petaling Jaya Selangor - my 46000</t>
  </si>
  <si>
    <t>NVMY34535000010254</t>
  </si>
  <si>
    <t>AYU IZANY</t>
  </si>
  <si>
    <t>BLOK A2 - 2 - 14 TAMAN SERI JANGGUS JALAN SERI JANGGUS , ALMA BUKIT MERTAJAM PULAU PINANG   Bukit Mertajam Pulau Pinang - my 14000</t>
  </si>
  <si>
    <t>B2-BKM-15-47</t>
  </si>
  <si>
    <t>NVMY34535000010253</t>
  </si>
  <si>
    <t>Nur Baizura binti Ibrahim</t>
  </si>
  <si>
    <t>SATO Malaysia Electronics Manufacturing Sdn.Bhd, No 19, Persiaran Astana /KU 2, Bandar Bukit Raja, 41050, Klang Selangor  Klang Selangor - my 41050</t>
  </si>
  <si>
    <t>NVMY34535000010300</t>
  </si>
  <si>
    <t>NIK NUR IDAYU NIK MOHD YUSDI</t>
  </si>
  <si>
    <t>C-1-19 PPR TAMAN DANAU KOTA JLN 3/23D OFF GENTING KLANG TAMAN DANAU KOTA 53300 WP KL  Kuala Lumpur Kuala Lumpur - my 53300</t>
  </si>
  <si>
    <t>D2-DNK-16-116</t>
  </si>
  <si>
    <t>NVMY34535000010215</t>
  </si>
  <si>
    <t>NURFAH COLLECTION</t>
  </si>
  <si>
    <t>NURFAH COLLECTION, SU 10 ECONSAVE CASH &amp; CARYY SDN BHD BANDAR BARU SG UDANG 76300 SUNGAI UDANG, MELAKA  Sungai Udang Melaka - my 76300</t>
  </si>
  <si>
    <t>NVMY34535000010278</t>
  </si>
  <si>
    <t>NURUL HIDAYAH BT MOHD SUHAIMI</t>
  </si>
  <si>
    <t>LOT PT 5598 JALAN CHABANG LORONG ANGGERIK 4/3 KG BARU KERTEH 24300 KEMAMAN TERENGGANU   Kerteh Terengganu - my 24300</t>
  </si>
  <si>
    <t>NVMY34535000010213</t>
  </si>
  <si>
    <t>SAZALINA (01135571915)</t>
  </si>
  <si>
    <t>IBU PEJABAT POLIS DAERAH KUALA KRAI 18000 KUALA KRAI, KELANTAN  Kuala Krai Kelantan - my 18000</t>
  </si>
  <si>
    <t>A1-RAI-27-7</t>
  </si>
  <si>
    <t>NVMY34535000010230</t>
  </si>
  <si>
    <t>Muhammad bin abdul ghani</t>
  </si>
  <si>
    <t>Pt10051 jln 9, tmn wira perdana, bandar baru, 18300 gua musang, Kelantan  Gua Musang Kelantan - my 18300</t>
  </si>
  <si>
    <t>NVMY34535000010247</t>
  </si>
  <si>
    <t>AHMAD FARIS NUR BIN NUR ZORI</t>
  </si>
  <si>
    <t>PT 1403 KG REPEK JALAN KANDIS 16310 BACHOK, KELANTAN  Bachok Kelantan - my 16310</t>
  </si>
  <si>
    <t>NVMY34535000010218</t>
  </si>
  <si>
    <t>SERI</t>
  </si>
  <si>
    <t>NO 12 JALAN RUMBIA 46 TAMAN DAYA 81100 JOHOR BAHRU, JOHOR  Johor Bahru Johor - my 81100</t>
  </si>
  <si>
    <t>NVMY34535000010242</t>
  </si>
  <si>
    <t>TN HAJI ISMADI SHAHNIZAM</t>
  </si>
  <si>
    <t>NVMY34535000010228</t>
  </si>
  <si>
    <t>SAIDE BIN HAMAT</t>
  </si>
  <si>
    <t>KAMPUNG KUBANG TEBIT 16600 PULAI CHONDONG KELANTAN  Pulai Chondong Kelantan - my 16600</t>
  </si>
  <si>
    <t>NVMY34535000010207</t>
  </si>
  <si>
    <t>REJOL LAMUDIN</t>
  </si>
  <si>
    <t>WINAWANG SDN BHD LOT 5-2 2ND FLOOR LINTAS PLAZA 88300 KOTA KINABALU SABAH  Penampang Sabah - my 88300</t>
  </si>
  <si>
    <t>NVMY34535000010173</t>
  </si>
  <si>
    <t>RABIATUL ADAWIYAH BINTI MOHAMAD REDZUAN</t>
  </si>
  <si>
    <t>KG CHENERAI MUKIM SIONG 09100 BALING KEDAH DARUL AMAN  Baling Kedah - my 09100</t>
  </si>
  <si>
    <t>NVMY34535000010214</t>
  </si>
  <si>
    <t>MASITAH BINTI MAMAT</t>
  </si>
  <si>
    <t>6458-1 JALAN BESAR JERTEH KAMPUNG GONG PENAGA RENEK, 22020 JERTEH, TERENGGANU  Jerteh Terengganu - my 22020</t>
  </si>
  <si>
    <t>NVMY34535000010219</t>
  </si>
  <si>
    <t>WAN FAIZAH BINTI WAN ZAKARIA</t>
  </si>
  <si>
    <t>NO 204 TAMAN DESA PUTRA KAMPUNG BANGGOL TUAN MUDA, MANIR 21200 KUALA TERENGGANU  Kuala Terengganu Terengganu - my 21200</t>
  </si>
  <si>
    <t>NVMY34535000010273</t>
  </si>
  <si>
    <t>nuraisyah</t>
  </si>
  <si>
    <t xml:space="preserve"> lot 2577, jalan ara surau 2, kampung sungai yu 45500 tanjung karang, selangor  Tanjong Karang Selangor - my 45500</t>
  </si>
  <si>
    <t>D3-KSR-14-119</t>
  </si>
  <si>
    <t>NVMY34535000010223</t>
  </si>
  <si>
    <t>NVMY34535000010274</t>
  </si>
  <si>
    <t>ANUAR BIN IBRAHIM</t>
  </si>
  <si>
    <t>D1-15, BLOK D APARTMENT PERMAI, JALAN SUBANG PERMAI TAMAN SUBANG PERMAI 47600 SUBANG JAYA, SELANGOR  Subang Jaya Selangor - my 47600</t>
  </si>
  <si>
    <t>NVMY34535000010224</t>
  </si>
  <si>
    <t>AH FAI</t>
  </si>
  <si>
    <t>PT.4281 ,TAMAN PUTERA,KG.GONG KEPAS DALAM,22200 BESUT,TERENGGANU  Kampung Raja Terengganu - my 22200</t>
  </si>
  <si>
    <t>NVMY34535000010281</t>
  </si>
  <si>
    <t>PUAN ZUBAIDAH</t>
  </si>
  <si>
    <t>NO 36 JALAN MARMAR 7/30 SEK7 40000 SHAH ALAM SELANGOR   Shah Alam Selangor - my 40000</t>
  </si>
  <si>
    <t>NVMY34535000010234</t>
  </si>
  <si>
    <t>Sultan (b)</t>
  </si>
  <si>
    <t>3A kg Bkt Kelulut Bahau 72100 N.Sembilan  Seremban Negeri Sembilan - my 72100</t>
  </si>
  <si>
    <t>NVMY34535000010249</t>
  </si>
  <si>
    <t>NVMY34535000010252</t>
  </si>
  <si>
    <t>AIN NAZIHAH BINTI ABDUL RAZAK</t>
  </si>
  <si>
    <t>JERAI TELECOMMUNICATION NO 300 , JALAN YAN , GUAR CEMPEDAK , 08800 GURUN KEDAH   Gurun Kedah - my 08800</t>
  </si>
  <si>
    <t>A3-GRN-23-21</t>
  </si>
  <si>
    <t>NVMY34535000010251</t>
  </si>
  <si>
    <t>NOR AZILA BINTI SAIDDIN</t>
  </si>
  <si>
    <t>1B-01-05 JALAN SUNGAI AIR PUTIH 2/3 BANDAR BARU AIR PUTIH 11000 BALIK PULAU, PULAU PINANG  Balik Pulau Pulau Pinang - my 11000</t>
  </si>
  <si>
    <t>PEN-PEN</t>
  </si>
  <si>
    <t>NVMY34535000010222</t>
  </si>
  <si>
    <t>Maria Razali</t>
  </si>
  <si>
    <t>No 14, Jalan Permas 11/ 14, Bandar Baru Permas Jaya, 81750 Masai, Johor.  Masai Johor - my 81750</t>
  </si>
  <si>
    <t>NVMY34535000010221</t>
  </si>
  <si>
    <t>BONDA NORHAYATI</t>
  </si>
  <si>
    <t>PT 3758 JLN ORKID UTAMA KG CHEGAR TAMBAHAN JALAN SUNGKAI 35500 BIDOR PERAK  Bidor Perak - my 35500</t>
  </si>
  <si>
    <t>B3-TAP-13-51</t>
  </si>
  <si>
    <t>NVMY34535000010238</t>
  </si>
  <si>
    <t>Muhamad Zaid</t>
  </si>
  <si>
    <t>173-A Kampung Seberang Kastam 22200 Besut Terengganu  Kampung Raja Terengganu - my 22200</t>
  </si>
  <si>
    <t>NVMY34535000010246</t>
  </si>
  <si>
    <t>AJIM</t>
  </si>
  <si>
    <t>PANDAN MEWAH HEIGHTS CONDOMINIUM B3-3-5 PANDAN MEWAH HEIGHTS JALAN PANDAN MEWAH 1 68000 AMPANG, SELANGOR  Ampang Selangor - my 68000</t>
  </si>
  <si>
    <t>NVMY34535000010268</t>
  </si>
  <si>
    <t>Manisha Malik</t>
  </si>
  <si>
    <t>T3-10-13, LAKEFRONT HOMES, PERSIARAN SEPANG, CYBER 11, 63000 CYBERJAYA, SELANGOR  Shah Alam Selangor - my 63000</t>
  </si>
  <si>
    <t>D4-CJY-8-132</t>
  </si>
  <si>
    <t>NVMY34535000010232</t>
  </si>
  <si>
    <t>Wakle ganu</t>
  </si>
  <si>
    <t>No 38 jln bungai teratai taman aman 81400 senai johor  Senai Johor - my 81400</t>
  </si>
  <si>
    <t>C1-SEN-7-73</t>
  </si>
  <si>
    <t>NVMY34535000010193</t>
  </si>
  <si>
    <t>Mohamad Azri Bin Abd Rashad</t>
  </si>
  <si>
    <t>No.38 Jalan Jeram Pantai, Jalan Tambak Tengah, 45800 Jeram, Selangor Darul Ehsan  Jeram Selangor - my 45800</t>
  </si>
  <si>
    <t>NVMY34535000010289</t>
  </si>
  <si>
    <t>AISHAH BT AZAMI</t>
  </si>
  <si>
    <t>NO 15, JALAN SUASANA 2/8A, BANDAR TUN HUSSEIN ONN 43200 CHERAS SELANGOR  Kuala Lumpur Kuala Lumpur - my 43200</t>
  </si>
  <si>
    <t>NVMY34535000010236</t>
  </si>
  <si>
    <t>Johari mohamad</t>
  </si>
  <si>
    <t>284 lorong14 tmn keratong indah 26900 bdr tun razak phg  Bandar Tun Abdul Razak Pahang - my 26900</t>
  </si>
  <si>
    <t>NVMY34535000010258</t>
  </si>
  <si>
    <t>SYAFIQAH CHE MAT</t>
  </si>
  <si>
    <t>12-12 SIMFONI 2, JALAN ANGGERIK VILLA 2/3, TAMAN ANGGERIK PERDANA 43500 SEMENYIH SELANGOR  Shah Alam Selangor - my 43500</t>
  </si>
  <si>
    <t>D4-SYH-8-131</t>
  </si>
  <si>
    <t>NVMY34535000010245</t>
  </si>
  <si>
    <t>MAMI SUZAN</t>
  </si>
  <si>
    <t>14, JALAN BUKIT INDAH 1/9 TAMAN BUKIT INDAH 68000 AMPANG, SELANGOR  Ampang Selangor - my 68000</t>
  </si>
  <si>
    <t>NVMY34535000010290</t>
  </si>
  <si>
    <t>NUR HAZMIRA</t>
  </si>
  <si>
    <t>NO 18 JALAN INDAH TAMAN DESA INDAH 71800 NILAI NEGERI SEMBILAN  Labu Negeri Sembilan - my 71800</t>
  </si>
  <si>
    <t>NVMY34535000010299</t>
  </si>
  <si>
    <t>AHMAD DASUKI</t>
  </si>
  <si>
    <t>NO 80 JALAN SG 9/29 TAMAN SRI GOMBAK 68100 BATU CAVES, SELANGOR  Batu Caves Selangor - my 68100</t>
  </si>
  <si>
    <t>NVMY34535000010185</t>
  </si>
  <si>
    <t>AFIQ ADLI</t>
  </si>
  <si>
    <t>MAHALLAH AS SIDDIQ UNIVERSITI ISLAM ANTARABANGSA MALAYSIA, BLOCK C, JALAN GOMBAK 53100 SETAPAK GOMBAK KUALA LUMPUR  Hulu Langat Kuala Lumpur - my 53100</t>
  </si>
  <si>
    <t>NVMY34535000010280</t>
  </si>
  <si>
    <t>NORHASHIMAH</t>
  </si>
  <si>
    <t>NO 16 JALAN 13/1 KAMPUNG MELAYU FRIM KEPONG 52100 KUALA LUMPUR   Kuala Lumpur Kuala Lumpur - my 52100</t>
  </si>
  <si>
    <t>NVMY34535000010304</t>
  </si>
  <si>
    <t>FAUZI</t>
  </si>
  <si>
    <t>BLOK G1, NO BP 158, PASAR BESAR KEDAI PAYANG 2, 20000 KUALA TERENGGANU, TERENGGANU DARUL IMAN  Kuala Terengganu Terengganu - my 20000</t>
  </si>
  <si>
    <t>NVMY34535000010286</t>
  </si>
  <si>
    <t>NOOR MASTIRA BINTI YAHYA</t>
  </si>
  <si>
    <t>KOPERASI SMK SERI ISKANDAR , 32610 SERI ISKANDAR PERAK   Bandar Seri Iskandar Perak - my 32610</t>
  </si>
  <si>
    <t>B3-GAJ-13-49</t>
  </si>
  <si>
    <t>NVMY34535000010277</t>
  </si>
  <si>
    <t>dauda bin ali</t>
  </si>
  <si>
    <t>915 A jalan masjid kg pengkalan chengal 16050 bachok kelantan  Bachok Kelantan - my 16050</t>
  </si>
  <si>
    <t>NVMY34535000010261</t>
  </si>
  <si>
    <t>ATCK KAPT ZAHUREEN</t>
  </si>
  <si>
    <t>TIMBALAN KETUA ATCK MK 92 ATCK KEM GENTING KLANG LOT 20018 MUKIM SETAPAK 53300 KL  Kuala Lumpur Kuala Lumpur - my 53300</t>
  </si>
  <si>
    <t>NVMY34535000010307</t>
  </si>
  <si>
    <t>NIK HASBOLLAH</t>
  </si>
  <si>
    <t>NIK IKAN BAKAR NO 1 MEDAN SELERA MASJID KAYANGAN BRINCHANG 39100 CAMERON HIGHLANDS PAHANG  Brinchang Pahang - my 39100</t>
  </si>
  <si>
    <t>NVMY34535000010313</t>
  </si>
  <si>
    <t>NUR AZIRA BINTI FAUZI</t>
  </si>
  <si>
    <t>C-02-32, SELESA 1-RESORT APARTMENT JALAN DAMAI MEWAH 2, TAMAN DAMAI MEWAH 43000 KAJANG SELANGOR  Kajang Selangor - my 43000</t>
  </si>
  <si>
    <t>NVMY34535000010271</t>
  </si>
  <si>
    <t>shubri</t>
  </si>
  <si>
    <t>No. 361-A, KESEDAR PALOH 3 RKT PALOH 18300 GUA MUSANG KELANTAN  Gua Musang Kelantan - my 18300</t>
  </si>
  <si>
    <t>NVMY34535000010243</t>
  </si>
  <si>
    <t>Muhammad Arman bin Muhammad Saleem</t>
  </si>
  <si>
    <t>Lorong kuala laut 1 no 77 kampung Likas 88400 kota Kinabalu Sabah  Penampang Sabah - my 88400</t>
  </si>
  <si>
    <t>NVMY34535000010302</t>
  </si>
  <si>
    <t>ABDUL SHALIHIN BIN AHMAD SUKRI</t>
  </si>
  <si>
    <t>LOT 1396 JALAN SEKAYU KG PADANG SETAR 21700 KUALA BERANG HULU TERENGGANU, TERENGGANU  Kuala Berang Terengganu - my 21700</t>
  </si>
  <si>
    <t>A2-AJL-25-13</t>
  </si>
  <si>
    <t>NVMY34535000010272</t>
  </si>
  <si>
    <t>Nur Syakirah Bt Mohd Zaidi</t>
  </si>
  <si>
    <t>Lot 1946 Jalan Taman Makmur Chicha 16150 Kota bharu Kelantan  Kota Bharu Kelantan - my 16150</t>
  </si>
  <si>
    <t>A1-KBR-29-4</t>
  </si>
  <si>
    <t>NVMY34535000010284</t>
  </si>
  <si>
    <t>LOT 999 &amp; 1454 JALAN KUALA KANGSAR 34700 SIMPANG TAIPING PERAK  Simpang Perak - my 34700</t>
  </si>
  <si>
    <t>NVMY34535000010285</t>
  </si>
  <si>
    <t>MUHAMMAD FAIRUZ BIN ABD RAHMAN</t>
  </si>
  <si>
    <t>GOMBAK HORSE RIDING CLUB , LOT 5639 , JALAN SG PASU , KAMPUNG SUNGAI PASU , 53100 KUALA LUMPUR   Hulu Langat Kuala Lumpur - my 53100</t>
  </si>
  <si>
    <t>NVMY34535000010306</t>
  </si>
  <si>
    <t>SHAKIRAH AHMAT</t>
  </si>
  <si>
    <t>NO 12 JALAN BUNGA RAYA 11/3, TAMAN TASIK JAYA, SENAWANG 70400 NEGERI SEMBILAN  Seremban Negeri Sembilan - my 70400</t>
  </si>
  <si>
    <t>NVMY34535000010303</t>
  </si>
  <si>
    <t>NVMY34535000010276</t>
  </si>
  <si>
    <t>NVMY34535000010308</t>
  </si>
  <si>
    <t>GADIS BUNDLE</t>
  </si>
  <si>
    <t>LOT 1346 JALAN MASJID KAMPUNG GUAL SITOK 17200 RANTAU PANJANG, KELANTAN  Rantau Panjang Kelantan - my 17200</t>
  </si>
  <si>
    <t>A1-PAS-27-5</t>
  </si>
  <si>
    <t>NVMY34535000010298</t>
  </si>
  <si>
    <t>Muhammad iqbal</t>
  </si>
  <si>
    <t>BLOK M 013 JALAN BATU NILAM 34 BANDAR BUKIT TINGGI 2 41200 SELANGOR  Klang Selangor - my 41200</t>
  </si>
  <si>
    <t>D5-BTK-4-139</t>
  </si>
  <si>
    <t>NVMY34535000010283</t>
  </si>
  <si>
    <t>ZAHARIZA BINTI ZAKARIA</t>
  </si>
  <si>
    <t>F579 KAMPUNG PERMATANG KERAMAT 06900 YAN, KEDAH  Yan Kedah - my 06900</t>
  </si>
  <si>
    <t>NVMY34535000010309</t>
  </si>
  <si>
    <t>PUAN WAHIDA MOHD YUSOFF</t>
  </si>
  <si>
    <t>NO 8 JALAN BELIUNG 4 TAMAN KERIS LAKSAMANA KOMPLEKS PENJARA SUNGAI UDANG 76300 SUNGAI UDANG, MELAKA  Sungai Udang Melaka - my 76300</t>
  </si>
  <si>
    <t>NVMY34535000010266</t>
  </si>
  <si>
    <t>NURUL FATIHAH BINTI AHMAD NAZRI</t>
  </si>
  <si>
    <t>No16, lorong aman 2, taman changkat aman , changkat jering 34850 , taiping , perak  Changkat Jering Perak - my 34850</t>
  </si>
  <si>
    <t>NVMY34535000010267</t>
  </si>
  <si>
    <t>Wan norhasima binti wansamsudin</t>
  </si>
  <si>
    <t>No 106, selendang 4, 26800 kuala rompin, pahang  Kuala Rompin Pahang - my 26800</t>
  </si>
  <si>
    <t>B1-RPN-17-35</t>
  </si>
  <si>
    <t>NVMY34535000010259</t>
  </si>
  <si>
    <t>SURIYATI ABDUL RAHMAN</t>
  </si>
  <si>
    <t>SEKOLAH KEBANGSAAN KG GELAM 71000 PORT DICKSON  Port Dickson Negeri Sembilan - my 71000</t>
  </si>
  <si>
    <t>NVMY34535000010297</t>
  </si>
  <si>
    <t>NVMY34535000010275</t>
  </si>
  <si>
    <t>Mohd Hairi Bin Md Rahim</t>
  </si>
  <si>
    <t>PT 7840 Kg.Tanjung Laboh, Tehel, 77200 Bemban, Melaka.  Bemban Melaka - my 77200</t>
  </si>
  <si>
    <t>NVMY34535000010269</t>
  </si>
  <si>
    <t>Nur Shahirah bt Rosli</t>
  </si>
  <si>
    <t>D-23A-07 RESIDENSI PANDANMAS 2, LORONG DELAPAN, KAMPUNG PANDAN, 55100, KUALA LUMPUR   Kuala Lumpur Kuala Lumpur - my 55100</t>
  </si>
  <si>
    <t>NVMY34535000010291</t>
  </si>
  <si>
    <t>NURUL NAJMINA BINTI MUHAMAD JUDIN</t>
  </si>
  <si>
    <t>NO 13, TAMAN BAGAN INDAH , JALAN BAGAN INDAH 3, 05400 ALOR SETAR KEDAH  Alor Setar Kedah - my 05400</t>
  </si>
  <si>
    <t>NVMY34535000010187</t>
  </si>
  <si>
    <t>MUHAMMAD SYAHMIN BIN KAMARUDIN</t>
  </si>
  <si>
    <t>NO 39-1 JLN RAJA UDA KAMPUNG BARU 53000 KUALA LUMPUR  Kuala Lumpur Kuala Lumpur - my 53000</t>
  </si>
  <si>
    <t>NVMY34535000010264</t>
  </si>
  <si>
    <t>Musfirah binti Mohamad Nasser</t>
  </si>
  <si>
    <t>No 2, lorong 11/ss6 Bandar Tasek Mutiara 14120 Simpang Ampat, Penang   Simpang Ampat Pulau Pinang - my 14100</t>
  </si>
  <si>
    <t>NVMY34535000010279</t>
  </si>
  <si>
    <t>ABDULLAH BIN YAACOB</t>
  </si>
  <si>
    <t>NO 05 BLOK 04 FELDA CIKU 06, 18300 GUA MUSANG KELANTAN  Gua Musang Kelantan - my 18300</t>
  </si>
  <si>
    <t>NVMY34535000010292</t>
  </si>
  <si>
    <t>siti norsaniah</t>
  </si>
  <si>
    <t>no.304 blok c felda palong 2 73450 gemas , negeri sembilan.  Pusat Bandar Palong Negeri Sembilan - my 73450</t>
  </si>
  <si>
    <t>NVMY34535000010296</t>
  </si>
  <si>
    <t>NUR ATTASNIM MUHAMAD AZMAN</t>
  </si>
  <si>
    <t>Kampung Bemban Kelar, 17040 Pasir Mas, Kelantan  Pasir Mas Kelantan - my 17040</t>
  </si>
  <si>
    <t>NVMY34535000010265</t>
  </si>
  <si>
    <t>Nooraslina ideros</t>
  </si>
  <si>
    <t>Lot 1721, Jalan Landasan, Bukit Kuda,41300 Klang  Klang Selangor - my 41300</t>
  </si>
  <si>
    <t>NVMY34535000010282</t>
  </si>
  <si>
    <t>HALIMATON SAADIAH AHMAD</t>
  </si>
  <si>
    <t>VILLA BAIDURI , UNIT 01-21 , TIARA AMPANG CONDOMINIUM , KM7 JALAN AMPANG , 68000 AMPANG SELANGOR   Ampang Selangor - my 68000</t>
  </si>
  <si>
    <t>NVMY34535000010346</t>
  </si>
  <si>
    <t>NOR HAYATI BT MAT HASSAN</t>
  </si>
  <si>
    <t>LOT 2479 KAMPUNG PELANDAN 21700 KUALA BERANG HULU TERENGGANU, TERENGGANU  Kuala Berang Terengganu - my 21700</t>
  </si>
  <si>
    <t>NVMY34535000010287</t>
  </si>
  <si>
    <t>NVMY34535000010293</t>
  </si>
  <si>
    <t>Farisya Athira</t>
  </si>
  <si>
    <t xml:space="preserve"> KIOSK 2KRS, K2-01-01 KAFE JTMK POLITEKNIK MERSING, JALAN NITAR, 86800, MERSING, JOHOR  Mersing Johor - my 86800</t>
  </si>
  <si>
    <t>NVMY34535000010288</t>
  </si>
  <si>
    <t>B3-CMN-13-54</t>
  </si>
  <si>
    <t>NVMY34535000010301</t>
  </si>
  <si>
    <t>WAN MUHAMMAD SYAHMI BIN WAN ABD RASID</t>
  </si>
  <si>
    <t>NO BILIK 06211, BLOK SOLEH, INSTITUT PENDIDIKAN GURU KAMPUS TUN HUSSEIN ONN KM 7.75 JALAN KLUANG 83000 BATU PAHAT JOHOR  Batu Pahat Johor - my 83000</t>
  </si>
  <si>
    <t>YPG-YPG</t>
  </si>
  <si>
    <t>NVMY34535000010329</t>
  </si>
  <si>
    <t>FB MALIKI BIN MOHD</t>
  </si>
  <si>
    <t>JURUTERA DAERAH JABATAN PENGAIRAN DAN SALIRAN DAERAH BESUT KAMPUNG RAJA 22200 TERENGGANU  Kampung Raja Terengganu - my 22200</t>
  </si>
  <si>
    <t>NVMY34535000010270</t>
  </si>
  <si>
    <t>nana binti abd samat</t>
  </si>
  <si>
    <t>penuh :no 22A jalan gemilang 2/5 taman banang jaya,83000 batu pahat johor  Batu Pahat Johor - my 83000</t>
  </si>
  <si>
    <t>NVMY34535000010325</t>
  </si>
  <si>
    <t>mohd sabri</t>
  </si>
  <si>
    <t>Blok 12-1 PAKR, Banggol Peradong, 21200 kuala Terengganu  Kuala Terengganu Terengganu - my 21200</t>
  </si>
  <si>
    <t>NVMY34535000010332</t>
  </si>
  <si>
    <t>AMIRULAKBAR BIN AMIR</t>
  </si>
  <si>
    <t>JKR 1330 (P) A KUARTERS GURU SK SIMPANG PELANGAI 28740 BENTONG, PAHANG  Bentong Pahang - my 28740</t>
  </si>
  <si>
    <t>NVMY34535000010305</t>
  </si>
  <si>
    <t>Kak Ju</t>
  </si>
  <si>
    <t>01 - 06, Blok LM 14 Jalan Enau 16 Taman Daya 81100 Johor Bahru Johor Darul Ta'zim  Johor Bahru Johor - my 81100</t>
  </si>
  <si>
    <t>NVMY34535000010310</t>
  </si>
  <si>
    <t>DANIEL</t>
  </si>
  <si>
    <t>NO 13 JLN BESERI PERMAI EMPAT TAMAN BESERI PERMAI 02400 PERLIS  Kangar Perlis - my 02400</t>
  </si>
  <si>
    <t>A3-BSR-23-22</t>
  </si>
  <si>
    <t>NVMY34535000010295</t>
  </si>
  <si>
    <t>siti nursuhaila binti rozami</t>
  </si>
  <si>
    <t>Rumah :no.8 kg baru binjul dalam 09310 kuala ketil Kedah darul aman  Kuala Ketil Kedah - my 09310</t>
  </si>
  <si>
    <t>NVMY34535000010340</t>
  </si>
  <si>
    <t>ROSNAH</t>
  </si>
  <si>
    <t>4478 KG PULAU TEBU 16010 KOTA BHARU KELANTAN  Kota Bharu Kelantan - my 16010</t>
  </si>
  <si>
    <t>NVMY34535000010263</t>
  </si>
  <si>
    <t>MOHD AZIZOL BIN ZAKARIA</t>
  </si>
  <si>
    <t>NO 31 JALAN MASAI JAYA 1 PLENTONG 81750 JOHOR BAHRU, JOHOR  Masai Johor - my 81750</t>
  </si>
  <si>
    <t>NVMY34535000010319</t>
  </si>
  <si>
    <t>JADE ESERVICES MALAYSIA SDN BHD</t>
  </si>
  <si>
    <t>BLOCK A, MAPLETREE DISTRIPARK PERSIARAN PERUSAHAAN SEKSYEN 23 SHAH ALAM 40300 SELANGOR  Shah Alam Selangor - my 40300</t>
  </si>
  <si>
    <t>NVMY34535000010335</t>
  </si>
  <si>
    <t>NVMY34535000010184</t>
  </si>
  <si>
    <t>ATTN TRADE OPERATIONS SECTION</t>
  </si>
  <si>
    <t>BANK PERTANIAN MALAYSIA BERHAD (AGROBANK) TRADE FINANCE DEPARTMENT SUITE 8.0, 8TH FLOOR WISMA MARAN NO 28 MEDAN PASAR 50050 KUALA LUMPUR   Kuala Lumpur Kuala Lumpur - my 50050</t>
  </si>
  <si>
    <t>NVMY34535000010369</t>
  </si>
  <si>
    <t>Normayani bt  mat radzi</t>
  </si>
  <si>
    <t>Pantai timor shopping centre  rantau shd bhd no4171 .4179jalan lebuh raya17200rantau panjang kelantau Darul naim  Rantau Panjang Kelantan - my 17200</t>
  </si>
  <si>
    <t>NVMY34535000010365</t>
  </si>
  <si>
    <t>Ida</t>
  </si>
  <si>
    <t>320 JALAN 18/3 TAMAN SERI SERDANG 43300 SERI KEMBANGAN SELANGOR D.E  Seri Kembangan Selangor - my 43300</t>
  </si>
  <si>
    <t>NVMY34535000010379</t>
  </si>
  <si>
    <t>MIZA SHUHADA</t>
  </si>
  <si>
    <t>LOT 1159 KG PAYA BEMBAN JLN HOSPITAL 15000 KOTA BHARU KELANTAN  Kota Bharu Kelantan - my 15000</t>
  </si>
  <si>
    <t>NVMY34535000010328</t>
  </si>
  <si>
    <t>Wan</t>
  </si>
  <si>
    <t>No 24 jalan kemboja Kampung melayu 86000 kluang johor  Kluang Johor - my 86000</t>
  </si>
  <si>
    <t>NVMY34535000010342</t>
  </si>
  <si>
    <t>Nurul Najihah Binti Noor Hassim</t>
  </si>
  <si>
    <t>19, Jalan Kosas 1/8 Taman Kosas, 68000 Ampang, Selangor  Ampang Selangor - my 68000</t>
  </si>
  <si>
    <t>NVMY34535000010315</t>
  </si>
  <si>
    <t>MOHD HAFIZ B ISHAK</t>
  </si>
  <si>
    <t>NO 30 JALAN TP 7/F TAMAN PERINDUSTRIAN UEP 47620 SUBANG JAYA SELANGOR  Subang Jaya Selangor - my 47620</t>
  </si>
  <si>
    <t>NVMY34535000010348</t>
  </si>
  <si>
    <t>Muhammad Hatim bin Nawi</t>
  </si>
  <si>
    <t>Belakang Kedai Ayam Proses Tok Bilal Kampung Telaga Nibong 22000 Jerteh Besut Terengganu  Jerteh Terengganu - my 22000</t>
  </si>
  <si>
    <t>NVMY34535000010345</t>
  </si>
  <si>
    <t>Nur Fatin Anis Binti Zambery</t>
  </si>
  <si>
    <t>1033 Jambatan Merdeka,13200 Kepala Batas,Pulau Pinang  Kepala Batas Pulau Pinang - my 13200</t>
  </si>
  <si>
    <t>NVMY34535000010354</t>
  </si>
  <si>
    <t>Roseddy Ab Rahman</t>
  </si>
  <si>
    <t>Ps 2,kampung kandis 16800 pasir puteh Kelantan  Pasir Puteh Kelantan - my 16800</t>
  </si>
  <si>
    <t>NVMY34535000010341</t>
  </si>
  <si>
    <t>Noor Aznieza</t>
  </si>
  <si>
    <t>Lot 3055-5 Lorong Rom, Jalan Cempaka Biru, Kg Dato Abu Bakar Baginda, 43650 Bangi  Bandar Baru Bangi Selangor - my 43650</t>
  </si>
  <si>
    <t>NVMY34535000010356</t>
  </si>
  <si>
    <t>MOHAMAD RAZAK</t>
  </si>
  <si>
    <t>TAPAK SEMAIAN MAWAR LOT 1 JLN BUNGA MAWAR.TAMAN PANDAN INDAH,55100  KUALA LUMPUR,SELANGOR  Kuala Lumpur Kuala Lumpur - my 55100</t>
  </si>
  <si>
    <t>NVMY34535000010338</t>
  </si>
  <si>
    <t>TAJUDIN BIN OTHMAN</t>
  </si>
  <si>
    <t>NO 11 JLN TPI 12, TMN PANDAN INDAH, LORONG PANDAN 75250 MELAKA  Melaka Melaka - my 75250</t>
  </si>
  <si>
    <t>C3-PIA-3-86</t>
  </si>
  <si>
    <t>NVMY34535000010262</t>
  </si>
  <si>
    <t>PEJ KPPP PW 1 SABRI</t>
  </si>
  <si>
    <t>KETUA PENGARAH PERISIKAN PERTAHANAN MALAYSIA DEFENCE INTELLIGENCE ORGANISATION KEMENTERIAN PERTAHANAN JALAN PADANG TEMBAK 50634 KL  Kuala Lumpur Kuala Lumpur - my 50634</t>
  </si>
  <si>
    <t>NVMY34535000010260</t>
  </si>
  <si>
    <t>JA KRD KAPT SYUHAIDA</t>
  </si>
  <si>
    <t>PENGARAH KOR RISIK DIRAJA JABATAN ARAH RISIK MARKAS TENTERA DARAT WISMA PERTAHANAN JALAN PADANG TEMBAK 50634 KL  Kuala Lumpur Kuala Lumpur - my 50634</t>
  </si>
  <si>
    <t>NVMY34535000010326</t>
  </si>
  <si>
    <t>Mohamad izzat bin amran</t>
  </si>
  <si>
    <t>Lot 1087 A jln labu bt 13 kg jerengkang 71900 nilai negeri sembilan  Labu Negeri Sembilan - my 71900</t>
  </si>
  <si>
    <t>NVMY34535000010359</t>
  </si>
  <si>
    <t>Rozaidy Bin Abdol Rani</t>
  </si>
  <si>
    <t>No. 7 Jalan 4 Taman Jati Batu 16 48000 Rawang, Selangor  Kuala Lumpur Kuala Lumpur - my 48000</t>
  </si>
  <si>
    <t>NVMY34535000010320</t>
  </si>
  <si>
    <t>Abdul halim b. che izham</t>
  </si>
  <si>
    <t>no.83 kg. wang kelian kaki bukit 02200 perlis  Kaki Bukit Perlis - my 02200</t>
  </si>
  <si>
    <t>NVMY34535000010327</t>
  </si>
  <si>
    <t>Mohamad asri bin yahaya</t>
  </si>
  <si>
    <t>No 2 taman beseri permai 02400 kangar Perlis  Kangar Perlis - my 02400</t>
  </si>
  <si>
    <t>NVMY34535000010378</t>
  </si>
  <si>
    <t>MUNIRAH BT MOHD ZAKI</t>
  </si>
  <si>
    <t>JABATAN UKUR &amp; PEMETAAN TERENGGANU TINGKAT 7, WISMA PERSEKUTUAN 20578, KUALA TERENGGANU  Kuala Terengganu Terengganu - my 20578</t>
  </si>
  <si>
    <t>NVMY34535000010316</t>
  </si>
  <si>
    <t>ALAN TAN CAMPAP MARKETING SDN BHD</t>
  </si>
  <si>
    <t>6428, LORONG MAK MANDIN TIGA, MAK MANDIN INDUSTRIAL ESTATE 13400 BUTTERWORTH PENANG  Butterworth Pulau Pinang - my 13400</t>
  </si>
  <si>
    <t>NVMY34535000010318</t>
  </si>
  <si>
    <t>FARIDAH YASMIN</t>
  </si>
  <si>
    <t>NO 2A-1, AWANA SERI MEWAH, JLN 2/6C, TAMAN SERI MEWAH, 43000 KAJANG, SELANGOR  Kajang Selangor - my 43000</t>
  </si>
  <si>
    <t>NVMY34535000010317</t>
  </si>
  <si>
    <t>ROHAIDA WANIE BINTI ZAINAL ABIDIN</t>
  </si>
  <si>
    <t>NO 262 LORONG MUTIARA GALA 10/2 TAMAN MUTIARA GALA OFF JALAN LABU 70200 SEREMBAN, NEGERI SEMBILAN  Seremban Negeri Sembilan - my 70200</t>
  </si>
  <si>
    <t>NVMY34535000010374</t>
  </si>
  <si>
    <t>MUHAMMAD AMIR SYAZWAN BIN NOOR AHMAD</t>
  </si>
  <si>
    <t>NO 222, KAMPUNG LAK LOK BESUT 22200 TERENGGANU  Kampung Raja Terengganu - my 22200</t>
  </si>
  <si>
    <t>NVMY34535000010360</t>
  </si>
  <si>
    <t>NUR ZAKIRAH BT SANAWI</t>
  </si>
  <si>
    <t>NO 341 (B) BLOK 15 FELDA KERATONG 8 PERANTAU DAMAI 26700 MUADZAM SHAH   Muadzam Shah Pahang - my 26700</t>
  </si>
  <si>
    <t>B1-MSH-17-37</t>
  </si>
  <si>
    <t>NVMY34535000010343</t>
  </si>
  <si>
    <t>Nurul Hanisah Mohd Nazarna</t>
  </si>
  <si>
    <t>Lot 1027/B, Kampung Tal Tujuh, 17000 Pasir Mas, Kelantan  Pasir Mas Kelantan - my 17000</t>
  </si>
  <si>
    <t>NVMY34535000010314</t>
  </si>
  <si>
    <t>ZAINUL ARIFFIN</t>
  </si>
  <si>
    <t>NO 50 JALAN SS 8/4 TAMAN SRI SAUJANA 81900 KOTA TINGGI JOHOR  Kota Tinggi Johor - my 81900</t>
  </si>
  <si>
    <t>C1-TGI-9-62</t>
  </si>
  <si>
    <t>NVMY34535000010367</t>
  </si>
  <si>
    <t>NVMY34535000010312</t>
  </si>
  <si>
    <t>MUHAMMAD ILLIAS MOHD PAZAI</t>
  </si>
  <si>
    <t>B-05-05 IMPIAN BAIDURI APARTMENT SEKSYEN 47300 SELANGOR  Petaling Jaya Selangor - my 47300</t>
  </si>
  <si>
    <t>NVMY34535000010381</t>
  </si>
  <si>
    <t>FATIN</t>
  </si>
  <si>
    <t>JALAN PALOH 2 , KAMPUNG PALOH 3 , 184 RKT KESEDAR PALOH 2 , 18300 GUA MUSANG , KELANTAN MALAYSIA   Gua Musang Kelantan - my 18300</t>
  </si>
  <si>
    <t>NVMY34535000010377</t>
  </si>
  <si>
    <t>PN ANITA BT ZAHARI</t>
  </si>
  <si>
    <t>NO 26 JALAN SP 2/15 TAMAN SUBANG PERDANA SEKSYEN U3, 40150 SHAH ALAM, SELANGOR  Shah Alam Selangor - my 40150</t>
  </si>
  <si>
    <t>NVMY34535000010311</t>
  </si>
  <si>
    <t>NVMY34535000010344</t>
  </si>
  <si>
    <t>Nor Amira Haiza</t>
  </si>
  <si>
    <t>No. 31 Kampung Alor Madi, Seberang Anak Bukit, Kota Setar, 06550, Kedah  Alor Setar Kedah - my 06550</t>
  </si>
  <si>
    <t>NVMY34535000010337</t>
  </si>
  <si>
    <t>AZIZAN SECURITY</t>
  </si>
  <si>
    <t>LOADING BAY A1 PINTU KECIL DEPAN MESIN 2, JLN HANG TUAH BUKIT BINTANG 55100 WP KUALA LUMPUR  Kuala Lumpur Kuala Lumpur - my 55100</t>
  </si>
  <si>
    <t>NVMY34535000010334</t>
  </si>
  <si>
    <t>NVMY34535000010336</t>
  </si>
  <si>
    <t>TAN MEI SYN</t>
  </si>
  <si>
    <t>13A, 50 RESIDENSI PERSIARAN HIJAU KASTURI, CAHAYA SPK SEKSYEN U9, 40150 SHAH ALAM, SELANGOR  Shah Alam Selangor - my 40150</t>
  </si>
  <si>
    <t>NVMY34535000010322</t>
  </si>
  <si>
    <t>Mohd Zuhairi Bin Noordin</t>
  </si>
  <si>
    <t>Lot 3924 Kampung Kubur timah, Batu Rakit,21020 Kuala terengganu  Kuala Terengganu Terengganu - my 21020</t>
  </si>
  <si>
    <t>A2-GBK-25-11</t>
  </si>
  <si>
    <t>NVMY34535000010330</t>
  </si>
  <si>
    <t>Robi</t>
  </si>
  <si>
    <t>BLOCK C, 616, JALAN 2C, KAMPUNG SUBANG BARU, 40150 SHAH ALAM SELANGOR  Shah Alam Selangor - my 40150</t>
  </si>
  <si>
    <t>NVMY34535000010339</t>
  </si>
  <si>
    <t>BULAN BINTANG CLOTHING</t>
  </si>
  <si>
    <t>LOT 3704 BLOCK C, JALAN 7/5 TAMAN INDUSTRY SELESA JAYA BALAKONG 43200 SELANGOR  Kuala Lumpur Kuala Lumpur - my 43200</t>
  </si>
  <si>
    <t>NVMY34535000010333</t>
  </si>
  <si>
    <t>NIK BUDIMAN</t>
  </si>
  <si>
    <t>NO 5 JALAN KELISA 7A/1 TAMAN DESA KELISA ULU YAM BHARU 44300 SELANGOR  Batang Kali Selangor - my 44300</t>
  </si>
  <si>
    <t>NVMY34535000010370</t>
  </si>
  <si>
    <t>Che  Kalsom binti Wan Ahmad</t>
  </si>
  <si>
    <t xml:space="preserve"> Jalan Rail Kampung Che Lijah,,23000, Dungun Terengganu  Dungun Terengganu - my 23000</t>
  </si>
  <si>
    <t>NVMY34535000010373</t>
  </si>
  <si>
    <t>MUSTAFA BIN JUSOH</t>
  </si>
  <si>
    <t>BANGUNAN CG HJ ISMAIL, 1931, 84 KAMPUNG PENGKALAN NYIREH, 22200 BESUT TERENGGANU  Kampung Raja Terengganu - my 22200</t>
  </si>
  <si>
    <t>NVMY34535000010229</t>
  </si>
  <si>
    <t>MUHAMMAD SAZMAHWAN BIN SAZALI</t>
  </si>
  <si>
    <t>Kampung banting ,89850 Sipitang , Sabah  Sipitang Sabah - my 89850</t>
  </si>
  <si>
    <t>NVMY34535000010384</t>
  </si>
  <si>
    <t>SITI SUAIDAH</t>
  </si>
  <si>
    <t>E02-02 EAST WING BUSINESS PARK SUBANG SQUARE, SS15/4G, 47500 SUBANG JAYA SELANGOR  Subang Jaya Selangor - my 47500</t>
  </si>
  <si>
    <t>NVMY34535000010323</t>
  </si>
  <si>
    <t>Kamal jusoh</t>
  </si>
  <si>
    <t>Ladang Akuakultur Ternakan Udang Bersepadu Kg Nyatoh, 22100, Bdr Permaisuri Setiu, Terengganu  Permaisuri Terengganu - my 22100</t>
  </si>
  <si>
    <t>NVMY34535000010366</t>
  </si>
  <si>
    <t>KASIM BIN ABDUL</t>
  </si>
  <si>
    <t>no 12,jalan kekatong,taman kekatong,sg sekawang,71250 port dickson,negeri sembilan  Si Rusa Negeri Sembilan - my 71250</t>
  </si>
  <si>
    <t>NVMY34535000010361</t>
  </si>
  <si>
    <t>MARYAM KHADIJAH</t>
  </si>
  <si>
    <t>NO 28 TKT 1 LORONG PERDA SELATAN 2, BANDAR PERDA BUKIT MERTAJAM 14000 PULAU PINANG  Bukit Mertajam Pulau Pinang - my 14000</t>
  </si>
  <si>
    <t>NVMY34535000010380</t>
  </si>
  <si>
    <t>PUTERI NUR ZAHIRAH BINTI ABDUL ALIM</t>
  </si>
  <si>
    <t>NO 145 , KAMPUNG JAWA , PULAU PINANG , 13700 PERAI , PULAU PINANG , SEBERANG PERAI TENGAH , 13700 PULAU PINANG   Perai Pulau Pinang - my 13700</t>
  </si>
  <si>
    <t>NVMY34535000010368</t>
  </si>
  <si>
    <t>NURUL AMIRA BINTI MOHD RUSLEE</t>
  </si>
  <si>
    <t>NO 30, JALAN DESA TROPIKA 6, TAMAN DESA TROPIKA, 83000 BATU PAHAT, JOHOR  Batu Pahat Johor - my 83000</t>
  </si>
  <si>
    <t>NVMY34535000010376</t>
  </si>
  <si>
    <t>FATIN AMIRAH BT ZUBIR</t>
  </si>
  <si>
    <t>PANGSAPURI SRI UTAMA, JALAN TU 60, RUMAH SU2-2-5, 75450 AYER KEROH, MELAKA  Ayer Keroh Melaka - my 75450</t>
  </si>
  <si>
    <t>C3-MTG-3-84</t>
  </si>
  <si>
    <t>NVMY34535000010351</t>
  </si>
  <si>
    <t>Ahmad Yudi B Ab rahman</t>
  </si>
  <si>
    <t xml:space="preserve"> Lot 6897 kg bukit tok din sg kechil ulu 34950 bandar baharu kedah   Bandar Baharu Kedah - my 34950</t>
  </si>
  <si>
    <t>B3-BAG-11-58</t>
  </si>
  <si>
    <t>NVMY34535000010362</t>
  </si>
  <si>
    <t>EN . HAFIZI</t>
  </si>
  <si>
    <t>NVMY34535000010358</t>
  </si>
  <si>
    <t>Muzhafar Saleh</t>
  </si>
  <si>
    <t>Jln Miad2, Km36, Kg Cherana Puteh, 78000, Alor Gajah Melaka  Alor Gajah Melaka - my 78000</t>
  </si>
  <si>
    <t>NVMY34535000010371</t>
  </si>
  <si>
    <t>NUR SURJAUNA</t>
  </si>
  <si>
    <t>NO 3077 LRG SELASIH 8/1A, TAMAN SELASIH 09000 KULIM, KEDAH  Kulim Kedah - my 09000</t>
  </si>
  <si>
    <t>NVMY34535000010352</t>
  </si>
  <si>
    <t>Putra Jebat</t>
  </si>
  <si>
    <t>Blok D T2 U1 Jalan Chengal P14 62050 Putrajaya  Putrajaya Putrajaya - my 62050</t>
  </si>
  <si>
    <t>NVMY34535000010350</t>
  </si>
  <si>
    <t>Mohd amin bin noor hisham</t>
  </si>
  <si>
    <t>No 9 jalan bkd 5f  Taman bukit katil damai 75450 ayer keroh Melaka  Ayer Keroh Melaka - my 75450</t>
  </si>
  <si>
    <t>NVMY34535000010382</t>
  </si>
  <si>
    <t>NVMY34535000010353</t>
  </si>
  <si>
    <t>Muhammad khairul azwan bin maslan</t>
  </si>
  <si>
    <t>No.18 jalan 3/23,taman sri kluang,86000 kluang johor  Kluang Johor - my 86000</t>
  </si>
  <si>
    <t>NVMY34535000010364</t>
  </si>
  <si>
    <t>MOHD AZIZI BIN PARNAM</t>
  </si>
  <si>
    <t>311 FELDA REDONG 1, 85300 SEGAMAT, JOHOR  Labis Johor - my 85300</t>
  </si>
  <si>
    <t>NVMY34535000010321</t>
  </si>
  <si>
    <t>Helmi</t>
  </si>
  <si>
    <t>B-2-16 flat sri indah balakong 43200 cheras selangor  Kuala Lumpur Kuala Lumpur - my 43200</t>
  </si>
  <si>
    <t>MM-XDK</t>
  </si>
  <si>
    <t>NVMY34535000010324</t>
  </si>
  <si>
    <t>Muhamad Bin Mahmud</t>
  </si>
  <si>
    <t>F-6-07 Kondominium Mutiara, Jalan Perda Barat, Bandar Perda, 14000 Bukit Mertajam  Bukit Mertajam Pulau Pinang - my 14000</t>
  </si>
  <si>
    <t>NVMY34535000010396</t>
  </si>
  <si>
    <t>Haza</t>
  </si>
  <si>
    <t>11, Lorong Sultan Abdul Samad, 48D, Bandar Sultan Suleiman, 42000 Pelabuhan Klang, Selangor.  Pelabuhan Klang Selangor - my 42000</t>
  </si>
  <si>
    <t>NVMY34535000010347</t>
  </si>
  <si>
    <t>SITI NOOR AZREN</t>
  </si>
  <si>
    <t>2501 JALAN KERAPU 1/3 , TAMAN PERMAI 3 , 70200 SEREMBAN NEGERI SEMBILAN  Seremban Negeri Sembilan - my 70200</t>
  </si>
  <si>
    <t>NVMY34535000010372</t>
  </si>
  <si>
    <t>dania syazwani</t>
  </si>
  <si>
    <t>NO 25A LP 5 TAMAN LIMBONGAN PERMAI 75200 MELAKA  Melaka Melaka - my 75200</t>
  </si>
  <si>
    <t>NVMY34535000010355</t>
  </si>
  <si>
    <t>NVMY34535000010239</t>
  </si>
  <si>
    <t>AINNA</t>
  </si>
  <si>
    <t>NO 10 JALAN BESTARI 98, TAMAN MUTIARA RINI 81300 SKUDAI JOHOR BAHRU  Johor Bahru Johor - my 81300</t>
  </si>
  <si>
    <t>C1-GLG-9-64</t>
  </si>
  <si>
    <t>NVMY34535000009767</t>
  </si>
  <si>
    <t>NIK NUR HAZWANIE</t>
  </si>
  <si>
    <t>UNIT HAEMOSIALISIS ARAS 3 BILIK 5 BANGUNAN PAKAR HARIAN SCACC HOSPITAL KUALA LUMPUR JALAN PAHANG 50586 KL   Kuala Lumpur Kuala Lumpur - my 50586</t>
  </si>
  <si>
    <t>NVMY34535000009747</t>
  </si>
  <si>
    <t>FADHLINA BT BUSTANUDDIN</t>
  </si>
  <si>
    <t>PT 878 KG TERSUSUN RAWA BARU JALAN SUASA 31600 GOPENG   Gopeng Perak - my 31600</t>
  </si>
  <si>
    <t>NVMY34535000009744</t>
  </si>
  <si>
    <t>MARYANI BT OTHMAN</t>
  </si>
  <si>
    <t>3C-04-03 BLOK C D PALMA APT,JALAN WAWASAN 4/12 PUSAT BANDAR PUCHONG 47100 PUCHONG SELANGOR  Selangor Telok Panglima Garang Selangor - my 47100</t>
  </si>
  <si>
    <t>D2-TPK-20-106</t>
  </si>
  <si>
    <t>NVMY34535000009725</t>
  </si>
  <si>
    <t>MUHAMMAD AFIFI MOHD FAUZI</t>
  </si>
  <si>
    <t>BLOK BUJANG HELANG ( ARAS BOMBA ) PANGKALAN UDARA LABUAN 87000 WILAYAH PERSEKUTUAN LABUAN   Labuan Labuan - my 87000</t>
  </si>
  <si>
    <t>NVMY34535000009778</t>
  </si>
  <si>
    <t>ROSHAMAINIE BT RAZALI</t>
  </si>
  <si>
    <t>A138 ZON COKLAT FASA 2 TAMAN AGROPOLITAN RANTAU MANIS 18300 GUA MUSANG  Gua Musang Kelantan - my 18300</t>
  </si>
  <si>
    <t>NVMY34535000009775</t>
  </si>
  <si>
    <t>NORFAZLIANA BT AZIZ</t>
  </si>
  <si>
    <t>LOT 1776 KAMPUNTG LUBOK CHEKOK 17100 PASIR MAS KELANTAN   Pasir Mas Kelantan - my 17000</t>
  </si>
  <si>
    <t>NVMY34535000009751</t>
  </si>
  <si>
    <t>NUR AISYAH KHAIRRUDDIN</t>
  </si>
  <si>
    <t>NO 180 JALAN KIARA INDAH 6 TAMAN KIARA INDAH FASA 2, SIKAMAT 70400 SEREMBAN, NEGERI SEMBILAN  Seremban Negeri Sembilan - my 70400</t>
  </si>
  <si>
    <t>NVMY34535000009742</t>
  </si>
  <si>
    <t>TY</t>
  </si>
  <si>
    <t>LOT 1404, BATU 2, JALAN BULOH KASAP 85000 SEGAMAT JOHOR  Segamat Johor - my 85000</t>
  </si>
  <si>
    <t>NVMY34535000009743</t>
  </si>
  <si>
    <t>LOT 1404, BATU 2 JALAN BULOH KASAP 85000 SEGAMAT JOHOR  Segamat Johor - my 85000</t>
  </si>
  <si>
    <t>NVMY34535000009766</t>
  </si>
  <si>
    <t>AZITA ZAKMA</t>
  </si>
  <si>
    <t>NO 57 , JALAN SERI MERBAU 1 , TAMAN SERI MERBAU , 28200 BERA PAHANG   Bandar Bera Pahang - my 28200</t>
  </si>
  <si>
    <t>NVMY34535000009773</t>
  </si>
  <si>
    <t>TN HAJI ISMADI/HUSNA</t>
  </si>
  <si>
    <t>NVMY34535000009738</t>
  </si>
  <si>
    <t>MOHD SHAH RIZAL</t>
  </si>
  <si>
    <t>NO 4 TINGKAT BAWAH PANGSA CITY, JALAN SUNGAI NIBONG 36000 TELUK INTAN, PERAK  Teluk Intan Perak - my 36000</t>
  </si>
  <si>
    <t>B3-TIN-13-53</t>
  </si>
  <si>
    <t>NVMY34535000009761</t>
  </si>
  <si>
    <t>ZAWIYAH BINTI CHE ALI</t>
  </si>
  <si>
    <t>UNIT PENTADBIRAN POLITEKNIK SEBERANG PERAI JALAN PERMATANG PAUH 13500 PERMATANG PAUH, PULAU PINANG  Permatang Pauh Pulau Pinang - my 13500</t>
  </si>
  <si>
    <t>NVMY34535000009779</t>
  </si>
  <si>
    <t>QISTINA JASMIN</t>
  </si>
  <si>
    <t>13 , LORONG GALING 135 , 25300 KUANTAN PAHANGG   Kuantan Pahang - my 25300</t>
  </si>
  <si>
    <t>B1-KUA-19-28</t>
  </si>
  <si>
    <t>NVMY34535000009782</t>
  </si>
  <si>
    <t>FATEHAHRUSLII</t>
  </si>
  <si>
    <t>19 , LORONG KLANG PERDANA , 2C , TAMAN KLANG PERDANA , BATU 7 JALAN KAPAR , 42100 KLANG SELANGOR nvmystamp003862616  Klang Selangor - my 42100</t>
  </si>
  <si>
    <t>D5-RPG-2-144</t>
  </si>
  <si>
    <t>NVMY34535000009739</t>
  </si>
  <si>
    <t>NORAISHAH JAMAL</t>
  </si>
  <si>
    <t>NO 28 JALAN SENTOSA KG JAYA SEPAKAT 81400 SENAI, JOHOR  Senai Johor - my 81400</t>
  </si>
  <si>
    <t>NVMY34535000009756</t>
  </si>
  <si>
    <t>NORMARLIATUL ASMA</t>
  </si>
  <si>
    <t>NO 213A JALAN MAKAM DIRAJA KG PERMATANG RAJA , 34900 PANTAI REMIS PERAK   Pantai Remis Perak - my 34900</t>
  </si>
  <si>
    <t>NVMY34535000009777</t>
  </si>
  <si>
    <t>HAINEE BT ISMAIL</t>
  </si>
  <si>
    <t>LOT 1333 KAMPUNG TAL 7 17000 PASIR MAS KELANTAN  Pasir Mas Kelantan - my 17000</t>
  </si>
  <si>
    <t>NVMY34535000009765</t>
  </si>
  <si>
    <t>UMI NAJIHAH</t>
  </si>
  <si>
    <t>BLOK G8-4-46 RKAT KEM DESA PAHLAWAN 16500 KOTA BHARU KELANTAN   Kem Desa Pahlawan Kelantan - my 16500</t>
  </si>
  <si>
    <t>NVMY34535000009749</t>
  </si>
  <si>
    <t>NOR FARIZA BINTI MOHD FAIZAIL</t>
  </si>
  <si>
    <t>NOMBOR 27 JALAN TROPIKA TAMAN TROPIKA   Tangkak Johor - my 84900</t>
  </si>
  <si>
    <t>NVMY34535000009768</t>
  </si>
  <si>
    <t>SHA NAWAL</t>
  </si>
  <si>
    <t>NO 36 JALAN 7/62B BANDAR MENJALARA KEPONG KL   Kuala Lumpur Kuala Lumpur - my 52200</t>
  </si>
  <si>
    <t>NVMY34535000009758</t>
  </si>
  <si>
    <t>ZAINAB BINTI MALIKI</t>
  </si>
  <si>
    <t>BLOK A-1-1 TAMAN BUKIT JAMBUL , 11900 BAYAN LEPAS PULAU PINANG   Bayan Lepas Pulau Pinang - my 11900</t>
  </si>
  <si>
    <t>NVMY34535000009780</t>
  </si>
  <si>
    <t>ROSSA SALLEH</t>
  </si>
  <si>
    <t>SUASANA RESIDEN BLOK C-3A-07 DAMANSARA DAMAI JALAN PJU 10/11 DAMANSARA DAMAI , 47830 PETALING JAYA   Petaling Jaya Selangor - my 47830</t>
  </si>
  <si>
    <t>D1-KEP-22-103</t>
  </si>
  <si>
    <t>NVMY34535000009774</t>
  </si>
  <si>
    <t>Haizatul nurmariah binti Roslam</t>
  </si>
  <si>
    <t>1008, KAMPUNG FIKRI 22100 Setiu Terengganu  Permaisuri Terengganu - my 22100</t>
  </si>
  <si>
    <t>NVMY34535000009772</t>
  </si>
  <si>
    <t>ABDUL KADIR BIN BAHARI</t>
  </si>
  <si>
    <t>B3 , LADANG KOPERASI SUNGAI AMBAT , 86810 MERSING , JOHOR   Mersing Johor - my 86810</t>
  </si>
  <si>
    <t>NVMY34535000009755</t>
  </si>
  <si>
    <t>NORAZWANA BINTI NASIL</t>
  </si>
  <si>
    <t>ANAK MANJA BABY SHOP , 3044 JALAN MERBAU 3 , BANDAR PUTRA KULAI , 81000 KULAI JOHOR   Kulai Johor - my 81000</t>
  </si>
  <si>
    <t>NVMY34535000009776</t>
  </si>
  <si>
    <t>NOR HIDAYU</t>
  </si>
  <si>
    <t>BLOK A21 UNIT 106 RKTLDM LUMUT , 31200 LUMUT PERAK   TLDM Lumut Perak - my 32100</t>
  </si>
  <si>
    <t>NVMY34535000009740</t>
  </si>
  <si>
    <t>ELRAH ACADEMY HQ</t>
  </si>
  <si>
    <t>NO 368, LOT 16466, JALAN NILAI 3/22, KAWASAN PERINDUSTRIAN NILAI 3, 71800 NILAI NEGERI SEMBILAN  Labu Negeri Sembilan - my 71800</t>
  </si>
  <si>
    <t>NVMY34535000009784</t>
  </si>
  <si>
    <t>V.ANNAMALAI</t>
  </si>
  <si>
    <t>NO 09 , LOT 6853 , JALAN HAMZAH ALANG , 42200 KAPAR , KAPAR , KLANG SELANGOR   Kapar Selangor - my 42200</t>
  </si>
  <si>
    <t>D3-MRU-10-127</t>
  </si>
  <si>
    <t>NVMY34535000009769</t>
  </si>
  <si>
    <t>ADRIANA AMIRUDDIN</t>
  </si>
  <si>
    <t>95-07-04 , UNIVERSITY HEIGHT APARTMENT , JALAN SUNGAI DUA , KAMPUNG DUA BUKIT , 11700 GELUGOR , PENANG   Gelugor Pulau Pinang - my 11700</t>
  </si>
  <si>
    <t>B2-FLM-15-46</t>
  </si>
  <si>
    <t>NVMY34535000009763</t>
  </si>
  <si>
    <t>CHEMPAKA EMALIN PAHAMIN</t>
  </si>
  <si>
    <t>BUSTANU PAHAMIN LOT 2789-4 JALAN SERI PENCHALA 1 SUNGAI PENCHALA 60000 KUALA LUMPUR  Kuala Lumpur Kuala Lumpur - my 60000</t>
  </si>
  <si>
    <t>D1-DAM-26-97</t>
  </si>
  <si>
    <t>NVMY34535000009764</t>
  </si>
  <si>
    <t>NORZIMAH</t>
  </si>
  <si>
    <t>NO18 LORONG PENAGA PERMAI 26 , TAMAN PENAGA PERMAI , 13100 PENAGA PULAU PINANG  Penaga Pulau Pinang - my 13100</t>
  </si>
  <si>
    <t>NVMY34535000009762</t>
  </si>
  <si>
    <t>SHASHA LASHES BEAUTY</t>
  </si>
  <si>
    <t>NO 249 LORONG KENANGA 1 TAMAN BUKIT CHEDANG , RASAH SEREMBAN , 70300  Seremban Negeri Sembilan - my 70300</t>
  </si>
  <si>
    <t>NVMY34535000010357</t>
  </si>
  <si>
    <t>Md Nazri</t>
  </si>
  <si>
    <t>45 Hala Pantai Makmur 5 Tmn. Pantai Makmur 34900 Pantai Remis Perak.  Pantai Remis Perak - my 34900</t>
  </si>
  <si>
    <t>NVMY34535000010398</t>
  </si>
  <si>
    <t>STELLA</t>
  </si>
  <si>
    <t>B-10-1 PARK SKY RESIDENCE BUKIT  JALIL 57000 KL  Kuala Lumpur Kuala Lumpur - my 57000</t>
  </si>
  <si>
    <t>D2-OUG-20-108</t>
  </si>
  <si>
    <t>NVMY34535000010401</t>
  </si>
  <si>
    <t>ALYSHA AZRI</t>
  </si>
  <si>
    <t>E 03/12 PERUMAHAN PETUGAS FELDA LURAH BILUT 28800 LURAH BILUT BENTONG, PAHANG  Lurah Bilut Pahang - my 28800</t>
  </si>
  <si>
    <t>D3-RUB-12-123</t>
  </si>
  <si>
    <t>NVMY34535000010383</t>
  </si>
  <si>
    <t>MUHAMMAD ZURAIMI</t>
  </si>
  <si>
    <t>NO 52 KAMPUNG PESERAI KECIL SIMPANG LIMA 83020 BATU PAHAT JOHOR DARUL TAKZIM  Batu Pahat Johor - my 83000</t>
  </si>
  <si>
    <t>NVMY34535000010391</t>
  </si>
  <si>
    <t>HJH NOORAZIAH ABDUL MANAF (0105571139)</t>
  </si>
  <si>
    <t>NO 885 JLN MUTIARA RPT KG RAWA BARU 31600 GOPENG PERAK  Gopeng Perak - my 31600</t>
  </si>
  <si>
    <t>NVMY34535000010410</t>
  </si>
  <si>
    <t>Nur masitah binti mohd norfizi</t>
  </si>
  <si>
    <t>LOT PT 2553,JALAN MATAU SEBELAH SHELL ( BS JENGKA ) 26400 bandar jengka pahang  Bandar Pusat Jengka Pahang - my 26400</t>
  </si>
  <si>
    <t>NVMY34535000010397</t>
  </si>
  <si>
    <t>Nur Adliin Rabiah</t>
  </si>
  <si>
    <t>2736-A JALAN TELIPOT 15150 KOTA BHARU KELANTAN  Kota Bharu Kelantan - my 15150</t>
  </si>
  <si>
    <t>NVMY34535000010418</t>
  </si>
  <si>
    <t>NVMY34535000010375</t>
  </si>
  <si>
    <t>MOHD DZULHELMI BIN MORAD</t>
  </si>
  <si>
    <t>NO 2 BATU 58 JALAN WENG 09100 BALING KEDAH  Kuala Kedah Kedah - my 09100</t>
  </si>
  <si>
    <t>NVMY34535000010349</t>
  </si>
  <si>
    <t>Firdaus Ahmad</t>
  </si>
  <si>
    <t>No 33 Jalan Sementa Jaya 11/KU 16, Taman Sementa Jaya, Sementa Klang, 42100 Selangor darul Ehsan  Klang Selangor - my 42100</t>
  </si>
  <si>
    <t>NVMY34535000010407</t>
  </si>
  <si>
    <t>NVMY34535000010392</t>
  </si>
  <si>
    <t>EN. SYAZWAN</t>
  </si>
  <si>
    <t>NO 28-1 JALAN KAMP 2, KOMPLEKS NIAGA MELAKA PERDANA AYER KEROH, 75450, MELAKA  Ayer Keroh Melaka - my 75450</t>
  </si>
  <si>
    <t>NVMY34535000010403</t>
  </si>
  <si>
    <t>Hafiz</t>
  </si>
  <si>
    <t>A17-12 ppam kepong metropolitan, jln lingkaran tengah mrr2 kepong, 52100 kepong kl  Kuala Lumpur Kuala Lumpur - my 52100</t>
  </si>
  <si>
    <t>NVMY34535000010435</t>
  </si>
  <si>
    <t>Sahira zahari</t>
  </si>
  <si>
    <t>Lot 2769 JALAN PONDOK BANGGOL KEMUNTING 17500 TANAH MERAH KELANTAN  Tanah Merah Kelantan - my 17500</t>
  </si>
  <si>
    <t>NVMY34535000010388</t>
  </si>
  <si>
    <t>PUPICI MALAYSIA</t>
  </si>
  <si>
    <t>NO 71 , JALAN KOTA KENARI 1 , 09000 KULIM , KULIM KEDAH   Kulim Kedah my 09000</t>
  </si>
  <si>
    <t>NVMY34535000010420</t>
  </si>
  <si>
    <t>SITI NOR HAFIZAH BT AB RAHMAN</t>
  </si>
  <si>
    <t>PANGSAPURI LILI BLOK D-3-04 TAMAN PUCHONG PRIMA , PUCHONG 47100 PUCHONG SELANGOR   Telok Panglima Garang Selangor - my 47100</t>
  </si>
  <si>
    <t>NVMY34535000010405</t>
  </si>
  <si>
    <t>NUR HAZIQAH BINTI MOHD YUSOF</t>
  </si>
  <si>
    <t>KAMPUNG ULU LUIT 26500 MARAN, PAHANG  Maran Pahang - my 26500</t>
  </si>
  <si>
    <t>NVMY34535000010385</t>
  </si>
  <si>
    <t>Muhammad irwan zikri bin azmi</t>
  </si>
  <si>
    <t>1129 A, Pondok Polis Mak Mandin, Jalan mak mandin 13400, mukim 14(seberang prai utara)seberang prai utara pulau pinang 13400  Butterworth Pulau Pinang - my 13400</t>
  </si>
  <si>
    <t>NVMY34535000010424</t>
  </si>
  <si>
    <t>ADELIN HAFIZA</t>
  </si>
  <si>
    <t>C-3-1 PANGSAPURI SRI MUTIARA JALAN PUTRA INDAH 9/1C PUTRA HEIGHT SELANGOR   Subang Jaya Selangor - my 47650</t>
  </si>
  <si>
    <t>NVMY34535000010402</t>
  </si>
  <si>
    <t>SHALOKA</t>
  </si>
  <si>
    <t>E-1-03,Street Mall, Jalan Gerbang, Wawasan c1 1 , Bangi Gateway, Seksyen 15,43650 Bandar Baru Bangi Selangor   Bandar Baru Bangi Selangor - my 43650</t>
  </si>
  <si>
    <t>D5-BGI-4-140</t>
  </si>
  <si>
    <t>NVMY34535000010416</t>
  </si>
  <si>
    <t>Maisarah</t>
  </si>
  <si>
    <t>No 5, JALAN SP 4/2B TAMAN SETIA PARK, MENTAKAB 28400 MENTAKAB PHG  Mentakab Pahang - my 28400</t>
  </si>
  <si>
    <t>NVMY34535000010408</t>
  </si>
  <si>
    <t>Nurshuhada kamal</t>
  </si>
  <si>
    <t>33A kampung haji ali batu 1 1/2 jalan mentakab 28000 temerloh pahang  Temerloh Pahang - my 28000</t>
  </si>
  <si>
    <t>NVMY34535000010404</t>
  </si>
  <si>
    <t>Wan hazman wan din</t>
  </si>
  <si>
    <t>Lot 241 kg lubok kawah  17000 Pasir mas Kelantan  Pasir Mas Kelantan - my 17000</t>
  </si>
  <si>
    <t>NVMY34535000010331</t>
  </si>
  <si>
    <t>Faridah binti Tamyes</t>
  </si>
  <si>
    <t>1066-2. Jln. Bukit Lintang, 75460 Melaka  Ayer Keroh Melaka - my 75460</t>
  </si>
  <si>
    <t>NVMY34535000010394</t>
  </si>
  <si>
    <t>ZURAIDAH MUJI</t>
  </si>
  <si>
    <t>552 JALAN SRI MAWAR 1 , TAMAN SRI MAWAR SENAWANG , 70450 SEREMBAN NEGERI SEMBILAN   Seremban Negeri Sembilan - my 70450</t>
  </si>
  <si>
    <t>NVMY34535000010433</t>
  </si>
  <si>
    <t>ABDUL RAHMAN BIN HASSAN</t>
  </si>
  <si>
    <t>NO 56 LORONG 26 TAMAN CANDERAWASIH 25200 KUANTAN , PAHANG   Kuantan Pahang - my 25200</t>
  </si>
  <si>
    <t>NVMY34535000010415</t>
  </si>
  <si>
    <t>Nor Aira Binti Hashim</t>
  </si>
  <si>
    <t>3325 Lorong Semarak 10,Taman Semarak Binjai 24000 Kemaman Terengganu  Ayer Puteh Terengganu - my 24000</t>
  </si>
  <si>
    <t>NVMY34535000010143</t>
  </si>
  <si>
    <t>NVMY34535000010421</t>
  </si>
  <si>
    <t>AMMAR RIZQI</t>
  </si>
  <si>
    <t>PT10381 , PERUMAHAN LOT 493 , TAMAN KIJAL MERAGA , 24100 ,KIJAL KEMAMAN TERENGGANU nvmystamp003998694  Kijal Terengganu - my 24100</t>
  </si>
  <si>
    <t>NVMY34535000010387</t>
  </si>
  <si>
    <t>Mohd zulkhairi mat ali</t>
  </si>
  <si>
    <t>no333 jalan timur enstek 5/7 Timur enstek 71760 bandar enstek Nilai negeri sembilan  Bandar Enstek Negeri Sembilan - my 71760</t>
  </si>
  <si>
    <t>NVMY34535000010294</t>
  </si>
  <si>
    <t>Sarimah Sigai</t>
  </si>
  <si>
    <t>Lot 1093, Jln Tanjung Batu 4J, tanjung batu 2, 98000 Miri, Sarawak  Miri Sarawak - my 98000</t>
  </si>
  <si>
    <t>NVMY34535000010386</t>
  </si>
  <si>
    <t>Fareesha Ezrin anuar</t>
  </si>
  <si>
    <t xml:space="preserve"> No 36 jalan puj 2/46 taman puncak jalil,bandar putra permai,43300 seri kembangan selango  Seri Kembangan Selangor - my 43300</t>
  </si>
  <si>
    <t>NVMY34535000010395</t>
  </si>
  <si>
    <t>BAIZURA BINTI BAKAR</t>
  </si>
  <si>
    <t>11-03 , KUATERS KAKITANGAN AWAM JALAN SHAHBANDAR , NO 9 JALAN SHAHBANDAR , 55100 KUALA LUMPUR   Kuala Lumpur Kuala Lumpur - my 55100</t>
  </si>
  <si>
    <t>NVMY34535000010400</t>
  </si>
  <si>
    <t>MOHAMAD ZULHAFIZI</t>
  </si>
  <si>
    <t>PT 219 JALAN DESA WANGI KG PARIT BARU PASIR TUMBOH 16150 KOTA BHARU KELANTAN  Kota Bharu Kelantan - my 16150</t>
  </si>
  <si>
    <t>NVMY34535000010434</t>
  </si>
  <si>
    <t>NADIAH</t>
  </si>
  <si>
    <t>ST21 , JALAN BERLIAN , TAMAN BUKIT AMPANG , 68000 AMPANG   Ampang Selangor - my 68000</t>
  </si>
  <si>
    <t>NVMY34535000010399</t>
  </si>
  <si>
    <t>NUR ALFATIHAH</t>
  </si>
  <si>
    <t>25-06 THE SKY RESIDENSI SHAMELIN, NO 19 JALAN 6/91 TAMAN SHAMELIN PERKASA 56100 KUALA LUMPUR  Kuala Lumpur Kuala Lumpur - my 56100</t>
  </si>
  <si>
    <t>D3-SHM-10-128</t>
  </si>
  <si>
    <t>NVMY34535000010411</t>
  </si>
  <si>
    <t>Sarina</t>
  </si>
  <si>
    <t>Kampung Laloh,18000,Kuala Krai Kelantan   Kuala Krai Kelantan - my 18000</t>
  </si>
  <si>
    <t>NVMY34535000010419</t>
  </si>
  <si>
    <t>Norida Bt Abu Bakar</t>
  </si>
  <si>
    <t>SP110 Jalan 2/6  Tmn Sg.Petai Permai 2 78000 Alor Gajah Melaka  Alor Gajah Melaka - my 78000</t>
  </si>
  <si>
    <t>NVMY34535000010431</t>
  </si>
  <si>
    <t>HUMAIRAH ZAKARIA</t>
  </si>
  <si>
    <t>NO 56 KAMPUNG BARU ALMA , 14000 , BUKIT MERTAJAM PULAU PINANG   Bukit Mertajam Pulau Pinang - my 14000</t>
  </si>
  <si>
    <t>NVMY34535000010438</t>
  </si>
  <si>
    <t>CT FATIMAH</t>
  </si>
  <si>
    <t>946 KG BANGGOL TEMPOYAK KUALA IBAI 20400 KUALA TERENGGANU   Kuala Terengganu Terengganu - my 20400</t>
  </si>
  <si>
    <t>NVMY34535000010447</t>
  </si>
  <si>
    <t>Anisah Rabbaniah Rujhan</t>
  </si>
  <si>
    <t xml:space="preserve"> N0 5 LORONG 3 TAMAN NUSA BATU 1, 27000 JERANTUT PAHANG.  Jerantut Pahang - my 27000</t>
  </si>
  <si>
    <t>NVMY34535000010427</t>
  </si>
  <si>
    <t>FARRAH NUR WAHIDA MOHD NASIR</t>
  </si>
  <si>
    <t>NO 60 , LAKEVILLE 30 , BANDAR UNIVERSITI , 32610 SERI ISKANDAR PERAK   Bandar Seri Iskandar Perak - my 32610</t>
  </si>
  <si>
    <t>NVMY34535000010422</t>
  </si>
  <si>
    <t>SITI HAZIYAH BINTI HALIM</t>
  </si>
  <si>
    <t>NO 45 LORONG SETIA 1E TAMAN JOHAN SETIA 41200 KLANG SELANGOR nvmystamp003998692  Klang Selangor - my 41200</t>
  </si>
  <si>
    <t>NVMY34535000010363</t>
  </si>
  <si>
    <t>ZULKIFLI BIN LATIP</t>
  </si>
  <si>
    <t>NO 1912 KAMPUNG GERSIK 87000 WILAYAH PERSEKUTUAN LABUAN  Labuan Labuan - my 87000</t>
  </si>
  <si>
    <t>NVMY34535000010425</t>
  </si>
  <si>
    <t>WAN FAUZIAH WAN MAT</t>
  </si>
  <si>
    <t>NO 12, LOT 2224, JALAN KASAWARI BATU 9, 42500 TELOK PANGLIMA GARANG, SELNAGOR  Telok Panglima Garang Selangor - my 42500</t>
  </si>
  <si>
    <t>NVMY34535000010417</t>
  </si>
  <si>
    <t>Siti aminah binti aman elias</t>
  </si>
  <si>
    <t>No. 18, jalan mewah ria 2/1, taman bukit mewah, 81200 johor bahru, johor  Johor Bahru Johor - my 81200</t>
  </si>
  <si>
    <t>NVMY34535000010429</t>
  </si>
  <si>
    <t>ATTN EN. SYAKUR/PN. SALMI</t>
  </si>
  <si>
    <t>NVMY34535000010437</t>
  </si>
  <si>
    <t>WAN NUR FARHANA BT WAN ISMAIL</t>
  </si>
  <si>
    <t>PT 5954 TAMAN SAUJANA HARMONI JALAN BALAU 1/4, 18300 GUA MUSANG, KELANTAN  Gua Musang Kelantan - my 18300</t>
  </si>
  <si>
    <t>NVMY34535000010409</t>
  </si>
  <si>
    <t>Nur Ain Najlaa</t>
  </si>
  <si>
    <t>110 KM4, Kampung Mergong Tengah 06250 Jalan Putra Alor Setar, Kedah  Alor Setar Kedah - my 06250</t>
  </si>
  <si>
    <t>NVMY34535000010413</t>
  </si>
  <si>
    <t>Fatin adiba jahari</t>
  </si>
  <si>
    <t>No 62 , jalan suasa 3 , taman bandar baru utama , kampar 31900 perak   Kampar Perak - my 31900</t>
  </si>
  <si>
    <t>NVMY34535000010455</t>
  </si>
  <si>
    <t>SURIATI ABD RAHMAN</t>
  </si>
  <si>
    <t>126 KAMPUNG TASEK MASJID, BUKIT PAYONG 21400 MARANG KELANTAN  Bukit Payong Terengganu - my 21400</t>
  </si>
  <si>
    <t>NVMY34535000010456</t>
  </si>
  <si>
    <t>Hasmawati Hasan</t>
  </si>
  <si>
    <t>No 27 Jln TM 9 Tmn Temerloh Makmur 28000 Temerloh PAHANG  Temerloh Pahang - my 28000</t>
  </si>
  <si>
    <t>NVMY34535000010432</t>
  </si>
  <si>
    <t>ABDUL LATIF IBRAHIM</t>
  </si>
  <si>
    <t>KAMPUNG BIAK PASIR SALAK, 36800 KAMPUNG GAJAH PERAK  Kampung Gajah Perak - my 36800</t>
  </si>
  <si>
    <t>NVMY34535000010412</t>
  </si>
  <si>
    <t>Sajidah</t>
  </si>
  <si>
    <t>Hospital Pusrawi  Lot 149, jalan tun razak, 50400, kl  Kuala Lumpur Kuala Lumpur - my 50400</t>
  </si>
  <si>
    <t>NVMY34535000010450</t>
  </si>
  <si>
    <t>NIK MUHAMMAD HAZWAN BIN NEX AZIS</t>
  </si>
  <si>
    <t>LOT 354 kampung pulau belanga sering. Kota Bharu, Kelantan, 16150  Kota Bharu Kelantan my 16150</t>
  </si>
  <si>
    <t>NVMY34535000010423</t>
  </si>
  <si>
    <t>EMELL</t>
  </si>
  <si>
    <t>NO 50 JALAN SENTRAL 27/2 TAMAN NUSA SENTRAL , 79100 NUSAJAYA   Iskandar Puteri Johor - my 79100</t>
  </si>
  <si>
    <t>NVMY34535000010393</t>
  </si>
  <si>
    <t>NVMY34535000010426</t>
  </si>
  <si>
    <t>SITI ZAINAB</t>
  </si>
  <si>
    <t>07-09, KOMPLEK KEDIAMAN KAKITANGAN AWAM (KKKA) CYBERJAYA @ LAMAN VIEW CYBER 9, 63000 SEPANG, CYBERJAYA  Shah Alam Selangor - my 63000</t>
  </si>
  <si>
    <t>NVMY34535000009771</t>
  </si>
  <si>
    <t>AQILAH</t>
  </si>
  <si>
    <t>NO 96 , KAMPUNG JAWA PANCHOD , 84500 MUAR JOHOR   Panchor Johor - my 84500</t>
  </si>
  <si>
    <t>NVMY34535000009781</t>
  </si>
  <si>
    <t>A13 JALAN ANDALAS TAMAN HIDAYAH HUTAN KAMPUNG 05300 ALOR SETAR KEDAH   Alor Setar Kedah - my 05300</t>
  </si>
  <si>
    <t>NVMY34535000009783</t>
  </si>
  <si>
    <t>PN.ZAILANI BINTI ABU</t>
  </si>
  <si>
    <t>NO 28&amp; 29 JALAN PPZ PUSAT PERNIAGAAN ZAMRUD 08000 SUNGAI PETANI KEDAH   Sungai Petani Kedah - my 08000</t>
  </si>
  <si>
    <t>NVMY34535000009788</t>
  </si>
  <si>
    <t>HANI</t>
  </si>
  <si>
    <t>NO 35, JALAN 4/11 SEKSYEN 4 BANDAR RINCING SEMENYEH 43500 SEMENYIH SELANGOR D.E   Shah Alam Selangor - my 43500</t>
  </si>
  <si>
    <t>NVMY34535000009803</t>
  </si>
  <si>
    <t>IZZATUL NAJWA BT HADIS</t>
  </si>
  <si>
    <t>GATE D, POLITEKNIK SULTAN SALAHUDDIN ABDUL AZIZ SHAH, PERSIARAN USAHAWAN SEKSYEN U1/13, 40150 SHAH ALAM, SELANGOR  Shah Alam Selangor - my 40150</t>
  </si>
  <si>
    <t>NVMY34535000009789</t>
  </si>
  <si>
    <t>VIVIEN</t>
  </si>
  <si>
    <t>NO 5 JALAN MELATI AIR HITAM 86100 AYER HITAM JOHOR  Yong Peng Johor - my 83700</t>
  </si>
  <si>
    <t>NVMY34535000009809</t>
  </si>
  <si>
    <t>LILY LATIF</t>
  </si>
  <si>
    <t>PT 5923, JALAN BALAU 1/5, TAMAN SAUJANA HARMONI 18300 GUA MUSANG, KELANTAN  Gua Musang Kelantan - my 18300</t>
  </si>
  <si>
    <t>NVMY34535000009806</t>
  </si>
  <si>
    <t>ANIS SYAKIRAH</t>
  </si>
  <si>
    <t>B-7-10, KRISTAL HEIGHT APARTMENT JALAN KRISTAL 7/70, SEKSYEN 7, SHAH ALAM 40000 SELANGOR  Shah Alam Selangor - my 40000</t>
  </si>
  <si>
    <t>NVMY34535000009786</t>
  </si>
  <si>
    <t>HAFIZUDDIN BIN IBRAHIM</t>
  </si>
  <si>
    <t>B20 , LORONG KIARA 4/2 , TAMAN KIARA , JALAN DATUK KUMBAR , 05300 ALOR SETAR KEDAH   Alor Setar Kedah - my 05300</t>
  </si>
  <si>
    <t>NVMY34535000009798</t>
  </si>
  <si>
    <t>LADY SUNNY</t>
  </si>
  <si>
    <t>C-3A-3 , SETIA SKY RESIDENCES , NO 76 , JALAN RAJA MUDA ABDUL AZIZI , 50300 , KUALA LUMPUR   Kuala Lumpur Kuala Lumpur - my 50300</t>
  </si>
  <si>
    <t>NVMY34535000009804</t>
  </si>
  <si>
    <t>PEJABAT KESIHATAN DAERAH TANAH MERAH , UNIT KESIHATAN SEKOLAH 17500 TANAH MERAH KELANTAN   Tanah Merah Kelantan - my 17500</t>
  </si>
  <si>
    <t>NVMY34535000009795</t>
  </si>
  <si>
    <t>NVMY34535000009792</t>
  </si>
  <si>
    <t>NVMY34535000009808</t>
  </si>
  <si>
    <t>KHAIRULSANI BIN MOHD ARSYAD</t>
  </si>
  <si>
    <t>NO 3 JALAN KEMUDI 4/23 CITRINA BERNAM JAYA 44100 KERLING, SELANGOR  Banting Selangor - my 44100</t>
  </si>
  <si>
    <t>NVMY34535000009796</t>
  </si>
  <si>
    <t>NVMY34535000009723</t>
  </si>
  <si>
    <t>B-05-05 IMPIAN BAIDURI APARTMENT SEKSYEN 47300 SELANGOR  Selangor -</t>
  </si>
  <si>
    <t>NVMY34535000009785</t>
  </si>
  <si>
    <t>MOHD YUSOFF IBRAHIM</t>
  </si>
  <si>
    <t>SI 3024A LORONG SG 14 TAMAN SERI GEMELAN 78200 KUALA SUNGAI BARU MELAKA  Kuala Sungai Baru Melaka - my 78200</t>
  </si>
  <si>
    <t>NVMY34535000009811</t>
  </si>
  <si>
    <t>NUR AZNIE ROHISHAM</t>
  </si>
  <si>
    <t>JPSK 1 KUARTERS JPS KAMPUNG DUSUN NYIOR 24000 KEMAMAN, TERENGGANU  Ayer Puteh Terengganu - my 24000</t>
  </si>
  <si>
    <t>NVMY34535000009805</t>
  </si>
  <si>
    <t>NADA ZAZURAH</t>
  </si>
  <si>
    <t>LOT 375 KG TANUUNG GEMOK 26820 KUALA ROMPIN, PAHANG  Kuala Rompin Pahang - my 26820</t>
  </si>
  <si>
    <t>NVMY34535000009802</t>
  </si>
  <si>
    <t>NVMY34535000009807</t>
  </si>
  <si>
    <t>FATIN ATHIRAH</t>
  </si>
  <si>
    <t>NO 38 JALAN MAWAR 3, TAMAN MELEWAR 68100 KUALA LUMPUR  Batu Caves Selangor - my 68100</t>
  </si>
  <si>
    <t>NVMY34535000009787</t>
  </si>
  <si>
    <t>MUDZLIFAH MUSTAFA</t>
  </si>
  <si>
    <t>NO 10 , JALAN 44/70A DESA SERI HARTAMAS KUALA LUMPUR   Kuala Lumpur Kuala Lumpur - my 50480</t>
  </si>
  <si>
    <t>NVMY34535000009770</t>
  </si>
  <si>
    <t>SITI NUR SHUHADAH</t>
  </si>
  <si>
    <t>5130 LAHAR TAMBAN , 13300 TASEK GELUGOR , SPU , PULAU PINANG   Tasek Gelugor Pulau Pinang - my 13300</t>
  </si>
  <si>
    <t>NVMY34535000009791</t>
  </si>
  <si>
    <t>NURUL AINI</t>
  </si>
  <si>
    <t>NO 27 , JALAN CASSIA 7 , BANDAR BOTANIC 41200 KLANG SELANGOR   Klang Selangor - my 41200</t>
  </si>
  <si>
    <t>NVMY34535000009799</t>
  </si>
  <si>
    <t>FARAKH DIBA MOHAMMAD</t>
  </si>
  <si>
    <t>NO 39 JALAN 7/6 SEKSYEN 7 BANDAR BARU BANGI   Bandar Baru Bangi Selangor - my 43650</t>
  </si>
  <si>
    <t>NVMY34535000009734</t>
  </si>
  <si>
    <t>Wanjue</t>
  </si>
  <si>
    <t>B-27-07, RESIDENSI DESA SATUMAS, NO. 264, JLN DESA, TAMAN DESA, 58100 KUALA LUMPUR  Kuala Lumpur Kuala Lumpur - my 58100</t>
  </si>
  <si>
    <t>NVMY34535000009814</t>
  </si>
  <si>
    <t>BJOUX ART DESIGN</t>
  </si>
  <si>
    <t>B50 LORONG BALOK DARAT 13 PUSAT PERKHIDMATAN BALOK 26100 KUANTAN PAHANG  Kuantan Pahang - my 26100</t>
  </si>
  <si>
    <t>B1-BLK-19-30</t>
  </si>
  <si>
    <t>NVMY34535000009824</t>
  </si>
  <si>
    <t>NVMY34535000009794</t>
  </si>
  <si>
    <t>SUHAPADLISAM BIN MAMAT</t>
  </si>
  <si>
    <t>BALAI POLIS KEPONG 52100 KEPONG, KUALA LUMPUR  Kuala Lumpur Kuala Lumpur - my 52100</t>
  </si>
  <si>
    <t>NVMY34535000009833</t>
  </si>
  <si>
    <t>WAWA SAMSUDIN</t>
  </si>
  <si>
    <t>NO 211 BLOK 6, FELDA KERATONG 10, 26700 MUADZAM SHAH, PAHANG  Muadzam Shah Pahang - my 26700</t>
  </si>
  <si>
    <t>NVMY34535000009797</t>
  </si>
  <si>
    <t>LOT 999  &amp; 1454 JALAN KUALA KANGSAR 34700 SIMPANG TAIPING PERAK  Simpang Perak - my 34700</t>
  </si>
  <si>
    <t>NVMY34535000009822</t>
  </si>
  <si>
    <t>Nadiah Mohd Safian</t>
  </si>
  <si>
    <t>No 203 Jalan Mati Perumahan Felda Ciku 2 18300 Gua Musang Kelantan  Gua Musang Kelantan - my 18300</t>
  </si>
  <si>
    <t>NVMY34535000009790</t>
  </si>
  <si>
    <t>NVMY34535000009835</t>
  </si>
  <si>
    <t>AZLIZA BT AHMAD</t>
  </si>
  <si>
    <t>27-7B, SRI MAHLIGAI SEKSYEN 9, 40100 SHAH ALAM SELANGOR DARUL EHSAN  Shah Alam Selangor - my 40100</t>
  </si>
  <si>
    <t>NVMY34535000009827</t>
  </si>
  <si>
    <t>SITI AISHAH MAULAD (KAMALIANA)</t>
  </si>
  <si>
    <t>BLOK BA-1-2 KUARTERS KLINIK KESIHATAN SUNGAI BULOH 47000 SUNGAI BULOH, SELANGOR  Kuala Lumpur Kuala Lumpur - my 47000</t>
  </si>
  <si>
    <t>NVMY34535000009813</t>
  </si>
  <si>
    <t>SHAHIDA MOHAMAD</t>
  </si>
  <si>
    <t>NO 2 SEROJA KUARTERS PERGIGIAN KLINIK KESIHATAN CHIKU 3, 18300 GUA MUSANG, KELANTAN  Gua Musang Kelantan - my 18300</t>
  </si>
  <si>
    <t>NVMY34535000009812</t>
  </si>
  <si>
    <t>ANAQI</t>
  </si>
  <si>
    <t>NO 13 PERSIARAN BERCHAM SELATAN 47, TAMAN BERCHAM JAYA 31400 IPOH, PERAK  Ipoh Perak - my 31400</t>
  </si>
  <si>
    <t>B3-IPH-11-61</t>
  </si>
  <si>
    <t>NVMY34535000009810</t>
  </si>
  <si>
    <t>KHUZAIMI</t>
  </si>
  <si>
    <t>F1522, KAMPUNG SELENGKOH TENGAH 06910 YAN, KEDAH  Yan Kedah - my 06910</t>
  </si>
  <si>
    <t>NVMY34535000009823</t>
  </si>
  <si>
    <t>MEQS LAWO KOSMETIK, BAWAH PUSAT IQRA PULAU RUSA 20050 KUALA TERENGGANU  Kuala Terengganu Terengganu - my 20050</t>
  </si>
  <si>
    <t>NVMY34535000009793</t>
  </si>
  <si>
    <t>NOR FAZLIN BINTI MOHD ZAINUN</t>
  </si>
  <si>
    <t>NO 25, JALAN HANG KASTURI 28, TAMAN SKUDAI BARU 81300 SKUDAI, JOHOR  Johor Bahru Johor - my 81300</t>
  </si>
  <si>
    <t>NVMY34535000009825</t>
  </si>
  <si>
    <t>NUR ANIS</t>
  </si>
  <si>
    <t>58, JALAN DATUK ABDUL MALEK, KAMPUNG BARU 50300 KUALA LUMPUR  Kuala Lumpur Kuala Lumpur - my 50300</t>
  </si>
  <si>
    <t>NVMY34535000009832</t>
  </si>
  <si>
    <t>SITI NUR ANUAR</t>
  </si>
  <si>
    <t>D-08-19 IMPIAN BAIDURI JALAN 224 SEKSYEN 5/A, PETALING JAYA 46100 SELANGOR  Petaling Jaya Selangor - my 46100</t>
  </si>
  <si>
    <t>NVMY34535000009801</t>
  </si>
  <si>
    <t>ZALINDA BT RAHMAT</t>
  </si>
  <si>
    <t>NO 4 JALAN SEKUTUM 20, TAMAN BUKIT DAHLIA 81700 PASIR GUDANG JOHOR  Pasir Gudang Johor - my 81700</t>
  </si>
  <si>
    <t>NVMY34535000009816</t>
  </si>
  <si>
    <t>Azura Binti Mohd Bakri</t>
  </si>
  <si>
    <t>No 1 kampung Tembak B 09300 Kuala Ketil Kedah  Kuala Ketil Kedah - my 09300</t>
  </si>
  <si>
    <t>NVMY34535000009858</t>
  </si>
  <si>
    <t>A-2-2 MENTARI COURT APARTMENT, JALAN PJS 8/9, 46150 PETALING JAYA SELANGOR  Petaling Jaya Selangor - my 46150</t>
  </si>
  <si>
    <t>D1-SUN-24-101</t>
  </si>
  <si>
    <t>NVMY34535000009857</t>
  </si>
  <si>
    <t>MATKUTAK</t>
  </si>
  <si>
    <t>NO 4938 TANAH LOT BATU 18, 21800 AJIL, TERENGGANU  Ajil Terengganu - my 21800</t>
  </si>
  <si>
    <t>NVMY34535000009856</t>
  </si>
  <si>
    <t>ABDUL NUQMAN</t>
  </si>
  <si>
    <t>1369 LORONG MESRA JALAN PASIR PANJANG 21100 KUALA TERENGGANU, TERENGGANU  Kuala Terengganu Terengganu - my 21100</t>
  </si>
  <si>
    <t>NVMY34535000009847</t>
  </si>
  <si>
    <t>AMARINA ASRI</t>
  </si>
  <si>
    <t>LOT 105 KG KUCHELONG JELAWAT 16070 BACHOK, KELANTAN  Bachok Kelantan - my 16070</t>
  </si>
  <si>
    <t>NVMY34535000009830</t>
  </si>
  <si>
    <t>NVMY34535000009839</t>
  </si>
  <si>
    <t>ROHANI BT HJ HASAN</t>
  </si>
  <si>
    <t>NO 4374 KG PUTERAJAYA , 22100 PERMAISURI TERENGGANU   Permaisuri Terengganu - my 22100</t>
  </si>
  <si>
    <t>NVMY34535000009800</t>
  </si>
  <si>
    <t>CHOIZES CONCEPT STORE SDN BHD</t>
  </si>
  <si>
    <t>UNIT NO D6-3A-17 BANGUNAN PERDAGANGAN D6, SENTUL RAYA, 801 JLN SENTUL 51100 KUALA LUMPUR  Kuala Lumpur Kuala Lumpur - my 51100</t>
  </si>
  <si>
    <t>NVMY34535000009836</t>
  </si>
  <si>
    <t>KHAIRUL HAKIM</t>
  </si>
  <si>
    <t>B2-5 PENAGA MAS APARTMENT, JALAN PINGGIRAN MAS 1, TAMAS MAS, 47130 PUCHONG, SELANGOR  Puchong Selangor - my 47130</t>
  </si>
  <si>
    <t>NVMY34535000009854</t>
  </si>
  <si>
    <t>MUHAMMAD AKMAL BIN OMAR</t>
  </si>
  <si>
    <t>LOT PT 5997 KG BUKIT KOLAM AJIL 21800 TERENGGANU  Ajil Terengganu - my 21800</t>
  </si>
  <si>
    <t>NVMY34535000009840</t>
  </si>
  <si>
    <t>FLEXILAB_TECH</t>
  </si>
  <si>
    <t>NO 11116, JALAN PENAGA, KG JAYA BATU 2, JALAN AYER PUTEH 24000 KEMAMAN TERENGGANU  Ayer Puteh Terengganu - my 24000</t>
  </si>
  <si>
    <t>NVMY34535000009819</t>
  </si>
  <si>
    <t>ASMIDAR</t>
  </si>
  <si>
    <t>NO 14 JALAN MAKMUR 28 TAMAN DAMAI JAYA 81300 SKUDAI JOHOR BAHRU   Johor Bahru Johor - my 81300</t>
  </si>
  <si>
    <t>NVMY34535000009838</t>
  </si>
  <si>
    <t>UMMI FAZIRA BINTI DERUS</t>
  </si>
  <si>
    <t>LOT 16907B JALAN GERTAK SERATUS , 22300 KUALA BESUT TERENGGANU   Kuala Besut Terengganu - my 22300</t>
  </si>
  <si>
    <t>NVMY34535000009826</t>
  </si>
  <si>
    <t>MOHAN RAM ASNANI</t>
  </si>
  <si>
    <t>NO 567 LORONG 11C JALAN PISANG BARAT 93450 KUCHING, SARAWAK  Kuching Sarawak - my 93450</t>
  </si>
  <si>
    <t>NVMY34535000009845</t>
  </si>
  <si>
    <t>MOHD TAMIN BIN WAHID</t>
  </si>
  <si>
    <t>NO 2571 JALAN SEROJA KAMPUNG TERSUSUN BUKIT LARANG TELOK MAS 75460 MELAKA  Ayer Keroh Melaka - my 75460</t>
  </si>
  <si>
    <t>C3-MLM-3-87</t>
  </si>
  <si>
    <t>NVMY34535000009860</t>
  </si>
  <si>
    <t>JAWIYAH MOHD SAID</t>
  </si>
  <si>
    <t>NO 26 PERSIARAN KEDAI PERDANA 5, TAMAN TINGGI PERDANA 31650 IPOH, PERAK  Ipoh Perak - my 31650</t>
  </si>
  <si>
    <t>NVMY34535000009842</t>
  </si>
  <si>
    <t>EN RODZI</t>
  </si>
  <si>
    <t>NO 18 JLN BINTANG 7 DESA RENING JAYA 44200 RASA HULU, SELANGOR  Kuala Lumpur Kuala Lumpur - my 44200</t>
  </si>
  <si>
    <t>NVMY34535000009843</t>
  </si>
  <si>
    <t>AMIR AKHIRUDDIN</t>
  </si>
  <si>
    <t>HAJJAH DINA NORDIN &amp; ACCOSIATES NO 2B &amp; 2B-1 JALAN PK 8A TAMAN PERINDUSTRIAN KRUBONG 75260 KRUBONG, MELAKA  Melaka Melaka - my 75260</t>
  </si>
  <si>
    <t>NVMY34535000009846</t>
  </si>
  <si>
    <t>AHMAD SHAHRUL HAFIZ BIN ABU BAKAR</t>
  </si>
  <si>
    <t>NO 562 JALAN POLITEKNIK 8, TAMAN POLITEKNIK 71050 PORT DICKSON NEGERI SEMBILAN  Si Rusa Negeri Sembilan - my 71050</t>
  </si>
  <si>
    <t>NVMY34535000009862</t>
  </si>
  <si>
    <t>NVMY34535000009877</t>
  </si>
  <si>
    <t>NVMY34535000009849</t>
  </si>
  <si>
    <t>ROSLIHA BINTI TUGIMIN</t>
  </si>
  <si>
    <t>NO 32A JALAN WP 1/1 EVIRA WARISAN PUTERI , KOTA WARISAN , 43900 SEPANG SELANGOR   Sepang Selangor - my 43900</t>
  </si>
  <si>
    <t>NVMY34535000009837</t>
  </si>
  <si>
    <t>NVMY34535000009831</t>
  </si>
  <si>
    <t>DILAKHAIRUDIN</t>
  </si>
  <si>
    <t>BATU 25 3/4 KG RAMUAN CHINA KECHIL 78100 LUBOK CHINA, MELAKA  Lubok China Melaka - my 78100</t>
  </si>
  <si>
    <t>NVMY34535000009868</t>
  </si>
  <si>
    <t>NURUL SHUHADA</t>
  </si>
  <si>
    <t>AF SMART LAUNDRY LOT 2109 CABANG EMPAT PAUH , KG PANJI 16100 KOTA BHARU KELANTAN   Kota Bharu Kelantan - my 16100</t>
  </si>
  <si>
    <t>NVMY34535000009874</t>
  </si>
  <si>
    <t>Farah Nabilah bt Mohd Tamiri</t>
  </si>
  <si>
    <t>Lot 475 B, Lorong Berkat 1, Kg. Berkat 1, 26500 Maran, Pahang  Maran Pahang - my 26500</t>
  </si>
  <si>
    <t>NVMY34535000009872</t>
  </si>
  <si>
    <t>BADRUL</t>
  </si>
  <si>
    <t>388 KUATERS JKR CHEDONG , 26500 MARAN PAHANG   Maran Pahang - my 26500</t>
  </si>
  <si>
    <t>NVMY34535000009821</t>
  </si>
  <si>
    <t>FA Boutique Ipoh</t>
  </si>
  <si>
    <t>No 10 Jalan Sci 1/1 Sunway City 31150 Ulu Kinta perak  Ulu Kinta Perak - my 31150</t>
  </si>
  <si>
    <t>NVMY34535000009869</t>
  </si>
  <si>
    <t>PUTRINURLANIS</t>
  </si>
  <si>
    <t>PT 904 JALAN KK/6A BANDAR BARU KUBANG KERIAN   Kota Bharu Kelantan - my 16100</t>
  </si>
  <si>
    <t>NVMY34535000009844</t>
  </si>
  <si>
    <t>K AZMIN AKHIRUDDIN</t>
  </si>
  <si>
    <t>NO  JALAN 6/142 TAMAN ORKID DESA CHERAS 56000 KUALA LUMPUR  Kuala Lumpur Kuala Lumpur - my 56000</t>
  </si>
  <si>
    <t>D5-ECO-2-145</t>
  </si>
  <si>
    <t>NVMY34535000009864</t>
  </si>
  <si>
    <t>DANIEL LIM</t>
  </si>
  <si>
    <t>57, JALAN 1/2, TAMAN DAGANG 68000 AMPANG, SELANGOR  Ampang Selangor - my 68000</t>
  </si>
  <si>
    <t>NVMY34535000009861</t>
  </si>
  <si>
    <t>PARZILA BINTI WAHAB</t>
  </si>
  <si>
    <t>NO 10 JALAN PJU 10/8A TAMAN DESA RIANG DAMANSARA DAMAI 47830 PETALING JAYA, SELANGOR  Petaling Jaya Selangor - my 47830</t>
  </si>
  <si>
    <t>NVMY34535000009859</t>
  </si>
  <si>
    <t>ARIP</t>
  </si>
  <si>
    <t>NO 23 JALAN SRI PUCHONG 6F, TAMAN SRI PUCHONG 47100 PUCHONG, SELANGOR  Telok Panglima Garang Selangor - my 47100</t>
  </si>
  <si>
    <t>NVMY34535000009834</t>
  </si>
  <si>
    <t>FATIN FAQIHAH</t>
  </si>
  <si>
    <t>STESEN KOMUNIKASI TLDM PARIT BANDAR SERI ISKANDAR PERAK TENGAH 32610 PERAK  Bandar Seri Iskandar Perak - my 32610</t>
  </si>
  <si>
    <t>NVMY34535000009863</t>
  </si>
  <si>
    <t>FATHIN NORFARIZAH</t>
  </si>
  <si>
    <t>NO 150B, JALAN LABU, KG TEBING TINGGI 71900 LABU NEGERI SEMBILAN  Labu Negeri Sembilan - my 71900</t>
  </si>
  <si>
    <t>NVMY34535000009855</t>
  </si>
  <si>
    <t>AMMAR IRFAN SHAH BIN AMIR RIDZWAN SHAH</t>
  </si>
  <si>
    <t>NO 431 LORONG TEMBUSU 5, TAMAN BANDAR BARU 06400 POKOK SENA, KEDAH  Pokok Sena Kedah - my 06400</t>
  </si>
  <si>
    <t>A3-PSN-23-20</t>
  </si>
  <si>
    <t>NVMY34535000009851</t>
  </si>
  <si>
    <t>ZULAIKHA SYAHIRAH</t>
  </si>
  <si>
    <t>MEWAH COURT BLOK 104-16F JALAN HIJAU 5 TAMAN GREENLANE 11600 GEORGETOWN PULAU PINANG  Jelutong Pulau Pinang - my 11600</t>
  </si>
  <si>
    <t>B2-GEO-15-44</t>
  </si>
  <si>
    <t>NVMY34535000009829</t>
  </si>
  <si>
    <t>NUR AZLIN ABDULLAH</t>
  </si>
  <si>
    <t>27, KAMPUNG TEGA 96400 MUKAH, SARAWAK  Mukah Sarawak - my 96400</t>
  </si>
  <si>
    <t>NVMY34535000009873</t>
  </si>
  <si>
    <t>ZAITON BINTI HASSAN</t>
  </si>
  <si>
    <t>NO 17 , JALAN JAD 7/5 SEKSYEN 7 , 40000 , SHAH ALAM , SELANGOR , DARUL EHSAN   Shah Alam Selangor - my 40000</t>
  </si>
  <si>
    <t>NVMY34535000009848</t>
  </si>
  <si>
    <t>IMAN ZUL</t>
  </si>
  <si>
    <t>NO 509 , BLOK 3 JALAN 6C/11 , 43650 BANDAR BARU BANGI , SELANGOR   Bandar Baru Bangi Selangor - my 43650</t>
  </si>
  <si>
    <t>NVMY34535000009881</t>
  </si>
  <si>
    <t>LIYANNA ARIFFIN</t>
  </si>
  <si>
    <t>15 JALAN KENANGA SD9/5H BANDAR SRI DAMANSARA 52200 KUALA LUMPUR  Kuala Lumpur Kuala Lumpur - my 52200</t>
  </si>
  <si>
    <t>NVMY34535000009841</t>
  </si>
  <si>
    <t>ROHAIZAH BT ZAKARIA</t>
  </si>
  <si>
    <t>E2 KUARTERS GURU SMK FELDA BESOUT, 35600 SUNGKAI, PERAK  Sungkai Perak - my 35600</t>
  </si>
  <si>
    <t>NVMY34535000009896</t>
  </si>
  <si>
    <t>ARISSA</t>
  </si>
  <si>
    <t>NO 19 LORONG 9RRM, PERMATANG BADAK BARU 25150 KUANTAN, PAHANG  Kuantan Pahang - my 25150</t>
  </si>
  <si>
    <t>NVMY34535000009818</t>
  </si>
  <si>
    <t>MAZLIANA BINTI ATAN</t>
  </si>
  <si>
    <t>NO 135, JALAN DESA 5,  TAMAN DESA, 81000 KULAI JOHOR  Kulai Johor - my 81000</t>
  </si>
  <si>
    <t>NVMY34535000009894</t>
  </si>
  <si>
    <t>NVMY34535000009879</t>
  </si>
  <si>
    <t>MYRA HAMZAH</t>
  </si>
  <si>
    <t>13A-08 ANGGUN PURI CONDOMINIUM, 32 JALAN DUTAMASRAYA, 51200 KUALA LUMPUR WILAYAH PERSEKUTUAN KUALA LUMPUR  Kuala Lumpur Kuala Lumpur - my 51200</t>
  </si>
  <si>
    <t>NVMY34535000009880</t>
  </si>
  <si>
    <t>NVMY34535000009815</t>
  </si>
  <si>
    <t>PUTRA ADAM</t>
  </si>
  <si>
    <t>NO 392 LORONG POLITEKNIK 6B TAMAN POLITEKNIK TELUK KEMAMG , 71050 , PORT DICKSON NEGERI SEMBILAN   Si Rusa Negeri Sembilan - my 71050</t>
  </si>
  <si>
    <t>NVMY34535000009888</t>
  </si>
  <si>
    <t>SYED HAMDAN BIN SYED HASSAN</t>
  </si>
  <si>
    <t>916-14 KG PASIR MINAL 24000 CUKAI , KEMAMAN TERENGGANU   Ayer Puteh Terengganu - my 24000</t>
  </si>
  <si>
    <t>NVMY34535000009866</t>
  </si>
  <si>
    <t>SHAH ALAM , SELANGOR , MALAYSIA , 507TKT 5 BLOK 50 JLN 7/99 , FASA 3C SEK 7 , 40000 SHAH ALAM SELANGOR  Shah Alam Selangor - my 40000</t>
  </si>
  <si>
    <t>NVMY34535000009884</t>
  </si>
  <si>
    <t>QIESS</t>
  </si>
  <si>
    <t>quarters klinik air tawar , kg raja , 22200 , besut terengganu  Kampung Raja Terengganu - my 22200</t>
  </si>
  <si>
    <t>NVMY34535000009828</t>
  </si>
  <si>
    <t>NVMY34535000009882</t>
  </si>
  <si>
    <t>SUHAINI HASSAN</t>
  </si>
  <si>
    <t>NO 13 JALAN KEBUN NENAS 1G/KS7 BANDAR PUTERA 41000 KLANG, SELANGOR  Klang Selangor - my 41000</t>
  </si>
  <si>
    <t>NVMY34535000009852</t>
  </si>
  <si>
    <t>DILAN ARSAK</t>
  </si>
  <si>
    <t>U9-3 MELINSUNG SUMMER BAY APARTMENT JALAN BARU PAPAR 89600 PAPAR SABAH  Papar Sabah - my 89600</t>
  </si>
  <si>
    <t>NVMY34535000009820</t>
  </si>
  <si>
    <t>NURUL AIN</t>
  </si>
  <si>
    <t>NO 3, LORONG HULUBALANG 5, BERTAM PERDANA 3, 13200 KEPALA BATAS, PULAU PINANG  Kepala Batas Pulau Pinang - my 13200</t>
  </si>
  <si>
    <t>NVMY34535000009853</t>
  </si>
  <si>
    <t>AZZA KHUZAIRY</t>
  </si>
  <si>
    <t>JS1/82 MLNG HOUSING, JALAN ABANG OTHMAN LORONG 2 TANJUNG KIDURONG 97000 BINTULU, SARAWAK  Bintulu Sarawak - my 97000</t>
  </si>
  <si>
    <t>NVMY34535000009902</t>
  </si>
  <si>
    <t>FARA WAHIDAH HASSAN</t>
  </si>
  <si>
    <t>LOT PT 14683 TAMAN TAPAI INDAH WAKAF TAPAI 21040 MARANG TERENGGANU  Kuala Terengganu Terengganu - my 21040</t>
  </si>
  <si>
    <t>NVMY34535000009904</t>
  </si>
  <si>
    <t>PUAN SRI SURIANI MUHAMMAD</t>
  </si>
  <si>
    <t>LOT 9 JALAN MARKISA 1,TAMAN PINGGIRAN MARKISA KGJIJAN 71800 NILAI NEGERI SEMBILAN  Labu Negeri Sembilan - my 71800</t>
  </si>
  <si>
    <t>NVMY34535000009893</t>
  </si>
  <si>
    <t>DAVID</t>
  </si>
  <si>
    <t>DSL SETIA SDN BHD (837876-A) NO43 JALAN 5/39 KINRARA INDUSTRIAL PARK 47190 PUCHONG, SELANGOR  Puchong Selangor - my 47190</t>
  </si>
  <si>
    <t>NVMY34535000009883</t>
  </si>
  <si>
    <t>SITI NORAIN BINTI JUMADI</t>
  </si>
  <si>
    <t>(HLK CHAIN STORE) 245 JALAN SULTAN ABDUL SAMAD 42700 BANTING  Telok Panglima Garang Selangor - my 42700</t>
  </si>
  <si>
    <t>NVMY34535000009875</t>
  </si>
  <si>
    <t>ZINAB BINTI MAN</t>
  </si>
  <si>
    <t>TASCO BERHAD , 1441 , LORONG PERUSAHAAN MAJU 8 , PRAI , INDUSTRIAL ESTATE , 13600 , PRAI , PENANG   Perai Pulau Pinang - my 13600</t>
  </si>
  <si>
    <t>NVMY34535000009895</t>
  </si>
  <si>
    <t>wahizul hafiq</t>
  </si>
  <si>
    <t>no 22 taman setia 1c, jalan kilang tebu,05050,alor setar,kedah  Alor Setar Kedah - my 05050</t>
  </si>
  <si>
    <t>NVMY34535000009891</t>
  </si>
  <si>
    <t>NAJDAH BINTI MOHD NASIR</t>
  </si>
  <si>
    <t>NO 4 PERSIARAN SEKSYEN 3/14 BANDAR PUTRA BERTAM 13200 KEPALA BATAS, PULAU PINANG  Kepala Batas Pulau Pinang - my 13200</t>
  </si>
  <si>
    <t>NVMY34535000009870</t>
  </si>
  <si>
    <t>JIEHA</t>
  </si>
  <si>
    <t>NO 25 RESTARAN KUALA KURAU JALAN MEDAN NIAGA 6 , MEDAN NIAGA KUALA SELANGOR , 45000 KUALA SELANGOR   Kuala Selangor Selangor - my 45000</t>
  </si>
  <si>
    <t>NVMY34535000009899</t>
  </si>
  <si>
    <t>NORAINI</t>
  </si>
  <si>
    <t>NO 40 A , JALAN HAJI RASYID KG BUKIT RAYA DALAM 06700 PENDANG KEDAH   Pendang Kedah - my 06700</t>
  </si>
  <si>
    <t>A3-PDG-21-26</t>
  </si>
  <si>
    <t>NVMY34535000009878</t>
  </si>
  <si>
    <t>Siti norfarhani ismail</t>
  </si>
  <si>
    <t>No.29, Jalan Aruna 10, Taman M Aruna, 48000 Rawang, Selangor  Kuala Lumpur Kuala Lumpur - my 48000</t>
  </si>
  <si>
    <t>NVMY34535000009867</t>
  </si>
  <si>
    <t>NIK AMIRAH</t>
  </si>
  <si>
    <t>NO 2 BELAKANG PEJABAT FELDA MEMPAGA SATU KARAK PAHANG   Karak Pahang - my 28600</t>
  </si>
  <si>
    <t>NVMY34535000009890</t>
  </si>
  <si>
    <t>AZNADIELA ZAMLI</t>
  </si>
  <si>
    <t>NO 12 JALAN CEMPAKA HUTAN MAKTAB TEKNIK PDRM 84200BAKI MUAR JOHOR   Muar Johor - my 84200</t>
  </si>
  <si>
    <t>C2-MUA-5-79</t>
  </si>
  <si>
    <t>NVMY34535000009850</t>
  </si>
  <si>
    <t>AMIR</t>
  </si>
  <si>
    <t>TB 20019 G57 TMN SEMARAK MEGAH, PHASE 7, JALAN KUHARA 91000 TAWAU, SABAH  Tawau Sabah - my 91000</t>
  </si>
  <si>
    <t>E2-TWU-1-162</t>
  </si>
  <si>
    <t>NVMY34535000009876</t>
  </si>
  <si>
    <t>ANUM</t>
  </si>
  <si>
    <t>18 E WISMA KURNIA ( MAXIS ) , LEBUHRAYA DARULAMAN , 05200 ALOR SETAR KEDAH , ALOR SETAR   Alor Setar Kedah - my 05200</t>
  </si>
  <si>
    <t>NVMY34535000009912</t>
  </si>
  <si>
    <t>Nurfatin Syahirah Binti Hashim</t>
  </si>
  <si>
    <t>Kampung Laka To'uban 17050 Pasir Mas KelantaN  Pasir Mas Kelantan - my 17050</t>
  </si>
  <si>
    <t>NVMY34535000009898</t>
  </si>
  <si>
    <t>FARISYA HEZRIN FAUZI</t>
  </si>
  <si>
    <t>232 , BLOK 10 JALAN TUN PERAK , FELDA TENGGAROH 6 , 86810 MERSING JOHOR   Mersing Johor - my 86810</t>
  </si>
  <si>
    <t>NVMY34535000009900</t>
  </si>
  <si>
    <t>TENGKU MAHSURI BT TENGKU MANSOR</t>
  </si>
  <si>
    <t>MINI MART PELADANG KAWASAN BESERI KM 11 JALAN KAKI BUKIT 02400 KANGAR PERLIS  Kangar Perlis - my 02400</t>
  </si>
  <si>
    <t>NVMY34535000009885</t>
  </si>
  <si>
    <t>FAFAUZILA SHOP</t>
  </si>
  <si>
    <t>NO 9 LALUAN KLEBANG RESTU 3 , MEDAN KLEBANG RESTU 31200 CHEMOR IPOH PERAK   Chemor Perak - my 31200</t>
  </si>
  <si>
    <t>NVMY34535000009887</t>
  </si>
  <si>
    <t>NOOREFFENDY BIN MOKHTARUDIN</t>
  </si>
  <si>
    <t>LOT 1143 JALAN ORKID 5/1 KG CEGAR TAMBAHAN , JALAN BIDOR SUNGKAI , 35500 BIDOR PERAK   Bidor Perak - my 35500</t>
  </si>
  <si>
    <t>NVMY34535000009909</t>
  </si>
  <si>
    <t>Shazleen</t>
  </si>
  <si>
    <t>1711, Taman Aman, Jln Sultan Yahya Petra, Lundang, 15200 Kota Bharu, Kelantan  Kota Bharu Kelantan - my 15200</t>
  </si>
  <si>
    <t>NVMY34535000009918</t>
  </si>
  <si>
    <t>NURSYIDAH BT MOHD RUSLI</t>
  </si>
  <si>
    <t>LOT 0020 KG STAN BETA HULU, 16450 KETEREH, KELANTAN  Ketereh Kelantan - my 16450</t>
  </si>
  <si>
    <t>NVMY34535000009917</t>
  </si>
  <si>
    <t>FATIMAA AZ-ZAHRA</t>
  </si>
  <si>
    <t>PT 18795, JALAN LIMBONG KG LIMBONG PAKA 23100 TERENGGANU  Paka Terengganu - my 23100</t>
  </si>
  <si>
    <t>NVMY34535000009913</t>
  </si>
  <si>
    <t>FATIMAH ZAHARAH</t>
  </si>
  <si>
    <t>PT 17544, JALAN PAKA, KG PAYA APEK, BATU 5, DUNGUN 23000 TERENGGANU   Dungun Terengganu - my 23000</t>
  </si>
  <si>
    <t>NVMY34535000009871</t>
  </si>
  <si>
    <t>NUR AH SANUL HAYATI</t>
  </si>
  <si>
    <t>NO 156 JALAN C3 TAMAN MELAWATI 53100 KUALA LUMPUR   Hulu Langat Kuala Lumpur - my 53100</t>
  </si>
  <si>
    <t>NVMY34535000009908</t>
  </si>
  <si>
    <t>NVMY34535000009901</t>
  </si>
  <si>
    <t>MISS SIEW</t>
  </si>
  <si>
    <t>BTK INTEGRATED TRANSPORT SDN BHD,LOT 999 1454 JALAN KUALA KANGSAR JALAN SIMPANG 34700 SIMPANG TAIPING PERAK  Perak Simpang Perak - my 34700</t>
  </si>
  <si>
    <t>NVMY34535000009924</t>
  </si>
  <si>
    <t>NVMY34535000009910</t>
  </si>
  <si>
    <t>Meryl &amp; Anis</t>
  </si>
  <si>
    <t>R-S-11 Kompleks Permaisuri Q, Jalan Sri Permaisuri, 56000, Kuala Lumpur, Malaysia  Kuala Lumpur Kuala Lumpur - my 56000</t>
  </si>
  <si>
    <t>NVMY34535000009934</t>
  </si>
  <si>
    <t>ROSIAH BTE JUBARI</t>
  </si>
  <si>
    <t>NO 8 LORONG TENGGIRI 1 TAMAN SRI PELABOHAN 41100 KLANG, SELANGOR  Klang Selangor - my 41100</t>
  </si>
  <si>
    <t>NVMY34535000009914</t>
  </si>
  <si>
    <t>CT Khatijah</t>
  </si>
  <si>
    <t>LLN1700 kampung kandis , lorong kandis 11 , Mukim Pering 06100 Kodiang , Kedah  Kodiang Kedah - my 06100</t>
  </si>
  <si>
    <t>NVMY34535000009922</t>
  </si>
  <si>
    <t>NURUL ATIKAH BINTI NUZULA</t>
  </si>
  <si>
    <t>KAMPUNG REKANG HULU JELAWAT 16070 BACHOK KELANTAN  Bachok Kelantan - my 16070</t>
  </si>
  <si>
    <t>NVMY34535000009911</t>
  </si>
  <si>
    <t>kikin</t>
  </si>
  <si>
    <t>C-13-29 FLR 13 BLOK C SRI PENARA , JALAN SRI PERMAISURI BANDAR PERMAISURI 56000 KUALA LUMPUR WILAYAH PERSEKUTUAN   Kuala Lumpur Kuala Lumpur - my 56000</t>
  </si>
  <si>
    <t>NVMY34535000009892</t>
  </si>
  <si>
    <t>PN . SUZANA BINTI JOHARI</t>
  </si>
  <si>
    <t>BAHAGIAN PERKHIDMATAN KEJURUTERAAN ARAS 3-7 , BLOK E3 , KOMPLEKS E PUSAT PENTADBIRAN KERAJAAN PERSEKUTUAN 62590 PUTRAJAYA MALAYSIA   Putrajaya Putrajaya - my 62590</t>
  </si>
  <si>
    <t>NVMY34535000009920</t>
  </si>
  <si>
    <t>NOORAZIZAH BINTI ABU BAKAR</t>
  </si>
  <si>
    <t>BLOK A-T4-U1 FASA 18R13 PRESINT 18, 62150 PUTRAJAYA  Putrajaya Putrajaya - my 62150</t>
  </si>
  <si>
    <t>NVMY34535000009928</t>
  </si>
  <si>
    <t>NVMY34535000009926</t>
  </si>
  <si>
    <t>MOHD FARIK BIN MOHAMAD (LEEN)</t>
  </si>
  <si>
    <t>48G JALAN PANDAN INDAH 1/19 PANDAN INDAH 55100 KUALA LUMPUR  Kuala Lumpur Kuala Lumpur - my 55100</t>
  </si>
  <si>
    <t>NVMY34535000009916</t>
  </si>
  <si>
    <t>NORALIZA ABDULLAH</t>
  </si>
  <si>
    <t>1184 JALAN ADILLA 3, TAMAN TUNKU SARINA 2, 06000 JITRA KEDAH  Jitra Kedah - my 06000</t>
  </si>
  <si>
    <t>NVMY34535000009907</t>
  </si>
  <si>
    <t>ROHANA OTHMAN</t>
  </si>
  <si>
    <t>8-2-21 PPR DESA TUN RAZAK CHERAS 56000 KUALA LUMPUR  Kuala Lumpur Kuala Lumpur - my 56000</t>
  </si>
  <si>
    <t>D3-BTR-12-125</t>
  </si>
  <si>
    <t>NVMY34535000009903</t>
  </si>
  <si>
    <t>NIK HASBULLAH</t>
  </si>
  <si>
    <t>NO 1 MEDAN SELERA NIK IKAN BAKAR MASJID KAYANGAN BRINCHAN CAMERON HIGHLAND 39100 PAHANG  Brinchang Pahang - my 39100</t>
  </si>
  <si>
    <t>NVMY34535000009927</t>
  </si>
  <si>
    <t>CHE RUSLI</t>
  </si>
  <si>
    <t>PT 10355 , TMN CAHAYA BINARAYA , KG JELATOK , JALAN PASIR MAS , TANAH MERAH   Tanah Merah Kelantan - my 17500</t>
  </si>
  <si>
    <t>NVMY34535000009906</t>
  </si>
  <si>
    <t>NOR ASHIKIN</t>
  </si>
  <si>
    <t>LOT 1550 KAMPUNG PULAU SERAI JALAN BENTAN 26600 PEKAN PAHANG  Pekan Pahang - my 26600</t>
  </si>
  <si>
    <t>NVMY34535000009919</t>
  </si>
  <si>
    <t>FATIMAH HA-ZAHARAH</t>
  </si>
  <si>
    <t>#09-03 APARTMENT CENDERASARI, JALAN CENDERASARI 2, TAMAN PERBADANAN ISLAM LARKIN 80350 JOHOR  Johor Bahru Johor - my 80350</t>
  </si>
  <si>
    <t>NVMY34535000009936</t>
  </si>
  <si>
    <t>ZULKIFLI BIN SIRAJ (0199184363)</t>
  </si>
  <si>
    <t>1784/643, KAMPUNG RAJA BARANG, CHENDERING 21080 KUALA TERENGGANU, TERENGGANU  Kuala Terengganu Terengganu - my 21080</t>
  </si>
  <si>
    <t>NVMY34535000009925</t>
  </si>
  <si>
    <t>PERUMAHAN POLIS MENARA SRI MAHANG NO 8-5-5 JALAN 27/56 KERAMAT WANGSA 54200  Kuala Lumpur Kuala Lumpur - my 54200</t>
  </si>
  <si>
    <t>NVMY34535000009923</t>
  </si>
  <si>
    <t>VANITHA</t>
  </si>
  <si>
    <t>77-03-26, BANDAR BARU SENTUL, KUALA LUMPUR 51000 WILAYAH PERSEKUTUAN KUALA LUMPUR  Kuala Lumpur Kuala Lumpur - my 51000</t>
  </si>
  <si>
    <t>NVMY34535000009929</t>
  </si>
  <si>
    <t>ZAKIAH HISHAM</t>
  </si>
  <si>
    <t>LOT PT 79 , LORONG KADA , BELAKANG MASJID SLOW MACHANG , 17000 PASIR MAS KELANTAN   Pasir Mas Kelantan - my 17000</t>
  </si>
  <si>
    <t>NVMY34535000009921</t>
  </si>
  <si>
    <t>MOHD IQBAL HAKIM</t>
  </si>
  <si>
    <t>PASUKAN GERAKAN UDARA POLIS PKLN SABAH JLN JOHOR OFF JLN SELANGOR 88100 KOTA KINABALU, SABAH  Kota Kinabalu Sabah - my 88100</t>
  </si>
  <si>
    <t>NVMY34535000009935</t>
  </si>
  <si>
    <t>NVMY34535000009817</t>
  </si>
  <si>
    <t>RAIHANI DUAH ABDUL HADI HJ ABA</t>
  </si>
  <si>
    <t>LOT 1394 KAMPUNG BAKOL JLN BANGKUATI 98700 LIMBANG, SARAWAK  Limbang Sarawak - my 98700</t>
  </si>
  <si>
    <t>NVMY34535000009947</t>
  </si>
  <si>
    <t>EN. SHUKRI BIN MOHD</t>
  </si>
  <si>
    <t>139A KAMPUNG MASJID, HAJI KHADIR 21100 KUALA TERENGGANU  Kuala Terengganu Terengganu - my 21100</t>
  </si>
  <si>
    <t>NVMY34535000009940</t>
  </si>
  <si>
    <t>MASNIDA BTE MAT KUDIN</t>
  </si>
  <si>
    <t>PT 8471 TMN WANGSA MEWANGI, JLN PERSIARAN RAYA 18300 GUA MUSANG KELANTAN  Gua Musang Kelantan - my 18300</t>
  </si>
  <si>
    <t>NVMY34535000009941</t>
  </si>
  <si>
    <t>Buyah si cantik manis</t>
  </si>
  <si>
    <t>16081 , taman tapai indah pekan wakaf tapai 21040 marang terengganu  Kuala Terengganu Terengganu - my 21040</t>
  </si>
  <si>
    <t>NVMY34535000009946</t>
  </si>
  <si>
    <t>NVMY34535000009954</t>
  </si>
  <si>
    <t>NIK KAMARUZAMAN B NIK MUSTAPHA</t>
  </si>
  <si>
    <t>MENARA ATLAN, 161B, JALAN AMPANG, SUITE, 15-1, 15TH FLOOR, 50450 KUALA LUMPUR  Kuala Lumpur Kuala Lumpur - my 50450</t>
  </si>
  <si>
    <t>NVMY34535000009939</t>
  </si>
  <si>
    <t>NVMY34535000009953</t>
  </si>
  <si>
    <t>ROHAYATI ISMAIL</t>
  </si>
  <si>
    <t>KG PRALA 1 GUAL IPOH 17500 TANAH MERAH, KELANTAN  Tanah Merah Kelantan - my 17500</t>
  </si>
  <si>
    <t>NVMY34535000009897</t>
  </si>
  <si>
    <t>MASNIZA DAUD</t>
  </si>
  <si>
    <t>38 , JALAN SIERRA PERDANA , 2/7 TAMAN SIERRA PERDANA , 81750 MASAI JOHOR   Masai Johor - my 81750</t>
  </si>
  <si>
    <t>NVMY34535000009886</t>
  </si>
  <si>
    <t>NURUN NADIYA</t>
  </si>
  <si>
    <t>NO 45 , JALAN PUTERA 7/1 , SYEKSYEN 7 , BANDAR MAHKOTA CHERAS 43200 SELANGOR  Kuala Lumpur Kuala Lumpur - my 43200</t>
  </si>
  <si>
    <t>NVMY34535000009930</t>
  </si>
  <si>
    <t>APIH</t>
  </si>
  <si>
    <t>20 JALAN MELAWIS 1 TAMAN MELAWIS , HAMG TUAH JAYA 75450 AYER KEROH MELAKA   Ayer Keroh Melaka - my 75450</t>
  </si>
  <si>
    <t>NVMY34535000009938</t>
  </si>
  <si>
    <t>FATIN NIZAM</t>
  </si>
  <si>
    <t>LOT 2B-14-22 MUTIARA IDAMAN 2, JELUTONG SOLOK TENGKU GEORGETOWN 11600 PULAU PINANG  Jelutong Pulau Pinang - my 11600</t>
  </si>
  <si>
    <t>NVMY34535000009944</t>
  </si>
  <si>
    <t>NUR ATIKA BT MOHD NOOR</t>
  </si>
  <si>
    <t>NO 8 LORONG SERI DAMAI PERDANA 33 BATU 6 JALAN GAMBANG 25150 KUANTAN PAHANG  Kuantan Pahang - my 25150</t>
  </si>
  <si>
    <t>NVMY34535000009933</t>
  </si>
  <si>
    <t>NVMY34535000009931</t>
  </si>
  <si>
    <t>SUHAIRIATI BINTI MD NAYAN</t>
  </si>
  <si>
    <t>NO 1 JALAN TPS 4/7 TAMAN PELANGI SMENYIH, 43500 SEMENYIH, SELANGOR  Shah Alam Selangor - my 43500</t>
  </si>
  <si>
    <t>NVMY34535000009932</t>
  </si>
  <si>
    <t>NUR ZULAIKHA KAMARUDDIN</t>
  </si>
  <si>
    <t>NO 22, JALAN TPS 4/13 TAMAN PELANGI SEMENYIH 43500 SEMENYIH, SELANGOR  Shah Alam Selangor - my 43500</t>
  </si>
  <si>
    <t>NVMY34535000009956</t>
  </si>
  <si>
    <t>SHERRY TAM</t>
  </si>
  <si>
    <t>29 JALAN MUTIARA 1 TAMAN MUTIARA BHARAT KUALA LUMPUR 56000  Kuala Lumpur Kuala Lumpur - my 56000</t>
  </si>
  <si>
    <t>NVMY34535000009889</t>
  </si>
  <si>
    <t>WAN HAZIM MUIZ BIN WAN AZIZ</t>
  </si>
  <si>
    <t>RSC 1 GENTING HIGHLAND 69000 GENTING HIGHLAND PAHANG  Genting Highlands Pahang - my 69000</t>
  </si>
  <si>
    <t>NVMY34535000009964</t>
  </si>
  <si>
    <t>FAIZATULAINI</t>
  </si>
  <si>
    <t>S2-8-18,PANGSAPURI CASSIA, NO.8,JALAN ECOHILL 1/2,SETIA ECOHILL 43500 SEMENYIH, SELANGOR  Shah Alam Selangor - my 43500</t>
  </si>
  <si>
    <t>NVMY34535000009955</t>
  </si>
  <si>
    <t>ANDY ADANAN</t>
  </si>
  <si>
    <t>13, HALAMAN MERU DAMAI, BANDAR MERU RAYA 30020 IPOH, PERAK  Ipoh Perak - my 30020</t>
  </si>
  <si>
    <t>NVMY34535000009987</t>
  </si>
  <si>
    <t>NUR AMIRAH ROSLI (CRE SYIDAH TAT)</t>
  </si>
  <si>
    <t>HONDA KEPONG 4S CENTRE - BELUX AUTO SDN BHD, JALAN KUANG BULAN TAMAN KEPONG 52100 KUALA LUMPUR   Kuala Lumpur Kuala Lumpur - my 52100</t>
  </si>
  <si>
    <t>NVMY34535000009937</t>
  </si>
  <si>
    <t>NOOR JANNAH BT NAZRI</t>
  </si>
  <si>
    <t>NO 46 JALAN ILHAM 25/53, TAMAN SRI MUDA, 40400 SHAH ALAM, SELANGOR  Shah Alam Selangor - my 40400</t>
  </si>
  <si>
    <t>NVMY34535000009984</t>
  </si>
  <si>
    <t>NVMY34535000009958</t>
  </si>
  <si>
    <t>ROSTI JOY</t>
  </si>
  <si>
    <t>BLOK B-4-7 BLOK B-4-7 JALAN WARISAN MEGAH 1/6 APARTMENT MEGAH VILLA KOTA WARISAN 43900 SEPANG, SELANGOR  Sepang Selangor - my 43900</t>
  </si>
  <si>
    <t>NVMY34535000009915</t>
  </si>
  <si>
    <t>Syazwani</t>
  </si>
  <si>
    <t>POLIKLINIK DR AZHAR &amp; RAKAN2  NO 99 Bandar Darulaman Jaya , 06000 Jitra Kedah  Kedah Kubang Pasu Kedah my 06000</t>
  </si>
  <si>
    <t>NVMY34535000009991</t>
  </si>
  <si>
    <t>ZAI IBRAHIM</t>
  </si>
  <si>
    <t>C/O HALIM MINI MARKET PT B 1566 TINGKAT BAWAH, TAMAN NURI KG PADANG SELISING JLN PASIR PUTEH 18500 MACHANG KELANTAN  Machang Kelantan - my 18500</t>
  </si>
  <si>
    <t>NVMY34535000009973</t>
  </si>
  <si>
    <t>ASMAWATI BINTI MOHD TUJERI</t>
  </si>
  <si>
    <t>NO 24 JALAN P11A 5/2, PRESINT 11, 62300 PUTRAJAYA   Putrajaya Putrajaya - my 62300</t>
  </si>
  <si>
    <t>NVMY34535000009963</t>
  </si>
  <si>
    <t>Lienmohd Beautyshop</t>
  </si>
  <si>
    <t>Lot1959 - B3 jalan nenas kg bukit kapar 42200 klang selangor  Kapar Selangor - my 42200</t>
  </si>
  <si>
    <t>NVMY34535000009965</t>
  </si>
  <si>
    <t>NVMY34535000009990</t>
  </si>
  <si>
    <t>Adi aiman</t>
  </si>
  <si>
    <t>SKN 212 HANDAU, Pangakalan Udara Gong Kedak Besut, 22000 Terengganu  Jerteh Terengganu - my 22000</t>
  </si>
  <si>
    <t>NVMY34535000009996</t>
  </si>
  <si>
    <t>NVMY34535000009972</t>
  </si>
  <si>
    <t>SITI NURSILA</t>
  </si>
  <si>
    <t>NO 1 JALAN MERATI PUTIH 3 TAMAN PERMAI 2 BATU 7 1/2 MERU KLAMG SELANGOR 41050  Klang Selangor - my 41050</t>
  </si>
  <si>
    <t>NVMY34535000009949</t>
  </si>
  <si>
    <t>NUR DALIYANA BT RUSLAN</t>
  </si>
  <si>
    <t>NO 141 JALAN DESA AMAN , 516/5 TAMAN DESA AMAN , 09410 PADANG SERAI , KULIM KEDAH   Padang Serai Kedah - my 09410</t>
  </si>
  <si>
    <t>NVMY34535000009986</t>
  </si>
  <si>
    <t>NVMY34535000009988</t>
  </si>
  <si>
    <t>EYNAA</t>
  </si>
  <si>
    <t>B-13-4 LAMAN DAMAI KEPONG JALAN KUANG BERTAM TAMAN KEPONG KUALA LUMPUR 52100 WILAYAH PERSEKUTUAN   Kuala Lumpur Kuala Lumpur - my 52100</t>
  </si>
  <si>
    <t>NVMY34535000010473</t>
  </si>
  <si>
    <t>LAU IYU KIONG</t>
  </si>
  <si>
    <t>PT 9120 TAMAN SINAR JAYA KAMPUNG BELIMBING JALAN PASIR MAS 17500 TANAH MERAH KELANTAN   Tanah Merah Kelantan - my 17500</t>
  </si>
  <si>
    <t>NVMY34535000010430</t>
  </si>
  <si>
    <t>NVMY34535000010445</t>
  </si>
  <si>
    <t>JP DAMIA FARISHA BINTI DAWOD</t>
  </si>
  <si>
    <t>ASRAMA SERI MELENGGANG, ILKKM KUALA PILAH (KEJURURAWATAN), 72000 JALAN MELANG, KUALA PILAH, NEGARI SEMBILAN   Kuala Pilah Negeri Sembilan - my 72000</t>
  </si>
  <si>
    <t>NVMY34535000010454</t>
  </si>
  <si>
    <t>NUR HANANI</t>
  </si>
  <si>
    <t>NO 110A, JALAN HAJI ABDUL RAHMAN KAMPUNG BARU BENTONG 28700 PAHANG  Bentong Pahang - my 28700</t>
  </si>
  <si>
    <t>NVMY34535000010452</t>
  </si>
  <si>
    <t>Suhaili Binti Sapian</t>
  </si>
  <si>
    <t>No 31, Lorong Sari 6, RPT Cempaka Sari, 31650 ipoh Perak   Ipoh Perak - my 31650</t>
  </si>
  <si>
    <t>NVMY34535000010502</t>
  </si>
  <si>
    <t>Mohd Azuan bin Mohd Sabri</t>
  </si>
  <si>
    <t>Lot 15599 Kampung Teluk Ketapang, Lorong Ketapang 6,21300 Kuala Terengganu, Terengganu  Kuala Terengganu Terengganu - my 21300</t>
  </si>
  <si>
    <t>NVMY34535000010457</t>
  </si>
  <si>
    <t>Noorshazila bte zainal abidin</t>
  </si>
  <si>
    <t>No,4 jln d,areca2 Taman bandar senawang,70450 Seremban ,n.9  Seremban Negeri Sembilan - my 70450</t>
  </si>
  <si>
    <t>NVMY34535000010466</t>
  </si>
  <si>
    <t>NOORUL MARHAINIE BINTI HAMZASIN</t>
  </si>
  <si>
    <t>NO 9-4-18 PANGSAPURI SUBANG UTARID , JALAN MAHSING , SEKSYEN U5/2 , 40150 SHAH ALAM SELANGOR   Shah Alam Selangor - my 40150</t>
  </si>
  <si>
    <t>NVMY34535000010468</t>
  </si>
  <si>
    <t>HAYATI MOHD SHAMSHUDIN</t>
  </si>
  <si>
    <t>LOT 1684-B LORONG KAYU KELAT 8 ALOR PEROI 22300 KUALA BESUT TERENGGANU   Kuala Besut Terengganu - my 22300</t>
  </si>
  <si>
    <t>NVMY34535000010472</t>
  </si>
  <si>
    <t>AFIQAH</t>
  </si>
  <si>
    <t>60 JALAN PANGLIMA AWANG 35/1 21 , KLANG , 40470 , SELANGOR   Shah Alam Selangor - my 40470</t>
  </si>
  <si>
    <t>NVMY34535000010491</t>
  </si>
  <si>
    <t>MOHD SABRI B ISHAK</t>
  </si>
  <si>
    <t>Lot 3766 Kampong Baru Bintang 28000 Temerloh Pahang  Temerloh Pahang - my 28000</t>
  </si>
  <si>
    <t>NVMY34535000010444</t>
  </si>
  <si>
    <t>NVMY34535000010525</t>
  </si>
  <si>
    <t>Anis Syazwina</t>
  </si>
  <si>
    <t>Lot 5307 kg banggol kemunting 17500 tanah merah kelantan  Tanah Merah Kelantan - my 17500</t>
  </si>
  <si>
    <t>NVMY34535000010503</t>
  </si>
  <si>
    <t>Nik Ahmad Fitri</t>
  </si>
  <si>
    <t>B2-G-11 Pangsapuri Banjaria Court Jalan Samudera Timur 68100 Batu Caves Selangor  Batu Caves Selangor - my 68100</t>
  </si>
  <si>
    <t>NVMY34535000010482</t>
  </si>
  <si>
    <t>FAIZAH AHMAD</t>
  </si>
  <si>
    <t>F-G-3 INDAH CONDOMINIUM PRIMA DAMANSARA, JALAN PJU 10/9, 47830, PETALING JAYA, SELANGOR  Petaling Jaya Selangor - my 47830</t>
  </si>
  <si>
    <t>NVMY34535000010406</t>
  </si>
  <si>
    <t>ADDY</t>
  </si>
  <si>
    <t>107 KAMPUNG SALAK BARU 34800 TRONG TAIPING PERAK   Trong Perak - my 34800</t>
  </si>
  <si>
    <t>NVMY34535000010507</t>
  </si>
  <si>
    <t>Mohd Saharuddin bin Idris</t>
  </si>
  <si>
    <t>PT 10633 ,Jalan Kenanga Sura Jetty, 23000 Dungun , Terengganu  Dungun Terengganu - my 23000</t>
  </si>
  <si>
    <t>NVMY34535000010428</t>
  </si>
  <si>
    <t>FARHAH FAUZI</t>
  </si>
  <si>
    <t>A2-19-17 SAVANNA EXECUTIVE SUITE JALAN BBLS 2 BANDAR BARU LEMBAH SELATAN 43800 DENGKIL SELANGOR  Telok Panglima Garang Selangor - my 43800</t>
  </si>
  <si>
    <t>NVMY34535000010458</t>
  </si>
  <si>
    <t>NAZRAH BINTI YAHYA</t>
  </si>
  <si>
    <t>NO 839 TAMAN BERSATU, JLN HOSPITAL DAERAH, 06000 JITRA,  Jitra Kedah - my 06000</t>
  </si>
  <si>
    <t>NVMY34535000010475</t>
  </si>
  <si>
    <t>NORIAH BT SULAIMAN</t>
  </si>
  <si>
    <t>LOT 1182 KG PANGKAL JENEREH 18400 TEMANGAN, MACHANG, KELANTAN  Temangan Kelantan - my 18400</t>
  </si>
  <si>
    <t>NVMY34535000010504</t>
  </si>
  <si>
    <t>Ahmad Khairuddin Mohd Noor</t>
  </si>
  <si>
    <t>No Pt 594 Kampung Binjai BT 11 16450 Ketereh Kelantan  Ketereh Kelantan - my 16450</t>
  </si>
  <si>
    <t>NVMY34535000010451</t>
  </si>
  <si>
    <t>HANIS WAHIDAH</t>
  </si>
  <si>
    <t>46-5-10 APARTMENT MUTIARA RIA, MUTIARA RIA 11700 GELUGOR PULAU PINANG  Gelugor Pulau Pinang - my 11700</t>
  </si>
  <si>
    <t>NVMY34535000010474</t>
  </si>
  <si>
    <t>ZARINA HANOM</t>
  </si>
  <si>
    <t>NO 2 JALAN 9/23B , DANAU KOTA 53300 SETAPAK , KUALA LUMPUR   Kuala Lumpur Kuala Lumpur - my 53300</t>
  </si>
  <si>
    <t>NVMY34535000010448</t>
  </si>
  <si>
    <t>NANG NAZIMAH NIK HAMID</t>
  </si>
  <si>
    <t>BLOK 12A3-T11-U05, FASA 12, PRESINT 9, 62250 W.P PUTRAJAYA  Putrajaya Putrajaya - my 62250</t>
  </si>
  <si>
    <t>NVMY34535000010459</t>
  </si>
  <si>
    <t>AZLINDA HAIZA HANAFI</t>
  </si>
  <si>
    <t>PT 7884 TAMAN DESA RU RENDANG , JALAN BUKIT KOR , 21600 MARANG TERENGGANU   Marang Terengganu - my 21600</t>
  </si>
  <si>
    <t>NVMY34535000010453</t>
  </si>
  <si>
    <t>NOR MAISARAH BINTI RUSLI</t>
  </si>
  <si>
    <t>R123 PANDAN PUTERI CONDOMINIUM 10 JALAN PANDAN INDAH 6/10 PANDAN INDAH 55100 AMPANG, SELANGOR  Kuala Lumpur Kuala Lumpur - my 55100</t>
  </si>
  <si>
    <t>NVMY34535000010446</t>
  </si>
  <si>
    <t>MUHAMMAD AQIL (F6)</t>
  </si>
  <si>
    <t xml:space="preserve"> (SMKA PUTRAJAYA) Jalan P11E, Presint 11, 62300 Putrajaya, Wilayah Persekutuan Putrajaya  Putrajaya Putrajaya - my 62300</t>
  </si>
  <si>
    <t>NVMY34535000010505</t>
  </si>
  <si>
    <t>Agung</t>
  </si>
  <si>
    <t>44,2a jln 3/116B k,E,park jln kuchai lama kl,58200  Kuala Lumpur Kuala Lumpur - my 58200</t>
  </si>
  <si>
    <t>NVMY34535000010439</t>
  </si>
  <si>
    <t>MUMMYSYA</t>
  </si>
  <si>
    <t>NO 45 JALAN HIJAU 6/11 BANDAR TASIK PUTERI 48020 RAWANG   Rawang Selangor - my 48020</t>
  </si>
  <si>
    <t>NVMY34535000010465</t>
  </si>
  <si>
    <t>SHAHIDATUL AKMA</t>
  </si>
  <si>
    <t>NO 23 JALAN SI 1/3 TAMAN SENTOSA IMPIAN 43000 KAJANG SELANGOR   Kajang Selangor - my 43000</t>
  </si>
  <si>
    <t>NVMY34535000010436</t>
  </si>
  <si>
    <t>NVMY34535000010442</t>
  </si>
  <si>
    <t>NUR FARIZA</t>
  </si>
  <si>
    <t>NO 48 JALAN PENGGAWA 12/2 SEKSYEN 2 BANDAR MAHKOTA CHERAS 43200 CHERAS, SELANGOR  Kuala Lumpur Kuala Lumpur - my 43200</t>
  </si>
  <si>
    <t>NVMY34535000010440</t>
  </si>
  <si>
    <t>SYAMILAH FARHANAH BINTI ARIFF</t>
  </si>
  <si>
    <t>NO 10B LORONG 2 KIRI, KG PAYA BALAI BESAR 23000 DUNGUN TERENGGANU  Dungun Terengganu - my 23000</t>
  </si>
  <si>
    <t>A2-DGN-25-16</t>
  </si>
  <si>
    <t>NVMY34535000010449</t>
  </si>
  <si>
    <t>Nur Thaqifah binti Ahmad Tarmizi</t>
  </si>
  <si>
    <t>: Lot 1742-4 Jalan Paya Rumput Lorong Hujung Tanjung 76300 Sungai Udang Melaka  Sungai Udang Melaka - my 76300</t>
  </si>
  <si>
    <t>NVMY34535000010485</t>
  </si>
  <si>
    <t>Hakok Bundle</t>
  </si>
  <si>
    <t>No. 24, Jalan Penghulu Kassim, Kg. Melayu, 86000 Kluang, Johor  Kluang Johor - my 86000</t>
  </si>
  <si>
    <t>NVMY34535000010390</t>
  </si>
  <si>
    <t>NVMY34535000010496</t>
  </si>
  <si>
    <t>MARINA BINTI MAHMOOD</t>
  </si>
  <si>
    <t>KM19 KAMPUNG BELIMBING DALAM 76100 DURIAN TUNGGAL, ALOR GAJAH MELAKA  Durian Tunggal Melaka - my 76100</t>
  </si>
  <si>
    <t>NVMY34535000010483</t>
  </si>
  <si>
    <t>NARESH</t>
  </si>
  <si>
    <t>PERKASA GARUDA LOGISTICS SDN BHD , SENTRAL 27,40 JALAN TELUK KAPAS 27/94 , SEKSYEN 27 40400 SHAH ALAM SELANGOR   Shah Alam Selangor - my 40400</t>
  </si>
  <si>
    <t>NVMY34535000010487</t>
  </si>
  <si>
    <t>RAFIDI  BIN MD DAUD</t>
  </si>
  <si>
    <t>2-6-9 TAMAN MUTIARA VISTA JALAN BAKAU 11600 PULAU PINANG  Jelutong Pulau Pinang - my 11600</t>
  </si>
  <si>
    <t>NVMY34535000010461</t>
  </si>
  <si>
    <t>ZULFAEIZIN BIN MOKHTAR</t>
  </si>
  <si>
    <t>MT2653 JALAN MT5 , TAMAN BANDAR BARU , 78300 MASJID TANAH MELAKA   Masjid Tanah Melaka - my 78300</t>
  </si>
  <si>
    <t>NVMY34535000010479</t>
  </si>
  <si>
    <t>Nurul Amira Binti Ludin,</t>
  </si>
  <si>
    <t>No.212,Lorong Mutiara 4, Taman Intan Mutiara, 36000 Teluk Intan, Perak.  Teluk Intan Perak - my 36000</t>
  </si>
  <si>
    <t>NVMY34535000010509</t>
  </si>
  <si>
    <t>Nor msread</t>
  </si>
  <si>
    <t>Lot G03 ground floor, Aeon mall Tebrau city No 1 jalan desa tebrau, Taman desa tebrau  81100 Johor Bahru  Johor Bahru Johor - my 81100</t>
  </si>
  <si>
    <t>NVMY34535000010490</t>
  </si>
  <si>
    <t>Mohamad izwan bin ahmad</t>
  </si>
  <si>
    <t>380 kampong tasek chempedak 14120 simpang ampat penang  Simpang Ampat Pulau Pinang - my 14120</t>
  </si>
  <si>
    <t>NVMY34535000010489</t>
  </si>
  <si>
    <t>mustafa mughni</t>
  </si>
  <si>
    <t>No410 blok 18 Felda papan timur 81930 kota tinggi johor  Bandar Penawar Johor - my 81930</t>
  </si>
  <si>
    <t>C1-PWR-9-63</t>
  </si>
  <si>
    <t>NVMY34535000010511</t>
  </si>
  <si>
    <t>rabiatul Adawiyah</t>
  </si>
  <si>
    <t>TS 1341 jalan sekolah sungai kecil Nibong tebal 14300 pulau Pinang  Nibong Tebal Pulau Pinang - my 14300</t>
  </si>
  <si>
    <t>NVMY34535000010500</t>
  </si>
  <si>
    <t>BADRUL NIZAM</t>
  </si>
  <si>
    <t>balai bomba dan penyelamat kapar, jalan persiaran hamzah Alang, 42200 kapar, klang selangor  Kapar Selangor - my 42200</t>
  </si>
  <si>
    <t>NVMY34535000010498</t>
  </si>
  <si>
    <t>Kzaman kamis</t>
  </si>
  <si>
    <t>6390, jln melati 4, Indahpura, 81000,kulai, Johor   Kulai Johor - my 81000</t>
  </si>
  <si>
    <t>NVMY34535000010470</t>
  </si>
  <si>
    <t>AINA NABILAH BINTI ZULKARNAIN</t>
  </si>
  <si>
    <t>LOT 1126A, JALAN BATU DINDING 3, KG BATU DINDING, 33400 LENGGONG, PERAK  Lenggong Perak - my 33400</t>
  </si>
  <si>
    <t>NVMY34535000010476</t>
  </si>
  <si>
    <t>Masitah binti Md Saliman</t>
  </si>
  <si>
    <t>No.751, Jalan Bestari 1/4, Taman Bestari, 09000, Kulim Kedah  Kulim Kedah - my 09000</t>
  </si>
  <si>
    <t>NVMY34535000010464</t>
  </si>
  <si>
    <t>Norazlinda Shamsudin</t>
  </si>
  <si>
    <t>E-T.09-U.06 , BLOK E , SUB PRESINT 14-7 PRESINT 14 , 62050 PUTRAJAYA W.P.PUTRAJAYA   Putrajaya Putrajaya - my 62050</t>
  </si>
  <si>
    <t>NVMY34535000010480</t>
  </si>
  <si>
    <t>HASLINA BINTI HAMID</t>
  </si>
  <si>
    <t>NO 5 LORONG GUAR PERAHU 24 TAMAN GUAR PERAHU 14400 KUBANG SEMANG PULAU PINANG  Kubang Semang Pulau Pinang - my 14400</t>
  </si>
  <si>
    <t>NVMY34535000010515</t>
  </si>
  <si>
    <t>AHMAD KHAIRUL</t>
  </si>
  <si>
    <t>NO 15 KAMPUNG TOPENG REPEK 17070 pasir mas , kelantan  Pasir Mas Kelantan - my 17070</t>
  </si>
  <si>
    <t>NVMY34535000010499</t>
  </si>
  <si>
    <t>Muhammad Hasnain Irfan bin Hamdan</t>
  </si>
  <si>
    <t>No.11,Persiaran Seksyen 3/17,Bertam Putra,Kepala  Batas,Pulau Pinang  Kepala Batas Pulau Pinang - my 13200</t>
  </si>
  <si>
    <t>NVMY34535000010467</t>
  </si>
  <si>
    <t>AZIZAN</t>
  </si>
  <si>
    <t>463 MK E TITI TERAS BALIK PULAU 11000 PULAU PINANG ( HANTAR DEKAT KEDAI DEPAN PEJABAT AGAMA )   Balik Pulau Pulau Pinang - my 11000</t>
  </si>
  <si>
    <t>NVMY34535000010492</t>
  </si>
  <si>
    <t>Azan Janz</t>
  </si>
  <si>
    <t>244 blok 11 felda Kledang 81930 kota tinggi Johor  Bandar Penawar Johor - my 81930</t>
  </si>
  <si>
    <t>NVMY34535000010512</t>
  </si>
  <si>
    <t>Muhamad shahril izwan</t>
  </si>
  <si>
    <t>9-18-06, sri impian apartments,lengkok angsana,farlim timur laut,penang.11500  Ayer Itam Pulau Pinang - my 11500</t>
  </si>
  <si>
    <t>NVMY34535000010513</t>
  </si>
  <si>
    <t>Lina maryani yahaya</t>
  </si>
  <si>
    <t>no.1 lot 5425 jln sheikh jalaludin, bt 29, kg.Jenderam hulu 43800 dengkil selangor  Telok Panglima Garang Selangor - my 43800</t>
  </si>
  <si>
    <t>D4-BSP-8-133</t>
  </si>
  <si>
    <t>NVMY34535000010414</t>
  </si>
  <si>
    <t>MAISARAHAZ NURSE SEM 1</t>
  </si>
  <si>
    <t>ASRAMA PELATIH PEREMPUAN, INSTITUT LATIHAN KEMENTERIAN KESIHATAN MALAYSIA (ILKKM), SULTAN AZLAN SHAH, 31250 TANJUNG RAMBUTAN  Tanjong Rambutan Perak - my 31250</t>
  </si>
  <si>
    <t>NVMY34535000010488</t>
  </si>
  <si>
    <t>NVMY34535000010481</t>
  </si>
  <si>
    <t>NIK SOFIA SABRINA</t>
  </si>
  <si>
    <t>LOT3273 NO25 JALAN 1 , LAMAN BARAKAH , LORONG BUKIT SERDANG , OFF JALAN IBRAHIM , KG BUKIT CHANGGANG 42700 BANTING SELANGOR   Telok Panglima Garang Selangor - my 42700</t>
  </si>
  <si>
    <t>NVMY34535000010508</t>
  </si>
  <si>
    <t>Siti farahah bt che razali</t>
  </si>
  <si>
    <t>Blok b  tingkat 2 Jabatan patologi hospital batu pahat Jalan korma 83000 batu pahat johor  Batu Pahat Johor - my 83000</t>
  </si>
  <si>
    <t>NVMY34535000010524</t>
  </si>
  <si>
    <t>JASTINA</t>
  </si>
  <si>
    <t>NO 1, LORONG PERDA TIMUR 8, 14000 BANDAR PERDA BUKIT MERTAJAM PULAU PINANG  Bukit Mertajam Pulau Pinang - my 14000</t>
  </si>
  <si>
    <t>NVMY34535000010501</t>
  </si>
  <si>
    <t>Mohd burhanuddin bin aliasa</t>
  </si>
  <si>
    <t>No.1,kampung kandang hilir,kota lama kanan,33040,kuala kangsar,perak  Kuala Kangsar Perak - my 33000</t>
  </si>
  <si>
    <t>NVMY34535000010469</t>
  </si>
  <si>
    <t>MUHAMMAD NOR BAHARIN</t>
  </si>
  <si>
    <t>11A, LORONG SEGEMAL 6, TAMAN SEGEMAL, 13400 BUTTERWORTH PULAU PINANG  Butterworth Pulau Pinang - my 13400</t>
  </si>
  <si>
    <t>NVMY34535000010462</t>
  </si>
  <si>
    <t>nur nazira bt abdul hakim</t>
  </si>
  <si>
    <t>1917 jalan sj 1/4 taman seremban jaya , 70450 , seremban , n.sembilan  Seremban Negeri Sembilan - my 70450</t>
  </si>
  <si>
    <t>NVMY34535000010495</t>
  </si>
  <si>
    <t>Warung Mak Leha No 10 Jalan Dewan Sultan Sulaiman Kg Baru 50300 Kuala Lumpur.  Kuala Lumpur Kuala Lumpur - my 50300</t>
  </si>
  <si>
    <t>NVMY34535000010463</t>
  </si>
  <si>
    <t>Ika Aziz</t>
  </si>
  <si>
    <t>No 4 jln bse 4/33 bandar seri ehsan 42700 banting  Telok Panglima Garang Selangor - my 42700</t>
  </si>
  <si>
    <t>NVMY34535000010478</t>
  </si>
  <si>
    <t>Rini Binti Shoaid</t>
  </si>
  <si>
    <t>No. 12, Jalan Tun Teja 35/14A, Alam Impian,40470 Shah Alam, Selangor  Shah Alam Selangor - my 40470</t>
  </si>
  <si>
    <t>NVMY34535000010460</t>
  </si>
  <si>
    <t>NIK ANIS</t>
  </si>
  <si>
    <t>125 USJ 12/1N, UEP SUBANG JAYA 47630 SELANGOR  Subang Jaya Selangor - my 47630</t>
  </si>
  <si>
    <t>NVMY34535000010554</t>
  </si>
  <si>
    <t>NUR AZWEENA</t>
  </si>
  <si>
    <t>4-14 PANGSAPURI SERI SIANTAN, JALAN SR 5/3 TAMAN SERDANG JAYA SERI KEMBANGAN 43300 SELANGOR  Seri Kembangan Selangor - my 43300</t>
  </si>
  <si>
    <t>NVMY34535000010493</t>
  </si>
  <si>
    <t>ABD RASHID BIN ISMAIL</t>
  </si>
  <si>
    <t>BATU 16 MUKIM GAJAH MATI JLN KUALA NERANG 06400 POKOK SENA KEDAH  Pokok Sena Kedah - my 06400</t>
  </si>
  <si>
    <t>NVMY34535000010539</t>
  </si>
  <si>
    <t>NVMY34535000010517</t>
  </si>
  <si>
    <t>Mazni Md Said</t>
  </si>
  <si>
    <t>No 6, Kg Gombang,  84600, Pagoh Johor  Pagoh Johor - my 84600</t>
  </si>
  <si>
    <t>NVMY34535000010584</t>
  </si>
  <si>
    <t>SHAFEEQA</t>
  </si>
  <si>
    <t>KAMPUNG KONGGOR 2 BATU BALAI 27030 JERANTUT PAHANG  Damak Pahang - my 27030</t>
  </si>
  <si>
    <t>B1-JER-19-33</t>
  </si>
  <si>
    <t>NVMY34535000010477</t>
  </si>
  <si>
    <t>Puteri  siti fatma humairah fatimah</t>
  </si>
  <si>
    <t>Lot 17446 jalan besar tok janggut kg sandarhalu B3  33400 leggong Perak  Lenggong Perak - my 33400</t>
  </si>
  <si>
    <t>NVMY34535000010497</t>
  </si>
  <si>
    <t>Mohd</t>
  </si>
  <si>
    <t>No 6 Jln padi mahsuri 11 Bandar baru uda 81200 johor bahru Johor  Johor Bahru Johor - my 81200</t>
  </si>
  <si>
    <t>NVMY34535000010528</t>
  </si>
  <si>
    <t>MOHD RAHIMI</t>
  </si>
  <si>
    <t>1625, LORONG SERAI WANGI 11/5 TAMAN SERAI WANGI II, 09400 PADANG SERAI, KEDAH  Kulim Kedah my 09400</t>
  </si>
  <si>
    <t>NVMY34535000010529</t>
  </si>
  <si>
    <t>ACIK</t>
  </si>
  <si>
    <t>NO12 JALAN BUKIT KEMPAS1/1 TAMAN BUKIT KEMPAS 81200 JOHOR   Johor Bahru Johor - my 81200</t>
  </si>
  <si>
    <t>C1-KEM-7-74</t>
  </si>
  <si>
    <t>NVMY34535000010523</t>
  </si>
  <si>
    <t>Puan Siti Fazirah Binti Bakir</t>
  </si>
  <si>
    <t>PVD3-212, Perdana Villa Deluxe, Jln Perdana 2/1, 55300 KL  Kuala Lumpur Kuala Lumpur - my 55300</t>
  </si>
  <si>
    <t>NVMY34535000010561</t>
  </si>
  <si>
    <t>PIPI LEONG</t>
  </si>
  <si>
    <t>3A-8-2 BLOK BIDARA JALAN KERINCHI PANTAI PANORAMA CONDOMINIUM, BANGSAR SOUTH, KUALA LUMPUR SEGAMBUT 9, SEGAMBUT KUALA LUMPUR  Kuala Lumpur Kuala Lumpur - my 59200</t>
  </si>
  <si>
    <t>NVMY34535000010510</t>
  </si>
  <si>
    <t>Norli bte Miskon</t>
  </si>
  <si>
    <t>No.1, Lorong Nangka Kanan, Jalan Cempaka, Kanchong Darat, 42700 Banting,  Selangor  Telok Panglima Garang Selangor - my 42700</t>
  </si>
  <si>
    <t>NVMY34535000010516</t>
  </si>
  <si>
    <t>Nurul Hamizah</t>
  </si>
  <si>
    <t>9-4 Kuarters Institusi Pendidikan Desa Perwira Jalan Pria Taman Maluri Cheras 55100 Kl  Kuala Lumpur Kuala Lumpur - my 55100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</si>
</sst>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4" fillId="4" borderId="0" xfId="0" applyNumberFormat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C20B-AC25-4CA8-BA40-7F78ED40B61F}">
  <dimension ref="A1:AH771"/>
  <sheetViews>
    <sheetView tabSelected="1" workbookViewId="0">
      <selection sqref="A1:AH769"/>
    </sheetView>
  </sheetViews>
  <sheetFormatPr defaultRowHeight="14.5" x14ac:dyDescent="0.35"/>
  <cols>
    <col min="1" max="34" width="9.08984375" customWidth="1"/>
  </cols>
  <sheetData>
    <row r="1" spans="1:3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</row>
    <row r="2" spans="1:34" ht="15" customHeight="1" x14ac:dyDescent="0.35">
      <c r="A2">
        <v>7547676</v>
      </c>
      <c r="B2">
        <v>690929</v>
      </c>
      <c r="C2" t="s">
        <v>34</v>
      </c>
      <c r="D2" t="s">
        <v>35</v>
      </c>
      <c r="E2" s="6" t="s">
        <v>34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2</v>
      </c>
      <c r="L2" t="s">
        <v>41</v>
      </c>
      <c r="M2" t="s">
        <v>42</v>
      </c>
      <c r="N2" t="s">
        <v>43</v>
      </c>
      <c r="O2" s="7">
        <v>1</v>
      </c>
      <c r="P2" s="8">
        <v>45363.668854166666</v>
      </c>
      <c r="Q2" s="9">
        <v>45364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>
        <v>21820</v>
      </c>
      <c r="X2" t="s">
        <v>45</v>
      </c>
      <c r="Y2" t="s">
        <v>49</v>
      </c>
      <c r="Z2" t="s">
        <v>50</v>
      </c>
      <c r="AA2" s="10">
        <f>IF(O2&lt;=1,7,7+0.8*ROUNDUP(O2-1,0))</f>
        <v>7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13" si="0">(AA2+AC2+AE2)*6%</f>
        <v>0.42</v>
      </c>
      <c r="AG2" s="11">
        <f t="shared" ref="AG2:AG13" si="1">AA2+AC2+AE2+AF2</f>
        <v>7.42</v>
      </c>
      <c r="AH2" t="s">
        <v>51</v>
      </c>
    </row>
    <row r="3" spans="1:34" ht="15" customHeight="1" x14ac:dyDescent="0.35">
      <c r="A3">
        <v>7547676</v>
      </c>
      <c r="B3">
        <v>690929</v>
      </c>
      <c r="C3" t="s">
        <v>34</v>
      </c>
      <c r="D3" t="s">
        <v>35</v>
      </c>
      <c r="E3" s="6" t="s">
        <v>34</v>
      </c>
      <c r="F3" t="s">
        <v>52</v>
      </c>
      <c r="G3" t="s">
        <v>37</v>
      </c>
      <c r="H3" t="s">
        <v>38</v>
      </c>
      <c r="I3" t="s">
        <v>53</v>
      </c>
      <c r="J3" t="s">
        <v>40</v>
      </c>
      <c r="K3">
        <v>2</v>
      </c>
      <c r="L3" t="s">
        <v>41</v>
      </c>
      <c r="M3" t="s">
        <v>42</v>
      </c>
      <c r="N3" t="s">
        <v>43</v>
      </c>
      <c r="O3" s="7">
        <v>1</v>
      </c>
      <c r="P3" s="8">
        <v>45363.647650462961</v>
      </c>
      <c r="Q3" s="9">
        <v>45364</v>
      </c>
      <c r="R3" t="s">
        <v>44</v>
      </c>
      <c r="S3" t="s">
        <v>45</v>
      </c>
      <c r="T3" t="s">
        <v>46</v>
      </c>
      <c r="U3" t="s">
        <v>54</v>
      </c>
      <c r="V3" t="s">
        <v>55</v>
      </c>
      <c r="W3">
        <v>40300</v>
      </c>
      <c r="X3" t="s">
        <v>45</v>
      </c>
      <c r="Y3" t="s">
        <v>56</v>
      </c>
      <c r="Z3" t="s">
        <v>50</v>
      </c>
      <c r="AA3" s="10">
        <f>IF(O3&lt;=1,7,7+0.8*ROUNDUP(O3-1,0))</f>
        <v>7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0.42</v>
      </c>
      <c r="AG3" s="11">
        <f t="shared" si="1"/>
        <v>7.42</v>
      </c>
      <c r="AH3" t="s">
        <v>51</v>
      </c>
    </row>
    <row r="4" spans="1:34" ht="15" customHeight="1" x14ac:dyDescent="0.35">
      <c r="A4">
        <v>7547676</v>
      </c>
      <c r="B4">
        <v>690929</v>
      </c>
      <c r="C4" t="s">
        <v>34</v>
      </c>
      <c r="D4" t="s">
        <v>35</v>
      </c>
      <c r="E4" s="6" t="s">
        <v>34</v>
      </c>
      <c r="F4" t="s">
        <v>57</v>
      </c>
      <c r="G4" t="s">
        <v>37</v>
      </c>
      <c r="H4" t="s">
        <v>38</v>
      </c>
      <c r="I4" t="s">
        <v>58</v>
      </c>
      <c r="J4" t="s">
        <v>40</v>
      </c>
      <c r="K4">
        <v>2</v>
      </c>
      <c r="L4" t="s">
        <v>41</v>
      </c>
      <c r="M4" t="s">
        <v>42</v>
      </c>
      <c r="N4" t="s">
        <v>43</v>
      </c>
      <c r="O4" s="7">
        <v>1</v>
      </c>
      <c r="P4" s="8">
        <v>45363.624201388891</v>
      </c>
      <c r="Q4" s="9">
        <v>45364</v>
      </c>
      <c r="R4" t="s">
        <v>44</v>
      </c>
      <c r="S4" t="s">
        <v>45</v>
      </c>
      <c r="T4" t="s">
        <v>46</v>
      </c>
      <c r="U4" t="s">
        <v>54</v>
      </c>
      <c r="V4" t="s">
        <v>59</v>
      </c>
      <c r="W4">
        <v>43300</v>
      </c>
      <c r="X4" t="s">
        <v>45</v>
      </c>
      <c r="Y4" t="s">
        <v>60</v>
      </c>
      <c r="Z4" t="s">
        <v>50</v>
      </c>
      <c r="AA4" s="10">
        <f>IF(O4&lt;=1,7,7+0.8*ROUNDUP(O4-1,0))</f>
        <v>7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0.42</v>
      </c>
      <c r="AG4" s="11">
        <f t="shared" si="1"/>
        <v>7.42</v>
      </c>
      <c r="AH4" t="s">
        <v>51</v>
      </c>
    </row>
    <row r="5" spans="1:34" ht="15" customHeight="1" x14ac:dyDescent="0.35">
      <c r="A5">
        <v>7547676</v>
      </c>
      <c r="B5">
        <v>690929</v>
      </c>
      <c r="C5" t="s">
        <v>34</v>
      </c>
      <c r="D5" t="s">
        <v>35</v>
      </c>
      <c r="E5" s="6" t="s">
        <v>34</v>
      </c>
      <c r="F5" t="s">
        <v>61</v>
      </c>
      <c r="G5" t="s">
        <v>37</v>
      </c>
      <c r="H5" t="s">
        <v>38</v>
      </c>
      <c r="I5" t="s">
        <v>62</v>
      </c>
      <c r="J5" t="s">
        <v>40</v>
      </c>
      <c r="K5">
        <v>2</v>
      </c>
      <c r="L5" t="s">
        <v>41</v>
      </c>
      <c r="M5" t="s">
        <v>42</v>
      </c>
      <c r="N5" t="s">
        <v>43</v>
      </c>
      <c r="O5" s="7">
        <v>4</v>
      </c>
      <c r="P5" s="8">
        <v>45363.59883101852</v>
      </c>
      <c r="Q5" s="9">
        <v>45364</v>
      </c>
      <c r="R5" t="s">
        <v>44</v>
      </c>
      <c r="S5" t="s">
        <v>45</v>
      </c>
      <c r="T5" t="s">
        <v>46</v>
      </c>
      <c r="U5" t="s">
        <v>54</v>
      </c>
      <c r="V5" t="s">
        <v>63</v>
      </c>
      <c r="W5">
        <v>44300</v>
      </c>
      <c r="X5" t="s">
        <v>45</v>
      </c>
      <c r="Y5" t="s">
        <v>64</v>
      </c>
      <c r="Z5" t="s">
        <v>50</v>
      </c>
      <c r="AA5" s="10">
        <f>IF(O5&lt;=1,7,7+0.8*ROUNDUP(O5-1,0))</f>
        <v>9.4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0.56399999999999995</v>
      </c>
      <c r="AG5" s="11">
        <f t="shared" si="1"/>
        <v>9.9640000000000004</v>
      </c>
      <c r="AH5" t="s">
        <v>51</v>
      </c>
    </row>
    <row r="6" spans="1:34" ht="15" customHeight="1" x14ac:dyDescent="0.35">
      <c r="A6">
        <v>7547676</v>
      </c>
      <c r="B6">
        <v>690929</v>
      </c>
      <c r="C6" t="s">
        <v>34</v>
      </c>
      <c r="D6" t="s">
        <v>35</v>
      </c>
      <c r="E6" s="6" t="s">
        <v>34</v>
      </c>
      <c r="F6" t="s">
        <v>65</v>
      </c>
      <c r="G6" t="s">
        <v>37</v>
      </c>
      <c r="H6" t="s">
        <v>38</v>
      </c>
      <c r="I6" t="s">
        <v>66</v>
      </c>
      <c r="J6" t="s">
        <v>40</v>
      </c>
      <c r="K6">
        <v>2</v>
      </c>
      <c r="L6" t="s">
        <v>41</v>
      </c>
      <c r="M6" t="s">
        <v>42</v>
      </c>
      <c r="N6" t="s">
        <v>43</v>
      </c>
      <c r="O6" s="7">
        <v>1</v>
      </c>
      <c r="P6" s="8">
        <v>45363.470659722225</v>
      </c>
      <c r="Q6" s="9">
        <v>45364</v>
      </c>
      <c r="R6" t="s">
        <v>44</v>
      </c>
      <c r="S6" t="s">
        <v>45</v>
      </c>
      <c r="T6" t="s">
        <v>46</v>
      </c>
      <c r="U6" t="s">
        <v>67</v>
      </c>
      <c r="V6" t="s">
        <v>68</v>
      </c>
      <c r="W6">
        <v>50100</v>
      </c>
      <c r="X6" t="s">
        <v>45</v>
      </c>
      <c r="Y6" t="s">
        <v>69</v>
      </c>
      <c r="Z6" t="s">
        <v>50</v>
      </c>
      <c r="AA6" s="10">
        <f>IF(O6&lt;=1,7,7+0.8*ROUNDUP(O6-1,0))</f>
        <v>7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0.42</v>
      </c>
      <c r="AG6" s="11">
        <f t="shared" si="1"/>
        <v>7.42</v>
      </c>
      <c r="AH6" t="s">
        <v>51</v>
      </c>
    </row>
    <row r="7" spans="1:34" ht="15" customHeight="1" x14ac:dyDescent="0.35">
      <c r="A7">
        <v>7547676</v>
      </c>
      <c r="B7">
        <v>690929</v>
      </c>
      <c r="C7" t="s">
        <v>34</v>
      </c>
      <c r="D7" t="s">
        <v>35</v>
      </c>
      <c r="E7" s="6" t="s">
        <v>34</v>
      </c>
      <c r="F7" t="s">
        <v>70</v>
      </c>
      <c r="G7" t="s">
        <v>37</v>
      </c>
      <c r="H7" t="s">
        <v>38</v>
      </c>
      <c r="I7" t="s">
        <v>71</v>
      </c>
      <c r="J7" t="s">
        <v>40</v>
      </c>
      <c r="K7">
        <v>2</v>
      </c>
      <c r="L7" t="s">
        <v>41</v>
      </c>
      <c r="M7" t="s">
        <v>42</v>
      </c>
      <c r="N7" t="s">
        <v>43</v>
      </c>
      <c r="O7" s="7">
        <v>4</v>
      </c>
      <c r="P7" s="8">
        <v>45363.532962962963</v>
      </c>
      <c r="Q7" s="9">
        <v>45364</v>
      </c>
      <c r="R7" t="s">
        <v>44</v>
      </c>
      <c r="S7" t="s">
        <v>45</v>
      </c>
      <c r="T7" t="s">
        <v>46</v>
      </c>
      <c r="U7" t="s">
        <v>67</v>
      </c>
      <c r="V7" t="s">
        <v>72</v>
      </c>
      <c r="W7">
        <v>54200</v>
      </c>
      <c r="X7" t="s">
        <v>45</v>
      </c>
      <c r="Y7" t="s">
        <v>73</v>
      </c>
      <c r="Z7" t="s">
        <v>50</v>
      </c>
      <c r="AA7" s="10">
        <f>IF(O7&lt;=1,7,7+0.8*ROUNDUP(O7-1,0))</f>
        <v>9.4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0.56399999999999995</v>
      </c>
      <c r="AG7" s="11">
        <f t="shared" si="1"/>
        <v>9.9640000000000004</v>
      </c>
      <c r="AH7" t="s">
        <v>51</v>
      </c>
    </row>
    <row r="8" spans="1:34" ht="15" customHeight="1" x14ac:dyDescent="0.35">
      <c r="A8">
        <v>7547676</v>
      </c>
      <c r="B8">
        <v>690929</v>
      </c>
      <c r="C8" t="s">
        <v>34</v>
      </c>
      <c r="D8" t="s">
        <v>35</v>
      </c>
      <c r="E8" s="6" t="s">
        <v>34</v>
      </c>
      <c r="F8" t="s">
        <v>74</v>
      </c>
      <c r="G8" t="s">
        <v>37</v>
      </c>
      <c r="H8" t="s">
        <v>38</v>
      </c>
      <c r="I8" t="s">
        <v>71</v>
      </c>
      <c r="J8" t="s">
        <v>40</v>
      </c>
      <c r="K8">
        <v>2</v>
      </c>
      <c r="L8" t="s">
        <v>41</v>
      </c>
      <c r="M8" t="s">
        <v>42</v>
      </c>
      <c r="N8" t="s">
        <v>43</v>
      </c>
      <c r="O8" s="7">
        <v>18</v>
      </c>
      <c r="P8" s="8">
        <v>45363.532962962963</v>
      </c>
      <c r="Q8" s="9">
        <v>45364</v>
      </c>
      <c r="R8" t="s">
        <v>44</v>
      </c>
      <c r="S8" t="s">
        <v>45</v>
      </c>
      <c r="T8" t="s">
        <v>46</v>
      </c>
      <c r="U8" t="s">
        <v>67</v>
      </c>
      <c r="V8" t="s">
        <v>72</v>
      </c>
      <c r="W8">
        <v>54200</v>
      </c>
      <c r="X8" t="s">
        <v>45</v>
      </c>
      <c r="Y8" t="s">
        <v>73</v>
      </c>
      <c r="Z8" t="s">
        <v>50</v>
      </c>
      <c r="AA8" s="10">
        <f>IF(O8&lt;=1,7,7+0.8*ROUNDUP(O8-1,0))</f>
        <v>20.6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1.236</v>
      </c>
      <c r="AG8" s="11">
        <f t="shared" si="1"/>
        <v>21.836000000000002</v>
      </c>
      <c r="AH8" t="s">
        <v>51</v>
      </c>
    </row>
    <row r="9" spans="1:34" ht="15" customHeight="1" x14ac:dyDescent="0.35">
      <c r="A9">
        <v>7547676</v>
      </c>
      <c r="B9">
        <v>690929</v>
      </c>
      <c r="C9" t="s">
        <v>34</v>
      </c>
      <c r="D9" t="s">
        <v>35</v>
      </c>
      <c r="E9" s="6" t="s">
        <v>34</v>
      </c>
      <c r="F9" t="s">
        <v>75</v>
      </c>
      <c r="G9" t="s">
        <v>37</v>
      </c>
      <c r="H9" t="s">
        <v>38</v>
      </c>
      <c r="I9" t="s">
        <v>76</v>
      </c>
      <c r="J9" t="s">
        <v>40</v>
      </c>
      <c r="K9">
        <v>2</v>
      </c>
      <c r="L9" t="s">
        <v>41</v>
      </c>
      <c r="M9" t="s">
        <v>42</v>
      </c>
      <c r="N9" t="s">
        <v>43</v>
      </c>
      <c r="O9" s="7">
        <v>7</v>
      </c>
      <c r="P9" s="8">
        <v>45359.662199074075</v>
      </c>
      <c r="Q9" s="9">
        <v>45364</v>
      </c>
      <c r="R9" t="s">
        <v>44</v>
      </c>
      <c r="S9" t="s">
        <v>45</v>
      </c>
      <c r="T9" t="s">
        <v>46</v>
      </c>
      <c r="U9" t="s">
        <v>77</v>
      </c>
      <c r="V9" t="s">
        <v>78</v>
      </c>
      <c r="W9">
        <v>75200</v>
      </c>
      <c r="X9" t="s">
        <v>45</v>
      </c>
      <c r="Y9" t="s">
        <v>79</v>
      </c>
      <c r="Z9" t="s">
        <v>50</v>
      </c>
      <c r="AA9" s="10">
        <f>IF(O9&lt;=1,7,7+0.8*ROUNDUP(O9-1,0))</f>
        <v>11.8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0.70799999999999996</v>
      </c>
      <c r="AG9" s="11">
        <f t="shared" si="1"/>
        <v>12.508000000000001</v>
      </c>
      <c r="AH9" t="s">
        <v>51</v>
      </c>
    </row>
    <row r="10" spans="1:34" ht="15" customHeight="1" x14ac:dyDescent="0.35">
      <c r="A10">
        <v>7547676</v>
      </c>
      <c r="B10">
        <v>690929</v>
      </c>
      <c r="C10" t="s">
        <v>34</v>
      </c>
      <c r="D10" t="s">
        <v>35</v>
      </c>
      <c r="E10" s="6" t="s">
        <v>34</v>
      </c>
      <c r="F10" t="s">
        <v>80</v>
      </c>
      <c r="G10" t="s">
        <v>37</v>
      </c>
      <c r="H10" t="s">
        <v>38</v>
      </c>
      <c r="I10" t="s">
        <v>81</v>
      </c>
      <c r="J10" t="s">
        <v>40</v>
      </c>
      <c r="K10">
        <v>2</v>
      </c>
      <c r="L10" t="s">
        <v>41</v>
      </c>
      <c r="M10" t="s">
        <v>42</v>
      </c>
      <c r="N10" t="s">
        <v>43</v>
      </c>
      <c r="O10" s="7">
        <v>1</v>
      </c>
      <c r="P10" s="8">
        <v>45362.43545138889</v>
      </c>
      <c r="Q10" s="9">
        <v>45364</v>
      </c>
      <c r="R10" t="s">
        <v>44</v>
      </c>
      <c r="S10" t="s">
        <v>45</v>
      </c>
      <c r="T10" t="s">
        <v>46</v>
      </c>
      <c r="U10" t="s">
        <v>82</v>
      </c>
      <c r="V10" t="s">
        <v>83</v>
      </c>
      <c r="W10">
        <v>80050</v>
      </c>
      <c r="X10" t="s">
        <v>45</v>
      </c>
      <c r="Y10" t="s">
        <v>79</v>
      </c>
      <c r="Z10" t="s">
        <v>50</v>
      </c>
      <c r="AA10" s="10">
        <f>IF(O10&lt;=1,7,7+0.8*ROUNDUP(O10-1,0))</f>
        <v>7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0.42</v>
      </c>
      <c r="AG10" s="11">
        <f t="shared" si="1"/>
        <v>7.42</v>
      </c>
      <c r="AH10" t="s">
        <v>51</v>
      </c>
    </row>
    <row r="11" spans="1:34" ht="15" customHeight="1" x14ac:dyDescent="0.35">
      <c r="A11">
        <v>7547676</v>
      </c>
      <c r="B11">
        <v>690929</v>
      </c>
      <c r="C11" t="s">
        <v>34</v>
      </c>
      <c r="D11" t="s">
        <v>35</v>
      </c>
      <c r="E11" s="6" t="s">
        <v>34</v>
      </c>
      <c r="F11" t="s">
        <v>84</v>
      </c>
      <c r="G11" t="s">
        <v>37</v>
      </c>
      <c r="H11" t="s">
        <v>38</v>
      </c>
      <c r="I11" t="s">
        <v>85</v>
      </c>
      <c r="J11" t="s">
        <v>40</v>
      </c>
      <c r="K11">
        <v>2</v>
      </c>
      <c r="L11" t="s">
        <v>41</v>
      </c>
      <c r="M11" t="s">
        <v>42</v>
      </c>
      <c r="N11" t="s">
        <v>43</v>
      </c>
      <c r="O11" s="7">
        <v>1</v>
      </c>
      <c r="P11" s="8">
        <v>45363.706597222219</v>
      </c>
      <c r="Q11" s="9">
        <v>45365</v>
      </c>
      <c r="R11" t="s">
        <v>44</v>
      </c>
      <c r="S11" t="s">
        <v>45</v>
      </c>
      <c r="T11" t="s">
        <v>46</v>
      </c>
      <c r="U11" t="s">
        <v>86</v>
      </c>
      <c r="V11" t="s">
        <v>87</v>
      </c>
      <c r="W11">
        <v>71800</v>
      </c>
      <c r="X11" t="s">
        <v>45</v>
      </c>
      <c r="Y11" t="s">
        <v>88</v>
      </c>
      <c r="Z11" t="s">
        <v>50</v>
      </c>
      <c r="AA11" s="10">
        <f>IF(O11&lt;=1,7,7+0.8*ROUNDUP(O11-1,0))</f>
        <v>7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0.42</v>
      </c>
      <c r="AG11" s="11">
        <f t="shared" si="1"/>
        <v>7.42</v>
      </c>
      <c r="AH11" t="s">
        <v>51</v>
      </c>
    </row>
    <row r="12" spans="1:34" ht="15" customHeight="1" x14ac:dyDescent="0.35">
      <c r="A12">
        <v>7547676</v>
      </c>
      <c r="B12">
        <v>690929</v>
      </c>
      <c r="C12" t="s">
        <v>34</v>
      </c>
      <c r="D12" t="s">
        <v>35</v>
      </c>
      <c r="E12" s="6" t="s">
        <v>34</v>
      </c>
      <c r="F12" t="s">
        <v>89</v>
      </c>
      <c r="G12" t="s">
        <v>37</v>
      </c>
      <c r="H12" t="s">
        <v>38</v>
      </c>
      <c r="I12" t="s">
        <v>90</v>
      </c>
      <c r="J12" t="s">
        <v>40</v>
      </c>
      <c r="K12">
        <v>2</v>
      </c>
      <c r="L12" t="s">
        <v>41</v>
      </c>
      <c r="M12" t="s">
        <v>42</v>
      </c>
      <c r="N12" t="s">
        <v>43</v>
      </c>
      <c r="O12" s="7">
        <v>3</v>
      </c>
      <c r="P12" s="8">
        <v>45363.607754629629</v>
      </c>
      <c r="Q12" s="9">
        <v>45365</v>
      </c>
      <c r="R12" t="s">
        <v>44</v>
      </c>
      <c r="S12" t="s">
        <v>45</v>
      </c>
      <c r="T12" t="s">
        <v>46</v>
      </c>
      <c r="U12" t="s">
        <v>86</v>
      </c>
      <c r="V12" t="s">
        <v>91</v>
      </c>
      <c r="W12">
        <v>70400</v>
      </c>
      <c r="X12" t="s">
        <v>45</v>
      </c>
      <c r="Y12" t="s">
        <v>92</v>
      </c>
      <c r="Z12" t="s">
        <v>50</v>
      </c>
      <c r="AA12" s="10">
        <f>IF(O12&lt;=1,7,7+0.8*ROUNDUP(O12-1,0))</f>
        <v>8.6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0.51600000000000001</v>
      </c>
      <c r="AG12" s="11">
        <f t="shared" si="1"/>
        <v>9.1159999999999997</v>
      </c>
      <c r="AH12" t="s">
        <v>51</v>
      </c>
    </row>
    <row r="13" spans="1:34" ht="15" customHeight="1" x14ac:dyDescent="0.35">
      <c r="A13">
        <v>7547676</v>
      </c>
      <c r="B13">
        <v>690929</v>
      </c>
      <c r="C13" t="s">
        <v>34</v>
      </c>
      <c r="D13" t="s">
        <v>35</v>
      </c>
      <c r="E13" s="6" t="s">
        <v>34</v>
      </c>
      <c r="F13" t="s">
        <v>93</v>
      </c>
      <c r="G13" t="s">
        <v>37</v>
      </c>
      <c r="H13" t="s">
        <v>38</v>
      </c>
      <c r="I13" t="s">
        <v>94</v>
      </c>
      <c r="J13" t="s">
        <v>40</v>
      </c>
      <c r="K13">
        <v>2</v>
      </c>
      <c r="L13" t="s">
        <v>41</v>
      </c>
      <c r="M13" t="s">
        <v>42</v>
      </c>
      <c r="N13" t="s">
        <v>43</v>
      </c>
      <c r="O13" s="7">
        <v>7</v>
      </c>
      <c r="P13" s="8">
        <v>45362.824791666666</v>
      </c>
      <c r="Q13" s="9">
        <v>45365</v>
      </c>
      <c r="R13" t="s">
        <v>44</v>
      </c>
      <c r="S13" t="s">
        <v>45</v>
      </c>
      <c r="T13" t="s">
        <v>46</v>
      </c>
      <c r="U13" t="s">
        <v>77</v>
      </c>
      <c r="V13" t="s">
        <v>95</v>
      </c>
      <c r="W13">
        <v>78300</v>
      </c>
      <c r="X13" t="s">
        <v>45</v>
      </c>
      <c r="Y13" t="s">
        <v>96</v>
      </c>
      <c r="Z13" t="s">
        <v>50</v>
      </c>
      <c r="AA13" s="10">
        <f>IF(O13&lt;=1,7,7+0.8*ROUNDUP(O13-1,0))</f>
        <v>11.8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0.70799999999999996</v>
      </c>
      <c r="AG13" s="11">
        <f t="shared" si="1"/>
        <v>12.508000000000001</v>
      </c>
      <c r="AH13" t="s">
        <v>51</v>
      </c>
    </row>
    <row r="14" spans="1:34" ht="15" customHeight="1" x14ac:dyDescent="0.35">
      <c r="A14">
        <v>7547676</v>
      </c>
      <c r="B14">
        <v>690929</v>
      </c>
      <c r="C14" t="s">
        <v>34</v>
      </c>
      <c r="D14" t="s">
        <v>35</v>
      </c>
      <c r="E14" s="6" t="s">
        <v>34</v>
      </c>
      <c r="F14" t="s">
        <v>97</v>
      </c>
      <c r="G14" t="s">
        <v>37</v>
      </c>
      <c r="H14" t="s">
        <v>38</v>
      </c>
      <c r="I14" t="s">
        <v>98</v>
      </c>
      <c r="J14" t="s">
        <v>40</v>
      </c>
      <c r="K14">
        <v>2</v>
      </c>
      <c r="L14" t="s">
        <v>41</v>
      </c>
      <c r="M14" t="s">
        <v>42</v>
      </c>
      <c r="N14" t="s">
        <v>43</v>
      </c>
      <c r="O14" s="7">
        <v>1</v>
      </c>
      <c r="P14" s="8">
        <v>45363.532962962963</v>
      </c>
      <c r="Q14" s="9">
        <v>45365</v>
      </c>
      <c r="R14" t="s">
        <v>44</v>
      </c>
      <c r="S14" t="s">
        <v>45</v>
      </c>
      <c r="T14" t="s">
        <v>46</v>
      </c>
      <c r="U14" t="s">
        <v>99</v>
      </c>
      <c r="V14" t="s">
        <v>100</v>
      </c>
      <c r="W14">
        <v>18300</v>
      </c>
      <c r="X14" t="s">
        <v>45</v>
      </c>
      <c r="Y14" t="s">
        <v>49</v>
      </c>
      <c r="Z14" t="s">
        <v>50</v>
      </c>
      <c r="AA14" s="10">
        <f>IF(O14&lt;=1,7,7+0.8*ROUNDUP(O14-1,0))</f>
        <v>7</v>
      </c>
      <c r="AB14" s="11">
        <v>0</v>
      </c>
      <c r="AC14" s="11">
        <v>0</v>
      </c>
      <c r="AD14" s="11">
        <v>0</v>
      </c>
      <c r="AE14" s="11">
        <v>0</v>
      </c>
      <c r="AF14" s="11">
        <f>(AA14+AC14+AE14)*6%</f>
        <v>0.42</v>
      </c>
      <c r="AG14" s="11">
        <f>AA14+AC14+AE14+AF14</f>
        <v>7.42</v>
      </c>
      <c r="AH14" t="s">
        <v>51</v>
      </c>
    </row>
    <row r="15" spans="1:34" ht="15" customHeight="1" x14ac:dyDescent="0.35">
      <c r="A15">
        <v>7547676</v>
      </c>
      <c r="B15">
        <v>690929</v>
      </c>
      <c r="C15" t="s">
        <v>34</v>
      </c>
      <c r="D15" t="s">
        <v>35</v>
      </c>
      <c r="E15" s="6" t="s">
        <v>34</v>
      </c>
      <c r="F15" t="s">
        <v>101</v>
      </c>
      <c r="G15" t="s">
        <v>37</v>
      </c>
      <c r="H15" t="s">
        <v>38</v>
      </c>
      <c r="I15" t="s">
        <v>102</v>
      </c>
      <c r="J15" t="s">
        <v>40</v>
      </c>
      <c r="K15">
        <v>2</v>
      </c>
      <c r="L15" t="s">
        <v>41</v>
      </c>
      <c r="M15" t="s">
        <v>42</v>
      </c>
      <c r="N15" t="s">
        <v>43</v>
      </c>
      <c r="O15" s="7">
        <v>1</v>
      </c>
      <c r="P15" s="8">
        <v>45363.644166666665</v>
      </c>
      <c r="Q15" s="9">
        <v>45365</v>
      </c>
      <c r="R15" t="s">
        <v>44</v>
      </c>
      <c r="S15" t="s">
        <v>45</v>
      </c>
      <c r="T15" t="s">
        <v>46</v>
      </c>
      <c r="U15" t="s">
        <v>103</v>
      </c>
      <c r="V15" t="s">
        <v>104</v>
      </c>
      <c r="W15">
        <v>2600</v>
      </c>
      <c r="X15" t="s">
        <v>45</v>
      </c>
      <c r="Y15" t="s">
        <v>105</v>
      </c>
      <c r="Z15" t="s">
        <v>50</v>
      </c>
      <c r="AA15" s="10">
        <f>IF(O15&lt;=1,7,7+0.8*ROUNDUP(O15-1,0))</f>
        <v>7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ref="AF15:AF46" si="2">(AA15+AC15+AE15)*6%</f>
        <v>0.42</v>
      </c>
      <c r="AG15" s="11">
        <f t="shared" ref="AG15:AG46" si="3">AA15+AC15+AE15+AF15</f>
        <v>7.42</v>
      </c>
      <c r="AH15" t="s">
        <v>51</v>
      </c>
    </row>
    <row r="16" spans="1:34" ht="15" customHeight="1" x14ac:dyDescent="0.35">
      <c r="A16">
        <v>7547676</v>
      </c>
      <c r="B16">
        <v>690929</v>
      </c>
      <c r="C16" t="s">
        <v>34</v>
      </c>
      <c r="D16" t="s">
        <v>35</v>
      </c>
      <c r="E16" s="6" t="s">
        <v>34</v>
      </c>
      <c r="F16" t="s">
        <v>106</v>
      </c>
      <c r="G16" t="s">
        <v>37</v>
      </c>
      <c r="H16" t="s">
        <v>38</v>
      </c>
      <c r="I16" t="s">
        <v>107</v>
      </c>
      <c r="J16" t="s">
        <v>40</v>
      </c>
      <c r="K16">
        <v>2</v>
      </c>
      <c r="L16" t="s">
        <v>41</v>
      </c>
      <c r="M16" t="s">
        <v>42</v>
      </c>
      <c r="N16" t="s">
        <v>43</v>
      </c>
      <c r="O16" s="7">
        <v>1</v>
      </c>
      <c r="P16" s="8">
        <v>45364.663182870368</v>
      </c>
      <c r="Q16" s="9">
        <v>45365</v>
      </c>
      <c r="R16" t="s">
        <v>44</v>
      </c>
      <c r="S16" t="s">
        <v>45</v>
      </c>
      <c r="T16" t="s">
        <v>46</v>
      </c>
      <c r="U16" t="s">
        <v>54</v>
      </c>
      <c r="V16" t="s">
        <v>108</v>
      </c>
      <c r="W16">
        <v>43000</v>
      </c>
      <c r="X16" t="s">
        <v>45</v>
      </c>
      <c r="Y16" t="s">
        <v>109</v>
      </c>
      <c r="Z16" t="s">
        <v>50</v>
      </c>
      <c r="AA16" s="10">
        <f>IF(O16&lt;=1,7,7+0.8*ROUNDUP(O16-1,0))</f>
        <v>7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2"/>
        <v>0.42</v>
      </c>
      <c r="AG16" s="11">
        <f t="shared" si="3"/>
        <v>7.42</v>
      </c>
      <c r="AH16" t="s">
        <v>51</v>
      </c>
    </row>
    <row r="17" spans="1:34" ht="15" customHeight="1" x14ac:dyDescent="0.35">
      <c r="A17">
        <v>7547676</v>
      </c>
      <c r="B17">
        <v>690929</v>
      </c>
      <c r="C17" t="s">
        <v>34</v>
      </c>
      <c r="D17" t="s">
        <v>35</v>
      </c>
      <c r="E17" s="6" t="s">
        <v>34</v>
      </c>
      <c r="F17" t="s">
        <v>110</v>
      </c>
      <c r="G17" t="s">
        <v>37</v>
      </c>
      <c r="H17" t="s">
        <v>38</v>
      </c>
      <c r="I17" t="s">
        <v>111</v>
      </c>
      <c r="J17" t="s">
        <v>40</v>
      </c>
      <c r="K17">
        <v>2</v>
      </c>
      <c r="L17" t="s">
        <v>41</v>
      </c>
      <c r="M17" t="s">
        <v>42</v>
      </c>
      <c r="N17" t="s">
        <v>43</v>
      </c>
      <c r="O17" s="7">
        <v>4</v>
      </c>
      <c r="P17" s="8">
        <v>45362.537303240744</v>
      </c>
      <c r="Q17" s="9">
        <v>45365</v>
      </c>
      <c r="R17" t="s">
        <v>44</v>
      </c>
      <c r="S17" t="s">
        <v>45</v>
      </c>
      <c r="T17" t="s">
        <v>46</v>
      </c>
      <c r="U17" t="s">
        <v>112</v>
      </c>
      <c r="V17" t="s">
        <v>113</v>
      </c>
      <c r="W17">
        <v>89600</v>
      </c>
      <c r="X17" t="s">
        <v>114</v>
      </c>
      <c r="Y17" t="s">
        <v>115</v>
      </c>
      <c r="Z17" t="s">
        <v>50</v>
      </c>
      <c r="AA17" s="12">
        <f>IF(O17&lt;=1,13,IF(O17&lt;=2,23,IF(O17&lt;=3,35,IF(O17&lt;=4,43,IF(O17&lt;=5,53,IF(O17&lt;=6,63,IF(O17&lt;=7,71,IF(O17&lt;=8,79,IF(O17&lt;=9,87,IF(O17&lt;=10,95,IF(O17&lt;=11,105,IF(O17&lt;=12,114,IF(O17&lt;=13,119,IF(O17&lt;=14,127,IF(O17&lt;=15,135,IF(O17&lt;=16,143,IF(O17&lt;=17,153,IF(O17&lt;=18,163,IF(O17&lt;=19,171,IF(O17&lt;=20,185,IF(O17&lt;=21,193,IF(O17&lt;=22,201,IF(O17&lt;=23,210,IF(O17&lt;=24,220,IF(O17&lt;=25,230,IF(O17&lt;=26,240,IF(O17&lt;=27,250,IF(O17&lt;=28,260,IF(O17&lt;=29,270,IF(O17&lt;=30,280,280+10*ROUNDUP(O17-30,0)))))))))))))))))))))))))))))))</f>
        <v>43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2"/>
        <v>2.58</v>
      </c>
      <c r="AG17" s="11">
        <f t="shared" si="3"/>
        <v>45.58</v>
      </c>
      <c r="AH17" t="s">
        <v>116</v>
      </c>
    </row>
    <row r="18" spans="1:34" ht="15" customHeight="1" x14ac:dyDescent="0.35">
      <c r="A18">
        <v>7547676</v>
      </c>
      <c r="B18">
        <v>690929</v>
      </c>
      <c r="C18" t="s">
        <v>34</v>
      </c>
      <c r="D18" t="s">
        <v>35</v>
      </c>
      <c r="E18" s="6" t="s">
        <v>34</v>
      </c>
      <c r="F18" t="s">
        <v>117</v>
      </c>
      <c r="G18" t="s">
        <v>37</v>
      </c>
      <c r="H18" t="s">
        <v>38</v>
      </c>
      <c r="I18" t="s">
        <v>118</v>
      </c>
      <c r="J18" t="s">
        <v>40</v>
      </c>
      <c r="K18">
        <v>2</v>
      </c>
      <c r="L18" t="s">
        <v>41</v>
      </c>
      <c r="M18" t="s">
        <v>42</v>
      </c>
      <c r="N18" t="s">
        <v>43</v>
      </c>
      <c r="O18" s="7">
        <v>1</v>
      </c>
      <c r="P18" s="8">
        <v>45364.663182870368</v>
      </c>
      <c r="Q18" s="9">
        <v>45365</v>
      </c>
      <c r="R18" t="s">
        <v>44</v>
      </c>
      <c r="S18" t="s">
        <v>45</v>
      </c>
      <c r="T18" t="s">
        <v>46</v>
      </c>
      <c r="U18" t="s">
        <v>47</v>
      </c>
      <c r="V18" t="s">
        <v>119</v>
      </c>
      <c r="W18">
        <v>21070</v>
      </c>
      <c r="X18" t="s">
        <v>45</v>
      </c>
      <c r="Y18" t="s">
        <v>49</v>
      </c>
      <c r="Z18" t="s">
        <v>50</v>
      </c>
      <c r="AA18" s="10">
        <f>IF(O18&lt;=1,7,7+0.8*ROUNDUP(O18-1,0))</f>
        <v>7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2"/>
        <v>0.42</v>
      </c>
      <c r="AG18" s="11">
        <f t="shared" si="3"/>
        <v>7.42</v>
      </c>
      <c r="AH18" t="s">
        <v>51</v>
      </c>
    </row>
    <row r="19" spans="1:34" ht="15" customHeight="1" x14ac:dyDescent="0.35">
      <c r="A19">
        <v>7547676</v>
      </c>
      <c r="B19">
        <v>690929</v>
      </c>
      <c r="C19" t="s">
        <v>34</v>
      </c>
      <c r="D19" t="s">
        <v>35</v>
      </c>
      <c r="E19" s="6" t="s">
        <v>34</v>
      </c>
      <c r="F19" t="s">
        <v>120</v>
      </c>
      <c r="G19" t="s">
        <v>37</v>
      </c>
      <c r="H19" t="s">
        <v>38</v>
      </c>
      <c r="I19" t="s">
        <v>121</v>
      </c>
      <c r="J19" t="s">
        <v>40</v>
      </c>
      <c r="K19">
        <v>2</v>
      </c>
      <c r="L19" t="s">
        <v>41</v>
      </c>
      <c r="M19" t="s">
        <v>42</v>
      </c>
      <c r="N19" t="s">
        <v>43</v>
      </c>
      <c r="O19" s="7">
        <v>1</v>
      </c>
      <c r="P19" s="8">
        <v>45362.697280092594</v>
      </c>
      <c r="Q19" s="9">
        <v>45365</v>
      </c>
      <c r="R19" t="s">
        <v>44</v>
      </c>
      <c r="S19" t="s">
        <v>45</v>
      </c>
      <c r="T19" t="s">
        <v>46</v>
      </c>
      <c r="U19" t="s">
        <v>112</v>
      </c>
      <c r="V19" t="s">
        <v>122</v>
      </c>
      <c r="W19">
        <v>89500</v>
      </c>
      <c r="X19" t="s">
        <v>114</v>
      </c>
      <c r="Y19" t="s">
        <v>79</v>
      </c>
      <c r="Z19" t="s">
        <v>50</v>
      </c>
      <c r="AA19" s="12">
        <f>IF(O19&lt;=1,13,IF(O19&lt;=2,23,IF(O19&lt;=3,35,IF(O19&lt;=4,43,IF(O19&lt;=5,53,IF(O19&lt;=6,63,IF(O19&lt;=7,71,IF(O19&lt;=8,79,IF(O19&lt;=9,87,IF(O19&lt;=10,95,IF(O19&lt;=11,105,IF(O19&lt;=12,114,IF(O19&lt;=13,119,IF(O19&lt;=14,127,IF(O19&lt;=15,135,IF(O19&lt;=16,143,IF(O19&lt;=17,153,IF(O19&lt;=18,163,IF(O19&lt;=19,171,IF(O19&lt;=20,185,IF(O19&lt;=21,193,IF(O19&lt;=22,201,IF(O19&lt;=23,210,IF(O19&lt;=24,220,IF(O19&lt;=25,230,IF(O19&lt;=26,240,IF(O19&lt;=27,250,IF(O19&lt;=28,260,IF(O19&lt;=29,270,IF(O19&lt;=30,280,280+10*ROUNDUP(O19-30,0)))))))))))))))))))))))))))))))</f>
        <v>13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2"/>
        <v>0.78</v>
      </c>
      <c r="AG19" s="11">
        <f t="shared" si="3"/>
        <v>13.78</v>
      </c>
      <c r="AH19" t="s">
        <v>116</v>
      </c>
    </row>
    <row r="20" spans="1:34" ht="15" customHeight="1" x14ac:dyDescent="0.35">
      <c r="A20">
        <v>7547676</v>
      </c>
      <c r="B20">
        <v>690929</v>
      </c>
      <c r="C20" t="s">
        <v>34</v>
      </c>
      <c r="D20" t="s">
        <v>35</v>
      </c>
      <c r="E20" s="6" t="s">
        <v>34</v>
      </c>
      <c r="F20" t="s">
        <v>123</v>
      </c>
      <c r="G20" t="s">
        <v>37</v>
      </c>
      <c r="H20" t="s">
        <v>38</v>
      </c>
      <c r="I20" t="s">
        <v>124</v>
      </c>
      <c r="J20" t="s">
        <v>40</v>
      </c>
      <c r="K20">
        <v>2</v>
      </c>
      <c r="L20" t="s">
        <v>41</v>
      </c>
      <c r="M20" t="s">
        <v>42</v>
      </c>
      <c r="N20" t="s">
        <v>43</v>
      </c>
      <c r="O20" s="7">
        <v>1</v>
      </c>
      <c r="P20" s="8">
        <v>45362.744421296295</v>
      </c>
      <c r="Q20" s="9">
        <v>45365</v>
      </c>
      <c r="R20" t="s">
        <v>44</v>
      </c>
      <c r="S20" t="s">
        <v>45</v>
      </c>
      <c r="T20" t="s">
        <v>46</v>
      </c>
      <c r="U20" t="s">
        <v>54</v>
      </c>
      <c r="V20" t="s">
        <v>125</v>
      </c>
      <c r="W20">
        <v>68100</v>
      </c>
      <c r="X20" t="s">
        <v>45</v>
      </c>
      <c r="Y20" t="s">
        <v>126</v>
      </c>
      <c r="Z20" t="s">
        <v>50</v>
      </c>
      <c r="AA20" s="10">
        <f>IF(O20&lt;=1,7,7+0.8*ROUNDUP(O20-1,0))</f>
        <v>7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2"/>
        <v>0.42</v>
      </c>
      <c r="AG20" s="11">
        <f t="shared" si="3"/>
        <v>7.42</v>
      </c>
      <c r="AH20" t="s">
        <v>51</v>
      </c>
    </row>
    <row r="21" spans="1:34" ht="15" customHeight="1" x14ac:dyDescent="0.35">
      <c r="A21">
        <v>7547676</v>
      </c>
      <c r="B21">
        <v>690929</v>
      </c>
      <c r="C21" t="s">
        <v>34</v>
      </c>
      <c r="D21" t="s">
        <v>35</v>
      </c>
      <c r="E21" s="6" t="s">
        <v>34</v>
      </c>
      <c r="F21" t="s">
        <v>127</v>
      </c>
      <c r="G21" t="s">
        <v>37</v>
      </c>
      <c r="H21" t="s">
        <v>128</v>
      </c>
      <c r="I21" t="s">
        <v>129</v>
      </c>
      <c r="J21" t="s">
        <v>40</v>
      </c>
      <c r="K21">
        <v>2</v>
      </c>
      <c r="L21" t="s">
        <v>41</v>
      </c>
      <c r="M21" t="s">
        <v>42</v>
      </c>
      <c r="N21" t="s">
        <v>43</v>
      </c>
      <c r="O21" s="7">
        <v>6</v>
      </c>
      <c r="P21" s="8">
        <v>45363.690682870372</v>
      </c>
      <c r="Q21" s="9">
        <v>45365</v>
      </c>
      <c r="R21" t="s">
        <v>44</v>
      </c>
      <c r="S21" t="s">
        <v>45</v>
      </c>
      <c r="T21" t="s">
        <v>46</v>
      </c>
      <c r="U21" t="s">
        <v>130</v>
      </c>
      <c r="V21" t="s">
        <v>131</v>
      </c>
      <c r="W21">
        <v>93450</v>
      </c>
      <c r="X21" t="s">
        <v>114</v>
      </c>
      <c r="Y21" t="s">
        <v>79</v>
      </c>
      <c r="Z21" t="s">
        <v>50</v>
      </c>
      <c r="AA21" s="12">
        <f>IF(O21&lt;=1,13,IF(O21&lt;=2,23,IF(O21&lt;=3,35,IF(O21&lt;=4,43,IF(O21&lt;=5,53,IF(O21&lt;=6,63,IF(O21&lt;=7,71,IF(O21&lt;=8,79,IF(O21&lt;=9,87,IF(O21&lt;=10,95,IF(O21&lt;=11,105,IF(O21&lt;=12,114,IF(O21&lt;=13,119,IF(O21&lt;=14,127,IF(O21&lt;=15,135,IF(O21&lt;=16,143,IF(O21&lt;=17,153,IF(O21&lt;=18,163,IF(O21&lt;=19,171,IF(O21&lt;=20,185,IF(O21&lt;=21,193,IF(O21&lt;=22,201,IF(O21&lt;=23,210,IF(O21&lt;=24,220,IF(O21&lt;=25,230,IF(O21&lt;=26,240,IF(O21&lt;=27,250,IF(O21&lt;=28,260,IF(O21&lt;=29,270,IF(O21&lt;=30,280,280+10*ROUNDUP(O21-30,0)))))))))))))))))))))))))))))))</f>
        <v>63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2"/>
        <v>3.78</v>
      </c>
      <c r="AG21" s="11">
        <f t="shared" si="3"/>
        <v>66.78</v>
      </c>
      <c r="AH21" t="s">
        <v>116</v>
      </c>
    </row>
    <row r="22" spans="1:34" ht="15" customHeight="1" x14ac:dyDescent="0.35">
      <c r="A22">
        <v>7547676</v>
      </c>
      <c r="B22">
        <v>690929</v>
      </c>
      <c r="C22" t="s">
        <v>34</v>
      </c>
      <c r="D22" t="s">
        <v>35</v>
      </c>
      <c r="E22" s="6" t="s">
        <v>34</v>
      </c>
      <c r="F22" t="s">
        <v>132</v>
      </c>
      <c r="G22" t="s">
        <v>37</v>
      </c>
      <c r="H22" t="s">
        <v>38</v>
      </c>
      <c r="I22" t="s">
        <v>133</v>
      </c>
      <c r="J22" t="s">
        <v>40</v>
      </c>
      <c r="K22">
        <v>2</v>
      </c>
      <c r="L22" t="s">
        <v>41</v>
      </c>
      <c r="M22" t="s">
        <v>42</v>
      </c>
      <c r="N22" t="s">
        <v>43</v>
      </c>
      <c r="O22" s="7">
        <v>1</v>
      </c>
      <c r="P22" s="8">
        <v>45362.680810185186</v>
      </c>
      <c r="Q22" s="9">
        <v>45365</v>
      </c>
      <c r="R22" t="s">
        <v>44</v>
      </c>
      <c r="S22" t="s">
        <v>45</v>
      </c>
      <c r="T22" t="s">
        <v>46</v>
      </c>
      <c r="U22" t="s">
        <v>134</v>
      </c>
      <c r="V22" t="s">
        <v>135</v>
      </c>
      <c r="W22">
        <v>5350</v>
      </c>
      <c r="X22" t="s">
        <v>45</v>
      </c>
      <c r="Y22" t="s">
        <v>136</v>
      </c>
      <c r="Z22" t="s">
        <v>50</v>
      </c>
      <c r="AA22" s="10">
        <f>IF(O22&lt;=1,7,7+0.8*ROUNDUP(O22-1,0))</f>
        <v>7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2"/>
        <v>0.42</v>
      </c>
      <c r="AG22" s="11">
        <f t="shared" si="3"/>
        <v>7.42</v>
      </c>
      <c r="AH22" t="s">
        <v>51</v>
      </c>
    </row>
    <row r="23" spans="1:34" ht="15" customHeight="1" x14ac:dyDescent="0.35">
      <c r="A23">
        <v>7547676</v>
      </c>
      <c r="B23">
        <v>690929</v>
      </c>
      <c r="C23" t="s">
        <v>34</v>
      </c>
      <c r="D23" t="s">
        <v>35</v>
      </c>
      <c r="E23" s="6" t="s">
        <v>34</v>
      </c>
      <c r="F23" t="s">
        <v>137</v>
      </c>
      <c r="G23" t="s">
        <v>37</v>
      </c>
      <c r="H23" t="s">
        <v>38</v>
      </c>
      <c r="I23" t="s">
        <v>138</v>
      </c>
      <c r="J23" t="s">
        <v>40</v>
      </c>
      <c r="K23">
        <v>2</v>
      </c>
      <c r="L23" t="s">
        <v>41</v>
      </c>
      <c r="M23" t="s">
        <v>42</v>
      </c>
      <c r="N23" t="s">
        <v>43</v>
      </c>
      <c r="O23" s="7">
        <v>2</v>
      </c>
      <c r="P23" s="8">
        <v>45364.621689814812</v>
      </c>
      <c r="Q23" s="9">
        <v>45365</v>
      </c>
      <c r="R23" t="s">
        <v>44</v>
      </c>
      <c r="S23" t="s">
        <v>45</v>
      </c>
      <c r="T23" t="s">
        <v>46</v>
      </c>
      <c r="U23" t="s">
        <v>54</v>
      </c>
      <c r="V23" t="s">
        <v>139</v>
      </c>
      <c r="W23">
        <v>40000</v>
      </c>
      <c r="X23" t="s">
        <v>45</v>
      </c>
      <c r="Y23" t="s">
        <v>140</v>
      </c>
      <c r="Z23" t="s">
        <v>50</v>
      </c>
      <c r="AA23" s="10">
        <f>IF(O23&lt;=1,7,7+0.8*ROUNDUP(O23-1,0))</f>
        <v>7.8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2"/>
        <v>0.46799999999999997</v>
      </c>
      <c r="AG23" s="11">
        <f t="shared" si="3"/>
        <v>8.2680000000000007</v>
      </c>
      <c r="AH23" t="s">
        <v>51</v>
      </c>
    </row>
    <row r="24" spans="1:34" ht="15" customHeight="1" x14ac:dyDescent="0.35">
      <c r="A24">
        <v>7547676</v>
      </c>
      <c r="B24">
        <v>690929</v>
      </c>
      <c r="C24" t="s">
        <v>34</v>
      </c>
      <c r="D24" t="s">
        <v>35</v>
      </c>
      <c r="E24" s="6" t="s">
        <v>34</v>
      </c>
      <c r="F24" t="s">
        <v>141</v>
      </c>
      <c r="G24" t="s">
        <v>37</v>
      </c>
      <c r="H24" t="s">
        <v>38</v>
      </c>
      <c r="I24" t="s">
        <v>142</v>
      </c>
      <c r="J24" t="s">
        <v>40</v>
      </c>
      <c r="K24">
        <v>2</v>
      </c>
      <c r="L24" t="s">
        <v>41</v>
      </c>
      <c r="M24" t="s">
        <v>42</v>
      </c>
      <c r="N24" t="s">
        <v>43</v>
      </c>
      <c r="O24" s="7">
        <v>5</v>
      </c>
      <c r="P24" s="8">
        <v>45363.668865740743</v>
      </c>
      <c r="Q24" s="9">
        <v>45365</v>
      </c>
      <c r="R24" t="s">
        <v>44</v>
      </c>
      <c r="S24" t="s">
        <v>45</v>
      </c>
      <c r="T24" t="s">
        <v>46</v>
      </c>
      <c r="U24" t="s">
        <v>54</v>
      </c>
      <c r="V24" t="s">
        <v>143</v>
      </c>
      <c r="W24">
        <v>47000</v>
      </c>
      <c r="X24" t="s">
        <v>45</v>
      </c>
      <c r="Y24" t="s">
        <v>144</v>
      </c>
      <c r="Z24" t="s">
        <v>50</v>
      </c>
      <c r="AA24" s="10">
        <f>IF(O24&lt;=1,7,7+0.8*ROUNDUP(O24-1,0))</f>
        <v>10.199999999999999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2"/>
        <v>0.61199999999999999</v>
      </c>
      <c r="AG24" s="11">
        <f t="shared" si="3"/>
        <v>10.811999999999999</v>
      </c>
      <c r="AH24" t="s">
        <v>51</v>
      </c>
    </row>
    <row r="25" spans="1:34" ht="15" customHeight="1" x14ac:dyDescent="0.35">
      <c r="A25">
        <v>7547676</v>
      </c>
      <c r="B25">
        <v>690929</v>
      </c>
      <c r="C25" t="s">
        <v>34</v>
      </c>
      <c r="D25" t="s">
        <v>35</v>
      </c>
      <c r="E25" s="6" t="s">
        <v>34</v>
      </c>
      <c r="F25" t="s">
        <v>145</v>
      </c>
      <c r="G25" t="s">
        <v>37</v>
      </c>
      <c r="H25" t="s">
        <v>38</v>
      </c>
      <c r="I25" t="s">
        <v>146</v>
      </c>
      <c r="J25" t="s">
        <v>40</v>
      </c>
      <c r="K25">
        <v>2</v>
      </c>
      <c r="L25" t="s">
        <v>41</v>
      </c>
      <c r="M25" t="s">
        <v>42</v>
      </c>
      <c r="N25" t="s">
        <v>43</v>
      </c>
      <c r="O25" s="7">
        <v>1</v>
      </c>
      <c r="P25" s="8">
        <v>45363.714062500003</v>
      </c>
      <c r="Q25" s="9">
        <v>45365</v>
      </c>
      <c r="R25" t="s">
        <v>44</v>
      </c>
      <c r="S25" t="s">
        <v>45</v>
      </c>
      <c r="T25" t="s">
        <v>46</v>
      </c>
      <c r="U25" t="s">
        <v>134</v>
      </c>
      <c r="V25" t="s">
        <v>147</v>
      </c>
      <c r="W25">
        <v>9100</v>
      </c>
      <c r="X25" t="s">
        <v>45</v>
      </c>
      <c r="Y25" t="s">
        <v>148</v>
      </c>
      <c r="Z25" t="s">
        <v>50</v>
      </c>
      <c r="AA25" s="10">
        <f>IF(O25&lt;=1,7,7+0.8*ROUNDUP(O25-1,0))</f>
        <v>7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2"/>
        <v>0.42</v>
      </c>
      <c r="AG25" s="11">
        <f t="shared" si="3"/>
        <v>7.42</v>
      </c>
      <c r="AH25" t="s">
        <v>51</v>
      </c>
    </row>
    <row r="26" spans="1:34" ht="15" customHeight="1" x14ac:dyDescent="0.35">
      <c r="A26">
        <v>7547676</v>
      </c>
      <c r="B26">
        <v>690929</v>
      </c>
      <c r="C26" t="s">
        <v>34</v>
      </c>
      <c r="D26" t="s">
        <v>35</v>
      </c>
      <c r="E26" s="6" t="s">
        <v>34</v>
      </c>
      <c r="F26" t="s">
        <v>149</v>
      </c>
      <c r="G26" t="s">
        <v>37</v>
      </c>
      <c r="H26" t="s">
        <v>38</v>
      </c>
      <c r="I26" t="s">
        <v>150</v>
      </c>
      <c r="J26" t="s">
        <v>40</v>
      </c>
      <c r="K26">
        <v>2</v>
      </c>
      <c r="L26" t="s">
        <v>41</v>
      </c>
      <c r="M26" t="s">
        <v>42</v>
      </c>
      <c r="N26" t="s">
        <v>43</v>
      </c>
      <c r="O26" s="7">
        <v>1</v>
      </c>
      <c r="P26" s="8">
        <v>45363.714062500003</v>
      </c>
      <c r="Q26" s="9">
        <v>45365</v>
      </c>
      <c r="R26" t="s">
        <v>44</v>
      </c>
      <c r="S26" t="s">
        <v>45</v>
      </c>
      <c r="T26" t="s">
        <v>46</v>
      </c>
      <c r="U26" t="s">
        <v>134</v>
      </c>
      <c r="V26" t="s">
        <v>151</v>
      </c>
      <c r="W26">
        <v>6000</v>
      </c>
      <c r="X26" t="s">
        <v>45</v>
      </c>
      <c r="Y26" t="s">
        <v>152</v>
      </c>
      <c r="Z26" t="s">
        <v>50</v>
      </c>
      <c r="AA26" s="10">
        <f>IF(O26&lt;=1,7,7+0.8*ROUNDUP(O26-1,0))</f>
        <v>7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2"/>
        <v>0.42</v>
      </c>
      <c r="AG26" s="11">
        <f t="shared" si="3"/>
        <v>7.42</v>
      </c>
      <c r="AH26" t="s">
        <v>51</v>
      </c>
    </row>
    <row r="27" spans="1:34" ht="15" customHeight="1" x14ac:dyDescent="0.35">
      <c r="A27">
        <v>7547676</v>
      </c>
      <c r="B27">
        <v>690929</v>
      </c>
      <c r="C27" t="s">
        <v>34</v>
      </c>
      <c r="D27" t="s">
        <v>35</v>
      </c>
      <c r="E27" s="6" t="s">
        <v>34</v>
      </c>
      <c r="F27" t="s">
        <v>153</v>
      </c>
      <c r="G27" t="s">
        <v>37</v>
      </c>
      <c r="H27" t="s">
        <v>38</v>
      </c>
      <c r="I27" t="s">
        <v>154</v>
      </c>
      <c r="J27" t="s">
        <v>40</v>
      </c>
      <c r="K27">
        <v>2</v>
      </c>
      <c r="L27" t="s">
        <v>41</v>
      </c>
      <c r="M27" t="s">
        <v>42</v>
      </c>
      <c r="N27" t="s">
        <v>43</v>
      </c>
      <c r="O27" s="7">
        <v>1</v>
      </c>
      <c r="P27" s="8">
        <v>45364.465567129628</v>
      </c>
      <c r="Q27" s="9">
        <v>45365</v>
      </c>
      <c r="R27" t="s">
        <v>44</v>
      </c>
      <c r="S27" t="s">
        <v>45</v>
      </c>
      <c r="T27" t="s">
        <v>46</v>
      </c>
      <c r="U27" t="s">
        <v>99</v>
      </c>
      <c r="V27" t="s">
        <v>155</v>
      </c>
      <c r="W27">
        <v>16100</v>
      </c>
      <c r="X27" t="s">
        <v>45</v>
      </c>
      <c r="Y27" t="s">
        <v>156</v>
      </c>
      <c r="Z27" t="s">
        <v>50</v>
      </c>
      <c r="AA27" s="10">
        <f>IF(O27&lt;=1,7,7+0.8*ROUNDUP(O27-1,0))</f>
        <v>7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2"/>
        <v>0.42</v>
      </c>
      <c r="AG27" s="11">
        <f t="shared" si="3"/>
        <v>7.42</v>
      </c>
      <c r="AH27" t="s">
        <v>51</v>
      </c>
    </row>
    <row r="28" spans="1:34" ht="15" customHeight="1" x14ac:dyDescent="0.35">
      <c r="A28">
        <v>7547676</v>
      </c>
      <c r="B28">
        <v>690929</v>
      </c>
      <c r="C28" t="s">
        <v>34</v>
      </c>
      <c r="D28" t="s">
        <v>35</v>
      </c>
      <c r="E28" s="6" t="s">
        <v>34</v>
      </c>
      <c r="F28" t="s">
        <v>157</v>
      </c>
      <c r="G28" t="s">
        <v>37</v>
      </c>
      <c r="H28" t="s">
        <v>38</v>
      </c>
      <c r="I28" t="s">
        <v>158</v>
      </c>
      <c r="J28" t="s">
        <v>40</v>
      </c>
      <c r="K28">
        <v>2</v>
      </c>
      <c r="L28" t="s">
        <v>41</v>
      </c>
      <c r="M28" t="s">
        <v>42</v>
      </c>
      <c r="N28" t="s">
        <v>43</v>
      </c>
      <c r="O28" s="7">
        <v>18</v>
      </c>
      <c r="P28" s="8">
        <v>45363.532962962963</v>
      </c>
      <c r="Q28" s="9">
        <v>45365</v>
      </c>
      <c r="R28" t="s">
        <v>44</v>
      </c>
      <c r="S28" t="s">
        <v>45</v>
      </c>
      <c r="T28" t="s">
        <v>46</v>
      </c>
      <c r="U28" t="s">
        <v>54</v>
      </c>
      <c r="V28" t="s">
        <v>159</v>
      </c>
      <c r="W28">
        <v>47000</v>
      </c>
      <c r="X28" t="s">
        <v>45</v>
      </c>
      <c r="Y28" t="s">
        <v>144</v>
      </c>
      <c r="Z28" t="s">
        <v>50</v>
      </c>
      <c r="AA28" s="10">
        <f>IF(O28&lt;=1,7,7+0.8*ROUNDUP(O28-1,0))</f>
        <v>20.6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2"/>
        <v>1.236</v>
      </c>
      <c r="AG28" s="11">
        <f t="shared" si="3"/>
        <v>21.836000000000002</v>
      </c>
      <c r="AH28" t="s">
        <v>51</v>
      </c>
    </row>
    <row r="29" spans="1:34" ht="15" customHeight="1" x14ac:dyDescent="0.35">
      <c r="A29">
        <v>7547676</v>
      </c>
      <c r="B29">
        <v>690929</v>
      </c>
      <c r="C29" t="s">
        <v>34</v>
      </c>
      <c r="D29" t="s">
        <v>35</v>
      </c>
      <c r="E29" s="6" t="s">
        <v>34</v>
      </c>
      <c r="F29" t="s">
        <v>160</v>
      </c>
      <c r="G29" t="s">
        <v>37</v>
      </c>
      <c r="H29" t="s">
        <v>38</v>
      </c>
      <c r="I29" t="s">
        <v>158</v>
      </c>
      <c r="J29" t="s">
        <v>40</v>
      </c>
      <c r="K29">
        <v>2</v>
      </c>
      <c r="L29" t="s">
        <v>41</v>
      </c>
      <c r="M29" t="s">
        <v>42</v>
      </c>
      <c r="N29" t="s">
        <v>43</v>
      </c>
      <c r="O29" s="7">
        <v>5</v>
      </c>
      <c r="P29" s="8">
        <v>45363.532962962963</v>
      </c>
      <c r="Q29" s="9">
        <v>45365</v>
      </c>
      <c r="R29" t="s">
        <v>44</v>
      </c>
      <c r="S29" t="s">
        <v>45</v>
      </c>
      <c r="T29" t="s">
        <v>46</v>
      </c>
      <c r="U29" t="s">
        <v>54</v>
      </c>
      <c r="V29" t="s">
        <v>159</v>
      </c>
      <c r="W29">
        <v>47000</v>
      </c>
      <c r="X29" t="s">
        <v>45</v>
      </c>
      <c r="Y29" t="s">
        <v>144</v>
      </c>
      <c r="Z29" t="s">
        <v>50</v>
      </c>
      <c r="AA29" s="10">
        <f>IF(O29&lt;=1,7,7+0.8*ROUNDUP(O29-1,0))</f>
        <v>10.199999999999999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2"/>
        <v>0.61199999999999999</v>
      </c>
      <c r="AG29" s="11">
        <f t="shared" si="3"/>
        <v>10.811999999999999</v>
      </c>
      <c r="AH29" t="s">
        <v>51</v>
      </c>
    </row>
    <row r="30" spans="1:34" ht="15" customHeight="1" x14ac:dyDescent="0.35">
      <c r="A30">
        <v>7547676</v>
      </c>
      <c r="B30">
        <v>690929</v>
      </c>
      <c r="C30" t="s">
        <v>34</v>
      </c>
      <c r="D30" t="s">
        <v>35</v>
      </c>
      <c r="E30" s="6" t="s">
        <v>34</v>
      </c>
      <c r="F30" t="s">
        <v>161</v>
      </c>
      <c r="G30" t="s">
        <v>37</v>
      </c>
      <c r="H30" t="s">
        <v>38</v>
      </c>
      <c r="I30" t="s">
        <v>162</v>
      </c>
      <c r="J30" t="s">
        <v>40</v>
      </c>
      <c r="K30">
        <v>2</v>
      </c>
      <c r="L30" t="s">
        <v>41</v>
      </c>
      <c r="M30" t="s">
        <v>42</v>
      </c>
      <c r="N30" t="s">
        <v>43</v>
      </c>
      <c r="O30" s="7">
        <v>1</v>
      </c>
      <c r="P30" s="8">
        <v>45362.676782407405</v>
      </c>
      <c r="Q30" s="9">
        <v>45365</v>
      </c>
      <c r="R30" t="s">
        <v>44</v>
      </c>
      <c r="S30" t="s">
        <v>45</v>
      </c>
      <c r="T30" t="s">
        <v>46</v>
      </c>
      <c r="U30" t="s">
        <v>54</v>
      </c>
      <c r="V30" t="s">
        <v>163</v>
      </c>
      <c r="W30">
        <v>43900</v>
      </c>
      <c r="X30" t="s">
        <v>45</v>
      </c>
      <c r="Y30" t="s">
        <v>79</v>
      </c>
      <c r="Z30" t="s">
        <v>50</v>
      </c>
      <c r="AA30" s="10">
        <f>IF(O30&lt;=1,7,7+0.8*ROUNDUP(O30-1,0))</f>
        <v>7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2"/>
        <v>0.42</v>
      </c>
      <c r="AG30" s="11">
        <f t="shared" si="3"/>
        <v>7.42</v>
      </c>
      <c r="AH30" t="s">
        <v>51</v>
      </c>
    </row>
    <row r="31" spans="1:34" ht="15" customHeight="1" x14ac:dyDescent="0.35">
      <c r="A31">
        <v>7547676</v>
      </c>
      <c r="B31">
        <v>690929</v>
      </c>
      <c r="C31" t="s">
        <v>34</v>
      </c>
      <c r="D31" t="s">
        <v>35</v>
      </c>
      <c r="E31" s="6" t="s">
        <v>34</v>
      </c>
      <c r="F31" t="s">
        <v>164</v>
      </c>
      <c r="G31" t="s">
        <v>37</v>
      </c>
      <c r="H31" t="s">
        <v>38</v>
      </c>
      <c r="I31" t="s">
        <v>165</v>
      </c>
      <c r="J31" t="s">
        <v>40</v>
      </c>
      <c r="K31">
        <v>2</v>
      </c>
      <c r="L31" t="s">
        <v>41</v>
      </c>
      <c r="M31" t="s">
        <v>42</v>
      </c>
      <c r="N31" t="s">
        <v>43</v>
      </c>
      <c r="O31" s="7">
        <v>1</v>
      </c>
      <c r="P31" s="8">
        <v>45362.421481481484</v>
      </c>
      <c r="Q31" s="9">
        <v>45365</v>
      </c>
      <c r="R31" t="s">
        <v>44</v>
      </c>
      <c r="S31" t="s">
        <v>45</v>
      </c>
      <c r="T31" t="s">
        <v>46</v>
      </c>
      <c r="U31" t="s">
        <v>134</v>
      </c>
      <c r="V31" t="s">
        <v>166</v>
      </c>
      <c r="W31">
        <v>9300</v>
      </c>
      <c r="X31" t="s">
        <v>45</v>
      </c>
      <c r="Y31" t="s">
        <v>148</v>
      </c>
      <c r="Z31" t="s">
        <v>50</v>
      </c>
      <c r="AA31" s="10">
        <f>IF(O31&lt;=1,7,7+0.8*ROUNDUP(O31-1,0))</f>
        <v>7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2"/>
        <v>0.42</v>
      </c>
      <c r="AG31" s="11">
        <f t="shared" si="3"/>
        <v>7.42</v>
      </c>
      <c r="AH31" t="s">
        <v>51</v>
      </c>
    </row>
    <row r="32" spans="1:34" ht="15" customHeight="1" x14ac:dyDescent="0.35">
      <c r="A32">
        <v>7547676</v>
      </c>
      <c r="B32">
        <v>690929</v>
      </c>
      <c r="C32" t="s">
        <v>34</v>
      </c>
      <c r="D32" t="s">
        <v>35</v>
      </c>
      <c r="E32" s="6" t="s">
        <v>34</v>
      </c>
      <c r="F32" t="s">
        <v>167</v>
      </c>
      <c r="G32" t="s">
        <v>37</v>
      </c>
      <c r="H32" t="s">
        <v>38</v>
      </c>
      <c r="I32" t="s">
        <v>168</v>
      </c>
      <c r="J32" t="s">
        <v>40</v>
      </c>
      <c r="K32">
        <v>2</v>
      </c>
      <c r="L32" t="s">
        <v>41</v>
      </c>
      <c r="M32" t="s">
        <v>42</v>
      </c>
      <c r="N32" t="s">
        <v>43</v>
      </c>
      <c r="O32" s="7">
        <v>1</v>
      </c>
      <c r="P32" s="8">
        <v>45362.573391203703</v>
      </c>
      <c r="Q32" s="9">
        <v>45365</v>
      </c>
      <c r="R32" t="s">
        <v>44</v>
      </c>
      <c r="S32" t="s">
        <v>45</v>
      </c>
      <c r="T32" t="s">
        <v>46</v>
      </c>
      <c r="U32" t="s">
        <v>134</v>
      </c>
      <c r="V32" t="s">
        <v>169</v>
      </c>
      <c r="W32">
        <v>9200</v>
      </c>
      <c r="X32" t="s">
        <v>45</v>
      </c>
      <c r="Y32" t="s">
        <v>148</v>
      </c>
      <c r="Z32" t="s">
        <v>50</v>
      </c>
      <c r="AA32" s="10">
        <f>IF(O32&lt;=1,7,7+0.8*ROUNDUP(O32-1,0))</f>
        <v>7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2"/>
        <v>0.42</v>
      </c>
      <c r="AG32" s="11">
        <f t="shared" si="3"/>
        <v>7.42</v>
      </c>
      <c r="AH32" t="s">
        <v>51</v>
      </c>
    </row>
    <row r="33" spans="1:34" ht="15" customHeight="1" x14ac:dyDescent="0.35">
      <c r="A33">
        <v>7547676</v>
      </c>
      <c r="B33">
        <v>690929</v>
      </c>
      <c r="C33" t="s">
        <v>34</v>
      </c>
      <c r="D33" t="s">
        <v>35</v>
      </c>
      <c r="E33" s="6" t="s">
        <v>34</v>
      </c>
      <c r="F33" t="s">
        <v>170</v>
      </c>
      <c r="G33" t="s">
        <v>37</v>
      </c>
      <c r="H33" t="s">
        <v>38</v>
      </c>
      <c r="I33" t="s">
        <v>171</v>
      </c>
      <c r="J33" t="s">
        <v>40</v>
      </c>
      <c r="K33">
        <v>2</v>
      </c>
      <c r="L33" t="s">
        <v>41</v>
      </c>
      <c r="M33" t="s">
        <v>42</v>
      </c>
      <c r="N33" t="s">
        <v>43</v>
      </c>
      <c r="O33" s="7">
        <v>18</v>
      </c>
      <c r="P33" s="8">
        <v>45363.532962962963</v>
      </c>
      <c r="Q33" s="9">
        <v>45365</v>
      </c>
      <c r="R33" t="s">
        <v>44</v>
      </c>
      <c r="S33" t="s">
        <v>45</v>
      </c>
      <c r="T33" t="s">
        <v>46</v>
      </c>
      <c r="U33" t="s">
        <v>172</v>
      </c>
      <c r="V33" t="s">
        <v>173</v>
      </c>
      <c r="W33">
        <v>34900</v>
      </c>
      <c r="X33" t="s">
        <v>45</v>
      </c>
      <c r="Y33" t="s">
        <v>174</v>
      </c>
      <c r="Z33" t="s">
        <v>50</v>
      </c>
      <c r="AA33" s="10">
        <f>IF(O33&lt;=1,7,7+0.8*ROUNDUP(O33-1,0))</f>
        <v>20.6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2"/>
        <v>1.236</v>
      </c>
      <c r="AG33" s="11">
        <f t="shared" si="3"/>
        <v>21.836000000000002</v>
      </c>
      <c r="AH33" t="s">
        <v>51</v>
      </c>
    </row>
    <row r="34" spans="1:34" ht="15" customHeight="1" x14ac:dyDescent="0.35">
      <c r="A34">
        <v>7547676</v>
      </c>
      <c r="B34">
        <v>690929</v>
      </c>
      <c r="C34" t="s">
        <v>34</v>
      </c>
      <c r="D34" t="s">
        <v>35</v>
      </c>
      <c r="E34" s="6" t="s">
        <v>34</v>
      </c>
      <c r="F34" t="s">
        <v>175</v>
      </c>
      <c r="G34" t="s">
        <v>37</v>
      </c>
      <c r="H34" t="s">
        <v>38</v>
      </c>
      <c r="I34" t="s">
        <v>171</v>
      </c>
      <c r="J34" t="s">
        <v>40</v>
      </c>
      <c r="K34">
        <v>2</v>
      </c>
      <c r="L34" t="s">
        <v>41</v>
      </c>
      <c r="M34" t="s">
        <v>42</v>
      </c>
      <c r="N34" t="s">
        <v>43</v>
      </c>
      <c r="O34" s="7">
        <v>4</v>
      </c>
      <c r="P34" s="8">
        <v>45363.532962962963</v>
      </c>
      <c r="Q34" s="9">
        <v>45365</v>
      </c>
      <c r="R34" t="s">
        <v>44</v>
      </c>
      <c r="S34" t="s">
        <v>45</v>
      </c>
      <c r="T34" t="s">
        <v>46</v>
      </c>
      <c r="U34" t="s">
        <v>172</v>
      </c>
      <c r="V34" t="s">
        <v>176</v>
      </c>
      <c r="W34">
        <v>34900</v>
      </c>
      <c r="X34" t="s">
        <v>45</v>
      </c>
      <c r="Y34" t="s">
        <v>174</v>
      </c>
      <c r="Z34" t="s">
        <v>50</v>
      </c>
      <c r="AA34" s="10">
        <f>IF(O34&lt;=1,7,7+0.8*ROUNDUP(O34-1,0))</f>
        <v>9.4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2"/>
        <v>0.56399999999999995</v>
      </c>
      <c r="AG34" s="11">
        <f t="shared" si="3"/>
        <v>9.9640000000000004</v>
      </c>
      <c r="AH34" t="s">
        <v>51</v>
      </c>
    </row>
    <row r="35" spans="1:34" ht="15" customHeight="1" x14ac:dyDescent="0.35">
      <c r="A35">
        <v>7547676</v>
      </c>
      <c r="B35">
        <v>690929</v>
      </c>
      <c r="C35" t="s">
        <v>34</v>
      </c>
      <c r="D35" t="s">
        <v>35</v>
      </c>
      <c r="E35" s="6" t="s">
        <v>34</v>
      </c>
      <c r="F35" t="s">
        <v>177</v>
      </c>
      <c r="G35" t="s">
        <v>37</v>
      </c>
      <c r="H35" t="s">
        <v>38</v>
      </c>
      <c r="I35" t="s">
        <v>178</v>
      </c>
      <c r="J35" t="s">
        <v>40</v>
      </c>
      <c r="K35">
        <v>2</v>
      </c>
      <c r="L35" t="s">
        <v>41</v>
      </c>
      <c r="M35" t="s">
        <v>42</v>
      </c>
      <c r="N35" t="s">
        <v>43</v>
      </c>
      <c r="O35" s="7">
        <v>9</v>
      </c>
      <c r="P35" s="8">
        <v>45364.463449074072</v>
      </c>
      <c r="Q35" s="9">
        <v>45366</v>
      </c>
      <c r="R35" t="s">
        <v>44</v>
      </c>
      <c r="S35" t="s">
        <v>45</v>
      </c>
      <c r="T35" t="s">
        <v>46</v>
      </c>
      <c r="U35" t="s">
        <v>134</v>
      </c>
      <c r="V35" t="s">
        <v>179</v>
      </c>
      <c r="W35">
        <v>8000</v>
      </c>
      <c r="X35" t="s">
        <v>45</v>
      </c>
      <c r="Y35" t="s">
        <v>180</v>
      </c>
      <c r="Z35" t="s">
        <v>50</v>
      </c>
      <c r="AA35" s="10">
        <f>IF(O35&lt;=1,7,7+0.8*ROUNDUP(O35-1,0))</f>
        <v>13.4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2"/>
        <v>0.80399999999999994</v>
      </c>
      <c r="AG35" s="11">
        <f t="shared" si="3"/>
        <v>14.204000000000001</v>
      </c>
      <c r="AH35" t="s">
        <v>51</v>
      </c>
    </row>
    <row r="36" spans="1:34" ht="15" customHeight="1" x14ac:dyDescent="0.35">
      <c r="A36">
        <v>7547676</v>
      </c>
      <c r="B36">
        <v>690929</v>
      </c>
      <c r="C36" t="s">
        <v>34</v>
      </c>
      <c r="D36" t="s">
        <v>35</v>
      </c>
      <c r="E36" s="6" t="s">
        <v>34</v>
      </c>
      <c r="F36" t="s">
        <v>181</v>
      </c>
      <c r="G36" t="s">
        <v>37</v>
      </c>
      <c r="H36" t="s">
        <v>38</v>
      </c>
      <c r="I36" t="s">
        <v>182</v>
      </c>
      <c r="J36" t="s">
        <v>40</v>
      </c>
      <c r="K36">
        <v>2</v>
      </c>
      <c r="L36" t="s">
        <v>41</v>
      </c>
      <c r="M36" t="s">
        <v>42</v>
      </c>
      <c r="N36" t="s">
        <v>43</v>
      </c>
      <c r="O36" s="7">
        <v>5</v>
      </c>
      <c r="P36" s="8">
        <v>45363.607754629629</v>
      </c>
      <c r="Q36" s="9">
        <v>45365</v>
      </c>
      <c r="R36" t="s">
        <v>44</v>
      </c>
      <c r="S36" t="s">
        <v>45</v>
      </c>
      <c r="T36" t="s">
        <v>46</v>
      </c>
      <c r="U36" t="s">
        <v>82</v>
      </c>
      <c r="V36" t="s">
        <v>183</v>
      </c>
      <c r="W36">
        <v>81000</v>
      </c>
      <c r="X36" t="s">
        <v>45</v>
      </c>
      <c r="Y36" t="s">
        <v>184</v>
      </c>
      <c r="Z36" t="s">
        <v>50</v>
      </c>
      <c r="AA36" s="10">
        <f>IF(O36&lt;=1,7,7+0.8*ROUNDUP(O36-1,0))</f>
        <v>10.199999999999999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2"/>
        <v>0.61199999999999999</v>
      </c>
      <c r="AG36" s="11">
        <f t="shared" si="3"/>
        <v>10.811999999999999</v>
      </c>
      <c r="AH36" t="s">
        <v>51</v>
      </c>
    </row>
    <row r="37" spans="1:34" ht="15" customHeight="1" x14ac:dyDescent="0.35">
      <c r="A37">
        <v>7547676</v>
      </c>
      <c r="B37">
        <v>690929</v>
      </c>
      <c r="C37" t="s">
        <v>34</v>
      </c>
      <c r="D37" t="s">
        <v>35</v>
      </c>
      <c r="E37" s="6" t="s">
        <v>34</v>
      </c>
      <c r="F37" t="s">
        <v>185</v>
      </c>
      <c r="G37" t="s">
        <v>37</v>
      </c>
      <c r="H37" t="s">
        <v>38</v>
      </c>
      <c r="I37" t="s">
        <v>178</v>
      </c>
      <c r="J37" t="s">
        <v>40</v>
      </c>
      <c r="K37">
        <v>2</v>
      </c>
      <c r="L37" t="s">
        <v>41</v>
      </c>
      <c r="M37" t="s">
        <v>42</v>
      </c>
      <c r="N37" t="s">
        <v>43</v>
      </c>
      <c r="O37" s="7">
        <v>9</v>
      </c>
      <c r="P37" s="8">
        <v>45364.463449074072</v>
      </c>
      <c r="Q37" s="9">
        <v>45366</v>
      </c>
      <c r="R37" t="s">
        <v>44</v>
      </c>
      <c r="S37" t="s">
        <v>45</v>
      </c>
      <c r="T37" t="s">
        <v>46</v>
      </c>
      <c r="U37" t="s">
        <v>134</v>
      </c>
      <c r="V37" t="s">
        <v>179</v>
      </c>
      <c r="W37">
        <v>8000</v>
      </c>
      <c r="X37" t="s">
        <v>45</v>
      </c>
      <c r="Y37" t="s">
        <v>180</v>
      </c>
      <c r="Z37" t="s">
        <v>50</v>
      </c>
      <c r="AA37" s="10">
        <f>IF(O37&lt;=1,7,7+0.8*ROUNDUP(O37-1,0))</f>
        <v>13.4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2"/>
        <v>0.80399999999999994</v>
      </c>
      <c r="AG37" s="11">
        <f t="shared" si="3"/>
        <v>14.204000000000001</v>
      </c>
      <c r="AH37" t="s">
        <v>51</v>
      </c>
    </row>
    <row r="38" spans="1:34" ht="15" customHeight="1" x14ac:dyDescent="0.35">
      <c r="A38">
        <v>7547676</v>
      </c>
      <c r="B38">
        <v>690929</v>
      </c>
      <c r="C38" t="s">
        <v>34</v>
      </c>
      <c r="D38" t="s">
        <v>35</v>
      </c>
      <c r="E38" s="6" t="s">
        <v>34</v>
      </c>
      <c r="F38" t="s">
        <v>186</v>
      </c>
      <c r="G38" t="s">
        <v>37</v>
      </c>
      <c r="H38" t="s">
        <v>38</v>
      </c>
      <c r="I38" t="s">
        <v>178</v>
      </c>
      <c r="J38" t="s">
        <v>40</v>
      </c>
      <c r="K38">
        <v>2</v>
      </c>
      <c r="L38" t="s">
        <v>41</v>
      </c>
      <c r="M38" t="s">
        <v>42</v>
      </c>
      <c r="N38" t="s">
        <v>43</v>
      </c>
      <c r="O38" s="7">
        <v>9</v>
      </c>
      <c r="P38" s="8">
        <v>45364.463449074072</v>
      </c>
      <c r="Q38" s="9">
        <v>45366</v>
      </c>
      <c r="R38" t="s">
        <v>44</v>
      </c>
      <c r="S38" t="s">
        <v>45</v>
      </c>
      <c r="T38" t="s">
        <v>46</v>
      </c>
      <c r="U38" t="s">
        <v>134</v>
      </c>
      <c r="V38" t="s">
        <v>179</v>
      </c>
      <c r="W38">
        <v>8000</v>
      </c>
      <c r="X38" t="s">
        <v>45</v>
      </c>
      <c r="Y38" t="s">
        <v>180</v>
      </c>
      <c r="Z38" t="s">
        <v>50</v>
      </c>
      <c r="AA38" s="10">
        <f>IF(O38&lt;=1,7,7+0.8*ROUNDUP(O38-1,0))</f>
        <v>13.4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2"/>
        <v>0.80399999999999994</v>
      </c>
      <c r="AG38" s="11">
        <f t="shared" si="3"/>
        <v>14.204000000000001</v>
      </c>
      <c r="AH38" t="s">
        <v>51</v>
      </c>
    </row>
    <row r="39" spans="1:34" ht="15" customHeight="1" x14ac:dyDescent="0.35">
      <c r="A39">
        <v>7547676</v>
      </c>
      <c r="B39">
        <v>690929</v>
      </c>
      <c r="C39" t="s">
        <v>34</v>
      </c>
      <c r="D39" t="s">
        <v>35</v>
      </c>
      <c r="E39" s="6" t="s">
        <v>34</v>
      </c>
      <c r="F39" t="s">
        <v>187</v>
      </c>
      <c r="G39" t="s">
        <v>37</v>
      </c>
      <c r="H39" t="s">
        <v>38</v>
      </c>
      <c r="I39" t="s">
        <v>178</v>
      </c>
      <c r="J39" t="s">
        <v>40</v>
      </c>
      <c r="K39">
        <v>2</v>
      </c>
      <c r="L39" t="s">
        <v>41</v>
      </c>
      <c r="M39" t="s">
        <v>42</v>
      </c>
      <c r="N39" t="s">
        <v>43</v>
      </c>
      <c r="O39" s="7">
        <v>9</v>
      </c>
      <c r="P39" s="8">
        <v>45364.463449074072</v>
      </c>
      <c r="Q39" s="9">
        <v>45366</v>
      </c>
      <c r="R39" t="s">
        <v>44</v>
      </c>
      <c r="S39" t="s">
        <v>45</v>
      </c>
      <c r="T39" t="s">
        <v>46</v>
      </c>
      <c r="U39" t="s">
        <v>134</v>
      </c>
      <c r="V39" t="s">
        <v>179</v>
      </c>
      <c r="W39">
        <v>8000</v>
      </c>
      <c r="X39" t="s">
        <v>45</v>
      </c>
      <c r="Y39" t="s">
        <v>180</v>
      </c>
      <c r="Z39" t="s">
        <v>50</v>
      </c>
      <c r="AA39" s="10">
        <f>IF(O39&lt;=1,7,7+0.8*ROUNDUP(O39-1,0))</f>
        <v>13.4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2"/>
        <v>0.80399999999999994</v>
      </c>
      <c r="AG39" s="11">
        <f t="shared" si="3"/>
        <v>14.204000000000001</v>
      </c>
      <c r="AH39" t="s">
        <v>51</v>
      </c>
    </row>
    <row r="40" spans="1:34" ht="15" customHeight="1" x14ac:dyDescent="0.35">
      <c r="A40">
        <v>7547676</v>
      </c>
      <c r="B40">
        <v>690929</v>
      </c>
      <c r="C40" t="s">
        <v>34</v>
      </c>
      <c r="D40" t="s">
        <v>35</v>
      </c>
      <c r="E40" s="6" t="s">
        <v>34</v>
      </c>
      <c r="F40" t="s">
        <v>188</v>
      </c>
      <c r="G40" t="s">
        <v>37</v>
      </c>
      <c r="H40" t="s">
        <v>38</v>
      </c>
      <c r="I40" t="s">
        <v>189</v>
      </c>
      <c r="J40" t="s">
        <v>40</v>
      </c>
      <c r="K40">
        <v>2</v>
      </c>
      <c r="L40" t="s">
        <v>41</v>
      </c>
      <c r="M40" t="s">
        <v>42</v>
      </c>
      <c r="N40" t="s">
        <v>43</v>
      </c>
      <c r="O40" s="7">
        <v>1</v>
      </c>
      <c r="P40" s="8">
        <v>45365.448310185187</v>
      </c>
      <c r="Q40" s="9">
        <v>45366</v>
      </c>
      <c r="R40" t="s">
        <v>44</v>
      </c>
      <c r="S40" t="s">
        <v>45</v>
      </c>
      <c r="T40" t="s">
        <v>46</v>
      </c>
      <c r="U40" t="s">
        <v>190</v>
      </c>
      <c r="V40" t="s">
        <v>191</v>
      </c>
      <c r="W40">
        <v>27600</v>
      </c>
      <c r="X40" t="s">
        <v>45</v>
      </c>
      <c r="Y40" t="s">
        <v>192</v>
      </c>
      <c r="Z40" t="s">
        <v>50</v>
      </c>
      <c r="AA40" s="10">
        <f>IF(O40&lt;=1,7,7+0.8*ROUNDUP(O40-1,0))</f>
        <v>7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2"/>
        <v>0.42</v>
      </c>
      <c r="AG40" s="11">
        <f t="shared" si="3"/>
        <v>7.42</v>
      </c>
      <c r="AH40" t="s">
        <v>51</v>
      </c>
    </row>
    <row r="41" spans="1:34" ht="15" customHeight="1" x14ac:dyDescent="0.35">
      <c r="A41">
        <v>7547676</v>
      </c>
      <c r="B41">
        <v>690929</v>
      </c>
      <c r="C41" t="s">
        <v>34</v>
      </c>
      <c r="D41" t="s">
        <v>35</v>
      </c>
      <c r="E41" s="6" t="s">
        <v>34</v>
      </c>
      <c r="F41" t="s">
        <v>193</v>
      </c>
      <c r="G41" t="s">
        <v>37</v>
      </c>
      <c r="H41" t="s">
        <v>38</v>
      </c>
      <c r="I41" t="s">
        <v>194</v>
      </c>
      <c r="J41" t="s">
        <v>40</v>
      </c>
      <c r="K41">
        <v>2</v>
      </c>
      <c r="L41" t="s">
        <v>41</v>
      </c>
      <c r="M41" t="s">
        <v>42</v>
      </c>
      <c r="N41" t="s">
        <v>43</v>
      </c>
      <c r="O41" s="7">
        <v>9</v>
      </c>
      <c r="P41" s="8">
        <v>45364.470578703702</v>
      </c>
      <c r="Q41" s="9">
        <v>45366</v>
      </c>
      <c r="R41" t="s">
        <v>44</v>
      </c>
      <c r="S41" t="s">
        <v>45</v>
      </c>
      <c r="T41" t="s">
        <v>46</v>
      </c>
      <c r="U41" t="s">
        <v>134</v>
      </c>
      <c r="V41" t="s">
        <v>179</v>
      </c>
      <c r="W41">
        <v>8000</v>
      </c>
      <c r="X41" t="s">
        <v>45</v>
      </c>
      <c r="Y41" t="s">
        <v>180</v>
      </c>
      <c r="Z41" t="s">
        <v>50</v>
      </c>
      <c r="AA41" s="10">
        <f>IF(O41&lt;=1,7,7+0.8*ROUNDUP(O41-1,0))</f>
        <v>13.4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2"/>
        <v>0.80399999999999994</v>
      </c>
      <c r="AG41" s="11">
        <f t="shared" si="3"/>
        <v>14.204000000000001</v>
      </c>
      <c r="AH41" t="s">
        <v>51</v>
      </c>
    </row>
    <row r="42" spans="1:34" ht="15" customHeight="1" x14ac:dyDescent="0.35">
      <c r="A42">
        <v>7547676</v>
      </c>
      <c r="B42">
        <v>690929</v>
      </c>
      <c r="C42" t="s">
        <v>34</v>
      </c>
      <c r="D42" t="s">
        <v>35</v>
      </c>
      <c r="E42" s="6" t="s">
        <v>34</v>
      </c>
      <c r="F42" t="s">
        <v>195</v>
      </c>
      <c r="G42" t="s">
        <v>37</v>
      </c>
      <c r="H42" t="s">
        <v>38</v>
      </c>
      <c r="I42" t="s">
        <v>196</v>
      </c>
      <c r="J42" t="s">
        <v>40</v>
      </c>
      <c r="K42">
        <v>2</v>
      </c>
      <c r="L42" t="s">
        <v>41</v>
      </c>
      <c r="M42" t="s">
        <v>42</v>
      </c>
      <c r="N42" t="s">
        <v>43</v>
      </c>
      <c r="O42" s="7">
        <v>1</v>
      </c>
      <c r="P42" s="8">
        <v>45364.646249999998</v>
      </c>
      <c r="Q42" s="9">
        <v>45366</v>
      </c>
      <c r="R42" t="s">
        <v>44</v>
      </c>
      <c r="S42" t="s">
        <v>45</v>
      </c>
      <c r="T42" t="s">
        <v>46</v>
      </c>
      <c r="U42" t="s">
        <v>82</v>
      </c>
      <c r="V42" t="s">
        <v>197</v>
      </c>
      <c r="W42">
        <v>84400</v>
      </c>
      <c r="X42" t="s">
        <v>45</v>
      </c>
      <c r="Y42" t="s">
        <v>198</v>
      </c>
      <c r="Z42" t="s">
        <v>50</v>
      </c>
      <c r="AA42" s="10">
        <f>IF(O42&lt;=1,7,7+0.8*ROUNDUP(O42-1,0))</f>
        <v>7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2"/>
        <v>0.42</v>
      </c>
      <c r="AG42" s="11">
        <f t="shared" si="3"/>
        <v>7.42</v>
      </c>
      <c r="AH42" t="s">
        <v>51</v>
      </c>
    </row>
    <row r="43" spans="1:34" ht="15" customHeight="1" x14ac:dyDescent="0.35">
      <c r="A43">
        <v>7547676</v>
      </c>
      <c r="B43">
        <v>690929</v>
      </c>
      <c r="C43" t="s">
        <v>34</v>
      </c>
      <c r="D43" t="s">
        <v>35</v>
      </c>
      <c r="E43" s="6" t="s">
        <v>34</v>
      </c>
      <c r="F43" t="s">
        <v>199</v>
      </c>
      <c r="G43" t="s">
        <v>37</v>
      </c>
      <c r="H43" t="s">
        <v>38</v>
      </c>
      <c r="I43" t="s">
        <v>200</v>
      </c>
      <c r="J43" t="s">
        <v>40</v>
      </c>
      <c r="K43">
        <v>2</v>
      </c>
      <c r="L43" t="s">
        <v>41</v>
      </c>
      <c r="M43" t="s">
        <v>42</v>
      </c>
      <c r="N43" t="s">
        <v>43</v>
      </c>
      <c r="O43" s="7">
        <v>2</v>
      </c>
      <c r="P43" s="8">
        <v>45365.548078703701</v>
      </c>
      <c r="Q43" s="9">
        <v>45366</v>
      </c>
      <c r="R43" t="s">
        <v>44</v>
      </c>
      <c r="S43" t="s">
        <v>45</v>
      </c>
      <c r="T43" t="s">
        <v>46</v>
      </c>
      <c r="U43" t="s">
        <v>99</v>
      </c>
      <c r="V43" t="s">
        <v>201</v>
      </c>
      <c r="W43">
        <v>16450</v>
      </c>
      <c r="X43" t="s">
        <v>45</v>
      </c>
      <c r="Y43" t="s">
        <v>202</v>
      </c>
      <c r="Z43" t="s">
        <v>50</v>
      </c>
      <c r="AA43" s="10">
        <f>IF(O43&lt;=1,7,7+0.8*ROUNDUP(O43-1,0))</f>
        <v>7.8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2"/>
        <v>0.46799999999999997</v>
      </c>
      <c r="AG43" s="11">
        <f t="shared" si="3"/>
        <v>8.2680000000000007</v>
      </c>
      <c r="AH43" t="s">
        <v>51</v>
      </c>
    </row>
    <row r="44" spans="1:34" ht="15" customHeight="1" x14ac:dyDescent="0.35">
      <c r="A44">
        <v>7547676</v>
      </c>
      <c r="B44">
        <v>690929</v>
      </c>
      <c r="C44" t="s">
        <v>34</v>
      </c>
      <c r="D44" t="s">
        <v>35</v>
      </c>
      <c r="E44" s="6" t="s">
        <v>34</v>
      </c>
      <c r="F44" t="s">
        <v>203</v>
      </c>
      <c r="G44" t="s">
        <v>37</v>
      </c>
      <c r="H44" t="s">
        <v>38</v>
      </c>
      <c r="I44" t="s">
        <v>204</v>
      </c>
      <c r="J44" t="s">
        <v>40</v>
      </c>
      <c r="K44">
        <v>2</v>
      </c>
      <c r="L44" t="s">
        <v>41</v>
      </c>
      <c r="M44" t="s">
        <v>42</v>
      </c>
      <c r="N44" t="s">
        <v>43</v>
      </c>
      <c r="O44" s="7">
        <v>3</v>
      </c>
      <c r="P44" s="8">
        <v>45363.668854166666</v>
      </c>
      <c r="Q44" s="9">
        <v>45366</v>
      </c>
      <c r="R44" t="s">
        <v>44</v>
      </c>
      <c r="S44" t="s">
        <v>45</v>
      </c>
      <c r="T44" t="s">
        <v>46</v>
      </c>
      <c r="U44" t="s">
        <v>130</v>
      </c>
      <c r="V44" t="s">
        <v>205</v>
      </c>
      <c r="W44">
        <v>93350</v>
      </c>
      <c r="X44" t="s">
        <v>114</v>
      </c>
      <c r="Y44" t="s">
        <v>206</v>
      </c>
      <c r="Z44" t="s">
        <v>50</v>
      </c>
      <c r="AA44" s="12">
        <f>IF(O44&lt;=1,13,IF(O44&lt;=2,23,IF(O44&lt;=3,35,IF(O44&lt;=4,43,IF(O44&lt;=5,53,IF(O44&lt;=6,63,IF(O44&lt;=7,71,IF(O44&lt;=8,79,IF(O44&lt;=9,87,IF(O44&lt;=10,95,IF(O44&lt;=11,105,IF(O44&lt;=12,114,IF(O44&lt;=13,119,IF(O44&lt;=14,127,IF(O44&lt;=15,135,IF(O44&lt;=16,143,IF(O44&lt;=17,153,IF(O44&lt;=18,163,IF(O44&lt;=19,171,IF(O44&lt;=20,185,IF(O44&lt;=21,193,IF(O44&lt;=22,201,IF(O44&lt;=23,210,IF(O44&lt;=24,220,IF(O44&lt;=25,230,IF(O44&lt;=26,240,IF(O44&lt;=27,250,IF(O44&lt;=28,260,IF(O44&lt;=29,270,IF(O44&lt;=30,280,280+10*ROUNDUP(O44-30,0)))))))))))))))))))))))))))))))</f>
        <v>35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2"/>
        <v>2.1</v>
      </c>
      <c r="AG44" s="11">
        <f t="shared" si="3"/>
        <v>37.1</v>
      </c>
      <c r="AH44" t="s">
        <v>116</v>
      </c>
    </row>
    <row r="45" spans="1:34" ht="15" customHeight="1" x14ac:dyDescent="0.35">
      <c r="A45">
        <v>7547676</v>
      </c>
      <c r="B45">
        <v>690929</v>
      </c>
      <c r="C45" t="s">
        <v>34</v>
      </c>
      <c r="D45" t="s">
        <v>35</v>
      </c>
      <c r="E45" s="6" t="s">
        <v>34</v>
      </c>
      <c r="F45" t="s">
        <v>207</v>
      </c>
      <c r="G45" t="s">
        <v>37</v>
      </c>
      <c r="H45" t="s">
        <v>38</v>
      </c>
      <c r="I45" t="s">
        <v>208</v>
      </c>
      <c r="J45" t="s">
        <v>40</v>
      </c>
      <c r="K45">
        <v>2</v>
      </c>
      <c r="L45" t="s">
        <v>41</v>
      </c>
      <c r="M45" t="s">
        <v>42</v>
      </c>
      <c r="N45" t="s">
        <v>43</v>
      </c>
      <c r="O45" s="7">
        <v>1</v>
      </c>
      <c r="P45" s="8">
        <v>45356.753333333334</v>
      </c>
      <c r="Q45" s="9">
        <v>45366</v>
      </c>
      <c r="R45" t="s">
        <v>44</v>
      </c>
      <c r="S45" t="s">
        <v>45</v>
      </c>
      <c r="T45" t="s">
        <v>46</v>
      </c>
      <c r="U45" t="s">
        <v>54</v>
      </c>
      <c r="V45" t="s">
        <v>209</v>
      </c>
      <c r="W45">
        <v>40000</v>
      </c>
      <c r="X45" t="s">
        <v>45</v>
      </c>
      <c r="Y45" t="s">
        <v>210</v>
      </c>
      <c r="Z45" t="s">
        <v>50</v>
      </c>
      <c r="AA45" s="10">
        <f>IF(O45&lt;=1,7,7+0.8*ROUNDUP(O45-1,0))</f>
        <v>7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2"/>
        <v>0.42</v>
      </c>
      <c r="AG45" s="11">
        <f t="shared" si="3"/>
        <v>7.42</v>
      </c>
      <c r="AH45" t="s">
        <v>51</v>
      </c>
    </row>
    <row r="46" spans="1:34" ht="15" customHeight="1" x14ac:dyDescent="0.35">
      <c r="A46">
        <v>7547676</v>
      </c>
      <c r="B46">
        <v>690929</v>
      </c>
      <c r="C46" t="s">
        <v>34</v>
      </c>
      <c r="D46" t="s">
        <v>35</v>
      </c>
      <c r="E46" s="6" t="s">
        <v>34</v>
      </c>
      <c r="F46" t="s">
        <v>211</v>
      </c>
      <c r="G46" t="s">
        <v>37</v>
      </c>
      <c r="H46" t="s">
        <v>38</v>
      </c>
      <c r="I46" t="s">
        <v>212</v>
      </c>
      <c r="J46" t="s">
        <v>40</v>
      </c>
      <c r="K46">
        <v>2</v>
      </c>
      <c r="L46" t="s">
        <v>41</v>
      </c>
      <c r="M46" t="s">
        <v>42</v>
      </c>
      <c r="N46" t="s">
        <v>43</v>
      </c>
      <c r="O46" s="7">
        <v>1</v>
      </c>
      <c r="P46" s="8">
        <v>45365.482673611114</v>
      </c>
      <c r="Q46" s="9">
        <v>45366</v>
      </c>
      <c r="R46" t="s">
        <v>44</v>
      </c>
      <c r="S46" t="s">
        <v>45</v>
      </c>
      <c r="T46" t="s">
        <v>46</v>
      </c>
      <c r="U46" t="s">
        <v>54</v>
      </c>
      <c r="V46" t="s">
        <v>213</v>
      </c>
      <c r="W46">
        <v>42300</v>
      </c>
      <c r="X46" t="s">
        <v>45</v>
      </c>
      <c r="Y46" t="s">
        <v>214</v>
      </c>
      <c r="Z46" t="s">
        <v>50</v>
      </c>
      <c r="AA46" s="10">
        <f>IF(O46&lt;=1,7,7+0.8*ROUNDUP(O46-1,0))</f>
        <v>7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2"/>
        <v>0.42</v>
      </c>
      <c r="AG46" s="11">
        <f t="shared" si="3"/>
        <v>7.42</v>
      </c>
      <c r="AH46" t="s">
        <v>51</v>
      </c>
    </row>
    <row r="47" spans="1:34" ht="15" customHeight="1" x14ac:dyDescent="0.35">
      <c r="A47">
        <v>7547676</v>
      </c>
      <c r="B47">
        <v>690929</v>
      </c>
      <c r="C47" t="s">
        <v>34</v>
      </c>
      <c r="D47" t="s">
        <v>35</v>
      </c>
      <c r="E47" s="6" t="s">
        <v>34</v>
      </c>
      <c r="F47" t="s">
        <v>215</v>
      </c>
      <c r="G47" t="s">
        <v>37</v>
      </c>
      <c r="H47" t="s">
        <v>38</v>
      </c>
      <c r="I47" t="s">
        <v>216</v>
      </c>
      <c r="J47" t="s">
        <v>40</v>
      </c>
      <c r="K47">
        <v>2</v>
      </c>
      <c r="L47" t="s">
        <v>41</v>
      </c>
      <c r="M47" t="s">
        <v>42</v>
      </c>
      <c r="N47" t="s">
        <v>43</v>
      </c>
      <c r="O47" s="7">
        <v>1</v>
      </c>
      <c r="P47" s="8">
        <v>45363.684050925927</v>
      </c>
      <c r="Q47" s="9">
        <v>45366</v>
      </c>
      <c r="R47" t="s">
        <v>44</v>
      </c>
      <c r="S47" t="s">
        <v>45</v>
      </c>
      <c r="T47" t="s">
        <v>46</v>
      </c>
      <c r="U47" t="s">
        <v>86</v>
      </c>
      <c r="V47" t="s">
        <v>217</v>
      </c>
      <c r="W47">
        <v>70300</v>
      </c>
      <c r="X47" t="s">
        <v>45</v>
      </c>
      <c r="Y47" t="s">
        <v>79</v>
      </c>
      <c r="Z47" t="s">
        <v>50</v>
      </c>
      <c r="AA47" s="10">
        <f>IF(O47&lt;=1,7,7+0.8*ROUNDUP(O47-1,0))</f>
        <v>7</v>
      </c>
      <c r="AB47" s="11">
        <v>0</v>
      </c>
      <c r="AC47" s="11">
        <v>0</v>
      </c>
      <c r="AD47" s="11">
        <v>0</v>
      </c>
      <c r="AE47" s="11">
        <v>0</v>
      </c>
      <c r="AF47" s="11">
        <f>(AA47+AC47+AE47)*6%</f>
        <v>0.42</v>
      </c>
      <c r="AG47" s="11">
        <f>AA47+AC47+AE47+AF47</f>
        <v>7.42</v>
      </c>
      <c r="AH47" t="s">
        <v>51</v>
      </c>
    </row>
    <row r="48" spans="1:34" ht="15" customHeight="1" x14ac:dyDescent="0.35">
      <c r="A48">
        <v>7547676</v>
      </c>
      <c r="B48">
        <v>690929</v>
      </c>
      <c r="C48" t="s">
        <v>34</v>
      </c>
      <c r="D48" t="s">
        <v>35</v>
      </c>
      <c r="E48" s="6" t="s">
        <v>34</v>
      </c>
      <c r="F48" t="s">
        <v>218</v>
      </c>
      <c r="G48" t="s">
        <v>37</v>
      </c>
      <c r="H48" t="s">
        <v>38</v>
      </c>
      <c r="I48" t="s">
        <v>219</v>
      </c>
      <c r="J48" t="s">
        <v>40</v>
      </c>
      <c r="K48">
        <v>2</v>
      </c>
      <c r="L48" t="s">
        <v>41</v>
      </c>
      <c r="M48" t="s">
        <v>42</v>
      </c>
      <c r="N48" t="s">
        <v>43</v>
      </c>
      <c r="O48" s="7">
        <v>8</v>
      </c>
      <c r="P48" s="8">
        <v>45363.735277777778</v>
      </c>
      <c r="Q48" s="9">
        <v>45366</v>
      </c>
      <c r="R48" t="s">
        <v>44</v>
      </c>
      <c r="S48" t="s">
        <v>45</v>
      </c>
      <c r="T48" t="s">
        <v>46</v>
      </c>
      <c r="U48" t="s">
        <v>86</v>
      </c>
      <c r="V48" t="s">
        <v>220</v>
      </c>
      <c r="W48">
        <v>70400</v>
      </c>
      <c r="X48" t="s">
        <v>45</v>
      </c>
      <c r="Y48" t="s">
        <v>92</v>
      </c>
      <c r="Z48" t="s">
        <v>50</v>
      </c>
      <c r="AA48" s="10">
        <f>IF(O48&lt;=1,7,7+0.8*ROUNDUP(O48-1,0))</f>
        <v>12.600000000000001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ref="AF48:AF111" si="4">(AA48+AC48+AE48)*6%</f>
        <v>0.75600000000000001</v>
      </c>
      <c r="AG48" s="11">
        <f t="shared" ref="AG48:AG111" si="5">AA48+AC48+AE48+AF48</f>
        <v>13.356000000000002</v>
      </c>
      <c r="AH48" t="s">
        <v>51</v>
      </c>
    </row>
    <row r="49" spans="1:34" ht="15" customHeight="1" x14ac:dyDescent="0.35">
      <c r="A49">
        <v>7547676</v>
      </c>
      <c r="B49">
        <v>690929</v>
      </c>
      <c r="C49" t="s">
        <v>34</v>
      </c>
      <c r="D49" t="s">
        <v>35</v>
      </c>
      <c r="E49" s="6" t="s">
        <v>34</v>
      </c>
      <c r="F49" t="s">
        <v>221</v>
      </c>
      <c r="G49" t="s">
        <v>37</v>
      </c>
      <c r="H49" t="s">
        <v>38</v>
      </c>
      <c r="I49" t="s">
        <v>222</v>
      </c>
      <c r="J49" t="s">
        <v>40</v>
      </c>
      <c r="K49">
        <v>2</v>
      </c>
      <c r="L49" t="s">
        <v>41</v>
      </c>
      <c r="M49" t="s">
        <v>42</v>
      </c>
      <c r="N49" t="s">
        <v>43</v>
      </c>
      <c r="O49" s="7">
        <v>3</v>
      </c>
      <c r="P49" s="8">
        <v>45365.440011574072</v>
      </c>
      <c r="Q49" s="9">
        <v>45366</v>
      </c>
      <c r="R49" t="s">
        <v>44</v>
      </c>
      <c r="S49" t="s">
        <v>45</v>
      </c>
      <c r="T49" t="s">
        <v>46</v>
      </c>
      <c r="U49" t="s">
        <v>190</v>
      </c>
      <c r="V49" t="s">
        <v>223</v>
      </c>
      <c r="W49">
        <v>28000</v>
      </c>
      <c r="X49" t="s">
        <v>45</v>
      </c>
      <c r="Y49" t="s">
        <v>224</v>
      </c>
      <c r="Z49" t="s">
        <v>50</v>
      </c>
      <c r="AA49" s="10">
        <f>IF(O49&lt;=1,7,7+0.8*ROUNDUP(O49-1,0))</f>
        <v>8.6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4"/>
        <v>0.51600000000000001</v>
      </c>
      <c r="AG49" s="11">
        <f t="shared" si="5"/>
        <v>9.1159999999999997</v>
      </c>
      <c r="AH49" t="s">
        <v>51</v>
      </c>
    </row>
    <row r="50" spans="1:34" ht="15" customHeight="1" x14ac:dyDescent="0.35">
      <c r="A50">
        <v>7547676</v>
      </c>
      <c r="B50">
        <v>690929</v>
      </c>
      <c r="C50" t="s">
        <v>34</v>
      </c>
      <c r="D50" t="s">
        <v>35</v>
      </c>
      <c r="E50" s="6" t="s">
        <v>34</v>
      </c>
      <c r="F50" t="s">
        <v>225</v>
      </c>
      <c r="G50" t="s">
        <v>37</v>
      </c>
      <c r="H50" t="s">
        <v>38</v>
      </c>
      <c r="I50" t="s">
        <v>226</v>
      </c>
      <c r="J50" t="s">
        <v>40</v>
      </c>
      <c r="K50">
        <v>2</v>
      </c>
      <c r="L50" t="s">
        <v>41</v>
      </c>
      <c r="M50" t="s">
        <v>42</v>
      </c>
      <c r="N50" t="s">
        <v>43</v>
      </c>
      <c r="O50" s="7">
        <v>2</v>
      </c>
      <c r="P50" s="8">
        <v>45365.640219907407</v>
      </c>
      <c r="Q50" s="9">
        <v>45366</v>
      </c>
      <c r="R50" t="s">
        <v>44</v>
      </c>
      <c r="S50" t="s">
        <v>45</v>
      </c>
      <c r="T50" t="s">
        <v>46</v>
      </c>
      <c r="U50" t="s">
        <v>54</v>
      </c>
      <c r="V50" t="s">
        <v>227</v>
      </c>
      <c r="W50">
        <v>68000</v>
      </c>
      <c r="X50" t="s">
        <v>45</v>
      </c>
      <c r="Y50" t="s">
        <v>228</v>
      </c>
      <c r="Z50" t="s">
        <v>50</v>
      </c>
      <c r="AA50" s="10">
        <f>IF(O50&lt;=1,7,7+0.8*ROUNDUP(O50-1,0))</f>
        <v>7.8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4"/>
        <v>0.46799999999999997</v>
      </c>
      <c r="AG50" s="11">
        <f t="shared" si="5"/>
        <v>8.2680000000000007</v>
      </c>
      <c r="AH50" t="s">
        <v>51</v>
      </c>
    </row>
    <row r="51" spans="1:34" ht="15" customHeight="1" x14ac:dyDescent="0.35">
      <c r="A51">
        <v>7547676</v>
      </c>
      <c r="B51">
        <v>690929</v>
      </c>
      <c r="C51" t="s">
        <v>34</v>
      </c>
      <c r="D51" t="s">
        <v>35</v>
      </c>
      <c r="E51" s="6" t="s">
        <v>34</v>
      </c>
      <c r="F51" t="s">
        <v>229</v>
      </c>
      <c r="G51" t="s">
        <v>37</v>
      </c>
      <c r="H51" t="s">
        <v>38</v>
      </c>
      <c r="I51" t="s">
        <v>230</v>
      </c>
      <c r="J51" t="s">
        <v>40</v>
      </c>
      <c r="K51">
        <v>2</v>
      </c>
      <c r="L51" t="s">
        <v>41</v>
      </c>
      <c r="M51" t="s">
        <v>42</v>
      </c>
      <c r="N51" t="s">
        <v>43</v>
      </c>
      <c r="O51" s="7">
        <v>10</v>
      </c>
      <c r="P51" s="8">
        <v>45364.463449074072</v>
      </c>
      <c r="Q51" s="9">
        <v>45366</v>
      </c>
      <c r="R51" t="s">
        <v>44</v>
      </c>
      <c r="S51" t="s">
        <v>45</v>
      </c>
      <c r="T51" t="s">
        <v>46</v>
      </c>
      <c r="U51" t="s">
        <v>86</v>
      </c>
      <c r="V51" t="s">
        <v>231</v>
      </c>
      <c r="W51">
        <v>71900</v>
      </c>
      <c r="X51" t="s">
        <v>45</v>
      </c>
      <c r="Y51" t="s">
        <v>88</v>
      </c>
      <c r="Z51" t="s">
        <v>50</v>
      </c>
      <c r="AA51" s="10">
        <f>IF(O51&lt;=1,7,7+0.8*ROUNDUP(O51-1,0))</f>
        <v>14.2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4"/>
        <v>0.85199999999999998</v>
      </c>
      <c r="AG51" s="11">
        <f t="shared" si="5"/>
        <v>15.052</v>
      </c>
      <c r="AH51" t="s">
        <v>51</v>
      </c>
    </row>
    <row r="52" spans="1:34" ht="15" customHeight="1" x14ac:dyDescent="0.35">
      <c r="A52">
        <v>7547676</v>
      </c>
      <c r="B52">
        <v>690929</v>
      </c>
      <c r="C52" t="s">
        <v>34</v>
      </c>
      <c r="D52" t="s">
        <v>35</v>
      </c>
      <c r="E52" s="6" t="s">
        <v>34</v>
      </c>
      <c r="F52" t="s">
        <v>232</v>
      </c>
      <c r="G52" t="s">
        <v>37</v>
      </c>
      <c r="H52" t="s">
        <v>38</v>
      </c>
      <c r="I52" t="s">
        <v>230</v>
      </c>
      <c r="J52" t="s">
        <v>40</v>
      </c>
      <c r="K52">
        <v>2</v>
      </c>
      <c r="L52" t="s">
        <v>41</v>
      </c>
      <c r="M52" t="s">
        <v>42</v>
      </c>
      <c r="N52" t="s">
        <v>43</v>
      </c>
      <c r="O52" s="7">
        <v>16</v>
      </c>
      <c r="P52" s="8">
        <v>45364.463449074072</v>
      </c>
      <c r="Q52" s="9">
        <v>45366</v>
      </c>
      <c r="R52" t="s">
        <v>44</v>
      </c>
      <c r="S52" t="s">
        <v>45</v>
      </c>
      <c r="T52" t="s">
        <v>46</v>
      </c>
      <c r="U52" t="s">
        <v>86</v>
      </c>
      <c r="V52" t="s">
        <v>231</v>
      </c>
      <c r="W52">
        <v>71900</v>
      </c>
      <c r="X52" t="s">
        <v>45</v>
      </c>
      <c r="Y52" t="s">
        <v>88</v>
      </c>
      <c r="Z52" t="s">
        <v>50</v>
      </c>
      <c r="AA52" s="10">
        <f>IF(O52&lt;=1,7,7+0.8*ROUNDUP(O52-1,0))</f>
        <v>19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4"/>
        <v>1.1399999999999999</v>
      </c>
      <c r="AG52" s="11">
        <f t="shared" si="5"/>
        <v>20.14</v>
      </c>
      <c r="AH52" t="s">
        <v>51</v>
      </c>
    </row>
    <row r="53" spans="1:34" ht="15" customHeight="1" x14ac:dyDescent="0.35">
      <c r="A53">
        <v>7547676</v>
      </c>
      <c r="B53">
        <v>690929</v>
      </c>
      <c r="C53" t="s">
        <v>34</v>
      </c>
      <c r="D53" t="s">
        <v>35</v>
      </c>
      <c r="E53" s="6" t="s">
        <v>34</v>
      </c>
      <c r="F53" t="s">
        <v>233</v>
      </c>
      <c r="G53" t="s">
        <v>37</v>
      </c>
      <c r="H53" t="s">
        <v>38</v>
      </c>
      <c r="I53" t="s">
        <v>234</v>
      </c>
      <c r="J53" t="s">
        <v>40</v>
      </c>
      <c r="K53">
        <v>2</v>
      </c>
      <c r="L53" t="s">
        <v>41</v>
      </c>
      <c r="M53" t="s">
        <v>42</v>
      </c>
      <c r="N53" t="s">
        <v>43</v>
      </c>
      <c r="O53" s="7">
        <v>1</v>
      </c>
      <c r="P53" s="8">
        <v>45363.647650462961</v>
      </c>
      <c r="Q53" s="9">
        <v>45366</v>
      </c>
      <c r="R53" t="s">
        <v>44</v>
      </c>
      <c r="S53" t="s">
        <v>45</v>
      </c>
      <c r="T53" t="s">
        <v>46</v>
      </c>
      <c r="U53" t="s">
        <v>112</v>
      </c>
      <c r="V53" t="s">
        <v>235</v>
      </c>
      <c r="W53">
        <v>89300</v>
      </c>
      <c r="X53" t="s">
        <v>114</v>
      </c>
      <c r="Y53" t="s">
        <v>79</v>
      </c>
      <c r="Z53" t="s">
        <v>50</v>
      </c>
      <c r="AA53" s="12">
        <f>IF(O53&lt;=1,13,IF(O53&lt;=2,23,IF(O53&lt;=3,35,IF(O53&lt;=4,43,IF(O53&lt;=5,53,IF(O53&lt;=6,63,IF(O53&lt;=7,71,IF(O53&lt;=8,79,IF(O53&lt;=9,87,IF(O53&lt;=10,95,IF(O53&lt;=11,105,IF(O53&lt;=12,114,IF(O53&lt;=13,119,IF(O53&lt;=14,127,IF(O53&lt;=15,135,IF(O53&lt;=16,143,IF(O53&lt;=17,153,IF(O53&lt;=18,163,IF(O53&lt;=19,171,IF(O53&lt;=20,185,IF(O53&lt;=21,193,IF(O53&lt;=22,201,IF(O53&lt;=23,210,IF(O53&lt;=24,220,IF(O53&lt;=25,230,IF(O53&lt;=26,240,IF(O53&lt;=27,250,IF(O53&lt;=28,260,IF(O53&lt;=29,270,IF(O53&lt;=30,280,280+10*ROUNDUP(O53-30,0)))))))))))))))))))))))))))))))</f>
        <v>13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4"/>
        <v>0.78</v>
      </c>
      <c r="AG53" s="11">
        <f t="shared" si="5"/>
        <v>13.78</v>
      </c>
      <c r="AH53" t="s">
        <v>116</v>
      </c>
    </row>
    <row r="54" spans="1:34" ht="15" customHeight="1" x14ac:dyDescent="0.35">
      <c r="A54">
        <v>7547676</v>
      </c>
      <c r="B54">
        <v>690929</v>
      </c>
      <c r="C54" t="s">
        <v>34</v>
      </c>
      <c r="D54" t="s">
        <v>35</v>
      </c>
      <c r="E54" s="6" t="s">
        <v>34</v>
      </c>
      <c r="F54" t="s">
        <v>236</v>
      </c>
      <c r="G54" t="s">
        <v>37</v>
      </c>
      <c r="H54" t="s">
        <v>128</v>
      </c>
      <c r="I54" t="s">
        <v>237</v>
      </c>
      <c r="J54" t="s">
        <v>40</v>
      </c>
      <c r="K54">
        <v>2</v>
      </c>
      <c r="L54" t="s">
        <v>41</v>
      </c>
      <c r="M54" t="s">
        <v>42</v>
      </c>
      <c r="N54" t="s">
        <v>43</v>
      </c>
      <c r="O54" s="7">
        <v>2</v>
      </c>
      <c r="P54" s="8">
        <v>45364.519432870373</v>
      </c>
      <c r="Q54" s="9">
        <v>45366</v>
      </c>
      <c r="R54" t="s">
        <v>44</v>
      </c>
      <c r="S54" t="s">
        <v>45</v>
      </c>
      <c r="T54" t="s">
        <v>46</v>
      </c>
      <c r="U54" t="s">
        <v>238</v>
      </c>
      <c r="V54" t="s">
        <v>239</v>
      </c>
      <c r="W54">
        <v>87020</v>
      </c>
      <c r="X54" t="s">
        <v>114</v>
      </c>
      <c r="Y54" t="s">
        <v>79</v>
      </c>
      <c r="Z54" t="s">
        <v>50</v>
      </c>
      <c r="AA54" s="12">
        <f>IF(O54&lt;=1,13,IF(O54&lt;=2,23,IF(O54&lt;=3,35,IF(O54&lt;=4,43,IF(O54&lt;=5,53,IF(O54&lt;=6,63,IF(O54&lt;=7,71,IF(O54&lt;=8,79,IF(O54&lt;=9,87,IF(O54&lt;=10,95,IF(O54&lt;=11,105,IF(O54&lt;=12,114,IF(O54&lt;=13,119,IF(O54&lt;=14,127,IF(O54&lt;=15,135,IF(O54&lt;=16,143,IF(O54&lt;=17,153,IF(O54&lt;=18,163,IF(O54&lt;=19,171,IF(O54&lt;=20,185,IF(O54&lt;=21,193,IF(O54&lt;=22,201,IF(O54&lt;=23,210,IF(O54&lt;=24,220,IF(O54&lt;=25,230,IF(O54&lt;=26,240,IF(O54&lt;=27,250,IF(O54&lt;=28,260,IF(O54&lt;=29,270,IF(O54&lt;=30,280,280+10*ROUNDUP(O54-30,0)))))))))))))))))))))))))))))))</f>
        <v>23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4"/>
        <v>1.38</v>
      </c>
      <c r="AG54" s="11">
        <f t="shared" si="5"/>
        <v>24.38</v>
      </c>
      <c r="AH54" t="s">
        <v>116</v>
      </c>
    </row>
    <row r="55" spans="1:34" ht="15" customHeight="1" x14ac:dyDescent="0.35">
      <c r="A55">
        <v>7547676</v>
      </c>
      <c r="B55">
        <v>690929</v>
      </c>
      <c r="C55" t="s">
        <v>34</v>
      </c>
      <c r="D55" t="s">
        <v>35</v>
      </c>
      <c r="E55" s="6" t="s">
        <v>34</v>
      </c>
      <c r="F55" t="s">
        <v>240</v>
      </c>
      <c r="G55" t="s">
        <v>37</v>
      </c>
      <c r="H55" t="s">
        <v>38</v>
      </c>
      <c r="I55" t="s">
        <v>241</v>
      </c>
      <c r="J55" t="s">
        <v>40</v>
      </c>
      <c r="K55">
        <v>2</v>
      </c>
      <c r="L55" t="s">
        <v>41</v>
      </c>
      <c r="M55" t="s">
        <v>42</v>
      </c>
      <c r="N55" t="s">
        <v>43</v>
      </c>
      <c r="O55" s="7">
        <v>1</v>
      </c>
      <c r="P55" s="8">
        <v>45365.574525462966</v>
      </c>
      <c r="Q55" s="9">
        <v>45366</v>
      </c>
      <c r="R55" t="s">
        <v>44</v>
      </c>
      <c r="S55" t="s">
        <v>45</v>
      </c>
      <c r="T55" t="s">
        <v>46</v>
      </c>
      <c r="U55" t="s">
        <v>67</v>
      </c>
      <c r="V55" t="s">
        <v>242</v>
      </c>
      <c r="W55">
        <v>68100</v>
      </c>
      <c r="X55" t="s">
        <v>45</v>
      </c>
      <c r="Y55" t="s">
        <v>243</v>
      </c>
      <c r="Z55" t="s">
        <v>50</v>
      </c>
      <c r="AA55" s="10">
        <f>IF(O55&lt;=1,7,7+0.8*ROUNDUP(O55-1,0))</f>
        <v>7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4"/>
        <v>0.42</v>
      </c>
      <c r="AG55" s="11">
        <f t="shared" si="5"/>
        <v>7.42</v>
      </c>
      <c r="AH55" t="s">
        <v>51</v>
      </c>
    </row>
    <row r="56" spans="1:34" ht="15" customHeight="1" x14ac:dyDescent="0.35">
      <c r="A56">
        <v>7547676</v>
      </c>
      <c r="B56">
        <v>690929</v>
      </c>
      <c r="C56" t="s">
        <v>34</v>
      </c>
      <c r="D56" t="s">
        <v>35</v>
      </c>
      <c r="E56" s="6" t="s">
        <v>34</v>
      </c>
      <c r="F56" t="s">
        <v>244</v>
      </c>
      <c r="G56" t="s">
        <v>37</v>
      </c>
      <c r="H56" t="s">
        <v>38</v>
      </c>
      <c r="I56" t="s">
        <v>245</v>
      </c>
      <c r="J56" t="s">
        <v>40</v>
      </c>
      <c r="K56">
        <v>2</v>
      </c>
      <c r="L56" t="s">
        <v>41</v>
      </c>
      <c r="M56" t="s">
        <v>42</v>
      </c>
      <c r="N56" t="s">
        <v>43</v>
      </c>
      <c r="O56" s="7">
        <v>1</v>
      </c>
      <c r="P56" s="8">
        <v>45364.663182870368</v>
      </c>
      <c r="Q56" s="9">
        <v>45366</v>
      </c>
      <c r="R56" t="s">
        <v>44</v>
      </c>
      <c r="S56" t="s">
        <v>45</v>
      </c>
      <c r="T56" t="s">
        <v>46</v>
      </c>
      <c r="U56" t="s">
        <v>54</v>
      </c>
      <c r="V56" t="s">
        <v>246</v>
      </c>
      <c r="W56">
        <v>43200</v>
      </c>
      <c r="X56" t="s">
        <v>45</v>
      </c>
      <c r="Y56" t="s">
        <v>79</v>
      </c>
      <c r="Z56" t="s">
        <v>50</v>
      </c>
      <c r="AA56" s="10">
        <f>IF(O56&lt;=1,7,7+0.8*ROUNDUP(O56-1,0))</f>
        <v>7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4"/>
        <v>0.42</v>
      </c>
      <c r="AG56" s="11">
        <f t="shared" si="5"/>
        <v>7.42</v>
      </c>
      <c r="AH56" t="s">
        <v>51</v>
      </c>
    </row>
    <row r="57" spans="1:34" ht="15" customHeight="1" x14ac:dyDescent="0.35">
      <c r="A57">
        <v>7547676</v>
      </c>
      <c r="B57">
        <v>690929</v>
      </c>
      <c r="C57" t="s">
        <v>34</v>
      </c>
      <c r="D57" t="s">
        <v>35</v>
      </c>
      <c r="E57" s="6" t="s">
        <v>34</v>
      </c>
      <c r="F57" t="s">
        <v>247</v>
      </c>
      <c r="G57" t="s">
        <v>37</v>
      </c>
      <c r="H57" t="s">
        <v>38</v>
      </c>
      <c r="I57" t="s">
        <v>248</v>
      </c>
      <c r="J57" t="s">
        <v>40</v>
      </c>
      <c r="K57">
        <v>2</v>
      </c>
      <c r="L57" t="s">
        <v>41</v>
      </c>
      <c r="M57" t="s">
        <v>42</v>
      </c>
      <c r="N57" t="s">
        <v>43</v>
      </c>
      <c r="O57" s="7">
        <v>1</v>
      </c>
      <c r="P57" s="8">
        <v>45365.601990740739</v>
      </c>
      <c r="Q57" s="9">
        <v>45366</v>
      </c>
      <c r="R57" t="s">
        <v>44</v>
      </c>
      <c r="S57" t="s">
        <v>45</v>
      </c>
      <c r="T57" t="s">
        <v>46</v>
      </c>
      <c r="U57" t="s">
        <v>54</v>
      </c>
      <c r="V57" t="s">
        <v>249</v>
      </c>
      <c r="W57">
        <v>40170</v>
      </c>
      <c r="X57" t="s">
        <v>45</v>
      </c>
      <c r="Y57" t="s">
        <v>250</v>
      </c>
      <c r="Z57" t="s">
        <v>50</v>
      </c>
      <c r="AA57" s="10">
        <f>IF(O57&lt;=1,7,7+0.8*ROUNDUP(O57-1,0))</f>
        <v>7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4"/>
        <v>0.42</v>
      </c>
      <c r="AG57" s="11">
        <f t="shared" si="5"/>
        <v>7.42</v>
      </c>
      <c r="AH57" t="s">
        <v>51</v>
      </c>
    </row>
    <row r="58" spans="1:34" ht="15" customHeight="1" x14ac:dyDescent="0.35">
      <c r="A58">
        <v>7547676</v>
      </c>
      <c r="B58">
        <v>690929</v>
      </c>
      <c r="C58" t="s">
        <v>34</v>
      </c>
      <c r="D58" t="s">
        <v>35</v>
      </c>
      <c r="E58" s="6" t="s">
        <v>34</v>
      </c>
      <c r="F58" t="s">
        <v>251</v>
      </c>
      <c r="G58" t="s">
        <v>37</v>
      </c>
      <c r="H58" t="s">
        <v>38</v>
      </c>
      <c r="I58" t="s">
        <v>252</v>
      </c>
      <c r="J58" t="s">
        <v>40</v>
      </c>
      <c r="K58">
        <v>2</v>
      </c>
      <c r="L58" t="s">
        <v>41</v>
      </c>
      <c r="M58" t="s">
        <v>42</v>
      </c>
      <c r="N58" t="s">
        <v>43</v>
      </c>
      <c r="O58" s="7">
        <v>3</v>
      </c>
      <c r="P58" s="8">
        <v>45364.463449074072</v>
      </c>
      <c r="Q58" s="9">
        <v>45366</v>
      </c>
      <c r="R58" t="s">
        <v>44</v>
      </c>
      <c r="S58" t="s">
        <v>45</v>
      </c>
      <c r="T58" t="s">
        <v>46</v>
      </c>
      <c r="U58" t="s">
        <v>82</v>
      </c>
      <c r="V58" t="s">
        <v>253</v>
      </c>
      <c r="W58">
        <v>81100</v>
      </c>
      <c r="X58" t="s">
        <v>45</v>
      </c>
      <c r="Y58" t="s">
        <v>37</v>
      </c>
      <c r="Z58" t="s">
        <v>50</v>
      </c>
      <c r="AA58" s="10">
        <f>IF(O58&lt;=1,7,7+0.8*ROUNDUP(O58-1,0))</f>
        <v>8.6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4"/>
        <v>0.51600000000000001</v>
      </c>
      <c r="AG58" s="11">
        <f t="shared" si="5"/>
        <v>9.1159999999999997</v>
      </c>
      <c r="AH58" t="s">
        <v>51</v>
      </c>
    </row>
    <row r="59" spans="1:34" ht="15" customHeight="1" x14ac:dyDescent="0.35">
      <c r="A59">
        <v>7547676</v>
      </c>
      <c r="B59">
        <v>690929</v>
      </c>
      <c r="C59" t="s">
        <v>34</v>
      </c>
      <c r="D59" t="s">
        <v>35</v>
      </c>
      <c r="E59" s="6" t="s">
        <v>34</v>
      </c>
      <c r="F59" t="s">
        <v>254</v>
      </c>
      <c r="G59" t="s">
        <v>37</v>
      </c>
      <c r="H59" t="s">
        <v>38</v>
      </c>
      <c r="I59" t="s">
        <v>255</v>
      </c>
      <c r="J59" t="s">
        <v>40</v>
      </c>
      <c r="K59">
        <v>2</v>
      </c>
      <c r="L59" t="s">
        <v>41</v>
      </c>
      <c r="M59" t="s">
        <v>42</v>
      </c>
      <c r="N59" t="s">
        <v>43</v>
      </c>
      <c r="O59" s="7">
        <v>2</v>
      </c>
      <c r="P59" s="8">
        <v>45365.682500000003</v>
      </c>
      <c r="Q59" s="9">
        <v>45366</v>
      </c>
      <c r="R59" t="s">
        <v>44</v>
      </c>
      <c r="S59" t="s">
        <v>45</v>
      </c>
      <c r="T59" t="s">
        <v>46</v>
      </c>
      <c r="U59" t="s">
        <v>99</v>
      </c>
      <c r="V59" t="s">
        <v>256</v>
      </c>
      <c r="W59">
        <v>17500</v>
      </c>
      <c r="X59" t="s">
        <v>45</v>
      </c>
      <c r="Y59" t="s">
        <v>156</v>
      </c>
      <c r="Z59" t="s">
        <v>50</v>
      </c>
      <c r="AA59" s="10">
        <f>IF(O59&lt;=1,7,7+0.8*ROUNDUP(O59-1,0))</f>
        <v>7.8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4"/>
        <v>0.46799999999999997</v>
      </c>
      <c r="AG59" s="11">
        <f t="shared" si="5"/>
        <v>8.2680000000000007</v>
      </c>
      <c r="AH59" t="s">
        <v>51</v>
      </c>
    </row>
    <row r="60" spans="1:34" ht="15" customHeight="1" x14ac:dyDescent="0.35">
      <c r="A60">
        <v>7547676</v>
      </c>
      <c r="B60">
        <v>690929</v>
      </c>
      <c r="C60" t="s">
        <v>34</v>
      </c>
      <c r="D60" t="s">
        <v>35</v>
      </c>
      <c r="E60" s="6" t="s">
        <v>34</v>
      </c>
      <c r="F60" t="s">
        <v>257</v>
      </c>
      <c r="G60" t="s">
        <v>37</v>
      </c>
      <c r="H60" t="s">
        <v>38</v>
      </c>
      <c r="I60" t="s">
        <v>258</v>
      </c>
      <c r="J60" t="s">
        <v>40</v>
      </c>
      <c r="K60">
        <v>2</v>
      </c>
      <c r="L60" t="s">
        <v>41</v>
      </c>
      <c r="M60" t="s">
        <v>42</v>
      </c>
      <c r="N60" t="s">
        <v>43</v>
      </c>
      <c r="O60" s="7">
        <v>1</v>
      </c>
      <c r="P60" s="8">
        <v>45364.65828703704</v>
      </c>
      <c r="Q60" s="9">
        <v>45366</v>
      </c>
      <c r="R60" t="s">
        <v>44</v>
      </c>
      <c r="S60" t="s">
        <v>45</v>
      </c>
      <c r="T60" t="s">
        <v>46</v>
      </c>
      <c r="U60" t="s">
        <v>172</v>
      </c>
      <c r="V60" t="s">
        <v>259</v>
      </c>
      <c r="W60">
        <v>33000</v>
      </c>
      <c r="X60" t="s">
        <v>45</v>
      </c>
      <c r="Y60" t="s">
        <v>260</v>
      </c>
      <c r="Z60" t="s">
        <v>50</v>
      </c>
      <c r="AA60" s="10">
        <f>IF(O60&lt;=1,7,7+0.8*ROUNDUP(O60-1,0))</f>
        <v>7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4"/>
        <v>0.42</v>
      </c>
      <c r="AG60" s="11">
        <f t="shared" si="5"/>
        <v>7.42</v>
      </c>
      <c r="AH60" t="s">
        <v>51</v>
      </c>
    </row>
    <row r="61" spans="1:34" ht="15" customHeight="1" x14ac:dyDescent="0.35">
      <c r="A61">
        <v>7547676</v>
      </c>
      <c r="B61">
        <v>690929</v>
      </c>
      <c r="C61" t="s">
        <v>34</v>
      </c>
      <c r="D61" t="s">
        <v>35</v>
      </c>
      <c r="E61" s="6" t="s">
        <v>34</v>
      </c>
      <c r="F61" t="s">
        <v>261</v>
      </c>
      <c r="G61" t="s">
        <v>37</v>
      </c>
      <c r="H61" t="s">
        <v>38</v>
      </c>
      <c r="I61" t="s">
        <v>39</v>
      </c>
      <c r="J61" t="s">
        <v>40</v>
      </c>
      <c r="K61">
        <v>2</v>
      </c>
      <c r="L61" t="s">
        <v>41</v>
      </c>
      <c r="M61" t="s">
        <v>42</v>
      </c>
      <c r="N61" t="s">
        <v>43</v>
      </c>
      <c r="O61" s="7">
        <v>1</v>
      </c>
      <c r="P61" s="8">
        <v>45365.641331018516</v>
      </c>
      <c r="Q61" s="9">
        <v>45366</v>
      </c>
      <c r="R61" t="s">
        <v>44</v>
      </c>
      <c r="S61" t="s">
        <v>45</v>
      </c>
      <c r="T61" t="s">
        <v>46</v>
      </c>
      <c r="U61" t="s">
        <v>47</v>
      </c>
      <c r="V61" t="s">
        <v>48</v>
      </c>
      <c r="W61">
        <v>21820</v>
      </c>
      <c r="X61" t="s">
        <v>45</v>
      </c>
      <c r="Y61" t="s">
        <v>49</v>
      </c>
      <c r="Z61" t="s">
        <v>50</v>
      </c>
      <c r="AA61" s="10">
        <f>IF(O61&lt;=1,7,7+0.8*ROUNDUP(O61-1,0))</f>
        <v>7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4"/>
        <v>0.42</v>
      </c>
      <c r="AG61" s="11">
        <f t="shared" si="5"/>
        <v>7.42</v>
      </c>
      <c r="AH61" t="s">
        <v>51</v>
      </c>
    </row>
    <row r="62" spans="1:34" ht="15" customHeight="1" x14ac:dyDescent="0.35">
      <c r="A62">
        <v>7547676</v>
      </c>
      <c r="B62">
        <v>690929</v>
      </c>
      <c r="C62" t="s">
        <v>34</v>
      </c>
      <c r="D62" t="s">
        <v>35</v>
      </c>
      <c r="E62" s="6" t="s">
        <v>34</v>
      </c>
      <c r="F62" t="s">
        <v>262</v>
      </c>
      <c r="G62" t="s">
        <v>37</v>
      </c>
      <c r="H62" t="s">
        <v>38</v>
      </c>
      <c r="I62" t="s">
        <v>263</v>
      </c>
      <c r="J62" t="s">
        <v>40</v>
      </c>
      <c r="K62">
        <v>2</v>
      </c>
      <c r="L62" t="s">
        <v>41</v>
      </c>
      <c r="M62" t="s">
        <v>42</v>
      </c>
      <c r="N62" t="s">
        <v>43</v>
      </c>
      <c r="O62" s="7">
        <v>1</v>
      </c>
      <c r="P62" s="8">
        <v>45365.623657407406</v>
      </c>
      <c r="Q62" s="9">
        <v>45366</v>
      </c>
      <c r="R62" t="s">
        <v>44</v>
      </c>
      <c r="S62" t="s">
        <v>45</v>
      </c>
      <c r="T62" t="s">
        <v>46</v>
      </c>
      <c r="U62" t="s">
        <v>54</v>
      </c>
      <c r="V62" t="s">
        <v>264</v>
      </c>
      <c r="W62">
        <v>53100</v>
      </c>
      <c r="X62" t="s">
        <v>45</v>
      </c>
      <c r="Y62" t="s">
        <v>126</v>
      </c>
      <c r="Z62" t="s">
        <v>50</v>
      </c>
      <c r="AA62" s="10">
        <f>IF(O62&lt;=1,7,7+0.8*ROUNDUP(O62-1,0))</f>
        <v>7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4"/>
        <v>0.42</v>
      </c>
      <c r="AG62" s="11">
        <f t="shared" si="5"/>
        <v>7.42</v>
      </c>
      <c r="AH62" t="s">
        <v>51</v>
      </c>
    </row>
    <row r="63" spans="1:34" ht="15" customHeight="1" x14ac:dyDescent="0.35">
      <c r="A63">
        <v>7547676</v>
      </c>
      <c r="B63">
        <v>690929</v>
      </c>
      <c r="C63" t="s">
        <v>34</v>
      </c>
      <c r="D63" t="s">
        <v>35</v>
      </c>
      <c r="E63" s="6" t="s">
        <v>34</v>
      </c>
      <c r="F63" t="s">
        <v>265</v>
      </c>
      <c r="G63" t="s">
        <v>37</v>
      </c>
      <c r="H63" t="s">
        <v>38</v>
      </c>
      <c r="I63" t="s">
        <v>266</v>
      </c>
      <c r="J63" t="s">
        <v>40</v>
      </c>
      <c r="K63">
        <v>2</v>
      </c>
      <c r="L63" t="s">
        <v>41</v>
      </c>
      <c r="M63" t="s">
        <v>42</v>
      </c>
      <c r="N63" t="s">
        <v>43</v>
      </c>
      <c r="O63" s="7">
        <v>1</v>
      </c>
      <c r="P63" s="8">
        <v>45365.534930555557</v>
      </c>
      <c r="Q63" s="9">
        <v>45366</v>
      </c>
      <c r="R63" t="s">
        <v>44</v>
      </c>
      <c r="S63" t="s">
        <v>45</v>
      </c>
      <c r="T63" t="s">
        <v>46</v>
      </c>
      <c r="U63" t="s">
        <v>54</v>
      </c>
      <c r="V63" t="s">
        <v>267</v>
      </c>
      <c r="W63">
        <v>42700</v>
      </c>
      <c r="X63" t="s">
        <v>45</v>
      </c>
      <c r="Y63" t="s">
        <v>268</v>
      </c>
      <c r="Z63" t="s">
        <v>50</v>
      </c>
      <c r="AA63" s="10">
        <f>IF(O63&lt;=1,7,7+0.8*ROUNDUP(O63-1,0))</f>
        <v>7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4"/>
        <v>0.42</v>
      </c>
      <c r="AG63" s="11">
        <f t="shared" si="5"/>
        <v>7.42</v>
      </c>
      <c r="AH63" t="s">
        <v>51</v>
      </c>
    </row>
    <row r="64" spans="1:34" ht="15" customHeight="1" x14ac:dyDescent="0.35">
      <c r="A64">
        <v>7547676</v>
      </c>
      <c r="B64">
        <v>690929</v>
      </c>
      <c r="C64" t="s">
        <v>34</v>
      </c>
      <c r="D64" t="s">
        <v>35</v>
      </c>
      <c r="E64" s="6" t="s">
        <v>34</v>
      </c>
      <c r="F64" t="s">
        <v>269</v>
      </c>
      <c r="G64" t="s">
        <v>37</v>
      </c>
      <c r="H64" t="s">
        <v>38</v>
      </c>
      <c r="I64" t="s">
        <v>270</v>
      </c>
      <c r="J64" t="s">
        <v>40</v>
      </c>
      <c r="K64">
        <v>2</v>
      </c>
      <c r="L64" t="s">
        <v>41</v>
      </c>
      <c r="M64" t="s">
        <v>42</v>
      </c>
      <c r="N64" t="s">
        <v>43</v>
      </c>
      <c r="O64" s="7">
        <v>1</v>
      </c>
      <c r="P64" s="8">
        <v>45363.735277777778</v>
      </c>
      <c r="Q64" s="9">
        <v>45366</v>
      </c>
      <c r="R64" t="s">
        <v>44</v>
      </c>
      <c r="S64" t="s">
        <v>45</v>
      </c>
      <c r="T64" t="s">
        <v>46</v>
      </c>
      <c r="U64" t="s">
        <v>82</v>
      </c>
      <c r="V64" t="s">
        <v>271</v>
      </c>
      <c r="W64">
        <v>81700</v>
      </c>
      <c r="X64" t="s">
        <v>45</v>
      </c>
      <c r="Y64" t="s">
        <v>79</v>
      </c>
      <c r="Z64" t="s">
        <v>50</v>
      </c>
      <c r="AA64" s="10">
        <f>IF(O64&lt;=1,7,7+0.8*ROUNDUP(O64-1,0))</f>
        <v>7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4"/>
        <v>0.42</v>
      </c>
      <c r="AG64" s="11">
        <f t="shared" si="5"/>
        <v>7.42</v>
      </c>
      <c r="AH64" t="s">
        <v>51</v>
      </c>
    </row>
    <row r="65" spans="1:34" ht="15" customHeight="1" x14ac:dyDescent="0.35">
      <c r="A65">
        <v>7547676</v>
      </c>
      <c r="B65">
        <v>690929</v>
      </c>
      <c r="C65" t="s">
        <v>34</v>
      </c>
      <c r="D65" t="s">
        <v>35</v>
      </c>
      <c r="E65" s="6" t="s">
        <v>34</v>
      </c>
      <c r="F65" t="s">
        <v>272</v>
      </c>
      <c r="G65" t="s">
        <v>37</v>
      </c>
      <c r="H65" t="s">
        <v>38</v>
      </c>
      <c r="I65" t="s">
        <v>273</v>
      </c>
      <c r="J65" t="s">
        <v>40</v>
      </c>
      <c r="K65">
        <v>2</v>
      </c>
      <c r="L65" t="s">
        <v>41</v>
      </c>
      <c r="M65" t="s">
        <v>42</v>
      </c>
      <c r="N65" t="s">
        <v>43</v>
      </c>
      <c r="O65" s="7">
        <v>2</v>
      </c>
      <c r="P65" s="8">
        <v>45365.504583333335</v>
      </c>
      <c r="Q65" s="9">
        <v>45366</v>
      </c>
      <c r="R65" t="s">
        <v>44</v>
      </c>
      <c r="S65" t="s">
        <v>45</v>
      </c>
      <c r="T65" t="s">
        <v>46</v>
      </c>
      <c r="U65" t="s">
        <v>67</v>
      </c>
      <c r="V65" t="s">
        <v>274</v>
      </c>
      <c r="W65">
        <v>51200</v>
      </c>
      <c r="X65" t="s">
        <v>45</v>
      </c>
      <c r="Y65" t="s">
        <v>275</v>
      </c>
      <c r="Z65" t="s">
        <v>50</v>
      </c>
      <c r="AA65" s="10">
        <f>IF(O65&lt;=1,7,7+0.8*ROUNDUP(O65-1,0))</f>
        <v>7.8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4"/>
        <v>0.46799999999999997</v>
      </c>
      <c r="AG65" s="11">
        <f t="shared" si="5"/>
        <v>8.2680000000000007</v>
      </c>
      <c r="AH65" t="s">
        <v>51</v>
      </c>
    </row>
    <row r="66" spans="1:34" ht="15" customHeight="1" x14ac:dyDescent="0.35">
      <c r="A66">
        <v>7547676</v>
      </c>
      <c r="B66">
        <v>690929</v>
      </c>
      <c r="C66" t="s">
        <v>34</v>
      </c>
      <c r="D66" t="s">
        <v>35</v>
      </c>
      <c r="E66" s="6" t="s">
        <v>34</v>
      </c>
      <c r="F66" t="s">
        <v>276</v>
      </c>
      <c r="G66" t="s">
        <v>37</v>
      </c>
      <c r="H66" t="s">
        <v>38</v>
      </c>
      <c r="I66" t="s">
        <v>277</v>
      </c>
      <c r="J66" t="s">
        <v>40</v>
      </c>
      <c r="K66">
        <v>2</v>
      </c>
      <c r="L66" t="s">
        <v>41</v>
      </c>
      <c r="M66" t="s">
        <v>42</v>
      </c>
      <c r="N66" t="s">
        <v>43</v>
      </c>
      <c r="O66" s="7">
        <v>1</v>
      </c>
      <c r="P66" s="8">
        <v>45364.495243055557</v>
      </c>
      <c r="Q66" s="9">
        <v>45366</v>
      </c>
      <c r="R66" t="s">
        <v>44</v>
      </c>
      <c r="S66" t="s">
        <v>45</v>
      </c>
      <c r="T66" t="s">
        <v>46</v>
      </c>
      <c r="U66" t="s">
        <v>278</v>
      </c>
      <c r="V66" t="s">
        <v>279</v>
      </c>
      <c r="W66">
        <v>13100</v>
      </c>
      <c r="X66" t="s">
        <v>45</v>
      </c>
      <c r="Y66" t="s">
        <v>280</v>
      </c>
      <c r="Z66" t="s">
        <v>50</v>
      </c>
      <c r="AA66" s="10">
        <f>IF(O66&lt;=1,7,7+0.8*ROUNDUP(O66-1,0))</f>
        <v>7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si="4"/>
        <v>0.42</v>
      </c>
      <c r="AG66" s="11">
        <f t="shared" si="5"/>
        <v>7.42</v>
      </c>
      <c r="AH66" t="s">
        <v>51</v>
      </c>
    </row>
    <row r="67" spans="1:34" ht="15" customHeight="1" x14ac:dyDescent="0.35">
      <c r="A67">
        <v>7547676</v>
      </c>
      <c r="B67">
        <v>690929</v>
      </c>
      <c r="C67" t="s">
        <v>34</v>
      </c>
      <c r="D67" t="s">
        <v>35</v>
      </c>
      <c r="E67" s="6" t="s">
        <v>34</v>
      </c>
      <c r="F67" t="s">
        <v>281</v>
      </c>
      <c r="G67" t="s">
        <v>37</v>
      </c>
      <c r="H67" t="s">
        <v>38</v>
      </c>
      <c r="I67" t="s">
        <v>282</v>
      </c>
      <c r="J67" t="s">
        <v>40</v>
      </c>
      <c r="K67">
        <v>2</v>
      </c>
      <c r="L67" t="s">
        <v>41</v>
      </c>
      <c r="M67" t="s">
        <v>42</v>
      </c>
      <c r="N67" t="s">
        <v>43</v>
      </c>
      <c r="O67" s="7">
        <v>1</v>
      </c>
      <c r="P67" s="8">
        <v>45365.548078703701</v>
      </c>
      <c r="Q67" s="9">
        <v>45366</v>
      </c>
      <c r="R67" t="s">
        <v>44</v>
      </c>
      <c r="S67" t="s">
        <v>45</v>
      </c>
      <c r="T67" t="s">
        <v>46</v>
      </c>
      <c r="U67" t="s">
        <v>54</v>
      </c>
      <c r="V67" t="s">
        <v>283</v>
      </c>
      <c r="W67">
        <v>43000</v>
      </c>
      <c r="X67" t="s">
        <v>45</v>
      </c>
      <c r="Y67" t="s">
        <v>284</v>
      </c>
      <c r="Z67" t="s">
        <v>50</v>
      </c>
      <c r="AA67" s="10">
        <f>IF(O67&lt;=1,7,7+0.8*ROUNDUP(O67-1,0))</f>
        <v>7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4"/>
        <v>0.42</v>
      </c>
      <c r="AG67" s="11">
        <f t="shared" si="5"/>
        <v>7.42</v>
      </c>
      <c r="AH67" t="s">
        <v>51</v>
      </c>
    </row>
    <row r="68" spans="1:34" ht="15" customHeight="1" x14ac:dyDescent="0.35">
      <c r="A68">
        <v>7547676</v>
      </c>
      <c r="B68">
        <v>690929</v>
      </c>
      <c r="C68" t="s">
        <v>34</v>
      </c>
      <c r="D68" t="s">
        <v>35</v>
      </c>
      <c r="E68" s="6" t="s">
        <v>34</v>
      </c>
      <c r="F68" t="s">
        <v>285</v>
      </c>
      <c r="G68" t="s">
        <v>37</v>
      </c>
      <c r="H68" t="s">
        <v>38</v>
      </c>
      <c r="I68" t="s">
        <v>286</v>
      </c>
      <c r="J68" t="s">
        <v>40</v>
      </c>
      <c r="K68">
        <v>2</v>
      </c>
      <c r="L68" t="s">
        <v>41</v>
      </c>
      <c r="M68" t="s">
        <v>42</v>
      </c>
      <c r="N68" t="s">
        <v>43</v>
      </c>
      <c r="O68" s="7">
        <v>1</v>
      </c>
      <c r="P68" s="8">
        <v>45365.728032407409</v>
      </c>
      <c r="Q68" s="9">
        <v>45367</v>
      </c>
      <c r="R68" t="s">
        <v>287</v>
      </c>
      <c r="S68" t="s">
        <v>45</v>
      </c>
      <c r="T68" t="s">
        <v>46</v>
      </c>
      <c r="U68" t="s">
        <v>67</v>
      </c>
      <c r="V68" t="s">
        <v>288</v>
      </c>
      <c r="W68">
        <v>56000</v>
      </c>
      <c r="X68" t="s">
        <v>45</v>
      </c>
      <c r="Y68" t="s">
        <v>79</v>
      </c>
      <c r="Z68" t="s">
        <v>50</v>
      </c>
      <c r="AA68" s="10">
        <f>IF(O68&lt;=1,7,7+0.8*ROUNDUP(O68-1,0))</f>
        <v>7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4"/>
        <v>0.42</v>
      </c>
      <c r="AG68" s="11">
        <f t="shared" si="5"/>
        <v>7.42</v>
      </c>
      <c r="AH68" t="s">
        <v>51</v>
      </c>
    </row>
    <row r="69" spans="1:34" ht="15" customHeight="1" x14ac:dyDescent="0.35">
      <c r="A69">
        <v>7547676</v>
      </c>
      <c r="B69">
        <v>690929</v>
      </c>
      <c r="C69" t="s">
        <v>34</v>
      </c>
      <c r="D69" t="s">
        <v>35</v>
      </c>
      <c r="E69" s="6" t="s">
        <v>34</v>
      </c>
      <c r="F69" t="s">
        <v>289</v>
      </c>
      <c r="G69" t="s">
        <v>37</v>
      </c>
      <c r="H69" t="s">
        <v>38</v>
      </c>
      <c r="I69" t="s">
        <v>290</v>
      </c>
      <c r="J69" t="s">
        <v>40</v>
      </c>
      <c r="K69">
        <v>2</v>
      </c>
      <c r="L69" t="s">
        <v>41</v>
      </c>
      <c r="M69" t="s">
        <v>42</v>
      </c>
      <c r="N69" t="s">
        <v>43</v>
      </c>
      <c r="O69" s="7">
        <v>1</v>
      </c>
      <c r="P69" s="8">
        <v>45365.63013888889</v>
      </c>
      <c r="Q69" s="9">
        <v>45367</v>
      </c>
      <c r="R69" t="s">
        <v>44</v>
      </c>
      <c r="S69" t="s">
        <v>45</v>
      </c>
      <c r="T69" t="s">
        <v>46</v>
      </c>
      <c r="U69" t="s">
        <v>172</v>
      </c>
      <c r="V69" t="s">
        <v>291</v>
      </c>
      <c r="W69">
        <v>34700</v>
      </c>
      <c r="X69" t="s">
        <v>45</v>
      </c>
      <c r="Y69" t="s">
        <v>79</v>
      </c>
      <c r="Z69" t="s">
        <v>50</v>
      </c>
      <c r="AA69" s="10">
        <f>IF(O69&lt;=1,7,7+0.8*ROUNDUP(O69-1,0))</f>
        <v>7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4"/>
        <v>0.42</v>
      </c>
      <c r="AG69" s="11">
        <f t="shared" si="5"/>
        <v>7.42</v>
      </c>
      <c r="AH69" t="s">
        <v>51</v>
      </c>
    </row>
    <row r="70" spans="1:34" ht="15" customHeight="1" x14ac:dyDescent="0.35">
      <c r="A70">
        <v>7547676</v>
      </c>
      <c r="B70">
        <v>690929</v>
      </c>
      <c r="C70" t="s">
        <v>34</v>
      </c>
      <c r="D70" t="s">
        <v>35</v>
      </c>
      <c r="E70" s="6" t="s">
        <v>34</v>
      </c>
      <c r="F70" t="s">
        <v>292</v>
      </c>
      <c r="G70" t="s">
        <v>37</v>
      </c>
      <c r="H70" t="s">
        <v>38</v>
      </c>
      <c r="I70" t="s">
        <v>293</v>
      </c>
      <c r="J70" t="s">
        <v>40</v>
      </c>
      <c r="K70">
        <v>2</v>
      </c>
      <c r="L70" t="s">
        <v>41</v>
      </c>
      <c r="M70" t="s">
        <v>42</v>
      </c>
      <c r="N70" t="s">
        <v>43</v>
      </c>
      <c r="O70" s="7">
        <v>3</v>
      </c>
      <c r="P70" s="8">
        <v>45365.558877314812</v>
      </c>
      <c r="Q70" s="9">
        <v>45367</v>
      </c>
      <c r="R70" t="s">
        <v>44</v>
      </c>
      <c r="S70" t="s">
        <v>45</v>
      </c>
      <c r="T70" t="s">
        <v>46</v>
      </c>
      <c r="U70" t="s">
        <v>134</v>
      </c>
      <c r="V70" t="s">
        <v>294</v>
      </c>
      <c r="W70">
        <v>8000</v>
      </c>
      <c r="X70" t="s">
        <v>45</v>
      </c>
      <c r="Y70" t="s">
        <v>180</v>
      </c>
      <c r="Z70" t="s">
        <v>50</v>
      </c>
      <c r="AA70" s="10">
        <f>IF(O70&lt;=1,7,7+0.8*ROUNDUP(O70-1,0))</f>
        <v>8.6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4"/>
        <v>0.51600000000000001</v>
      </c>
      <c r="AG70" s="11">
        <f t="shared" si="5"/>
        <v>9.1159999999999997</v>
      </c>
      <c r="AH70" t="s">
        <v>51</v>
      </c>
    </row>
    <row r="71" spans="1:34" ht="15" customHeight="1" x14ac:dyDescent="0.35">
      <c r="A71">
        <v>7547676</v>
      </c>
      <c r="B71">
        <v>690929</v>
      </c>
      <c r="C71" t="s">
        <v>34</v>
      </c>
      <c r="D71" t="s">
        <v>35</v>
      </c>
      <c r="E71" s="6" t="s">
        <v>34</v>
      </c>
      <c r="F71" t="s">
        <v>295</v>
      </c>
      <c r="G71" t="s">
        <v>37</v>
      </c>
      <c r="H71" t="s">
        <v>38</v>
      </c>
      <c r="I71" t="s">
        <v>296</v>
      </c>
      <c r="J71" t="s">
        <v>40</v>
      </c>
      <c r="K71">
        <v>2</v>
      </c>
      <c r="L71" t="s">
        <v>41</v>
      </c>
      <c r="M71" t="s">
        <v>42</v>
      </c>
      <c r="N71" t="s">
        <v>43</v>
      </c>
      <c r="O71" s="7">
        <v>1</v>
      </c>
      <c r="P71" s="8">
        <v>45365.71502314815</v>
      </c>
      <c r="Q71" s="9">
        <v>45367</v>
      </c>
      <c r="R71" t="s">
        <v>287</v>
      </c>
      <c r="S71" t="s">
        <v>45</v>
      </c>
      <c r="T71" t="s">
        <v>46</v>
      </c>
      <c r="U71" t="s">
        <v>99</v>
      </c>
      <c r="V71" t="s">
        <v>297</v>
      </c>
      <c r="W71">
        <v>17040</v>
      </c>
      <c r="X71" t="s">
        <v>45</v>
      </c>
      <c r="Y71" t="s">
        <v>156</v>
      </c>
      <c r="Z71" t="s">
        <v>50</v>
      </c>
      <c r="AA71" s="10">
        <f>IF(O71&lt;=1,7,7+0.8*ROUNDUP(O71-1,0))</f>
        <v>7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4"/>
        <v>0.42</v>
      </c>
      <c r="AG71" s="11">
        <f t="shared" si="5"/>
        <v>7.42</v>
      </c>
      <c r="AH71" t="s">
        <v>51</v>
      </c>
    </row>
    <row r="72" spans="1:34" ht="15" customHeight="1" x14ac:dyDescent="0.35">
      <c r="A72">
        <v>7547676</v>
      </c>
      <c r="B72">
        <v>690929</v>
      </c>
      <c r="C72" t="s">
        <v>34</v>
      </c>
      <c r="D72" t="s">
        <v>35</v>
      </c>
      <c r="E72" s="6" t="s">
        <v>34</v>
      </c>
      <c r="F72" t="s">
        <v>298</v>
      </c>
      <c r="G72" t="s">
        <v>37</v>
      </c>
      <c r="H72" t="s">
        <v>38</v>
      </c>
      <c r="I72" t="s">
        <v>299</v>
      </c>
      <c r="J72" t="s">
        <v>40</v>
      </c>
      <c r="K72">
        <v>2</v>
      </c>
      <c r="L72" t="s">
        <v>41</v>
      </c>
      <c r="M72" t="s">
        <v>42</v>
      </c>
      <c r="N72" t="s">
        <v>43</v>
      </c>
      <c r="O72" s="7">
        <v>1</v>
      </c>
      <c r="P72" s="8">
        <v>45365.471562500003</v>
      </c>
      <c r="Q72" s="9">
        <v>45367</v>
      </c>
      <c r="R72" t="s">
        <v>44</v>
      </c>
      <c r="S72" t="s">
        <v>45</v>
      </c>
      <c r="T72" t="s">
        <v>46</v>
      </c>
      <c r="U72" t="s">
        <v>82</v>
      </c>
      <c r="V72" t="s">
        <v>300</v>
      </c>
      <c r="W72">
        <v>81750</v>
      </c>
      <c r="X72" t="s">
        <v>45</v>
      </c>
      <c r="Y72" t="s">
        <v>301</v>
      </c>
      <c r="Z72" t="s">
        <v>50</v>
      </c>
      <c r="AA72" s="10">
        <f>IF(O72&lt;=1,7,7+0.8*ROUNDUP(O72-1,0))</f>
        <v>7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4"/>
        <v>0.42</v>
      </c>
      <c r="AG72" s="11">
        <f t="shared" si="5"/>
        <v>7.42</v>
      </c>
      <c r="AH72" t="s">
        <v>51</v>
      </c>
    </row>
    <row r="73" spans="1:34" ht="15" customHeight="1" x14ac:dyDescent="0.35">
      <c r="A73">
        <v>7547676</v>
      </c>
      <c r="B73">
        <v>690929</v>
      </c>
      <c r="C73" t="s">
        <v>34</v>
      </c>
      <c r="D73" t="s">
        <v>35</v>
      </c>
      <c r="E73" s="6" t="s">
        <v>34</v>
      </c>
      <c r="F73" t="s">
        <v>302</v>
      </c>
      <c r="G73" t="s">
        <v>37</v>
      </c>
      <c r="H73" t="s">
        <v>38</v>
      </c>
      <c r="I73" t="s">
        <v>303</v>
      </c>
      <c r="J73" t="s">
        <v>40</v>
      </c>
      <c r="K73">
        <v>2</v>
      </c>
      <c r="L73" t="s">
        <v>41</v>
      </c>
      <c r="M73" t="s">
        <v>42</v>
      </c>
      <c r="N73" t="s">
        <v>43</v>
      </c>
      <c r="O73" s="7">
        <v>1</v>
      </c>
      <c r="P73" s="8">
        <v>45365.521122685182</v>
      </c>
      <c r="Q73" s="9">
        <v>45367</v>
      </c>
      <c r="R73" t="s">
        <v>44</v>
      </c>
      <c r="S73" t="s">
        <v>45</v>
      </c>
      <c r="T73" t="s">
        <v>46</v>
      </c>
      <c r="U73" t="s">
        <v>278</v>
      </c>
      <c r="V73" t="s">
        <v>304</v>
      </c>
      <c r="W73">
        <v>14000</v>
      </c>
      <c r="X73" t="s">
        <v>45</v>
      </c>
      <c r="Y73" t="s">
        <v>305</v>
      </c>
      <c r="Z73" t="s">
        <v>50</v>
      </c>
      <c r="AA73" s="10">
        <f>IF(O73&lt;=1,7,7+0.8*ROUNDUP(O73-1,0))</f>
        <v>7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4"/>
        <v>0.42</v>
      </c>
      <c r="AG73" s="11">
        <f t="shared" si="5"/>
        <v>7.42</v>
      </c>
      <c r="AH73" t="s">
        <v>51</v>
      </c>
    </row>
    <row r="74" spans="1:34" ht="15" customHeight="1" x14ac:dyDescent="0.35">
      <c r="A74">
        <v>7547676</v>
      </c>
      <c r="B74">
        <v>690929</v>
      </c>
      <c r="C74" t="s">
        <v>34</v>
      </c>
      <c r="D74" t="s">
        <v>35</v>
      </c>
      <c r="E74" s="6" t="s">
        <v>34</v>
      </c>
      <c r="F74" t="s">
        <v>306</v>
      </c>
      <c r="G74" t="s">
        <v>37</v>
      </c>
      <c r="H74" t="s">
        <v>38</v>
      </c>
      <c r="I74" t="s">
        <v>307</v>
      </c>
      <c r="J74" t="s">
        <v>40</v>
      </c>
      <c r="K74">
        <v>2</v>
      </c>
      <c r="L74" t="s">
        <v>41</v>
      </c>
      <c r="M74" t="s">
        <v>42</v>
      </c>
      <c r="N74" t="s">
        <v>43</v>
      </c>
      <c r="O74" s="7">
        <v>1</v>
      </c>
      <c r="P74" s="8">
        <v>45365.504571759258</v>
      </c>
      <c r="Q74" s="9">
        <v>45367</v>
      </c>
      <c r="R74" t="s">
        <v>44</v>
      </c>
      <c r="S74" t="s">
        <v>45</v>
      </c>
      <c r="T74" t="s">
        <v>46</v>
      </c>
      <c r="U74" t="s">
        <v>82</v>
      </c>
      <c r="V74" t="s">
        <v>308</v>
      </c>
      <c r="W74">
        <v>81300</v>
      </c>
      <c r="X74" t="s">
        <v>45</v>
      </c>
      <c r="Y74" t="s">
        <v>309</v>
      </c>
      <c r="Z74" t="s">
        <v>50</v>
      </c>
      <c r="AA74" s="10">
        <f>IF(O74&lt;=1,7,7+0.8*ROUNDUP(O74-1,0))</f>
        <v>7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4"/>
        <v>0.42</v>
      </c>
      <c r="AG74" s="11">
        <f t="shared" si="5"/>
        <v>7.42</v>
      </c>
      <c r="AH74" t="s">
        <v>51</v>
      </c>
    </row>
    <row r="75" spans="1:34" ht="15" customHeight="1" x14ac:dyDescent="0.35">
      <c r="A75">
        <v>7547676</v>
      </c>
      <c r="B75">
        <v>690929</v>
      </c>
      <c r="C75" t="s">
        <v>34</v>
      </c>
      <c r="D75" t="s">
        <v>35</v>
      </c>
      <c r="E75" s="6" t="s">
        <v>34</v>
      </c>
      <c r="F75" t="s">
        <v>310</v>
      </c>
      <c r="G75" t="s">
        <v>37</v>
      </c>
      <c r="H75" t="s">
        <v>38</v>
      </c>
      <c r="I75" t="s">
        <v>311</v>
      </c>
      <c r="J75" t="s">
        <v>40</v>
      </c>
      <c r="K75">
        <v>2</v>
      </c>
      <c r="L75" t="s">
        <v>41</v>
      </c>
      <c r="M75" t="s">
        <v>42</v>
      </c>
      <c r="N75" t="s">
        <v>43</v>
      </c>
      <c r="O75" s="7">
        <v>1</v>
      </c>
      <c r="P75" s="8">
        <v>45365.721759259257</v>
      </c>
      <c r="Q75" s="9">
        <v>45367</v>
      </c>
      <c r="R75" t="s">
        <v>287</v>
      </c>
      <c r="S75" t="s">
        <v>45</v>
      </c>
      <c r="T75" t="s">
        <v>46</v>
      </c>
      <c r="U75" t="s">
        <v>54</v>
      </c>
      <c r="V75" t="s">
        <v>312</v>
      </c>
      <c r="W75">
        <v>43000</v>
      </c>
      <c r="X75" t="s">
        <v>45</v>
      </c>
      <c r="Y75" t="s">
        <v>284</v>
      </c>
      <c r="Z75" t="s">
        <v>50</v>
      </c>
      <c r="AA75" s="10">
        <f>IF(O75&lt;=1,7,7+0.8*ROUNDUP(O75-1,0))</f>
        <v>7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4"/>
        <v>0.42</v>
      </c>
      <c r="AG75" s="11">
        <f t="shared" si="5"/>
        <v>7.42</v>
      </c>
      <c r="AH75" t="s">
        <v>51</v>
      </c>
    </row>
    <row r="76" spans="1:34" ht="15" customHeight="1" x14ac:dyDescent="0.35">
      <c r="A76">
        <v>7547676</v>
      </c>
      <c r="B76">
        <v>690929</v>
      </c>
      <c r="C76" t="s">
        <v>34</v>
      </c>
      <c r="D76" t="s">
        <v>35</v>
      </c>
      <c r="E76" s="6" t="s">
        <v>34</v>
      </c>
      <c r="F76" t="s">
        <v>313</v>
      </c>
      <c r="G76" t="s">
        <v>37</v>
      </c>
      <c r="H76" t="s">
        <v>38</v>
      </c>
      <c r="I76" t="s">
        <v>314</v>
      </c>
      <c r="J76" t="s">
        <v>40</v>
      </c>
      <c r="K76">
        <v>2</v>
      </c>
      <c r="L76" t="s">
        <v>41</v>
      </c>
      <c r="M76" t="s">
        <v>42</v>
      </c>
      <c r="N76" t="s">
        <v>43</v>
      </c>
      <c r="O76" s="7">
        <v>9</v>
      </c>
      <c r="P76" s="8">
        <v>45365.548078703701</v>
      </c>
      <c r="Q76" s="9">
        <v>45367</v>
      </c>
      <c r="R76" t="s">
        <v>44</v>
      </c>
      <c r="S76" t="s">
        <v>45</v>
      </c>
      <c r="T76" t="s">
        <v>46</v>
      </c>
      <c r="U76" t="s">
        <v>54</v>
      </c>
      <c r="V76" t="s">
        <v>315</v>
      </c>
      <c r="W76">
        <v>42000</v>
      </c>
      <c r="X76" t="s">
        <v>45</v>
      </c>
      <c r="Y76" t="s">
        <v>316</v>
      </c>
      <c r="Z76" t="s">
        <v>50</v>
      </c>
      <c r="AA76" s="10">
        <f>IF(O76&lt;=1,7,7+0.8*ROUNDUP(O76-1,0))</f>
        <v>13.4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4"/>
        <v>0.80399999999999994</v>
      </c>
      <c r="AG76" s="11">
        <f t="shared" si="5"/>
        <v>14.204000000000001</v>
      </c>
      <c r="AH76" t="s">
        <v>51</v>
      </c>
    </row>
    <row r="77" spans="1:34" ht="15" customHeight="1" x14ac:dyDescent="0.35">
      <c r="A77">
        <v>7547676</v>
      </c>
      <c r="B77">
        <v>690929</v>
      </c>
      <c r="C77" t="s">
        <v>34</v>
      </c>
      <c r="D77" t="s">
        <v>35</v>
      </c>
      <c r="E77" s="6" t="s">
        <v>34</v>
      </c>
      <c r="F77" t="s">
        <v>317</v>
      </c>
      <c r="G77" t="s">
        <v>37</v>
      </c>
      <c r="H77" t="s">
        <v>38</v>
      </c>
      <c r="I77" t="s">
        <v>314</v>
      </c>
      <c r="J77" t="s">
        <v>40</v>
      </c>
      <c r="K77">
        <v>2</v>
      </c>
      <c r="L77" t="s">
        <v>41</v>
      </c>
      <c r="M77" t="s">
        <v>42</v>
      </c>
      <c r="N77" t="s">
        <v>43</v>
      </c>
      <c r="O77" s="7">
        <v>14</v>
      </c>
      <c r="P77" s="8">
        <v>45365.548078703701</v>
      </c>
      <c r="Q77" s="9">
        <v>45367</v>
      </c>
      <c r="R77" t="s">
        <v>44</v>
      </c>
      <c r="S77" t="s">
        <v>45</v>
      </c>
      <c r="T77" t="s">
        <v>46</v>
      </c>
      <c r="U77" t="s">
        <v>54</v>
      </c>
      <c r="V77" t="s">
        <v>315</v>
      </c>
      <c r="W77">
        <v>42000</v>
      </c>
      <c r="X77" t="s">
        <v>45</v>
      </c>
      <c r="Y77" t="s">
        <v>316</v>
      </c>
      <c r="Z77" t="s">
        <v>50</v>
      </c>
      <c r="AA77" s="10">
        <f>IF(O77&lt;=1,7,7+0.8*ROUNDUP(O77-1,0))</f>
        <v>17.399999999999999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4"/>
        <v>1.0439999999999998</v>
      </c>
      <c r="AG77" s="11">
        <f t="shared" si="5"/>
        <v>18.443999999999999</v>
      </c>
      <c r="AH77" t="s">
        <v>51</v>
      </c>
    </row>
    <row r="78" spans="1:34" ht="15" customHeight="1" x14ac:dyDescent="0.35">
      <c r="A78">
        <v>7547676</v>
      </c>
      <c r="B78">
        <v>690929</v>
      </c>
      <c r="C78" t="s">
        <v>34</v>
      </c>
      <c r="D78" t="s">
        <v>35</v>
      </c>
      <c r="E78" s="6" t="s">
        <v>34</v>
      </c>
      <c r="F78" t="s">
        <v>318</v>
      </c>
      <c r="G78" t="s">
        <v>37</v>
      </c>
      <c r="H78" t="s">
        <v>38</v>
      </c>
      <c r="I78" t="s">
        <v>319</v>
      </c>
      <c r="J78" t="s">
        <v>40</v>
      </c>
      <c r="K78">
        <v>2</v>
      </c>
      <c r="L78" t="s">
        <v>41</v>
      </c>
      <c r="M78" t="s">
        <v>42</v>
      </c>
      <c r="N78" t="s">
        <v>43</v>
      </c>
      <c r="O78" s="7">
        <v>1</v>
      </c>
      <c r="P78" s="8">
        <v>45363.457858796297</v>
      </c>
      <c r="Q78" s="9">
        <v>45367</v>
      </c>
      <c r="R78" t="s">
        <v>44</v>
      </c>
      <c r="S78" t="s">
        <v>45</v>
      </c>
      <c r="T78" t="s">
        <v>46</v>
      </c>
      <c r="U78" t="s">
        <v>82</v>
      </c>
      <c r="V78" t="s">
        <v>320</v>
      </c>
      <c r="W78">
        <v>81100</v>
      </c>
      <c r="X78" t="s">
        <v>45</v>
      </c>
      <c r="Y78" t="s">
        <v>321</v>
      </c>
      <c r="Z78" t="s">
        <v>50</v>
      </c>
      <c r="AA78" s="10">
        <f>IF(O78&lt;=1,7,7+0.8*ROUNDUP(O78-1,0))</f>
        <v>7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4"/>
        <v>0.42</v>
      </c>
      <c r="AG78" s="11">
        <f t="shared" si="5"/>
        <v>7.42</v>
      </c>
      <c r="AH78" t="s">
        <v>51</v>
      </c>
    </row>
    <row r="79" spans="1:34" ht="15" customHeight="1" x14ac:dyDescent="0.35">
      <c r="A79">
        <v>7547676</v>
      </c>
      <c r="B79">
        <v>690929</v>
      </c>
      <c r="C79" t="s">
        <v>34</v>
      </c>
      <c r="D79" t="s">
        <v>35</v>
      </c>
      <c r="E79" s="6" t="s">
        <v>34</v>
      </c>
      <c r="F79" t="s">
        <v>322</v>
      </c>
      <c r="G79" t="s">
        <v>37</v>
      </c>
      <c r="H79" t="s">
        <v>38</v>
      </c>
      <c r="I79" t="s">
        <v>323</v>
      </c>
      <c r="J79" t="s">
        <v>40</v>
      </c>
      <c r="K79">
        <v>2</v>
      </c>
      <c r="L79" t="s">
        <v>41</v>
      </c>
      <c r="M79" t="s">
        <v>42</v>
      </c>
      <c r="N79" t="s">
        <v>43</v>
      </c>
      <c r="O79" s="7">
        <v>6</v>
      </c>
      <c r="P79" s="8">
        <v>45365.548078703701</v>
      </c>
      <c r="Q79" s="9">
        <v>45367</v>
      </c>
      <c r="R79" t="s">
        <v>44</v>
      </c>
      <c r="S79" t="s">
        <v>45</v>
      </c>
      <c r="T79" t="s">
        <v>46</v>
      </c>
      <c r="U79" t="s">
        <v>54</v>
      </c>
      <c r="V79" t="s">
        <v>324</v>
      </c>
      <c r="W79">
        <v>40150</v>
      </c>
      <c r="X79" t="s">
        <v>45</v>
      </c>
      <c r="Y79" t="s">
        <v>325</v>
      </c>
      <c r="Z79" t="s">
        <v>50</v>
      </c>
      <c r="AA79" s="10">
        <f>IF(O79&lt;=1,7,7+0.8*ROUNDUP(O79-1,0))</f>
        <v>11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4"/>
        <v>0.65999999999999992</v>
      </c>
      <c r="AG79" s="11">
        <f t="shared" si="5"/>
        <v>11.66</v>
      </c>
      <c r="AH79" t="s">
        <v>51</v>
      </c>
    </row>
    <row r="80" spans="1:34" ht="15" customHeight="1" x14ac:dyDescent="0.35">
      <c r="A80">
        <v>7547676</v>
      </c>
      <c r="B80">
        <v>690929</v>
      </c>
      <c r="C80" t="s">
        <v>34</v>
      </c>
      <c r="D80" t="s">
        <v>35</v>
      </c>
      <c r="E80" s="6" t="s">
        <v>34</v>
      </c>
      <c r="F80" t="s">
        <v>326</v>
      </c>
      <c r="G80" t="s">
        <v>37</v>
      </c>
      <c r="H80" t="s">
        <v>38</v>
      </c>
      <c r="I80" t="s">
        <v>252</v>
      </c>
      <c r="J80" t="s">
        <v>40</v>
      </c>
      <c r="K80">
        <v>2</v>
      </c>
      <c r="L80" t="s">
        <v>41</v>
      </c>
      <c r="M80" t="s">
        <v>42</v>
      </c>
      <c r="N80" t="s">
        <v>43</v>
      </c>
      <c r="O80" s="7">
        <v>14</v>
      </c>
      <c r="P80" s="8">
        <v>45365.548078703701</v>
      </c>
      <c r="Q80" s="9">
        <v>45367</v>
      </c>
      <c r="R80" t="s">
        <v>44</v>
      </c>
      <c r="S80" t="s">
        <v>45</v>
      </c>
      <c r="T80" t="s">
        <v>46</v>
      </c>
      <c r="U80" t="s">
        <v>82</v>
      </c>
      <c r="V80" t="s">
        <v>253</v>
      </c>
      <c r="W80">
        <v>81100</v>
      </c>
      <c r="X80" t="s">
        <v>45</v>
      </c>
      <c r="Y80" t="s">
        <v>327</v>
      </c>
      <c r="Z80" t="s">
        <v>50</v>
      </c>
      <c r="AA80" s="10">
        <f>IF(O80&lt;=1,7,7+0.8*ROUNDUP(O80-1,0))</f>
        <v>17.399999999999999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4"/>
        <v>1.0439999999999998</v>
      </c>
      <c r="AG80" s="11">
        <f t="shared" si="5"/>
        <v>18.443999999999999</v>
      </c>
      <c r="AH80" t="s">
        <v>51</v>
      </c>
    </row>
    <row r="81" spans="1:34" ht="15" customHeight="1" x14ac:dyDescent="0.35">
      <c r="A81">
        <v>7547676</v>
      </c>
      <c r="B81">
        <v>690929</v>
      </c>
      <c r="C81" t="s">
        <v>34</v>
      </c>
      <c r="D81" t="s">
        <v>35</v>
      </c>
      <c r="E81" s="6" t="s">
        <v>34</v>
      </c>
      <c r="F81" t="s">
        <v>328</v>
      </c>
      <c r="G81" t="s">
        <v>37</v>
      </c>
      <c r="H81" t="s">
        <v>38</v>
      </c>
      <c r="I81" t="s">
        <v>329</v>
      </c>
      <c r="J81" t="s">
        <v>40</v>
      </c>
      <c r="K81">
        <v>2</v>
      </c>
      <c r="L81" t="s">
        <v>41</v>
      </c>
      <c r="M81" t="s">
        <v>42</v>
      </c>
      <c r="N81" t="s">
        <v>43</v>
      </c>
      <c r="O81" s="7">
        <v>2</v>
      </c>
      <c r="P81" s="8">
        <v>45365.749722222223</v>
      </c>
      <c r="Q81" s="9">
        <v>45367</v>
      </c>
      <c r="R81" t="s">
        <v>287</v>
      </c>
      <c r="S81" t="s">
        <v>45</v>
      </c>
      <c r="T81" t="s">
        <v>46</v>
      </c>
      <c r="U81" t="s">
        <v>54</v>
      </c>
      <c r="V81" t="s">
        <v>330</v>
      </c>
      <c r="W81">
        <v>68000</v>
      </c>
      <c r="X81" t="s">
        <v>45</v>
      </c>
      <c r="Y81" t="s">
        <v>331</v>
      </c>
      <c r="Z81" t="s">
        <v>50</v>
      </c>
      <c r="AA81" s="10">
        <f>IF(O81&lt;=1,7,7+0.8*ROUNDUP(O81-1,0))</f>
        <v>7.8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4"/>
        <v>0.46799999999999997</v>
      </c>
      <c r="AG81" s="11">
        <f t="shared" si="5"/>
        <v>8.2680000000000007</v>
      </c>
      <c r="AH81" t="s">
        <v>51</v>
      </c>
    </row>
    <row r="82" spans="1:34" ht="15" customHeight="1" x14ac:dyDescent="0.35">
      <c r="A82">
        <v>7547676</v>
      </c>
      <c r="B82">
        <v>690929</v>
      </c>
      <c r="C82" t="s">
        <v>34</v>
      </c>
      <c r="D82" t="s">
        <v>35</v>
      </c>
      <c r="E82" s="6" t="s">
        <v>34</v>
      </c>
      <c r="F82" t="s">
        <v>332</v>
      </c>
      <c r="G82" t="s">
        <v>37</v>
      </c>
      <c r="H82" t="s">
        <v>38</v>
      </c>
      <c r="I82" t="s">
        <v>333</v>
      </c>
      <c r="J82" t="s">
        <v>40</v>
      </c>
      <c r="K82">
        <v>2</v>
      </c>
      <c r="L82" t="s">
        <v>41</v>
      </c>
      <c r="M82" t="s">
        <v>42</v>
      </c>
      <c r="N82" t="s">
        <v>43</v>
      </c>
      <c r="O82" s="7">
        <v>5</v>
      </c>
      <c r="P82" s="8">
        <v>45365.548078703701</v>
      </c>
      <c r="Q82" s="9">
        <v>45367</v>
      </c>
      <c r="R82" t="s">
        <v>44</v>
      </c>
      <c r="S82" t="s">
        <v>45</v>
      </c>
      <c r="T82" t="s">
        <v>46</v>
      </c>
      <c r="U82" t="s">
        <v>77</v>
      </c>
      <c r="V82" t="s">
        <v>334</v>
      </c>
      <c r="W82">
        <v>75250</v>
      </c>
      <c r="X82" t="s">
        <v>45</v>
      </c>
      <c r="Y82" t="s">
        <v>335</v>
      </c>
      <c r="Z82" t="s">
        <v>50</v>
      </c>
      <c r="AA82" s="10">
        <f>IF(O82&lt;=1,7,7+0.8*ROUNDUP(O82-1,0))</f>
        <v>10.199999999999999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4"/>
        <v>0.61199999999999999</v>
      </c>
      <c r="AG82" s="11">
        <f t="shared" si="5"/>
        <v>10.811999999999999</v>
      </c>
      <c r="AH82" t="s">
        <v>51</v>
      </c>
    </row>
    <row r="83" spans="1:34" ht="15" customHeight="1" x14ac:dyDescent="0.35">
      <c r="A83">
        <v>7547676</v>
      </c>
      <c r="B83">
        <v>690929</v>
      </c>
      <c r="C83" t="s">
        <v>34</v>
      </c>
      <c r="D83" t="s">
        <v>35</v>
      </c>
      <c r="E83" s="6" t="s">
        <v>34</v>
      </c>
      <c r="F83" t="s">
        <v>336</v>
      </c>
      <c r="G83" t="s">
        <v>37</v>
      </c>
      <c r="H83" t="s">
        <v>38</v>
      </c>
      <c r="I83" t="s">
        <v>337</v>
      </c>
      <c r="J83" t="s">
        <v>40</v>
      </c>
      <c r="K83">
        <v>2</v>
      </c>
      <c r="L83" t="s">
        <v>41</v>
      </c>
      <c r="M83" t="s">
        <v>42</v>
      </c>
      <c r="N83" t="s">
        <v>43</v>
      </c>
      <c r="O83" s="7">
        <v>5</v>
      </c>
      <c r="P83" s="8">
        <v>45365.434942129628</v>
      </c>
      <c r="Q83" s="9">
        <v>45367</v>
      </c>
      <c r="R83" t="s">
        <v>44</v>
      </c>
      <c r="S83" t="s">
        <v>45</v>
      </c>
      <c r="T83" t="s">
        <v>46</v>
      </c>
      <c r="U83" t="s">
        <v>172</v>
      </c>
      <c r="V83" t="s">
        <v>338</v>
      </c>
      <c r="W83">
        <v>34900</v>
      </c>
      <c r="X83" t="s">
        <v>45</v>
      </c>
      <c r="Y83" t="s">
        <v>174</v>
      </c>
      <c r="Z83" t="s">
        <v>50</v>
      </c>
      <c r="AA83" s="10">
        <f>IF(O83&lt;=1,7,7+0.8*ROUNDUP(O83-1,0))</f>
        <v>10.199999999999999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4"/>
        <v>0.61199999999999999</v>
      </c>
      <c r="AG83" s="11">
        <f t="shared" si="5"/>
        <v>10.811999999999999</v>
      </c>
      <c r="AH83" t="s">
        <v>51</v>
      </c>
    </row>
    <row r="84" spans="1:34" ht="15" customHeight="1" x14ac:dyDescent="0.35">
      <c r="A84">
        <v>7547676</v>
      </c>
      <c r="B84">
        <v>690929</v>
      </c>
      <c r="C84" t="s">
        <v>34</v>
      </c>
      <c r="D84" t="s">
        <v>35</v>
      </c>
      <c r="E84" s="6" t="s">
        <v>34</v>
      </c>
      <c r="F84" t="s">
        <v>339</v>
      </c>
      <c r="G84" t="s">
        <v>37</v>
      </c>
      <c r="H84" t="s">
        <v>38</v>
      </c>
      <c r="I84" t="s">
        <v>340</v>
      </c>
      <c r="J84" t="s">
        <v>40</v>
      </c>
      <c r="K84">
        <v>2</v>
      </c>
      <c r="L84" t="s">
        <v>41</v>
      </c>
      <c r="M84" t="s">
        <v>42</v>
      </c>
      <c r="N84" t="s">
        <v>43</v>
      </c>
      <c r="O84" s="7">
        <v>1</v>
      </c>
      <c r="P84" s="8">
        <v>45366.509305555555</v>
      </c>
      <c r="Q84" s="9">
        <v>45367</v>
      </c>
      <c r="R84" t="s">
        <v>287</v>
      </c>
      <c r="S84" t="s">
        <v>45</v>
      </c>
      <c r="T84" t="s">
        <v>46</v>
      </c>
      <c r="U84" t="s">
        <v>278</v>
      </c>
      <c r="V84" t="s">
        <v>341</v>
      </c>
      <c r="W84">
        <v>11000</v>
      </c>
      <c r="X84" t="s">
        <v>45</v>
      </c>
      <c r="Y84" t="s">
        <v>342</v>
      </c>
      <c r="Z84" t="s">
        <v>50</v>
      </c>
      <c r="AA84" s="10">
        <f>IF(O84&lt;=1,7,7+0.8*ROUNDUP(O84-1,0))</f>
        <v>7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4"/>
        <v>0.42</v>
      </c>
      <c r="AG84" s="11">
        <f t="shared" si="5"/>
        <v>7.42</v>
      </c>
      <c r="AH84" t="s">
        <v>51</v>
      </c>
    </row>
    <row r="85" spans="1:34" ht="15" customHeight="1" x14ac:dyDescent="0.35">
      <c r="A85">
        <v>7547676</v>
      </c>
      <c r="B85">
        <v>690929</v>
      </c>
      <c r="C85" t="s">
        <v>34</v>
      </c>
      <c r="D85" t="s">
        <v>35</v>
      </c>
      <c r="E85" s="6" t="s">
        <v>34</v>
      </c>
      <c r="F85" t="s">
        <v>343</v>
      </c>
      <c r="G85" t="s">
        <v>37</v>
      </c>
      <c r="H85" t="s">
        <v>38</v>
      </c>
      <c r="I85" t="s">
        <v>344</v>
      </c>
      <c r="J85" t="s">
        <v>40</v>
      </c>
      <c r="K85">
        <v>2</v>
      </c>
      <c r="L85" t="s">
        <v>41</v>
      </c>
      <c r="M85" t="s">
        <v>42</v>
      </c>
      <c r="N85" t="s">
        <v>43</v>
      </c>
      <c r="O85" s="7">
        <v>1</v>
      </c>
      <c r="P85" s="8">
        <v>45367.593252314815</v>
      </c>
      <c r="Q85" s="9">
        <v>45368</v>
      </c>
      <c r="R85" t="s">
        <v>44</v>
      </c>
      <c r="S85" t="s">
        <v>45</v>
      </c>
      <c r="T85" t="s">
        <v>46</v>
      </c>
      <c r="U85" t="s">
        <v>345</v>
      </c>
      <c r="V85" t="s">
        <v>346</v>
      </c>
      <c r="W85">
        <v>43800</v>
      </c>
      <c r="X85" t="s">
        <v>45</v>
      </c>
      <c r="Y85" t="s">
        <v>347</v>
      </c>
      <c r="Z85" t="s">
        <v>50</v>
      </c>
      <c r="AA85" s="10">
        <f>IF(O85&lt;=1,7,7+0.8*ROUNDUP(O85-1,0))</f>
        <v>7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4"/>
        <v>0.42</v>
      </c>
      <c r="AG85" s="11">
        <f t="shared" si="5"/>
        <v>7.42</v>
      </c>
      <c r="AH85" t="s">
        <v>51</v>
      </c>
    </row>
    <row r="86" spans="1:34" ht="15" customHeight="1" x14ac:dyDescent="0.35">
      <c r="A86">
        <v>7547676</v>
      </c>
      <c r="B86">
        <v>690929</v>
      </c>
      <c r="C86" t="s">
        <v>34</v>
      </c>
      <c r="D86" t="s">
        <v>35</v>
      </c>
      <c r="E86" s="6" t="s">
        <v>34</v>
      </c>
      <c r="F86" t="s">
        <v>348</v>
      </c>
      <c r="G86" t="s">
        <v>37</v>
      </c>
      <c r="H86" t="s">
        <v>38</v>
      </c>
      <c r="I86" t="s">
        <v>349</v>
      </c>
      <c r="J86" t="s">
        <v>40</v>
      </c>
      <c r="K86">
        <v>2</v>
      </c>
      <c r="L86" t="s">
        <v>41</v>
      </c>
      <c r="M86" t="s">
        <v>42</v>
      </c>
      <c r="N86" t="s">
        <v>43</v>
      </c>
      <c r="O86" s="7">
        <v>7</v>
      </c>
      <c r="P86" s="8">
        <v>45367.439201388886</v>
      </c>
      <c r="Q86" s="9">
        <v>45368</v>
      </c>
      <c r="R86" t="s">
        <v>44</v>
      </c>
      <c r="S86" t="s">
        <v>45</v>
      </c>
      <c r="T86" t="s">
        <v>46</v>
      </c>
      <c r="U86" t="s">
        <v>190</v>
      </c>
      <c r="V86" t="s">
        <v>350</v>
      </c>
      <c r="W86">
        <v>28100</v>
      </c>
      <c r="X86" t="s">
        <v>45</v>
      </c>
      <c r="Y86" t="s">
        <v>351</v>
      </c>
      <c r="Z86" t="s">
        <v>50</v>
      </c>
      <c r="AA86" s="10">
        <f>IF(O86&lt;=1,7,7+0.8*ROUNDUP(O86-1,0))</f>
        <v>11.8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4"/>
        <v>0.70799999999999996</v>
      </c>
      <c r="AG86" s="11">
        <f t="shared" si="5"/>
        <v>12.508000000000001</v>
      </c>
      <c r="AH86" t="s">
        <v>51</v>
      </c>
    </row>
    <row r="87" spans="1:34" ht="15" customHeight="1" x14ac:dyDescent="0.35">
      <c r="A87">
        <v>7547676</v>
      </c>
      <c r="B87">
        <v>690929</v>
      </c>
      <c r="C87" t="s">
        <v>34</v>
      </c>
      <c r="D87" t="s">
        <v>35</v>
      </c>
      <c r="E87" s="6" t="s">
        <v>34</v>
      </c>
      <c r="F87" t="s">
        <v>352</v>
      </c>
      <c r="G87" t="s">
        <v>37</v>
      </c>
      <c r="H87" t="s">
        <v>38</v>
      </c>
      <c r="I87" t="s">
        <v>353</v>
      </c>
      <c r="J87" t="s">
        <v>40</v>
      </c>
      <c r="K87">
        <v>2</v>
      </c>
      <c r="L87" t="s">
        <v>41</v>
      </c>
      <c r="M87" t="s">
        <v>42</v>
      </c>
      <c r="N87" t="s">
        <v>43</v>
      </c>
      <c r="O87" s="7">
        <v>1</v>
      </c>
      <c r="P87" s="8">
        <v>45365.721759259257</v>
      </c>
      <c r="Q87" s="9">
        <v>45368</v>
      </c>
      <c r="R87" t="s">
        <v>287</v>
      </c>
      <c r="S87" t="s">
        <v>45</v>
      </c>
      <c r="T87" t="s">
        <v>46</v>
      </c>
      <c r="U87" t="s">
        <v>103</v>
      </c>
      <c r="V87" t="s">
        <v>354</v>
      </c>
      <c r="W87">
        <v>1000</v>
      </c>
      <c r="X87" t="s">
        <v>45</v>
      </c>
      <c r="Y87" t="s">
        <v>105</v>
      </c>
      <c r="Z87" t="s">
        <v>50</v>
      </c>
      <c r="AA87" s="10">
        <f>IF(O87&lt;=1,7,7+0.8*ROUNDUP(O87-1,0))</f>
        <v>7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4"/>
        <v>0.42</v>
      </c>
      <c r="AG87" s="11">
        <f t="shared" si="5"/>
        <v>7.42</v>
      </c>
      <c r="AH87" t="s">
        <v>51</v>
      </c>
    </row>
    <row r="88" spans="1:34" ht="15" customHeight="1" x14ac:dyDescent="0.35">
      <c r="A88">
        <v>7547676</v>
      </c>
      <c r="B88">
        <v>690929</v>
      </c>
      <c r="C88" t="s">
        <v>34</v>
      </c>
      <c r="D88" t="s">
        <v>35</v>
      </c>
      <c r="E88" s="6" t="s">
        <v>34</v>
      </c>
      <c r="F88" t="s">
        <v>355</v>
      </c>
      <c r="G88" t="s">
        <v>37</v>
      </c>
      <c r="H88" t="s">
        <v>38</v>
      </c>
      <c r="I88" t="s">
        <v>356</v>
      </c>
      <c r="J88" t="s">
        <v>40</v>
      </c>
      <c r="K88">
        <v>2</v>
      </c>
      <c r="L88" t="s">
        <v>41</v>
      </c>
      <c r="M88" t="s">
        <v>42</v>
      </c>
      <c r="N88" t="s">
        <v>43</v>
      </c>
      <c r="O88" s="7">
        <v>5</v>
      </c>
      <c r="P88" s="8">
        <v>45367.723275462966</v>
      </c>
      <c r="Q88" s="9">
        <v>45368</v>
      </c>
      <c r="R88" t="s">
        <v>44</v>
      </c>
      <c r="S88" t="s">
        <v>45</v>
      </c>
      <c r="T88" t="s">
        <v>46</v>
      </c>
      <c r="U88" t="s">
        <v>47</v>
      </c>
      <c r="V88" t="s">
        <v>357</v>
      </c>
      <c r="W88">
        <v>22100</v>
      </c>
      <c r="X88" t="s">
        <v>45</v>
      </c>
      <c r="Y88" t="s">
        <v>358</v>
      </c>
      <c r="Z88" t="s">
        <v>50</v>
      </c>
      <c r="AA88" s="10">
        <f>IF(O88&lt;=1,7,7+0.8*ROUNDUP(O88-1,0))</f>
        <v>10.199999999999999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4"/>
        <v>0.61199999999999999</v>
      </c>
      <c r="AG88" s="11">
        <f t="shared" si="5"/>
        <v>10.811999999999999</v>
      </c>
      <c r="AH88" t="s">
        <v>51</v>
      </c>
    </row>
    <row r="89" spans="1:34" ht="15" customHeight="1" x14ac:dyDescent="0.35">
      <c r="A89">
        <v>7547676</v>
      </c>
      <c r="B89">
        <v>690929</v>
      </c>
      <c r="C89" t="s">
        <v>34</v>
      </c>
      <c r="D89" t="s">
        <v>35</v>
      </c>
      <c r="E89" s="6" t="s">
        <v>34</v>
      </c>
      <c r="F89" t="s">
        <v>359</v>
      </c>
      <c r="G89" t="s">
        <v>37</v>
      </c>
      <c r="H89" t="s">
        <v>38</v>
      </c>
      <c r="I89" t="s">
        <v>360</v>
      </c>
      <c r="J89" t="s">
        <v>40</v>
      </c>
      <c r="K89">
        <v>2</v>
      </c>
      <c r="L89" t="s">
        <v>41</v>
      </c>
      <c r="M89" t="s">
        <v>42</v>
      </c>
      <c r="N89" t="s">
        <v>43</v>
      </c>
      <c r="O89" s="7">
        <v>1</v>
      </c>
      <c r="P89" s="8">
        <v>45367.550844907404</v>
      </c>
      <c r="Q89" s="9">
        <v>45368</v>
      </c>
      <c r="R89" t="s">
        <v>44</v>
      </c>
      <c r="S89" t="s">
        <v>45</v>
      </c>
      <c r="T89" t="s">
        <v>46</v>
      </c>
      <c r="U89" t="s">
        <v>190</v>
      </c>
      <c r="V89" t="s">
        <v>361</v>
      </c>
      <c r="W89">
        <v>27200</v>
      </c>
      <c r="X89" t="s">
        <v>45</v>
      </c>
      <c r="Y89" t="s">
        <v>362</v>
      </c>
      <c r="Z89" t="s">
        <v>50</v>
      </c>
      <c r="AA89" s="10">
        <f>IF(O89&lt;=1,7,7+0.8*ROUNDUP(O89-1,0))</f>
        <v>7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4"/>
        <v>0.42</v>
      </c>
      <c r="AG89" s="11">
        <f t="shared" si="5"/>
        <v>7.42</v>
      </c>
      <c r="AH89" t="s">
        <v>51</v>
      </c>
    </row>
    <row r="90" spans="1:34" ht="15" customHeight="1" x14ac:dyDescent="0.35">
      <c r="A90">
        <v>7547676</v>
      </c>
      <c r="B90">
        <v>690929</v>
      </c>
      <c r="C90" t="s">
        <v>34</v>
      </c>
      <c r="D90" t="s">
        <v>35</v>
      </c>
      <c r="E90" s="6" t="s">
        <v>34</v>
      </c>
      <c r="F90" t="s">
        <v>363</v>
      </c>
      <c r="G90" t="s">
        <v>37</v>
      </c>
      <c r="H90" t="s">
        <v>38</v>
      </c>
      <c r="I90" t="s">
        <v>364</v>
      </c>
      <c r="J90" t="s">
        <v>40</v>
      </c>
      <c r="K90">
        <v>2</v>
      </c>
      <c r="L90" t="s">
        <v>41</v>
      </c>
      <c r="M90" t="s">
        <v>42</v>
      </c>
      <c r="N90" t="s">
        <v>43</v>
      </c>
      <c r="O90" s="7">
        <v>1</v>
      </c>
      <c r="P90" s="8">
        <v>45367.550844907404</v>
      </c>
      <c r="Q90" s="9">
        <v>45368</v>
      </c>
      <c r="R90" t="s">
        <v>44</v>
      </c>
      <c r="S90" t="s">
        <v>45</v>
      </c>
      <c r="T90" t="s">
        <v>46</v>
      </c>
      <c r="U90" t="s">
        <v>190</v>
      </c>
      <c r="V90" t="s">
        <v>365</v>
      </c>
      <c r="W90">
        <v>28000</v>
      </c>
      <c r="X90" t="s">
        <v>45</v>
      </c>
      <c r="Y90" t="s">
        <v>362</v>
      </c>
      <c r="Z90" t="s">
        <v>50</v>
      </c>
      <c r="AA90" s="10">
        <f>IF(O90&lt;=1,7,7+0.8*ROUNDUP(O90-1,0))</f>
        <v>7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4"/>
        <v>0.42</v>
      </c>
      <c r="AG90" s="11">
        <f t="shared" si="5"/>
        <v>7.42</v>
      </c>
      <c r="AH90" t="s">
        <v>51</v>
      </c>
    </row>
    <row r="91" spans="1:34" ht="15" customHeight="1" x14ac:dyDescent="0.35">
      <c r="A91">
        <v>7547676</v>
      </c>
      <c r="B91">
        <v>690929</v>
      </c>
      <c r="C91" t="s">
        <v>34</v>
      </c>
      <c r="D91" t="s">
        <v>35</v>
      </c>
      <c r="E91" s="6" t="s">
        <v>34</v>
      </c>
      <c r="F91" t="s">
        <v>366</v>
      </c>
      <c r="G91" t="s">
        <v>37</v>
      </c>
      <c r="H91" t="s">
        <v>38</v>
      </c>
      <c r="I91" t="s">
        <v>367</v>
      </c>
      <c r="J91" t="s">
        <v>40</v>
      </c>
      <c r="K91">
        <v>2</v>
      </c>
      <c r="L91" t="s">
        <v>41</v>
      </c>
      <c r="M91" t="s">
        <v>42</v>
      </c>
      <c r="N91" t="s">
        <v>43</v>
      </c>
      <c r="O91" s="7">
        <v>1</v>
      </c>
      <c r="P91" s="8">
        <v>45367.593252314815</v>
      </c>
      <c r="Q91" s="9">
        <v>45368</v>
      </c>
      <c r="R91" t="s">
        <v>44</v>
      </c>
      <c r="S91" t="s">
        <v>45</v>
      </c>
      <c r="T91" t="s">
        <v>46</v>
      </c>
      <c r="U91" t="s">
        <v>54</v>
      </c>
      <c r="V91" t="s">
        <v>368</v>
      </c>
      <c r="W91">
        <v>40000</v>
      </c>
      <c r="X91" t="s">
        <v>45</v>
      </c>
      <c r="Y91" t="s">
        <v>140</v>
      </c>
      <c r="Z91" t="s">
        <v>50</v>
      </c>
      <c r="AA91" s="10">
        <f>IF(O91&lt;=1,7,7+0.8*ROUNDUP(O91-1,0))</f>
        <v>7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4"/>
        <v>0.42</v>
      </c>
      <c r="AG91" s="11">
        <f t="shared" si="5"/>
        <v>7.42</v>
      </c>
      <c r="AH91" t="s">
        <v>51</v>
      </c>
    </row>
    <row r="92" spans="1:34" ht="15" customHeight="1" x14ac:dyDescent="0.35">
      <c r="A92">
        <v>7547676</v>
      </c>
      <c r="B92">
        <v>690929</v>
      </c>
      <c r="C92" t="s">
        <v>34</v>
      </c>
      <c r="D92" t="s">
        <v>35</v>
      </c>
      <c r="E92" s="6" t="s">
        <v>34</v>
      </c>
      <c r="F92" t="s">
        <v>369</v>
      </c>
      <c r="G92" t="s">
        <v>37</v>
      </c>
      <c r="H92" t="s">
        <v>38</v>
      </c>
      <c r="I92" t="s">
        <v>370</v>
      </c>
      <c r="J92" t="s">
        <v>40</v>
      </c>
      <c r="K92">
        <v>2</v>
      </c>
      <c r="L92" t="s">
        <v>41</v>
      </c>
      <c r="M92" t="s">
        <v>42</v>
      </c>
      <c r="N92" t="s">
        <v>43</v>
      </c>
      <c r="O92" s="7">
        <v>1</v>
      </c>
      <c r="P92" s="8">
        <v>45364.663182870368</v>
      </c>
      <c r="Q92" s="9">
        <v>45368</v>
      </c>
      <c r="R92" t="s">
        <v>44</v>
      </c>
      <c r="S92" t="s">
        <v>45</v>
      </c>
      <c r="T92" t="s">
        <v>46</v>
      </c>
      <c r="U92" t="s">
        <v>82</v>
      </c>
      <c r="V92" t="s">
        <v>371</v>
      </c>
      <c r="W92">
        <v>80250</v>
      </c>
      <c r="X92" t="s">
        <v>45</v>
      </c>
      <c r="Y92" t="s">
        <v>372</v>
      </c>
      <c r="Z92" t="s">
        <v>50</v>
      </c>
      <c r="AA92" s="10">
        <f>IF(O92&lt;=1,7,7+0.8*ROUNDUP(O92-1,0))</f>
        <v>7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4"/>
        <v>0.42</v>
      </c>
      <c r="AG92" s="11">
        <f t="shared" si="5"/>
        <v>7.42</v>
      </c>
      <c r="AH92" t="s">
        <v>51</v>
      </c>
    </row>
    <row r="93" spans="1:34" ht="15" customHeight="1" x14ac:dyDescent="0.35">
      <c r="A93">
        <v>7547676</v>
      </c>
      <c r="B93">
        <v>690929</v>
      </c>
      <c r="C93" t="s">
        <v>34</v>
      </c>
      <c r="D93" t="s">
        <v>35</v>
      </c>
      <c r="E93" s="6" t="s">
        <v>34</v>
      </c>
      <c r="F93" t="s">
        <v>373</v>
      </c>
      <c r="G93" t="s">
        <v>37</v>
      </c>
      <c r="H93" t="s">
        <v>38</v>
      </c>
      <c r="I93" t="s">
        <v>374</v>
      </c>
      <c r="J93" t="s">
        <v>40</v>
      </c>
      <c r="K93">
        <v>2</v>
      </c>
      <c r="L93" t="s">
        <v>41</v>
      </c>
      <c r="M93" t="s">
        <v>42</v>
      </c>
      <c r="N93" t="s">
        <v>43</v>
      </c>
      <c r="O93" s="7">
        <v>1</v>
      </c>
      <c r="P93" s="8">
        <v>45367.593252314815</v>
      </c>
      <c r="Q93" s="9">
        <v>45368</v>
      </c>
      <c r="R93" t="s">
        <v>44</v>
      </c>
      <c r="S93" t="s">
        <v>45</v>
      </c>
      <c r="T93" t="s">
        <v>46</v>
      </c>
      <c r="U93" t="s">
        <v>47</v>
      </c>
      <c r="V93" t="s">
        <v>375</v>
      </c>
      <c r="W93">
        <v>22200</v>
      </c>
      <c r="X93" t="s">
        <v>45</v>
      </c>
      <c r="Y93" t="s">
        <v>156</v>
      </c>
      <c r="Z93" t="s">
        <v>50</v>
      </c>
      <c r="AA93" s="10">
        <f>IF(O93&lt;=1,7,7+0.8*ROUNDUP(O93-1,0))</f>
        <v>7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4"/>
        <v>0.42</v>
      </c>
      <c r="AG93" s="11">
        <f t="shared" si="5"/>
        <v>7.42</v>
      </c>
      <c r="AH93" t="s">
        <v>51</v>
      </c>
    </row>
    <row r="94" spans="1:34" ht="15" customHeight="1" x14ac:dyDescent="0.35">
      <c r="A94">
        <v>7547676</v>
      </c>
      <c r="B94">
        <v>690929</v>
      </c>
      <c r="C94" t="s">
        <v>34</v>
      </c>
      <c r="D94" t="s">
        <v>35</v>
      </c>
      <c r="E94" s="6" t="s">
        <v>34</v>
      </c>
      <c r="F94" t="s">
        <v>376</v>
      </c>
      <c r="G94" t="s">
        <v>37</v>
      </c>
      <c r="H94" t="s">
        <v>38</v>
      </c>
      <c r="I94" t="s">
        <v>377</v>
      </c>
      <c r="J94" t="s">
        <v>40</v>
      </c>
      <c r="K94">
        <v>2</v>
      </c>
      <c r="L94" t="s">
        <v>41</v>
      </c>
      <c r="M94" t="s">
        <v>42</v>
      </c>
      <c r="N94" t="s">
        <v>43</v>
      </c>
      <c r="O94" s="7">
        <v>1</v>
      </c>
      <c r="P94" s="8">
        <v>45367.634710648148</v>
      </c>
      <c r="Q94" s="9">
        <v>45368</v>
      </c>
      <c r="R94" t="s">
        <v>44</v>
      </c>
      <c r="S94" t="s">
        <v>45</v>
      </c>
      <c r="T94" t="s">
        <v>46</v>
      </c>
      <c r="U94" t="s">
        <v>99</v>
      </c>
      <c r="V94" t="s">
        <v>378</v>
      </c>
      <c r="W94">
        <v>18300</v>
      </c>
      <c r="X94" t="s">
        <v>45</v>
      </c>
      <c r="Y94" t="s">
        <v>156</v>
      </c>
      <c r="Z94" t="s">
        <v>50</v>
      </c>
      <c r="AA94" s="10">
        <f>IF(O94&lt;=1,7,7+0.8*ROUNDUP(O94-1,0))</f>
        <v>7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4"/>
        <v>0.42</v>
      </c>
      <c r="AG94" s="11">
        <f t="shared" si="5"/>
        <v>7.42</v>
      </c>
      <c r="AH94" t="s">
        <v>51</v>
      </c>
    </row>
    <row r="95" spans="1:34" ht="15" customHeight="1" x14ac:dyDescent="0.35">
      <c r="A95">
        <v>7547676</v>
      </c>
      <c r="B95">
        <v>690929</v>
      </c>
      <c r="C95" t="s">
        <v>34</v>
      </c>
      <c r="D95" t="s">
        <v>35</v>
      </c>
      <c r="E95" s="6" t="s">
        <v>34</v>
      </c>
      <c r="F95" t="s">
        <v>379</v>
      </c>
      <c r="G95" t="s">
        <v>37</v>
      </c>
      <c r="H95" t="s">
        <v>38</v>
      </c>
      <c r="I95" t="s">
        <v>380</v>
      </c>
      <c r="J95" t="s">
        <v>40</v>
      </c>
      <c r="K95">
        <v>2</v>
      </c>
      <c r="L95" t="s">
        <v>41</v>
      </c>
      <c r="M95" t="s">
        <v>42</v>
      </c>
      <c r="N95" t="s">
        <v>43</v>
      </c>
      <c r="O95" s="7">
        <v>1</v>
      </c>
      <c r="P95" s="8">
        <v>45365.721759259257</v>
      </c>
      <c r="Q95" s="9">
        <v>45368</v>
      </c>
      <c r="R95" t="s">
        <v>287</v>
      </c>
      <c r="S95" t="s">
        <v>45</v>
      </c>
      <c r="T95" t="s">
        <v>46</v>
      </c>
      <c r="U95" t="s">
        <v>82</v>
      </c>
      <c r="V95" t="s">
        <v>381</v>
      </c>
      <c r="W95">
        <v>86400</v>
      </c>
      <c r="X95" t="s">
        <v>45</v>
      </c>
      <c r="Y95" t="s">
        <v>382</v>
      </c>
      <c r="Z95" t="s">
        <v>50</v>
      </c>
      <c r="AA95" s="10">
        <f>IF(O95&lt;=1,7,7+0.8*ROUNDUP(O95-1,0))</f>
        <v>7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4"/>
        <v>0.42</v>
      </c>
      <c r="AG95" s="11">
        <f t="shared" si="5"/>
        <v>7.42</v>
      </c>
      <c r="AH95" t="s">
        <v>51</v>
      </c>
    </row>
    <row r="96" spans="1:34" ht="15" customHeight="1" x14ac:dyDescent="0.35">
      <c r="A96">
        <v>7547676</v>
      </c>
      <c r="B96">
        <v>690929</v>
      </c>
      <c r="C96" t="s">
        <v>34</v>
      </c>
      <c r="D96" t="s">
        <v>35</v>
      </c>
      <c r="E96" s="6" t="s">
        <v>34</v>
      </c>
      <c r="F96" t="s">
        <v>383</v>
      </c>
      <c r="G96" t="s">
        <v>37</v>
      </c>
      <c r="H96" t="s">
        <v>38</v>
      </c>
      <c r="I96" t="s">
        <v>384</v>
      </c>
      <c r="J96" t="s">
        <v>40</v>
      </c>
      <c r="K96">
        <v>2</v>
      </c>
      <c r="L96" t="s">
        <v>41</v>
      </c>
      <c r="M96" t="s">
        <v>42</v>
      </c>
      <c r="N96" t="s">
        <v>43</v>
      </c>
      <c r="O96" s="7">
        <v>1</v>
      </c>
      <c r="P96" s="8">
        <v>45365.728032407409</v>
      </c>
      <c r="Q96" s="9">
        <v>45368</v>
      </c>
      <c r="R96" t="s">
        <v>287</v>
      </c>
      <c r="S96" t="s">
        <v>45</v>
      </c>
      <c r="T96" t="s">
        <v>46</v>
      </c>
      <c r="U96" t="s">
        <v>54</v>
      </c>
      <c r="V96" t="s">
        <v>385</v>
      </c>
      <c r="W96">
        <v>41200</v>
      </c>
      <c r="X96" t="s">
        <v>45</v>
      </c>
      <c r="Y96" t="s">
        <v>79</v>
      </c>
      <c r="Z96" t="s">
        <v>50</v>
      </c>
      <c r="AA96" s="10">
        <f>IF(O96&lt;=1,7,7+0.8*ROUNDUP(O96-1,0))</f>
        <v>7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4"/>
        <v>0.42</v>
      </c>
      <c r="AG96" s="11">
        <f t="shared" si="5"/>
        <v>7.42</v>
      </c>
      <c r="AH96" t="s">
        <v>51</v>
      </c>
    </row>
    <row r="97" spans="1:34" ht="15" customHeight="1" x14ac:dyDescent="0.35">
      <c r="A97">
        <v>7547676</v>
      </c>
      <c r="B97">
        <v>690929</v>
      </c>
      <c r="C97" t="s">
        <v>34</v>
      </c>
      <c r="D97" t="s">
        <v>35</v>
      </c>
      <c r="E97" s="6" t="s">
        <v>34</v>
      </c>
      <c r="F97" t="s">
        <v>386</v>
      </c>
      <c r="G97" t="s">
        <v>37</v>
      </c>
      <c r="H97" t="s">
        <v>38</v>
      </c>
      <c r="I97" t="s">
        <v>158</v>
      </c>
      <c r="J97" t="s">
        <v>40</v>
      </c>
      <c r="K97">
        <v>2</v>
      </c>
      <c r="L97" t="s">
        <v>41</v>
      </c>
      <c r="M97" t="s">
        <v>42</v>
      </c>
      <c r="N97" t="s">
        <v>43</v>
      </c>
      <c r="O97" s="7">
        <v>5</v>
      </c>
      <c r="P97" s="8">
        <v>45367.631423611114</v>
      </c>
      <c r="Q97" s="9">
        <v>45368</v>
      </c>
      <c r="R97" t="s">
        <v>44</v>
      </c>
      <c r="S97" t="s">
        <v>45</v>
      </c>
      <c r="T97" t="s">
        <v>46</v>
      </c>
      <c r="U97" t="s">
        <v>54</v>
      </c>
      <c r="V97" t="s">
        <v>159</v>
      </c>
      <c r="W97">
        <v>47000</v>
      </c>
      <c r="X97" t="s">
        <v>45</v>
      </c>
      <c r="Y97" t="s">
        <v>79</v>
      </c>
      <c r="Z97" t="s">
        <v>50</v>
      </c>
      <c r="AA97" s="10">
        <f>IF(O97&lt;=1,7,7+0.8*ROUNDUP(O97-1,0))</f>
        <v>10.199999999999999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4"/>
        <v>0.61199999999999999</v>
      </c>
      <c r="AG97" s="11">
        <f t="shared" si="5"/>
        <v>10.811999999999999</v>
      </c>
      <c r="AH97" t="s">
        <v>51</v>
      </c>
    </row>
    <row r="98" spans="1:34" ht="15" customHeight="1" x14ac:dyDescent="0.35">
      <c r="A98">
        <v>7547676</v>
      </c>
      <c r="B98">
        <v>690929</v>
      </c>
      <c r="C98" t="s">
        <v>34</v>
      </c>
      <c r="D98" t="s">
        <v>35</v>
      </c>
      <c r="E98" s="6" t="s">
        <v>34</v>
      </c>
      <c r="F98" t="s">
        <v>387</v>
      </c>
      <c r="G98" t="s">
        <v>37</v>
      </c>
      <c r="H98" t="s">
        <v>38</v>
      </c>
      <c r="I98" t="s">
        <v>388</v>
      </c>
      <c r="J98" t="s">
        <v>40</v>
      </c>
      <c r="K98">
        <v>2</v>
      </c>
      <c r="L98" t="s">
        <v>41</v>
      </c>
      <c r="M98" t="s">
        <v>42</v>
      </c>
      <c r="N98" t="s">
        <v>43</v>
      </c>
      <c r="O98" s="7">
        <v>1</v>
      </c>
      <c r="P98" s="8">
        <v>45367.669548611113</v>
      </c>
      <c r="Q98" s="9">
        <v>45368</v>
      </c>
      <c r="R98" t="s">
        <v>44</v>
      </c>
      <c r="S98" t="s">
        <v>45</v>
      </c>
      <c r="T98" t="s">
        <v>46</v>
      </c>
      <c r="U98" t="s">
        <v>190</v>
      </c>
      <c r="V98" t="s">
        <v>389</v>
      </c>
      <c r="W98">
        <v>28050</v>
      </c>
      <c r="X98" t="s">
        <v>45</v>
      </c>
      <c r="Y98" t="s">
        <v>362</v>
      </c>
      <c r="Z98" t="s">
        <v>50</v>
      </c>
      <c r="AA98" s="10">
        <f>IF(O98&lt;=1,7,7+0.8*ROUNDUP(O98-1,0))</f>
        <v>7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4"/>
        <v>0.42</v>
      </c>
      <c r="AG98" s="11">
        <f t="shared" si="5"/>
        <v>7.42</v>
      </c>
      <c r="AH98" t="s">
        <v>51</v>
      </c>
    </row>
    <row r="99" spans="1:34" ht="15" customHeight="1" x14ac:dyDescent="0.35">
      <c r="A99">
        <v>7547676</v>
      </c>
      <c r="B99">
        <v>690929</v>
      </c>
      <c r="C99" t="s">
        <v>34</v>
      </c>
      <c r="D99" t="s">
        <v>35</v>
      </c>
      <c r="E99" s="6" t="s">
        <v>34</v>
      </c>
      <c r="F99" t="s">
        <v>390</v>
      </c>
      <c r="G99" t="s">
        <v>37</v>
      </c>
      <c r="H99" t="s">
        <v>38</v>
      </c>
      <c r="I99" t="s">
        <v>391</v>
      </c>
      <c r="J99" t="s">
        <v>40</v>
      </c>
      <c r="K99">
        <v>2</v>
      </c>
      <c r="L99" t="s">
        <v>41</v>
      </c>
      <c r="M99" t="s">
        <v>42</v>
      </c>
      <c r="N99" t="s">
        <v>43</v>
      </c>
      <c r="O99" s="7">
        <v>1</v>
      </c>
      <c r="P99" s="8">
        <v>45367.631423611114</v>
      </c>
      <c r="Q99" s="9">
        <v>45368</v>
      </c>
      <c r="R99" t="s">
        <v>44</v>
      </c>
      <c r="S99" t="s">
        <v>45</v>
      </c>
      <c r="T99" t="s">
        <v>46</v>
      </c>
      <c r="U99" t="s">
        <v>47</v>
      </c>
      <c r="V99" t="s">
        <v>392</v>
      </c>
      <c r="W99">
        <v>20050</v>
      </c>
      <c r="X99" t="s">
        <v>45</v>
      </c>
      <c r="Y99" t="s">
        <v>49</v>
      </c>
      <c r="Z99" t="s">
        <v>50</v>
      </c>
      <c r="AA99" s="10">
        <f>IF(O99&lt;=1,7,7+0.8*ROUNDUP(O99-1,0))</f>
        <v>7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4"/>
        <v>0.42</v>
      </c>
      <c r="AG99" s="11">
        <f t="shared" si="5"/>
        <v>7.42</v>
      </c>
      <c r="AH99" t="s">
        <v>51</v>
      </c>
    </row>
    <row r="100" spans="1:34" ht="15" customHeight="1" x14ac:dyDescent="0.35">
      <c r="A100">
        <v>7547676</v>
      </c>
      <c r="B100">
        <v>690929</v>
      </c>
      <c r="C100" t="s">
        <v>34</v>
      </c>
      <c r="D100" t="s">
        <v>35</v>
      </c>
      <c r="E100" s="6" t="s">
        <v>34</v>
      </c>
      <c r="F100" t="s">
        <v>393</v>
      </c>
      <c r="G100" t="s">
        <v>37</v>
      </c>
      <c r="H100" t="s">
        <v>38</v>
      </c>
      <c r="I100" t="s">
        <v>394</v>
      </c>
      <c r="J100" t="s">
        <v>40</v>
      </c>
      <c r="K100">
        <v>2</v>
      </c>
      <c r="L100" t="s">
        <v>41</v>
      </c>
      <c r="M100" t="s">
        <v>42</v>
      </c>
      <c r="N100" t="s">
        <v>43</v>
      </c>
      <c r="O100" s="7">
        <v>1</v>
      </c>
      <c r="P100" s="8">
        <v>45367.511145833334</v>
      </c>
      <c r="Q100" s="9">
        <v>45368</v>
      </c>
      <c r="R100" t="s">
        <v>44</v>
      </c>
      <c r="S100" t="s">
        <v>45</v>
      </c>
      <c r="T100" t="s">
        <v>46</v>
      </c>
      <c r="U100" t="s">
        <v>47</v>
      </c>
      <c r="V100" t="s">
        <v>395</v>
      </c>
      <c r="W100">
        <v>22000</v>
      </c>
      <c r="X100" t="s">
        <v>45</v>
      </c>
      <c r="Y100" t="s">
        <v>156</v>
      </c>
      <c r="Z100" t="s">
        <v>50</v>
      </c>
      <c r="AA100" s="10">
        <f>IF(O100&lt;=1,7,7+0.8*ROUNDUP(O100-1,0))</f>
        <v>7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4"/>
        <v>0.42</v>
      </c>
      <c r="AG100" s="11">
        <f t="shared" si="5"/>
        <v>7.42</v>
      </c>
      <c r="AH100" t="s">
        <v>51</v>
      </c>
    </row>
    <row r="101" spans="1:34" ht="15" customHeight="1" x14ac:dyDescent="0.35">
      <c r="A101">
        <v>7547676</v>
      </c>
      <c r="B101">
        <v>690929</v>
      </c>
      <c r="C101" t="s">
        <v>34</v>
      </c>
      <c r="D101" t="s">
        <v>35</v>
      </c>
      <c r="E101" s="6" t="s">
        <v>34</v>
      </c>
      <c r="F101" t="s">
        <v>396</v>
      </c>
      <c r="G101" t="s">
        <v>37</v>
      </c>
      <c r="H101" t="s">
        <v>38</v>
      </c>
      <c r="I101" t="s">
        <v>397</v>
      </c>
      <c r="J101" t="s">
        <v>40</v>
      </c>
      <c r="K101">
        <v>2</v>
      </c>
      <c r="L101" t="s">
        <v>41</v>
      </c>
      <c r="M101" t="s">
        <v>42</v>
      </c>
      <c r="N101" t="s">
        <v>43</v>
      </c>
      <c r="O101" s="7">
        <v>14</v>
      </c>
      <c r="P101" s="8">
        <v>45367.723275462966</v>
      </c>
      <c r="Q101" s="9">
        <v>45368</v>
      </c>
      <c r="R101" t="s">
        <v>44</v>
      </c>
      <c r="S101" t="s">
        <v>45</v>
      </c>
      <c r="T101" t="s">
        <v>46</v>
      </c>
      <c r="U101" t="s">
        <v>99</v>
      </c>
      <c r="V101" t="s">
        <v>398</v>
      </c>
      <c r="W101">
        <v>16150</v>
      </c>
      <c r="X101" t="s">
        <v>45</v>
      </c>
      <c r="Y101" t="s">
        <v>399</v>
      </c>
      <c r="Z101" t="s">
        <v>50</v>
      </c>
      <c r="AA101" s="10">
        <f>IF(O101&lt;=1,7,7+0.8*ROUNDUP(O101-1,0))</f>
        <v>17.399999999999999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4"/>
        <v>1.0439999999999998</v>
      </c>
      <c r="AG101" s="11">
        <f t="shared" si="5"/>
        <v>18.443999999999999</v>
      </c>
      <c r="AH101" t="s">
        <v>51</v>
      </c>
    </row>
    <row r="102" spans="1:34" ht="15" customHeight="1" x14ac:dyDescent="0.35">
      <c r="A102">
        <v>7547676</v>
      </c>
      <c r="B102">
        <v>690929</v>
      </c>
      <c r="C102" t="s">
        <v>34</v>
      </c>
      <c r="D102" t="s">
        <v>35</v>
      </c>
      <c r="E102" s="6" t="s">
        <v>34</v>
      </c>
      <c r="F102" t="s">
        <v>400</v>
      </c>
      <c r="G102" t="s">
        <v>37</v>
      </c>
      <c r="H102" t="s">
        <v>38</v>
      </c>
      <c r="I102" t="s">
        <v>401</v>
      </c>
      <c r="J102" t="s">
        <v>40</v>
      </c>
      <c r="K102">
        <v>2</v>
      </c>
      <c r="L102" t="s">
        <v>41</v>
      </c>
      <c r="M102" t="s">
        <v>42</v>
      </c>
      <c r="N102" t="s">
        <v>43</v>
      </c>
      <c r="O102" s="7">
        <v>1</v>
      </c>
      <c r="P102" s="8">
        <v>45365.721759259257</v>
      </c>
      <c r="Q102" s="9">
        <v>45368</v>
      </c>
      <c r="R102" t="s">
        <v>287</v>
      </c>
      <c r="S102" t="s">
        <v>45</v>
      </c>
      <c r="T102" t="s">
        <v>46</v>
      </c>
      <c r="U102" t="s">
        <v>86</v>
      </c>
      <c r="V102" t="s">
        <v>402</v>
      </c>
      <c r="W102">
        <v>73200</v>
      </c>
      <c r="X102" t="s">
        <v>45</v>
      </c>
      <c r="Y102" t="s">
        <v>403</v>
      </c>
      <c r="Z102" t="s">
        <v>50</v>
      </c>
      <c r="AA102" s="10">
        <f>IF(O102&lt;=1,7,7+0.8*ROUNDUP(O102-1,0))</f>
        <v>7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4"/>
        <v>0.42</v>
      </c>
      <c r="AG102" s="11">
        <f t="shared" si="5"/>
        <v>7.42</v>
      </c>
      <c r="AH102" t="s">
        <v>51</v>
      </c>
    </row>
    <row r="103" spans="1:34" ht="15" customHeight="1" x14ac:dyDescent="0.35">
      <c r="A103">
        <v>7547676</v>
      </c>
      <c r="B103">
        <v>690929</v>
      </c>
      <c r="C103" t="s">
        <v>34</v>
      </c>
      <c r="D103" t="s">
        <v>35</v>
      </c>
      <c r="E103" s="6" t="s">
        <v>34</v>
      </c>
      <c r="F103" t="s">
        <v>404</v>
      </c>
      <c r="G103" t="s">
        <v>37</v>
      </c>
      <c r="H103" t="s">
        <v>38</v>
      </c>
      <c r="I103" t="s">
        <v>405</v>
      </c>
      <c r="J103" t="s">
        <v>40</v>
      </c>
      <c r="K103">
        <v>2</v>
      </c>
      <c r="L103" t="s">
        <v>41</v>
      </c>
      <c r="M103" t="s">
        <v>42</v>
      </c>
      <c r="N103" t="s">
        <v>43</v>
      </c>
      <c r="O103" s="7">
        <v>1</v>
      </c>
      <c r="P103" s="8">
        <v>45368.577048611114</v>
      </c>
      <c r="Q103" s="9">
        <v>45369</v>
      </c>
      <c r="R103" t="s">
        <v>44</v>
      </c>
      <c r="S103" t="s">
        <v>45</v>
      </c>
      <c r="T103" t="s">
        <v>46</v>
      </c>
      <c r="U103" t="s">
        <v>47</v>
      </c>
      <c r="V103" t="s">
        <v>406</v>
      </c>
      <c r="W103">
        <v>20300</v>
      </c>
      <c r="X103" t="s">
        <v>45</v>
      </c>
      <c r="Y103" t="s">
        <v>49</v>
      </c>
      <c r="Z103" t="s">
        <v>50</v>
      </c>
      <c r="AA103" s="10">
        <f>IF(O103&lt;=1,7,7+0.8*ROUNDUP(O103-1,0))</f>
        <v>7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4"/>
        <v>0.42</v>
      </c>
      <c r="AG103" s="11">
        <f t="shared" si="5"/>
        <v>7.42</v>
      </c>
      <c r="AH103" t="s">
        <v>51</v>
      </c>
    </row>
    <row r="104" spans="1:34" ht="15" customHeight="1" x14ac:dyDescent="0.35">
      <c r="A104">
        <v>7547676</v>
      </c>
      <c r="B104">
        <v>690929</v>
      </c>
      <c r="C104" t="s">
        <v>34</v>
      </c>
      <c r="D104" t="s">
        <v>35</v>
      </c>
      <c r="E104" s="6" t="s">
        <v>34</v>
      </c>
      <c r="F104" t="s">
        <v>407</v>
      </c>
      <c r="G104" t="s">
        <v>37</v>
      </c>
      <c r="H104" t="s">
        <v>38</v>
      </c>
      <c r="I104" t="s">
        <v>408</v>
      </c>
      <c r="J104" t="s">
        <v>40</v>
      </c>
      <c r="K104">
        <v>2</v>
      </c>
      <c r="L104" t="s">
        <v>41</v>
      </c>
      <c r="M104" t="s">
        <v>42</v>
      </c>
      <c r="N104" t="s">
        <v>43</v>
      </c>
      <c r="O104" s="7">
        <v>9</v>
      </c>
      <c r="P104" s="8">
        <v>45367.723275462966</v>
      </c>
      <c r="Q104" s="9">
        <v>45369</v>
      </c>
      <c r="R104" t="s">
        <v>44</v>
      </c>
      <c r="S104" t="s">
        <v>45</v>
      </c>
      <c r="T104" t="s">
        <v>46</v>
      </c>
      <c r="U104" t="s">
        <v>134</v>
      </c>
      <c r="V104" t="s">
        <v>409</v>
      </c>
      <c r="W104">
        <v>8000</v>
      </c>
      <c r="X104" t="s">
        <v>45</v>
      </c>
      <c r="Y104" t="s">
        <v>180</v>
      </c>
      <c r="Z104" t="s">
        <v>50</v>
      </c>
      <c r="AA104" s="10">
        <f>IF(O104&lt;=1,7,7+0.8*ROUNDUP(O104-1,0))</f>
        <v>13.4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4"/>
        <v>0.80399999999999994</v>
      </c>
      <c r="AG104" s="11">
        <f t="shared" si="5"/>
        <v>14.204000000000001</v>
      </c>
      <c r="AH104" t="s">
        <v>51</v>
      </c>
    </row>
    <row r="105" spans="1:34" ht="15" customHeight="1" x14ac:dyDescent="0.35">
      <c r="A105">
        <v>7547676</v>
      </c>
      <c r="B105">
        <v>690929</v>
      </c>
      <c r="C105" t="s">
        <v>34</v>
      </c>
      <c r="D105" t="s">
        <v>35</v>
      </c>
      <c r="E105" s="6" t="s">
        <v>34</v>
      </c>
      <c r="F105" t="s">
        <v>410</v>
      </c>
      <c r="G105" t="s">
        <v>37</v>
      </c>
      <c r="H105" t="s">
        <v>38</v>
      </c>
      <c r="I105" t="s">
        <v>411</v>
      </c>
      <c r="J105" t="s">
        <v>40</v>
      </c>
      <c r="K105">
        <v>2</v>
      </c>
      <c r="L105" t="s">
        <v>41</v>
      </c>
      <c r="M105" t="s">
        <v>42</v>
      </c>
      <c r="N105" t="s">
        <v>43</v>
      </c>
      <c r="O105" s="7">
        <v>5</v>
      </c>
      <c r="P105" s="8">
        <v>45367.723275462966</v>
      </c>
      <c r="Q105" s="9">
        <v>45369</v>
      </c>
      <c r="R105" t="s">
        <v>44</v>
      </c>
      <c r="S105" t="s">
        <v>45</v>
      </c>
      <c r="T105" t="s">
        <v>46</v>
      </c>
      <c r="U105" t="s">
        <v>278</v>
      </c>
      <c r="V105" t="s">
        <v>412</v>
      </c>
      <c r="W105">
        <v>13300</v>
      </c>
      <c r="X105" t="s">
        <v>45</v>
      </c>
      <c r="Y105" t="s">
        <v>280</v>
      </c>
      <c r="Z105" t="s">
        <v>50</v>
      </c>
      <c r="AA105" s="10">
        <f>IF(O105&lt;=1,7,7+0.8*ROUNDUP(O105-1,0))</f>
        <v>10.199999999999999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4"/>
        <v>0.61199999999999999</v>
      </c>
      <c r="AG105" s="11">
        <f t="shared" si="5"/>
        <v>10.811999999999999</v>
      </c>
      <c r="AH105" t="s">
        <v>51</v>
      </c>
    </row>
    <row r="106" spans="1:34" ht="15" customHeight="1" x14ac:dyDescent="0.35">
      <c r="A106">
        <v>7547676</v>
      </c>
      <c r="B106">
        <v>690929</v>
      </c>
      <c r="C106" t="s">
        <v>34</v>
      </c>
      <c r="D106" t="s">
        <v>35</v>
      </c>
      <c r="E106" s="6" t="s">
        <v>34</v>
      </c>
      <c r="F106" t="s">
        <v>413</v>
      </c>
      <c r="G106" t="s">
        <v>37</v>
      </c>
      <c r="H106" t="s">
        <v>38</v>
      </c>
      <c r="I106" t="s">
        <v>414</v>
      </c>
      <c r="J106" t="s">
        <v>40</v>
      </c>
      <c r="K106">
        <v>2</v>
      </c>
      <c r="L106" t="s">
        <v>41</v>
      </c>
      <c r="M106" t="s">
        <v>42</v>
      </c>
      <c r="N106" t="s">
        <v>43</v>
      </c>
      <c r="O106" s="7">
        <v>1</v>
      </c>
      <c r="P106" s="8">
        <v>45367.669548611113</v>
      </c>
      <c r="Q106" s="9">
        <v>45369</v>
      </c>
      <c r="R106" t="s">
        <v>44</v>
      </c>
      <c r="S106" t="s">
        <v>45</v>
      </c>
      <c r="T106" t="s">
        <v>46</v>
      </c>
      <c r="U106" t="s">
        <v>82</v>
      </c>
      <c r="V106" t="s">
        <v>415</v>
      </c>
      <c r="W106">
        <v>85000</v>
      </c>
      <c r="X106" t="s">
        <v>45</v>
      </c>
      <c r="Y106" t="s">
        <v>416</v>
      </c>
      <c r="Z106" t="s">
        <v>50</v>
      </c>
      <c r="AA106" s="10">
        <f>IF(O106&lt;=1,7,7+0.8*ROUNDUP(O106-1,0))</f>
        <v>7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4"/>
        <v>0.42</v>
      </c>
      <c r="AG106" s="11">
        <f t="shared" si="5"/>
        <v>7.42</v>
      </c>
      <c r="AH106" t="s">
        <v>51</v>
      </c>
    </row>
    <row r="107" spans="1:34" ht="15" customHeight="1" x14ac:dyDescent="0.35">
      <c r="A107">
        <v>7547676</v>
      </c>
      <c r="B107">
        <v>690929</v>
      </c>
      <c r="C107" t="s">
        <v>34</v>
      </c>
      <c r="D107" t="s">
        <v>35</v>
      </c>
      <c r="E107" s="6" t="s">
        <v>34</v>
      </c>
      <c r="F107" t="s">
        <v>417</v>
      </c>
      <c r="G107" t="s">
        <v>37</v>
      </c>
      <c r="H107" t="s">
        <v>38</v>
      </c>
      <c r="I107" t="s">
        <v>418</v>
      </c>
      <c r="J107" t="s">
        <v>40</v>
      </c>
      <c r="K107">
        <v>2</v>
      </c>
      <c r="L107" t="s">
        <v>41</v>
      </c>
      <c r="M107" t="s">
        <v>42</v>
      </c>
      <c r="N107" t="s">
        <v>43</v>
      </c>
      <c r="O107" s="7">
        <v>1</v>
      </c>
      <c r="P107" s="8">
        <v>45367.631423611114</v>
      </c>
      <c r="Q107" s="9">
        <v>45369</v>
      </c>
      <c r="R107" t="s">
        <v>44</v>
      </c>
      <c r="S107" t="s">
        <v>45</v>
      </c>
      <c r="T107" t="s">
        <v>46</v>
      </c>
      <c r="U107" t="s">
        <v>86</v>
      </c>
      <c r="V107" t="s">
        <v>419</v>
      </c>
      <c r="W107">
        <v>73400</v>
      </c>
      <c r="X107" t="s">
        <v>45</v>
      </c>
      <c r="Y107" t="s">
        <v>403</v>
      </c>
      <c r="Z107" t="s">
        <v>50</v>
      </c>
      <c r="AA107" s="10">
        <f>IF(O107&lt;=1,7,7+0.8*ROUNDUP(O107-1,0))</f>
        <v>7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4"/>
        <v>0.42</v>
      </c>
      <c r="AG107" s="11">
        <f t="shared" si="5"/>
        <v>7.42</v>
      </c>
      <c r="AH107" t="s">
        <v>51</v>
      </c>
    </row>
    <row r="108" spans="1:34" ht="15" customHeight="1" x14ac:dyDescent="0.35">
      <c r="A108">
        <v>7547676</v>
      </c>
      <c r="B108">
        <v>690929</v>
      </c>
      <c r="C108" t="s">
        <v>34</v>
      </c>
      <c r="D108" t="s">
        <v>35</v>
      </c>
      <c r="E108" s="6" t="s">
        <v>34</v>
      </c>
      <c r="F108" t="s">
        <v>420</v>
      </c>
      <c r="G108" t="s">
        <v>37</v>
      </c>
      <c r="H108" t="s">
        <v>38</v>
      </c>
      <c r="I108" t="s">
        <v>421</v>
      </c>
      <c r="J108" t="s">
        <v>40</v>
      </c>
      <c r="K108">
        <v>2</v>
      </c>
      <c r="L108" t="s">
        <v>41</v>
      </c>
      <c r="M108" t="s">
        <v>42</v>
      </c>
      <c r="N108" t="s">
        <v>43</v>
      </c>
      <c r="O108" s="7">
        <v>1</v>
      </c>
      <c r="P108" s="8">
        <v>45366.690520833334</v>
      </c>
      <c r="Q108" s="9">
        <v>45369</v>
      </c>
      <c r="R108" t="s">
        <v>44</v>
      </c>
      <c r="S108" t="s">
        <v>45</v>
      </c>
      <c r="T108" t="s">
        <v>46</v>
      </c>
      <c r="U108" t="s">
        <v>103</v>
      </c>
      <c r="V108" t="s">
        <v>422</v>
      </c>
      <c r="W108">
        <v>2600</v>
      </c>
      <c r="X108" t="s">
        <v>45</v>
      </c>
      <c r="Y108" t="s">
        <v>79</v>
      </c>
      <c r="Z108" t="s">
        <v>50</v>
      </c>
      <c r="AA108" s="10">
        <f>IF(O108&lt;=1,7,7+0.8*ROUNDUP(O108-1,0))</f>
        <v>7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4"/>
        <v>0.42</v>
      </c>
      <c r="AG108" s="11">
        <f t="shared" si="5"/>
        <v>7.42</v>
      </c>
      <c r="AH108" t="s">
        <v>51</v>
      </c>
    </row>
    <row r="109" spans="1:34" ht="15" customHeight="1" x14ac:dyDescent="0.35">
      <c r="A109">
        <v>7547676</v>
      </c>
      <c r="B109">
        <v>690929</v>
      </c>
      <c r="C109" t="s">
        <v>34</v>
      </c>
      <c r="D109" t="s">
        <v>35</v>
      </c>
      <c r="E109" s="6" t="s">
        <v>34</v>
      </c>
      <c r="F109" t="s">
        <v>423</v>
      </c>
      <c r="G109" t="s">
        <v>37</v>
      </c>
      <c r="H109" t="s">
        <v>38</v>
      </c>
      <c r="I109" t="s">
        <v>424</v>
      </c>
      <c r="J109" t="s">
        <v>40</v>
      </c>
      <c r="K109">
        <v>2</v>
      </c>
      <c r="L109" t="s">
        <v>41</v>
      </c>
      <c r="M109" t="s">
        <v>42</v>
      </c>
      <c r="N109" t="s">
        <v>43</v>
      </c>
      <c r="O109" s="7">
        <v>1</v>
      </c>
      <c r="P109" s="8">
        <v>45367.582604166666</v>
      </c>
      <c r="Q109" s="9">
        <v>45369</v>
      </c>
      <c r="R109" t="s">
        <v>44</v>
      </c>
      <c r="S109" t="s">
        <v>45</v>
      </c>
      <c r="T109" t="s">
        <v>46</v>
      </c>
      <c r="U109" t="s">
        <v>54</v>
      </c>
      <c r="V109" t="s">
        <v>425</v>
      </c>
      <c r="W109">
        <v>40170</v>
      </c>
      <c r="X109" t="s">
        <v>45</v>
      </c>
      <c r="Y109" t="s">
        <v>250</v>
      </c>
      <c r="Z109" t="s">
        <v>50</v>
      </c>
      <c r="AA109" s="10">
        <f>IF(O109&lt;=1,7,7+0.8*ROUNDUP(O109-1,0))</f>
        <v>7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4"/>
        <v>0.42</v>
      </c>
      <c r="AG109" s="11">
        <f t="shared" si="5"/>
        <v>7.42</v>
      </c>
      <c r="AH109" t="s">
        <v>51</v>
      </c>
    </row>
    <row r="110" spans="1:34" ht="15" customHeight="1" x14ac:dyDescent="0.35">
      <c r="A110">
        <v>7547676</v>
      </c>
      <c r="B110">
        <v>690929</v>
      </c>
      <c r="C110" t="s">
        <v>34</v>
      </c>
      <c r="D110" t="s">
        <v>35</v>
      </c>
      <c r="E110" s="6" t="s">
        <v>34</v>
      </c>
      <c r="F110" t="s">
        <v>426</v>
      </c>
      <c r="G110" t="s">
        <v>37</v>
      </c>
      <c r="H110" t="s">
        <v>38</v>
      </c>
      <c r="I110" t="s">
        <v>230</v>
      </c>
      <c r="J110" t="s">
        <v>40</v>
      </c>
      <c r="K110">
        <v>2</v>
      </c>
      <c r="L110" t="s">
        <v>41</v>
      </c>
      <c r="M110" t="s">
        <v>42</v>
      </c>
      <c r="N110" t="s">
        <v>43</v>
      </c>
      <c r="O110" s="7">
        <v>16</v>
      </c>
      <c r="P110" s="8">
        <v>45367.723275462966</v>
      </c>
      <c r="Q110" s="9">
        <v>45369</v>
      </c>
      <c r="R110" t="s">
        <v>44</v>
      </c>
      <c r="S110" t="s">
        <v>45</v>
      </c>
      <c r="T110" t="s">
        <v>46</v>
      </c>
      <c r="U110" t="s">
        <v>86</v>
      </c>
      <c r="V110" t="s">
        <v>231</v>
      </c>
      <c r="W110">
        <v>71900</v>
      </c>
      <c r="X110" t="s">
        <v>45</v>
      </c>
      <c r="Y110" t="s">
        <v>88</v>
      </c>
      <c r="Z110" t="s">
        <v>50</v>
      </c>
      <c r="AA110" s="10">
        <f>IF(O110&lt;=1,7,7+0.8*ROUNDUP(O110-1,0))</f>
        <v>19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4"/>
        <v>1.1399999999999999</v>
      </c>
      <c r="AG110" s="11">
        <f t="shared" si="5"/>
        <v>20.14</v>
      </c>
      <c r="AH110" t="s">
        <v>51</v>
      </c>
    </row>
    <row r="111" spans="1:34" ht="15" customHeight="1" x14ac:dyDescent="0.35">
      <c r="A111">
        <v>7547676</v>
      </c>
      <c r="B111">
        <v>690929</v>
      </c>
      <c r="C111" t="s">
        <v>34</v>
      </c>
      <c r="D111" t="s">
        <v>35</v>
      </c>
      <c r="E111" s="6" t="s">
        <v>34</v>
      </c>
      <c r="F111" t="s">
        <v>427</v>
      </c>
      <c r="G111" t="s">
        <v>37</v>
      </c>
      <c r="H111" t="s">
        <v>38</v>
      </c>
      <c r="I111" t="s">
        <v>230</v>
      </c>
      <c r="J111" t="s">
        <v>40</v>
      </c>
      <c r="K111">
        <v>2</v>
      </c>
      <c r="L111" t="s">
        <v>41</v>
      </c>
      <c r="M111" t="s">
        <v>42</v>
      </c>
      <c r="N111" t="s">
        <v>43</v>
      </c>
      <c r="O111" s="7">
        <v>15</v>
      </c>
      <c r="P111" s="8">
        <v>45367.723287037035</v>
      </c>
      <c r="Q111" s="9">
        <v>45369</v>
      </c>
      <c r="R111" t="s">
        <v>44</v>
      </c>
      <c r="S111" t="s">
        <v>45</v>
      </c>
      <c r="T111" t="s">
        <v>46</v>
      </c>
      <c r="U111" t="s">
        <v>86</v>
      </c>
      <c r="V111" t="s">
        <v>231</v>
      </c>
      <c r="W111">
        <v>71900</v>
      </c>
      <c r="X111" t="s">
        <v>45</v>
      </c>
      <c r="Y111" t="s">
        <v>88</v>
      </c>
      <c r="Z111" t="s">
        <v>50</v>
      </c>
      <c r="AA111" s="10">
        <f>IF(O111&lt;=1,7,7+0.8*ROUNDUP(O111-1,0))</f>
        <v>18.200000000000003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4"/>
        <v>1.0920000000000001</v>
      </c>
      <c r="AG111" s="11">
        <f t="shared" si="5"/>
        <v>19.292000000000002</v>
      </c>
      <c r="AH111" t="s">
        <v>51</v>
      </c>
    </row>
    <row r="112" spans="1:34" ht="15" customHeight="1" x14ac:dyDescent="0.35">
      <c r="A112">
        <v>7547676</v>
      </c>
      <c r="B112">
        <v>690929</v>
      </c>
      <c r="C112" t="s">
        <v>34</v>
      </c>
      <c r="D112" t="s">
        <v>35</v>
      </c>
      <c r="E112" s="6" t="s">
        <v>34</v>
      </c>
      <c r="F112" t="s">
        <v>428</v>
      </c>
      <c r="G112" t="s">
        <v>37</v>
      </c>
      <c r="H112" t="s">
        <v>38</v>
      </c>
      <c r="I112" t="s">
        <v>230</v>
      </c>
      <c r="J112" t="s">
        <v>40</v>
      </c>
      <c r="K112">
        <v>2</v>
      </c>
      <c r="L112" t="s">
        <v>41</v>
      </c>
      <c r="M112" t="s">
        <v>42</v>
      </c>
      <c r="N112" t="s">
        <v>43</v>
      </c>
      <c r="O112" s="7">
        <v>17</v>
      </c>
      <c r="P112" s="8">
        <v>45367.723275462966</v>
      </c>
      <c r="Q112" s="9">
        <v>45369</v>
      </c>
      <c r="R112" t="s">
        <v>44</v>
      </c>
      <c r="S112" t="s">
        <v>45</v>
      </c>
      <c r="T112" t="s">
        <v>46</v>
      </c>
      <c r="U112" t="s">
        <v>86</v>
      </c>
      <c r="V112" t="s">
        <v>231</v>
      </c>
      <c r="W112">
        <v>71900</v>
      </c>
      <c r="X112" t="s">
        <v>45</v>
      </c>
      <c r="Y112" t="s">
        <v>88</v>
      </c>
      <c r="Z112" t="s">
        <v>50</v>
      </c>
      <c r="AA112" s="10">
        <f>IF(O112&lt;=1,7,7+0.8*ROUNDUP(O112-1,0))</f>
        <v>19.8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ref="AF112:AF133" si="6">(AA112+AC112+AE112)*6%</f>
        <v>1.1879999999999999</v>
      </c>
      <c r="AG112" s="11">
        <f t="shared" ref="AG112:AG133" si="7">AA112+AC112+AE112+AF112</f>
        <v>20.988</v>
      </c>
      <c r="AH112" t="s">
        <v>51</v>
      </c>
    </row>
    <row r="113" spans="1:34" ht="15" customHeight="1" x14ac:dyDescent="0.35">
      <c r="A113">
        <v>7547676</v>
      </c>
      <c r="B113">
        <v>690929</v>
      </c>
      <c r="C113" t="s">
        <v>34</v>
      </c>
      <c r="D113" t="s">
        <v>35</v>
      </c>
      <c r="E113" s="6" t="s">
        <v>34</v>
      </c>
      <c r="F113" t="s">
        <v>429</v>
      </c>
      <c r="G113" t="s">
        <v>37</v>
      </c>
      <c r="H113" t="s">
        <v>38</v>
      </c>
      <c r="I113" t="s">
        <v>430</v>
      </c>
      <c r="J113" t="s">
        <v>40</v>
      </c>
      <c r="K113">
        <v>2</v>
      </c>
      <c r="L113" t="s">
        <v>41</v>
      </c>
      <c r="M113" t="s">
        <v>42</v>
      </c>
      <c r="N113" t="s">
        <v>43</v>
      </c>
      <c r="O113" s="7">
        <v>1</v>
      </c>
      <c r="P113" s="8">
        <v>45368.711412037039</v>
      </c>
      <c r="Q113" s="9">
        <v>45369</v>
      </c>
      <c r="R113" t="s">
        <v>44</v>
      </c>
      <c r="S113" t="s">
        <v>45</v>
      </c>
      <c r="T113" t="s">
        <v>46</v>
      </c>
      <c r="U113" t="s">
        <v>47</v>
      </c>
      <c r="V113" t="s">
        <v>431</v>
      </c>
      <c r="W113">
        <v>22000</v>
      </c>
      <c r="X113" t="s">
        <v>45</v>
      </c>
      <c r="Y113" t="s">
        <v>156</v>
      </c>
      <c r="Z113" t="s">
        <v>50</v>
      </c>
      <c r="AA113" s="10">
        <f>IF(O113&lt;=1,7,7+0.8*ROUNDUP(O113-1,0))</f>
        <v>7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6"/>
        <v>0.42</v>
      </c>
      <c r="AG113" s="11">
        <f t="shared" si="7"/>
        <v>7.42</v>
      </c>
      <c r="AH113" t="s">
        <v>51</v>
      </c>
    </row>
    <row r="114" spans="1:34" ht="15" customHeight="1" x14ac:dyDescent="0.35">
      <c r="A114">
        <v>7547676</v>
      </c>
      <c r="B114">
        <v>690929</v>
      </c>
      <c r="C114" t="s">
        <v>34</v>
      </c>
      <c r="D114" t="s">
        <v>35</v>
      </c>
      <c r="E114" s="6" t="s">
        <v>34</v>
      </c>
      <c r="F114" t="s">
        <v>432</v>
      </c>
      <c r="G114" t="s">
        <v>37</v>
      </c>
      <c r="H114" t="s">
        <v>38</v>
      </c>
      <c r="I114" t="s">
        <v>230</v>
      </c>
      <c r="J114" t="s">
        <v>40</v>
      </c>
      <c r="K114">
        <v>2</v>
      </c>
      <c r="L114" t="s">
        <v>41</v>
      </c>
      <c r="M114" t="s">
        <v>42</v>
      </c>
      <c r="N114" t="s">
        <v>43</v>
      </c>
      <c r="O114" s="7">
        <v>9</v>
      </c>
      <c r="P114" s="8">
        <v>45367.723275462966</v>
      </c>
      <c r="Q114" s="9">
        <v>45369</v>
      </c>
      <c r="R114" t="s">
        <v>44</v>
      </c>
      <c r="S114" t="s">
        <v>45</v>
      </c>
      <c r="T114" t="s">
        <v>46</v>
      </c>
      <c r="U114" t="s">
        <v>86</v>
      </c>
      <c r="V114" t="s">
        <v>231</v>
      </c>
      <c r="W114">
        <v>71900</v>
      </c>
      <c r="X114" t="s">
        <v>45</v>
      </c>
      <c r="Y114" t="s">
        <v>88</v>
      </c>
      <c r="Z114" t="s">
        <v>50</v>
      </c>
      <c r="AA114" s="10">
        <f>IF(O114&lt;=1,7,7+0.8*ROUNDUP(O114-1,0))</f>
        <v>13.4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6"/>
        <v>0.80399999999999994</v>
      </c>
      <c r="AG114" s="11">
        <f t="shared" si="7"/>
        <v>14.204000000000001</v>
      </c>
      <c r="AH114" t="s">
        <v>51</v>
      </c>
    </row>
    <row r="115" spans="1:34" ht="15" customHeight="1" x14ac:dyDescent="0.35">
      <c r="A115">
        <v>7547676</v>
      </c>
      <c r="B115">
        <v>690929</v>
      </c>
      <c r="C115" t="s">
        <v>34</v>
      </c>
      <c r="D115" t="s">
        <v>35</v>
      </c>
      <c r="E115" s="6" t="s">
        <v>34</v>
      </c>
      <c r="F115" t="s">
        <v>433</v>
      </c>
      <c r="G115" t="s">
        <v>37</v>
      </c>
      <c r="H115" t="s">
        <v>38</v>
      </c>
      <c r="I115" t="s">
        <v>230</v>
      </c>
      <c r="J115" t="s">
        <v>40</v>
      </c>
      <c r="K115">
        <v>2</v>
      </c>
      <c r="L115" t="s">
        <v>41</v>
      </c>
      <c r="M115" t="s">
        <v>42</v>
      </c>
      <c r="N115" t="s">
        <v>43</v>
      </c>
      <c r="O115" s="7">
        <v>17</v>
      </c>
      <c r="P115" s="8">
        <v>45367.723275462966</v>
      </c>
      <c r="Q115" s="9">
        <v>45369</v>
      </c>
      <c r="R115" t="s">
        <v>44</v>
      </c>
      <c r="S115" t="s">
        <v>45</v>
      </c>
      <c r="T115" t="s">
        <v>46</v>
      </c>
      <c r="U115" t="s">
        <v>86</v>
      </c>
      <c r="V115" t="s">
        <v>231</v>
      </c>
      <c r="W115">
        <v>71900</v>
      </c>
      <c r="X115" t="s">
        <v>45</v>
      </c>
      <c r="Y115" t="s">
        <v>88</v>
      </c>
      <c r="Z115" t="s">
        <v>50</v>
      </c>
      <c r="AA115" s="10">
        <f>IF(O115&lt;=1,7,7+0.8*ROUNDUP(O115-1,0))</f>
        <v>19.8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6"/>
        <v>1.1879999999999999</v>
      </c>
      <c r="AG115" s="11">
        <f t="shared" si="7"/>
        <v>20.988</v>
      </c>
      <c r="AH115" t="s">
        <v>51</v>
      </c>
    </row>
    <row r="116" spans="1:34" ht="15" customHeight="1" x14ac:dyDescent="0.35">
      <c r="A116">
        <v>7547676</v>
      </c>
      <c r="B116">
        <v>690929</v>
      </c>
      <c r="C116" t="s">
        <v>34</v>
      </c>
      <c r="D116" t="s">
        <v>35</v>
      </c>
      <c r="E116" s="6" t="s">
        <v>34</v>
      </c>
      <c r="F116" t="s">
        <v>434</v>
      </c>
      <c r="G116" t="s">
        <v>37</v>
      </c>
      <c r="H116" t="s">
        <v>38</v>
      </c>
      <c r="I116" t="s">
        <v>230</v>
      </c>
      <c r="J116" t="s">
        <v>40</v>
      </c>
      <c r="K116">
        <v>2</v>
      </c>
      <c r="L116" t="s">
        <v>41</v>
      </c>
      <c r="M116" t="s">
        <v>42</v>
      </c>
      <c r="N116" t="s">
        <v>43</v>
      </c>
      <c r="O116" s="7">
        <v>17</v>
      </c>
      <c r="P116" s="8">
        <v>45367.723275462966</v>
      </c>
      <c r="Q116" s="9">
        <v>45369</v>
      </c>
      <c r="R116" t="s">
        <v>44</v>
      </c>
      <c r="S116" t="s">
        <v>45</v>
      </c>
      <c r="T116" t="s">
        <v>46</v>
      </c>
      <c r="U116" t="s">
        <v>86</v>
      </c>
      <c r="V116" t="s">
        <v>231</v>
      </c>
      <c r="W116">
        <v>71900</v>
      </c>
      <c r="X116" t="s">
        <v>45</v>
      </c>
      <c r="Y116" t="s">
        <v>88</v>
      </c>
      <c r="Z116" t="s">
        <v>50</v>
      </c>
      <c r="AA116" s="10">
        <f>IF(O116&lt;=1,7,7+0.8*ROUNDUP(O116-1,0))</f>
        <v>19.8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6"/>
        <v>1.1879999999999999</v>
      </c>
      <c r="AG116" s="11">
        <f t="shared" si="7"/>
        <v>20.988</v>
      </c>
      <c r="AH116" t="s">
        <v>51</v>
      </c>
    </row>
    <row r="117" spans="1:34" ht="15" customHeight="1" x14ac:dyDescent="0.35">
      <c r="A117">
        <v>7547676</v>
      </c>
      <c r="B117">
        <v>690929</v>
      </c>
      <c r="C117" t="s">
        <v>34</v>
      </c>
      <c r="D117" t="s">
        <v>35</v>
      </c>
      <c r="E117" s="6" t="s">
        <v>34</v>
      </c>
      <c r="F117" t="s">
        <v>435</v>
      </c>
      <c r="G117" t="s">
        <v>37</v>
      </c>
      <c r="H117" t="s">
        <v>38</v>
      </c>
      <c r="I117" t="s">
        <v>436</v>
      </c>
      <c r="J117" t="s">
        <v>40</v>
      </c>
      <c r="K117">
        <v>2</v>
      </c>
      <c r="L117" t="s">
        <v>41</v>
      </c>
      <c r="M117" t="s">
        <v>42</v>
      </c>
      <c r="N117" t="s">
        <v>43</v>
      </c>
      <c r="O117" s="7">
        <v>3</v>
      </c>
      <c r="P117" s="8">
        <v>45367.723275462966</v>
      </c>
      <c r="Q117" s="9">
        <v>45369</v>
      </c>
      <c r="R117" t="s">
        <v>44</v>
      </c>
      <c r="S117" t="s">
        <v>45</v>
      </c>
      <c r="T117" t="s">
        <v>46</v>
      </c>
      <c r="U117" t="s">
        <v>54</v>
      </c>
      <c r="V117" t="s">
        <v>437</v>
      </c>
      <c r="W117">
        <v>43200</v>
      </c>
      <c r="X117" t="s">
        <v>45</v>
      </c>
      <c r="Y117" t="s">
        <v>79</v>
      </c>
      <c r="Z117" t="s">
        <v>50</v>
      </c>
      <c r="AA117" s="10">
        <f>IF(O117&lt;=1,7,7+0.8*ROUNDUP(O117-1,0))</f>
        <v>8.6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6"/>
        <v>0.51600000000000001</v>
      </c>
      <c r="AG117" s="11">
        <f t="shared" si="7"/>
        <v>9.1159999999999997</v>
      </c>
      <c r="AH117" t="s">
        <v>51</v>
      </c>
    </row>
    <row r="118" spans="1:34" ht="15" customHeight="1" x14ac:dyDescent="0.35">
      <c r="A118">
        <v>7547676</v>
      </c>
      <c r="B118">
        <v>690929</v>
      </c>
      <c r="C118" t="s">
        <v>34</v>
      </c>
      <c r="D118" t="s">
        <v>35</v>
      </c>
      <c r="E118" s="6" t="s">
        <v>34</v>
      </c>
      <c r="F118" t="s">
        <v>438</v>
      </c>
      <c r="G118" t="s">
        <v>37</v>
      </c>
      <c r="H118" t="s">
        <v>38</v>
      </c>
      <c r="I118" t="s">
        <v>439</v>
      </c>
      <c r="J118" t="s">
        <v>40</v>
      </c>
      <c r="K118">
        <v>2</v>
      </c>
      <c r="L118" t="s">
        <v>41</v>
      </c>
      <c r="M118" t="s">
        <v>42</v>
      </c>
      <c r="N118" t="s">
        <v>43</v>
      </c>
      <c r="O118" s="7">
        <v>1</v>
      </c>
      <c r="P118" s="8">
        <v>45367.618043981478</v>
      </c>
      <c r="Q118" s="9">
        <v>45369</v>
      </c>
      <c r="R118" t="s">
        <v>44</v>
      </c>
      <c r="S118" t="s">
        <v>45</v>
      </c>
      <c r="T118" t="s">
        <v>46</v>
      </c>
      <c r="U118" t="s">
        <v>54</v>
      </c>
      <c r="V118" t="s">
        <v>440</v>
      </c>
      <c r="W118">
        <v>47500</v>
      </c>
      <c r="X118" t="s">
        <v>45</v>
      </c>
      <c r="Y118" t="s">
        <v>441</v>
      </c>
      <c r="Z118" t="s">
        <v>50</v>
      </c>
      <c r="AA118" s="10">
        <f>IF(O118&lt;=1,7,7+0.8*ROUNDUP(O118-1,0))</f>
        <v>7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6"/>
        <v>0.42</v>
      </c>
      <c r="AG118" s="11">
        <f t="shared" si="7"/>
        <v>7.42</v>
      </c>
      <c r="AH118" t="s">
        <v>51</v>
      </c>
    </row>
    <row r="119" spans="1:34" ht="15" customHeight="1" x14ac:dyDescent="0.35">
      <c r="A119">
        <v>7547676</v>
      </c>
      <c r="B119">
        <v>690929</v>
      </c>
      <c r="C119" t="s">
        <v>34</v>
      </c>
      <c r="D119" t="s">
        <v>35</v>
      </c>
      <c r="E119" s="6" t="s">
        <v>34</v>
      </c>
      <c r="F119" t="s">
        <v>442</v>
      </c>
      <c r="G119" t="s">
        <v>37</v>
      </c>
      <c r="H119" t="s">
        <v>38</v>
      </c>
      <c r="I119" t="s">
        <v>443</v>
      </c>
      <c r="J119" t="s">
        <v>40</v>
      </c>
      <c r="K119">
        <v>2</v>
      </c>
      <c r="L119" t="s">
        <v>41</v>
      </c>
      <c r="M119" t="s">
        <v>42</v>
      </c>
      <c r="N119" t="s">
        <v>43</v>
      </c>
      <c r="O119" s="7">
        <v>1</v>
      </c>
      <c r="P119" s="8">
        <v>45368.627118055556</v>
      </c>
      <c r="Q119" s="9">
        <v>45369</v>
      </c>
      <c r="R119" t="s">
        <v>44</v>
      </c>
      <c r="S119" t="s">
        <v>45</v>
      </c>
      <c r="T119" t="s">
        <v>46</v>
      </c>
      <c r="U119" t="s">
        <v>54</v>
      </c>
      <c r="V119" t="s">
        <v>444</v>
      </c>
      <c r="W119">
        <v>40000</v>
      </c>
      <c r="X119" t="s">
        <v>45</v>
      </c>
      <c r="Y119" t="s">
        <v>79</v>
      </c>
      <c r="Z119" t="s">
        <v>50</v>
      </c>
      <c r="AA119" s="10">
        <f>IF(O119&lt;=1,7,7+0.8*ROUNDUP(O119-1,0))</f>
        <v>7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6"/>
        <v>0.42</v>
      </c>
      <c r="AG119" s="11">
        <f t="shared" si="7"/>
        <v>7.42</v>
      </c>
      <c r="AH119" t="s">
        <v>51</v>
      </c>
    </row>
    <row r="120" spans="1:34" ht="15" customHeight="1" x14ac:dyDescent="0.35">
      <c r="A120">
        <v>7547676</v>
      </c>
      <c r="B120">
        <v>690929</v>
      </c>
      <c r="C120" t="s">
        <v>34</v>
      </c>
      <c r="D120" t="s">
        <v>35</v>
      </c>
      <c r="E120" s="6" t="s">
        <v>34</v>
      </c>
      <c r="F120" t="s">
        <v>445</v>
      </c>
      <c r="G120" t="s">
        <v>37</v>
      </c>
      <c r="H120" t="s">
        <v>38</v>
      </c>
      <c r="I120" t="s">
        <v>446</v>
      </c>
      <c r="J120" t="s">
        <v>40</v>
      </c>
      <c r="K120">
        <v>2</v>
      </c>
      <c r="L120" t="s">
        <v>41</v>
      </c>
      <c r="M120" t="s">
        <v>42</v>
      </c>
      <c r="N120" t="s">
        <v>43</v>
      </c>
      <c r="O120" s="7">
        <v>14</v>
      </c>
      <c r="P120" s="8">
        <v>45367.723275462966</v>
      </c>
      <c r="Q120" s="9">
        <v>45369</v>
      </c>
      <c r="R120" t="s">
        <v>44</v>
      </c>
      <c r="S120" t="s">
        <v>45</v>
      </c>
      <c r="T120" t="s">
        <v>46</v>
      </c>
      <c r="U120" t="s">
        <v>54</v>
      </c>
      <c r="V120" t="s">
        <v>447</v>
      </c>
      <c r="W120">
        <v>40300</v>
      </c>
      <c r="X120" t="s">
        <v>45</v>
      </c>
      <c r="Y120" t="s">
        <v>56</v>
      </c>
      <c r="Z120" t="s">
        <v>50</v>
      </c>
      <c r="AA120" s="10">
        <f>IF(O120&lt;=1,7,7+0.8*ROUNDUP(O120-1,0))</f>
        <v>17.399999999999999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6"/>
        <v>1.0439999999999998</v>
      </c>
      <c r="AG120" s="11">
        <f t="shared" si="7"/>
        <v>18.443999999999999</v>
      </c>
      <c r="AH120" t="s">
        <v>51</v>
      </c>
    </row>
    <row r="121" spans="1:34" ht="15" customHeight="1" x14ac:dyDescent="0.35">
      <c r="A121">
        <v>7547676</v>
      </c>
      <c r="B121">
        <v>690929</v>
      </c>
      <c r="C121" t="s">
        <v>34</v>
      </c>
      <c r="D121" t="s">
        <v>35</v>
      </c>
      <c r="E121" s="6" t="s">
        <v>34</v>
      </c>
      <c r="F121" t="s">
        <v>448</v>
      </c>
      <c r="G121" t="s">
        <v>37</v>
      </c>
      <c r="H121" t="s">
        <v>38</v>
      </c>
      <c r="I121" t="s">
        <v>446</v>
      </c>
      <c r="J121" t="s">
        <v>40</v>
      </c>
      <c r="K121">
        <v>2</v>
      </c>
      <c r="L121" t="s">
        <v>41</v>
      </c>
      <c r="M121" t="s">
        <v>42</v>
      </c>
      <c r="N121" t="s">
        <v>43</v>
      </c>
      <c r="O121" s="7">
        <v>9</v>
      </c>
      <c r="P121" s="8">
        <v>45367.723275462966</v>
      </c>
      <c r="Q121" s="9">
        <v>45369</v>
      </c>
      <c r="R121" t="s">
        <v>44</v>
      </c>
      <c r="S121" t="s">
        <v>45</v>
      </c>
      <c r="T121" t="s">
        <v>46</v>
      </c>
      <c r="U121" t="s">
        <v>54</v>
      </c>
      <c r="V121" t="s">
        <v>447</v>
      </c>
      <c r="W121">
        <v>40300</v>
      </c>
      <c r="X121" t="s">
        <v>45</v>
      </c>
      <c r="Y121" t="s">
        <v>56</v>
      </c>
      <c r="Z121" t="s">
        <v>50</v>
      </c>
      <c r="AA121" s="10">
        <f>IF(O121&lt;=1,7,7+0.8*ROUNDUP(O121-1,0))</f>
        <v>13.4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6"/>
        <v>0.80399999999999994</v>
      </c>
      <c r="AG121" s="11">
        <f t="shared" si="7"/>
        <v>14.204000000000001</v>
      </c>
      <c r="AH121" t="s">
        <v>51</v>
      </c>
    </row>
    <row r="122" spans="1:34" ht="15" customHeight="1" x14ac:dyDescent="0.35">
      <c r="A122">
        <v>7547676</v>
      </c>
      <c r="B122">
        <v>690929</v>
      </c>
      <c r="C122" t="s">
        <v>34</v>
      </c>
      <c r="D122" t="s">
        <v>35</v>
      </c>
      <c r="E122" s="6" t="s">
        <v>34</v>
      </c>
      <c r="F122" t="s">
        <v>449</v>
      </c>
      <c r="G122" t="s">
        <v>37</v>
      </c>
      <c r="H122" t="s">
        <v>38</v>
      </c>
      <c r="I122" t="s">
        <v>450</v>
      </c>
      <c r="J122" t="s">
        <v>40</v>
      </c>
      <c r="K122">
        <v>2</v>
      </c>
      <c r="L122" t="s">
        <v>41</v>
      </c>
      <c r="M122" t="s">
        <v>42</v>
      </c>
      <c r="N122" t="s">
        <v>43</v>
      </c>
      <c r="O122" s="7">
        <v>14</v>
      </c>
      <c r="P122" s="8">
        <v>45367.723275462966</v>
      </c>
      <c r="Q122" s="9">
        <v>45369</v>
      </c>
      <c r="R122" t="s">
        <v>44</v>
      </c>
      <c r="S122" t="s">
        <v>45</v>
      </c>
      <c r="T122" t="s">
        <v>46</v>
      </c>
      <c r="U122" t="s">
        <v>67</v>
      </c>
      <c r="V122" t="s">
        <v>451</v>
      </c>
      <c r="W122">
        <v>58100</v>
      </c>
      <c r="X122" t="s">
        <v>45</v>
      </c>
      <c r="Y122" t="s">
        <v>452</v>
      </c>
      <c r="Z122" t="s">
        <v>50</v>
      </c>
      <c r="AA122" s="10">
        <f>IF(O122&lt;=1,7,7+0.8*ROUNDUP(O122-1,0))</f>
        <v>17.399999999999999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6"/>
        <v>1.0439999999999998</v>
      </c>
      <c r="AG122" s="11">
        <f t="shared" si="7"/>
        <v>18.443999999999999</v>
      </c>
      <c r="AH122" t="s">
        <v>51</v>
      </c>
    </row>
    <row r="123" spans="1:34" ht="15" customHeight="1" x14ac:dyDescent="0.35">
      <c r="A123">
        <v>7547676</v>
      </c>
      <c r="B123">
        <v>690929</v>
      </c>
      <c r="C123" t="s">
        <v>34</v>
      </c>
      <c r="D123" t="s">
        <v>35</v>
      </c>
      <c r="E123" s="6" t="s">
        <v>34</v>
      </c>
      <c r="F123" t="s">
        <v>453</v>
      </c>
      <c r="G123" t="s">
        <v>37</v>
      </c>
      <c r="H123" t="s">
        <v>38</v>
      </c>
      <c r="I123" t="s">
        <v>454</v>
      </c>
      <c r="J123" t="s">
        <v>40</v>
      </c>
      <c r="K123">
        <v>2</v>
      </c>
      <c r="L123" t="s">
        <v>41</v>
      </c>
      <c r="M123" t="s">
        <v>42</v>
      </c>
      <c r="N123" t="s">
        <v>43</v>
      </c>
      <c r="O123" s="7">
        <v>1</v>
      </c>
      <c r="P123" s="8">
        <v>45368.422650462962</v>
      </c>
      <c r="Q123" s="9">
        <v>45369</v>
      </c>
      <c r="R123" t="s">
        <v>44</v>
      </c>
      <c r="S123" t="s">
        <v>45</v>
      </c>
      <c r="T123" t="s">
        <v>46</v>
      </c>
      <c r="U123" t="s">
        <v>47</v>
      </c>
      <c r="V123" t="s">
        <v>455</v>
      </c>
      <c r="W123">
        <v>23000</v>
      </c>
      <c r="X123" t="s">
        <v>45</v>
      </c>
      <c r="Y123" t="s">
        <v>49</v>
      </c>
      <c r="Z123" t="s">
        <v>50</v>
      </c>
      <c r="AA123" s="10">
        <f>IF(O123&lt;=1,7,7+0.8*ROUNDUP(O123-1,0))</f>
        <v>7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6"/>
        <v>0.42</v>
      </c>
      <c r="AG123" s="11">
        <f t="shared" si="7"/>
        <v>7.42</v>
      </c>
      <c r="AH123" t="s">
        <v>51</v>
      </c>
    </row>
    <row r="124" spans="1:34" ht="15" customHeight="1" x14ac:dyDescent="0.35">
      <c r="A124">
        <v>7547676</v>
      </c>
      <c r="B124">
        <v>690929</v>
      </c>
      <c r="C124" t="s">
        <v>34</v>
      </c>
      <c r="D124" t="s">
        <v>35</v>
      </c>
      <c r="E124" s="6" t="s">
        <v>34</v>
      </c>
      <c r="F124" t="s">
        <v>456</v>
      </c>
      <c r="G124" t="s">
        <v>37</v>
      </c>
      <c r="H124" t="s">
        <v>38</v>
      </c>
      <c r="I124" t="s">
        <v>457</v>
      </c>
      <c r="J124" t="s">
        <v>40</v>
      </c>
      <c r="K124">
        <v>2</v>
      </c>
      <c r="L124" t="s">
        <v>41</v>
      </c>
      <c r="M124" t="s">
        <v>42</v>
      </c>
      <c r="N124" t="s">
        <v>43</v>
      </c>
      <c r="O124" s="7">
        <v>2</v>
      </c>
      <c r="P124" s="8">
        <v>45368.538194444445</v>
      </c>
      <c r="Q124" s="9">
        <v>45369</v>
      </c>
      <c r="R124" t="s">
        <v>44</v>
      </c>
      <c r="S124" t="s">
        <v>45</v>
      </c>
      <c r="T124" t="s">
        <v>46</v>
      </c>
      <c r="U124" t="s">
        <v>54</v>
      </c>
      <c r="V124" t="s">
        <v>458</v>
      </c>
      <c r="W124">
        <v>47100</v>
      </c>
      <c r="X124" t="s">
        <v>45</v>
      </c>
      <c r="Y124" t="s">
        <v>459</v>
      </c>
      <c r="Z124" t="s">
        <v>50</v>
      </c>
      <c r="AA124" s="10">
        <f>IF(O124&lt;=1,7,7+0.8*ROUNDUP(O124-1,0))</f>
        <v>7.8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6"/>
        <v>0.46799999999999997</v>
      </c>
      <c r="AG124" s="11">
        <f t="shared" si="7"/>
        <v>8.2680000000000007</v>
      </c>
      <c r="AH124" t="s">
        <v>51</v>
      </c>
    </row>
    <row r="125" spans="1:34" ht="15" customHeight="1" x14ac:dyDescent="0.35">
      <c r="A125">
        <v>7547676</v>
      </c>
      <c r="B125">
        <v>690929</v>
      </c>
      <c r="C125" t="s">
        <v>34</v>
      </c>
      <c r="D125" t="s">
        <v>35</v>
      </c>
      <c r="E125" s="6" t="s">
        <v>34</v>
      </c>
      <c r="F125" t="s">
        <v>460</v>
      </c>
      <c r="G125" t="s">
        <v>37</v>
      </c>
      <c r="H125" t="s">
        <v>38</v>
      </c>
      <c r="I125" t="s">
        <v>461</v>
      </c>
      <c r="J125" t="s">
        <v>40</v>
      </c>
      <c r="K125">
        <v>2</v>
      </c>
      <c r="L125" t="s">
        <v>41</v>
      </c>
      <c r="M125" t="s">
        <v>42</v>
      </c>
      <c r="N125" t="s">
        <v>43</v>
      </c>
      <c r="O125" s="7">
        <v>1</v>
      </c>
      <c r="P125" s="8">
        <v>45367.550844907404</v>
      </c>
      <c r="Q125" s="9">
        <v>45369</v>
      </c>
      <c r="R125" t="s">
        <v>44</v>
      </c>
      <c r="S125" t="s">
        <v>45</v>
      </c>
      <c r="T125" t="s">
        <v>46</v>
      </c>
      <c r="U125" t="s">
        <v>172</v>
      </c>
      <c r="V125" t="s">
        <v>462</v>
      </c>
      <c r="W125">
        <v>32040</v>
      </c>
      <c r="X125" t="s">
        <v>45</v>
      </c>
      <c r="Y125" t="s">
        <v>463</v>
      </c>
      <c r="Z125" t="s">
        <v>50</v>
      </c>
      <c r="AA125" s="10">
        <f>IF(O125&lt;=1,7,7+0.8*ROUNDUP(O125-1,0))</f>
        <v>7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6"/>
        <v>0.42</v>
      </c>
      <c r="AG125" s="11">
        <f t="shared" si="7"/>
        <v>7.42</v>
      </c>
      <c r="AH125" t="s">
        <v>51</v>
      </c>
    </row>
    <row r="126" spans="1:34" ht="15" customHeight="1" x14ac:dyDescent="0.35">
      <c r="A126">
        <v>7547676</v>
      </c>
      <c r="B126">
        <v>690929</v>
      </c>
      <c r="C126" t="s">
        <v>34</v>
      </c>
      <c r="D126" t="s">
        <v>35</v>
      </c>
      <c r="E126" s="6" t="s">
        <v>34</v>
      </c>
      <c r="F126" t="s">
        <v>464</v>
      </c>
      <c r="G126" t="s">
        <v>37</v>
      </c>
      <c r="H126" t="s">
        <v>38</v>
      </c>
      <c r="I126" t="s">
        <v>465</v>
      </c>
      <c r="J126" t="s">
        <v>40</v>
      </c>
      <c r="K126">
        <v>2</v>
      </c>
      <c r="L126" t="s">
        <v>41</v>
      </c>
      <c r="M126" t="s">
        <v>42</v>
      </c>
      <c r="N126" t="s">
        <v>43</v>
      </c>
      <c r="O126" s="7">
        <v>1</v>
      </c>
      <c r="P126" s="8">
        <v>45367.574965277781</v>
      </c>
      <c r="Q126" s="9">
        <v>45369</v>
      </c>
      <c r="R126" t="s">
        <v>44</v>
      </c>
      <c r="S126" t="s">
        <v>45</v>
      </c>
      <c r="T126" t="s">
        <v>46</v>
      </c>
      <c r="U126" t="s">
        <v>190</v>
      </c>
      <c r="V126" t="s">
        <v>466</v>
      </c>
      <c r="W126">
        <v>27660</v>
      </c>
      <c r="X126" t="s">
        <v>45</v>
      </c>
      <c r="Y126" t="s">
        <v>362</v>
      </c>
      <c r="Z126" t="s">
        <v>50</v>
      </c>
      <c r="AA126" s="10">
        <f>IF(O126&lt;=1,7,7+0.8*ROUNDUP(O126-1,0))</f>
        <v>7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6"/>
        <v>0.42</v>
      </c>
      <c r="AG126" s="11">
        <f t="shared" si="7"/>
        <v>7.42</v>
      </c>
      <c r="AH126" t="s">
        <v>51</v>
      </c>
    </row>
    <row r="127" spans="1:34" ht="15" customHeight="1" x14ac:dyDescent="0.35">
      <c r="A127">
        <v>7547676</v>
      </c>
      <c r="B127">
        <v>690929</v>
      </c>
      <c r="C127" t="s">
        <v>34</v>
      </c>
      <c r="D127" t="s">
        <v>35</v>
      </c>
      <c r="E127" s="6" t="s">
        <v>34</v>
      </c>
      <c r="F127" t="s">
        <v>467</v>
      </c>
      <c r="G127" t="s">
        <v>37</v>
      </c>
      <c r="H127" t="s">
        <v>38</v>
      </c>
      <c r="I127" t="s">
        <v>468</v>
      </c>
      <c r="J127" t="s">
        <v>40</v>
      </c>
      <c r="K127">
        <v>2</v>
      </c>
      <c r="L127" t="s">
        <v>41</v>
      </c>
      <c r="M127" t="s">
        <v>42</v>
      </c>
      <c r="N127" t="s">
        <v>43</v>
      </c>
      <c r="O127" s="7">
        <v>1</v>
      </c>
      <c r="P127" s="8">
        <v>45368.707986111112</v>
      </c>
      <c r="Q127" s="9">
        <v>45369</v>
      </c>
      <c r="R127" t="s">
        <v>44</v>
      </c>
      <c r="S127" t="s">
        <v>45</v>
      </c>
      <c r="T127" t="s">
        <v>46</v>
      </c>
      <c r="U127" t="s">
        <v>99</v>
      </c>
      <c r="V127" t="s">
        <v>469</v>
      </c>
      <c r="W127">
        <v>18300</v>
      </c>
      <c r="X127" t="s">
        <v>45</v>
      </c>
      <c r="Y127" t="s">
        <v>156</v>
      </c>
      <c r="Z127" t="s">
        <v>50</v>
      </c>
      <c r="AA127" s="10">
        <f>IF(O127&lt;=1,7,7+0.8*ROUNDUP(O127-1,0))</f>
        <v>7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6"/>
        <v>0.42</v>
      </c>
      <c r="AG127" s="11">
        <f t="shared" si="7"/>
        <v>7.42</v>
      </c>
      <c r="AH127" t="s">
        <v>51</v>
      </c>
    </row>
    <row r="128" spans="1:34" ht="15" customHeight="1" x14ac:dyDescent="0.35">
      <c r="A128">
        <v>7547676</v>
      </c>
      <c r="B128">
        <v>690929</v>
      </c>
      <c r="C128" t="s">
        <v>34</v>
      </c>
      <c r="D128" t="s">
        <v>35</v>
      </c>
      <c r="E128" s="6" t="s">
        <v>34</v>
      </c>
      <c r="F128" t="s">
        <v>470</v>
      </c>
      <c r="G128" t="s">
        <v>37</v>
      </c>
      <c r="H128" t="s">
        <v>38</v>
      </c>
      <c r="I128" t="s">
        <v>471</v>
      </c>
      <c r="J128" t="s">
        <v>40</v>
      </c>
      <c r="K128">
        <v>2</v>
      </c>
      <c r="L128" t="s">
        <v>41</v>
      </c>
      <c r="M128" t="s">
        <v>42</v>
      </c>
      <c r="N128" t="s">
        <v>43</v>
      </c>
      <c r="O128" s="7">
        <v>1</v>
      </c>
      <c r="P128" s="8">
        <v>45366.701249999998</v>
      </c>
      <c r="Q128" s="9">
        <v>45369</v>
      </c>
      <c r="R128" t="s">
        <v>44</v>
      </c>
      <c r="S128" t="s">
        <v>45</v>
      </c>
      <c r="T128" t="s">
        <v>46</v>
      </c>
      <c r="U128" t="s">
        <v>190</v>
      </c>
      <c r="V128" t="s">
        <v>472</v>
      </c>
      <c r="W128">
        <v>39000</v>
      </c>
      <c r="X128" t="s">
        <v>45</v>
      </c>
      <c r="Y128" t="s">
        <v>192</v>
      </c>
      <c r="Z128" t="s">
        <v>50</v>
      </c>
      <c r="AA128" s="10">
        <f>IF(O128&lt;=1,7,7+0.8*ROUNDUP(O128-1,0))</f>
        <v>7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6"/>
        <v>0.42</v>
      </c>
      <c r="AG128" s="11">
        <f t="shared" si="7"/>
        <v>7.42</v>
      </c>
      <c r="AH128" t="s">
        <v>51</v>
      </c>
    </row>
    <row r="129" spans="1:34" ht="15" customHeight="1" x14ac:dyDescent="0.35">
      <c r="A129">
        <v>7547676</v>
      </c>
      <c r="B129">
        <v>690929</v>
      </c>
      <c r="C129" t="s">
        <v>34</v>
      </c>
      <c r="D129" t="s">
        <v>35</v>
      </c>
      <c r="E129" s="6" t="s">
        <v>34</v>
      </c>
      <c r="F129" t="s">
        <v>473</v>
      </c>
      <c r="G129" t="s">
        <v>37</v>
      </c>
      <c r="H129" t="s">
        <v>38</v>
      </c>
      <c r="I129" t="s">
        <v>474</v>
      </c>
      <c r="J129" t="s">
        <v>40</v>
      </c>
      <c r="K129">
        <v>2</v>
      </c>
      <c r="L129" t="s">
        <v>41</v>
      </c>
      <c r="M129" t="s">
        <v>42</v>
      </c>
      <c r="N129" t="s">
        <v>43</v>
      </c>
      <c r="O129" s="7">
        <v>5</v>
      </c>
      <c r="P129" s="8">
        <v>45366.622141203705</v>
      </c>
      <c r="Q129" s="9">
        <v>45369</v>
      </c>
      <c r="R129" t="s">
        <v>44</v>
      </c>
      <c r="S129" t="s">
        <v>45</v>
      </c>
      <c r="T129" t="s">
        <v>46</v>
      </c>
      <c r="U129" t="s">
        <v>67</v>
      </c>
      <c r="V129" t="s">
        <v>475</v>
      </c>
      <c r="W129">
        <v>59200</v>
      </c>
      <c r="X129" t="s">
        <v>45</v>
      </c>
      <c r="Y129" t="s">
        <v>452</v>
      </c>
      <c r="Z129" t="s">
        <v>50</v>
      </c>
      <c r="AA129" s="10">
        <f>IF(O129&lt;=1,7,7+0.8*ROUNDUP(O129-1,0))</f>
        <v>10.199999999999999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6"/>
        <v>0.61199999999999999</v>
      </c>
      <c r="AG129" s="11">
        <f t="shared" si="7"/>
        <v>10.811999999999999</v>
      </c>
      <c r="AH129" t="s">
        <v>51</v>
      </c>
    </row>
    <row r="130" spans="1:34" ht="15" customHeight="1" x14ac:dyDescent="0.35">
      <c r="A130">
        <v>7547676</v>
      </c>
      <c r="B130">
        <v>690929</v>
      </c>
      <c r="C130" t="s">
        <v>34</v>
      </c>
      <c r="D130" t="s">
        <v>35</v>
      </c>
      <c r="E130" s="6" t="s">
        <v>34</v>
      </c>
      <c r="F130" t="s">
        <v>476</v>
      </c>
      <c r="G130" t="s">
        <v>37</v>
      </c>
      <c r="H130" t="s">
        <v>38</v>
      </c>
      <c r="I130" t="s">
        <v>477</v>
      </c>
      <c r="J130" t="s">
        <v>40</v>
      </c>
      <c r="K130">
        <v>2</v>
      </c>
      <c r="L130" t="s">
        <v>41</v>
      </c>
      <c r="M130" t="s">
        <v>42</v>
      </c>
      <c r="N130" t="s">
        <v>43</v>
      </c>
      <c r="O130" s="7">
        <v>3</v>
      </c>
      <c r="P130" s="8">
        <v>45368.6094212963</v>
      </c>
      <c r="Q130" s="9">
        <v>45369</v>
      </c>
      <c r="R130" t="s">
        <v>44</v>
      </c>
      <c r="S130" t="s">
        <v>45</v>
      </c>
      <c r="T130" t="s">
        <v>46</v>
      </c>
      <c r="U130" t="s">
        <v>54</v>
      </c>
      <c r="V130" t="s">
        <v>478</v>
      </c>
      <c r="W130">
        <v>40160</v>
      </c>
      <c r="X130" t="s">
        <v>45</v>
      </c>
      <c r="Y130" t="s">
        <v>325</v>
      </c>
      <c r="Z130" t="s">
        <v>50</v>
      </c>
      <c r="AA130" s="10">
        <f>IF(O130&lt;=1,7,7+0.8*ROUNDUP(O130-1,0))</f>
        <v>8.6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si="6"/>
        <v>0.51600000000000001</v>
      </c>
      <c r="AG130" s="11">
        <f t="shared" si="7"/>
        <v>9.1159999999999997</v>
      </c>
      <c r="AH130" t="s">
        <v>51</v>
      </c>
    </row>
    <row r="131" spans="1:34" ht="15" customHeight="1" x14ac:dyDescent="0.35">
      <c r="A131">
        <v>7547676</v>
      </c>
      <c r="B131">
        <v>690929</v>
      </c>
      <c r="C131" t="s">
        <v>34</v>
      </c>
      <c r="D131" t="s">
        <v>35</v>
      </c>
      <c r="E131" s="6" t="s">
        <v>34</v>
      </c>
      <c r="F131" t="s">
        <v>479</v>
      </c>
      <c r="G131" t="s">
        <v>37</v>
      </c>
      <c r="H131" t="s">
        <v>38</v>
      </c>
      <c r="I131" t="s">
        <v>480</v>
      </c>
      <c r="J131" t="s">
        <v>40</v>
      </c>
      <c r="K131">
        <v>2</v>
      </c>
      <c r="L131" t="s">
        <v>41</v>
      </c>
      <c r="M131" t="s">
        <v>42</v>
      </c>
      <c r="N131" t="s">
        <v>43</v>
      </c>
      <c r="O131" s="7">
        <v>2</v>
      </c>
      <c r="P131" s="8">
        <v>45367.544571759259</v>
      </c>
      <c r="Q131" s="9">
        <v>45369</v>
      </c>
      <c r="R131" t="s">
        <v>44</v>
      </c>
      <c r="S131" t="s">
        <v>45</v>
      </c>
      <c r="T131" t="s">
        <v>46</v>
      </c>
      <c r="U131" t="s">
        <v>54</v>
      </c>
      <c r="V131" t="s">
        <v>481</v>
      </c>
      <c r="W131">
        <v>42600</v>
      </c>
      <c r="X131" t="s">
        <v>45</v>
      </c>
      <c r="Y131" t="s">
        <v>79</v>
      </c>
      <c r="Z131" t="s">
        <v>50</v>
      </c>
      <c r="AA131" s="10">
        <f>IF(O131&lt;=1,7,7+0.8*ROUNDUP(O131-1,0))</f>
        <v>7.8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6"/>
        <v>0.46799999999999997</v>
      </c>
      <c r="AG131" s="11">
        <f t="shared" si="7"/>
        <v>8.2680000000000007</v>
      </c>
      <c r="AH131" t="s">
        <v>51</v>
      </c>
    </row>
    <row r="132" spans="1:34" ht="15" customHeight="1" x14ac:dyDescent="0.35">
      <c r="A132">
        <v>7547676</v>
      </c>
      <c r="B132">
        <v>690929</v>
      </c>
      <c r="C132" t="s">
        <v>34</v>
      </c>
      <c r="D132" t="s">
        <v>35</v>
      </c>
      <c r="E132" s="6" t="s">
        <v>34</v>
      </c>
      <c r="F132" t="s">
        <v>482</v>
      </c>
      <c r="G132" t="s">
        <v>37</v>
      </c>
      <c r="H132" t="s">
        <v>38</v>
      </c>
      <c r="I132" t="s">
        <v>408</v>
      </c>
      <c r="J132" t="s">
        <v>40</v>
      </c>
      <c r="K132">
        <v>2</v>
      </c>
      <c r="L132" t="s">
        <v>41</v>
      </c>
      <c r="M132" t="s">
        <v>42</v>
      </c>
      <c r="N132" t="s">
        <v>43</v>
      </c>
      <c r="O132" s="7">
        <v>14</v>
      </c>
      <c r="P132" s="8">
        <v>45367.723275462966</v>
      </c>
      <c r="Q132" s="9">
        <v>45369</v>
      </c>
      <c r="R132" t="s">
        <v>44</v>
      </c>
      <c r="S132" t="s">
        <v>45</v>
      </c>
      <c r="T132" t="s">
        <v>46</v>
      </c>
      <c r="U132" t="s">
        <v>134</v>
      </c>
      <c r="V132" t="s">
        <v>409</v>
      </c>
      <c r="W132">
        <v>8000</v>
      </c>
      <c r="X132" t="s">
        <v>45</v>
      </c>
      <c r="Y132" t="s">
        <v>180</v>
      </c>
      <c r="Z132" t="s">
        <v>50</v>
      </c>
      <c r="AA132" s="10">
        <f>IF(O132&lt;=1,7,7+0.8*ROUNDUP(O132-1,0))</f>
        <v>17.399999999999999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6"/>
        <v>1.0439999999999998</v>
      </c>
      <c r="AG132" s="11">
        <f t="shared" si="7"/>
        <v>18.443999999999999</v>
      </c>
      <c r="AH132" t="s">
        <v>51</v>
      </c>
    </row>
    <row r="133" spans="1:34" ht="15" customHeight="1" x14ac:dyDescent="0.35">
      <c r="A133">
        <v>7547676</v>
      </c>
      <c r="B133">
        <v>690929</v>
      </c>
      <c r="C133" t="s">
        <v>34</v>
      </c>
      <c r="D133" t="s">
        <v>35</v>
      </c>
      <c r="E133" s="6" t="s">
        <v>34</v>
      </c>
      <c r="F133" t="s">
        <v>483</v>
      </c>
      <c r="G133" t="s">
        <v>37</v>
      </c>
      <c r="H133" t="s">
        <v>38</v>
      </c>
      <c r="I133" t="s">
        <v>484</v>
      </c>
      <c r="J133" t="s">
        <v>40</v>
      </c>
      <c r="K133">
        <v>2</v>
      </c>
      <c r="L133" t="s">
        <v>41</v>
      </c>
      <c r="M133" t="s">
        <v>42</v>
      </c>
      <c r="N133" t="s">
        <v>43</v>
      </c>
      <c r="O133" s="7">
        <v>1</v>
      </c>
      <c r="P133" s="8">
        <v>45365.721759259257</v>
      </c>
      <c r="Q133" s="9">
        <v>45369</v>
      </c>
      <c r="R133" t="s">
        <v>287</v>
      </c>
      <c r="S133" t="s">
        <v>45</v>
      </c>
      <c r="T133" t="s">
        <v>46</v>
      </c>
      <c r="U133" t="s">
        <v>54</v>
      </c>
      <c r="V133" t="s">
        <v>485</v>
      </c>
      <c r="W133">
        <v>48000</v>
      </c>
      <c r="X133" t="s">
        <v>45</v>
      </c>
      <c r="Y133" t="s">
        <v>486</v>
      </c>
      <c r="Z133" t="s">
        <v>50</v>
      </c>
      <c r="AA133" s="10">
        <f>IF(O133&lt;=1,7,7+0.8*ROUNDUP(O133-1,0))</f>
        <v>7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6"/>
        <v>0.42</v>
      </c>
      <c r="AG133" s="11">
        <f t="shared" si="7"/>
        <v>7.42</v>
      </c>
      <c r="AH133" t="s">
        <v>51</v>
      </c>
    </row>
    <row r="134" spans="1:34" ht="15" customHeight="1" x14ac:dyDescent="0.35">
      <c r="A134">
        <v>7547676</v>
      </c>
      <c r="B134">
        <v>690929</v>
      </c>
      <c r="C134" t="s">
        <v>34</v>
      </c>
      <c r="D134" t="s">
        <v>35</v>
      </c>
      <c r="E134" s="6" t="s">
        <v>34</v>
      </c>
      <c r="F134" t="s">
        <v>487</v>
      </c>
      <c r="G134" t="s">
        <v>37</v>
      </c>
      <c r="H134" t="s">
        <v>38</v>
      </c>
      <c r="I134" t="s">
        <v>488</v>
      </c>
      <c r="J134" t="s">
        <v>40</v>
      </c>
      <c r="K134">
        <v>2</v>
      </c>
      <c r="L134" t="s">
        <v>41</v>
      </c>
      <c r="M134" t="s">
        <v>42</v>
      </c>
      <c r="N134" t="s">
        <v>43</v>
      </c>
      <c r="O134" s="7">
        <v>1</v>
      </c>
      <c r="P134" s="8">
        <v>45368.705983796295</v>
      </c>
      <c r="Q134" s="9">
        <v>45369</v>
      </c>
      <c r="R134" t="s">
        <v>44</v>
      </c>
      <c r="S134" t="s">
        <v>45</v>
      </c>
      <c r="T134" t="s">
        <v>46</v>
      </c>
      <c r="U134" t="s">
        <v>99</v>
      </c>
      <c r="V134" t="s">
        <v>489</v>
      </c>
      <c r="W134">
        <v>16300</v>
      </c>
      <c r="X134" t="s">
        <v>45</v>
      </c>
      <c r="Y134" t="s">
        <v>399</v>
      </c>
      <c r="Z134" t="s">
        <v>50</v>
      </c>
      <c r="AA134" s="10">
        <f>IF(O134&lt;=1,7,7+0.8*ROUNDUP(O134-1,0))</f>
        <v>7</v>
      </c>
      <c r="AB134" s="11">
        <v>0</v>
      </c>
      <c r="AC134" s="11">
        <v>0</v>
      </c>
      <c r="AD134" s="11">
        <v>0</v>
      </c>
      <c r="AE134" s="11">
        <v>0</v>
      </c>
      <c r="AF134" s="11">
        <f>(AA134+AC134+AE134)*6%</f>
        <v>0.42</v>
      </c>
      <c r="AG134" s="11">
        <f>AA134+AC134+AE134+AF134</f>
        <v>7.42</v>
      </c>
      <c r="AH134" t="s">
        <v>51</v>
      </c>
    </row>
    <row r="135" spans="1:34" ht="15" customHeight="1" x14ac:dyDescent="0.35">
      <c r="A135">
        <v>7547676</v>
      </c>
      <c r="B135">
        <v>690929</v>
      </c>
      <c r="C135" t="s">
        <v>34</v>
      </c>
      <c r="D135" t="s">
        <v>35</v>
      </c>
      <c r="E135" s="6" t="s">
        <v>34</v>
      </c>
      <c r="F135" t="s">
        <v>490</v>
      </c>
      <c r="G135" t="s">
        <v>37</v>
      </c>
      <c r="H135" t="s">
        <v>38</v>
      </c>
      <c r="I135" t="s">
        <v>491</v>
      </c>
      <c r="J135" t="s">
        <v>40</v>
      </c>
      <c r="K135">
        <v>2</v>
      </c>
      <c r="L135" t="s">
        <v>41</v>
      </c>
      <c r="M135" t="s">
        <v>42</v>
      </c>
      <c r="N135" t="s">
        <v>43</v>
      </c>
      <c r="O135" s="7">
        <v>1</v>
      </c>
      <c r="P135" s="8">
        <v>45368.577048611114</v>
      </c>
      <c r="Q135" s="9">
        <v>45369</v>
      </c>
      <c r="R135" t="s">
        <v>44</v>
      </c>
      <c r="S135" t="s">
        <v>45</v>
      </c>
      <c r="T135" t="s">
        <v>46</v>
      </c>
      <c r="U135" t="s">
        <v>99</v>
      </c>
      <c r="V135" t="s">
        <v>492</v>
      </c>
      <c r="W135">
        <v>16070</v>
      </c>
      <c r="X135" t="s">
        <v>45</v>
      </c>
      <c r="Y135" t="s">
        <v>156</v>
      </c>
      <c r="Z135" t="s">
        <v>50</v>
      </c>
      <c r="AA135" s="10">
        <f>IF(O135&lt;=1,7,7+0.8*ROUNDUP(O135-1,0))</f>
        <v>7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ref="AF135:AF198" si="8">(AA135+AC135+AE135)*6%</f>
        <v>0.42</v>
      </c>
      <c r="AG135" s="11">
        <f t="shared" ref="AG135:AG198" si="9">AA135+AC135+AE135+AF135</f>
        <v>7.42</v>
      </c>
      <c r="AH135" t="s">
        <v>51</v>
      </c>
    </row>
    <row r="136" spans="1:34" ht="15" customHeight="1" x14ac:dyDescent="0.35">
      <c r="A136">
        <v>7547676</v>
      </c>
      <c r="B136">
        <v>690929</v>
      </c>
      <c r="C136" t="s">
        <v>34</v>
      </c>
      <c r="D136" t="s">
        <v>35</v>
      </c>
      <c r="E136" s="6" t="s">
        <v>34</v>
      </c>
      <c r="F136" t="s">
        <v>493</v>
      </c>
      <c r="G136" t="s">
        <v>37</v>
      </c>
      <c r="H136" t="s">
        <v>38</v>
      </c>
      <c r="I136" t="s">
        <v>494</v>
      </c>
      <c r="J136" t="s">
        <v>40</v>
      </c>
      <c r="K136">
        <v>2</v>
      </c>
      <c r="L136" t="s">
        <v>41</v>
      </c>
      <c r="M136" t="s">
        <v>42</v>
      </c>
      <c r="N136" t="s">
        <v>43</v>
      </c>
      <c r="O136" s="7">
        <v>1</v>
      </c>
      <c r="P136" s="8">
        <v>45366.663726851853</v>
      </c>
      <c r="Q136" s="9">
        <v>45369</v>
      </c>
      <c r="R136" t="s">
        <v>44</v>
      </c>
      <c r="S136" t="s">
        <v>45</v>
      </c>
      <c r="T136" t="s">
        <v>46</v>
      </c>
      <c r="U136" t="s">
        <v>67</v>
      </c>
      <c r="V136" t="s">
        <v>495</v>
      </c>
      <c r="W136">
        <v>54200</v>
      </c>
      <c r="X136" t="s">
        <v>45</v>
      </c>
      <c r="Y136" t="s">
        <v>73</v>
      </c>
      <c r="Z136" t="s">
        <v>50</v>
      </c>
      <c r="AA136" s="10">
        <f>IF(O136&lt;=1,7,7+0.8*ROUNDUP(O136-1,0))</f>
        <v>7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8"/>
        <v>0.42</v>
      </c>
      <c r="AG136" s="11">
        <f t="shared" si="9"/>
        <v>7.42</v>
      </c>
      <c r="AH136" t="s">
        <v>51</v>
      </c>
    </row>
    <row r="137" spans="1:34" ht="15" customHeight="1" x14ac:dyDescent="0.35">
      <c r="A137">
        <v>7547676</v>
      </c>
      <c r="B137">
        <v>690929</v>
      </c>
      <c r="C137" t="s">
        <v>34</v>
      </c>
      <c r="D137" t="s">
        <v>35</v>
      </c>
      <c r="E137" s="6" t="s">
        <v>34</v>
      </c>
      <c r="F137" t="s">
        <v>496</v>
      </c>
      <c r="G137" t="s">
        <v>37</v>
      </c>
      <c r="H137" t="s">
        <v>38</v>
      </c>
      <c r="I137" t="s">
        <v>497</v>
      </c>
      <c r="J137" t="s">
        <v>40</v>
      </c>
      <c r="K137">
        <v>2</v>
      </c>
      <c r="L137" t="s">
        <v>41</v>
      </c>
      <c r="M137" t="s">
        <v>42</v>
      </c>
      <c r="N137" t="s">
        <v>43</v>
      </c>
      <c r="O137" s="7">
        <v>14</v>
      </c>
      <c r="P137" s="8">
        <v>45367.723275462966</v>
      </c>
      <c r="Q137" s="9">
        <v>45369</v>
      </c>
      <c r="R137" t="s">
        <v>44</v>
      </c>
      <c r="S137" t="s">
        <v>45</v>
      </c>
      <c r="T137" t="s">
        <v>46</v>
      </c>
      <c r="U137" t="s">
        <v>67</v>
      </c>
      <c r="V137" t="s">
        <v>498</v>
      </c>
      <c r="W137">
        <v>59200</v>
      </c>
      <c r="X137" t="s">
        <v>45</v>
      </c>
      <c r="Y137" t="s">
        <v>452</v>
      </c>
      <c r="Z137" t="s">
        <v>50</v>
      </c>
      <c r="AA137" s="10">
        <f>IF(O137&lt;=1,7,7+0.8*ROUNDUP(O137-1,0))</f>
        <v>17.399999999999999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8"/>
        <v>1.0439999999999998</v>
      </c>
      <c r="AG137" s="11">
        <f t="shared" si="9"/>
        <v>18.443999999999999</v>
      </c>
      <c r="AH137" t="s">
        <v>51</v>
      </c>
    </row>
    <row r="138" spans="1:34" ht="15" customHeight="1" x14ac:dyDescent="0.35">
      <c r="A138">
        <v>7547676</v>
      </c>
      <c r="B138">
        <v>690929</v>
      </c>
      <c r="C138" t="s">
        <v>34</v>
      </c>
      <c r="D138" t="s">
        <v>35</v>
      </c>
      <c r="E138" s="6" t="s">
        <v>34</v>
      </c>
      <c r="F138" t="s">
        <v>499</v>
      </c>
      <c r="G138" t="s">
        <v>37</v>
      </c>
      <c r="H138" t="s">
        <v>38</v>
      </c>
      <c r="I138" t="s">
        <v>71</v>
      </c>
      <c r="J138" t="s">
        <v>40</v>
      </c>
      <c r="K138">
        <v>2</v>
      </c>
      <c r="L138" t="s">
        <v>41</v>
      </c>
      <c r="M138" t="s">
        <v>42</v>
      </c>
      <c r="N138" t="s">
        <v>43</v>
      </c>
      <c r="O138" s="7">
        <v>5</v>
      </c>
      <c r="P138" s="8">
        <v>45367.631423611114</v>
      </c>
      <c r="Q138" s="9">
        <v>45369</v>
      </c>
      <c r="R138" t="s">
        <v>44</v>
      </c>
      <c r="S138" t="s">
        <v>45</v>
      </c>
      <c r="T138" t="s">
        <v>46</v>
      </c>
      <c r="U138" t="s">
        <v>67</v>
      </c>
      <c r="V138" t="s">
        <v>500</v>
      </c>
      <c r="W138">
        <v>54200</v>
      </c>
      <c r="X138" t="s">
        <v>45</v>
      </c>
      <c r="Y138" t="s">
        <v>73</v>
      </c>
      <c r="Z138" t="s">
        <v>50</v>
      </c>
      <c r="AA138" s="10">
        <f>IF(O138&lt;=1,7,7+0.8*ROUNDUP(O138-1,0))</f>
        <v>10.199999999999999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8"/>
        <v>0.61199999999999999</v>
      </c>
      <c r="AG138" s="11">
        <f t="shared" si="9"/>
        <v>10.811999999999999</v>
      </c>
      <c r="AH138" t="s">
        <v>51</v>
      </c>
    </row>
    <row r="139" spans="1:34" ht="15" customHeight="1" x14ac:dyDescent="0.35">
      <c r="A139">
        <v>7547676</v>
      </c>
      <c r="B139">
        <v>690929</v>
      </c>
      <c r="C139" t="s">
        <v>34</v>
      </c>
      <c r="D139" t="s">
        <v>35</v>
      </c>
      <c r="E139" s="6" t="s">
        <v>34</v>
      </c>
      <c r="F139" t="s">
        <v>501</v>
      </c>
      <c r="G139" t="s">
        <v>37</v>
      </c>
      <c r="H139" t="s">
        <v>38</v>
      </c>
      <c r="I139" t="s">
        <v>502</v>
      </c>
      <c r="J139" t="s">
        <v>40</v>
      </c>
      <c r="K139">
        <v>2</v>
      </c>
      <c r="L139" t="s">
        <v>41</v>
      </c>
      <c r="M139" t="s">
        <v>42</v>
      </c>
      <c r="N139" t="s">
        <v>43</v>
      </c>
      <c r="O139" s="7">
        <v>16</v>
      </c>
      <c r="P139" s="8">
        <v>45368.488298611112</v>
      </c>
      <c r="Q139" s="9">
        <v>45370</v>
      </c>
      <c r="R139" t="s">
        <v>44</v>
      </c>
      <c r="S139" t="s">
        <v>45</v>
      </c>
      <c r="T139" t="s">
        <v>46</v>
      </c>
      <c r="U139" t="s">
        <v>82</v>
      </c>
      <c r="V139" t="s">
        <v>503</v>
      </c>
      <c r="W139">
        <v>81200</v>
      </c>
      <c r="X139" t="s">
        <v>45</v>
      </c>
      <c r="Y139" t="s">
        <v>504</v>
      </c>
      <c r="Z139" t="s">
        <v>50</v>
      </c>
      <c r="AA139" s="10">
        <f>IF(O139&lt;=1,7,7+0.8*ROUNDUP(O139-1,0))</f>
        <v>19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8"/>
        <v>1.1399999999999999</v>
      </c>
      <c r="AG139" s="11">
        <f t="shared" si="9"/>
        <v>20.14</v>
      </c>
      <c r="AH139" t="s">
        <v>51</v>
      </c>
    </row>
    <row r="140" spans="1:34" ht="15" customHeight="1" x14ac:dyDescent="0.35">
      <c r="A140">
        <v>7547676</v>
      </c>
      <c r="B140">
        <v>690929</v>
      </c>
      <c r="C140" t="s">
        <v>34</v>
      </c>
      <c r="D140" t="s">
        <v>35</v>
      </c>
      <c r="E140" s="6" t="s">
        <v>34</v>
      </c>
      <c r="F140" t="s">
        <v>505</v>
      </c>
      <c r="G140" t="s">
        <v>37</v>
      </c>
      <c r="H140" t="s">
        <v>38</v>
      </c>
      <c r="I140" t="s">
        <v>129</v>
      </c>
      <c r="J140" t="s">
        <v>40</v>
      </c>
      <c r="K140">
        <v>2</v>
      </c>
      <c r="L140" t="s">
        <v>41</v>
      </c>
      <c r="M140" t="s">
        <v>42</v>
      </c>
      <c r="N140" t="s">
        <v>43</v>
      </c>
      <c r="O140" s="7">
        <v>6</v>
      </c>
      <c r="P140" s="8">
        <v>45365.66375</v>
      </c>
      <c r="Q140" s="9">
        <v>45370</v>
      </c>
      <c r="R140" t="s">
        <v>44</v>
      </c>
      <c r="S140" t="s">
        <v>45</v>
      </c>
      <c r="T140" t="s">
        <v>46</v>
      </c>
      <c r="U140" t="s">
        <v>130</v>
      </c>
      <c r="V140" t="s">
        <v>506</v>
      </c>
      <c r="W140">
        <v>93450</v>
      </c>
      <c r="X140" t="s">
        <v>114</v>
      </c>
      <c r="Y140" t="s">
        <v>79</v>
      </c>
      <c r="Z140" t="s">
        <v>50</v>
      </c>
      <c r="AA140" s="12">
        <f>IF(O140&lt;=1,13,IF(O140&lt;=2,23,IF(O140&lt;=3,35,IF(O140&lt;=4,43,IF(O140&lt;=5,53,IF(O140&lt;=6,63,IF(O140&lt;=7,71,IF(O140&lt;=8,79,IF(O140&lt;=9,87,IF(O140&lt;=10,95,IF(O140&lt;=11,105,IF(O140&lt;=12,114,IF(O140&lt;=13,119,IF(O140&lt;=14,127,IF(O140&lt;=15,135,IF(O140&lt;=16,143,IF(O140&lt;=17,153,IF(O140&lt;=18,163,IF(O140&lt;=19,171,IF(O140&lt;=20,185,IF(O140&lt;=21,193,IF(O140&lt;=22,201,IF(O140&lt;=23,210,IF(O140&lt;=24,220,IF(O140&lt;=25,230,IF(O140&lt;=26,240,IF(O140&lt;=27,250,IF(O140&lt;=28,260,IF(O140&lt;=29,270,IF(O140&lt;=30,280,280+10*ROUNDUP(O140-30,0)))))))))))))))))))))))))))))))</f>
        <v>63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8"/>
        <v>3.78</v>
      </c>
      <c r="AG140" s="11">
        <f t="shared" si="9"/>
        <v>66.78</v>
      </c>
      <c r="AH140" t="s">
        <v>116</v>
      </c>
    </row>
    <row r="141" spans="1:34" ht="15" customHeight="1" x14ac:dyDescent="0.35">
      <c r="A141">
        <v>7547676</v>
      </c>
      <c r="B141">
        <v>690929</v>
      </c>
      <c r="C141" t="s">
        <v>34</v>
      </c>
      <c r="D141" t="s">
        <v>35</v>
      </c>
      <c r="E141" s="6" t="s">
        <v>34</v>
      </c>
      <c r="F141" t="s">
        <v>507</v>
      </c>
      <c r="G141" t="s">
        <v>37</v>
      </c>
      <c r="H141" t="s">
        <v>38</v>
      </c>
      <c r="I141" t="s">
        <v>508</v>
      </c>
      <c r="J141" t="s">
        <v>40</v>
      </c>
      <c r="K141">
        <v>2</v>
      </c>
      <c r="L141" t="s">
        <v>41</v>
      </c>
      <c r="M141" t="s">
        <v>42</v>
      </c>
      <c r="N141" t="s">
        <v>43</v>
      </c>
      <c r="O141" s="7">
        <v>2</v>
      </c>
      <c r="P141" s="8">
        <v>45368.666909722226</v>
      </c>
      <c r="Q141" s="9">
        <v>45370</v>
      </c>
      <c r="R141" t="s">
        <v>44</v>
      </c>
      <c r="S141" t="s">
        <v>45</v>
      </c>
      <c r="T141" t="s">
        <v>46</v>
      </c>
      <c r="U141" t="s">
        <v>278</v>
      </c>
      <c r="V141" t="s">
        <v>509</v>
      </c>
      <c r="W141">
        <v>14200</v>
      </c>
      <c r="X141" t="s">
        <v>45</v>
      </c>
      <c r="Y141" t="s">
        <v>510</v>
      </c>
      <c r="Z141" t="s">
        <v>50</v>
      </c>
      <c r="AA141" s="10">
        <f>IF(O141&lt;=1,7,7+0.8*ROUNDUP(O141-1,0))</f>
        <v>7.8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8"/>
        <v>0.46799999999999997</v>
      </c>
      <c r="AG141" s="11">
        <f t="shared" si="9"/>
        <v>8.2680000000000007</v>
      </c>
      <c r="AH141" t="s">
        <v>51</v>
      </c>
    </row>
    <row r="142" spans="1:34" ht="15" customHeight="1" x14ac:dyDescent="0.35">
      <c r="A142">
        <v>7547676</v>
      </c>
      <c r="B142">
        <v>690929</v>
      </c>
      <c r="C142" t="s">
        <v>34</v>
      </c>
      <c r="D142" t="s">
        <v>35</v>
      </c>
      <c r="E142" s="6" t="s">
        <v>34</v>
      </c>
      <c r="F142" t="s">
        <v>511</v>
      </c>
      <c r="G142" t="s">
        <v>37</v>
      </c>
      <c r="H142" t="s">
        <v>38</v>
      </c>
      <c r="I142" t="s">
        <v>512</v>
      </c>
      <c r="J142" t="s">
        <v>40</v>
      </c>
      <c r="K142">
        <v>2</v>
      </c>
      <c r="L142" t="s">
        <v>41</v>
      </c>
      <c r="M142" t="s">
        <v>42</v>
      </c>
      <c r="N142" t="s">
        <v>43</v>
      </c>
      <c r="O142" s="7">
        <v>1</v>
      </c>
      <c r="P142" s="8">
        <v>45369.49119212963</v>
      </c>
      <c r="Q142" s="9">
        <v>45370</v>
      </c>
      <c r="R142" t="s">
        <v>44</v>
      </c>
      <c r="S142" t="s">
        <v>45</v>
      </c>
      <c r="T142" t="s">
        <v>46</v>
      </c>
      <c r="U142" t="s">
        <v>99</v>
      </c>
      <c r="V142" t="s">
        <v>513</v>
      </c>
      <c r="W142">
        <v>17020</v>
      </c>
      <c r="X142" t="s">
        <v>45</v>
      </c>
      <c r="Y142" t="s">
        <v>156</v>
      </c>
      <c r="Z142" t="s">
        <v>50</v>
      </c>
      <c r="AA142" s="10">
        <f>IF(O142&lt;=1,7,7+0.8*ROUNDUP(O142-1,0))</f>
        <v>7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8"/>
        <v>0.42</v>
      </c>
      <c r="AG142" s="11">
        <f t="shared" si="9"/>
        <v>7.42</v>
      </c>
      <c r="AH142" t="s">
        <v>51</v>
      </c>
    </row>
    <row r="143" spans="1:34" ht="15" customHeight="1" x14ac:dyDescent="0.35">
      <c r="A143">
        <v>7547676</v>
      </c>
      <c r="B143">
        <v>690929</v>
      </c>
      <c r="C143" t="s">
        <v>34</v>
      </c>
      <c r="D143" t="s">
        <v>35</v>
      </c>
      <c r="E143" s="6" t="s">
        <v>34</v>
      </c>
      <c r="F143" t="s">
        <v>514</v>
      </c>
      <c r="G143" t="s">
        <v>37</v>
      </c>
      <c r="H143" t="s">
        <v>38</v>
      </c>
      <c r="I143" t="s">
        <v>515</v>
      </c>
      <c r="J143" t="s">
        <v>40</v>
      </c>
      <c r="K143">
        <v>2</v>
      </c>
      <c r="L143" t="s">
        <v>41</v>
      </c>
      <c r="M143" t="s">
        <v>42</v>
      </c>
      <c r="N143" t="s">
        <v>43</v>
      </c>
      <c r="O143" s="7">
        <v>1</v>
      </c>
      <c r="P143" s="8">
        <v>45369.396122685182</v>
      </c>
      <c r="Q143" s="9">
        <v>45370</v>
      </c>
      <c r="R143" t="s">
        <v>44</v>
      </c>
      <c r="S143" t="s">
        <v>45</v>
      </c>
      <c r="T143" t="s">
        <v>46</v>
      </c>
      <c r="U143" t="s">
        <v>190</v>
      </c>
      <c r="V143" t="s">
        <v>516</v>
      </c>
      <c r="W143">
        <v>25150</v>
      </c>
      <c r="X143" t="s">
        <v>45</v>
      </c>
      <c r="Y143" t="s">
        <v>362</v>
      </c>
      <c r="Z143" t="s">
        <v>50</v>
      </c>
      <c r="AA143" s="10">
        <f>IF(O143&lt;=1,7,7+0.8*ROUNDUP(O143-1,0))</f>
        <v>7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8"/>
        <v>0.42</v>
      </c>
      <c r="AG143" s="11">
        <f t="shared" si="9"/>
        <v>7.42</v>
      </c>
      <c r="AH143" t="s">
        <v>51</v>
      </c>
    </row>
    <row r="144" spans="1:34" ht="15" customHeight="1" x14ac:dyDescent="0.35">
      <c r="A144">
        <v>7547676</v>
      </c>
      <c r="B144">
        <v>690929</v>
      </c>
      <c r="C144" t="s">
        <v>34</v>
      </c>
      <c r="D144" t="s">
        <v>35</v>
      </c>
      <c r="E144" s="6" t="s">
        <v>34</v>
      </c>
      <c r="F144" t="s">
        <v>517</v>
      </c>
      <c r="G144" t="s">
        <v>37</v>
      </c>
      <c r="H144" t="s">
        <v>38</v>
      </c>
      <c r="I144" t="s">
        <v>518</v>
      </c>
      <c r="J144" t="s">
        <v>40</v>
      </c>
      <c r="K144">
        <v>2</v>
      </c>
      <c r="L144" t="s">
        <v>41</v>
      </c>
      <c r="M144" t="s">
        <v>42</v>
      </c>
      <c r="N144" t="s">
        <v>43</v>
      </c>
      <c r="O144" s="7">
        <v>1</v>
      </c>
      <c r="P144" s="8">
        <v>45369.524074074077</v>
      </c>
      <c r="Q144" s="9">
        <v>45370</v>
      </c>
      <c r="R144" t="s">
        <v>44</v>
      </c>
      <c r="S144" t="s">
        <v>45</v>
      </c>
      <c r="T144" t="s">
        <v>46</v>
      </c>
      <c r="U144" t="s">
        <v>99</v>
      </c>
      <c r="V144" t="s">
        <v>519</v>
      </c>
      <c r="W144">
        <v>16810</v>
      </c>
      <c r="X144" t="s">
        <v>45</v>
      </c>
      <c r="Y144" t="s">
        <v>156</v>
      </c>
      <c r="Z144" t="s">
        <v>50</v>
      </c>
      <c r="AA144" s="10">
        <f>IF(O144&lt;=1,7,7+0.8*ROUNDUP(O144-1,0))</f>
        <v>7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8"/>
        <v>0.42</v>
      </c>
      <c r="AG144" s="11">
        <f t="shared" si="9"/>
        <v>7.42</v>
      </c>
      <c r="AH144" t="s">
        <v>51</v>
      </c>
    </row>
    <row r="145" spans="1:34" ht="15" customHeight="1" x14ac:dyDescent="0.35">
      <c r="A145">
        <v>7547676</v>
      </c>
      <c r="B145">
        <v>690929</v>
      </c>
      <c r="C145" t="s">
        <v>34</v>
      </c>
      <c r="D145" t="s">
        <v>35</v>
      </c>
      <c r="E145" s="6" t="s">
        <v>34</v>
      </c>
      <c r="F145" t="s">
        <v>520</v>
      </c>
      <c r="G145" t="s">
        <v>37</v>
      </c>
      <c r="H145" t="s">
        <v>38</v>
      </c>
      <c r="I145" t="s">
        <v>521</v>
      </c>
      <c r="J145" t="s">
        <v>40</v>
      </c>
      <c r="K145">
        <v>2</v>
      </c>
      <c r="L145" t="s">
        <v>41</v>
      </c>
      <c r="M145" t="s">
        <v>42</v>
      </c>
      <c r="N145" t="s">
        <v>43</v>
      </c>
      <c r="O145" s="7">
        <v>1</v>
      </c>
      <c r="P145" s="8">
        <v>45368.641562500001</v>
      </c>
      <c r="Q145" s="9">
        <v>45370</v>
      </c>
      <c r="R145" t="s">
        <v>44</v>
      </c>
      <c r="S145" t="s">
        <v>45</v>
      </c>
      <c r="T145" t="s">
        <v>46</v>
      </c>
      <c r="U145" t="s">
        <v>190</v>
      </c>
      <c r="V145" t="s">
        <v>522</v>
      </c>
      <c r="W145">
        <v>26600</v>
      </c>
      <c r="X145" t="s">
        <v>45</v>
      </c>
      <c r="Y145" t="s">
        <v>362</v>
      </c>
      <c r="Z145" t="s">
        <v>50</v>
      </c>
      <c r="AA145" s="10">
        <f>IF(O145&lt;=1,7,7+0.8*ROUNDUP(O145-1,0))</f>
        <v>7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8"/>
        <v>0.42</v>
      </c>
      <c r="AG145" s="11">
        <f t="shared" si="9"/>
        <v>7.42</v>
      </c>
      <c r="AH145" t="s">
        <v>51</v>
      </c>
    </row>
    <row r="146" spans="1:34" ht="15" customHeight="1" x14ac:dyDescent="0.35">
      <c r="A146">
        <v>7547676</v>
      </c>
      <c r="B146">
        <v>690929</v>
      </c>
      <c r="C146" t="s">
        <v>34</v>
      </c>
      <c r="D146" t="s">
        <v>35</v>
      </c>
      <c r="E146" s="6" t="s">
        <v>34</v>
      </c>
      <c r="F146" t="s">
        <v>523</v>
      </c>
      <c r="G146" t="s">
        <v>37</v>
      </c>
      <c r="H146" t="s">
        <v>38</v>
      </c>
      <c r="I146" t="s">
        <v>524</v>
      </c>
      <c r="J146" t="s">
        <v>40</v>
      </c>
      <c r="K146">
        <v>2</v>
      </c>
      <c r="L146" t="s">
        <v>41</v>
      </c>
      <c r="M146" t="s">
        <v>42</v>
      </c>
      <c r="N146" t="s">
        <v>43</v>
      </c>
      <c r="O146" s="7">
        <v>13</v>
      </c>
      <c r="P146" s="8">
        <v>45367.615416666667</v>
      </c>
      <c r="Q146" s="9">
        <v>45370</v>
      </c>
      <c r="R146" t="s">
        <v>44</v>
      </c>
      <c r="S146" t="s">
        <v>45</v>
      </c>
      <c r="T146" t="s">
        <v>46</v>
      </c>
      <c r="U146" t="s">
        <v>54</v>
      </c>
      <c r="V146" t="s">
        <v>525</v>
      </c>
      <c r="W146">
        <v>40460</v>
      </c>
      <c r="X146" t="s">
        <v>45</v>
      </c>
      <c r="Y146" t="s">
        <v>526</v>
      </c>
      <c r="Z146" t="s">
        <v>50</v>
      </c>
      <c r="AA146" s="10">
        <f>IF(O146&lt;=1,7,7+0.8*ROUNDUP(O146-1,0))</f>
        <v>16.600000000000001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8"/>
        <v>0.996</v>
      </c>
      <c r="AG146" s="11">
        <f t="shared" si="9"/>
        <v>17.596</v>
      </c>
      <c r="AH146" t="s">
        <v>51</v>
      </c>
    </row>
    <row r="147" spans="1:34" ht="15" customHeight="1" x14ac:dyDescent="0.35">
      <c r="A147">
        <v>7547676</v>
      </c>
      <c r="B147">
        <v>690929</v>
      </c>
      <c r="C147" t="s">
        <v>34</v>
      </c>
      <c r="D147" t="s">
        <v>35</v>
      </c>
      <c r="E147" s="6" t="s">
        <v>34</v>
      </c>
      <c r="F147" t="s">
        <v>527</v>
      </c>
      <c r="G147" t="s">
        <v>37</v>
      </c>
      <c r="H147" t="s">
        <v>38</v>
      </c>
      <c r="I147" t="s">
        <v>528</v>
      </c>
      <c r="J147" t="s">
        <v>40</v>
      </c>
      <c r="K147">
        <v>2</v>
      </c>
      <c r="L147" t="s">
        <v>41</v>
      </c>
      <c r="M147" t="s">
        <v>42</v>
      </c>
      <c r="N147" t="s">
        <v>43</v>
      </c>
      <c r="O147" s="7">
        <v>4</v>
      </c>
      <c r="P147" s="8">
        <v>45368.641562500001</v>
      </c>
      <c r="Q147" s="9">
        <v>45370</v>
      </c>
      <c r="R147" t="s">
        <v>44</v>
      </c>
      <c r="S147" t="s">
        <v>45</v>
      </c>
      <c r="T147" t="s">
        <v>46</v>
      </c>
      <c r="U147" t="s">
        <v>47</v>
      </c>
      <c r="V147" t="s">
        <v>529</v>
      </c>
      <c r="W147">
        <v>23000</v>
      </c>
      <c r="X147" t="s">
        <v>45</v>
      </c>
      <c r="Y147" t="s">
        <v>49</v>
      </c>
      <c r="Z147" t="s">
        <v>50</v>
      </c>
      <c r="AA147" s="10">
        <f>IF(O147&lt;=1,7,7+0.8*ROUNDUP(O147-1,0))</f>
        <v>9.4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8"/>
        <v>0.56399999999999995</v>
      </c>
      <c r="AG147" s="11">
        <f t="shared" si="9"/>
        <v>9.9640000000000004</v>
      </c>
      <c r="AH147" t="s">
        <v>51</v>
      </c>
    </row>
    <row r="148" spans="1:34" ht="15" customHeight="1" x14ac:dyDescent="0.35">
      <c r="A148">
        <v>7547676</v>
      </c>
      <c r="B148">
        <v>690929</v>
      </c>
      <c r="C148" t="s">
        <v>34</v>
      </c>
      <c r="D148" t="s">
        <v>35</v>
      </c>
      <c r="E148" s="6" t="s">
        <v>34</v>
      </c>
      <c r="F148" t="s">
        <v>530</v>
      </c>
      <c r="G148" t="s">
        <v>37</v>
      </c>
      <c r="H148" t="s">
        <v>38</v>
      </c>
      <c r="I148" t="s">
        <v>531</v>
      </c>
      <c r="J148" t="s">
        <v>40</v>
      </c>
      <c r="K148">
        <v>2</v>
      </c>
      <c r="L148" t="s">
        <v>41</v>
      </c>
      <c r="M148" t="s">
        <v>42</v>
      </c>
      <c r="N148" t="s">
        <v>43</v>
      </c>
      <c r="O148" s="7">
        <v>1</v>
      </c>
      <c r="P148" s="8">
        <v>45368.724293981482</v>
      </c>
      <c r="Q148" s="9">
        <v>45370</v>
      </c>
      <c r="R148" t="s">
        <v>44</v>
      </c>
      <c r="S148" t="s">
        <v>45</v>
      </c>
      <c r="T148" t="s">
        <v>46</v>
      </c>
      <c r="U148" t="s">
        <v>103</v>
      </c>
      <c r="V148" t="s">
        <v>532</v>
      </c>
      <c r="W148">
        <v>2600</v>
      </c>
      <c r="X148" t="s">
        <v>45</v>
      </c>
      <c r="Y148" t="s">
        <v>105</v>
      </c>
      <c r="Z148" t="s">
        <v>50</v>
      </c>
      <c r="AA148" s="10">
        <f>IF(O148&lt;=1,7,7+0.8*ROUNDUP(O148-1,0))</f>
        <v>7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8"/>
        <v>0.42</v>
      </c>
      <c r="AG148" s="11">
        <f t="shared" si="9"/>
        <v>7.42</v>
      </c>
      <c r="AH148" t="s">
        <v>51</v>
      </c>
    </row>
    <row r="149" spans="1:34" ht="15" customHeight="1" x14ac:dyDescent="0.35">
      <c r="A149">
        <v>7547676</v>
      </c>
      <c r="B149">
        <v>690929</v>
      </c>
      <c r="C149" t="s">
        <v>34</v>
      </c>
      <c r="D149" t="s">
        <v>35</v>
      </c>
      <c r="E149" s="6" t="s">
        <v>34</v>
      </c>
      <c r="F149" t="s">
        <v>533</v>
      </c>
      <c r="G149" t="s">
        <v>37</v>
      </c>
      <c r="H149" t="s">
        <v>38</v>
      </c>
      <c r="I149" t="s">
        <v>534</v>
      </c>
      <c r="J149" t="s">
        <v>40</v>
      </c>
      <c r="K149">
        <v>2</v>
      </c>
      <c r="L149" t="s">
        <v>41</v>
      </c>
      <c r="M149" t="s">
        <v>42</v>
      </c>
      <c r="N149" t="s">
        <v>43</v>
      </c>
      <c r="O149" s="7">
        <v>1</v>
      </c>
      <c r="P149" s="8">
        <v>45367.689432870371</v>
      </c>
      <c r="Q149" s="9">
        <v>45370</v>
      </c>
      <c r="R149" t="s">
        <v>44</v>
      </c>
      <c r="S149" t="s">
        <v>45</v>
      </c>
      <c r="T149" t="s">
        <v>46</v>
      </c>
      <c r="U149" t="s">
        <v>172</v>
      </c>
      <c r="V149" t="s">
        <v>535</v>
      </c>
      <c r="W149">
        <v>31150</v>
      </c>
      <c r="X149" t="s">
        <v>45</v>
      </c>
      <c r="Y149" t="s">
        <v>79</v>
      </c>
      <c r="Z149" t="s">
        <v>50</v>
      </c>
      <c r="AA149" s="10">
        <f>IF(O149&lt;=1,7,7+0.8*ROUNDUP(O149-1,0))</f>
        <v>7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8"/>
        <v>0.42</v>
      </c>
      <c r="AG149" s="11">
        <f t="shared" si="9"/>
        <v>7.42</v>
      </c>
      <c r="AH149" t="s">
        <v>51</v>
      </c>
    </row>
    <row r="150" spans="1:34" ht="15" customHeight="1" x14ac:dyDescent="0.35">
      <c r="A150">
        <v>7547676</v>
      </c>
      <c r="B150">
        <v>690929</v>
      </c>
      <c r="C150" t="s">
        <v>34</v>
      </c>
      <c r="D150" t="s">
        <v>35</v>
      </c>
      <c r="E150" s="6" t="s">
        <v>34</v>
      </c>
      <c r="F150" t="s">
        <v>536</v>
      </c>
      <c r="G150" t="s">
        <v>37</v>
      </c>
      <c r="H150" t="s">
        <v>38</v>
      </c>
      <c r="I150" t="s">
        <v>537</v>
      </c>
      <c r="J150" t="s">
        <v>40</v>
      </c>
      <c r="K150">
        <v>2</v>
      </c>
      <c r="L150" t="s">
        <v>41</v>
      </c>
      <c r="M150" t="s">
        <v>42</v>
      </c>
      <c r="N150" t="s">
        <v>43</v>
      </c>
      <c r="O150" s="7">
        <v>1</v>
      </c>
      <c r="P150" s="8">
        <v>45369.503472222219</v>
      </c>
      <c r="Q150" s="9">
        <v>45370</v>
      </c>
      <c r="R150" t="s">
        <v>44</v>
      </c>
      <c r="S150" t="s">
        <v>45</v>
      </c>
      <c r="T150" t="s">
        <v>46</v>
      </c>
      <c r="U150" t="s">
        <v>99</v>
      </c>
      <c r="V150" t="s">
        <v>538</v>
      </c>
      <c r="W150">
        <v>16600</v>
      </c>
      <c r="X150" t="s">
        <v>45</v>
      </c>
      <c r="Y150" t="s">
        <v>156</v>
      </c>
      <c r="Z150" t="s">
        <v>50</v>
      </c>
      <c r="AA150" s="10">
        <f>IF(O150&lt;=1,7,7+0.8*ROUNDUP(O150-1,0))</f>
        <v>7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8"/>
        <v>0.42</v>
      </c>
      <c r="AG150" s="11">
        <f t="shared" si="9"/>
        <v>7.42</v>
      </c>
      <c r="AH150" t="s">
        <v>51</v>
      </c>
    </row>
    <row r="151" spans="1:34" ht="15" customHeight="1" x14ac:dyDescent="0.35">
      <c r="A151">
        <v>7547676</v>
      </c>
      <c r="B151">
        <v>690929</v>
      </c>
      <c r="C151" t="s">
        <v>34</v>
      </c>
      <c r="D151" t="s">
        <v>35</v>
      </c>
      <c r="E151" s="6" t="s">
        <v>34</v>
      </c>
      <c r="F151" t="s">
        <v>539</v>
      </c>
      <c r="G151" t="s">
        <v>37</v>
      </c>
      <c r="H151" t="s">
        <v>38</v>
      </c>
      <c r="I151" t="s">
        <v>222</v>
      </c>
      <c r="J151" t="s">
        <v>40</v>
      </c>
      <c r="K151">
        <v>2</v>
      </c>
      <c r="L151" t="s">
        <v>41</v>
      </c>
      <c r="M151" t="s">
        <v>42</v>
      </c>
      <c r="N151" t="s">
        <v>43</v>
      </c>
      <c r="O151" s="7">
        <v>1</v>
      </c>
      <c r="P151" s="8">
        <v>45368.475775462961</v>
      </c>
      <c r="Q151" s="9">
        <v>45370</v>
      </c>
      <c r="R151" t="s">
        <v>44</v>
      </c>
      <c r="S151" t="s">
        <v>45</v>
      </c>
      <c r="T151" t="s">
        <v>46</v>
      </c>
      <c r="U151" t="s">
        <v>190</v>
      </c>
      <c r="V151" t="s">
        <v>223</v>
      </c>
      <c r="W151">
        <v>28000</v>
      </c>
      <c r="X151" t="s">
        <v>45</v>
      </c>
      <c r="Y151" t="s">
        <v>362</v>
      </c>
      <c r="Z151" t="s">
        <v>50</v>
      </c>
      <c r="AA151" s="10">
        <f>IF(O151&lt;=1,7,7+0.8*ROUNDUP(O151-1,0))</f>
        <v>7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8"/>
        <v>0.42</v>
      </c>
      <c r="AG151" s="11">
        <f t="shared" si="9"/>
        <v>7.42</v>
      </c>
      <c r="AH151" t="s">
        <v>51</v>
      </c>
    </row>
    <row r="152" spans="1:34" ht="15" customHeight="1" x14ac:dyDescent="0.35">
      <c r="A152">
        <v>7547676</v>
      </c>
      <c r="B152">
        <v>690929</v>
      </c>
      <c r="C152" t="s">
        <v>34</v>
      </c>
      <c r="D152" t="s">
        <v>35</v>
      </c>
      <c r="E152" s="6" t="s">
        <v>34</v>
      </c>
      <c r="F152" t="s">
        <v>540</v>
      </c>
      <c r="G152" t="s">
        <v>37</v>
      </c>
      <c r="H152" t="s">
        <v>38</v>
      </c>
      <c r="I152" t="s">
        <v>541</v>
      </c>
      <c r="J152" t="s">
        <v>40</v>
      </c>
      <c r="K152">
        <v>2</v>
      </c>
      <c r="L152" t="s">
        <v>41</v>
      </c>
      <c r="M152" t="s">
        <v>42</v>
      </c>
      <c r="N152" t="s">
        <v>43</v>
      </c>
      <c r="O152" s="7">
        <v>4</v>
      </c>
      <c r="P152" s="8">
        <v>45369.444398148145</v>
      </c>
      <c r="Q152" s="9">
        <v>45370</v>
      </c>
      <c r="R152" t="s">
        <v>44</v>
      </c>
      <c r="S152" t="s">
        <v>45</v>
      </c>
      <c r="T152" t="s">
        <v>46</v>
      </c>
      <c r="U152" t="s">
        <v>190</v>
      </c>
      <c r="V152" t="s">
        <v>542</v>
      </c>
      <c r="W152">
        <v>26600</v>
      </c>
      <c r="X152" t="s">
        <v>45</v>
      </c>
      <c r="Y152" t="s">
        <v>543</v>
      </c>
      <c r="Z152" t="s">
        <v>50</v>
      </c>
      <c r="AA152" s="10">
        <f>IF(O152&lt;=1,7,7+0.8*ROUNDUP(O152-1,0))</f>
        <v>9.4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8"/>
        <v>0.56399999999999995</v>
      </c>
      <c r="AG152" s="11">
        <f t="shared" si="9"/>
        <v>9.9640000000000004</v>
      </c>
      <c r="AH152" t="s">
        <v>51</v>
      </c>
    </row>
    <row r="153" spans="1:34" ht="15" customHeight="1" x14ac:dyDescent="0.35">
      <c r="A153">
        <v>7547676</v>
      </c>
      <c r="B153">
        <v>690929</v>
      </c>
      <c r="C153" t="s">
        <v>34</v>
      </c>
      <c r="D153" t="s">
        <v>35</v>
      </c>
      <c r="E153" s="6" t="s">
        <v>34</v>
      </c>
      <c r="F153" t="s">
        <v>544</v>
      </c>
      <c r="G153" t="s">
        <v>37</v>
      </c>
      <c r="H153" t="s">
        <v>38</v>
      </c>
      <c r="I153" t="s">
        <v>545</v>
      </c>
      <c r="J153" t="s">
        <v>40</v>
      </c>
      <c r="K153">
        <v>2</v>
      </c>
      <c r="L153" t="s">
        <v>41</v>
      </c>
      <c r="M153" t="s">
        <v>42</v>
      </c>
      <c r="N153" t="s">
        <v>43</v>
      </c>
      <c r="O153" s="7">
        <v>7</v>
      </c>
      <c r="P153" s="8">
        <v>45369.575266203705</v>
      </c>
      <c r="Q153" s="9">
        <v>45370</v>
      </c>
      <c r="R153" t="s">
        <v>44</v>
      </c>
      <c r="S153" t="s">
        <v>45</v>
      </c>
      <c r="T153" t="s">
        <v>46</v>
      </c>
      <c r="U153" t="s">
        <v>47</v>
      </c>
      <c r="V153" t="s">
        <v>546</v>
      </c>
      <c r="W153">
        <v>23100</v>
      </c>
      <c r="X153" t="s">
        <v>45</v>
      </c>
      <c r="Y153" t="s">
        <v>547</v>
      </c>
      <c r="Z153" t="s">
        <v>50</v>
      </c>
      <c r="AA153" s="10">
        <f>IF(O153&lt;=1,7,7+0.8*ROUNDUP(O153-1,0))</f>
        <v>11.8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8"/>
        <v>0.70799999999999996</v>
      </c>
      <c r="AG153" s="11">
        <f t="shared" si="9"/>
        <v>12.508000000000001</v>
      </c>
      <c r="AH153" t="s">
        <v>51</v>
      </c>
    </row>
    <row r="154" spans="1:34" ht="15" customHeight="1" x14ac:dyDescent="0.35">
      <c r="A154">
        <v>7547676</v>
      </c>
      <c r="B154">
        <v>690929</v>
      </c>
      <c r="C154" t="s">
        <v>34</v>
      </c>
      <c r="D154" t="s">
        <v>35</v>
      </c>
      <c r="E154" s="6" t="s">
        <v>34</v>
      </c>
      <c r="F154" t="s">
        <v>548</v>
      </c>
      <c r="G154" t="s">
        <v>37</v>
      </c>
      <c r="H154" t="s">
        <v>38</v>
      </c>
      <c r="I154" t="s">
        <v>549</v>
      </c>
      <c r="J154" t="s">
        <v>40</v>
      </c>
      <c r="K154">
        <v>2</v>
      </c>
      <c r="L154" t="s">
        <v>41</v>
      </c>
      <c r="M154" t="s">
        <v>42</v>
      </c>
      <c r="N154" t="s">
        <v>43</v>
      </c>
      <c r="O154" s="7">
        <v>1</v>
      </c>
      <c r="P154" s="8">
        <v>45368.577048611114</v>
      </c>
      <c r="Q154" s="9">
        <v>45370</v>
      </c>
      <c r="R154" t="s">
        <v>44</v>
      </c>
      <c r="S154" t="s">
        <v>45</v>
      </c>
      <c r="T154" t="s">
        <v>46</v>
      </c>
      <c r="U154" t="s">
        <v>54</v>
      </c>
      <c r="V154" t="s">
        <v>550</v>
      </c>
      <c r="W154">
        <v>41200</v>
      </c>
      <c r="X154" t="s">
        <v>45</v>
      </c>
      <c r="Y154" t="s">
        <v>79</v>
      </c>
      <c r="Z154" t="s">
        <v>50</v>
      </c>
      <c r="AA154" s="10">
        <f>IF(O154&lt;=1,7,7+0.8*ROUNDUP(O154-1,0))</f>
        <v>7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8"/>
        <v>0.42</v>
      </c>
      <c r="AG154" s="11">
        <f t="shared" si="9"/>
        <v>7.42</v>
      </c>
      <c r="AH154" t="s">
        <v>51</v>
      </c>
    </row>
    <row r="155" spans="1:34" ht="15" customHeight="1" x14ac:dyDescent="0.35">
      <c r="A155">
        <v>7547676</v>
      </c>
      <c r="B155">
        <v>690929</v>
      </c>
      <c r="C155" t="s">
        <v>34</v>
      </c>
      <c r="D155" t="s">
        <v>35</v>
      </c>
      <c r="E155" s="6" t="s">
        <v>34</v>
      </c>
      <c r="F155" t="s">
        <v>551</v>
      </c>
      <c r="G155" t="s">
        <v>37</v>
      </c>
      <c r="H155" t="s">
        <v>38</v>
      </c>
      <c r="I155" t="s">
        <v>552</v>
      </c>
      <c r="J155" t="s">
        <v>40</v>
      </c>
      <c r="K155">
        <v>2</v>
      </c>
      <c r="L155" t="s">
        <v>41</v>
      </c>
      <c r="M155" t="s">
        <v>42</v>
      </c>
      <c r="N155" t="s">
        <v>43</v>
      </c>
      <c r="O155" s="7">
        <v>1</v>
      </c>
      <c r="P155" s="8">
        <v>45369.524074074077</v>
      </c>
      <c r="Q155" s="9">
        <v>45370</v>
      </c>
      <c r="R155" t="s">
        <v>44</v>
      </c>
      <c r="S155" t="s">
        <v>45</v>
      </c>
      <c r="T155" t="s">
        <v>46</v>
      </c>
      <c r="U155" t="s">
        <v>47</v>
      </c>
      <c r="V155" t="s">
        <v>553</v>
      </c>
      <c r="W155">
        <v>22100</v>
      </c>
      <c r="X155" t="s">
        <v>45</v>
      </c>
      <c r="Y155" t="s">
        <v>49</v>
      </c>
      <c r="Z155" t="s">
        <v>50</v>
      </c>
      <c r="AA155" s="10">
        <f>IF(O155&lt;=1,7,7+0.8*ROUNDUP(O155-1,0))</f>
        <v>7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8"/>
        <v>0.42</v>
      </c>
      <c r="AG155" s="11">
        <f t="shared" si="9"/>
        <v>7.42</v>
      </c>
      <c r="AH155" t="s">
        <v>51</v>
      </c>
    </row>
    <row r="156" spans="1:34" ht="15" customHeight="1" x14ac:dyDescent="0.35">
      <c r="A156">
        <v>7547676</v>
      </c>
      <c r="B156">
        <v>690929</v>
      </c>
      <c r="C156" t="s">
        <v>34</v>
      </c>
      <c r="D156" t="s">
        <v>35</v>
      </c>
      <c r="E156" s="6" t="s">
        <v>34</v>
      </c>
      <c r="F156" t="s">
        <v>554</v>
      </c>
      <c r="G156" t="s">
        <v>37</v>
      </c>
      <c r="H156" t="s">
        <v>38</v>
      </c>
      <c r="I156" t="s">
        <v>555</v>
      </c>
      <c r="J156" t="s">
        <v>40</v>
      </c>
      <c r="K156">
        <v>2</v>
      </c>
      <c r="L156" t="s">
        <v>41</v>
      </c>
      <c r="M156" t="s">
        <v>42</v>
      </c>
      <c r="N156" t="s">
        <v>43</v>
      </c>
      <c r="O156" s="7">
        <v>2</v>
      </c>
      <c r="P156" s="8">
        <v>45369.628252314818</v>
      </c>
      <c r="Q156" s="9">
        <v>45370</v>
      </c>
      <c r="R156" t="s">
        <v>44</v>
      </c>
      <c r="S156" t="s">
        <v>45</v>
      </c>
      <c r="T156" t="s">
        <v>46</v>
      </c>
      <c r="U156" t="s">
        <v>190</v>
      </c>
      <c r="V156" t="s">
        <v>556</v>
      </c>
      <c r="W156">
        <v>26060</v>
      </c>
      <c r="X156" t="s">
        <v>45</v>
      </c>
      <c r="Y156" t="s">
        <v>362</v>
      </c>
      <c r="Z156" t="s">
        <v>50</v>
      </c>
      <c r="AA156" s="10">
        <f>IF(O156&lt;=1,7,7+0.8*ROUNDUP(O156-1,0))</f>
        <v>7.8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8"/>
        <v>0.46799999999999997</v>
      </c>
      <c r="AG156" s="11">
        <f t="shared" si="9"/>
        <v>8.2680000000000007</v>
      </c>
      <c r="AH156" t="s">
        <v>51</v>
      </c>
    </row>
    <row r="157" spans="1:34" ht="15" customHeight="1" x14ac:dyDescent="0.35">
      <c r="A157">
        <v>7547676</v>
      </c>
      <c r="B157">
        <v>690929</v>
      </c>
      <c r="C157" t="s">
        <v>34</v>
      </c>
      <c r="D157" t="s">
        <v>35</v>
      </c>
      <c r="E157" s="6" t="s">
        <v>34</v>
      </c>
      <c r="F157" t="s">
        <v>557</v>
      </c>
      <c r="G157" t="s">
        <v>37</v>
      </c>
      <c r="H157" t="s">
        <v>38</v>
      </c>
      <c r="I157" t="s">
        <v>558</v>
      </c>
      <c r="J157" t="s">
        <v>40</v>
      </c>
      <c r="K157">
        <v>2</v>
      </c>
      <c r="L157" t="s">
        <v>41</v>
      </c>
      <c r="M157" t="s">
        <v>42</v>
      </c>
      <c r="N157" t="s">
        <v>43</v>
      </c>
      <c r="O157" s="7">
        <v>3</v>
      </c>
      <c r="P157" s="8">
        <v>45369.629629629628</v>
      </c>
      <c r="Q157" s="9">
        <v>45370</v>
      </c>
      <c r="R157" t="s">
        <v>44</v>
      </c>
      <c r="S157" t="s">
        <v>45</v>
      </c>
      <c r="T157" t="s">
        <v>46</v>
      </c>
      <c r="U157" t="s">
        <v>47</v>
      </c>
      <c r="V157" t="s">
        <v>559</v>
      </c>
      <c r="W157">
        <v>21400</v>
      </c>
      <c r="X157" t="s">
        <v>45</v>
      </c>
      <c r="Y157" t="s">
        <v>560</v>
      </c>
      <c r="Z157" t="s">
        <v>50</v>
      </c>
      <c r="AA157" s="10">
        <f>IF(O157&lt;=1,7,7+0.8*ROUNDUP(O157-1,0))</f>
        <v>8.6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8"/>
        <v>0.51600000000000001</v>
      </c>
      <c r="AG157" s="11">
        <f t="shared" si="9"/>
        <v>9.1159999999999997</v>
      </c>
      <c r="AH157" t="s">
        <v>51</v>
      </c>
    </row>
    <row r="158" spans="1:34" ht="15" customHeight="1" x14ac:dyDescent="0.35">
      <c r="A158">
        <v>7547676</v>
      </c>
      <c r="B158">
        <v>690929</v>
      </c>
      <c r="C158" t="s">
        <v>34</v>
      </c>
      <c r="D158" t="s">
        <v>35</v>
      </c>
      <c r="E158" s="6" t="s">
        <v>34</v>
      </c>
      <c r="F158" t="s">
        <v>561</v>
      </c>
      <c r="G158" t="s">
        <v>37</v>
      </c>
      <c r="H158" t="s">
        <v>38</v>
      </c>
      <c r="I158" t="s">
        <v>562</v>
      </c>
      <c r="J158" t="s">
        <v>40</v>
      </c>
      <c r="K158">
        <v>2</v>
      </c>
      <c r="L158" t="s">
        <v>41</v>
      </c>
      <c r="M158" t="s">
        <v>42</v>
      </c>
      <c r="N158" t="s">
        <v>43</v>
      </c>
      <c r="O158" s="7">
        <v>1</v>
      </c>
      <c r="P158" s="8">
        <v>45368.462129629632</v>
      </c>
      <c r="Q158" s="9">
        <v>45370</v>
      </c>
      <c r="R158" t="s">
        <v>44</v>
      </c>
      <c r="S158" t="s">
        <v>45</v>
      </c>
      <c r="T158" t="s">
        <v>46</v>
      </c>
      <c r="U158" t="s">
        <v>47</v>
      </c>
      <c r="V158" t="s">
        <v>563</v>
      </c>
      <c r="W158">
        <v>24000</v>
      </c>
      <c r="X158" t="s">
        <v>45</v>
      </c>
      <c r="Y158" t="s">
        <v>362</v>
      </c>
      <c r="Z158" t="s">
        <v>50</v>
      </c>
      <c r="AA158" s="10">
        <f>IF(O158&lt;=1,7,7+0.8*ROUNDUP(O158-1,0))</f>
        <v>7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8"/>
        <v>0.42</v>
      </c>
      <c r="AG158" s="11">
        <f t="shared" si="9"/>
        <v>7.42</v>
      </c>
      <c r="AH158" t="s">
        <v>51</v>
      </c>
    </row>
    <row r="159" spans="1:34" ht="15" customHeight="1" x14ac:dyDescent="0.35">
      <c r="A159">
        <v>7547676</v>
      </c>
      <c r="B159">
        <v>690929</v>
      </c>
      <c r="C159" t="s">
        <v>34</v>
      </c>
      <c r="D159" t="s">
        <v>35</v>
      </c>
      <c r="E159" s="6" t="s">
        <v>34</v>
      </c>
      <c r="F159" t="s">
        <v>564</v>
      </c>
      <c r="G159" t="s">
        <v>37</v>
      </c>
      <c r="H159" t="s">
        <v>38</v>
      </c>
      <c r="I159" t="s">
        <v>565</v>
      </c>
      <c r="J159" t="s">
        <v>40</v>
      </c>
      <c r="K159">
        <v>2</v>
      </c>
      <c r="L159" t="s">
        <v>41</v>
      </c>
      <c r="M159" t="s">
        <v>42</v>
      </c>
      <c r="N159" t="s">
        <v>43</v>
      </c>
      <c r="O159" s="7">
        <v>1</v>
      </c>
      <c r="P159" s="8">
        <v>45369.628252314818</v>
      </c>
      <c r="Q159" s="9">
        <v>45370</v>
      </c>
      <c r="R159" t="s">
        <v>44</v>
      </c>
      <c r="S159" t="s">
        <v>45</v>
      </c>
      <c r="T159" t="s">
        <v>46</v>
      </c>
      <c r="U159" t="s">
        <v>99</v>
      </c>
      <c r="V159" t="s">
        <v>566</v>
      </c>
      <c r="W159">
        <v>17600</v>
      </c>
      <c r="X159" t="s">
        <v>45</v>
      </c>
      <c r="Y159" t="s">
        <v>156</v>
      </c>
      <c r="Z159" t="s">
        <v>50</v>
      </c>
      <c r="AA159" s="10">
        <f>IF(O159&lt;=1,7,7+0.8*ROUNDUP(O159-1,0))</f>
        <v>7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8"/>
        <v>0.42</v>
      </c>
      <c r="AG159" s="11">
        <f t="shared" si="9"/>
        <v>7.42</v>
      </c>
      <c r="AH159" t="s">
        <v>51</v>
      </c>
    </row>
    <row r="160" spans="1:34" ht="15" customHeight="1" x14ac:dyDescent="0.35">
      <c r="A160">
        <v>7547676</v>
      </c>
      <c r="B160">
        <v>690929</v>
      </c>
      <c r="C160" t="s">
        <v>34</v>
      </c>
      <c r="D160" t="s">
        <v>35</v>
      </c>
      <c r="E160" s="6" t="s">
        <v>34</v>
      </c>
      <c r="F160" t="s">
        <v>567</v>
      </c>
      <c r="G160" t="s">
        <v>37</v>
      </c>
      <c r="H160" t="s">
        <v>38</v>
      </c>
      <c r="I160" t="s">
        <v>568</v>
      </c>
      <c r="J160" t="s">
        <v>40</v>
      </c>
      <c r="K160">
        <v>2</v>
      </c>
      <c r="L160" t="s">
        <v>41</v>
      </c>
      <c r="M160" t="s">
        <v>42</v>
      </c>
      <c r="N160" t="s">
        <v>43</v>
      </c>
      <c r="O160" s="7">
        <v>1</v>
      </c>
      <c r="P160" s="8">
        <v>45368.641562500001</v>
      </c>
      <c r="Q160" s="9">
        <v>45370</v>
      </c>
      <c r="R160" t="s">
        <v>44</v>
      </c>
      <c r="S160" t="s">
        <v>45</v>
      </c>
      <c r="T160" t="s">
        <v>46</v>
      </c>
      <c r="U160" t="s">
        <v>99</v>
      </c>
      <c r="V160" t="s">
        <v>569</v>
      </c>
      <c r="W160">
        <v>17500</v>
      </c>
      <c r="X160" t="s">
        <v>45</v>
      </c>
      <c r="Y160" t="s">
        <v>156</v>
      </c>
      <c r="Z160" t="s">
        <v>50</v>
      </c>
      <c r="AA160" s="10">
        <f>IF(O160&lt;=1,7,7+0.8*ROUNDUP(O160-1,0))</f>
        <v>7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8"/>
        <v>0.42</v>
      </c>
      <c r="AG160" s="11">
        <f t="shared" si="9"/>
        <v>7.42</v>
      </c>
      <c r="AH160" t="s">
        <v>51</v>
      </c>
    </row>
    <row r="161" spans="1:34" ht="15" customHeight="1" x14ac:dyDescent="0.35">
      <c r="A161">
        <v>7547676</v>
      </c>
      <c r="B161">
        <v>690929</v>
      </c>
      <c r="C161" t="s">
        <v>34</v>
      </c>
      <c r="D161" t="s">
        <v>35</v>
      </c>
      <c r="E161" s="6" t="s">
        <v>34</v>
      </c>
      <c r="F161" t="s">
        <v>570</v>
      </c>
      <c r="G161" t="s">
        <v>37</v>
      </c>
      <c r="H161" t="s">
        <v>38</v>
      </c>
      <c r="I161" t="s">
        <v>571</v>
      </c>
      <c r="J161" t="s">
        <v>40</v>
      </c>
      <c r="K161">
        <v>2</v>
      </c>
      <c r="L161" t="s">
        <v>41</v>
      </c>
      <c r="M161" t="s">
        <v>42</v>
      </c>
      <c r="N161" t="s">
        <v>43</v>
      </c>
      <c r="O161" s="7">
        <v>2</v>
      </c>
      <c r="P161" s="8">
        <v>45369.672650462962</v>
      </c>
      <c r="Q161" s="9">
        <v>45370</v>
      </c>
      <c r="R161" t="s">
        <v>44</v>
      </c>
      <c r="S161" t="s">
        <v>45</v>
      </c>
      <c r="T161" t="s">
        <v>46</v>
      </c>
      <c r="U161" t="s">
        <v>47</v>
      </c>
      <c r="V161" t="s">
        <v>572</v>
      </c>
      <c r="W161">
        <v>22000</v>
      </c>
      <c r="X161" t="s">
        <v>45</v>
      </c>
      <c r="Y161" t="s">
        <v>156</v>
      </c>
      <c r="Z161" t="s">
        <v>50</v>
      </c>
      <c r="AA161" s="10">
        <f>IF(O161&lt;=1,7,7+0.8*ROUNDUP(O161-1,0))</f>
        <v>7.8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8"/>
        <v>0.46799999999999997</v>
      </c>
      <c r="AG161" s="11">
        <f t="shared" si="9"/>
        <v>8.2680000000000007</v>
      </c>
      <c r="AH161" t="s">
        <v>51</v>
      </c>
    </row>
    <row r="162" spans="1:34" ht="15" customHeight="1" x14ac:dyDescent="0.35">
      <c r="A162">
        <v>7547676</v>
      </c>
      <c r="B162">
        <v>690929</v>
      </c>
      <c r="C162" t="s">
        <v>34</v>
      </c>
      <c r="D162" t="s">
        <v>35</v>
      </c>
      <c r="E162" s="6" t="s">
        <v>34</v>
      </c>
      <c r="F162" t="s">
        <v>573</v>
      </c>
      <c r="G162" t="s">
        <v>37</v>
      </c>
      <c r="H162" t="s">
        <v>38</v>
      </c>
      <c r="I162" t="s">
        <v>574</v>
      </c>
      <c r="J162" t="s">
        <v>40</v>
      </c>
      <c r="K162">
        <v>2</v>
      </c>
      <c r="L162" t="s">
        <v>41</v>
      </c>
      <c r="M162" t="s">
        <v>42</v>
      </c>
      <c r="N162" t="s">
        <v>43</v>
      </c>
      <c r="O162" s="7">
        <v>2</v>
      </c>
      <c r="P162" s="8">
        <v>45367.646435185183</v>
      </c>
      <c r="Q162" s="9">
        <v>45370</v>
      </c>
      <c r="R162" t="s">
        <v>44</v>
      </c>
      <c r="S162" t="s">
        <v>45</v>
      </c>
      <c r="T162" t="s">
        <v>46</v>
      </c>
      <c r="U162" t="s">
        <v>278</v>
      </c>
      <c r="V162" t="s">
        <v>575</v>
      </c>
      <c r="W162">
        <v>14000</v>
      </c>
      <c r="X162" t="s">
        <v>45</v>
      </c>
      <c r="Y162" t="s">
        <v>79</v>
      </c>
      <c r="Z162" t="s">
        <v>50</v>
      </c>
      <c r="AA162" s="10">
        <f>IF(O162&lt;=1,7,7+0.8*ROUNDUP(O162-1,0))</f>
        <v>7.8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8"/>
        <v>0.46799999999999997</v>
      </c>
      <c r="AG162" s="11">
        <f t="shared" si="9"/>
        <v>8.2680000000000007</v>
      </c>
      <c r="AH162" t="s">
        <v>51</v>
      </c>
    </row>
    <row r="163" spans="1:34" ht="15" customHeight="1" x14ac:dyDescent="0.35">
      <c r="A163">
        <v>7547676</v>
      </c>
      <c r="B163">
        <v>690929</v>
      </c>
      <c r="C163" t="s">
        <v>34</v>
      </c>
      <c r="D163" t="s">
        <v>35</v>
      </c>
      <c r="E163" s="6" t="s">
        <v>34</v>
      </c>
      <c r="F163" t="s">
        <v>576</v>
      </c>
      <c r="G163" t="s">
        <v>37</v>
      </c>
      <c r="H163" t="s">
        <v>38</v>
      </c>
      <c r="I163" t="s">
        <v>577</v>
      </c>
      <c r="J163" t="s">
        <v>40</v>
      </c>
      <c r="K163">
        <v>2</v>
      </c>
      <c r="L163" t="s">
        <v>41</v>
      </c>
      <c r="M163" t="s">
        <v>42</v>
      </c>
      <c r="N163" t="s">
        <v>43</v>
      </c>
      <c r="O163" s="7">
        <v>2</v>
      </c>
      <c r="P163" s="8">
        <v>45368.531712962962</v>
      </c>
      <c r="Q163" s="9">
        <v>45370</v>
      </c>
      <c r="R163" t="s">
        <v>44</v>
      </c>
      <c r="S163" t="s">
        <v>45</v>
      </c>
      <c r="T163" t="s">
        <v>46</v>
      </c>
      <c r="U163" t="s">
        <v>47</v>
      </c>
      <c r="V163" t="s">
        <v>578</v>
      </c>
      <c r="W163">
        <v>24000</v>
      </c>
      <c r="X163" t="s">
        <v>45</v>
      </c>
      <c r="Y163" t="s">
        <v>362</v>
      </c>
      <c r="Z163" t="s">
        <v>50</v>
      </c>
      <c r="AA163" s="10">
        <f>IF(O163&lt;=1,7,7+0.8*ROUNDUP(O163-1,0))</f>
        <v>7.8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8"/>
        <v>0.46799999999999997</v>
      </c>
      <c r="AG163" s="11">
        <f t="shared" si="9"/>
        <v>8.2680000000000007</v>
      </c>
      <c r="AH163" t="s">
        <v>51</v>
      </c>
    </row>
    <row r="164" spans="1:34" ht="15" customHeight="1" x14ac:dyDescent="0.35">
      <c r="A164">
        <v>7547676</v>
      </c>
      <c r="B164">
        <v>690929</v>
      </c>
      <c r="C164" t="s">
        <v>34</v>
      </c>
      <c r="D164" t="s">
        <v>35</v>
      </c>
      <c r="E164" s="6" t="s">
        <v>34</v>
      </c>
      <c r="F164" t="s">
        <v>579</v>
      </c>
      <c r="G164" t="s">
        <v>37</v>
      </c>
      <c r="H164" t="s">
        <v>38</v>
      </c>
      <c r="I164" t="s">
        <v>580</v>
      </c>
      <c r="J164" t="s">
        <v>40</v>
      </c>
      <c r="K164">
        <v>2</v>
      </c>
      <c r="L164" t="s">
        <v>41</v>
      </c>
      <c r="M164" t="s">
        <v>42</v>
      </c>
      <c r="N164" t="s">
        <v>43</v>
      </c>
      <c r="O164" s="7">
        <v>3</v>
      </c>
      <c r="P164" s="8">
        <v>45367.597777777781</v>
      </c>
      <c r="Q164" s="9">
        <v>45370</v>
      </c>
      <c r="R164" t="s">
        <v>44</v>
      </c>
      <c r="S164" t="s">
        <v>45</v>
      </c>
      <c r="T164" t="s">
        <v>46</v>
      </c>
      <c r="U164" t="s">
        <v>278</v>
      </c>
      <c r="V164" t="s">
        <v>581</v>
      </c>
      <c r="W164">
        <v>11900</v>
      </c>
      <c r="X164" t="s">
        <v>45</v>
      </c>
      <c r="Y164" t="s">
        <v>79</v>
      </c>
      <c r="Z164" t="s">
        <v>50</v>
      </c>
      <c r="AA164" s="10">
        <f>IF(O164&lt;=1,7,7+0.8*ROUNDUP(O164-1,0))</f>
        <v>8.6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8"/>
        <v>0.51600000000000001</v>
      </c>
      <c r="AG164" s="11">
        <f t="shared" si="9"/>
        <v>9.1159999999999997</v>
      </c>
      <c r="AH164" t="s">
        <v>51</v>
      </c>
    </row>
    <row r="165" spans="1:34" ht="15" customHeight="1" x14ac:dyDescent="0.35">
      <c r="A165">
        <v>7547676</v>
      </c>
      <c r="B165">
        <v>690929</v>
      </c>
      <c r="C165" t="s">
        <v>34</v>
      </c>
      <c r="D165" t="s">
        <v>35</v>
      </c>
      <c r="E165" s="6" t="s">
        <v>34</v>
      </c>
      <c r="F165" t="s">
        <v>582</v>
      </c>
      <c r="G165" t="s">
        <v>37</v>
      </c>
      <c r="H165" t="s">
        <v>38</v>
      </c>
      <c r="I165" t="s">
        <v>66</v>
      </c>
      <c r="J165" t="s">
        <v>40</v>
      </c>
      <c r="K165">
        <v>2</v>
      </c>
      <c r="L165" t="s">
        <v>41</v>
      </c>
      <c r="M165" t="s">
        <v>42</v>
      </c>
      <c r="N165" t="s">
        <v>43</v>
      </c>
      <c r="O165" s="7">
        <v>1</v>
      </c>
      <c r="P165" s="8">
        <v>45368.428831018522</v>
      </c>
      <c r="Q165" s="9">
        <v>45370</v>
      </c>
      <c r="R165" t="s">
        <v>44</v>
      </c>
      <c r="S165" t="s">
        <v>45</v>
      </c>
      <c r="T165" t="s">
        <v>46</v>
      </c>
      <c r="U165" t="s">
        <v>67</v>
      </c>
      <c r="V165" t="s">
        <v>68</v>
      </c>
      <c r="W165">
        <v>50100</v>
      </c>
      <c r="X165" t="s">
        <v>45</v>
      </c>
      <c r="Y165" t="s">
        <v>79</v>
      </c>
      <c r="Z165" t="s">
        <v>50</v>
      </c>
      <c r="AA165" s="10">
        <f>IF(O165&lt;=1,7,7+0.8*ROUNDUP(O165-1,0))</f>
        <v>7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8"/>
        <v>0.42</v>
      </c>
      <c r="AG165" s="11">
        <f t="shared" si="9"/>
        <v>7.42</v>
      </c>
      <c r="AH165" t="s">
        <v>51</v>
      </c>
    </row>
    <row r="166" spans="1:34" ht="15" customHeight="1" x14ac:dyDescent="0.35">
      <c r="A166">
        <v>7547676</v>
      </c>
      <c r="B166">
        <v>690929</v>
      </c>
      <c r="C166" t="s">
        <v>34</v>
      </c>
      <c r="D166" t="s">
        <v>35</v>
      </c>
      <c r="E166" s="6" t="s">
        <v>34</v>
      </c>
      <c r="F166" t="s">
        <v>583</v>
      </c>
      <c r="G166" t="s">
        <v>37</v>
      </c>
      <c r="H166" t="s">
        <v>38</v>
      </c>
      <c r="I166" t="s">
        <v>584</v>
      </c>
      <c r="J166" t="s">
        <v>40</v>
      </c>
      <c r="K166">
        <v>2</v>
      </c>
      <c r="L166" t="s">
        <v>41</v>
      </c>
      <c r="M166" t="s">
        <v>42</v>
      </c>
      <c r="N166" t="s">
        <v>43</v>
      </c>
      <c r="O166" s="7">
        <v>1</v>
      </c>
      <c r="P166" s="8">
        <v>45369.541620370372</v>
      </c>
      <c r="Q166" s="9">
        <v>45370</v>
      </c>
      <c r="R166" t="s">
        <v>44</v>
      </c>
      <c r="S166" t="s">
        <v>45</v>
      </c>
      <c r="T166" t="s">
        <v>46</v>
      </c>
      <c r="U166" t="s">
        <v>99</v>
      </c>
      <c r="V166" t="s">
        <v>585</v>
      </c>
      <c r="W166">
        <v>17500</v>
      </c>
      <c r="X166" t="s">
        <v>45</v>
      </c>
      <c r="Y166" t="s">
        <v>156</v>
      </c>
      <c r="Z166" t="s">
        <v>50</v>
      </c>
      <c r="AA166" s="10">
        <f>IF(O166&lt;=1,7,7+0.8*ROUNDUP(O166-1,0))</f>
        <v>7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8"/>
        <v>0.42</v>
      </c>
      <c r="AG166" s="11">
        <f t="shared" si="9"/>
        <v>7.42</v>
      </c>
      <c r="AH166" t="s">
        <v>51</v>
      </c>
    </row>
    <row r="167" spans="1:34" ht="15" customHeight="1" x14ac:dyDescent="0.35">
      <c r="A167">
        <v>7547676</v>
      </c>
      <c r="B167">
        <v>690929</v>
      </c>
      <c r="C167" t="s">
        <v>34</v>
      </c>
      <c r="D167" t="s">
        <v>35</v>
      </c>
      <c r="E167" s="6" t="s">
        <v>34</v>
      </c>
      <c r="F167" t="s">
        <v>586</v>
      </c>
      <c r="G167" t="s">
        <v>37</v>
      </c>
      <c r="H167" t="s">
        <v>38</v>
      </c>
      <c r="I167" t="s">
        <v>587</v>
      </c>
      <c r="J167" t="s">
        <v>40</v>
      </c>
      <c r="K167">
        <v>2</v>
      </c>
      <c r="L167" t="s">
        <v>41</v>
      </c>
      <c r="M167" t="s">
        <v>42</v>
      </c>
      <c r="N167" t="s">
        <v>43</v>
      </c>
      <c r="O167" s="7">
        <v>1</v>
      </c>
      <c r="P167" s="8">
        <v>45368.646319444444</v>
      </c>
      <c r="Q167" s="9">
        <v>45370</v>
      </c>
      <c r="R167" t="s">
        <v>44</v>
      </c>
      <c r="S167" t="s">
        <v>45</v>
      </c>
      <c r="T167" t="s">
        <v>46</v>
      </c>
      <c r="U167" t="s">
        <v>86</v>
      </c>
      <c r="V167" t="s">
        <v>588</v>
      </c>
      <c r="W167">
        <v>70400</v>
      </c>
      <c r="X167" t="s">
        <v>45</v>
      </c>
      <c r="Y167" t="s">
        <v>589</v>
      </c>
      <c r="Z167" t="s">
        <v>50</v>
      </c>
      <c r="AA167" s="10">
        <f>IF(O167&lt;=1,7,7+0.8*ROUNDUP(O167-1,0))</f>
        <v>7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8"/>
        <v>0.42</v>
      </c>
      <c r="AG167" s="11">
        <f t="shared" si="9"/>
        <v>7.42</v>
      </c>
      <c r="AH167" t="s">
        <v>51</v>
      </c>
    </row>
    <row r="168" spans="1:34" ht="15" customHeight="1" x14ac:dyDescent="0.35">
      <c r="A168">
        <v>7547676</v>
      </c>
      <c r="B168">
        <v>690929</v>
      </c>
      <c r="C168" t="s">
        <v>34</v>
      </c>
      <c r="D168" t="s">
        <v>35</v>
      </c>
      <c r="E168" s="6" t="s">
        <v>34</v>
      </c>
      <c r="F168" t="s">
        <v>590</v>
      </c>
      <c r="G168" t="s">
        <v>37</v>
      </c>
      <c r="H168" t="s">
        <v>38</v>
      </c>
      <c r="I168" t="s">
        <v>591</v>
      </c>
      <c r="J168" t="s">
        <v>40</v>
      </c>
      <c r="K168">
        <v>2</v>
      </c>
      <c r="L168" t="s">
        <v>41</v>
      </c>
      <c r="M168" t="s">
        <v>42</v>
      </c>
      <c r="N168" t="s">
        <v>43</v>
      </c>
      <c r="O168" s="7">
        <v>2</v>
      </c>
      <c r="P168" s="8">
        <v>45369.575266203705</v>
      </c>
      <c r="Q168" s="9">
        <v>45370</v>
      </c>
      <c r="R168" t="s">
        <v>44</v>
      </c>
      <c r="S168" t="s">
        <v>45</v>
      </c>
      <c r="T168" t="s">
        <v>46</v>
      </c>
      <c r="U168" t="s">
        <v>47</v>
      </c>
      <c r="V168" t="s">
        <v>592</v>
      </c>
      <c r="W168">
        <v>23000</v>
      </c>
      <c r="X168" t="s">
        <v>45</v>
      </c>
      <c r="Y168" t="s">
        <v>49</v>
      </c>
      <c r="Z168" t="s">
        <v>50</v>
      </c>
      <c r="AA168" s="10">
        <f>IF(O168&lt;=1,7,7+0.8*ROUNDUP(O168-1,0))</f>
        <v>7.8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8"/>
        <v>0.46799999999999997</v>
      </c>
      <c r="AG168" s="11">
        <f t="shared" si="9"/>
        <v>8.2680000000000007</v>
      </c>
      <c r="AH168" t="s">
        <v>51</v>
      </c>
    </row>
    <row r="169" spans="1:34" ht="15" customHeight="1" x14ac:dyDescent="0.35">
      <c r="A169">
        <v>7547676</v>
      </c>
      <c r="B169">
        <v>690929</v>
      </c>
      <c r="C169" t="s">
        <v>34</v>
      </c>
      <c r="D169" t="s">
        <v>35</v>
      </c>
      <c r="E169" s="6" t="s">
        <v>34</v>
      </c>
      <c r="F169" t="s">
        <v>593</v>
      </c>
      <c r="G169" t="s">
        <v>37</v>
      </c>
      <c r="H169" t="s">
        <v>38</v>
      </c>
      <c r="I169" t="s">
        <v>594</v>
      </c>
      <c r="J169" t="s">
        <v>40</v>
      </c>
      <c r="K169">
        <v>2</v>
      </c>
      <c r="L169" t="s">
        <v>41</v>
      </c>
      <c r="M169" t="s">
        <v>42</v>
      </c>
      <c r="N169" t="s">
        <v>43</v>
      </c>
      <c r="O169" s="7">
        <v>2</v>
      </c>
      <c r="P169" s="8">
        <v>45368.722291666665</v>
      </c>
      <c r="Q169" s="9">
        <v>45370</v>
      </c>
      <c r="R169" t="s">
        <v>44</v>
      </c>
      <c r="S169" t="s">
        <v>45</v>
      </c>
      <c r="T169" t="s">
        <v>46</v>
      </c>
      <c r="U169" t="s">
        <v>172</v>
      </c>
      <c r="V169" t="s">
        <v>595</v>
      </c>
      <c r="W169">
        <v>32000</v>
      </c>
      <c r="X169" t="s">
        <v>45</v>
      </c>
      <c r="Y169" t="s">
        <v>463</v>
      </c>
      <c r="Z169" t="s">
        <v>50</v>
      </c>
      <c r="AA169" s="10">
        <f>IF(O169&lt;=1,7,7+0.8*ROUNDUP(O169-1,0))</f>
        <v>7.8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8"/>
        <v>0.46799999999999997</v>
      </c>
      <c r="AG169" s="11">
        <f t="shared" si="9"/>
        <v>8.2680000000000007</v>
      </c>
      <c r="AH169" t="s">
        <v>51</v>
      </c>
    </row>
    <row r="170" spans="1:34" ht="15" customHeight="1" x14ac:dyDescent="0.35">
      <c r="A170">
        <v>7547676</v>
      </c>
      <c r="B170">
        <v>690929</v>
      </c>
      <c r="C170" t="s">
        <v>34</v>
      </c>
      <c r="D170" t="s">
        <v>35</v>
      </c>
      <c r="E170" s="6" t="s">
        <v>34</v>
      </c>
      <c r="F170" t="s">
        <v>596</v>
      </c>
      <c r="G170" t="s">
        <v>37</v>
      </c>
      <c r="H170" t="s">
        <v>38</v>
      </c>
      <c r="I170" t="s">
        <v>597</v>
      </c>
      <c r="J170" t="s">
        <v>40</v>
      </c>
      <c r="K170">
        <v>2</v>
      </c>
      <c r="L170" t="s">
        <v>41</v>
      </c>
      <c r="M170" t="s">
        <v>42</v>
      </c>
      <c r="N170" t="s">
        <v>43</v>
      </c>
      <c r="O170" s="7">
        <v>1</v>
      </c>
      <c r="P170" s="8">
        <v>45369.713148148148</v>
      </c>
      <c r="Q170" s="9">
        <v>45370</v>
      </c>
      <c r="R170" t="s">
        <v>44</v>
      </c>
      <c r="S170" t="s">
        <v>45</v>
      </c>
      <c r="T170" t="s">
        <v>46</v>
      </c>
      <c r="U170" t="s">
        <v>99</v>
      </c>
      <c r="V170" t="s">
        <v>598</v>
      </c>
      <c r="W170">
        <v>16400</v>
      </c>
      <c r="X170" t="s">
        <v>45</v>
      </c>
      <c r="Y170" t="s">
        <v>156</v>
      </c>
      <c r="Z170" t="s">
        <v>50</v>
      </c>
      <c r="AA170" s="10">
        <f>IF(O170&lt;=1,7,7+0.8*ROUNDUP(O170-1,0))</f>
        <v>7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8"/>
        <v>0.42</v>
      </c>
      <c r="AG170" s="11">
        <f t="shared" si="9"/>
        <v>7.42</v>
      </c>
      <c r="AH170" t="s">
        <v>51</v>
      </c>
    </row>
    <row r="171" spans="1:34" ht="15" customHeight="1" x14ac:dyDescent="0.35">
      <c r="A171">
        <v>7547676</v>
      </c>
      <c r="B171">
        <v>690929</v>
      </c>
      <c r="C171" t="s">
        <v>34</v>
      </c>
      <c r="D171" t="s">
        <v>35</v>
      </c>
      <c r="E171" s="6" t="s">
        <v>34</v>
      </c>
      <c r="F171" t="s">
        <v>599</v>
      </c>
      <c r="G171" t="s">
        <v>37</v>
      </c>
      <c r="H171" t="s">
        <v>38</v>
      </c>
      <c r="I171" t="s">
        <v>600</v>
      </c>
      <c r="J171" t="s">
        <v>40</v>
      </c>
      <c r="K171">
        <v>2</v>
      </c>
      <c r="L171" t="s">
        <v>41</v>
      </c>
      <c r="M171" t="s">
        <v>42</v>
      </c>
      <c r="N171" t="s">
        <v>43</v>
      </c>
      <c r="O171" s="7">
        <v>1</v>
      </c>
      <c r="P171" s="8">
        <v>45369.503472222219</v>
      </c>
      <c r="Q171" s="9">
        <v>45370</v>
      </c>
      <c r="R171" t="s">
        <v>44</v>
      </c>
      <c r="S171" t="s">
        <v>45</v>
      </c>
      <c r="T171" t="s">
        <v>46</v>
      </c>
      <c r="U171" t="s">
        <v>47</v>
      </c>
      <c r="V171" t="s">
        <v>601</v>
      </c>
      <c r="W171">
        <v>24000</v>
      </c>
      <c r="X171" t="s">
        <v>45</v>
      </c>
      <c r="Y171" t="s">
        <v>362</v>
      </c>
      <c r="Z171" t="s">
        <v>50</v>
      </c>
      <c r="AA171" s="10">
        <f>IF(O171&lt;=1,7,7+0.8*ROUNDUP(O171-1,0))</f>
        <v>7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8"/>
        <v>0.42</v>
      </c>
      <c r="AG171" s="11">
        <f t="shared" si="9"/>
        <v>7.42</v>
      </c>
      <c r="AH171" t="s">
        <v>51</v>
      </c>
    </row>
    <row r="172" spans="1:34" ht="15" customHeight="1" x14ac:dyDescent="0.35">
      <c r="A172">
        <v>7547676</v>
      </c>
      <c r="B172">
        <v>690929</v>
      </c>
      <c r="C172" t="s">
        <v>34</v>
      </c>
      <c r="D172" t="s">
        <v>35</v>
      </c>
      <c r="E172" s="6" t="s">
        <v>34</v>
      </c>
      <c r="F172" t="s">
        <v>602</v>
      </c>
      <c r="G172" t="s">
        <v>37</v>
      </c>
      <c r="H172" t="s">
        <v>38</v>
      </c>
      <c r="I172" t="s">
        <v>603</v>
      </c>
      <c r="J172" t="s">
        <v>40</v>
      </c>
      <c r="K172">
        <v>2</v>
      </c>
      <c r="L172" t="s">
        <v>41</v>
      </c>
      <c r="M172" t="s">
        <v>42</v>
      </c>
      <c r="N172" t="s">
        <v>43</v>
      </c>
      <c r="O172" s="7">
        <v>1</v>
      </c>
      <c r="P172" s="8">
        <v>45368.531712962962</v>
      </c>
      <c r="Q172" s="9">
        <v>45370</v>
      </c>
      <c r="R172" t="s">
        <v>44</v>
      </c>
      <c r="S172" t="s">
        <v>45</v>
      </c>
      <c r="T172" t="s">
        <v>46</v>
      </c>
      <c r="U172" t="s">
        <v>190</v>
      </c>
      <c r="V172" t="s">
        <v>604</v>
      </c>
      <c r="W172">
        <v>26680</v>
      </c>
      <c r="X172" t="s">
        <v>45</v>
      </c>
      <c r="Y172" t="s">
        <v>362</v>
      </c>
      <c r="Z172" t="s">
        <v>50</v>
      </c>
      <c r="AA172" s="10">
        <f>IF(O172&lt;=1,7,7+0.8*ROUNDUP(O172-1,0))</f>
        <v>7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8"/>
        <v>0.42</v>
      </c>
      <c r="AG172" s="11">
        <f t="shared" si="9"/>
        <v>7.42</v>
      </c>
      <c r="AH172" t="s">
        <v>51</v>
      </c>
    </row>
    <row r="173" spans="1:34" ht="15" customHeight="1" x14ac:dyDescent="0.35">
      <c r="A173">
        <v>7547676</v>
      </c>
      <c r="B173">
        <v>690929</v>
      </c>
      <c r="C173" t="s">
        <v>34</v>
      </c>
      <c r="D173" t="s">
        <v>35</v>
      </c>
      <c r="E173" s="6" t="s">
        <v>34</v>
      </c>
      <c r="F173" t="s">
        <v>605</v>
      </c>
      <c r="G173" t="s">
        <v>37</v>
      </c>
      <c r="H173" t="s">
        <v>38</v>
      </c>
      <c r="I173" t="s">
        <v>606</v>
      </c>
      <c r="J173" t="s">
        <v>40</v>
      </c>
      <c r="K173">
        <v>2</v>
      </c>
      <c r="L173" t="s">
        <v>41</v>
      </c>
      <c r="M173" t="s">
        <v>42</v>
      </c>
      <c r="N173" t="s">
        <v>43</v>
      </c>
      <c r="O173" s="7">
        <v>3</v>
      </c>
      <c r="P173" s="8">
        <v>45370.627395833333</v>
      </c>
      <c r="Q173" s="9">
        <v>45371</v>
      </c>
      <c r="R173" t="s">
        <v>44</v>
      </c>
      <c r="S173" t="s">
        <v>45</v>
      </c>
      <c r="T173" t="s">
        <v>46</v>
      </c>
      <c r="U173" t="s">
        <v>47</v>
      </c>
      <c r="V173" t="s">
        <v>607</v>
      </c>
      <c r="W173">
        <v>21300</v>
      </c>
      <c r="X173" t="s">
        <v>45</v>
      </c>
      <c r="Y173" t="s">
        <v>49</v>
      </c>
      <c r="Z173" t="s">
        <v>50</v>
      </c>
      <c r="AA173" s="10">
        <f>IF(O173&lt;=1,7,7+0.8*ROUNDUP(O173-1,0))</f>
        <v>8.6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8"/>
        <v>0.51600000000000001</v>
      </c>
      <c r="AG173" s="11">
        <f t="shared" si="9"/>
        <v>9.1159999999999997</v>
      </c>
      <c r="AH173" t="s">
        <v>51</v>
      </c>
    </row>
    <row r="174" spans="1:34" ht="15" customHeight="1" x14ac:dyDescent="0.35">
      <c r="A174">
        <v>7547676</v>
      </c>
      <c r="B174">
        <v>690929</v>
      </c>
      <c r="C174" t="s">
        <v>34</v>
      </c>
      <c r="D174" t="s">
        <v>35</v>
      </c>
      <c r="E174" s="6" t="s">
        <v>34</v>
      </c>
      <c r="F174" t="s">
        <v>608</v>
      </c>
      <c r="G174" t="s">
        <v>37</v>
      </c>
      <c r="H174" t="s">
        <v>38</v>
      </c>
      <c r="I174" t="s">
        <v>609</v>
      </c>
      <c r="J174" t="s">
        <v>40</v>
      </c>
      <c r="K174">
        <v>2</v>
      </c>
      <c r="L174" t="s">
        <v>41</v>
      </c>
      <c r="M174" t="s">
        <v>42</v>
      </c>
      <c r="N174" t="s">
        <v>43</v>
      </c>
      <c r="O174" s="7">
        <v>1</v>
      </c>
      <c r="P174" s="8">
        <v>45368.666909722226</v>
      </c>
      <c r="Q174" s="9">
        <v>45371</v>
      </c>
      <c r="R174" t="s">
        <v>44</v>
      </c>
      <c r="S174" t="s">
        <v>45</v>
      </c>
      <c r="T174" t="s">
        <v>46</v>
      </c>
      <c r="U174" t="s">
        <v>86</v>
      </c>
      <c r="V174" t="s">
        <v>610</v>
      </c>
      <c r="W174">
        <v>71010</v>
      </c>
      <c r="X174" t="s">
        <v>45</v>
      </c>
      <c r="Y174" t="s">
        <v>611</v>
      </c>
      <c r="Z174" t="s">
        <v>50</v>
      </c>
      <c r="AA174" s="10">
        <f>IF(O174&lt;=1,7,7+0.8*ROUNDUP(O174-1,0))</f>
        <v>7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8"/>
        <v>0.42</v>
      </c>
      <c r="AG174" s="11">
        <f t="shared" si="9"/>
        <v>7.42</v>
      </c>
      <c r="AH174" t="s">
        <v>51</v>
      </c>
    </row>
    <row r="175" spans="1:34" ht="15" customHeight="1" x14ac:dyDescent="0.35">
      <c r="A175">
        <v>7547676</v>
      </c>
      <c r="B175">
        <v>690929</v>
      </c>
      <c r="C175" t="s">
        <v>34</v>
      </c>
      <c r="D175" t="s">
        <v>35</v>
      </c>
      <c r="E175" s="6" t="s">
        <v>34</v>
      </c>
      <c r="F175" t="s">
        <v>612</v>
      </c>
      <c r="G175" t="s">
        <v>37</v>
      </c>
      <c r="H175" t="s">
        <v>38</v>
      </c>
      <c r="I175" t="s">
        <v>613</v>
      </c>
      <c r="J175" t="s">
        <v>40</v>
      </c>
      <c r="K175">
        <v>2</v>
      </c>
      <c r="L175" t="s">
        <v>41</v>
      </c>
      <c r="M175" t="s">
        <v>42</v>
      </c>
      <c r="N175" t="s">
        <v>43</v>
      </c>
      <c r="O175" s="7">
        <v>1</v>
      </c>
      <c r="P175" s="8">
        <v>45369.628252314818</v>
      </c>
      <c r="Q175" s="9">
        <v>45371</v>
      </c>
      <c r="R175" t="s">
        <v>44</v>
      </c>
      <c r="S175" t="s">
        <v>45</v>
      </c>
      <c r="T175" t="s">
        <v>46</v>
      </c>
      <c r="U175" t="s">
        <v>77</v>
      </c>
      <c r="V175" t="s">
        <v>614</v>
      </c>
      <c r="W175">
        <v>76400</v>
      </c>
      <c r="X175" t="s">
        <v>45</v>
      </c>
      <c r="Y175" t="s">
        <v>335</v>
      </c>
      <c r="Z175" t="s">
        <v>50</v>
      </c>
      <c r="AA175" s="10">
        <f>IF(O175&lt;=1,7,7+0.8*ROUNDUP(O175-1,0))</f>
        <v>7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8"/>
        <v>0.42</v>
      </c>
      <c r="AG175" s="11">
        <f t="shared" si="9"/>
        <v>7.42</v>
      </c>
      <c r="AH175" t="s">
        <v>51</v>
      </c>
    </row>
    <row r="176" spans="1:34" ht="15" customHeight="1" x14ac:dyDescent="0.35">
      <c r="A176">
        <v>7547676</v>
      </c>
      <c r="B176">
        <v>690929</v>
      </c>
      <c r="C176" t="s">
        <v>34</v>
      </c>
      <c r="D176" t="s">
        <v>35</v>
      </c>
      <c r="E176" s="6" t="s">
        <v>34</v>
      </c>
      <c r="F176" t="s">
        <v>615</v>
      </c>
      <c r="G176" t="s">
        <v>37</v>
      </c>
      <c r="H176" t="s">
        <v>38</v>
      </c>
      <c r="I176" t="s">
        <v>616</v>
      </c>
      <c r="J176" t="s">
        <v>40</v>
      </c>
      <c r="K176">
        <v>2</v>
      </c>
      <c r="L176" t="s">
        <v>41</v>
      </c>
      <c r="M176" t="s">
        <v>42</v>
      </c>
      <c r="N176" t="s">
        <v>43</v>
      </c>
      <c r="O176" s="7">
        <v>1</v>
      </c>
      <c r="P176" s="8">
        <v>45370.627395833333</v>
      </c>
      <c r="Q176" s="9">
        <v>45371</v>
      </c>
      <c r="R176" t="s">
        <v>44</v>
      </c>
      <c r="S176" t="s">
        <v>45</v>
      </c>
      <c r="T176" t="s">
        <v>46</v>
      </c>
      <c r="U176" t="s">
        <v>54</v>
      </c>
      <c r="V176" t="s">
        <v>617</v>
      </c>
      <c r="W176">
        <v>47600</v>
      </c>
      <c r="X176" t="s">
        <v>45</v>
      </c>
      <c r="Y176" t="s">
        <v>441</v>
      </c>
      <c r="Z176" t="s">
        <v>50</v>
      </c>
      <c r="AA176" s="10">
        <f>IF(O176&lt;=1,7,7+0.8*ROUNDUP(O176-1,0))</f>
        <v>7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8"/>
        <v>0.42</v>
      </c>
      <c r="AG176" s="11">
        <f t="shared" si="9"/>
        <v>7.42</v>
      </c>
      <c r="AH176" t="s">
        <v>51</v>
      </c>
    </row>
    <row r="177" spans="1:34" ht="15" customHeight="1" x14ac:dyDescent="0.35">
      <c r="A177">
        <v>7547676</v>
      </c>
      <c r="B177">
        <v>690929</v>
      </c>
      <c r="C177" t="s">
        <v>34</v>
      </c>
      <c r="D177" t="s">
        <v>35</v>
      </c>
      <c r="E177" s="6" t="s">
        <v>34</v>
      </c>
      <c r="F177" t="s">
        <v>618</v>
      </c>
      <c r="G177" t="s">
        <v>37</v>
      </c>
      <c r="H177" t="s">
        <v>38</v>
      </c>
      <c r="I177" t="s">
        <v>619</v>
      </c>
      <c r="J177" t="s">
        <v>40</v>
      </c>
      <c r="K177">
        <v>2</v>
      </c>
      <c r="L177" t="s">
        <v>41</v>
      </c>
      <c r="M177" t="s">
        <v>42</v>
      </c>
      <c r="N177" t="s">
        <v>43</v>
      </c>
      <c r="O177" s="7">
        <v>1</v>
      </c>
      <c r="P177" s="8">
        <v>45368.644409722219</v>
      </c>
      <c r="Q177" s="9">
        <v>45371</v>
      </c>
      <c r="R177" t="s">
        <v>44</v>
      </c>
      <c r="S177" t="s">
        <v>45</v>
      </c>
      <c r="T177" t="s">
        <v>46</v>
      </c>
      <c r="U177" t="s">
        <v>77</v>
      </c>
      <c r="V177" t="s">
        <v>620</v>
      </c>
      <c r="W177">
        <v>77200</v>
      </c>
      <c r="X177" t="s">
        <v>45</v>
      </c>
      <c r="Y177" t="s">
        <v>79</v>
      </c>
      <c r="Z177" t="s">
        <v>50</v>
      </c>
      <c r="AA177" s="10">
        <f>IF(O177&lt;=1,7,7+0.8*ROUNDUP(O177-1,0))</f>
        <v>7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8"/>
        <v>0.42</v>
      </c>
      <c r="AG177" s="11">
        <f t="shared" si="9"/>
        <v>7.42</v>
      </c>
      <c r="AH177" t="s">
        <v>51</v>
      </c>
    </row>
    <row r="178" spans="1:34" ht="15" customHeight="1" x14ac:dyDescent="0.35">
      <c r="A178">
        <v>7547676</v>
      </c>
      <c r="B178">
        <v>690929</v>
      </c>
      <c r="C178" t="s">
        <v>34</v>
      </c>
      <c r="D178" t="s">
        <v>35</v>
      </c>
      <c r="E178" s="6" t="s">
        <v>34</v>
      </c>
      <c r="F178" t="s">
        <v>621</v>
      </c>
      <c r="G178" t="s">
        <v>37</v>
      </c>
      <c r="H178" t="s">
        <v>38</v>
      </c>
      <c r="I178" t="s">
        <v>622</v>
      </c>
      <c r="J178" t="s">
        <v>40</v>
      </c>
      <c r="K178">
        <v>2</v>
      </c>
      <c r="L178" t="s">
        <v>41</v>
      </c>
      <c r="M178" t="s">
        <v>42</v>
      </c>
      <c r="N178" t="s">
        <v>43</v>
      </c>
      <c r="O178" s="7">
        <v>2</v>
      </c>
      <c r="P178" s="8">
        <v>45368.711412037039</v>
      </c>
      <c r="Q178" s="9">
        <v>45371</v>
      </c>
      <c r="R178" t="s">
        <v>44</v>
      </c>
      <c r="S178" t="s">
        <v>45</v>
      </c>
      <c r="T178" t="s">
        <v>46</v>
      </c>
      <c r="U178" t="s">
        <v>172</v>
      </c>
      <c r="V178" t="s">
        <v>623</v>
      </c>
      <c r="W178">
        <v>35400</v>
      </c>
      <c r="X178" t="s">
        <v>45</v>
      </c>
      <c r="Y178" t="s">
        <v>79</v>
      </c>
      <c r="Z178" t="s">
        <v>50</v>
      </c>
      <c r="AA178" s="10">
        <f>IF(O178&lt;=1,7,7+0.8*ROUNDUP(O178-1,0))</f>
        <v>7.8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8"/>
        <v>0.46799999999999997</v>
      </c>
      <c r="AG178" s="11">
        <f t="shared" si="9"/>
        <v>8.2680000000000007</v>
      </c>
      <c r="AH178" t="s">
        <v>51</v>
      </c>
    </row>
    <row r="179" spans="1:34" ht="15" customHeight="1" x14ac:dyDescent="0.35">
      <c r="A179">
        <v>7547676</v>
      </c>
      <c r="B179">
        <v>690929</v>
      </c>
      <c r="C179" t="s">
        <v>34</v>
      </c>
      <c r="D179" t="s">
        <v>35</v>
      </c>
      <c r="E179" s="6" t="s">
        <v>34</v>
      </c>
      <c r="F179" t="s">
        <v>624</v>
      </c>
      <c r="G179" t="s">
        <v>37</v>
      </c>
      <c r="H179" t="s">
        <v>38</v>
      </c>
      <c r="I179" t="s">
        <v>625</v>
      </c>
      <c r="J179" t="s">
        <v>40</v>
      </c>
      <c r="K179">
        <v>2</v>
      </c>
      <c r="L179" t="s">
        <v>41</v>
      </c>
      <c r="M179" t="s">
        <v>42</v>
      </c>
      <c r="N179" t="s">
        <v>43</v>
      </c>
      <c r="O179" s="7">
        <v>1</v>
      </c>
      <c r="P179" s="8">
        <v>45369.628252314818</v>
      </c>
      <c r="Q179" s="9">
        <v>45371</v>
      </c>
      <c r="R179" t="s">
        <v>44</v>
      </c>
      <c r="S179" t="s">
        <v>45</v>
      </c>
      <c r="T179" t="s">
        <v>46</v>
      </c>
      <c r="U179" t="s">
        <v>82</v>
      </c>
      <c r="V179" t="s">
        <v>626</v>
      </c>
      <c r="W179">
        <v>86800</v>
      </c>
      <c r="X179" t="s">
        <v>45</v>
      </c>
      <c r="Y179" t="s">
        <v>627</v>
      </c>
      <c r="Z179" t="s">
        <v>50</v>
      </c>
      <c r="AA179" s="10">
        <f>IF(O179&lt;=1,7,7+0.8*ROUNDUP(O179-1,0))</f>
        <v>7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8"/>
        <v>0.42</v>
      </c>
      <c r="AG179" s="11">
        <f t="shared" si="9"/>
        <v>7.42</v>
      </c>
      <c r="AH179" t="s">
        <v>51</v>
      </c>
    </row>
    <row r="180" spans="1:34" ht="15" customHeight="1" x14ac:dyDescent="0.35">
      <c r="A180">
        <v>7547676</v>
      </c>
      <c r="B180">
        <v>690929</v>
      </c>
      <c r="C180" t="s">
        <v>34</v>
      </c>
      <c r="D180" t="s">
        <v>35</v>
      </c>
      <c r="E180" s="6" t="s">
        <v>34</v>
      </c>
      <c r="F180" t="s">
        <v>628</v>
      </c>
      <c r="G180" t="s">
        <v>37</v>
      </c>
      <c r="H180" t="s">
        <v>38</v>
      </c>
      <c r="I180" t="s">
        <v>629</v>
      </c>
      <c r="J180" t="s">
        <v>40</v>
      </c>
      <c r="K180">
        <v>2</v>
      </c>
      <c r="L180" t="s">
        <v>41</v>
      </c>
      <c r="M180" t="s">
        <v>42</v>
      </c>
      <c r="N180" t="s">
        <v>43</v>
      </c>
      <c r="O180" s="7">
        <v>3</v>
      </c>
      <c r="P180" s="8">
        <v>45369.666365740741</v>
      </c>
      <c r="Q180" s="9">
        <v>45371</v>
      </c>
      <c r="R180" t="s">
        <v>44</v>
      </c>
      <c r="S180" t="s">
        <v>45</v>
      </c>
      <c r="T180" t="s">
        <v>46</v>
      </c>
      <c r="U180" t="s">
        <v>82</v>
      </c>
      <c r="V180" t="s">
        <v>630</v>
      </c>
      <c r="W180">
        <v>86400</v>
      </c>
      <c r="X180" t="s">
        <v>45</v>
      </c>
      <c r="Y180" t="s">
        <v>382</v>
      </c>
      <c r="Z180" t="s">
        <v>50</v>
      </c>
      <c r="AA180" s="10">
        <f>IF(O180&lt;=1,7,7+0.8*ROUNDUP(O180-1,0))</f>
        <v>8.6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8"/>
        <v>0.51600000000000001</v>
      </c>
      <c r="AG180" s="11">
        <f t="shared" si="9"/>
        <v>9.1159999999999997</v>
      </c>
      <c r="AH180" t="s">
        <v>51</v>
      </c>
    </row>
    <row r="181" spans="1:34" ht="15" customHeight="1" x14ac:dyDescent="0.35">
      <c r="A181">
        <v>7547676</v>
      </c>
      <c r="B181">
        <v>690929</v>
      </c>
      <c r="C181" t="s">
        <v>34</v>
      </c>
      <c r="D181" t="s">
        <v>35</v>
      </c>
      <c r="E181" s="6" t="s">
        <v>34</v>
      </c>
      <c r="F181" t="s">
        <v>631</v>
      </c>
      <c r="G181" t="s">
        <v>37</v>
      </c>
      <c r="H181" t="s">
        <v>38</v>
      </c>
      <c r="I181" t="s">
        <v>632</v>
      </c>
      <c r="J181" t="s">
        <v>40</v>
      </c>
      <c r="K181">
        <v>2</v>
      </c>
      <c r="L181" t="s">
        <v>41</v>
      </c>
      <c r="M181" t="s">
        <v>42</v>
      </c>
      <c r="N181" t="s">
        <v>43</v>
      </c>
      <c r="O181" s="7">
        <v>1</v>
      </c>
      <c r="P181" s="8">
        <v>45368.401018518518</v>
      </c>
      <c r="Q181" s="9">
        <v>45371</v>
      </c>
      <c r="R181" t="s">
        <v>44</v>
      </c>
      <c r="S181" t="s">
        <v>45</v>
      </c>
      <c r="T181" t="s">
        <v>46</v>
      </c>
      <c r="U181" t="s">
        <v>77</v>
      </c>
      <c r="V181" t="s">
        <v>633</v>
      </c>
      <c r="W181">
        <v>75250</v>
      </c>
      <c r="X181" t="s">
        <v>45</v>
      </c>
      <c r="Y181" t="s">
        <v>79</v>
      </c>
      <c r="Z181" t="s">
        <v>50</v>
      </c>
      <c r="AA181" s="10">
        <f>IF(O181&lt;=1,7,7+0.8*ROUNDUP(O181-1,0))</f>
        <v>7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8"/>
        <v>0.42</v>
      </c>
      <c r="AG181" s="11">
        <f t="shared" si="9"/>
        <v>7.42</v>
      </c>
      <c r="AH181" t="s">
        <v>51</v>
      </c>
    </row>
    <row r="182" spans="1:34" ht="15" customHeight="1" x14ac:dyDescent="0.35">
      <c r="A182">
        <v>7547676</v>
      </c>
      <c r="B182">
        <v>690929</v>
      </c>
      <c r="C182" t="s">
        <v>34</v>
      </c>
      <c r="D182" t="s">
        <v>35</v>
      </c>
      <c r="E182" s="6" t="s">
        <v>34</v>
      </c>
      <c r="F182" t="s">
        <v>634</v>
      </c>
      <c r="G182" t="s">
        <v>37</v>
      </c>
      <c r="H182" t="s">
        <v>38</v>
      </c>
      <c r="I182" t="s">
        <v>635</v>
      </c>
      <c r="J182" t="s">
        <v>40</v>
      </c>
      <c r="K182">
        <v>2</v>
      </c>
      <c r="L182" t="s">
        <v>41</v>
      </c>
      <c r="M182" t="s">
        <v>42</v>
      </c>
      <c r="N182" t="s">
        <v>43</v>
      </c>
      <c r="O182" s="7">
        <v>1</v>
      </c>
      <c r="P182" s="8">
        <v>45369.628252314818</v>
      </c>
      <c r="Q182" s="9">
        <v>45371</v>
      </c>
      <c r="R182" t="s">
        <v>44</v>
      </c>
      <c r="S182" t="s">
        <v>45</v>
      </c>
      <c r="T182" t="s">
        <v>46</v>
      </c>
      <c r="U182" t="s">
        <v>77</v>
      </c>
      <c r="V182" t="s">
        <v>636</v>
      </c>
      <c r="W182">
        <v>78300</v>
      </c>
      <c r="X182" t="s">
        <v>45</v>
      </c>
      <c r="Y182" t="s">
        <v>335</v>
      </c>
      <c r="Z182" t="s">
        <v>50</v>
      </c>
      <c r="AA182" s="10">
        <f>IF(O182&lt;=1,7,7+0.8*ROUNDUP(O182-1,0))</f>
        <v>7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8"/>
        <v>0.42</v>
      </c>
      <c r="AG182" s="11">
        <f t="shared" si="9"/>
        <v>7.42</v>
      </c>
      <c r="AH182" t="s">
        <v>51</v>
      </c>
    </row>
    <row r="183" spans="1:34" ht="15" customHeight="1" x14ac:dyDescent="0.35">
      <c r="A183">
        <v>7547676</v>
      </c>
      <c r="B183">
        <v>690929</v>
      </c>
      <c r="C183" t="s">
        <v>34</v>
      </c>
      <c r="D183" t="s">
        <v>35</v>
      </c>
      <c r="E183" s="6" t="s">
        <v>34</v>
      </c>
      <c r="F183" t="s">
        <v>637</v>
      </c>
      <c r="G183" t="s">
        <v>37</v>
      </c>
      <c r="H183" t="s">
        <v>38</v>
      </c>
      <c r="I183" t="s">
        <v>638</v>
      </c>
      <c r="J183" t="s">
        <v>40</v>
      </c>
      <c r="K183">
        <v>2</v>
      </c>
      <c r="L183" t="s">
        <v>41</v>
      </c>
      <c r="M183" t="s">
        <v>42</v>
      </c>
      <c r="N183" t="s">
        <v>43</v>
      </c>
      <c r="O183" s="7">
        <v>1</v>
      </c>
      <c r="P183" s="8">
        <v>45368.722291666665</v>
      </c>
      <c r="Q183" s="9">
        <v>45371</v>
      </c>
      <c r="R183" t="s">
        <v>44</v>
      </c>
      <c r="S183" t="s">
        <v>45</v>
      </c>
      <c r="T183" t="s">
        <v>46</v>
      </c>
      <c r="U183" t="s">
        <v>86</v>
      </c>
      <c r="V183" t="s">
        <v>639</v>
      </c>
      <c r="W183">
        <v>71600</v>
      </c>
      <c r="X183" t="s">
        <v>45</v>
      </c>
      <c r="Y183" t="s">
        <v>640</v>
      </c>
      <c r="Z183" t="s">
        <v>50</v>
      </c>
      <c r="AA183" s="10">
        <f>IF(O183&lt;=1,7,7+0.8*ROUNDUP(O183-1,0))</f>
        <v>7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8"/>
        <v>0.42</v>
      </c>
      <c r="AG183" s="11">
        <f t="shared" si="9"/>
        <v>7.42</v>
      </c>
      <c r="AH183" t="s">
        <v>51</v>
      </c>
    </row>
    <row r="184" spans="1:34" ht="15" customHeight="1" x14ac:dyDescent="0.35">
      <c r="A184">
        <v>7547676</v>
      </c>
      <c r="B184">
        <v>690929</v>
      </c>
      <c r="C184" t="s">
        <v>34</v>
      </c>
      <c r="D184" t="s">
        <v>35</v>
      </c>
      <c r="E184" s="6" t="s">
        <v>34</v>
      </c>
      <c r="F184" t="s">
        <v>641</v>
      </c>
      <c r="G184" t="s">
        <v>37</v>
      </c>
      <c r="H184" t="s">
        <v>38</v>
      </c>
      <c r="I184" t="s">
        <v>642</v>
      </c>
      <c r="J184" t="s">
        <v>40</v>
      </c>
      <c r="K184">
        <v>2</v>
      </c>
      <c r="L184" t="s">
        <v>41</v>
      </c>
      <c r="M184" t="s">
        <v>42</v>
      </c>
      <c r="N184" t="s">
        <v>43</v>
      </c>
      <c r="O184" s="7">
        <v>9</v>
      </c>
      <c r="P184" s="8">
        <v>45368.704259259262</v>
      </c>
      <c r="Q184" s="9">
        <v>45371</v>
      </c>
      <c r="R184" t="s">
        <v>44</v>
      </c>
      <c r="S184" t="s">
        <v>45</v>
      </c>
      <c r="T184" t="s">
        <v>46</v>
      </c>
      <c r="U184" t="s">
        <v>54</v>
      </c>
      <c r="V184" t="s">
        <v>643</v>
      </c>
      <c r="W184">
        <v>42700</v>
      </c>
      <c r="X184" t="s">
        <v>45</v>
      </c>
      <c r="Y184" t="s">
        <v>347</v>
      </c>
      <c r="Z184" t="s">
        <v>50</v>
      </c>
      <c r="AA184" s="10">
        <f>IF(O184&lt;=1,7,7+0.8*ROUNDUP(O184-1,0))</f>
        <v>13.4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8"/>
        <v>0.80399999999999994</v>
      </c>
      <c r="AG184" s="11">
        <f t="shared" si="9"/>
        <v>14.204000000000001</v>
      </c>
      <c r="AH184" t="s">
        <v>51</v>
      </c>
    </row>
    <row r="185" spans="1:34" ht="15" customHeight="1" x14ac:dyDescent="0.35">
      <c r="A185">
        <v>7547676</v>
      </c>
      <c r="B185">
        <v>690929</v>
      </c>
      <c r="C185" t="s">
        <v>34</v>
      </c>
      <c r="D185" t="s">
        <v>35</v>
      </c>
      <c r="E185" s="6" t="s">
        <v>34</v>
      </c>
      <c r="F185" t="s">
        <v>644</v>
      </c>
      <c r="G185" t="s">
        <v>37</v>
      </c>
      <c r="H185" t="s">
        <v>38</v>
      </c>
      <c r="I185" t="s">
        <v>645</v>
      </c>
      <c r="J185" t="s">
        <v>40</v>
      </c>
      <c r="K185">
        <v>2</v>
      </c>
      <c r="L185" t="s">
        <v>41</v>
      </c>
      <c r="M185" t="s">
        <v>42</v>
      </c>
      <c r="N185" t="s">
        <v>43</v>
      </c>
      <c r="O185" s="7">
        <v>5</v>
      </c>
      <c r="P185" s="8">
        <v>45369.67696759259</v>
      </c>
      <c r="Q185" s="9">
        <v>45371</v>
      </c>
      <c r="R185" t="s">
        <v>44</v>
      </c>
      <c r="S185" t="s">
        <v>45</v>
      </c>
      <c r="T185" t="s">
        <v>46</v>
      </c>
      <c r="U185" t="s">
        <v>54</v>
      </c>
      <c r="V185" t="s">
        <v>646</v>
      </c>
      <c r="W185">
        <v>40000</v>
      </c>
      <c r="X185" t="s">
        <v>45</v>
      </c>
      <c r="Y185" t="s">
        <v>441</v>
      </c>
      <c r="Z185" t="s">
        <v>50</v>
      </c>
      <c r="AA185" s="10">
        <f>IF(O185&lt;=1,7,7+0.8*ROUNDUP(O185-1,0))</f>
        <v>10.199999999999999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8"/>
        <v>0.61199999999999999</v>
      </c>
      <c r="AG185" s="11">
        <f t="shared" si="9"/>
        <v>10.811999999999999</v>
      </c>
      <c r="AH185" t="s">
        <v>51</v>
      </c>
    </row>
    <row r="186" spans="1:34" ht="15" customHeight="1" x14ac:dyDescent="0.35">
      <c r="A186">
        <v>7547676</v>
      </c>
      <c r="B186">
        <v>690929</v>
      </c>
      <c r="C186" t="s">
        <v>34</v>
      </c>
      <c r="D186" t="s">
        <v>35</v>
      </c>
      <c r="E186" s="6" t="s">
        <v>34</v>
      </c>
      <c r="F186" t="s">
        <v>647</v>
      </c>
      <c r="G186" t="s">
        <v>37</v>
      </c>
      <c r="H186" t="s">
        <v>38</v>
      </c>
      <c r="I186" t="s">
        <v>648</v>
      </c>
      <c r="J186" t="s">
        <v>40</v>
      </c>
      <c r="K186">
        <v>2</v>
      </c>
      <c r="L186" t="s">
        <v>41</v>
      </c>
      <c r="M186" t="s">
        <v>42</v>
      </c>
      <c r="N186" t="s">
        <v>43</v>
      </c>
      <c r="O186" s="7">
        <v>1</v>
      </c>
      <c r="P186" s="8">
        <v>45365.685659722221</v>
      </c>
      <c r="Q186" s="9">
        <v>45371</v>
      </c>
      <c r="R186" t="s">
        <v>44</v>
      </c>
      <c r="S186" t="s">
        <v>45</v>
      </c>
      <c r="T186" t="s">
        <v>46</v>
      </c>
      <c r="U186" t="s">
        <v>54</v>
      </c>
      <c r="V186" t="s">
        <v>649</v>
      </c>
      <c r="W186">
        <v>45620</v>
      </c>
      <c r="X186" t="s">
        <v>45</v>
      </c>
      <c r="Y186" t="s">
        <v>79</v>
      </c>
      <c r="Z186" t="s">
        <v>50</v>
      </c>
      <c r="AA186" s="10">
        <f>IF(O186&lt;=1,7,7+0.8*ROUNDUP(O186-1,0))</f>
        <v>7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8"/>
        <v>0.42</v>
      </c>
      <c r="AG186" s="11">
        <f t="shared" si="9"/>
        <v>7.42</v>
      </c>
      <c r="AH186" t="s">
        <v>51</v>
      </c>
    </row>
    <row r="187" spans="1:34" ht="15" customHeight="1" x14ac:dyDescent="0.35">
      <c r="A187">
        <v>7547676</v>
      </c>
      <c r="B187">
        <v>690929</v>
      </c>
      <c r="C187" t="s">
        <v>34</v>
      </c>
      <c r="D187" t="s">
        <v>35</v>
      </c>
      <c r="E187" s="6" t="s">
        <v>34</v>
      </c>
      <c r="F187" t="s">
        <v>650</v>
      </c>
      <c r="G187" t="s">
        <v>37</v>
      </c>
      <c r="H187" t="s">
        <v>38</v>
      </c>
      <c r="I187" t="s">
        <v>651</v>
      </c>
      <c r="J187" t="s">
        <v>40</v>
      </c>
      <c r="K187">
        <v>2</v>
      </c>
      <c r="L187" t="s">
        <v>41</v>
      </c>
      <c r="M187" t="s">
        <v>42</v>
      </c>
      <c r="N187" t="s">
        <v>43</v>
      </c>
      <c r="O187" s="7">
        <v>3</v>
      </c>
      <c r="P187" s="8">
        <v>45368.661307870374</v>
      </c>
      <c r="Q187" s="9">
        <v>45371</v>
      </c>
      <c r="R187" t="s">
        <v>44</v>
      </c>
      <c r="S187" t="s">
        <v>45</v>
      </c>
      <c r="T187" t="s">
        <v>46</v>
      </c>
      <c r="U187" t="s">
        <v>134</v>
      </c>
      <c r="V187" t="s">
        <v>652</v>
      </c>
      <c r="W187">
        <v>6700</v>
      </c>
      <c r="X187" t="s">
        <v>45</v>
      </c>
      <c r="Y187" t="s">
        <v>79</v>
      </c>
      <c r="Z187" t="s">
        <v>50</v>
      </c>
      <c r="AA187" s="10">
        <f>IF(O187&lt;=1,7,7+0.8*ROUNDUP(O187-1,0))</f>
        <v>8.6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8"/>
        <v>0.51600000000000001</v>
      </c>
      <c r="AG187" s="11">
        <f t="shared" si="9"/>
        <v>9.1159999999999997</v>
      </c>
      <c r="AH187" t="s">
        <v>51</v>
      </c>
    </row>
    <row r="188" spans="1:34" ht="15" customHeight="1" x14ac:dyDescent="0.35">
      <c r="A188">
        <v>7547676</v>
      </c>
      <c r="B188">
        <v>690929</v>
      </c>
      <c r="C188" t="s">
        <v>34</v>
      </c>
      <c r="D188" t="s">
        <v>35</v>
      </c>
      <c r="E188" s="6" t="s">
        <v>34</v>
      </c>
      <c r="F188" t="s">
        <v>653</v>
      </c>
      <c r="G188" t="s">
        <v>37</v>
      </c>
      <c r="H188" t="s">
        <v>38</v>
      </c>
      <c r="I188" t="s">
        <v>654</v>
      </c>
      <c r="J188" t="s">
        <v>40</v>
      </c>
      <c r="K188">
        <v>2</v>
      </c>
      <c r="L188" t="s">
        <v>41</v>
      </c>
      <c r="M188" t="s">
        <v>42</v>
      </c>
      <c r="N188" t="s">
        <v>43</v>
      </c>
      <c r="O188" s="7">
        <v>1</v>
      </c>
      <c r="P188" s="8">
        <v>45370.617638888885</v>
      </c>
      <c r="Q188" s="9">
        <v>45371</v>
      </c>
      <c r="R188" t="s">
        <v>44</v>
      </c>
      <c r="S188" t="s">
        <v>45</v>
      </c>
      <c r="T188" t="s">
        <v>46</v>
      </c>
      <c r="U188" t="s">
        <v>99</v>
      </c>
      <c r="V188" t="s">
        <v>655</v>
      </c>
      <c r="W188">
        <v>18200</v>
      </c>
      <c r="X188" t="s">
        <v>45</v>
      </c>
      <c r="Y188" t="s">
        <v>156</v>
      </c>
      <c r="Z188" t="s">
        <v>50</v>
      </c>
      <c r="AA188" s="10">
        <f>IF(O188&lt;=1,7,7+0.8*ROUNDUP(O188-1,0))</f>
        <v>7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8"/>
        <v>0.42</v>
      </c>
      <c r="AG188" s="11">
        <f t="shared" si="9"/>
        <v>7.42</v>
      </c>
      <c r="AH188" t="s">
        <v>51</v>
      </c>
    </row>
    <row r="189" spans="1:34" ht="15" customHeight="1" x14ac:dyDescent="0.35">
      <c r="A189">
        <v>7547676</v>
      </c>
      <c r="B189">
        <v>690929</v>
      </c>
      <c r="C189" t="s">
        <v>34</v>
      </c>
      <c r="D189" t="s">
        <v>35</v>
      </c>
      <c r="E189" s="6" t="s">
        <v>34</v>
      </c>
      <c r="F189" t="s">
        <v>656</v>
      </c>
      <c r="G189" t="s">
        <v>37</v>
      </c>
      <c r="H189" t="s">
        <v>38</v>
      </c>
      <c r="I189" t="s">
        <v>657</v>
      </c>
      <c r="J189" t="s">
        <v>40</v>
      </c>
      <c r="K189">
        <v>2</v>
      </c>
      <c r="L189" t="s">
        <v>41</v>
      </c>
      <c r="M189" t="s">
        <v>42</v>
      </c>
      <c r="N189" t="s">
        <v>43</v>
      </c>
      <c r="O189" s="7">
        <v>2</v>
      </c>
      <c r="P189" s="8">
        <v>45370.627395833333</v>
      </c>
      <c r="Q189" s="9">
        <v>45371</v>
      </c>
      <c r="R189" t="s">
        <v>44</v>
      </c>
      <c r="S189" t="s">
        <v>45</v>
      </c>
      <c r="T189" t="s">
        <v>46</v>
      </c>
      <c r="U189" t="s">
        <v>99</v>
      </c>
      <c r="V189" t="s">
        <v>658</v>
      </c>
      <c r="W189">
        <v>18000</v>
      </c>
      <c r="X189" t="s">
        <v>45</v>
      </c>
      <c r="Y189" t="s">
        <v>156</v>
      </c>
      <c r="Z189" t="s">
        <v>50</v>
      </c>
      <c r="AA189" s="10">
        <f>IF(O189&lt;=1,7,7+0.8*ROUNDUP(O189-1,0))</f>
        <v>7.8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8"/>
        <v>0.46799999999999997</v>
      </c>
      <c r="AG189" s="11">
        <f t="shared" si="9"/>
        <v>8.2680000000000007</v>
      </c>
      <c r="AH189" t="s">
        <v>51</v>
      </c>
    </row>
    <row r="190" spans="1:34" ht="15" customHeight="1" x14ac:dyDescent="0.35">
      <c r="A190">
        <v>7547676</v>
      </c>
      <c r="B190">
        <v>690929</v>
      </c>
      <c r="C190" t="s">
        <v>34</v>
      </c>
      <c r="D190" t="s">
        <v>35</v>
      </c>
      <c r="E190" s="6" t="s">
        <v>34</v>
      </c>
      <c r="F190" t="s">
        <v>659</v>
      </c>
      <c r="G190" t="s">
        <v>37</v>
      </c>
      <c r="H190" t="s">
        <v>38</v>
      </c>
      <c r="I190" t="s">
        <v>660</v>
      </c>
      <c r="J190" t="s">
        <v>40</v>
      </c>
      <c r="K190">
        <v>2</v>
      </c>
      <c r="L190" t="s">
        <v>41</v>
      </c>
      <c r="M190" t="s">
        <v>42</v>
      </c>
      <c r="N190" t="s">
        <v>43</v>
      </c>
      <c r="O190" s="7">
        <v>2</v>
      </c>
      <c r="P190" s="8">
        <v>45369.628252314818</v>
      </c>
      <c r="Q190" s="9">
        <v>45371</v>
      </c>
      <c r="R190" t="s">
        <v>44</v>
      </c>
      <c r="S190" t="s">
        <v>45</v>
      </c>
      <c r="T190" t="s">
        <v>46</v>
      </c>
      <c r="U190" t="s">
        <v>54</v>
      </c>
      <c r="V190" t="s">
        <v>661</v>
      </c>
      <c r="W190">
        <v>40400</v>
      </c>
      <c r="X190" t="s">
        <v>45</v>
      </c>
      <c r="Y190" t="s">
        <v>662</v>
      </c>
      <c r="Z190" t="s">
        <v>50</v>
      </c>
      <c r="AA190" s="10">
        <f>IF(O190&lt;=1,7,7+0.8*ROUNDUP(O190-1,0))</f>
        <v>7.8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8"/>
        <v>0.46799999999999997</v>
      </c>
      <c r="AG190" s="11">
        <f t="shared" si="9"/>
        <v>8.2680000000000007</v>
      </c>
      <c r="AH190" t="s">
        <v>51</v>
      </c>
    </row>
    <row r="191" spans="1:34" ht="15" customHeight="1" x14ac:dyDescent="0.35">
      <c r="A191">
        <v>7547676</v>
      </c>
      <c r="B191">
        <v>690929</v>
      </c>
      <c r="C191" t="s">
        <v>34</v>
      </c>
      <c r="D191" t="s">
        <v>35</v>
      </c>
      <c r="E191" s="6" t="s">
        <v>34</v>
      </c>
      <c r="F191" t="s">
        <v>663</v>
      </c>
      <c r="G191" t="s">
        <v>37</v>
      </c>
      <c r="H191" t="s">
        <v>38</v>
      </c>
      <c r="I191" t="s">
        <v>664</v>
      </c>
      <c r="J191" t="s">
        <v>40</v>
      </c>
      <c r="K191">
        <v>2</v>
      </c>
      <c r="L191" t="s">
        <v>41</v>
      </c>
      <c r="M191" t="s">
        <v>42</v>
      </c>
      <c r="N191" t="s">
        <v>43</v>
      </c>
      <c r="O191" s="7">
        <v>1</v>
      </c>
      <c r="P191" s="8">
        <v>45368.614062499997</v>
      </c>
      <c r="Q191" s="9">
        <v>45371</v>
      </c>
      <c r="R191" t="s">
        <v>44</v>
      </c>
      <c r="S191" t="s">
        <v>45</v>
      </c>
      <c r="T191" t="s">
        <v>46</v>
      </c>
      <c r="U191" t="s">
        <v>172</v>
      </c>
      <c r="V191" t="s">
        <v>665</v>
      </c>
      <c r="W191">
        <v>33300</v>
      </c>
      <c r="X191" t="s">
        <v>45</v>
      </c>
      <c r="Y191" t="s">
        <v>666</v>
      </c>
      <c r="Z191" t="s">
        <v>50</v>
      </c>
      <c r="AA191" s="10">
        <f>IF(O191&lt;=1,7,7+0.8*ROUNDUP(O191-1,0))</f>
        <v>7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8"/>
        <v>0.42</v>
      </c>
      <c r="AG191" s="11">
        <f t="shared" si="9"/>
        <v>7.42</v>
      </c>
      <c r="AH191" t="s">
        <v>51</v>
      </c>
    </row>
    <row r="192" spans="1:34" ht="15" customHeight="1" x14ac:dyDescent="0.35">
      <c r="A192">
        <v>7547676</v>
      </c>
      <c r="B192">
        <v>690929</v>
      </c>
      <c r="C192" t="s">
        <v>34</v>
      </c>
      <c r="D192" t="s">
        <v>35</v>
      </c>
      <c r="E192" s="6" t="s">
        <v>34</v>
      </c>
      <c r="F192" t="s">
        <v>667</v>
      </c>
      <c r="G192" t="s">
        <v>37</v>
      </c>
      <c r="H192" t="s">
        <v>38</v>
      </c>
      <c r="I192" t="s">
        <v>668</v>
      </c>
      <c r="J192" t="s">
        <v>40</v>
      </c>
      <c r="K192">
        <v>2</v>
      </c>
      <c r="L192" t="s">
        <v>41</v>
      </c>
      <c r="M192" t="s">
        <v>42</v>
      </c>
      <c r="N192" t="s">
        <v>43</v>
      </c>
      <c r="O192" s="7">
        <v>1</v>
      </c>
      <c r="P192" s="8">
        <v>45369.633923611109</v>
      </c>
      <c r="Q192" s="9">
        <v>45371</v>
      </c>
      <c r="R192" t="s">
        <v>44</v>
      </c>
      <c r="S192" t="s">
        <v>45</v>
      </c>
      <c r="T192" t="s">
        <v>46</v>
      </c>
      <c r="U192" t="s">
        <v>77</v>
      </c>
      <c r="V192" t="s">
        <v>669</v>
      </c>
      <c r="W192">
        <v>77300</v>
      </c>
      <c r="X192" t="s">
        <v>45</v>
      </c>
      <c r="Y192" t="s">
        <v>79</v>
      </c>
      <c r="Z192" t="s">
        <v>50</v>
      </c>
      <c r="AA192" s="10">
        <f>IF(O192&lt;=1,7,7+0.8*ROUNDUP(O192-1,0))</f>
        <v>7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8"/>
        <v>0.42</v>
      </c>
      <c r="AG192" s="11">
        <f t="shared" si="9"/>
        <v>7.42</v>
      </c>
      <c r="AH192" t="s">
        <v>51</v>
      </c>
    </row>
    <row r="193" spans="1:34" ht="15" customHeight="1" x14ac:dyDescent="0.35">
      <c r="A193">
        <v>7547676</v>
      </c>
      <c r="B193">
        <v>690929</v>
      </c>
      <c r="C193" t="s">
        <v>34</v>
      </c>
      <c r="D193" t="s">
        <v>35</v>
      </c>
      <c r="E193" s="6" t="s">
        <v>34</v>
      </c>
      <c r="F193" t="s">
        <v>670</v>
      </c>
      <c r="G193" t="s">
        <v>37</v>
      </c>
      <c r="H193" t="s">
        <v>38</v>
      </c>
      <c r="I193" t="s">
        <v>138</v>
      </c>
      <c r="J193" t="s">
        <v>40</v>
      </c>
      <c r="K193">
        <v>2</v>
      </c>
      <c r="L193" t="s">
        <v>41</v>
      </c>
      <c r="M193" t="s">
        <v>42</v>
      </c>
      <c r="N193" t="s">
        <v>43</v>
      </c>
      <c r="O193" s="7">
        <v>1</v>
      </c>
      <c r="P193" s="8">
        <v>45369.621087962965</v>
      </c>
      <c r="Q193" s="9">
        <v>45371</v>
      </c>
      <c r="R193" t="s">
        <v>44</v>
      </c>
      <c r="S193" t="s">
        <v>45</v>
      </c>
      <c r="T193" t="s">
        <v>46</v>
      </c>
      <c r="U193" t="s">
        <v>54</v>
      </c>
      <c r="V193" t="s">
        <v>139</v>
      </c>
      <c r="W193">
        <v>40000</v>
      </c>
      <c r="X193" t="s">
        <v>45</v>
      </c>
      <c r="Y193" t="s">
        <v>140</v>
      </c>
      <c r="Z193" t="s">
        <v>50</v>
      </c>
      <c r="AA193" s="10">
        <f>IF(O193&lt;=1,7,7+0.8*ROUNDUP(O193-1,0))</f>
        <v>7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8"/>
        <v>0.42</v>
      </c>
      <c r="AG193" s="11">
        <f t="shared" si="9"/>
        <v>7.42</v>
      </c>
      <c r="AH193" t="s">
        <v>51</v>
      </c>
    </row>
    <row r="194" spans="1:34" ht="15" customHeight="1" x14ac:dyDescent="0.35">
      <c r="A194">
        <v>7547676</v>
      </c>
      <c r="B194">
        <v>690929</v>
      </c>
      <c r="C194" t="s">
        <v>34</v>
      </c>
      <c r="D194" t="s">
        <v>35</v>
      </c>
      <c r="E194" s="6" t="s">
        <v>34</v>
      </c>
      <c r="F194" t="s">
        <v>671</v>
      </c>
      <c r="G194" t="s">
        <v>37</v>
      </c>
      <c r="H194" t="s">
        <v>38</v>
      </c>
      <c r="I194" t="s">
        <v>672</v>
      </c>
      <c r="J194" t="s">
        <v>40</v>
      </c>
      <c r="K194">
        <v>2</v>
      </c>
      <c r="L194" t="s">
        <v>41</v>
      </c>
      <c r="M194" t="s">
        <v>42</v>
      </c>
      <c r="N194" t="s">
        <v>43</v>
      </c>
      <c r="O194" s="7">
        <v>2</v>
      </c>
      <c r="P194" s="8">
        <v>45369.628541666665</v>
      </c>
      <c r="Q194" s="9">
        <v>45371</v>
      </c>
      <c r="R194" t="s">
        <v>44</v>
      </c>
      <c r="S194" t="s">
        <v>45</v>
      </c>
      <c r="T194" t="s">
        <v>46</v>
      </c>
      <c r="U194" t="s">
        <v>134</v>
      </c>
      <c r="V194" t="s">
        <v>673</v>
      </c>
      <c r="W194">
        <v>8000</v>
      </c>
      <c r="X194" t="s">
        <v>45</v>
      </c>
      <c r="Y194" t="s">
        <v>180</v>
      </c>
      <c r="Z194" t="s">
        <v>50</v>
      </c>
      <c r="AA194" s="10">
        <f>IF(O194&lt;=1,7,7+0.8*ROUNDUP(O194-1,0))</f>
        <v>7.8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si="8"/>
        <v>0.46799999999999997</v>
      </c>
      <c r="AG194" s="11">
        <f t="shared" si="9"/>
        <v>8.2680000000000007</v>
      </c>
      <c r="AH194" t="s">
        <v>51</v>
      </c>
    </row>
    <row r="195" spans="1:34" ht="15" customHeight="1" x14ac:dyDescent="0.35">
      <c r="A195">
        <v>7547676</v>
      </c>
      <c r="B195">
        <v>690929</v>
      </c>
      <c r="C195" t="s">
        <v>34</v>
      </c>
      <c r="D195" t="s">
        <v>35</v>
      </c>
      <c r="E195" s="6" t="s">
        <v>34</v>
      </c>
      <c r="F195" t="s">
        <v>674</v>
      </c>
      <c r="G195" t="s">
        <v>37</v>
      </c>
      <c r="H195" t="s">
        <v>38</v>
      </c>
      <c r="I195" t="s">
        <v>675</v>
      </c>
      <c r="J195" t="s">
        <v>40</v>
      </c>
      <c r="K195">
        <v>2</v>
      </c>
      <c r="L195" t="s">
        <v>41</v>
      </c>
      <c r="M195" t="s">
        <v>42</v>
      </c>
      <c r="N195" t="s">
        <v>43</v>
      </c>
      <c r="O195" s="7">
        <v>2</v>
      </c>
      <c r="P195" s="8">
        <v>45370.627395833333</v>
      </c>
      <c r="Q195" s="9">
        <v>45371</v>
      </c>
      <c r="R195" t="s">
        <v>44</v>
      </c>
      <c r="S195" t="s">
        <v>45</v>
      </c>
      <c r="T195" t="s">
        <v>46</v>
      </c>
      <c r="U195" t="s">
        <v>47</v>
      </c>
      <c r="V195" t="s">
        <v>676</v>
      </c>
      <c r="W195">
        <v>21070</v>
      </c>
      <c r="X195" t="s">
        <v>45</v>
      </c>
      <c r="Y195" t="s">
        <v>49</v>
      </c>
      <c r="Z195" t="s">
        <v>50</v>
      </c>
      <c r="AA195" s="10">
        <f>IF(O195&lt;=1,7,7+0.8*ROUNDUP(O195-1,0))</f>
        <v>7.8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8"/>
        <v>0.46799999999999997</v>
      </c>
      <c r="AG195" s="11">
        <f t="shared" si="9"/>
        <v>8.2680000000000007</v>
      </c>
      <c r="AH195" t="s">
        <v>51</v>
      </c>
    </row>
    <row r="196" spans="1:34" ht="15" customHeight="1" x14ac:dyDescent="0.35">
      <c r="A196">
        <v>7547676</v>
      </c>
      <c r="B196">
        <v>690929</v>
      </c>
      <c r="C196" t="s">
        <v>34</v>
      </c>
      <c r="D196" t="s">
        <v>35</v>
      </c>
      <c r="E196" s="6" t="s">
        <v>34</v>
      </c>
      <c r="F196" t="s">
        <v>677</v>
      </c>
      <c r="G196" t="s">
        <v>37</v>
      </c>
      <c r="H196" t="s">
        <v>38</v>
      </c>
      <c r="I196" t="s">
        <v>678</v>
      </c>
      <c r="J196" t="s">
        <v>40</v>
      </c>
      <c r="K196">
        <v>2</v>
      </c>
      <c r="L196" t="s">
        <v>41</v>
      </c>
      <c r="M196" t="s">
        <v>42</v>
      </c>
      <c r="N196" t="s">
        <v>43</v>
      </c>
      <c r="O196" s="7">
        <v>1</v>
      </c>
      <c r="P196" s="8">
        <v>45368.604490740741</v>
      </c>
      <c r="Q196" s="9">
        <v>45371</v>
      </c>
      <c r="R196" t="s">
        <v>44</v>
      </c>
      <c r="S196" t="s">
        <v>45</v>
      </c>
      <c r="T196" t="s">
        <v>46</v>
      </c>
      <c r="U196" t="s">
        <v>86</v>
      </c>
      <c r="V196" t="s">
        <v>679</v>
      </c>
      <c r="W196">
        <v>71600</v>
      </c>
      <c r="X196" t="s">
        <v>45</v>
      </c>
      <c r="Y196" t="s">
        <v>79</v>
      </c>
      <c r="Z196" t="s">
        <v>50</v>
      </c>
      <c r="AA196" s="10">
        <f>IF(O196&lt;=1,7,7+0.8*ROUNDUP(O196-1,0))</f>
        <v>7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8"/>
        <v>0.42</v>
      </c>
      <c r="AG196" s="11">
        <f t="shared" si="9"/>
        <v>7.42</v>
      </c>
      <c r="AH196" t="s">
        <v>51</v>
      </c>
    </row>
    <row r="197" spans="1:34" ht="15" customHeight="1" x14ac:dyDescent="0.35">
      <c r="A197">
        <v>7547676</v>
      </c>
      <c r="B197">
        <v>690929</v>
      </c>
      <c r="C197" t="s">
        <v>34</v>
      </c>
      <c r="D197" t="s">
        <v>35</v>
      </c>
      <c r="E197" s="6" t="s">
        <v>34</v>
      </c>
      <c r="F197" t="s">
        <v>680</v>
      </c>
      <c r="G197" t="s">
        <v>37</v>
      </c>
      <c r="H197" t="s">
        <v>38</v>
      </c>
      <c r="I197" t="s">
        <v>681</v>
      </c>
      <c r="J197" t="s">
        <v>40</v>
      </c>
      <c r="K197">
        <v>2</v>
      </c>
      <c r="L197" t="s">
        <v>41</v>
      </c>
      <c r="M197" t="s">
        <v>42</v>
      </c>
      <c r="N197" t="s">
        <v>43</v>
      </c>
      <c r="O197" s="7">
        <v>3</v>
      </c>
      <c r="P197" s="8">
        <v>45369.632939814815</v>
      </c>
      <c r="Q197" s="9">
        <v>45371</v>
      </c>
      <c r="R197" t="s">
        <v>44</v>
      </c>
      <c r="S197" t="s">
        <v>45</v>
      </c>
      <c r="T197" t="s">
        <v>46</v>
      </c>
      <c r="U197" t="s">
        <v>103</v>
      </c>
      <c r="V197" t="s">
        <v>682</v>
      </c>
      <c r="W197">
        <v>2600</v>
      </c>
      <c r="X197" t="s">
        <v>45</v>
      </c>
      <c r="Y197" t="s">
        <v>105</v>
      </c>
      <c r="Z197" t="s">
        <v>50</v>
      </c>
      <c r="AA197" s="10">
        <f>IF(O197&lt;=1,7,7+0.8*ROUNDUP(O197-1,0))</f>
        <v>8.6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8"/>
        <v>0.51600000000000001</v>
      </c>
      <c r="AG197" s="11">
        <f t="shared" si="9"/>
        <v>9.1159999999999997</v>
      </c>
      <c r="AH197" t="s">
        <v>51</v>
      </c>
    </row>
    <row r="198" spans="1:34" ht="15" customHeight="1" x14ac:dyDescent="0.35">
      <c r="A198">
        <v>7547676</v>
      </c>
      <c r="B198">
        <v>690929</v>
      </c>
      <c r="C198" t="s">
        <v>34</v>
      </c>
      <c r="D198" t="s">
        <v>35</v>
      </c>
      <c r="E198" s="6" t="s">
        <v>34</v>
      </c>
      <c r="F198" t="s">
        <v>683</v>
      </c>
      <c r="G198" t="s">
        <v>37</v>
      </c>
      <c r="H198" t="s">
        <v>38</v>
      </c>
      <c r="I198" t="s">
        <v>684</v>
      </c>
      <c r="J198" t="s">
        <v>40</v>
      </c>
      <c r="K198">
        <v>2</v>
      </c>
      <c r="L198" t="s">
        <v>41</v>
      </c>
      <c r="M198" t="s">
        <v>42</v>
      </c>
      <c r="N198" t="s">
        <v>43</v>
      </c>
      <c r="O198" s="7">
        <v>1</v>
      </c>
      <c r="P198" s="8">
        <v>45369.533865740741</v>
      </c>
      <c r="Q198" s="9">
        <v>45371</v>
      </c>
      <c r="R198" t="s">
        <v>44</v>
      </c>
      <c r="S198" t="s">
        <v>45</v>
      </c>
      <c r="T198" t="s">
        <v>46</v>
      </c>
      <c r="U198" t="s">
        <v>54</v>
      </c>
      <c r="V198" t="s">
        <v>685</v>
      </c>
      <c r="W198">
        <v>42300</v>
      </c>
      <c r="X198" t="s">
        <v>45</v>
      </c>
      <c r="Y198" t="s">
        <v>214</v>
      </c>
      <c r="Z198" t="s">
        <v>50</v>
      </c>
      <c r="AA198" s="10">
        <f>IF(O198&lt;=1,7,7+0.8*ROUNDUP(O198-1,0))</f>
        <v>7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8"/>
        <v>0.42</v>
      </c>
      <c r="AG198" s="11">
        <f t="shared" si="9"/>
        <v>7.42</v>
      </c>
      <c r="AH198" t="s">
        <v>51</v>
      </c>
    </row>
    <row r="199" spans="1:34" ht="15" customHeight="1" x14ac:dyDescent="0.35">
      <c r="A199">
        <v>7547676</v>
      </c>
      <c r="B199">
        <v>690929</v>
      </c>
      <c r="C199" t="s">
        <v>34</v>
      </c>
      <c r="D199" t="s">
        <v>35</v>
      </c>
      <c r="E199" s="6" t="s">
        <v>34</v>
      </c>
      <c r="F199" t="s">
        <v>686</v>
      </c>
      <c r="G199" t="s">
        <v>37</v>
      </c>
      <c r="H199" t="s">
        <v>38</v>
      </c>
      <c r="I199" t="s">
        <v>687</v>
      </c>
      <c r="J199" t="s">
        <v>40</v>
      </c>
      <c r="K199">
        <v>2</v>
      </c>
      <c r="L199" t="s">
        <v>41</v>
      </c>
      <c r="M199" t="s">
        <v>42</v>
      </c>
      <c r="N199" t="s">
        <v>43</v>
      </c>
      <c r="O199" s="7">
        <v>1</v>
      </c>
      <c r="P199" s="8">
        <v>45370.627395833333</v>
      </c>
      <c r="Q199" s="9">
        <v>45371</v>
      </c>
      <c r="R199" t="s">
        <v>44</v>
      </c>
      <c r="S199" t="s">
        <v>45</v>
      </c>
      <c r="T199" t="s">
        <v>46</v>
      </c>
      <c r="U199" t="s">
        <v>99</v>
      </c>
      <c r="V199" t="s">
        <v>688</v>
      </c>
      <c r="W199">
        <v>17500</v>
      </c>
      <c r="X199" t="s">
        <v>45</v>
      </c>
      <c r="Y199" t="s">
        <v>156</v>
      </c>
      <c r="Z199" t="s">
        <v>50</v>
      </c>
      <c r="AA199" s="10">
        <f>IF(O199&lt;=1,7,7+0.8*ROUNDUP(O199-1,0))</f>
        <v>7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ref="AF199:AF230" si="10">(AA199+AC199+AE199)*6%</f>
        <v>0.42</v>
      </c>
      <c r="AG199" s="11">
        <f t="shared" ref="AG199:AG230" si="11">AA199+AC199+AE199+AF199</f>
        <v>7.42</v>
      </c>
      <c r="AH199" t="s">
        <v>51</v>
      </c>
    </row>
    <row r="200" spans="1:34" ht="15" customHeight="1" x14ac:dyDescent="0.35">
      <c r="A200">
        <v>7547676</v>
      </c>
      <c r="B200">
        <v>690929</v>
      </c>
      <c r="C200" t="s">
        <v>34</v>
      </c>
      <c r="D200" t="s">
        <v>35</v>
      </c>
      <c r="E200" s="6" t="s">
        <v>34</v>
      </c>
      <c r="F200" t="s">
        <v>689</v>
      </c>
      <c r="G200" t="s">
        <v>37</v>
      </c>
      <c r="H200" t="s">
        <v>38</v>
      </c>
      <c r="I200" t="s">
        <v>690</v>
      </c>
      <c r="J200" t="s">
        <v>40</v>
      </c>
      <c r="K200">
        <v>2</v>
      </c>
      <c r="L200" t="s">
        <v>41</v>
      </c>
      <c r="M200" t="s">
        <v>42</v>
      </c>
      <c r="N200" t="s">
        <v>43</v>
      </c>
      <c r="O200" s="7">
        <v>1</v>
      </c>
      <c r="P200" s="8">
        <v>45370.627395833333</v>
      </c>
      <c r="Q200" s="9">
        <v>45371</v>
      </c>
      <c r="R200" t="s">
        <v>44</v>
      </c>
      <c r="S200" t="s">
        <v>45</v>
      </c>
      <c r="T200" t="s">
        <v>46</v>
      </c>
      <c r="U200" t="s">
        <v>190</v>
      </c>
      <c r="V200" t="s">
        <v>691</v>
      </c>
      <c r="W200">
        <v>28100</v>
      </c>
      <c r="X200" t="s">
        <v>45</v>
      </c>
      <c r="Y200" t="s">
        <v>362</v>
      </c>
      <c r="Z200" t="s">
        <v>50</v>
      </c>
      <c r="AA200" s="10">
        <f>IF(O200&lt;=1,7,7+0.8*ROUNDUP(O200-1,0))</f>
        <v>7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10"/>
        <v>0.42</v>
      </c>
      <c r="AG200" s="11">
        <f t="shared" si="11"/>
        <v>7.42</v>
      </c>
      <c r="AH200" t="s">
        <v>51</v>
      </c>
    </row>
    <row r="201" spans="1:34" ht="15" customHeight="1" x14ac:dyDescent="0.35">
      <c r="A201">
        <v>7547676</v>
      </c>
      <c r="B201">
        <v>690929</v>
      </c>
      <c r="C201" t="s">
        <v>34</v>
      </c>
      <c r="D201" t="s">
        <v>35</v>
      </c>
      <c r="E201" s="6" t="s">
        <v>34</v>
      </c>
      <c r="F201" t="s">
        <v>692</v>
      </c>
      <c r="G201" t="s">
        <v>37</v>
      </c>
      <c r="H201" t="s">
        <v>38</v>
      </c>
      <c r="I201" t="s">
        <v>693</v>
      </c>
      <c r="J201" t="s">
        <v>40</v>
      </c>
      <c r="K201">
        <v>2</v>
      </c>
      <c r="L201" t="s">
        <v>41</v>
      </c>
      <c r="M201" t="s">
        <v>42</v>
      </c>
      <c r="N201" t="s">
        <v>43</v>
      </c>
      <c r="O201" s="7">
        <v>1</v>
      </c>
      <c r="P201" s="8">
        <v>45369.628252314818</v>
      </c>
      <c r="Q201" s="9">
        <v>45371</v>
      </c>
      <c r="R201" t="s">
        <v>44</v>
      </c>
      <c r="S201" t="s">
        <v>45</v>
      </c>
      <c r="T201" t="s">
        <v>46</v>
      </c>
      <c r="U201" t="s">
        <v>54</v>
      </c>
      <c r="V201" t="s">
        <v>694</v>
      </c>
      <c r="W201">
        <v>42700</v>
      </c>
      <c r="X201" t="s">
        <v>45</v>
      </c>
      <c r="Y201" t="s">
        <v>268</v>
      </c>
      <c r="Z201" t="s">
        <v>50</v>
      </c>
      <c r="AA201" s="10">
        <f>IF(O201&lt;=1,7,7+0.8*ROUNDUP(O201-1,0))</f>
        <v>7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10"/>
        <v>0.42</v>
      </c>
      <c r="AG201" s="11">
        <f t="shared" si="11"/>
        <v>7.42</v>
      </c>
      <c r="AH201" t="s">
        <v>51</v>
      </c>
    </row>
    <row r="202" spans="1:34" ht="15" customHeight="1" x14ac:dyDescent="0.35">
      <c r="A202">
        <v>7547676</v>
      </c>
      <c r="B202">
        <v>690929</v>
      </c>
      <c r="C202" t="s">
        <v>34</v>
      </c>
      <c r="D202" t="s">
        <v>35</v>
      </c>
      <c r="E202" s="6" t="s">
        <v>34</v>
      </c>
      <c r="F202" t="s">
        <v>695</v>
      </c>
      <c r="G202" t="s">
        <v>37</v>
      </c>
      <c r="H202" t="s">
        <v>38</v>
      </c>
      <c r="I202" t="s">
        <v>696</v>
      </c>
      <c r="J202" t="s">
        <v>40</v>
      </c>
      <c r="K202">
        <v>2</v>
      </c>
      <c r="L202" t="s">
        <v>41</v>
      </c>
      <c r="M202" t="s">
        <v>42</v>
      </c>
      <c r="N202" t="s">
        <v>43</v>
      </c>
      <c r="O202" s="7">
        <v>1</v>
      </c>
      <c r="P202" s="8">
        <v>45368.514826388891</v>
      </c>
      <c r="Q202" s="9">
        <v>45371</v>
      </c>
      <c r="R202" t="s">
        <v>44</v>
      </c>
      <c r="S202" t="s">
        <v>45</v>
      </c>
      <c r="T202" t="s">
        <v>46</v>
      </c>
      <c r="U202" t="s">
        <v>82</v>
      </c>
      <c r="V202" t="s">
        <v>697</v>
      </c>
      <c r="W202">
        <v>81800</v>
      </c>
      <c r="X202" t="s">
        <v>45</v>
      </c>
      <c r="Y202" t="s">
        <v>698</v>
      </c>
      <c r="Z202" t="s">
        <v>50</v>
      </c>
      <c r="AA202" s="10">
        <f>IF(O202&lt;=1,7,7+0.8*ROUNDUP(O202-1,0))</f>
        <v>7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10"/>
        <v>0.42</v>
      </c>
      <c r="AG202" s="11">
        <f t="shared" si="11"/>
        <v>7.42</v>
      </c>
      <c r="AH202" t="s">
        <v>51</v>
      </c>
    </row>
    <row r="203" spans="1:34" ht="15" customHeight="1" x14ac:dyDescent="0.35">
      <c r="A203">
        <v>7547676</v>
      </c>
      <c r="B203">
        <v>690929</v>
      </c>
      <c r="C203" t="s">
        <v>34</v>
      </c>
      <c r="D203" t="s">
        <v>35</v>
      </c>
      <c r="E203" s="6" t="s">
        <v>34</v>
      </c>
      <c r="F203" t="s">
        <v>699</v>
      </c>
      <c r="G203" t="s">
        <v>37</v>
      </c>
      <c r="H203" t="s">
        <v>38</v>
      </c>
      <c r="I203" t="s">
        <v>700</v>
      </c>
      <c r="J203" t="s">
        <v>40</v>
      </c>
      <c r="K203">
        <v>2</v>
      </c>
      <c r="L203" t="s">
        <v>41</v>
      </c>
      <c r="M203" t="s">
        <v>42</v>
      </c>
      <c r="N203" t="s">
        <v>43</v>
      </c>
      <c r="O203" s="7">
        <v>1</v>
      </c>
      <c r="P203" s="8">
        <v>45369.628252314818</v>
      </c>
      <c r="Q203" s="9">
        <v>45371</v>
      </c>
      <c r="R203" t="s">
        <v>44</v>
      </c>
      <c r="S203" t="s">
        <v>45</v>
      </c>
      <c r="T203" t="s">
        <v>46</v>
      </c>
      <c r="U203" t="s">
        <v>82</v>
      </c>
      <c r="V203" t="s">
        <v>701</v>
      </c>
      <c r="W203">
        <v>86000</v>
      </c>
      <c r="X203" t="s">
        <v>45</v>
      </c>
      <c r="Y203" t="s">
        <v>702</v>
      </c>
      <c r="Z203" t="s">
        <v>50</v>
      </c>
      <c r="AA203" s="10">
        <f>IF(O203&lt;=1,7,7+0.8*ROUNDUP(O203-1,0))</f>
        <v>7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10"/>
        <v>0.42</v>
      </c>
      <c r="AG203" s="11">
        <f t="shared" si="11"/>
        <v>7.42</v>
      </c>
      <c r="AH203" t="s">
        <v>51</v>
      </c>
    </row>
    <row r="204" spans="1:34" ht="15" customHeight="1" x14ac:dyDescent="0.35">
      <c r="A204">
        <v>7547676</v>
      </c>
      <c r="B204">
        <v>690929</v>
      </c>
      <c r="C204" t="s">
        <v>34</v>
      </c>
      <c r="D204" t="s">
        <v>35</v>
      </c>
      <c r="E204" s="6" t="s">
        <v>34</v>
      </c>
      <c r="F204" t="s">
        <v>703</v>
      </c>
      <c r="G204" t="s">
        <v>37</v>
      </c>
      <c r="H204" t="s">
        <v>38</v>
      </c>
      <c r="I204" t="s">
        <v>704</v>
      </c>
      <c r="J204" t="s">
        <v>40</v>
      </c>
      <c r="K204">
        <v>2</v>
      </c>
      <c r="L204" t="s">
        <v>41</v>
      </c>
      <c r="M204" t="s">
        <v>42</v>
      </c>
      <c r="N204" t="s">
        <v>43</v>
      </c>
      <c r="O204" s="7">
        <v>2</v>
      </c>
      <c r="P204" s="8">
        <v>45369.628252314818</v>
      </c>
      <c r="Q204" s="9">
        <v>45371</v>
      </c>
      <c r="R204" t="s">
        <v>44</v>
      </c>
      <c r="S204" t="s">
        <v>45</v>
      </c>
      <c r="T204" t="s">
        <v>46</v>
      </c>
      <c r="U204" t="s">
        <v>77</v>
      </c>
      <c r="V204" t="s">
        <v>705</v>
      </c>
      <c r="W204">
        <v>77200</v>
      </c>
      <c r="X204" t="s">
        <v>45</v>
      </c>
      <c r="Y204" t="s">
        <v>706</v>
      </c>
      <c r="Z204" t="s">
        <v>50</v>
      </c>
      <c r="AA204" s="10">
        <f>IF(O204&lt;=1,7,7+0.8*ROUNDUP(O204-1,0))</f>
        <v>7.8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10"/>
        <v>0.46799999999999997</v>
      </c>
      <c r="AG204" s="11">
        <f t="shared" si="11"/>
        <v>8.2680000000000007</v>
      </c>
      <c r="AH204" t="s">
        <v>51</v>
      </c>
    </row>
    <row r="205" spans="1:34" ht="15" customHeight="1" x14ac:dyDescent="0.35">
      <c r="A205">
        <v>7547676</v>
      </c>
      <c r="B205">
        <v>690929</v>
      </c>
      <c r="C205" t="s">
        <v>34</v>
      </c>
      <c r="D205" t="s">
        <v>35</v>
      </c>
      <c r="E205" s="6" t="s">
        <v>34</v>
      </c>
      <c r="F205" t="s">
        <v>707</v>
      </c>
      <c r="G205" t="s">
        <v>37</v>
      </c>
      <c r="H205" t="s">
        <v>38</v>
      </c>
      <c r="I205" t="s">
        <v>708</v>
      </c>
      <c r="J205" t="s">
        <v>40</v>
      </c>
      <c r="K205">
        <v>2</v>
      </c>
      <c r="L205" t="s">
        <v>41</v>
      </c>
      <c r="M205" t="s">
        <v>42</v>
      </c>
      <c r="N205" t="s">
        <v>43</v>
      </c>
      <c r="O205" s="7">
        <v>1</v>
      </c>
      <c r="P205" s="8">
        <v>45369.628252314818</v>
      </c>
      <c r="Q205" s="9">
        <v>45371</v>
      </c>
      <c r="R205" t="s">
        <v>44</v>
      </c>
      <c r="S205" t="s">
        <v>45</v>
      </c>
      <c r="T205" t="s">
        <v>46</v>
      </c>
      <c r="U205" t="s">
        <v>278</v>
      </c>
      <c r="V205" t="s">
        <v>709</v>
      </c>
      <c r="W205">
        <v>12100</v>
      </c>
      <c r="X205" t="s">
        <v>45</v>
      </c>
      <c r="Y205" t="s">
        <v>305</v>
      </c>
      <c r="Z205" t="s">
        <v>50</v>
      </c>
      <c r="AA205" s="10">
        <f>IF(O205&lt;=1,7,7+0.8*ROUNDUP(O205-1,0))</f>
        <v>7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10"/>
        <v>0.42</v>
      </c>
      <c r="AG205" s="11">
        <f t="shared" si="11"/>
        <v>7.42</v>
      </c>
      <c r="AH205" t="s">
        <v>51</v>
      </c>
    </row>
    <row r="206" spans="1:34" ht="15" customHeight="1" x14ac:dyDescent="0.35">
      <c r="A206">
        <v>7547676</v>
      </c>
      <c r="B206">
        <v>690929</v>
      </c>
      <c r="C206" t="s">
        <v>34</v>
      </c>
      <c r="D206" t="s">
        <v>35</v>
      </c>
      <c r="E206" s="6" t="s">
        <v>34</v>
      </c>
      <c r="F206" t="s">
        <v>710</v>
      </c>
      <c r="G206" t="s">
        <v>37</v>
      </c>
      <c r="H206" t="s">
        <v>38</v>
      </c>
      <c r="I206" t="s">
        <v>711</v>
      </c>
      <c r="J206" t="s">
        <v>40</v>
      </c>
      <c r="K206">
        <v>2</v>
      </c>
      <c r="L206" t="s">
        <v>41</v>
      </c>
      <c r="M206" t="s">
        <v>42</v>
      </c>
      <c r="N206" t="s">
        <v>43</v>
      </c>
      <c r="O206" s="7">
        <v>1</v>
      </c>
      <c r="P206" s="8">
        <v>45370.685115740744</v>
      </c>
      <c r="Q206" s="9">
        <v>45371</v>
      </c>
      <c r="R206" t="s">
        <v>44</v>
      </c>
      <c r="S206" t="s">
        <v>45</v>
      </c>
      <c r="T206" t="s">
        <v>46</v>
      </c>
      <c r="U206" t="s">
        <v>190</v>
      </c>
      <c r="V206" t="s">
        <v>712</v>
      </c>
      <c r="W206">
        <v>28400</v>
      </c>
      <c r="X206" t="s">
        <v>45</v>
      </c>
      <c r="Y206" t="s">
        <v>362</v>
      </c>
      <c r="Z206" t="s">
        <v>50</v>
      </c>
      <c r="AA206" s="10">
        <f>IF(O206&lt;=1,7,7+0.8*ROUNDUP(O206-1,0))</f>
        <v>7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10"/>
        <v>0.42</v>
      </c>
      <c r="AG206" s="11">
        <f t="shared" si="11"/>
        <v>7.42</v>
      </c>
      <c r="AH206" t="s">
        <v>51</v>
      </c>
    </row>
    <row r="207" spans="1:34" ht="15" customHeight="1" x14ac:dyDescent="0.35">
      <c r="A207">
        <v>7547676</v>
      </c>
      <c r="B207">
        <v>690929</v>
      </c>
      <c r="C207" t="s">
        <v>34</v>
      </c>
      <c r="D207" t="s">
        <v>35</v>
      </c>
      <c r="E207" s="6" t="s">
        <v>34</v>
      </c>
      <c r="F207" t="s">
        <v>713</v>
      </c>
      <c r="G207" t="s">
        <v>37</v>
      </c>
      <c r="H207" t="s">
        <v>38</v>
      </c>
      <c r="I207" t="s">
        <v>714</v>
      </c>
      <c r="J207" t="s">
        <v>40</v>
      </c>
      <c r="K207">
        <v>2</v>
      </c>
      <c r="L207" t="s">
        <v>41</v>
      </c>
      <c r="M207" t="s">
        <v>42</v>
      </c>
      <c r="N207" t="s">
        <v>43</v>
      </c>
      <c r="O207" s="7">
        <v>2</v>
      </c>
      <c r="P207" s="8">
        <v>45370.627395833333</v>
      </c>
      <c r="Q207" s="9">
        <v>45371</v>
      </c>
      <c r="R207" t="s">
        <v>44</v>
      </c>
      <c r="S207" t="s">
        <v>45</v>
      </c>
      <c r="T207" t="s">
        <v>46</v>
      </c>
      <c r="U207" t="s">
        <v>190</v>
      </c>
      <c r="V207" t="s">
        <v>715</v>
      </c>
      <c r="W207">
        <v>25200</v>
      </c>
      <c r="X207" t="s">
        <v>45</v>
      </c>
      <c r="Y207" t="s">
        <v>362</v>
      </c>
      <c r="Z207" t="s">
        <v>50</v>
      </c>
      <c r="AA207" s="10">
        <f>IF(O207&lt;=1,7,7+0.8*ROUNDUP(O207-1,0))</f>
        <v>7.8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10"/>
        <v>0.46799999999999997</v>
      </c>
      <c r="AG207" s="11">
        <f t="shared" si="11"/>
        <v>8.2680000000000007</v>
      </c>
      <c r="AH207" t="s">
        <v>51</v>
      </c>
    </row>
    <row r="208" spans="1:34" ht="15" customHeight="1" x14ac:dyDescent="0.35">
      <c r="A208">
        <v>7547676</v>
      </c>
      <c r="B208">
        <v>690929</v>
      </c>
      <c r="C208" t="s">
        <v>34</v>
      </c>
      <c r="D208" t="s">
        <v>35</v>
      </c>
      <c r="E208" s="6" t="s">
        <v>34</v>
      </c>
      <c r="F208" t="s">
        <v>716</v>
      </c>
      <c r="G208" t="s">
        <v>37</v>
      </c>
      <c r="H208" t="s">
        <v>38</v>
      </c>
      <c r="I208" t="s">
        <v>717</v>
      </c>
      <c r="J208" t="s">
        <v>40</v>
      </c>
      <c r="K208">
        <v>2</v>
      </c>
      <c r="L208" t="s">
        <v>41</v>
      </c>
      <c r="M208" t="s">
        <v>42</v>
      </c>
      <c r="N208" t="s">
        <v>43</v>
      </c>
      <c r="O208" s="7">
        <v>1</v>
      </c>
      <c r="P208" s="8">
        <v>45368.692511574074</v>
      </c>
      <c r="Q208" s="9">
        <v>45371</v>
      </c>
      <c r="R208" t="s">
        <v>44</v>
      </c>
      <c r="S208" t="s">
        <v>45</v>
      </c>
      <c r="T208" t="s">
        <v>46</v>
      </c>
      <c r="U208" t="s">
        <v>82</v>
      </c>
      <c r="V208" t="s">
        <v>718</v>
      </c>
      <c r="W208">
        <v>81900</v>
      </c>
      <c r="X208" t="s">
        <v>45</v>
      </c>
      <c r="Y208" t="s">
        <v>79</v>
      </c>
      <c r="Z208" t="s">
        <v>50</v>
      </c>
      <c r="AA208" s="10">
        <f>IF(O208&lt;=1,7,7+0.8*ROUNDUP(O208-1,0))</f>
        <v>7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10"/>
        <v>0.42</v>
      </c>
      <c r="AG208" s="11">
        <f t="shared" si="11"/>
        <v>7.42</v>
      </c>
      <c r="AH208" t="s">
        <v>51</v>
      </c>
    </row>
    <row r="209" spans="1:34" ht="15" customHeight="1" x14ac:dyDescent="0.35">
      <c r="A209">
        <v>7547676</v>
      </c>
      <c r="B209">
        <v>690929</v>
      </c>
      <c r="C209" t="s">
        <v>34</v>
      </c>
      <c r="D209" t="s">
        <v>35</v>
      </c>
      <c r="E209" s="6" t="s">
        <v>34</v>
      </c>
      <c r="F209" t="s">
        <v>719</v>
      </c>
      <c r="G209" t="s">
        <v>37</v>
      </c>
      <c r="H209" t="s">
        <v>38</v>
      </c>
      <c r="I209" t="s">
        <v>720</v>
      </c>
      <c r="J209" t="s">
        <v>40</v>
      </c>
      <c r="K209">
        <v>2</v>
      </c>
      <c r="L209" t="s">
        <v>41</v>
      </c>
      <c r="M209" t="s">
        <v>42</v>
      </c>
      <c r="N209" t="s">
        <v>43</v>
      </c>
      <c r="O209" s="7">
        <v>1</v>
      </c>
      <c r="P209" s="8">
        <v>45368.577048611114</v>
      </c>
      <c r="Q209" s="9">
        <v>45371</v>
      </c>
      <c r="R209" t="s">
        <v>44</v>
      </c>
      <c r="S209" t="s">
        <v>45</v>
      </c>
      <c r="T209" t="s">
        <v>46</v>
      </c>
      <c r="U209" t="s">
        <v>82</v>
      </c>
      <c r="V209" t="s">
        <v>721</v>
      </c>
      <c r="W209">
        <v>81550</v>
      </c>
      <c r="X209" t="s">
        <v>45</v>
      </c>
      <c r="Y209" t="s">
        <v>79</v>
      </c>
      <c r="Z209" t="s">
        <v>50</v>
      </c>
      <c r="AA209" s="10">
        <f>IF(O209&lt;=1,7,7+0.8*ROUNDUP(O209-1,0))</f>
        <v>7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10"/>
        <v>0.42</v>
      </c>
      <c r="AG209" s="11">
        <f t="shared" si="11"/>
        <v>7.42</v>
      </c>
      <c r="AH209" t="s">
        <v>51</v>
      </c>
    </row>
    <row r="210" spans="1:34" ht="15" customHeight="1" x14ac:dyDescent="0.35">
      <c r="A210">
        <v>7547676</v>
      </c>
      <c r="B210">
        <v>690929</v>
      </c>
      <c r="C210" t="s">
        <v>34</v>
      </c>
      <c r="D210" t="s">
        <v>35</v>
      </c>
      <c r="E210" s="6" t="s">
        <v>34</v>
      </c>
      <c r="F210" t="s">
        <v>722</v>
      </c>
      <c r="G210" t="s">
        <v>37</v>
      </c>
      <c r="H210" t="s">
        <v>38</v>
      </c>
      <c r="I210" t="s">
        <v>219</v>
      </c>
      <c r="J210" t="s">
        <v>40</v>
      </c>
      <c r="K210">
        <v>2</v>
      </c>
      <c r="L210" t="s">
        <v>41</v>
      </c>
      <c r="M210" t="s">
        <v>42</v>
      </c>
      <c r="N210" t="s">
        <v>43</v>
      </c>
      <c r="O210" s="7">
        <v>1</v>
      </c>
      <c r="P210" s="8">
        <v>45369.503472222219</v>
      </c>
      <c r="Q210" s="9">
        <v>45371</v>
      </c>
      <c r="R210" t="s">
        <v>44</v>
      </c>
      <c r="S210" t="s">
        <v>45</v>
      </c>
      <c r="T210" t="s">
        <v>46</v>
      </c>
      <c r="U210" t="s">
        <v>54</v>
      </c>
      <c r="V210" t="s">
        <v>723</v>
      </c>
      <c r="W210">
        <v>47140</v>
      </c>
      <c r="X210" t="s">
        <v>45</v>
      </c>
      <c r="Y210" t="s">
        <v>459</v>
      </c>
      <c r="Z210" t="s">
        <v>50</v>
      </c>
      <c r="AA210" s="10">
        <f>IF(O210&lt;=1,7,7+0.8*ROUNDUP(O210-1,0))</f>
        <v>7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10"/>
        <v>0.42</v>
      </c>
      <c r="AG210" s="11">
        <f t="shared" si="11"/>
        <v>7.42</v>
      </c>
      <c r="AH210" t="s">
        <v>51</v>
      </c>
    </row>
    <row r="211" spans="1:34" ht="15" customHeight="1" x14ac:dyDescent="0.35">
      <c r="A211">
        <v>7547676</v>
      </c>
      <c r="B211">
        <v>690929</v>
      </c>
      <c r="C211" t="s">
        <v>34</v>
      </c>
      <c r="D211" t="s">
        <v>35</v>
      </c>
      <c r="E211" s="6" t="s">
        <v>34</v>
      </c>
      <c r="F211" t="s">
        <v>724</v>
      </c>
      <c r="G211" t="s">
        <v>37</v>
      </c>
      <c r="H211" t="s">
        <v>38</v>
      </c>
      <c r="I211" t="s">
        <v>725</v>
      </c>
      <c r="J211" t="s">
        <v>40</v>
      </c>
      <c r="K211">
        <v>2</v>
      </c>
      <c r="L211" t="s">
        <v>41</v>
      </c>
      <c r="M211" t="s">
        <v>42</v>
      </c>
      <c r="N211" t="s">
        <v>43</v>
      </c>
      <c r="O211" s="7">
        <v>1</v>
      </c>
      <c r="P211" s="8">
        <v>45370.548472222225</v>
      </c>
      <c r="Q211" s="9">
        <v>45371</v>
      </c>
      <c r="R211" t="s">
        <v>44</v>
      </c>
      <c r="S211" t="s">
        <v>45</v>
      </c>
      <c r="T211" t="s">
        <v>46</v>
      </c>
      <c r="U211" t="s">
        <v>54</v>
      </c>
      <c r="V211" t="s">
        <v>726</v>
      </c>
      <c r="W211">
        <v>47650</v>
      </c>
      <c r="X211" t="s">
        <v>45</v>
      </c>
      <c r="Y211" t="s">
        <v>662</v>
      </c>
      <c r="Z211" t="s">
        <v>50</v>
      </c>
      <c r="AA211" s="10">
        <f>IF(O211&lt;=1,7,7+0.8*ROUNDUP(O211-1,0))</f>
        <v>7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10"/>
        <v>0.42</v>
      </c>
      <c r="AG211" s="11">
        <f t="shared" si="11"/>
        <v>7.42</v>
      </c>
      <c r="AH211" t="s">
        <v>51</v>
      </c>
    </row>
    <row r="212" spans="1:34" ht="15" customHeight="1" x14ac:dyDescent="0.35">
      <c r="A212">
        <v>7547676</v>
      </c>
      <c r="B212">
        <v>690929</v>
      </c>
      <c r="C212" t="s">
        <v>34</v>
      </c>
      <c r="D212" t="s">
        <v>35</v>
      </c>
      <c r="E212" s="6" t="s">
        <v>34</v>
      </c>
      <c r="F212" t="s">
        <v>727</v>
      </c>
      <c r="G212" t="s">
        <v>37</v>
      </c>
      <c r="H212" t="s">
        <v>38</v>
      </c>
      <c r="I212" t="s">
        <v>728</v>
      </c>
      <c r="J212" t="s">
        <v>40</v>
      </c>
      <c r="K212">
        <v>2</v>
      </c>
      <c r="L212" t="s">
        <v>41</v>
      </c>
      <c r="M212" t="s">
        <v>42</v>
      </c>
      <c r="N212" t="s">
        <v>43</v>
      </c>
      <c r="O212" s="7">
        <v>1</v>
      </c>
      <c r="P212" s="8">
        <v>45368.577048611114</v>
      </c>
      <c r="Q212" s="9">
        <v>45371</v>
      </c>
      <c r="R212" t="s">
        <v>44</v>
      </c>
      <c r="S212" t="s">
        <v>45</v>
      </c>
      <c r="T212" t="s">
        <v>46</v>
      </c>
      <c r="U212" t="s">
        <v>82</v>
      </c>
      <c r="V212" t="s">
        <v>729</v>
      </c>
      <c r="W212">
        <v>81000</v>
      </c>
      <c r="X212" t="s">
        <v>45</v>
      </c>
      <c r="Y212" t="s">
        <v>79</v>
      </c>
      <c r="Z212" t="s">
        <v>50</v>
      </c>
      <c r="AA212" s="10">
        <f>IF(O212&lt;=1,7,7+0.8*ROUNDUP(O212-1,0))</f>
        <v>7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10"/>
        <v>0.42</v>
      </c>
      <c r="AG212" s="11">
        <f t="shared" si="11"/>
        <v>7.42</v>
      </c>
      <c r="AH212" t="s">
        <v>51</v>
      </c>
    </row>
    <row r="213" spans="1:34" ht="15" customHeight="1" x14ac:dyDescent="0.35">
      <c r="A213">
        <v>7547676</v>
      </c>
      <c r="B213">
        <v>690929</v>
      </c>
      <c r="C213" t="s">
        <v>34</v>
      </c>
      <c r="D213" t="s">
        <v>35</v>
      </c>
      <c r="E213" s="6" t="s">
        <v>34</v>
      </c>
      <c r="F213" t="s">
        <v>730</v>
      </c>
      <c r="G213" t="s">
        <v>37</v>
      </c>
      <c r="H213" t="s">
        <v>38</v>
      </c>
      <c r="I213" t="s">
        <v>731</v>
      </c>
      <c r="J213" t="s">
        <v>40</v>
      </c>
      <c r="K213">
        <v>2</v>
      </c>
      <c r="L213" t="s">
        <v>41</v>
      </c>
      <c r="M213" t="s">
        <v>42</v>
      </c>
      <c r="N213" t="s">
        <v>43</v>
      </c>
      <c r="O213" s="7">
        <v>3</v>
      </c>
      <c r="P213" s="8">
        <v>45370.402233796296</v>
      </c>
      <c r="Q213" s="9">
        <v>45371</v>
      </c>
      <c r="R213" t="s">
        <v>44</v>
      </c>
      <c r="S213" t="s">
        <v>45</v>
      </c>
      <c r="T213" t="s">
        <v>46</v>
      </c>
      <c r="U213" t="s">
        <v>99</v>
      </c>
      <c r="V213" t="s">
        <v>732</v>
      </c>
      <c r="W213">
        <v>17500</v>
      </c>
      <c r="X213" t="s">
        <v>45</v>
      </c>
      <c r="Y213" t="s">
        <v>733</v>
      </c>
      <c r="Z213" t="s">
        <v>50</v>
      </c>
      <c r="AA213" s="10">
        <f>IF(O213&lt;=1,7,7+0.8*ROUNDUP(O213-1,0))</f>
        <v>8.6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10"/>
        <v>0.51600000000000001</v>
      </c>
      <c r="AG213" s="11">
        <f t="shared" si="11"/>
        <v>9.1159999999999997</v>
      </c>
      <c r="AH213" t="s">
        <v>51</v>
      </c>
    </row>
    <row r="214" spans="1:34" ht="15" customHeight="1" x14ac:dyDescent="0.35">
      <c r="A214">
        <v>7547676</v>
      </c>
      <c r="B214">
        <v>690929</v>
      </c>
      <c r="C214" t="s">
        <v>34</v>
      </c>
      <c r="D214" t="s">
        <v>35</v>
      </c>
      <c r="E214" s="6" t="s">
        <v>34</v>
      </c>
      <c r="F214" t="s">
        <v>734</v>
      </c>
      <c r="G214" t="s">
        <v>37</v>
      </c>
      <c r="H214" t="s">
        <v>38</v>
      </c>
      <c r="I214" t="s">
        <v>735</v>
      </c>
      <c r="J214" t="s">
        <v>40</v>
      </c>
      <c r="K214">
        <v>2</v>
      </c>
      <c r="L214" t="s">
        <v>41</v>
      </c>
      <c r="M214" t="s">
        <v>42</v>
      </c>
      <c r="N214" t="s">
        <v>43</v>
      </c>
      <c r="O214" s="7">
        <v>3</v>
      </c>
      <c r="P214" s="8">
        <v>45369.628252314818</v>
      </c>
      <c r="Q214" s="9">
        <v>45371</v>
      </c>
      <c r="R214" t="s">
        <v>44</v>
      </c>
      <c r="S214" t="s">
        <v>45</v>
      </c>
      <c r="T214" t="s">
        <v>46</v>
      </c>
      <c r="U214" t="s">
        <v>54</v>
      </c>
      <c r="V214" t="s">
        <v>736</v>
      </c>
      <c r="W214">
        <v>43300</v>
      </c>
      <c r="X214" t="s">
        <v>45</v>
      </c>
      <c r="Y214" t="s">
        <v>60</v>
      </c>
      <c r="Z214" t="s">
        <v>50</v>
      </c>
      <c r="AA214" s="10">
        <f>IF(O214&lt;=1,7,7+0.8*ROUNDUP(O214-1,0))</f>
        <v>8.6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10"/>
        <v>0.51600000000000001</v>
      </c>
      <c r="AG214" s="11">
        <f t="shared" si="11"/>
        <v>9.1159999999999997</v>
      </c>
      <c r="AH214" t="s">
        <v>51</v>
      </c>
    </row>
    <row r="215" spans="1:34" ht="15" customHeight="1" x14ac:dyDescent="0.35">
      <c r="A215">
        <v>7547676</v>
      </c>
      <c r="B215">
        <v>690929</v>
      </c>
      <c r="C215" t="s">
        <v>34</v>
      </c>
      <c r="D215" t="s">
        <v>35</v>
      </c>
      <c r="E215" s="6" t="s">
        <v>34</v>
      </c>
      <c r="F215" t="s">
        <v>737</v>
      </c>
      <c r="G215" t="s">
        <v>37</v>
      </c>
      <c r="H215" t="s">
        <v>38</v>
      </c>
      <c r="I215" t="s">
        <v>738</v>
      </c>
      <c r="J215" t="s">
        <v>40</v>
      </c>
      <c r="K215">
        <v>2</v>
      </c>
      <c r="L215" t="s">
        <v>41</v>
      </c>
      <c r="M215" t="s">
        <v>42</v>
      </c>
      <c r="N215" t="s">
        <v>43</v>
      </c>
      <c r="O215" s="7">
        <v>1</v>
      </c>
      <c r="P215" s="8">
        <v>45369.628252314818</v>
      </c>
      <c r="Q215" s="9">
        <v>45371</v>
      </c>
      <c r="R215" t="s">
        <v>44</v>
      </c>
      <c r="S215" t="s">
        <v>45</v>
      </c>
      <c r="T215" t="s">
        <v>46</v>
      </c>
      <c r="U215" t="s">
        <v>67</v>
      </c>
      <c r="V215" t="s">
        <v>739</v>
      </c>
      <c r="W215">
        <v>50300</v>
      </c>
      <c r="X215" t="s">
        <v>45</v>
      </c>
      <c r="Y215" t="s">
        <v>69</v>
      </c>
      <c r="Z215" t="s">
        <v>50</v>
      </c>
      <c r="AA215" s="10">
        <f>IF(O215&lt;=1,7,7+0.8*ROUNDUP(O215-1,0))</f>
        <v>7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10"/>
        <v>0.42</v>
      </c>
      <c r="AG215" s="11">
        <f t="shared" si="11"/>
        <v>7.42</v>
      </c>
      <c r="AH215" t="s">
        <v>51</v>
      </c>
    </row>
    <row r="216" spans="1:34" ht="15" customHeight="1" x14ac:dyDescent="0.35">
      <c r="A216">
        <v>7547676</v>
      </c>
      <c r="B216">
        <v>690929</v>
      </c>
      <c r="C216" t="s">
        <v>34</v>
      </c>
      <c r="D216" t="s">
        <v>35</v>
      </c>
      <c r="E216" s="6" t="s">
        <v>34</v>
      </c>
      <c r="F216" t="s">
        <v>740</v>
      </c>
      <c r="G216" t="s">
        <v>37</v>
      </c>
      <c r="H216" t="s">
        <v>38</v>
      </c>
      <c r="I216" t="s">
        <v>741</v>
      </c>
      <c r="J216" t="s">
        <v>40</v>
      </c>
      <c r="K216">
        <v>2</v>
      </c>
      <c r="L216" t="s">
        <v>41</v>
      </c>
      <c r="M216" t="s">
        <v>42</v>
      </c>
      <c r="N216" t="s">
        <v>43</v>
      </c>
      <c r="O216" s="7">
        <v>8</v>
      </c>
      <c r="P216" s="8">
        <v>45368.641562500001</v>
      </c>
      <c r="Q216" s="9">
        <v>45371</v>
      </c>
      <c r="R216" t="s">
        <v>44</v>
      </c>
      <c r="S216" t="s">
        <v>45</v>
      </c>
      <c r="T216" t="s">
        <v>46</v>
      </c>
      <c r="U216" t="s">
        <v>54</v>
      </c>
      <c r="V216" t="s">
        <v>742</v>
      </c>
      <c r="W216">
        <v>50450</v>
      </c>
      <c r="X216" t="s">
        <v>45</v>
      </c>
      <c r="Y216" t="s">
        <v>73</v>
      </c>
      <c r="Z216" t="s">
        <v>50</v>
      </c>
      <c r="AA216" s="10">
        <f>IF(O216&lt;=1,7,7+0.8*ROUNDUP(O216-1,0))</f>
        <v>12.600000000000001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10"/>
        <v>0.75600000000000001</v>
      </c>
      <c r="AG216" s="11">
        <f t="shared" si="11"/>
        <v>13.356000000000002</v>
      </c>
      <c r="AH216" t="s">
        <v>51</v>
      </c>
    </row>
    <row r="217" spans="1:34" ht="15" customHeight="1" x14ac:dyDescent="0.35">
      <c r="A217">
        <v>7547676</v>
      </c>
      <c r="B217">
        <v>690929</v>
      </c>
      <c r="C217" t="s">
        <v>34</v>
      </c>
      <c r="D217" t="s">
        <v>35</v>
      </c>
      <c r="E217" s="6" t="s">
        <v>34</v>
      </c>
      <c r="F217" t="s">
        <v>743</v>
      </c>
      <c r="G217" t="s">
        <v>37</v>
      </c>
      <c r="H217" t="s">
        <v>38</v>
      </c>
      <c r="I217" t="s">
        <v>744</v>
      </c>
      <c r="J217" t="s">
        <v>40</v>
      </c>
      <c r="K217">
        <v>2</v>
      </c>
      <c r="L217" t="s">
        <v>41</v>
      </c>
      <c r="M217" t="s">
        <v>42</v>
      </c>
      <c r="N217" t="s">
        <v>43</v>
      </c>
      <c r="O217" s="7">
        <v>2</v>
      </c>
      <c r="P217" s="8">
        <v>45369.628252314818</v>
      </c>
      <c r="Q217" s="9">
        <v>45371</v>
      </c>
      <c r="R217" t="s">
        <v>44</v>
      </c>
      <c r="S217" t="s">
        <v>45</v>
      </c>
      <c r="T217" t="s">
        <v>46</v>
      </c>
      <c r="U217" t="s">
        <v>54</v>
      </c>
      <c r="V217" t="s">
        <v>745</v>
      </c>
      <c r="W217">
        <v>68100</v>
      </c>
      <c r="X217" t="s">
        <v>45</v>
      </c>
      <c r="Y217" t="s">
        <v>126</v>
      </c>
      <c r="Z217" t="s">
        <v>50</v>
      </c>
      <c r="AA217" s="10">
        <f>IF(O217&lt;=1,7,7+0.8*ROUNDUP(O217-1,0))</f>
        <v>7.8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10"/>
        <v>0.46799999999999997</v>
      </c>
      <c r="AG217" s="11">
        <f t="shared" si="11"/>
        <v>8.2680000000000007</v>
      </c>
      <c r="AH217" t="s">
        <v>51</v>
      </c>
    </row>
    <row r="218" spans="1:34" ht="15" customHeight="1" x14ac:dyDescent="0.35">
      <c r="A218">
        <v>7547676</v>
      </c>
      <c r="B218">
        <v>690929</v>
      </c>
      <c r="C218" t="s">
        <v>34</v>
      </c>
      <c r="D218" t="s">
        <v>35</v>
      </c>
      <c r="E218" s="6" t="s">
        <v>34</v>
      </c>
      <c r="F218" t="s">
        <v>746</v>
      </c>
      <c r="G218" t="s">
        <v>37</v>
      </c>
      <c r="H218" t="s">
        <v>38</v>
      </c>
      <c r="I218" t="s">
        <v>747</v>
      </c>
      <c r="J218" t="s">
        <v>40</v>
      </c>
      <c r="K218">
        <v>2</v>
      </c>
      <c r="L218" t="s">
        <v>41</v>
      </c>
      <c r="M218" t="s">
        <v>42</v>
      </c>
      <c r="N218" t="s">
        <v>43</v>
      </c>
      <c r="O218" s="7">
        <v>1</v>
      </c>
      <c r="P218" s="8">
        <v>45369.628252314818</v>
      </c>
      <c r="Q218" s="9">
        <v>45371</v>
      </c>
      <c r="R218" t="s">
        <v>44</v>
      </c>
      <c r="S218" t="s">
        <v>45</v>
      </c>
      <c r="T218" t="s">
        <v>46</v>
      </c>
      <c r="U218" t="s">
        <v>278</v>
      </c>
      <c r="V218" t="s">
        <v>748</v>
      </c>
      <c r="W218">
        <v>11900</v>
      </c>
      <c r="X218" t="s">
        <v>45</v>
      </c>
      <c r="Y218" t="s">
        <v>342</v>
      </c>
      <c r="Z218" t="s">
        <v>50</v>
      </c>
      <c r="AA218" s="10">
        <f>IF(O218&lt;=1,7,7+0.8*ROUNDUP(O218-1,0))</f>
        <v>7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10"/>
        <v>0.42</v>
      </c>
      <c r="AG218" s="11">
        <f t="shared" si="11"/>
        <v>7.42</v>
      </c>
      <c r="AH218" t="s">
        <v>51</v>
      </c>
    </row>
    <row r="219" spans="1:34" ht="15" customHeight="1" x14ac:dyDescent="0.35">
      <c r="A219">
        <v>7547676</v>
      </c>
      <c r="B219">
        <v>690929</v>
      </c>
      <c r="C219" t="s">
        <v>34</v>
      </c>
      <c r="D219" t="s">
        <v>35</v>
      </c>
      <c r="E219" s="6" t="s">
        <v>34</v>
      </c>
      <c r="F219" t="s">
        <v>749</v>
      </c>
      <c r="G219" t="s">
        <v>37</v>
      </c>
      <c r="H219" t="s">
        <v>38</v>
      </c>
      <c r="I219" t="s">
        <v>750</v>
      </c>
      <c r="J219" t="s">
        <v>40</v>
      </c>
      <c r="K219">
        <v>2</v>
      </c>
      <c r="L219" t="s">
        <v>41</v>
      </c>
      <c r="M219" t="s">
        <v>42</v>
      </c>
      <c r="N219" t="s">
        <v>43</v>
      </c>
      <c r="O219" s="7">
        <v>2</v>
      </c>
      <c r="P219" s="8">
        <v>45369.628252314818</v>
      </c>
      <c r="Q219" s="9">
        <v>45371</v>
      </c>
      <c r="R219" t="s">
        <v>44</v>
      </c>
      <c r="S219" t="s">
        <v>45</v>
      </c>
      <c r="T219" t="s">
        <v>46</v>
      </c>
      <c r="U219" t="s">
        <v>278</v>
      </c>
      <c r="V219" t="s">
        <v>751</v>
      </c>
      <c r="W219">
        <v>14000</v>
      </c>
      <c r="X219" t="s">
        <v>45</v>
      </c>
      <c r="Y219" t="s">
        <v>305</v>
      </c>
      <c r="Z219" t="s">
        <v>50</v>
      </c>
      <c r="AA219" s="10">
        <f>IF(O219&lt;=1,7,7+0.8*ROUNDUP(O219-1,0))</f>
        <v>7.8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10"/>
        <v>0.46799999999999997</v>
      </c>
      <c r="AG219" s="11">
        <f t="shared" si="11"/>
        <v>8.2680000000000007</v>
      </c>
      <c r="AH219" t="s">
        <v>51</v>
      </c>
    </row>
    <row r="220" spans="1:34" ht="15" customHeight="1" x14ac:dyDescent="0.35">
      <c r="A220">
        <v>7547676</v>
      </c>
      <c r="B220">
        <v>690929</v>
      </c>
      <c r="C220" t="s">
        <v>34</v>
      </c>
      <c r="D220" t="s">
        <v>35</v>
      </c>
      <c r="E220" s="6" t="s">
        <v>34</v>
      </c>
      <c r="F220" t="s">
        <v>752</v>
      </c>
      <c r="G220" t="s">
        <v>37</v>
      </c>
      <c r="H220" t="s">
        <v>38</v>
      </c>
      <c r="I220" t="s">
        <v>753</v>
      </c>
      <c r="J220" t="s">
        <v>40</v>
      </c>
      <c r="K220">
        <v>2</v>
      </c>
      <c r="L220" t="s">
        <v>41</v>
      </c>
      <c r="M220" t="s">
        <v>42</v>
      </c>
      <c r="N220" t="s">
        <v>43</v>
      </c>
      <c r="O220" s="7">
        <v>1</v>
      </c>
      <c r="P220" s="8">
        <v>45369.633923611109</v>
      </c>
      <c r="Q220" s="9">
        <v>45372</v>
      </c>
      <c r="R220" t="s">
        <v>44</v>
      </c>
      <c r="S220" t="s">
        <v>45</v>
      </c>
      <c r="T220" t="s">
        <v>46</v>
      </c>
      <c r="U220" t="s">
        <v>54</v>
      </c>
      <c r="V220" t="s">
        <v>754</v>
      </c>
      <c r="W220">
        <v>43000</v>
      </c>
      <c r="X220" t="s">
        <v>45</v>
      </c>
      <c r="Y220" t="s">
        <v>79</v>
      </c>
      <c r="Z220" t="s">
        <v>50</v>
      </c>
      <c r="AA220" s="10">
        <f>IF(O220&lt;=1,7,7+0.8*ROUNDUP(O220-1,0))</f>
        <v>7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10"/>
        <v>0.42</v>
      </c>
      <c r="AG220" s="11">
        <f t="shared" si="11"/>
        <v>7.42</v>
      </c>
      <c r="AH220" t="s">
        <v>51</v>
      </c>
    </row>
    <row r="221" spans="1:34" ht="15" customHeight="1" x14ac:dyDescent="0.35">
      <c r="A221">
        <v>7547676</v>
      </c>
      <c r="B221">
        <v>690929</v>
      </c>
      <c r="C221" t="s">
        <v>34</v>
      </c>
      <c r="D221" t="s">
        <v>35</v>
      </c>
      <c r="E221" s="6" t="s">
        <v>34</v>
      </c>
      <c r="F221" t="s">
        <v>755</v>
      </c>
      <c r="G221" t="s">
        <v>37</v>
      </c>
      <c r="H221" t="s">
        <v>38</v>
      </c>
      <c r="I221" t="s">
        <v>756</v>
      </c>
      <c r="J221" t="s">
        <v>40</v>
      </c>
      <c r="K221">
        <v>2</v>
      </c>
      <c r="L221" t="s">
        <v>41</v>
      </c>
      <c r="M221" t="s">
        <v>42</v>
      </c>
      <c r="N221" t="s">
        <v>43</v>
      </c>
      <c r="O221" s="7">
        <v>1</v>
      </c>
      <c r="P221" s="8">
        <v>45370.685115740744</v>
      </c>
      <c r="Q221" s="9">
        <v>45372</v>
      </c>
      <c r="R221" t="s">
        <v>44</v>
      </c>
      <c r="S221" t="s">
        <v>45</v>
      </c>
      <c r="T221" t="s">
        <v>46</v>
      </c>
      <c r="U221" t="s">
        <v>86</v>
      </c>
      <c r="V221" t="s">
        <v>757</v>
      </c>
      <c r="W221">
        <v>71450</v>
      </c>
      <c r="X221" t="s">
        <v>45</v>
      </c>
      <c r="Y221" t="s">
        <v>589</v>
      </c>
      <c r="Z221" t="s">
        <v>50</v>
      </c>
      <c r="AA221" s="10">
        <f>IF(O221&lt;=1,7,7+0.8*ROUNDUP(O221-1,0))</f>
        <v>7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10"/>
        <v>0.42</v>
      </c>
      <c r="AG221" s="11">
        <f t="shared" si="11"/>
        <v>7.42</v>
      </c>
      <c r="AH221" t="s">
        <v>51</v>
      </c>
    </row>
    <row r="222" spans="1:34" ht="15" customHeight="1" x14ac:dyDescent="0.35">
      <c r="A222">
        <v>7547676</v>
      </c>
      <c r="B222">
        <v>690929</v>
      </c>
      <c r="C222" t="s">
        <v>34</v>
      </c>
      <c r="D222" t="s">
        <v>35</v>
      </c>
      <c r="E222" s="6" t="s">
        <v>34</v>
      </c>
      <c r="F222" t="s">
        <v>758</v>
      </c>
      <c r="G222" t="s">
        <v>37</v>
      </c>
      <c r="H222" t="s">
        <v>38</v>
      </c>
      <c r="I222" t="s">
        <v>759</v>
      </c>
      <c r="J222" t="s">
        <v>40</v>
      </c>
      <c r="K222">
        <v>2</v>
      </c>
      <c r="L222" t="s">
        <v>41</v>
      </c>
      <c r="M222" t="s">
        <v>42</v>
      </c>
      <c r="N222" t="s">
        <v>43</v>
      </c>
      <c r="O222" s="7">
        <v>2</v>
      </c>
      <c r="P222" s="8">
        <v>45371.66207175926</v>
      </c>
      <c r="Q222" s="9">
        <v>45372</v>
      </c>
      <c r="R222" t="s">
        <v>44</v>
      </c>
      <c r="S222" t="s">
        <v>45</v>
      </c>
      <c r="T222" t="s">
        <v>46</v>
      </c>
      <c r="U222" t="s">
        <v>47</v>
      </c>
      <c r="V222" t="s">
        <v>760</v>
      </c>
      <c r="W222">
        <v>22000</v>
      </c>
      <c r="X222" t="s">
        <v>45</v>
      </c>
      <c r="Y222" t="s">
        <v>761</v>
      </c>
      <c r="Z222" t="s">
        <v>50</v>
      </c>
      <c r="AA222" s="10">
        <f>IF(O222&lt;=1,7,7+0.8*ROUNDUP(O222-1,0))</f>
        <v>7.8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10"/>
        <v>0.46799999999999997</v>
      </c>
      <c r="AG222" s="11">
        <f t="shared" si="11"/>
        <v>8.2680000000000007</v>
      </c>
      <c r="AH222" t="s">
        <v>51</v>
      </c>
    </row>
    <row r="223" spans="1:34" ht="15" customHeight="1" x14ac:dyDescent="0.35">
      <c r="A223">
        <v>7547676</v>
      </c>
      <c r="B223">
        <v>690929</v>
      </c>
      <c r="C223" t="s">
        <v>34</v>
      </c>
      <c r="D223" t="s">
        <v>35</v>
      </c>
      <c r="E223" s="6" t="s">
        <v>34</v>
      </c>
      <c r="F223" t="s">
        <v>762</v>
      </c>
      <c r="G223" t="s">
        <v>37</v>
      </c>
      <c r="H223" t="s">
        <v>38</v>
      </c>
      <c r="I223" t="s">
        <v>763</v>
      </c>
      <c r="J223" t="s">
        <v>40</v>
      </c>
      <c r="K223">
        <v>2</v>
      </c>
      <c r="L223" t="s">
        <v>41</v>
      </c>
      <c r="M223" t="s">
        <v>42</v>
      </c>
      <c r="N223" t="s">
        <v>43</v>
      </c>
      <c r="O223" s="7">
        <v>1</v>
      </c>
      <c r="P223" s="8">
        <v>45370.685115740744</v>
      </c>
      <c r="Q223" s="9">
        <v>45372</v>
      </c>
      <c r="R223" t="s">
        <v>44</v>
      </c>
      <c r="S223" t="s">
        <v>45</v>
      </c>
      <c r="T223" t="s">
        <v>46</v>
      </c>
      <c r="U223" t="s">
        <v>172</v>
      </c>
      <c r="V223" t="s">
        <v>764</v>
      </c>
      <c r="W223">
        <v>35500</v>
      </c>
      <c r="X223" t="s">
        <v>45</v>
      </c>
      <c r="Y223" t="s">
        <v>79</v>
      </c>
      <c r="Z223" t="s">
        <v>50</v>
      </c>
      <c r="AA223" s="10">
        <f>IF(O223&lt;=1,7,7+0.8*ROUNDUP(O223-1,0))</f>
        <v>7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10"/>
        <v>0.42</v>
      </c>
      <c r="AG223" s="11">
        <f t="shared" si="11"/>
        <v>7.42</v>
      </c>
      <c r="AH223" t="s">
        <v>51</v>
      </c>
    </row>
    <row r="224" spans="1:34" ht="15" customHeight="1" x14ac:dyDescent="0.35">
      <c r="A224">
        <v>7547676</v>
      </c>
      <c r="B224">
        <v>690929</v>
      </c>
      <c r="C224" t="s">
        <v>34</v>
      </c>
      <c r="D224" t="s">
        <v>35</v>
      </c>
      <c r="E224" s="6" t="s">
        <v>34</v>
      </c>
      <c r="F224" t="s">
        <v>765</v>
      </c>
      <c r="G224" t="s">
        <v>37</v>
      </c>
      <c r="H224" t="s">
        <v>38</v>
      </c>
      <c r="I224" t="s">
        <v>766</v>
      </c>
      <c r="J224" t="s">
        <v>40</v>
      </c>
      <c r="K224">
        <v>2</v>
      </c>
      <c r="L224" t="s">
        <v>41</v>
      </c>
      <c r="M224" t="s">
        <v>42</v>
      </c>
      <c r="N224" t="s">
        <v>43</v>
      </c>
      <c r="O224" s="7">
        <v>1</v>
      </c>
      <c r="P224" s="8">
        <v>45369.589421296296</v>
      </c>
      <c r="Q224" s="9">
        <v>45372</v>
      </c>
      <c r="R224" t="s">
        <v>44</v>
      </c>
      <c r="S224" t="s">
        <v>45</v>
      </c>
      <c r="T224" t="s">
        <v>46</v>
      </c>
      <c r="U224" t="s">
        <v>103</v>
      </c>
      <c r="V224" t="s">
        <v>767</v>
      </c>
      <c r="W224">
        <v>2700</v>
      </c>
      <c r="X224" t="s">
        <v>45</v>
      </c>
      <c r="Y224" t="s">
        <v>105</v>
      </c>
      <c r="Z224" t="s">
        <v>50</v>
      </c>
      <c r="AA224" s="10">
        <f>IF(O224&lt;=1,7,7+0.8*ROUNDUP(O224-1,0))</f>
        <v>7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10"/>
        <v>0.42</v>
      </c>
      <c r="AG224" s="11">
        <f t="shared" si="11"/>
        <v>7.42</v>
      </c>
      <c r="AH224" t="s">
        <v>51</v>
      </c>
    </row>
    <row r="225" spans="1:34" ht="15" customHeight="1" x14ac:dyDescent="0.35">
      <c r="A225">
        <v>7547676</v>
      </c>
      <c r="B225">
        <v>690929</v>
      </c>
      <c r="C225" t="s">
        <v>34</v>
      </c>
      <c r="D225" t="s">
        <v>35</v>
      </c>
      <c r="E225" s="6" t="s">
        <v>34</v>
      </c>
      <c r="F225" t="s">
        <v>768</v>
      </c>
      <c r="G225" t="s">
        <v>37</v>
      </c>
      <c r="H225" t="s">
        <v>38</v>
      </c>
      <c r="I225" t="s">
        <v>769</v>
      </c>
      <c r="J225" t="s">
        <v>40</v>
      </c>
      <c r="K225">
        <v>2</v>
      </c>
      <c r="L225" t="s">
        <v>41</v>
      </c>
      <c r="M225" t="s">
        <v>42</v>
      </c>
      <c r="N225" t="s">
        <v>43</v>
      </c>
      <c r="O225" s="7">
        <v>1</v>
      </c>
      <c r="P225" s="8">
        <v>45369.718530092592</v>
      </c>
      <c r="Q225" s="9">
        <v>45372</v>
      </c>
      <c r="R225" t="s">
        <v>44</v>
      </c>
      <c r="S225" t="s">
        <v>45</v>
      </c>
      <c r="T225" t="s">
        <v>46</v>
      </c>
      <c r="U225" t="s">
        <v>134</v>
      </c>
      <c r="V225" t="s">
        <v>770</v>
      </c>
      <c r="W225">
        <v>6300</v>
      </c>
      <c r="X225" t="s">
        <v>45</v>
      </c>
      <c r="Y225" t="s">
        <v>79</v>
      </c>
      <c r="Z225" t="s">
        <v>50</v>
      </c>
      <c r="AA225" s="10">
        <f>IF(O225&lt;=1,7,7+0.8*ROUNDUP(O225-1,0))</f>
        <v>7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10"/>
        <v>0.42</v>
      </c>
      <c r="AG225" s="11">
        <f t="shared" si="11"/>
        <v>7.42</v>
      </c>
      <c r="AH225" t="s">
        <v>51</v>
      </c>
    </row>
    <row r="226" spans="1:34" ht="15" customHeight="1" x14ac:dyDescent="0.35">
      <c r="A226">
        <v>7547676</v>
      </c>
      <c r="B226">
        <v>690929</v>
      </c>
      <c r="C226" t="s">
        <v>34</v>
      </c>
      <c r="D226" t="s">
        <v>35</v>
      </c>
      <c r="E226" s="6" t="s">
        <v>34</v>
      </c>
      <c r="F226" t="s">
        <v>771</v>
      </c>
      <c r="G226" t="s">
        <v>37</v>
      </c>
      <c r="H226" t="s">
        <v>38</v>
      </c>
      <c r="I226" t="s">
        <v>772</v>
      </c>
      <c r="J226" t="s">
        <v>40</v>
      </c>
      <c r="K226">
        <v>2</v>
      </c>
      <c r="L226" t="s">
        <v>41</v>
      </c>
      <c r="M226" t="s">
        <v>42</v>
      </c>
      <c r="N226" t="s">
        <v>43</v>
      </c>
      <c r="O226" s="7">
        <v>1</v>
      </c>
      <c r="P226" s="8">
        <v>45369.633923611109</v>
      </c>
      <c r="Q226" s="9">
        <v>45372</v>
      </c>
      <c r="R226" t="s">
        <v>44</v>
      </c>
      <c r="S226" t="s">
        <v>45</v>
      </c>
      <c r="T226" t="s">
        <v>46</v>
      </c>
      <c r="U226" t="s">
        <v>134</v>
      </c>
      <c r="V226" t="s">
        <v>773</v>
      </c>
      <c r="W226">
        <v>8200</v>
      </c>
      <c r="X226" t="s">
        <v>45</v>
      </c>
      <c r="Y226" t="s">
        <v>79</v>
      </c>
      <c r="Z226" t="s">
        <v>50</v>
      </c>
      <c r="AA226" s="10">
        <f>IF(O226&lt;=1,7,7+0.8*ROUNDUP(O226-1,0))</f>
        <v>7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10"/>
        <v>0.42</v>
      </c>
      <c r="AG226" s="11">
        <f t="shared" si="11"/>
        <v>7.42</v>
      </c>
      <c r="AH226" t="s">
        <v>51</v>
      </c>
    </row>
    <row r="227" spans="1:34" ht="15" customHeight="1" x14ac:dyDescent="0.35">
      <c r="A227">
        <v>7547676</v>
      </c>
      <c r="B227">
        <v>690929</v>
      </c>
      <c r="C227" t="s">
        <v>34</v>
      </c>
      <c r="D227" t="s">
        <v>35</v>
      </c>
      <c r="E227" s="6" t="s">
        <v>34</v>
      </c>
      <c r="F227" t="s">
        <v>774</v>
      </c>
      <c r="G227" t="s">
        <v>37</v>
      </c>
      <c r="H227" t="s">
        <v>38</v>
      </c>
      <c r="I227" t="s">
        <v>775</v>
      </c>
      <c r="J227" t="s">
        <v>40</v>
      </c>
      <c r="K227">
        <v>2</v>
      </c>
      <c r="L227" t="s">
        <v>41</v>
      </c>
      <c r="M227" t="s">
        <v>42</v>
      </c>
      <c r="N227" t="s">
        <v>43</v>
      </c>
      <c r="O227" s="7">
        <v>1</v>
      </c>
      <c r="P227" s="8">
        <v>45370.662256944444</v>
      </c>
      <c r="Q227" s="9">
        <v>45372</v>
      </c>
      <c r="R227" t="s">
        <v>44</v>
      </c>
      <c r="S227" t="s">
        <v>45</v>
      </c>
      <c r="T227" t="s">
        <v>46</v>
      </c>
      <c r="U227" t="s">
        <v>134</v>
      </c>
      <c r="V227" t="s">
        <v>776</v>
      </c>
      <c r="W227">
        <v>6550</v>
      </c>
      <c r="X227" t="s">
        <v>45</v>
      </c>
      <c r="Y227" t="s">
        <v>79</v>
      </c>
      <c r="Z227" t="s">
        <v>50</v>
      </c>
      <c r="AA227" s="10">
        <f>IF(O227&lt;=1,7,7+0.8*ROUNDUP(O227-1,0))</f>
        <v>7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10"/>
        <v>0.42</v>
      </c>
      <c r="AG227" s="11">
        <f t="shared" si="11"/>
        <v>7.42</v>
      </c>
      <c r="AH227" t="s">
        <v>51</v>
      </c>
    </row>
    <row r="228" spans="1:34" ht="15" customHeight="1" x14ac:dyDescent="0.35">
      <c r="A228">
        <v>7547676</v>
      </c>
      <c r="B228">
        <v>690929</v>
      </c>
      <c r="C228" t="s">
        <v>34</v>
      </c>
      <c r="D228" t="s">
        <v>35</v>
      </c>
      <c r="E228" s="6" t="s">
        <v>34</v>
      </c>
      <c r="F228" t="s">
        <v>777</v>
      </c>
      <c r="G228" t="s">
        <v>37</v>
      </c>
      <c r="H228" t="s">
        <v>38</v>
      </c>
      <c r="I228" t="s">
        <v>778</v>
      </c>
      <c r="J228" t="s">
        <v>40</v>
      </c>
      <c r="K228">
        <v>2</v>
      </c>
      <c r="L228" t="s">
        <v>41</v>
      </c>
      <c r="M228" t="s">
        <v>42</v>
      </c>
      <c r="N228" t="s">
        <v>43</v>
      </c>
      <c r="O228" s="7">
        <v>1</v>
      </c>
      <c r="P228" s="8">
        <v>45370.627395833333</v>
      </c>
      <c r="Q228" s="9">
        <v>45372</v>
      </c>
      <c r="R228" t="s">
        <v>44</v>
      </c>
      <c r="S228" t="s">
        <v>45</v>
      </c>
      <c r="T228" t="s">
        <v>46</v>
      </c>
      <c r="U228" t="s">
        <v>67</v>
      </c>
      <c r="V228" t="s">
        <v>779</v>
      </c>
      <c r="W228">
        <v>46300</v>
      </c>
      <c r="X228" t="s">
        <v>45</v>
      </c>
      <c r="Y228" t="s">
        <v>780</v>
      </c>
      <c r="Z228" t="s">
        <v>50</v>
      </c>
      <c r="AA228" s="10">
        <f>IF(O228&lt;=1,7,7+0.8*ROUNDUP(O228-1,0))</f>
        <v>7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10"/>
        <v>0.42</v>
      </c>
      <c r="AG228" s="11">
        <f t="shared" si="11"/>
        <v>7.42</v>
      </c>
      <c r="AH228" t="s">
        <v>51</v>
      </c>
    </row>
    <row r="229" spans="1:34" ht="15" customHeight="1" x14ac:dyDescent="0.35">
      <c r="A229">
        <v>7547676</v>
      </c>
      <c r="B229">
        <v>690929</v>
      </c>
      <c r="C229" t="s">
        <v>34</v>
      </c>
      <c r="D229" t="s">
        <v>35</v>
      </c>
      <c r="E229" s="6" t="s">
        <v>34</v>
      </c>
      <c r="F229" t="s">
        <v>781</v>
      </c>
      <c r="G229" t="s">
        <v>37</v>
      </c>
      <c r="H229" t="s">
        <v>38</v>
      </c>
      <c r="I229" t="s">
        <v>782</v>
      </c>
      <c r="J229" t="s">
        <v>40</v>
      </c>
      <c r="K229">
        <v>2</v>
      </c>
      <c r="L229" t="s">
        <v>41</v>
      </c>
      <c r="M229" t="s">
        <v>42</v>
      </c>
      <c r="N229" t="s">
        <v>43</v>
      </c>
      <c r="O229" s="7">
        <v>1</v>
      </c>
      <c r="P229" s="8">
        <v>45369.633923611109</v>
      </c>
      <c r="Q229" s="9">
        <v>45372</v>
      </c>
      <c r="R229" t="s">
        <v>44</v>
      </c>
      <c r="S229" t="s">
        <v>45</v>
      </c>
      <c r="T229" t="s">
        <v>46</v>
      </c>
      <c r="U229" t="s">
        <v>82</v>
      </c>
      <c r="V229" t="s">
        <v>783</v>
      </c>
      <c r="W229">
        <v>81900</v>
      </c>
      <c r="X229" t="s">
        <v>45</v>
      </c>
      <c r="Y229" t="s">
        <v>79</v>
      </c>
      <c r="Z229" t="s">
        <v>50</v>
      </c>
      <c r="AA229" s="10">
        <f>IF(O229&lt;=1,7,7+0.8*ROUNDUP(O229-1,0))</f>
        <v>7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10"/>
        <v>0.42</v>
      </c>
      <c r="AG229" s="11">
        <f t="shared" si="11"/>
        <v>7.42</v>
      </c>
      <c r="AH229" t="s">
        <v>51</v>
      </c>
    </row>
    <row r="230" spans="1:34" ht="15" customHeight="1" x14ac:dyDescent="0.35">
      <c r="A230">
        <v>7547676</v>
      </c>
      <c r="B230">
        <v>690929</v>
      </c>
      <c r="C230" t="s">
        <v>34</v>
      </c>
      <c r="D230" t="s">
        <v>35</v>
      </c>
      <c r="E230" s="6" t="s">
        <v>34</v>
      </c>
      <c r="F230" t="s">
        <v>784</v>
      </c>
      <c r="G230" t="s">
        <v>37</v>
      </c>
      <c r="H230" t="s">
        <v>38</v>
      </c>
      <c r="I230" t="s">
        <v>785</v>
      </c>
      <c r="J230" t="s">
        <v>40</v>
      </c>
      <c r="K230">
        <v>2</v>
      </c>
      <c r="L230" t="s">
        <v>41</v>
      </c>
      <c r="M230" t="s">
        <v>42</v>
      </c>
      <c r="N230" t="s">
        <v>43</v>
      </c>
      <c r="O230" s="7">
        <v>1</v>
      </c>
      <c r="P230" s="8">
        <v>45369.49119212963</v>
      </c>
      <c r="Q230" s="9">
        <v>45372</v>
      </c>
      <c r="R230" t="s">
        <v>44</v>
      </c>
      <c r="S230" t="s">
        <v>45</v>
      </c>
      <c r="T230" t="s">
        <v>46</v>
      </c>
      <c r="U230" t="s">
        <v>54</v>
      </c>
      <c r="V230" t="s">
        <v>786</v>
      </c>
      <c r="W230">
        <v>55100</v>
      </c>
      <c r="X230" t="s">
        <v>45</v>
      </c>
      <c r="Y230" t="s">
        <v>79</v>
      </c>
      <c r="Z230" t="s">
        <v>50</v>
      </c>
      <c r="AA230" s="10">
        <f>IF(O230&lt;=1,7,7+0.8*ROUNDUP(O230-1,0))</f>
        <v>7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10"/>
        <v>0.42</v>
      </c>
      <c r="AG230" s="11">
        <f t="shared" si="11"/>
        <v>7.42</v>
      </c>
      <c r="AH230" t="s">
        <v>51</v>
      </c>
    </row>
    <row r="231" spans="1:34" ht="15" customHeight="1" x14ac:dyDescent="0.35">
      <c r="A231">
        <v>7547676</v>
      </c>
      <c r="B231">
        <v>690929</v>
      </c>
      <c r="C231" t="s">
        <v>34</v>
      </c>
      <c r="D231" t="s">
        <v>35</v>
      </c>
      <c r="E231" s="6" t="s">
        <v>34</v>
      </c>
      <c r="F231" t="s">
        <v>787</v>
      </c>
      <c r="G231" t="s">
        <v>37</v>
      </c>
      <c r="H231" t="s">
        <v>38</v>
      </c>
      <c r="I231" t="s">
        <v>788</v>
      </c>
      <c r="J231" t="s">
        <v>40</v>
      </c>
      <c r="K231">
        <v>2</v>
      </c>
      <c r="L231" t="s">
        <v>41</v>
      </c>
      <c r="M231" t="s">
        <v>42</v>
      </c>
      <c r="N231" t="s">
        <v>43</v>
      </c>
      <c r="O231" s="7">
        <v>2</v>
      </c>
      <c r="P231" s="8">
        <v>45371.560115740744</v>
      </c>
      <c r="Q231" s="9">
        <v>45372</v>
      </c>
      <c r="R231" t="s">
        <v>789</v>
      </c>
      <c r="S231" t="s">
        <v>45</v>
      </c>
      <c r="T231" t="s">
        <v>46</v>
      </c>
      <c r="U231" t="s">
        <v>54</v>
      </c>
      <c r="V231" t="s">
        <v>790</v>
      </c>
      <c r="W231">
        <v>43800</v>
      </c>
      <c r="X231" t="s">
        <v>45</v>
      </c>
      <c r="Y231" t="s">
        <v>347</v>
      </c>
      <c r="Z231" t="s">
        <v>50</v>
      </c>
      <c r="AA231" s="10">
        <f>IF(O231&lt;=1,7,7+0.8*ROUNDUP(O231-1,0))</f>
        <v>7.8</v>
      </c>
      <c r="AB231" s="11">
        <v>0</v>
      </c>
      <c r="AC231" s="11">
        <v>0</v>
      </c>
      <c r="AD231" s="11">
        <v>0</v>
      </c>
      <c r="AE231" s="11">
        <v>0</v>
      </c>
      <c r="AF231" s="11">
        <f>(AA231+AC231+AE231)*6%</f>
        <v>0.46799999999999997</v>
      </c>
      <c r="AG231" s="11">
        <f>AA231+AC231+AE231+AF231</f>
        <v>8.2680000000000007</v>
      </c>
      <c r="AH231" t="s">
        <v>51</v>
      </c>
    </row>
    <row r="232" spans="1:34" ht="15" customHeight="1" x14ac:dyDescent="0.35">
      <c r="A232">
        <v>7547676</v>
      </c>
      <c r="B232">
        <v>690929</v>
      </c>
      <c r="C232" t="s">
        <v>34</v>
      </c>
      <c r="D232" t="s">
        <v>35</v>
      </c>
      <c r="E232" s="6" t="s">
        <v>34</v>
      </c>
      <c r="F232" t="s">
        <v>791</v>
      </c>
      <c r="G232" t="s">
        <v>37</v>
      </c>
      <c r="H232" t="s">
        <v>38</v>
      </c>
      <c r="I232" t="s">
        <v>792</v>
      </c>
      <c r="J232" t="s">
        <v>40</v>
      </c>
      <c r="K232">
        <v>2</v>
      </c>
      <c r="L232" t="s">
        <v>41</v>
      </c>
      <c r="M232" t="s">
        <v>42</v>
      </c>
      <c r="N232" t="s">
        <v>43</v>
      </c>
      <c r="O232" s="7">
        <v>2</v>
      </c>
      <c r="P232" s="8">
        <v>45370.627395833333</v>
      </c>
      <c r="Q232" s="9">
        <v>45372</v>
      </c>
      <c r="R232" t="s">
        <v>44</v>
      </c>
      <c r="S232" t="s">
        <v>45</v>
      </c>
      <c r="T232" t="s">
        <v>46</v>
      </c>
      <c r="U232" t="s">
        <v>278</v>
      </c>
      <c r="V232" t="s">
        <v>793</v>
      </c>
      <c r="W232">
        <v>12100</v>
      </c>
      <c r="X232" t="s">
        <v>45</v>
      </c>
      <c r="Y232" t="s">
        <v>305</v>
      </c>
      <c r="Z232" t="s">
        <v>50</v>
      </c>
      <c r="AA232" s="10">
        <f>IF(O232&lt;=1,7,7+0.8*ROUNDUP(O232-1,0))</f>
        <v>7.8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ref="AF232:AF295" si="12">(AA232+AC232+AE232)*6%</f>
        <v>0.46799999999999997</v>
      </c>
      <c r="AG232" s="11">
        <f t="shared" ref="AG232:AG295" si="13">AA232+AC232+AE232+AF232</f>
        <v>8.2680000000000007</v>
      </c>
      <c r="AH232" t="s">
        <v>51</v>
      </c>
    </row>
    <row r="233" spans="1:34" ht="15" customHeight="1" x14ac:dyDescent="0.35">
      <c r="A233">
        <v>7547676</v>
      </c>
      <c r="B233">
        <v>690929</v>
      </c>
      <c r="C233" t="s">
        <v>34</v>
      </c>
      <c r="D233" t="s">
        <v>35</v>
      </c>
      <c r="E233" s="6" t="s">
        <v>34</v>
      </c>
      <c r="F233" t="s">
        <v>794</v>
      </c>
      <c r="G233" t="s">
        <v>37</v>
      </c>
      <c r="H233" t="s">
        <v>38</v>
      </c>
      <c r="I233" t="s">
        <v>795</v>
      </c>
      <c r="J233" t="s">
        <v>40</v>
      </c>
      <c r="K233">
        <v>2</v>
      </c>
      <c r="L233" t="s">
        <v>41</v>
      </c>
      <c r="M233" t="s">
        <v>42</v>
      </c>
      <c r="N233" t="s">
        <v>43</v>
      </c>
      <c r="O233" s="7">
        <v>7</v>
      </c>
      <c r="P233" s="8">
        <v>45371.572430555556</v>
      </c>
      <c r="Q233" s="9">
        <v>45372</v>
      </c>
      <c r="R233" t="s">
        <v>44</v>
      </c>
      <c r="S233" t="s">
        <v>45</v>
      </c>
      <c r="T233" t="s">
        <v>46</v>
      </c>
      <c r="U233" t="s">
        <v>190</v>
      </c>
      <c r="V233" t="s">
        <v>796</v>
      </c>
      <c r="W233">
        <v>27100</v>
      </c>
      <c r="X233" t="s">
        <v>45</v>
      </c>
      <c r="Y233" t="s">
        <v>797</v>
      </c>
      <c r="Z233" t="s">
        <v>50</v>
      </c>
      <c r="AA233" s="10">
        <f>IF(O233&lt;=1,7,7+0.8*ROUNDUP(O233-1,0))</f>
        <v>11.8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12"/>
        <v>0.70799999999999996</v>
      </c>
      <c r="AG233" s="11">
        <f t="shared" si="13"/>
        <v>12.508000000000001</v>
      </c>
      <c r="AH233" t="s">
        <v>51</v>
      </c>
    </row>
    <row r="234" spans="1:34" ht="15" customHeight="1" x14ac:dyDescent="0.35">
      <c r="A234">
        <v>7547676</v>
      </c>
      <c r="B234">
        <v>690929</v>
      </c>
      <c r="C234" t="s">
        <v>34</v>
      </c>
      <c r="D234" t="s">
        <v>35</v>
      </c>
      <c r="E234" s="6" t="s">
        <v>34</v>
      </c>
      <c r="F234" t="s">
        <v>798</v>
      </c>
      <c r="G234" t="s">
        <v>37</v>
      </c>
      <c r="H234" t="s">
        <v>38</v>
      </c>
      <c r="I234" t="s">
        <v>799</v>
      </c>
      <c r="J234" t="s">
        <v>40</v>
      </c>
      <c r="K234">
        <v>2</v>
      </c>
      <c r="L234" t="s">
        <v>41</v>
      </c>
      <c r="M234" t="s">
        <v>42</v>
      </c>
      <c r="N234" t="s">
        <v>43</v>
      </c>
      <c r="O234" s="7">
        <v>1</v>
      </c>
      <c r="P234" s="8">
        <v>45371.683032407411</v>
      </c>
      <c r="Q234" s="9">
        <v>45372</v>
      </c>
      <c r="R234" t="s">
        <v>44</v>
      </c>
      <c r="S234" t="s">
        <v>45</v>
      </c>
      <c r="T234" t="s">
        <v>46</v>
      </c>
      <c r="U234" t="s">
        <v>47</v>
      </c>
      <c r="V234" t="s">
        <v>800</v>
      </c>
      <c r="W234">
        <v>23000</v>
      </c>
      <c r="X234" t="s">
        <v>45</v>
      </c>
      <c r="Y234" t="s">
        <v>49</v>
      </c>
      <c r="Z234" t="s">
        <v>50</v>
      </c>
      <c r="AA234" s="10">
        <f>IF(O234&lt;=1,7,7+0.8*ROUNDUP(O234-1,0))</f>
        <v>7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12"/>
        <v>0.42</v>
      </c>
      <c r="AG234" s="11">
        <f t="shared" si="13"/>
        <v>7.42</v>
      </c>
      <c r="AH234" t="s">
        <v>51</v>
      </c>
    </row>
    <row r="235" spans="1:34" ht="15" customHeight="1" x14ac:dyDescent="0.35">
      <c r="A235">
        <v>7547676</v>
      </c>
      <c r="B235">
        <v>690929</v>
      </c>
      <c r="C235" t="s">
        <v>34</v>
      </c>
      <c r="D235" t="s">
        <v>35</v>
      </c>
      <c r="E235" s="6" t="s">
        <v>34</v>
      </c>
      <c r="F235" t="s">
        <v>801</v>
      </c>
      <c r="G235" t="s">
        <v>37</v>
      </c>
      <c r="H235" t="s">
        <v>38</v>
      </c>
      <c r="I235" t="s">
        <v>802</v>
      </c>
      <c r="J235" t="s">
        <v>40</v>
      </c>
      <c r="K235">
        <v>2</v>
      </c>
      <c r="L235" t="s">
        <v>41</v>
      </c>
      <c r="M235" t="s">
        <v>42</v>
      </c>
      <c r="N235" t="s">
        <v>43</v>
      </c>
      <c r="O235" s="7">
        <v>1</v>
      </c>
      <c r="P235" s="8">
        <v>45370.662256944444</v>
      </c>
      <c r="Q235" s="9">
        <v>45372</v>
      </c>
      <c r="R235" t="s">
        <v>44</v>
      </c>
      <c r="S235" t="s">
        <v>45</v>
      </c>
      <c r="T235" t="s">
        <v>46</v>
      </c>
      <c r="U235" t="s">
        <v>67</v>
      </c>
      <c r="V235" t="s">
        <v>803</v>
      </c>
      <c r="W235">
        <v>56000</v>
      </c>
      <c r="X235" t="s">
        <v>45</v>
      </c>
      <c r="Y235" t="s">
        <v>804</v>
      </c>
      <c r="Z235" t="s">
        <v>50</v>
      </c>
      <c r="AA235" s="10">
        <f>IF(O235&lt;=1,7,7+0.8*ROUNDUP(O235-1,0))</f>
        <v>7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12"/>
        <v>0.42</v>
      </c>
      <c r="AG235" s="11">
        <f t="shared" si="13"/>
        <v>7.42</v>
      </c>
      <c r="AH235" t="s">
        <v>51</v>
      </c>
    </row>
    <row r="236" spans="1:34" ht="15" customHeight="1" x14ac:dyDescent="0.35">
      <c r="A236">
        <v>7547676</v>
      </c>
      <c r="B236">
        <v>690929</v>
      </c>
      <c r="C236" t="s">
        <v>34</v>
      </c>
      <c r="D236" t="s">
        <v>35</v>
      </c>
      <c r="E236" s="6" t="s">
        <v>34</v>
      </c>
      <c r="F236" t="s">
        <v>805</v>
      </c>
      <c r="G236" t="s">
        <v>37</v>
      </c>
      <c r="H236" t="s">
        <v>38</v>
      </c>
      <c r="I236" t="s">
        <v>806</v>
      </c>
      <c r="J236" t="s">
        <v>40</v>
      </c>
      <c r="K236">
        <v>2</v>
      </c>
      <c r="L236" t="s">
        <v>41</v>
      </c>
      <c r="M236" t="s">
        <v>42</v>
      </c>
      <c r="N236" t="s">
        <v>43</v>
      </c>
      <c r="O236" s="7">
        <v>1</v>
      </c>
      <c r="P236" s="8">
        <v>45370.627395833333</v>
      </c>
      <c r="Q236" s="9">
        <v>45372</v>
      </c>
      <c r="R236" t="s">
        <v>44</v>
      </c>
      <c r="S236" t="s">
        <v>45</v>
      </c>
      <c r="T236" t="s">
        <v>46</v>
      </c>
      <c r="U236" t="s">
        <v>54</v>
      </c>
      <c r="V236" t="s">
        <v>807</v>
      </c>
      <c r="W236">
        <v>40100</v>
      </c>
      <c r="X236" t="s">
        <v>45</v>
      </c>
      <c r="Y236" t="s">
        <v>56</v>
      </c>
      <c r="Z236" t="s">
        <v>50</v>
      </c>
      <c r="AA236" s="10">
        <f>IF(O236&lt;=1,7,7+0.8*ROUNDUP(O236-1,0))</f>
        <v>7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12"/>
        <v>0.42</v>
      </c>
      <c r="AG236" s="11">
        <f t="shared" si="13"/>
        <v>7.42</v>
      </c>
      <c r="AH236" t="s">
        <v>51</v>
      </c>
    </row>
    <row r="237" spans="1:34" ht="15" customHeight="1" x14ac:dyDescent="0.35">
      <c r="A237">
        <v>7547676</v>
      </c>
      <c r="B237">
        <v>690929</v>
      </c>
      <c r="C237" t="s">
        <v>34</v>
      </c>
      <c r="D237" t="s">
        <v>35</v>
      </c>
      <c r="E237" s="6" t="s">
        <v>34</v>
      </c>
      <c r="F237" t="s">
        <v>808</v>
      </c>
      <c r="G237" t="s">
        <v>37</v>
      </c>
      <c r="H237" t="s">
        <v>38</v>
      </c>
      <c r="I237" t="s">
        <v>809</v>
      </c>
      <c r="J237" t="s">
        <v>40</v>
      </c>
      <c r="K237">
        <v>2</v>
      </c>
      <c r="L237" t="s">
        <v>41</v>
      </c>
      <c r="M237" t="s">
        <v>42</v>
      </c>
      <c r="N237" t="s">
        <v>43</v>
      </c>
      <c r="O237" s="7">
        <v>1</v>
      </c>
      <c r="P237" s="8">
        <v>45370.5624537037</v>
      </c>
      <c r="Q237" s="9">
        <v>45372</v>
      </c>
      <c r="R237" t="s">
        <v>44</v>
      </c>
      <c r="S237" t="s">
        <v>45</v>
      </c>
      <c r="T237" t="s">
        <v>46</v>
      </c>
      <c r="U237" t="s">
        <v>54</v>
      </c>
      <c r="V237" t="s">
        <v>810</v>
      </c>
      <c r="W237">
        <v>43300</v>
      </c>
      <c r="X237" t="s">
        <v>45</v>
      </c>
      <c r="Y237" t="s">
        <v>284</v>
      </c>
      <c r="Z237" t="s">
        <v>50</v>
      </c>
      <c r="AA237" s="10">
        <f>IF(O237&lt;=1,7,7+0.8*ROUNDUP(O237-1,0))</f>
        <v>7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12"/>
        <v>0.42</v>
      </c>
      <c r="AG237" s="11">
        <f t="shared" si="13"/>
        <v>7.42</v>
      </c>
      <c r="AH237" t="s">
        <v>51</v>
      </c>
    </row>
    <row r="238" spans="1:34" ht="15" customHeight="1" x14ac:dyDescent="0.35">
      <c r="A238">
        <v>7547676</v>
      </c>
      <c r="B238">
        <v>690929</v>
      </c>
      <c r="C238" t="s">
        <v>34</v>
      </c>
      <c r="D238" t="s">
        <v>35</v>
      </c>
      <c r="E238" s="6" t="s">
        <v>34</v>
      </c>
      <c r="F238" t="s">
        <v>811</v>
      </c>
      <c r="G238" t="s">
        <v>37</v>
      </c>
      <c r="H238" t="s">
        <v>38</v>
      </c>
      <c r="I238" t="s">
        <v>812</v>
      </c>
      <c r="J238" t="s">
        <v>40</v>
      </c>
      <c r="K238">
        <v>2</v>
      </c>
      <c r="L238" t="s">
        <v>41</v>
      </c>
      <c r="M238" t="s">
        <v>42</v>
      </c>
      <c r="N238" t="s">
        <v>43</v>
      </c>
      <c r="O238" s="7">
        <v>2</v>
      </c>
      <c r="P238" s="8">
        <v>45370.519571759258</v>
      </c>
      <c r="Q238" s="9">
        <v>45372</v>
      </c>
      <c r="R238" t="s">
        <v>44</v>
      </c>
      <c r="S238" t="s">
        <v>45</v>
      </c>
      <c r="T238" t="s">
        <v>46</v>
      </c>
      <c r="U238" t="s">
        <v>67</v>
      </c>
      <c r="V238" t="s">
        <v>813</v>
      </c>
      <c r="W238">
        <v>59200</v>
      </c>
      <c r="X238" t="s">
        <v>45</v>
      </c>
      <c r="Y238" t="s">
        <v>452</v>
      </c>
      <c r="Z238" t="s">
        <v>50</v>
      </c>
      <c r="AA238" s="10">
        <f>IF(O238&lt;=1,7,7+0.8*ROUNDUP(O238-1,0))</f>
        <v>7.8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12"/>
        <v>0.46799999999999997</v>
      </c>
      <c r="AG238" s="11">
        <f t="shared" si="13"/>
        <v>8.2680000000000007</v>
      </c>
      <c r="AH238" t="s">
        <v>51</v>
      </c>
    </row>
    <row r="239" spans="1:34" ht="15" customHeight="1" x14ac:dyDescent="0.35">
      <c r="A239">
        <v>7547676</v>
      </c>
      <c r="B239">
        <v>690929</v>
      </c>
      <c r="C239" t="s">
        <v>34</v>
      </c>
      <c r="D239" t="s">
        <v>35</v>
      </c>
      <c r="E239" s="6" t="s">
        <v>34</v>
      </c>
      <c r="F239" t="s">
        <v>814</v>
      </c>
      <c r="G239" t="s">
        <v>37</v>
      </c>
      <c r="H239" t="s">
        <v>38</v>
      </c>
      <c r="I239" t="s">
        <v>815</v>
      </c>
      <c r="J239" t="s">
        <v>40</v>
      </c>
      <c r="K239">
        <v>2</v>
      </c>
      <c r="L239" t="s">
        <v>41</v>
      </c>
      <c r="M239" t="s">
        <v>42</v>
      </c>
      <c r="N239" t="s">
        <v>43</v>
      </c>
      <c r="O239" s="7">
        <v>2</v>
      </c>
      <c r="P239" s="8">
        <v>45363.668854166666</v>
      </c>
      <c r="Q239" s="9">
        <v>45372</v>
      </c>
      <c r="R239" t="s">
        <v>44</v>
      </c>
      <c r="S239" t="s">
        <v>45</v>
      </c>
      <c r="T239" t="s">
        <v>46</v>
      </c>
      <c r="U239" t="s">
        <v>112</v>
      </c>
      <c r="V239" t="s">
        <v>816</v>
      </c>
      <c r="W239">
        <v>91150</v>
      </c>
      <c r="X239" t="s">
        <v>114</v>
      </c>
      <c r="Y239" t="s">
        <v>79</v>
      </c>
      <c r="Z239" t="s">
        <v>50</v>
      </c>
      <c r="AA239" s="12">
        <f>IF(O239&lt;=1,13,IF(O239&lt;=2,23,IF(O239&lt;=3,35,IF(O239&lt;=4,43,IF(O239&lt;=5,53,IF(O239&lt;=6,63,IF(O239&lt;=7,71,IF(O239&lt;=8,79,IF(O239&lt;=9,87,IF(O239&lt;=10,95,IF(O239&lt;=11,105,IF(O239&lt;=12,114,IF(O239&lt;=13,119,IF(O239&lt;=14,127,IF(O239&lt;=15,135,IF(O239&lt;=16,143,IF(O239&lt;=17,153,IF(O239&lt;=18,163,IF(O239&lt;=19,171,IF(O239&lt;=20,185,IF(O239&lt;=21,193,IF(O239&lt;=22,201,IF(O239&lt;=23,210,IF(O239&lt;=24,220,IF(O239&lt;=25,230,IF(O239&lt;=26,240,IF(O239&lt;=27,250,IF(O239&lt;=28,260,IF(O239&lt;=29,270,IF(O239&lt;=30,280,280+10*ROUNDUP(O239-30,0)))))))))))))))))))))))))))))))</f>
        <v>23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12"/>
        <v>1.38</v>
      </c>
      <c r="AG239" s="11">
        <f t="shared" si="13"/>
        <v>24.38</v>
      </c>
      <c r="AH239" t="s">
        <v>116</v>
      </c>
    </row>
    <row r="240" spans="1:34" ht="15" customHeight="1" x14ac:dyDescent="0.35">
      <c r="A240">
        <v>7547676</v>
      </c>
      <c r="B240">
        <v>690929</v>
      </c>
      <c r="C240" t="s">
        <v>34</v>
      </c>
      <c r="D240" t="s">
        <v>35</v>
      </c>
      <c r="E240" s="6" t="s">
        <v>34</v>
      </c>
      <c r="F240" t="s">
        <v>817</v>
      </c>
      <c r="G240" t="s">
        <v>37</v>
      </c>
      <c r="H240" t="s">
        <v>38</v>
      </c>
      <c r="I240" t="s">
        <v>818</v>
      </c>
      <c r="J240" t="s">
        <v>40</v>
      </c>
      <c r="K240">
        <v>2</v>
      </c>
      <c r="L240" t="s">
        <v>41</v>
      </c>
      <c r="M240" t="s">
        <v>42</v>
      </c>
      <c r="N240" t="s">
        <v>43</v>
      </c>
      <c r="O240" s="7">
        <v>1</v>
      </c>
      <c r="P240" s="8">
        <v>45371.560127314813</v>
      </c>
      <c r="Q240" s="9">
        <v>45372</v>
      </c>
      <c r="R240" t="s">
        <v>789</v>
      </c>
      <c r="S240" t="s">
        <v>45</v>
      </c>
      <c r="T240" t="s">
        <v>46</v>
      </c>
      <c r="U240" t="s">
        <v>54</v>
      </c>
      <c r="V240" t="s">
        <v>819</v>
      </c>
      <c r="W240">
        <v>43900</v>
      </c>
      <c r="X240" t="s">
        <v>45</v>
      </c>
      <c r="Y240" t="s">
        <v>347</v>
      </c>
      <c r="Z240" t="s">
        <v>50</v>
      </c>
      <c r="AA240" s="10">
        <f>IF(O240&lt;=1,7,7+0.8*ROUNDUP(O240-1,0))</f>
        <v>7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12"/>
        <v>0.42</v>
      </c>
      <c r="AG240" s="11">
        <f t="shared" si="13"/>
        <v>7.42</v>
      </c>
      <c r="AH240" t="s">
        <v>51</v>
      </c>
    </row>
    <row r="241" spans="1:34" ht="15" customHeight="1" x14ac:dyDescent="0.35">
      <c r="A241">
        <v>7547676</v>
      </c>
      <c r="B241">
        <v>690929</v>
      </c>
      <c r="C241" t="s">
        <v>34</v>
      </c>
      <c r="D241" t="s">
        <v>35</v>
      </c>
      <c r="E241" s="6" t="s">
        <v>34</v>
      </c>
      <c r="F241" t="s">
        <v>820</v>
      </c>
      <c r="G241" t="s">
        <v>37</v>
      </c>
      <c r="H241" t="s">
        <v>38</v>
      </c>
      <c r="I241" t="s">
        <v>642</v>
      </c>
      <c r="J241" t="s">
        <v>40</v>
      </c>
      <c r="K241">
        <v>2</v>
      </c>
      <c r="L241" t="s">
        <v>41</v>
      </c>
      <c r="M241" t="s">
        <v>42</v>
      </c>
      <c r="N241" t="s">
        <v>43</v>
      </c>
      <c r="O241" s="7">
        <v>6</v>
      </c>
      <c r="P241" s="8">
        <v>45368.704259259262</v>
      </c>
      <c r="Q241" s="9">
        <v>45372</v>
      </c>
      <c r="R241" t="s">
        <v>44</v>
      </c>
      <c r="S241" t="s">
        <v>45</v>
      </c>
      <c r="T241" t="s">
        <v>46</v>
      </c>
      <c r="U241" t="s">
        <v>54</v>
      </c>
      <c r="V241" t="s">
        <v>643</v>
      </c>
      <c r="W241">
        <v>42700</v>
      </c>
      <c r="X241" t="s">
        <v>45</v>
      </c>
      <c r="Y241" t="s">
        <v>347</v>
      </c>
      <c r="Z241" t="s">
        <v>50</v>
      </c>
      <c r="AA241" s="10">
        <f>IF(O241&lt;=1,7,7+0.8*ROUNDUP(O241-1,0))</f>
        <v>11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12"/>
        <v>0.65999999999999992</v>
      </c>
      <c r="AG241" s="11">
        <f t="shared" si="13"/>
        <v>11.66</v>
      </c>
      <c r="AH241" t="s">
        <v>51</v>
      </c>
    </row>
    <row r="242" spans="1:34" ht="15" customHeight="1" x14ac:dyDescent="0.35">
      <c r="A242">
        <v>7547676</v>
      </c>
      <c r="B242">
        <v>690929</v>
      </c>
      <c r="C242" t="s">
        <v>34</v>
      </c>
      <c r="D242" t="s">
        <v>35</v>
      </c>
      <c r="E242" s="6" t="s">
        <v>34</v>
      </c>
      <c r="F242" t="s">
        <v>821</v>
      </c>
      <c r="G242" t="s">
        <v>37</v>
      </c>
      <c r="H242" t="s">
        <v>38</v>
      </c>
      <c r="I242" t="s">
        <v>822</v>
      </c>
      <c r="J242" t="s">
        <v>40</v>
      </c>
      <c r="K242">
        <v>2</v>
      </c>
      <c r="L242" t="s">
        <v>41</v>
      </c>
      <c r="M242" t="s">
        <v>42</v>
      </c>
      <c r="N242" t="s">
        <v>43</v>
      </c>
      <c r="O242" s="7">
        <v>1</v>
      </c>
      <c r="P242" s="8">
        <v>45371.636874999997</v>
      </c>
      <c r="Q242" s="9">
        <v>45372</v>
      </c>
      <c r="R242" t="s">
        <v>789</v>
      </c>
      <c r="S242" t="s">
        <v>45</v>
      </c>
      <c r="T242" t="s">
        <v>46</v>
      </c>
      <c r="U242" t="s">
        <v>54</v>
      </c>
      <c r="V242" t="s">
        <v>823</v>
      </c>
      <c r="W242">
        <v>47000</v>
      </c>
      <c r="X242" t="s">
        <v>45</v>
      </c>
      <c r="Y242" t="s">
        <v>144</v>
      </c>
      <c r="Z242" t="s">
        <v>50</v>
      </c>
      <c r="AA242" s="10">
        <f>IF(O242&lt;=1,7,7+0.8*ROUNDUP(O242-1,0))</f>
        <v>7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12"/>
        <v>0.42</v>
      </c>
      <c r="AG242" s="11">
        <f t="shared" si="13"/>
        <v>7.42</v>
      </c>
      <c r="AH242" t="s">
        <v>51</v>
      </c>
    </row>
    <row r="243" spans="1:34" ht="15" customHeight="1" x14ac:dyDescent="0.35">
      <c r="A243">
        <v>7547676</v>
      </c>
      <c r="B243">
        <v>690929</v>
      </c>
      <c r="C243" t="s">
        <v>34</v>
      </c>
      <c r="D243" t="s">
        <v>35</v>
      </c>
      <c r="E243" s="6" t="s">
        <v>34</v>
      </c>
      <c r="F243" t="s">
        <v>824</v>
      </c>
      <c r="G243" t="s">
        <v>37</v>
      </c>
      <c r="H243" t="s">
        <v>38</v>
      </c>
      <c r="I243" t="s">
        <v>825</v>
      </c>
      <c r="J243" t="s">
        <v>40</v>
      </c>
      <c r="K243">
        <v>2</v>
      </c>
      <c r="L243" t="s">
        <v>41</v>
      </c>
      <c r="M243" t="s">
        <v>42</v>
      </c>
      <c r="N243" t="s">
        <v>43</v>
      </c>
      <c r="O243" s="7">
        <v>1</v>
      </c>
      <c r="P243" s="8">
        <v>45368.418356481481</v>
      </c>
      <c r="Q243" s="9">
        <v>45372</v>
      </c>
      <c r="R243" t="s">
        <v>44</v>
      </c>
      <c r="S243" t="s">
        <v>45</v>
      </c>
      <c r="T243" t="s">
        <v>46</v>
      </c>
      <c r="U243" t="s">
        <v>130</v>
      </c>
      <c r="V243" t="s">
        <v>826</v>
      </c>
      <c r="W243">
        <v>93050</v>
      </c>
      <c r="X243" t="s">
        <v>114</v>
      </c>
      <c r="Y243" t="s">
        <v>79</v>
      </c>
      <c r="Z243" t="s">
        <v>50</v>
      </c>
      <c r="AA243" s="12">
        <f>IF(O243&lt;=1,13,IF(O243&lt;=2,23,IF(O243&lt;=3,35,IF(O243&lt;=4,43,IF(O243&lt;=5,53,IF(O243&lt;=6,63,IF(O243&lt;=7,71,IF(O243&lt;=8,79,IF(O243&lt;=9,87,IF(O243&lt;=10,95,IF(O243&lt;=11,105,IF(O243&lt;=12,114,IF(O243&lt;=13,119,IF(O243&lt;=14,127,IF(O243&lt;=15,135,IF(O243&lt;=16,143,IF(O243&lt;=17,153,IF(O243&lt;=18,163,IF(O243&lt;=19,171,IF(O243&lt;=20,185,IF(O243&lt;=21,193,IF(O243&lt;=22,201,IF(O243&lt;=23,210,IF(O243&lt;=24,220,IF(O243&lt;=25,230,IF(O243&lt;=26,240,IF(O243&lt;=27,250,IF(O243&lt;=28,260,IF(O243&lt;=29,270,IF(O243&lt;=30,280,280+10*ROUNDUP(O243-30,0)))))))))))))))))))))))))))))))</f>
        <v>13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12"/>
        <v>0.78</v>
      </c>
      <c r="AG243" s="11">
        <f t="shared" si="13"/>
        <v>13.78</v>
      </c>
      <c r="AH243" t="s">
        <v>116</v>
      </c>
    </row>
    <row r="244" spans="1:34" ht="15" customHeight="1" x14ac:dyDescent="0.35">
      <c r="A244">
        <v>7547676</v>
      </c>
      <c r="B244">
        <v>690929</v>
      </c>
      <c r="C244" t="s">
        <v>34</v>
      </c>
      <c r="D244" t="s">
        <v>35</v>
      </c>
      <c r="E244" s="6" t="s">
        <v>34</v>
      </c>
      <c r="F244" t="s">
        <v>827</v>
      </c>
      <c r="G244" t="s">
        <v>37</v>
      </c>
      <c r="H244" t="s">
        <v>38</v>
      </c>
      <c r="I244" t="s">
        <v>828</v>
      </c>
      <c r="J244" t="s">
        <v>40</v>
      </c>
      <c r="K244">
        <v>2</v>
      </c>
      <c r="L244" t="s">
        <v>41</v>
      </c>
      <c r="M244" t="s">
        <v>42</v>
      </c>
      <c r="N244" t="s">
        <v>43</v>
      </c>
      <c r="O244" s="7">
        <v>1</v>
      </c>
      <c r="P244" s="8">
        <v>45370.532060185185</v>
      </c>
      <c r="Q244" s="9">
        <v>45372</v>
      </c>
      <c r="R244" t="s">
        <v>44</v>
      </c>
      <c r="S244" t="s">
        <v>45</v>
      </c>
      <c r="T244" t="s">
        <v>46</v>
      </c>
      <c r="U244" t="s">
        <v>54</v>
      </c>
      <c r="V244" t="s">
        <v>829</v>
      </c>
      <c r="W244">
        <v>43300</v>
      </c>
      <c r="X244" t="s">
        <v>45</v>
      </c>
      <c r="Y244" t="s">
        <v>60</v>
      </c>
      <c r="Z244" t="s">
        <v>50</v>
      </c>
      <c r="AA244" s="10">
        <f>IF(O244&lt;=1,7,7+0.8*ROUNDUP(O244-1,0))</f>
        <v>7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12"/>
        <v>0.42</v>
      </c>
      <c r="AG244" s="11">
        <f t="shared" si="13"/>
        <v>7.42</v>
      </c>
      <c r="AH244" t="s">
        <v>51</v>
      </c>
    </row>
    <row r="245" spans="1:34" ht="15" customHeight="1" x14ac:dyDescent="0.35">
      <c r="A245">
        <v>7547676</v>
      </c>
      <c r="B245">
        <v>690929</v>
      </c>
      <c r="C245" t="s">
        <v>34</v>
      </c>
      <c r="D245" t="s">
        <v>35</v>
      </c>
      <c r="E245" s="6" t="s">
        <v>34</v>
      </c>
      <c r="F245" t="s">
        <v>830</v>
      </c>
      <c r="G245" t="s">
        <v>37</v>
      </c>
      <c r="H245" t="s">
        <v>38</v>
      </c>
      <c r="I245" t="s">
        <v>237</v>
      </c>
      <c r="J245" t="s">
        <v>40</v>
      </c>
      <c r="K245">
        <v>2</v>
      </c>
      <c r="L245" t="s">
        <v>41</v>
      </c>
      <c r="M245" t="s">
        <v>42</v>
      </c>
      <c r="N245" t="s">
        <v>43</v>
      </c>
      <c r="O245" s="7">
        <v>2</v>
      </c>
      <c r="P245" s="8">
        <v>45367.702708333331</v>
      </c>
      <c r="Q245" s="9">
        <v>45373</v>
      </c>
      <c r="R245" t="s">
        <v>44</v>
      </c>
      <c r="S245" t="s">
        <v>45</v>
      </c>
      <c r="T245" t="s">
        <v>46</v>
      </c>
      <c r="U245" t="s">
        <v>238</v>
      </c>
      <c r="V245" t="s">
        <v>831</v>
      </c>
      <c r="W245">
        <v>87020</v>
      </c>
      <c r="X245" t="s">
        <v>114</v>
      </c>
      <c r="Y245" t="s">
        <v>79</v>
      </c>
      <c r="Z245" t="s">
        <v>50</v>
      </c>
      <c r="AA245" s="12">
        <f>IF(O245&lt;=1,13,IF(O245&lt;=2,23,IF(O245&lt;=3,35,IF(O245&lt;=4,43,IF(O245&lt;=5,53,IF(O245&lt;=6,63,IF(O245&lt;=7,71,IF(O245&lt;=8,79,IF(O245&lt;=9,87,IF(O245&lt;=10,95,IF(O245&lt;=11,105,IF(O245&lt;=12,114,IF(O245&lt;=13,119,IF(O245&lt;=14,127,IF(O245&lt;=15,135,IF(O245&lt;=16,143,IF(O245&lt;=17,153,IF(O245&lt;=18,163,IF(O245&lt;=19,171,IF(O245&lt;=20,185,IF(O245&lt;=21,193,IF(O245&lt;=22,201,IF(O245&lt;=23,210,IF(O245&lt;=24,220,IF(O245&lt;=25,230,IF(O245&lt;=26,240,IF(O245&lt;=27,250,IF(O245&lt;=28,260,IF(O245&lt;=29,270,IF(O245&lt;=30,280,280+10*ROUNDUP(O245-30,0)))))))))))))))))))))))))))))))</f>
        <v>23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12"/>
        <v>1.38</v>
      </c>
      <c r="AG245" s="11">
        <f t="shared" si="13"/>
        <v>24.38</v>
      </c>
      <c r="AH245" t="s">
        <v>116</v>
      </c>
    </row>
    <row r="246" spans="1:34" ht="15" customHeight="1" x14ac:dyDescent="0.35">
      <c r="A246">
        <v>7547676</v>
      </c>
      <c r="B246">
        <v>690929</v>
      </c>
      <c r="C246" t="s">
        <v>34</v>
      </c>
      <c r="D246" t="s">
        <v>35</v>
      </c>
      <c r="E246" s="6" t="s">
        <v>34</v>
      </c>
      <c r="F246" t="s">
        <v>832</v>
      </c>
      <c r="G246" t="s">
        <v>37</v>
      </c>
      <c r="H246" t="s">
        <v>38</v>
      </c>
      <c r="I246" t="s">
        <v>833</v>
      </c>
      <c r="J246" t="s">
        <v>40</v>
      </c>
      <c r="K246">
        <v>2</v>
      </c>
      <c r="L246" t="s">
        <v>41</v>
      </c>
      <c r="M246" t="s">
        <v>42</v>
      </c>
      <c r="N246" t="s">
        <v>43</v>
      </c>
      <c r="O246" s="7">
        <v>5</v>
      </c>
      <c r="P246" s="8">
        <v>45370.627395833333</v>
      </c>
      <c r="Q246" s="9">
        <v>45372</v>
      </c>
      <c r="R246" t="s">
        <v>44</v>
      </c>
      <c r="S246" t="s">
        <v>45</v>
      </c>
      <c r="T246" t="s">
        <v>46</v>
      </c>
      <c r="U246" t="s">
        <v>278</v>
      </c>
      <c r="V246" t="s">
        <v>834</v>
      </c>
      <c r="W246">
        <v>11500</v>
      </c>
      <c r="X246" t="s">
        <v>45</v>
      </c>
      <c r="Y246" t="s">
        <v>79</v>
      </c>
      <c r="Z246" t="s">
        <v>50</v>
      </c>
      <c r="AA246" s="10">
        <f>IF(O246&lt;=1,7,7+0.8*ROUNDUP(O246-1,0))</f>
        <v>10.199999999999999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12"/>
        <v>0.61199999999999999</v>
      </c>
      <c r="AG246" s="11">
        <f t="shared" si="13"/>
        <v>10.811999999999999</v>
      </c>
      <c r="AH246" t="s">
        <v>51</v>
      </c>
    </row>
    <row r="247" spans="1:34" ht="15" customHeight="1" x14ac:dyDescent="0.35">
      <c r="A247">
        <v>7547676</v>
      </c>
      <c r="B247">
        <v>690929</v>
      </c>
      <c r="C247" t="s">
        <v>34</v>
      </c>
      <c r="D247" t="s">
        <v>35</v>
      </c>
      <c r="E247" s="6" t="s">
        <v>34</v>
      </c>
      <c r="F247" t="s">
        <v>835</v>
      </c>
      <c r="G247" t="s">
        <v>37</v>
      </c>
      <c r="H247" t="s">
        <v>38</v>
      </c>
      <c r="I247" t="s">
        <v>836</v>
      </c>
      <c r="J247" t="s">
        <v>40</v>
      </c>
      <c r="K247">
        <v>2</v>
      </c>
      <c r="L247" t="s">
        <v>41</v>
      </c>
      <c r="M247" t="s">
        <v>42</v>
      </c>
      <c r="N247" t="s">
        <v>43</v>
      </c>
      <c r="O247" s="7">
        <v>1</v>
      </c>
      <c r="P247" s="8">
        <v>45370.627395833333</v>
      </c>
      <c r="Q247" s="9">
        <v>45372</v>
      </c>
      <c r="R247" t="s">
        <v>44</v>
      </c>
      <c r="S247" t="s">
        <v>45</v>
      </c>
      <c r="T247" t="s">
        <v>46</v>
      </c>
      <c r="U247" t="s">
        <v>82</v>
      </c>
      <c r="V247" t="s">
        <v>837</v>
      </c>
      <c r="W247">
        <v>83010</v>
      </c>
      <c r="X247" t="s">
        <v>45</v>
      </c>
      <c r="Y247" t="s">
        <v>321</v>
      </c>
      <c r="Z247" t="s">
        <v>50</v>
      </c>
      <c r="AA247" s="10">
        <f>IF(O247&lt;=1,7,7+0.8*ROUNDUP(O247-1,0))</f>
        <v>7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12"/>
        <v>0.42</v>
      </c>
      <c r="AG247" s="11">
        <f t="shared" si="13"/>
        <v>7.42</v>
      </c>
      <c r="AH247" t="s">
        <v>51</v>
      </c>
    </row>
    <row r="248" spans="1:34" ht="15" customHeight="1" x14ac:dyDescent="0.35">
      <c r="A248">
        <v>7547676</v>
      </c>
      <c r="B248">
        <v>690929</v>
      </c>
      <c r="C248" t="s">
        <v>34</v>
      </c>
      <c r="D248" t="s">
        <v>35</v>
      </c>
      <c r="E248" s="6" t="s">
        <v>34</v>
      </c>
      <c r="F248" t="s">
        <v>838</v>
      </c>
      <c r="G248" t="s">
        <v>37</v>
      </c>
      <c r="H248" t="s">
        <v>38</v>
      </c>
      <c r="I248" t="s">
        <v>839</v>
      </c>
      <c r="J248" t="s">
        <v>40</v>
      </c>
      <c r="K248">
        <v>2</v>
      </c>
      <c r="L248" t="s">
        <v>41</v>
      </c>
      <c r="M248" t="s">
        <v>42</v>
      </c>
      <c r="N248" t="s">
        <v>43</v>
      </c>
      <c r="O248" s="7">
        <v>1</v>
      </c>
      <c r="P248" s="8">
        <v>45371.466226851851</v>
      </c>
      <c r="Q248" s="9">
        <v>45372</v>
      </c>
      <c r="R248" t="s">
        <v>789</v>
      </c>
      <c r="S248" t="s">
        <v>45</v>
      </c>
      <c r="T248" t="s">
        <v>46</v>
      </c>
      <c r="U248" t="s">
        <v>54</v>
      </c>
      <c r="V248" t="s">
        <v>840</v>
      </c>
      <c r="W248">
        <v>41050</v>
      </c>
      <c r="X248" t="s">
        <v>45</v>
      </c>
      <c r="Y248" t="s">
        <v>250</v>
      </c>
      <c r="Z248" t="s">
        <v>50</v>
      </c>
      <c r="AA248" s="10">
        <f>IF(O248&lt;=1,7,7+0.8*ROUNDUP(O248-1,0))</f>
        <v>7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12"/>
        <v>0.42</v>
      </c>
      <c r="AG248" s="11">
        <f t="shared" si="13"/>
        <v>7.42</v>
      </c>
      <c r="AH248" t="s">
        <v>51</v>
      </c>
    </row>
    <row r="249" spans="1:34" ht="15" customHeight="1" x14ac:dyDescent="0.35">
      <c r="A249">
        <v>7547676</v>
      </c>
      <c r="B249">
        <v>690929</v>
      </c>
      <c r="C249" t="s">
        <v>34</v>
      </c>
      <c r="D249" t="s">
        <v>35</v>
      </c>
      <c r="E249" s="6" t="s">
        <v>34</v>
      </c>
      <c r="F249" t="s">
        <v>841</v>
      </c>
      <c r="G249" t="s">
        <v>37</v>
      </c>
      <c r="H249" t="s">
        <v>38</v>
      </c>
      <c r="I249" t="s">
        <v>502</v>
      </c>
      <c r="J249" t="s">
        <v>40</v>
      </c>
      <c r="K249">
        <v>2</v>
      </c>
      <c r="L249" t="s">
        <v>41</v>
      </c>
      <c r="M249" t="s">
        <v>42</v>
      </c>
      <c r="N249" t="s">
        <v>43</v>
      </c>
      <c r="O249" s="7">
        <v>16</v>
      </c>
      <c r="P249" s="8">
        <v>45371.656793981485</v>
      </c>
      <c r="Q249" s="9">
        <v>45373</v>
      </c>
      <c r="R249" t="s">
        <v>44</v>
      </c>
      <c r="S249" t="s">
        <v>45</v>
      </c>
      <c r="T249" t="s">
        <v>46</v>
      </c>
      <c r="U249" t="s">
        <v>82</v>
      </c>
      <c r="V249" t="s">
        <v>503</v>
      </c>
      <c r="W249">
        <v>81200</v>
      </c>
      <c r="X249" t="s">
        <v>45</v>
      </c>
      <c r="Y249" t="s">
        <v>504</v>
      </c>
      <c r="Z249" t="s">
        <v>50</v>
      </c>
      <c r="AA249" s="10">
        <f>IF(O249&lt;=1,7,7+0.8*ROUNDUP(O249-1,0))</f>
        <v>19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12"/>
        <v>1.1399999999999999</v>
      </c>
      <c r="AG249" s="11">
        <f t="shared" si="13"/>
        <v>20.14</v>
      </c>
      <c r="AH249" t="s">
        <v>51</v>
      </c>
    </row>
    <row r="250" spans="1:34" ht="15" customHeight="1" x14ac:dyDescent="0.35">
      <c r="A250">
        <v>7547676</v>
      </c>
      <c r="B250">
        <v>690929</v>
      </c>
      <c r="C250" t="s">
        <v>34</v>
      </c>
      <c r="D250" t="s">
        <v>35</v>
      </c>
      <c r="E250" s="6" t="s">
        <v>34</v>
      </c>
      <c r="F250" t="s">
        <v>842</v>
      </c>
      <c r="G250" t="s">
        <v>37</v>
      </c>
      <c r="H250" t="s">
        <v>38</v>
      </c>
      <c r="I250" t="s">
        <v>843</v>
      </c>
      <c r="J250" t="s">
        <v>40</v>
      </c>
      <c r="K250">
        <v>2</v>
      </c>
      <c r="L250" t="s">
        <v>41</v>
      </c>
      <c r="M250" t="s">
        <v>42</v>
      </c>
      <c r="N250" t="s">
        <v>43</v>
      </c>
      <c r="O250" s="7">
        <v>13</v>
      </c>
      <c r="P250" s="8">
        <v>45371.683032407411</v>
      </c>
      <c r="Q250" s="9">
        <v>45373</v>
      </c>
      <c r="R250" t="s">
        <v>44</v>
      </c>
      <c r="S250" t="s">
        <v>45</v>
      </c>
      <c r="T250" t="s">
        <v>46</v>
      </c>
      <c r="U250" t="s">
        <v>82</v>
      </c>
      <c r="V250" t="s">
        <v>844</v>
      </c>
      <c r="W250">
        <v>81100</v>
      </c>
      <c r="X250" t="s">
        <v>45</v>
      </c>
      <c r="Y250" t="s">
        <v>327</v>
      </c>
      <c r="Z250" t="s">
        <v>50</v>
      </c>
      <c r="AA250" s="10">
        <f>IF(O250&lt;=1,7,7+0.8*ROUNDUP(O250-1,0))</f>
        <v>16.600000000000001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12"/>
        <v>0.996</v>
      </c>
      <c r="AG250" s="11">
        <f t="shared" si="13"/>
        <v>17.596</v>
      </c>
      <c r="AH250" t="s">
        <v>51</v>
      </c>
    </row>
    <row r="251" spans="1:34" ht="15" customHeight="1" x14ac:dyDescent="0.35">
      <c r="A251">
        <v>7547676</v>
      </c>
      <c r="B251">
        <v>690929</v>
      </c>
      <c r="C251" t="s">
        <v>34</v>
      </c>
      <c r="D251" t="s">
        <v>35</v>
      </c>
      <c r="E251" s="6" t="s">
        <v>34</v>
      </c>
      <c r="F251" t="s">
        <v>845</v>
      </c>
      <c r="G251" t="s">
        <v>37</v>
      </c>
      <c r="H251" t="s">
        <v>38</v>
      </c>
      <c r="I251" t="s">
        <v>846</v>
      </c>
      <c r="J251" t="s">
        <v>40</v>
      </c>
      <c r="K251">
        <v>2</v>
      </c>
      <c r="L251" t="s">
        <v>41</v>
      </c>
      <c r="M251" t="s">
        <v>42</v>
      </c>
      <c r="N251" t="s">
        <v>43</v>
      </c>
      <c r="O251" s="7">
        <v>2</v>
      </c>
      <c r="P251" s="8">
        <v>45371.560127314813</v>
      </c>
      <c r="Q251" s="9">
        <v>45373</v>
      </c>
      <c r="R251" t="s">
        <v>789</v>
      </c>
      <c r="S251" t="s">
        <v>45</v>
      </c>
      <c r="T251" t="s">
        <v>46</v>
      </c>
      <c r="U251" t="s">
        <v>99</v>
      </c>
      <c r="V251" t="s">
        <v>847</v>
      </c>
      <c r="W251">
        <v>18300</v>
      </c>
      <c r="X251" t="s">
        <v>45</v>
      </c>
      <c r="Y251" t="s">
        <v>848</v>
      </c>
      <c r="Z251" t="s">
        <v>50</v>
      </c>
      <c r="AA251" s="10">
        <f>IF(O251&lt;=1,7,7+0.8*ROUNDUP(O251-1,0))</f>
        <v>7.8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12"/>
        <v>0.46799999999999997</v>
      </c>
      <c r="AG251" s="11">
        <f t="shared" si="13"/>
        <v>8.2680000000000007</v>
      </c>
      <c r="AH251" t="s">
        <v>51</v>
      </c>
    </row>
    <row r="252" spans="1:34" ht="15" customHeight="1" x14ac:dyDescent="0.35">
      <c r="A252">
        <v>7547676</v>
      </c>
      <c r="B252">
        <v>690929</v>
      </c>
      <c r="C252" t="s">
        <v>34</v>
      </c>
      <c r="D252" t="s">
        <v>35</v>
      </c>
      <c r="E252" s="6" t="s">
        <v>34</v>
      </c>
      <c r="F252" t="s">
        <v>849</v>
      </c>
      <c r="G252" t="s">
        <v>37</v>
      </c>
      <c r="H252" t="s">
        <v>38</v>
      </c>
      <c r="I252" t="s">
        <v>850</v>
      </c>
      <c r="J252" t="s">
        <v>40</v>
      </c>
      <c r="K252">
        <v>2</v>
      </c>
      <c r="L252" t="s">
        <v>41</v>
      </c>
      <c r="M252" t="s">
        <v>42</v>
      </c>
      <c r="N252" t="s">
        <v>43</v>
      </c>
      <c r="O252" s="7">
        <v>2</v>
      </c>
      <c r="P252" s="8">
        <v>45371.560115740744</v>
      </c>
      <c r="Q252" s="9">
        <v>45373</v>
      </c>
      <c r="R252" t="s">
        <v>789</v>
      </c>
      <c r="S252" t="s">
        <v>45</v>
      </c>
      <c r="T252" t="s">
        <v>46</v>
      </c>
      <c r="U252" t="s">
        <v>54</v>
      </c>
      <c r="V252" t="s">
        <v>851</v>
      </c>
      <c r="W252">
        <v>40400</v>
      </c>
      <c r="X252" t="s">
        <v>45</v>
      </c>
      <c r="Y252" t="s">
        <v>662</v>
      </c>
      <c r="Z252" t="s">
        <v>50</v>
      </c>
      <c r="AA252" s="10">
        <f>IF(O252&lt;=1,7,7+0.8*ROUNDUP(O252-1,0))</f>
        <v>7.8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12"/>
        <v>0.46799999999999997</v>
      </c>
      <c r="AG252" s="11">
        <f t="shared" si="13"/>
        <v>8.2680000000000007</v>
      </c>
      <c r="AH252" t="s">
        <v>51</v>
      </c>
    </row>
    <row r="253" spans="1:34" ht="15" customHeight="1" x14ac:dyDescent="0.35">
      <c r="A253">
        <v>7547676</v>
      </c>
      <c r="B253">
        <v>690929</v>
      </c>
      <c r="C253" t="s">
        <v>34</v>
      </c>
      <c r="D253" t="s">
        <v>35</v>
      </c>
      <c r="E253" s="6" t="s">
        <v>34</v>
      </c>
      <c r="F253" t="s">
        <v>852</v>
      </c>
      <c r="G253" t="s">
        <v>37</v>
      </c>
      <c r="H253" t="s">
        <v>38</v>
      </c>
      <c r="I253" t="s">
        <v>853</v>
      </c>
      <c r="J253" t="s">
        <v>40</v>
      </c>
      <c r="K253">
        <v>2</v>
      </c>
      <c r="L253" t="s">
        <v>41</v>
      </c>
      <c r="M253" t="s">
        <v>42</v>
      </c>
      <c r="N253" t="s">
        <v>43</v>
      </c>
      <c r="O253" s="7">
        <v>2</v>
      </c>
      <c r="P253" s="8">
        <v>45371.451921296299</v>
      </c>
      <c r="Q253" s="9">
        <v>45373</v>
      </c>
      <c r="R253" t="s">
        <v>789</v>
      </c>
      <c r="S253" t="s">
        <v>45</v>
      </c>
      <c r="T253" t="s">
        <v>46</v>
      </c>
      <c r="U253" t="s">
        <v>134</v>
      </c>
      <c r="V253" t="s">
        <v>854</v>
      </c>
      <c r="W253">
        <v>9000</v>
      </c>
      <c r="X253" t="s">
        <v>45</v>
      </c>
      <c r="Y253" t="s">
        <v>855</v>
      </c>
      <c r="Z253" t="s">
        <v>50</v>
      </c>
      <c r="AA253" s="10">
        <f>IF(O253&lt;=1,7,7+0.8*ROUNDUP(O253-1,0))</f>
        <v>7.8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12"/>
        <v>0.46799999999999997</v>
      </c>
      <c r="AG253" s="11">
        <f t="shared" si="13"/>
        <v>8.2680000000000007</v>
      </c>
      <c r="AH253" t="s">
        <v>51</v>
      </c>
    </row>
    <row r="254" spans="1:34" ht="15" customHeight="1" x14ac:dyDescent="0.35">
      <c r="A254">
        <v>7547676</v>
      </c>
      <c r="B254">
        <v>690929</v>
      </c>
      <c r="C254" t="s">
        <v>34</v>
      </c>
      <c r="D254" t="s">
        <v>35</v>
      </c>
      <c r="E254" s="6" t="s">
        <v>34</v>
      </c>
      <c r="F254" t="s">
        <v>856</v>
      </c>
      <c r="G254" t="s">
        <v>37</v>
      </c>
      <c r="H254" t="s">
        <v>38</v>
      </c>
      <c r="I254" t="s">
        <v>857</v>
      </c>
      <c r="J254" t="s">
        <v>40</v>
      </c>
      <c r="K254">
        <v>2</v>
      </c>
      <c r="L254" t="s">
        <v>41</v>
      </c>
      <c r="M254" t="s">
        <v>42</v>
      </c>
      <c r="N254" t="s">
        <v>43</v>
      </c>
      <c r="O254" s="7">
        <v>1</v>
      </c>
      <c r="P254" s="8">
        <v>45371.560127314813</v>
      </c>
      <c r="Q254" s="9">
        <v>45373</v>
      </c>
      <c r="R254" t="s">
        <v>789</v>
      </c>
      <c r="S254" t="s">
        <v>45</v>
      </c>
      <c r="T254" t="s">
        <v>46</v>
      </c>
      <c r="U254" t="s">
        <v>99</v>
      </c>
      <c r="V254" t="s">
        <v>858</v>
      </c>
      <c r="W254">
        <v>15100</v>
      </c>
      <c r="X254" t="s">
        <v>45</v>
      </c>
      <c r="Y254" t="s">
        <v>859</v>
      </c>
      <c r="Z254" t="s">
        <v>50</v>
      </c>
      <c r="AA254" s="10">
        <f>IF(O254&lt;=1,7,7+0.8*ROUNDUP(O254-1,0))</f>
        <v>7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12"/>
        <v>0.42</v>
      </c>
      <c r="AG254" s="11">
        <f t="shared" si="13"/>
        <v>7.42</v>
      </c>
      <c r="AH254" t="s">
        <v>51</v>
      </c>
    </row>
    <row r="255" spans="1:34" ht="15" customHeight="1" x14ac:dyDescent="0.35">
      <c r="A255">
        <v>7547676</v>
      </c>
      <c r="B255">
        <v>690929</v>
      </c>
      <c r="C255" t="s">
        <v>34</v>
      </c>
      <c r="D255" t="s">
        <v>35</v>
      </c>
      <c r="E255" s="6" t="s">
        <v>34</v>
      </c>
      <c r="F255" t="s">
        <v>860</v>
      </c>
      <c r="G255" t="s">
        <v>37</v>
      </c>
      <c r="H255" t="s">
        <v>38</v>
      </c>
      <c r="I255" t="s">
        <v>861</v>
      </c>
      <c r="J255" t="s">
        <v>40</v>
      </c>
      <c r="K255">
        <v>2</v>
      </c>
      <c r="L255" t="s">
        <v>41</v>
      </c>
      <c r="M255" t="s">
        <v>42</v>
      </c>
      <c r="N255" t="s">
        <v>43</v>
      </c>
      <c r="O255" s="7">
        <v>1</v>
      </c>
      <c r="P255" s="8">
        <v>45371.414247685185</v>
      </c>
      <c r="Q255" s="9">
        <v>45373</v>
      </c>
      <c r="R255" t="s">
        <v>789</v>
      </c>
      <c r="S255" t="s">
        <v>45</v>
      </c>
      <c r="T255" t="s">
        <v>46</v>
      </c>
      <c r="U255" t="s">
        <v>172</v>
      </c>
      <c r="V255" t="s">
        <v>862</v>
      </c>
      <c r="W255">
        <v>31350</v>
      </c>
      <c r="X255" t="s">
        <v>45</v>
      </c>
      <c r="Y255" t="s">
        <v>863</v>
      </c>
      <c r="Z255" t="s">
        <v>50</v>
      </c>
      <c r="AA255" s="10">
        <f>IF(O255&lt;=1,7,7+0.8*ROUNDUP(O255-1,0))</f>
        <v>7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12"/>
        <v>0.42</v>
      </c>
      <c r="AG255" s="11">
        <f t="shared" si="13"/>
        <v>7.42</v>
      </c>
      <c r="AH255" t="s">
        <v>51</v>
      </c>
    </row>
    <row r="256" spans="1:34" ht="15" customHeight="1" x14ac:dyDescent="0.35">
      <c r="A256">
        <v>7547676</v>
      </c>
      <c r="B256">
        <v>690929</v>
      </c>
      <c r="C256" t="s">
        <v>34</v>
      </c>
      <c r="D256" t="s">
        <v>35</v>
      </c>
      <c r="E256" s="6" t="s">
        <v>34</v>
      </c>
      <c r="F256" t="s">
        <v>864</v>
      </c>
      <c r="G256" t="s">
        <v>37</v>
      </c>
      <c r="H256" t="s">
        <v>38</v>
      </c>
      <c r="I256" t="s">
        <v>865</v>
      </c>
      <c r="J256" t="s">
        <v>40</v>
      </c>
      <c r="K256">
        <v>2</v>
      </c>
      <c r="L256" t="s">
        <v>41</v>
      </c>
      <c r="M256" t="s">
        <v>42</v>
      </c>
      <c r="N256" t="s">
        <v>43</v>
      </c>
      <c r="O256" s="7">
        <v>1</v>
      </c>
      <c r="P256" s="8">
        <v>45369.724548611113</v>
      </c>
      <c r="Q256" s="9">
        <v>45373</v>
      </c>
      <c r="R256" t="s">
        <v>44</v>
      </c>
      <c r="S256" t="s">
        <v>45</v>
      </c>
      <c r="T256" t="s">
        <v>46</v>
      </c>
      <c r="U256" t="s">
        <v>67</v>
      </c>
      <c r="V256" t="s">
        <v>866</v>
      </c>
      <c r="W256">
        <v>58200</v>
      </c>
      <c r="X256" t="s">
        <v>45</v>
      </c>
      <c r="Y256" t="s">
        <v>79</v>
      </c>
      <c r="Z256" t="s">
        <v>50</v>
      </c>
      <c r="AA256" s="10">
        <f>IF(O256&lt;=1,7,7+0.8*ROUNDUP(O256-1,0))</f>
        <v>7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12"/>
        <v>0.42</v>
      </c>
      <c r="AG256" s="11">
        <f t="shared" si="13"/>
        <v>7.42</v>
      </c>
      <c r="AH256" t="s">
        <v>51</v>
      </c>
    </row>
    <row r="257" spans="1:34" ht="15" customHeight="1" x14ac:dyDescent="0.35">
      <c r="A257">
        <v>7547676</v>
      </c>
      <c r="B257">
        <v>690929</v>
      </c>
      <c r="C257" t="s">
        <v>34</v>
      </c>
      <c r="D257" t="s">
        <v>35</v>
      </c>
      <c r="E257" s="6" t="s">
        <v>34</v>
      </c>
      <c r="F257" t="s">
        <v>867</v>
      </c>
      <c r="G257" t="s">
        <v>37</v>
      </c>
      <c r="H257" t="s">
        <v>38</v>
      </c>
      <c r="I257" t="s">
        <v>660</v>
      </c>
      <c r="J257" t="s">
        <v>40</v>
      </c>
      <c r="K257">
        <v>2</v>
      </c>
      <c r="L257" t="s">
        <v>41</v>
      </c>
      <c r="M257" t="s">
        <v>42</v>
      </c>
      <c r="N257" t="s">
        <v>43</v>
      </c>
      <c r="O257" s="7">
        <v>1</v>
      </c>
      <c r="P257" s="8">
        <v>45371.560127314813</v>
      </c>
      <c r="Q257" s="9">
        <v>45373</v>
      </c>
      <c r="R257" t="s">
        <v>789</v>
      </c>
      <c r="S257" t="s">
        <v>45</v>
      </c>
      <c r="T257" t="s">
        <v>46</v>
      </c>
      <c r="U257" t="s">
        <v>54</v>
      </c>
      <c r="V257" t="s">
        <v>661</v>
      </c>
      <c r="W257">
        <v>40400</v>
      </c>
      <c r="X257" t="s">
        <v>45</v>
      </c>
      <c r="Y257" t="s">
        <v>662</v>
      </c>
      <c r="Z257" t="s">
        <v>50</v>
      </c>
      <c r="AA257" s="10">
        <f>IF(O257&lt;=1,7,7+0.8*ROUNDUP(O257-1,0))</f>
        <v>7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12"/>
        <v>0.42</v>
      </c>
      <c r="AG257" s="11">
        <f t="shared" si="13"/>
        <v>7.42</v>
      </c>
      <c r="AH257" t="s">
        <v>51</v>
      </c>
    </row>
    <row r="258" spans="1:34" ht="15" customHeight="1" x14ac:dyDescent="0.35">
      <c r="A258">
        <v>7547676</v>
      </c>
      <c r="B258">
        <v>690929</v>
      </c>
      <c r="C258" t="s">
        <v>34</v>
      </c>
      <c r="D258" t="s">
        <v>35</v>
      </c>
      <c r="E258" s="6" t="s">
        <v>34</v>
      </c>
      <c r="F258" t="s">
        <v>868</v>
      </c>
      <c r="G258" t="s">
        <v>37</v>
      </c>
      <c r="H258" t="s">
        <v>38</v>
      </c>
      <c r="I258" t="s">
        <v>869</v>
      </c>
      <c r="J258" t="s">
        <v>40</v>
      </c>
      <c r="K258">
        <v>2</v>
      </c>
      <c r="L258" t="s">
        <v>41</v>
      </c>
      <c r="M258" t="s">
        <v>42</v>
      </c>
      <c r="N258" t="s">
        <v>43</v>
      </c>
      <c r="O258" s="7">
        <v>1</v>
      </c>
      <c r="P258" s="8">
        <v>45371.686979166669</v>
      </c>
      <c r="Q258" s="9">
        <v>45373</v>
      </c>
      <c r="R258" t="s">
        <v>789</v>
      </c>
      <c r="S258" t="s">
        <v>45</v>
      </c>
      <c r="T258" t="s">
        <v>46</v>
      </c>
      <c r="U258" t="s">
        <v>54</v>
      </c>
      <c r="V258" t="s">
        <v>870</v>
      </c>
      <c r="W258">
        <v>43200</v>
      </c>
      <c r="X258" t="s">
        <v>45</v>
      </c>
      <c r="Y258" t="s">
        <v>79</v>
      </c>
      <c r="Z258" t="s">
        <v>50</v>
      </c>
      <c r="AA258" s="10">
        <f>IF(O258&lt;=1,7,7+0.8*ROUNDUP(O258-1,0))</f>
        <v>7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si="12"/>
        <v>0.42</v>
      </c>
      <c r="AG258" s="11">
        <f t="shared" si="13"/>
        <v>7.42</v>
      </c>
      <c r="AH258" t="s">
        <v>51</v>
      </c>
    </row>
    <row r="259" spans="1:34" ht="15" customHeight="1" x14ac:dyDescent="0.35">
      <c r="A259">
        <v>7547676</v>
      </c>
      <c r="B259">
        <v>690929</v>
      </c>
      <c r="C259" t="s">
        <v>34</v>
      </c>
      <c r="D259" t="s">
        <v>35</v>
      </c>
      <c r="E259" s="6" t="s">
        <v>34</v>
      </c>
      <c r="F259" t="s">
        <v>871</v>
      </c>
      <c r="G259" t="s">
        <v>37</v>
      </c>
      <c r="H259" t="s">
        <v>38</v>
      </c>
      <c r="I259" t="s">
        <v>872</v>
      </c>
      <c r="J259" t="s">
        <v>40</v>
      </c>
      <c r="K259">
        <v>2</v>
      </c>
      <c r="L259" t="s">
        <v>41</v>
      </c>
      <c r="M259" t="s">
        <v>42</v>
      </c>
      <c r="N259" t="s">
        <v>43</v>
      </c>
      <c r="O259" s="7">
        <v>1</v>
      </c>
      <c r="P259" s="8">
        <v>45370.628333333334</v>
      </c>
      <c r="Q259" s="9">
        <v>45373</v>
      </c>
      <c r="R259" t="s">
        <v>44</v>
      </c>
      <c r="S259" t="s">
        <v>45</v>
      </c>
      <c r="T259" t="s">
        <v>46</v>
      </c>
      <c r="U259" t="s">
        <v>82</v>
      </c>
      <c r="V259" t="s">
        <v>873</v>
      </c>
      <c r="W259">
        <v>83700</v>
      </c>
      <c r="X259" t="s">
        <v>45</v>
      </c>
      <c r="Y259" t="s">
        <v>79</v>
      </c>
      <c r="Z259" t="s">
        <v>50</v>
      </c>
      <c r="AA259" s="10">
        <f>IF(O259&lt;=1,7,7+0.8*ROUNDUP(O259-1,0))</f>
        <v>7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12"/>
        <v>0.42</v>
      </c>
      <c r="AG259" s="11">
        <f t="shared" si="13"/>
        <v>7.42</v>
      </c>
      <c r="AH259" t="s">
        <v>51</v>
      </c>
    </row>
    <row r="260" spans="1:34" ht="15" customHeight="1" x14ac:dyDescent="0.35">
      <c r="A260">
        <v>7547676</v>
      </c>
      <c r="B260">
        <v>690929</v>
      </c>
      <c r="C260" t="s">
        <v>34</v>
      </c>
      <c r="D260" t="s">
        <v>35</v>
      </c>
      <c r="E260" s="6" t="s">
        <v>34</v>
      </c>
      <c r="F260" t="s">
        <v>874</v>
      </c>
      <c r="G260" t="s">
        <v>37</v>
      </c>
      <c r="H260" t="s">
        <v>38</v>
      </c>
      <c r="I260" t="s">
        <v>875</v>
      </c>
      <c r="J260" t="s">
        <v>40</v>
      </c>
      <c r="K260">
        <v>2</v>
      </c>
      <c r="L260" t="s">
        <v>41</v>
      </c>
      <c r="M260" t="s">
        <v>42</v>
      </c>
      <c r="N260" t="s">
        <v>43</v>
      </c>
      <c r="O260" s="7">
        <v>1</v>
      </c>
      <c r="P260" s="8">
        <v>45371.560115740744</v>
      </c>
      <c r="Q260" s="9">
        <v>45373</v>
      </c>
      <c r="R260" t="s">
        <v>789</v>
      </c>
      <c r="S260" t="s">
        <v>45</v>
      </c>
      <c r="T260" t="s">
        <v>46</v>
      </c>
      <c r="U260" t="s">
        <v>54</v>
      </c>
      <c r="V260" t="s">
        <v>876</v>
      </c>
      <c r="W260">
        <v>46000</v>
      </c>
      <c r="X260" t="s">
        <v>45</v>
      </c>
      <c r="Y260" t="s">
        <v>780</v>
      </c>
      <c r="Z260" t="s">
        <v>50</v>
      </c>
      <c r="AA260" s="10">
        <f>IF(O260&lt;=1,7,7+0.8*ROUNDUP(O260-1,0))</f>
        <v>7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12"/>
        <v>0.42</v>
      </c>
      <c r="AG260" s="11">
        <f t="shared" si="13"/>
        <v>7.42</v>
      </c>
      <c r="AH260" t="s">
        <v>51</v>
      </c>
    </row>
    <row r="261" spans="1:34" ht="15" customHeight="1" x14ac:dyDescent="0.35">
      <c r="A261">
        <v>7547676</v>
      </c>
      <c r="B261">
        <v>690929</v>
      </c>
      <c r="C261" t="s">
        <v>34</v>
      </c>
      <c r="D261" t="s">
        <v>35</v>
      </c>
      <c r="E261" s="6" t="s">
        <v>34</v>
      </c>
      <c r="F261" t="s">
        <v>877</v>
      </c>
      <c r="G261" t="s">
        <v>37</v>
      </c>
      <c r="H261" t="s">
        <v>38</v>
      </c>
      <c r="I261" t="s">
        <v>878</v>
      </c>
      <c r="J261" t="s">
        <v>40</v>
      </c>
      <c r="K261">
        <v>2</v>
      </c>
      <c r="L261" t="s">
        <v>41</v>
      </c>
      <c r="M261" t="s">
        <v>42</v>
      </c>
      <c r="N261" t="s">
        <v>43</v>
      </c>
      <c r="O261" s="7">
        <v>1</v>
      </c>
      <c r="P261" s="8">
        <v>45371.674884259257</v>
      </c>
      <c r="Q261" s="9">
        <v>45373</v>
      </c>
      <c r="R261" t="s">
        <v>789</v>
      </c>
      <c r="S261" t="s">
        <v>45</v>
      </c>
      <c r="T261" t="s">
        <v>46</v>
      </c>
      <c r="U261" t="s">
        <v>278</v>
      </c>
      <c r="V261" t="s">
        <v>879</v>
      </c>
      <c r="W261">
        <v>14000</v>
      </c>
      <c r="X261" t="s">
        <v>45</v>
      </c>
      <c r="Y261" t="s">
        <v>880</v>
      </c>
      <c r="Z261" t="s">
        <v>50</v>
      </c>
      <c r="AA261" s="10">
        <f>IF(O261&lt;=1,7,7+0.8*ROUNDUP(O261-1,0))</f>
        <v>7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12"/>
        <v>0.42</v>
      </c>
      <c r="AG261" s="11">
        <f t="shared" si="13"/>
        <v>7.42</v>
      </c>
      <c r="AH261" t="s">
        <v>51</v>
      </c>
    </row>
    <row r="262" spans="1:34" ht="15" customHeight="1" x14ac:dyDescent="0.35">
      <c r="A262">
        <v>7547676</v>
      </c>
      <c r="B262">
        <v>690929</v>
      </c>
      <c r="C262" t="s">
        <v>34</v>
      </c>
      <c r="D262" t="s">
        <v>35</v>
      </c>
      <c r="E262" s="6" t="s">
        <v>34</v>
      </c>
      <c r="F262" t="s">
        <v>881</v>
      </c>
      <c r="G262" t="s">
        <v>37</v>
      </c>
      <c r="H262" t="s">
        <v>38</v>
      </c>
      <c r="I262" t="s">
        <v>882</v>
      </c>
      <c r="J262" t="s">
        <v>40</v>
      </c>
      <c r="K262">
        <v>2</v>
      </c>
      <c r="L262" t="s">
        <v>41</v>
      </c>
      <c r="M262" t="s">
        <v>42</v>
      </c>
      <c r="N262" t="s">
        <v>43</v>
      </c>
      <c r="O262" s="7">
        <v>1</v>
      </c>
      <c r="P262" s="8">
        <v>45371.669895833336</v>
      </c>
      <c r="Q262" s="9">
        <v>45373</v>
      </c>
      <c r="R262" t="s">
        <v>44</v>
      </c>
      <c r="S262" t="s">
        <v>45</v>
      </c>
      <c r="T262" t="s">
        <v>46</v>
      </c>
      <c r="U262" t="s">
        <v>54</v>
      </c>
      <c r="V262" t="s">
        <v>883</v>
      </c>
      <c r="W262">
        <v>41050</v>
      </c>
      <c r="X262" t="s">
        <v>45</v>
      </c>
      <c r="Y262" t="s">
        <v>250</v>
      </c>
      <c r="Z262" t="s">
        <v>50</v>
      </c>
      <c r="AA262" s="10">
        <f>IF(O262&lt;=1,7,7+0.8*ROUNDUP(O262-1,0))</f>
        <v>7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12"/>
        <v>0.42</v>
      </c>
      <c r="AG262" s="11">
        <f t="shared" si="13"/>
        <v>7.42</v>
      </c>
      <c r="AH262" t="s">
        <v>51</v>
      </c>
    </row>
    <row r="263" spans="1:34" ht="15" customHeight="1" x14ac:dyDescent="0.35">
      <c r="A263">
        <v>7547676</v>
      </c>
      <c r="B263">
        <v>690929</v>
      </c>
      <c r="C263" t="s">
        <v>34</v>
      </c>
      <c r="D263" t="s">
        <v>35</v>
      </c>
      <c r="E263" s="6" t="s">
        <v>34</v>
      </c>
      <c r="F263" t="s">
        <v>884</v>
      </c>
      <c r="G263" t="s">
        <v>37</v>
      </c>
      <c r="H263" t="s">
        <v>38</v>
      </c>
      <c r="I263" t="s">
        <v>885</v>
      </c>
      <c r="J263" t="s">
        <v>40</v>
      </c>
      <c r="K263">
        <v>2</v>
      </c>
      <c r="L263" t="s">
        <v>41</v>
      </c>
      <c r="M263" t="s">
        <v>42</v>
      </c>
      <c r="N263" t="s">
        <v>43</v>
      </c>
      <c r="O263" s="7">
        <v>4</v>
      </c>
      <c r="P263" s="8">
        <v>45372.685879629629</v>
      </c>
      <c r="Q263" s="9">
        <v>45373</v>
      </c>
      <c r="R263" t="s">
        <v>44</v>
      </c>
      <c r="S263" t="s">
        <v>45</v>
      </c>
      <c r="T263" t="s">
        <v>46</v>
      </c>
      <c r="U263" t="s">
        <v>67</v>
      </c>
      <c r="V263" t="s">
        <v>886</v>
      </c>
      <c r="W263">
        <v>53300</v>
      </c>
      <c r="X263" t="s">
        <v>45</v>
      </c>
      <c r="Y263" t="s">
        <v>887</v>
      </c>
      <c r="Z263" t="s">
        <v>50</v>
      </c>
      <c r="AA263" s="10">
        <f>IF(O263&lt;=1,7,7+0.8*ROUNDUP(O263-1,0))</f>
        <v>9.4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12"/>
        <v>0.56399999999999995</v>
      </c>
      <c r="AG263" s="11">
        <f t="shared" si="13"/>
        <v>9.9640000000000004</v>
      </c>
      <c r="AH263" t="s">
        <v>51</v>
      </c>
    </row>
    <row r="264" spans="1:34" ht="15" customHeight="1" x14ac:dyDescent="0.35">
      <c r="A264">
        <v>7547676</v>
      </c>
      <c r="B264">
        <v>690929</v>
      </c>
      <c r="C264" t="s">
        <v>34</v>
      </c>
      <c r="D264" t="s">
        <v>35</v>
      </c>
      <c r="E264" s="6" t="s">
        <v>34</v>
      </c>
      <c r="F264" t="s">
        <v>888</v>
      </c>
      <c r="G264" t="s">
        <v>37</v>
      </c>
      <c r="H264" t="s">
        <v>38</v>
      </c>
      <c r="I264" t="s">
        <v>889</v>
      </c>
      <c r="J264" t="s">
        <v>40</v>
      </c>
      <c r="K264">
        <v>2</v>
      </c>
      <c r="L264" t="s">
        <v>41</v>
      </c>
      <c r="M264" t="s">
        <v>42</v>
      </c>
      <c r="N264" t="s">
        <v>43</v>
      </c>
      <c r="O264" s="7">
        <v>1</v>
      </c>
      <c r="P264" s="8">
        <v>45370.732418981483</v>
      </c>
      <c r="Q264" s="9">
        <v>45373</v>
      </c>
      <c r="R264" t="s">
        <v>789</v>
      </c>
      <c r="S264" t="s">
        <v>45</v>
      </c>
      <c r="T264" t="s">
        <v>46</v>
      </c>
      <c r="U264" t="s">
        <v>77</v>
      </c>
      <c r="V264" t="s">
        <v>890</v>
      </c>
      <c r="W264">
        <v>76300</v>
      </c>
      <c r="X264" t="s">
        <v>45</v>
      </c>
      <c r="Y264" t="s">
        <v>335</v>
      </c>
      <c r="Z264" t="s">
        <v>50</v>
      </c>
      <c r="AA264" s="10">
        <f>IF(O264&lt;=1,7,7+0.8*ROUNDUP(O264-1,0))</f>
        <v>7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12"/>
        <v>0.42</v>
      </c>
      <c r="AG264" s="11">
        <f t="shared" si="13"/>
        <v>7.42</v>
      </c>
      <c r="AH264" t="s">
        <v>51</v>
      </c>
    </row>
    <row r="265" spans="1:34" ht="15" customHeight="1" x14ac:dyDescent="0.35">
      <c r="A265">
        <v>7547676</v>
      </c>
      <c r="B265">
        <v>690929</v>
      </c>
      <c r="C265" t="s">
        <v>34</v>
      </c>
      <c r="D265" t="s">
        <v>35</v>
      </c>
      <c r="E265" s="6" t="s">
        <v>34</v>
      </c>
      <c r="F265" t="s">
        <v>891</v>
      </c>
      <c r="G265" t="s">
        <v>37</v>
      </c>
      <c r="H265" t="s">
        <v>38</v>
      </c>
      <c r="I265" t="s">
        <v>892</v>
      </c>
      <c r="J265" t="s">
        <v>40</v>
      </c>
      <c r="K265">
        <v>2</v>
      </c>
      <c r="L265" t="s">
        <v>41</v>
      </c>
      <c r="M265" t="s">
        <v>42</v>
      </c>
      <c r="N265" t="s">
        <v>43</v>
      </c>
      <c r="O265" s="7">
        <v>2</v>
      </c>
      <c r="P265" s="8">
        <v>45372.48096064815</v>
      </c>
      <c r="Q265" s="9">
        <v>45373</v>
      </c>
      <c r="R265" t="s">
        <v>44</v>
      </c>
      <c r="S265" t="s">
        <v>45</v>
      </c>
      <c r="T265" t="s">
        <v>46</v>
      </c>
      <c r="U265" t="s">
        <v>47</v>
      </c>
      <c r="V265" t="s">
        <v>893</v>
      </c>
      <c r="W265">
        <v>24300</v>
      </c>
      <c r="X265" t="s">
        <v>45</v>
      </c>
      <c r="Y265" t="s">
        <v>547</v>
      </c>
      <c r="Z265" t="s">
        <v>50</v>
      </c>
      <c r="AA265" s="10">
        <f>IF(O265&lt;=1,7,7+0.8*ROUNDUP(O265-1,0))</f>
        <v>7.8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12"/>
        <v>0.46799999999999997</v>
      </c>
      <c r="AG265" s="11">
        <f t="shared" si="13"/>
        <v>8.2680000000000007</v>
      </c>
      <c r="AH265" t="s">
        <v>51</v>
      </c>
    </row>
    <row r="266" spans="1:34" ht="15" customHeight="1" x14ac:dyDescent="0.35">
      <c r="A266">
        <v>7547676</v>
      </c>
      <c r="B266">
        <v>690929</v>
      </c>
      <c r="C266" t="s">
        <v>34</v>
      </c>
      <c r="D266" t="s">
        <v>35</v>
      </c>
      <c r="E266" s="6" t="s">
        <v>34</v>
      </c>
      <c r="F266" t="s">
        <v>894</v>
      </c>
      <c r="G266" t="s">
        <v>37</v>
      </c>
      <c r="H266" t="s">
        <v>38</v>
      </c>
      <c r="I266" t="s">
        <v>895</v>
      </c>
      <c r="J266" t="s">
        <v>40</v>
      </c>
      <c r="K266">
        <v>2</v>
      </c>
      <c r="L266" t="s">
        <v>41</v>
      </c>
      <c r="M266" t="s">
        <v>42</v>
      </c>
      <c r="N266" t="s">
        <v>43</v>
      </c>
      <c r="O266" s="7">
        <v>2</v>
      </c>
      <c r="P266" s="8">
        <v>45370.732418981483</v>
      </c>
      <c r="Q266" s="9">
        <v>45373</v>
      </c>
      <c r="R266" t="s">
        <v>789</v>
      </c>
      <c r="S266" t="s">
        <v>45</v>
      </c>
      <c r="T266" t="s">
        <v>46</v>
      </c>
      <c r="U266" t="s">
        <v>99</v>
      </c>
      <c r="V266" t="s">
        <v>896</v>
      </c>
      <c r="W266">
        <v>18000</v>
      </c>
      <c r="X266" t="s">
        <v>45</v>
      </c>
      <c r="Y266" t="s">
        <v>897</v>
      </c>
      <c r="Z266" t="s">
        <v>50</v>
      </c>
      <c r="AA266" s="10">
        <f>IF(O266&lt;=1,7,7+0.8*ROUNDUP(O266-1,0))</f>
        <v>7.8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12"/>
        <v>0.46799999999999997</v>
      </c>
      <c r="AG266" s="11">
        <f t="shared" si="13"/>
        <v>8.2680000000000007</v>
      </c>
      <c r="AH266" t="s">
        <v>51</v>
      </c>
    </row>
    <row r="267" spans="1:34" ht="15" customHeight="1" x14ac:dyDescent="0.35">
      <c r="A267">
        <v>7547676</v>
      </c>
      <c r="B267">
        <v>690929</v>
      </c>
      <c r="C267" t="s">
        <v>34</v>
      </c>
      <c r="D267" t="s">
        <v>35</v>
      </c>
      <c r="E267" s="6" t="s">
        <v>34</v>
      </c>
      <c r="F267" t="s">
        <v>898</v>
      </c>
      <c r="G267" t="s">
        <v>37</v>
      </c>
      <c r="H267" t="s">
        <v>38</v>
      </c>
      <c r="I267" t="s">
        <v>899</v>
      </c>
      <c r="J267" t="s">
        <v>40</v>
      </c>
      <c r="K267">
        <v>2</v>
      </c>
      <c r="L267" t="s">
        <v>41</v>
      </c>
      <c r="M267" t="s">
        <v>42</v>
      </c>
      <c r="N267" t="s">
        <v>43</v>
      </c>
      <c r="O267" s="7">
        <v>1</v>
      </c>
      <c r="P267" s="8">
        <v>45371.560115740744</v>
      </c>
      <c r="Q267" s="9">
        <v>45373</v>
      </c>
      <c r="R267" t="s">
        <v>789</v>
      </c>
      <c r="S267" t="s">
        <v>45</v>
      </c>
      <c r="T267" t="s">
        <v>46</v>
      </c>
      <c r="U267" t="s">
        <v>99</v>
      </c>
      <c r="V267" t="s">
        <v>900</v>
      </c>
      <c r="W267">
        <v>18300</v>
      </c>
      <c r="X267" t="s">
        <v>45</v>
      </c>
      <c r="Y267" t="s">
        <v>848</v>
      </c>
      <c r="Z267" t="s">
        <v>50</v>
      </c>
      <c r="AA267" s="10">
        <f>IF(O267&lt;=1,7,7+0.8*ROUNDUP(O267-1,0))</f>
        <v>7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12"/>
        <v>0.42</v>
      </c>
      <c r="AG267" s="11">
        <f t="shared" si="13"/>
        <v>7.42</v>
      </c>
      <c r="AH267" t="s">
        <v>51</v>
      </c>
    </row>
    <row r="268" spans="1:34" ht="15" customHeight="1" x14ac:dyDescent="0.35">
      <c r="A268">
        <v>7547676</v>
      </c>
      <c r="B268">
        <v>690929</v>
      </c>
      <c r="C268" t="s">
        <v>34</v>
      </c>
      <c r="D268" t="s">
        <v>35</v>
      </c>
      <c r="E268" s="6" t="s">
        <v>34</v>
      </c>
      <c r="F268" t="s">
        <v>901</v>
      </c>
      <c r="G268" t="s">
        <v>37</v>
      </c>
      <c r="H268" t="s">
        <v>38</v>
      </c>
      <c r="I268" t="s">
        <v>902</v>
      </c>
      <c r="J268" t="s">
        <v>40</v>
      </c>
      <c r="K268">
        <v>2</v>
      </c>
      <c r="L268" t="s">
        <v>41</v>
      </c>
      <c r="M268" t="s">
        <v>42</v>
      </c>
      <c r="N268" t="s">
        <v>43</v>
      </c>
      <c r="O268" s="7">
        <v>1</v>
      </c>
      <c r="P268" s="8">
        <v>45371.641331018516</v>
      </c>
      <c r="Q268" s="9">
        <v>45373</v>
      </c>
      <c r="R268" t="s">
        <v>789</v>
      </c>
      <c r="S268" t="s">
        <v>45</v>
      </c>
      <c r="T268" t="s">
        <v>46</v>
      </c>
      <c r="U268" t="s">
        <v>99</v>
      </c>
      <c r="V268" t="s">
        <v>903</v>
      </c>
      <c r="W268">
        <v>16310</v>
      </c>
      <c r="X268" t="s">
        <v>45</v>
      </c>
      <c r="Y268" t="s">
        <v>79</v>
      </c>
      <c r="Z268" t="s">
        <v>50</v>
      </c>
      <c r="AA268" s="10">
        <f>IF(O268&lt;=1,7,7+0.8*ROUNDUP(O268-1,0))</f>
        <v>7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12"/>
        <v>0.42</v>
      </c>
      <c r="AG268" s="11">
        <f t="shared" si="13"/>
        <v>7.42</v>
      </c>
      <c r="AH268" t="s">
        <v>51</v>
      </c>
    </row>
    <row r="269" spans="1:34" ht="15" customHeight="1" x14ac:dyDescent="0.35">
      <c r="A269">
        <v>7547676</v>
      </c>
      <c r="B269">
        <v>690929</v>
      </c>
      <c r="C269" t="s">
        <v>34</v>
      </c>
      <c r="D269" t="s">
        <v>35</v>
      </c>
      <c r="E269" s="6" t="s">
        <v>34</v>
      </c>
      <c r="F269" t="s">
        <v>904</v>
      </c>
      <c r="G269" t="s">
        <v>37</v>
      </c>
      <c r="H269" t="s">
        <v>38</v>
      </c>
      <c r="I269" t="s">
        <v>905</v>
      </c>
      <c r="J269" t="s">
        <v>40</v>
      </c>
      <c r="K269">
        <v>2</v>
      </c>
      <c r="L269" t="s">
        <v>41</v>
      </c>
      <c r="M269" t="s">
        <v>42</v>
      </c>
      <c r="N269" t="s">
        <v>43</v>
      </c>
      <c r="O269" s="7">
        <v>2</v>
      </c>
      <c r="P269" s="8">
        <v>45371.466226851851</v>
      </c>
      <c r="Q269" s="9">
        <v>45373</v>
      </c>
      <c r="R269" t="s">
        <v>789</v>
      </c>
      <c r="S269" t="s">
        <v>45</v>
      </c>
      <c r="T269" t="s">
        <v>46</v>
      </c>
      <c r="U269" t="s">
        <v>82</v>
      </c>
      <c r="V269" t="s">
        <v>906</v>
      </c>
      <c r="W269">
        <v>81100</v>
      </c>
      <c r="X269" t="s">
        <v>45</v>
      </c>
      <c r="Y269" t="s">
        <v>327</v>
      </c>
      <c r="Z269" t="s">
        <v>50</v>
      </c>
      <c r="AA269" s="10">
        <f>IF(O269&lt;=1,7,7+0.8*ROUNDUP(O269-1,0))</f>
        <v>7.8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12"/>
        <v>0.46799999999999997</v>
      </c>
      <c r="AG269" s="11">
        <f t="shared" si="13"/>
        <v>8.2680000000000007</v>
      </c>
      <c r="AH269" t="s">
        <v>51</v>
      </c>
    </row>
    <row r="270" spans="1:34" ht="15" customHeight="1" x14ac:dyDescent="0.35">
      <c r="A270">
        <v>7547676</v>
      </c>
      <c r="B270">
        <v>690929</v>
      </c>
      <c r="C270" t="s">
        <v>34</v>
      </c>
      <c r="D270" t="s">
        <v>35</v>
      </c>
      <c r="E270" s="6" t="s">
        <v>34</v>
      </c>
      <c r="F270" t="s">
        <v>907</v>
      </c>
      <c r="G270" t="s">
        <v>37</v>
      </c>
      <c r="H270" t="s">
        <v>38</v>
      </c>
      <c r="I270" t="s">
        <v>908</v>
      </c>
      <c r="J270" t="s">
        <v>40</v>
      </c>
      <c r="K270">
        <v>2</v>
      </c>
      <c r="L270" t="s">
        <v>41</v>
      </c>
      <c r="M270" t="s">
        <v>42</v>
      </c>
      <c r="N270" t="s">
        <v>43</v>
      </c>
      <c r="O270" s="7">
        <v>1</v>
      </c>
      <c r="P270" s="8">
        <v>45371.622754629629</v>
      </c>
      <c r="Q270" s="9">
        <v>45373</v>
      </c>
      <c r="R270" t="s">
        <v>789</v>
      </c>
      <c r="S270" t="s">
        <v>45</v>
      </c>
      <c r="T270" t="s">
        <v>46</v>
      </c>
      <c r="U270" t="s">
        <v>54</v>
      </c>
      <c r="V270" t="s">
        <v>444</v>
      </c>
      <c r="W270">
        <v>40000</v>
      </c>
      <c r="X270" t="s">
        <v>45</v>
      </c>
      <c r="Y270" t="s">
        <v>79</v>
      </c>
      <c r="Z270" t="s">
        <v>50</v>
      </c>
      <c r="AA270" s="10">
        <f>IF(O270&lt;=1,7,7+0.8*ROUNDUP(O270-1,0))</f>
        <v>7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12"/>
        <v>0.42</v>
      </c>
      <c r="AG270" s="11">
        <f t="shared" si="13"/>
        <v>7.42</v>
      </c>
      <c r="AH270" t="s">
        <v>51</v>
      </c>
    </row>
    <row r="271" spans="1:34" ht="15" customHeight="1" x14ac:dyDescent="0.35">
      <c r="A271">
        <v>7547676</v>
      </c>
      <c r="B271">
        <v>690929</v>
      </c>
      <c r="C271" t="s">
        <v>34</v>
      </c>
      <c r="D271" t="s">
        <v>35</v>
      </c>
      <c r="E271" s="6" t="s">
        <v>34</v>
      </c>
      <c r="F271" t="s">
        <v>909</v>
      </c>
      <c r="G271" t="s">
        <v>37</v>
      </c>
      <c r="H271" t="s">
        <v>38</v>
      </c>
      <c r="I271" t="s">
        <v>910</v>
      </c>
      <c r="J271" t="s">
        <v>40</v>
      </c>
      <c r="K271">
        <v>2</v>
      </c>
      <c r="L271" t="s">
        <v>41</v>
      </c>
      <c r="M271" t="s">
        <v>42</v>
      </c>
      <c r="N271" t="s">
        <v>43</v>
      </c>
      <c r="O271" s="7">
        <v>1</v>
      </c>
      <c r="P271" s="8">
        <v>45371.560115740744</v>
      </c>
      <c r="Q271" s="9">
        <v>45373</v>
      </c>
      <c r="R271" t="s">
        <v>789</v>
      </c>
      <c r="S271" t="s">
        <v>45</v>
      </c>
      <c r="T271" t="s">
        <v>46</v>
      </c>
      <c r="U271" t="s">
        <v>99</v>
      </c>
      <c r="V271" t="s">
        <v>911</v>
      </c>
      <c r="W271">
        <v>16600</v>
      </c>
      <c r="X271" t="s">
        <v>45</v>
      </c>
      <c r="Y271" t="s">
        <v>733</v>
      </c>
      <c r="Z271" t="s">
        <v>50</v>
      </c>
      <c r="AA271" s="10">
        <f>IF(O271&lt;=1,7,7+0.8*ROUNDUP(O271-1,0))</f>
        <v>7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12"/>
        <v>0.42</v>
      </c>
      <c r="AG271" s="11">
        <f t="shared" si="13"/>
        <v>7.42</v>
      </c>
      <c r="AH271" t="s">
        <v>51</v>
      </c>
    </row>
    <row r="272" spans="1:34" ht="15" customHeight="1" x14ac:dyDescent="0.35">
      <c r="A272">
        <v>7547676</v>
      </c>
      <c r="B272">
        <v>690929</v>
      </c>
      <c r="C272" t="s">
        <v>34</v>
      </c>
      <c r="D272" t="s">
        <v>35</v>
      </c>
      <c r="E272" s="6" t="s">
        <v>34</v>
      </c>
      <c r="F272" t="s">
        <v>912</v>
      </c>
      <c r="G272" t="s">
        <v>37</v>
      </c>
      <c r="H272" t="s">
        <v>38</v>
      </c>
      <c r="I272" t="s">
        <v>913</v>
      </c>
      <c r="J272" t="s">
        <v>40</v>
      </c>
      <c r="K272">
        <v>2</v>
      </c>
      <c r="L272" t="s">
        <v>41</v>
      </c>
      <c r="M272" t="s">
        <v>42</v>
      </c>
      <c r="N272" t="s">
        <v>43</v>
      </c>
      <c r="O272" s="7">
        <v>1</v>
      </c>
      <c r="P272" s="8">
        <v>45370.662256944444</v>
      </c>
      <c r="Q272" s="9">
        <v>45373</v>
      </c>
      <c r="R272" t="s">
        <v>44</v>
      </c>
      <c r="S272" t="s">
        <v>45</v>
      </c>
      <c r="T272" t="s">
        <v>46</v>
      </c>
      <c r="U272" t="s">
        <v>112</v>
      </c>
      <c r="V272" t="s">
        <v>914</v>
      </c>
      <c r="W272">
        <v>88300</v>
      </c>
      <c r="X272" t="s">
        <v>114</v>
      </c>
      <c r="Y272" t="s">
        <v>79</v>
      </c>
      <c r="Z272" t="s">
        <v>50</v>
      </c>
      <c r="AA272" s="12">
        <f>IF(O272&lt;=1,13,IF(O272&lt;=2,23,IF(O272&lt;=3,35,IF(O272&lt;=4,43,IF(O272&lt;=5,53,IF(O272&lt;=6,63,IF(O272&lt;=7,71,IF(O272&lt;=8,79,IF(O272&lt;=9,87,IF(O272&lt;=10,95,IF(O272&lt;=11,105,IF(O272&lt;=12,114,IF(O272&lt;=13,119,IF(O272&lt;=14,127,IF(O272&lt;=15,135,IF(O272&lt;=16,143,IF(O272&lt;=17,153,IF(O272&lt;=18,163,IF(O272&lt;=19,171,IF(O272&lt;=20,185,IF(O272&lt;=21,193,IF(O272&lt;=22,201,IF(O272&lt;=23,210,IF(O272&lt;=24,220,IF(O272&lt;=25,230,IF(O272&lt;=26,240,IF(O272&lt;=27,250,IF(O272&lt;=28,260,IF(O272&lt;=29,270,IF(O272&lt;=30,280,280+10*ROUNDUP(O272-30,0)))))))))))))))))))))))))))))))</f>
        <v>13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12"/>
        <v>0.78</v>
      </c>
      <c r="AG272" s="11">
        <f t="shared" si="13"/>
        <v>13.78</v>
      </c>
      <c r="AH272" t="s">
        <v>116</v>
      </c>
    </row>
    <row r="273" spans="1:34" ht="15" customHeight="1" x14ac:dyDescent="0.35">
      <c r="A273">
        <v>7547676</v>
      </c>
      <c r="B273">
        <v>690929</v>
      </c>
      <c r="C273" t="s">
        <v>34</v>
      </c>
      <c r="D273" t="s">
        <v>35</v>
      </c>
      <c r="E273" s="6" t="s">
        <v>34</v>
      </c>
      <c r="F273" t="s">
        <v>915</v>
      </c>
      <c r="G273" t="s">
        <v>37</v>
      </c>
      <c r="H273" t="s">
        <v>38</v>
      </c>
      <c r="I273" t="s">
        <v>916</v>
      </c>
      <c r="J273" t="s">
        <v>40</v>
      </c>
      <c r="K273">
        <v>2</v>
      </c>
      <c r="L273" t="s">
        <v>41</v>
      </c>
      <c r="M273" t="s">
        <v>42</v>
      </c>
      <c r="N273" t="s">
        <v>43</v>
      </c>
      <c r="O273" s="7">
        <v>2</v>
      </c>
      <c r="P273" s="8">
        <v>45369.633923611109</v>
      </c>
      <c r="Q273" s="9">
        <v>45373</v>
      </c>
      <c r="R273" t="s">
        <v>44</v>
      </c>
      <c r="S273" t="s">
        <v>45</v>
      </c>
      <c r="T273" t="s">
        <v>46</v>
      </c>
      <c r="U273" t="s">
        <v>134</v>
      </c>
      <c r="V273" t="s">
        <v>917</v>
      </c>
      <c r="W273">
        <v>9100</v>
      </c>
      <c r="X273" t="s">
        <v>45</v>
      </c>
      <c r="Y273" t="s">
        <v>148</v>
      </c>
      <c r="Z273" t="s">
        <v>50</v>
      </c>
      <c r="AA273" s="10">
        <f>IF(O273&lt;=1,7,7+0.8*ROUNDUP(O273-1,0))</f>
        <v>7.8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12"/>
        <v>0.46799999999999997</v>
      </c>
      <c r="AG273" s="11">
        <f t="shared" si="13"/>
        <v>8.2680000000000007</v>
      </c>
      <c r="AH273" t="s">
        <v>51</v>
      </c>
    </row>
    <row r="274" spans="1:34" ht="15" customHeight="1" x14ac:dyDescent="0.35">
      <c r="A274">
        <v>7547676</v>
      </c>
      <c r="B274">
        <v>690929</v>
      </c>
      <c r="C274" t="s">
        <v>34</v>
      </c>
      <c r="D274" t="s">
        <v>35</v>
      </c>
      <c r="E274" s="6" t="s">
        <v>34</v>
      </c>
      <c r="F274" t="s">
        <v>918</v>
      </c>
      <c r="G274" t="s">
        <v>37</v>
      </c>
      <c r="H274" t="s">
        <v>38</v>
      </c>
      <c r="I274" t="s">
        <v>919</v>
      </c>
      <c r="J274" t="s">
        <v>40</v>
      </c>
      <c r="K274">
        <v>2</v>
      </c>
      <c r="L274" t="s">
        <v>41</v>
      </c>
      <c r="M274" t="s">
        <v>42</v>
      </c>
      <c r="N274" t="s">
        <v>43</v>
      </c>
      <c r="O274" s="7">
        <v>1</v>
      </c>
      <c r="P274" s="8">
        <v>45370.732418981483</v>
      </c>
      <c r="Q274" s="9">
        <v>45373</v>
      </c>
      <c r="R274" t="s">
        <v>789</v>
      </c>
      <c r="S274" t="s">
        <v>45</v>
      </c>
      <c r="T274" t="s">
        <v>46</v>
      </c>
      <c r="U274" t="s">
        <v>47</v>
      </c>
      <c r="V274" t="s">
        <v>920</v>
      </c>
      <c r="W274">
        <v>22020</v>
      </c>
      <c r="X274" t="s">
        <v>45</v>
      </c>
      <c r="Y274" t="s">
        <v>761</v>
      </c>
      <c r="Z274" t="s">
        <v>50</v>
      </c>
      <c r="AA274" s="10">
        <f>IF(O274&lt;=1,7,7+0.8*ROUNDUP(O274-1,0))</f>
        <v>7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12"/>
        <v>0.42</v>
      </c>
      <c r="AG274" s="11">
        <f t="shared" si="13"/>
        <v>7.42</v>
      </c>
      <c r="AH274" t="s">
        <v>51</v>
      </c>
    </row>
    <row r="275" spans="1:34" ht="15" customHeight="1" x14ac:dyDescent="0.35">
      <c r="A275">
        <v>7547676</v>
      </c>
      <c r="B275">
        <v>690929</v>
      </c>
      <c r="C275" t="s">
        <v>34</v>
      </c>
      <c r="D275" t="s">
        <v>35</v>
      </c>
      <c r="E275" s="6" t="s">
        <v>34</v>
      </c>
      <c r="F275" t="s">
        <v>921</v>
      </c>
      <c r="G275" t="s">
        <v>37</v>
      </c>
      <c r="H275" t="s">
        <v>38</v>
      </c>
      <c r="I275" t="s">
        <v>922</v>
      </c>
      <c r="J275" t="s">
        <v>40</v>
      </c>
      <c r="K275">
        <v>2</v>
      </c>
      <c r="L275" t="s">
        <v>41</v>
      </c>
      <c r="M275" t="s">
        <v>42</v>
      </c>
      <c r="N275" t="s">
        <v>43</v>
      </c>
      <c r="O275" s="7">
        <v>2</v>
      </c>
      <c r="P275" s="8">
        <v>45371.466226851851</v>
      </c>
      <c r="Q275" s="9">
        <v>45373</v>
      </c>
      <c r="R275" t="s">
        <v>789</v>
      </c>
      <c r="S275" t="s">
        <v>45</v>
      </c>
      <c r="T275" t="s">
        <v>46</v>
      </c>
      <c r="U275" t="s">
        <v>47</v>
      </c>
      <c r="V275" t="s">
        <v>923</v>
      </c>
      <c r="W275">
        <v>21200</v>
      </c>
      <c r="X275" t="s">
        <v>45</v>
      </c>
      <c r="Y275" t="s">
        <v>560</v>
      </c>
      <c r="Z275" t="s">
        <v>50</v>
      </c>
      <c r="AA275" s="10">
        <f>IF(O275&lt;=1,7,7+0.8*ROUNDUP(O275-1,0))</f>
        <v>7.8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12"/>
        <v>0.46799999999999997</v>
      </c>
      <c r="AG275" s="11">
        <f t="shared" si="13"/>
        <v>8.2680000000000007</v>
      </c>
      <c r="AH275" t="s">
        <v>51</v>
      </c>
    </row>
    <row r="276" spans="1:34" ht="15" customHeight="1" x14ac:dyDescent="0.35">
      <c r="A276">
        <v>7547676</v>
      </c>
      <c r="B276">
        <v>690929</v>
      </c>
      <c r="C276" t="s">
        <v>34</v>
      </c>
      <c r="D276" t="s">
        <v>35</v>
      </c>
      <c r="E276" s="6" t="s">
        <v>34</v>
      </c>
      <c r="F276" t="s">
        <v>924</v>
      </c>
      <c r="G276" t="s">
        <v>37</v>
      </c>
      <c r="H276" t="s">
        <v>38</v>
      </c>
      <c r="I276" t="s">
        <v>925</v>
      </c>
      <c r="J276" t="s">
        <v>40</v>
      </c>
      <c r="K276">
        <v>2</v>
      </c>
      <c r="L276" t="s">
        <v>41</v>
      </c>
      <c r="M276" t="s">
        <v>42</v>
      </c>
      <c r="N276" t="s">
        <v>43</v>
      </c>
      <c r="O276" s="7">
        <v>1</v>
      </c>
      <c r="P276" s="8">
        <v>45372.458020833335</v>
      </c>
      <c r="Q276" s="9">
        <v>45373</v>
      </c>
      <c r="R276" t="s">
        <v>789</v>
      </c>
      <c r="S276" t="s">
        <v>45</v>
      </c>
      <c r="T276" t="s">
        <v>46</v>
      </c>
      <c r="U276" t="s">
        <v>54</v>
      </c>
      <c r="V276" t="s">
        <v>926</v>
      </c>
      <c r="W276">
        <v>45500</v>
      </c>
      <c r="X276" t="s">
        <v>45</v>
      </c>
      <c r="Y276" t="s">
        <v>927</v>
      </c>
      <c r="Z276" t="s">
        <v>50</v>
      </c>
      <c r="AA276" s="10">
        <f>IF(O276&lt;=1,7,7+0.8*ROUNDUP(O276-1,0))</f>
        <v>7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12"/>
        <v>0.42</v>
      </c>
      <c r="AG276" s="11">
        <f t="shared" si="13"/>
        <v>7.42</v>
      </c>
      <c r="AH276" t="s">
        <v>51</v>
      </c>
    </row>
    <row r="277" spans="1:34" ht="15" customHeight="1" x14ac:dyDescent="0.35">
      <c r="A277">
        <v>7547676</v>
      </c>
      <c r="B277">
        <v>690929</v>
      </c>
      <c r="C277" t="s">
        <v>34</v>
      </c>
      <c r="D277" t="s">
        <v>35</v>
      </c>
      <c r="E277" s="6" t="s">
        <v>34</v>
      </c>
      <c r="F277" t="s">
        <v>928</v>
      </c>
      <c r="G277" t="s">
        <v>37</v>
      </c>
      <c r="H277" t="s">
        <v>38</v>
      </c>
      <c r="I277" t="s">
        <v>704</v>
      </c>
      <c r="J277" t="s">
        <v>40</v>
      </c>
      <c r="K277">
        <v>2</v>
      </c>
      <c r="L277" t="s">
        <v>41</v>
      </c>
      <c r="M277" t="s">
        <v>42</v>
      </c>
      <c r="N277" t="s">
        <v>43</v>
      </c>
      <c r="O277" s="7">
        <v>3</v>
      </c>
      <c r="P277" s="8">
        <v>45371.560115740744</v>
      </c>
      <c r="Q277" s="9">
        <v>45373</v>
      </c>
      <c r="R277" t="s">
        <v>789</v>
      </c>
      <c r="S277" t="s">
        <v>45</v>
      </c>
      <c r="T277" t="s">
        <v>46</v>
      </c>
      <c r="U277" t="s">
        <v>77</v>
      </c>
      <c r="V277" t="s">
        <v>705</v>
      </c>
      <c r="W277">
        <v>77200</v>
      </c>
      <c r="X277" t="s">
        <v>45</v>
      </c>
      <c r="Y277" t="s">
        <v>706</v>
      </c>
      <c r="Z277" t="s">
        <v>50</v>
      </c>
      <c r="AA277" s="10">
        <f>IF(O277&lt;=1,7,7+0.8*ROUNDUP(O277-1,0))</f>
        <v>8.6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12"/>
        <v>0.51600000000000001</v>
      </c>
      <c r="AG277" s="11">
        <f t="shared" si="13"/>
        <v>9.1159999999999997</v>
      </c>
      <c r="AH277" t="s">
        <v>51</v>
      </c>
    </row>
    <row r="278" spans="1:34" ht="15" customHeight="1" x14ac:dyDescent="0.35">
      <c r="A278">
        <v>7547676</v>
      </c>
      <c r="B278">
        <v>690929</v>
      </c>
      <c r="C278" t="s">
        <v>34</v>
      </c>
      <c r="D278" t="s">
        <v>35</v>
      </c>
      <c r="E278" s="6" t="s">
        <v>34</v>
      </c>
      <c r="F278" t="s">
        <v>929</v>
      </c>
      <c r="G278" t="s">
        <v>37</v>
      </c>
      <c r="H278" t="s">
        <v>38</v>
      </c>
      <c r="I278" t="s">
        <v>930</v>
      </c>
      <c r="J278" t="s">
        <v>40</v>
      </c>
      <c r="K278">
        <v>2</v>
      </c>
      <c r="L278" t="s">
        <v>41</v>
      </c>
      <c r="M278" t="s">
        <v>42</v>
      </c>
      <c r="N278" t="s">
        <v>43</v>
      </c>
      <c r="O278" s="7">
        <v>1</v>
      </c>
      <c r="P278" s="8">
        <v>45372.476041666669</v>
      </c>
      <c r="Q278" s="9">
        <v>45373</v>
      </c>
      <c r="R278" t="s">
        <v>789</v>
      </c>
      <c r="S278" t="s">
        <v>45</v>
      </c>
      <c r="T278" t="s">
        <v>46</v>
      </c>
      <c r="U278" t="s">
        <v>54</v>
      </c>
      <c r="V278" t="s">
        <v>931</v>
      </c>
      <c r="W278">
        <v>47600</v>
      </c>
      <c r="X278" t="s">
        <v>45</v>
      </c>
      <c r="Y278" t="s">
        <v>441</v>
      </c>
      <c r="Z278" t="s">
        <v>50</v>
      </c>
      <c r="AA278" s="10">
        <f>IF(O278&lt;=1,7,7+0.8*ROUNDUP(O278-1,0))</f>
        <v>7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12"/>
        <v>0.42</v>
      </c>
      <c r="AG278" s="11">
        <f t="shared" si="13"/>
        <v>7.42</v>
      </c>
      <c r="AH278" t="s">
        <v>51</v>
      </c>
    </row>
    <row r="279" spans="1:34" ht="15" customHeight="1" x14ac:dyDescent="0.35">
      <c r="A279">
        <v>7547676</v>
      </c>
      <c r="B279">
        <v>690929</v>
      </c>
      <c r="C279" t="s">
        <v>34</v>
      </c>
      <c r="D279" t="s">
        <v>35</v>
      </c>
      <c r="E279" s="6" t="s">
        <v>34</v>
      </c>
      <c r="F279" t="s">
        <v>932</v>
      </c>
      <c r="G279" t="s">
        <v>37</v>
      </c>
      <c r="H279" t="s">
        <v>38</v>
      </c>
      <c r="I279" t="s">
        <v>933</v>
      </c>
      <c r="J279" t="s">
        <v>40</v>
      </c>
      <c r="K279">
        <v>2</v>
      </c>
      <c r="L279" t="s">
        <v>41</v>
      </c>
      <c r="M279" t="s">
        <v>42</v>
      </c>
      <c r="N279" t="s">
        <v>43</v>
      </c>
      <c r="O279" s="7">
        <v>2</v>
      </c>
      <c r="P279" s="8">
        <v>45371.560115740744</v>
      </c>
      <c r="Q279" s="9">
        <v>45373</v>
      </c>
      <c r="R279" t="s">
        <v>789</v>
      </c>
      <c r="S279" t="s">
        <v>45</v>
      </c>
      <c r="T279" t="s">
        <v>46</v>
      </c>
      <c r="U279" t="s">
        <v>47</v>
      </c>
      <c r="V279" t="s">
        <v>934</v>
      </c>
      <c r="W279">
        <v>22200</v>
      </c>
      <c r="X279" t="s">
        <v>45</v>
      </c>
      <c r="Y279" t="s">
        <v>761</v>
      </c>
      <c r="Z279" t="s">
        <v>50</v>
      </c>
      <c r="AA279" s="10">
        <f>IF(O279&lt;=1,7,7+0.8*ROUNDUP(O279-1,0))</f>
        <v>7.8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12"/>
        <v>0.46799999999999997</v>
      </c>
      <c r="AG279" s="11">
        <f t="shared" si="13"/>
        <v>8.2680000000000007</v>
      </c>
      <c r="AH279" t="s">
        <v>51</v>
      </c>
    </row>
    <row r="280" spans="1:34" ht="15" customHeight="1" x14ac:dyDescent="0.35">
      <c r="A280">
        <v>7547676</v>
      </c>
      <c r="B280">
        <v>690929</v>
      </c>
      <c r="C280" t="s">
        <v>34</v>
      </c>
      <c r="D280" t="s">
        <v>35</v>
      </c>
      <c r="E280" s="6" t="s">
        <v>34</v>
      </c>
      <c r="F280" t="s">
        <v>935</v>
      </c>
      <c r="G280" t="s">
        <v>37</v>
      </c>
      <c r="H280" t="s">
        <v>38</v>
      </c>
      <c r="I280" t="s">
        <v>936</v>
      </c>
      <c r="J280" t="s">
        <v>40</v>
      </c>
      <c r="K280">
        <v>2</v>
      </c>
      <c r="L280" t="s">
        <v>41</v>
      </c>
      <c r="M280" t="s">
        <v>42</v>
      </c>
      <c r="N280" t="s">
        <v>43</v>
      </c>
      <c r="O280" s="7">
        <v>4</v>
      </c>
      <c r="P280" s="8">
        <v>45372.51835648148</v>
      </c>
      <c r="Q280" s="9">
        <v>45373</v>
      </c>
      <c r="R280" t="s">
        <v>789</v>
      </c>
      <c r="S280" t="s">
        <v>45</v>
      </c>
      <c r="T280" t="s">
        <v>46</v>
      </c>
      <c r="U280" t="s">
        <v>54</v>
      </c>
      <c r="V280" t="s">
        <v>937</v>
      </c>
      <c r="W280">
        <v>40000</v>
      </c>
      <c r="X280" t="s">
        <v>45</v>
      </c>
      <c r="Y280" t="s">
        <v>79</v>
      </c>
      <c r="Z280" t="s">
        <v>50</v>
      </c>
      <c r="AA280" s="10">
        <f>IF(O280&lt;=1,7,7+0.8*ROUNDUP(O280-1,0))</f>
        <v>9.4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12"/>
        <v>0.56399999999999995</v>
      </c>
      <c r="AG280" s="11">
        <f t="shared" si="13"/>
        <v>9.9640000000000004</v>
      </c>
      <c r="AH280" t="s">
        <v>51</v>
      </c>
    </row>
    <row r="281" spans="1:34" ht="15" customHeight="1" x14ac:dyDescent="0.35">
      <c r="A281">
        <v>7547676</v>
      </c>
      <c r="B281">
        <v>690929</v>
      </c>
      <c r="C281" t="s">
        <v>34</v>
      </c>
      <c r="D281" t="s">
        <v>35</v>
      </c>
      <c r="E281" s="6" t="s">
        <v>34</v>
      </c>
      <c r="F281" t="s">
        <v>938</v>
      </c>
      <c r="G281" t="s">
        <v>37</v>
      </c>
      <c r="H281" t="s">
        <v>38</v>
      </c>
      <c r="I281" t="s">
        <v>939</v>
      </c>
      <c r="J281" t="s">
        <v>40</v>
      </c>
      <c r="K281">
        <v>2</v>
      </c>
      <c r="L281" t="s">
        <v>41</v>
      </c>
      <c r="M281" t="s">
        <v>42</v>
      </c>
      <c r="N281" t="s">
        <v>43</v>
      </c>
      <c r="O281" s="7">
        <v>1</v>
      </c>
      <c r="P281" s="8">
        <v>45371.560127314813</v>
      </c>
      <c r="Q281" s="9">
        <v>45373</v>
      </c>
      <c r="R281" t="s">
        <v>789</v>
      </c>
      <c r="S281" t="s">
        <v>45</v>
      </c>
      <c r="T281" t="s">
        <v>46</v>
      </c>
      <c r="U281" t="s">
        <v>86</v>
      </c>
      <c r="V281" t="s">
        <v>940</v>
      </c>
      <c r="W281">
        <v>72100</v>
      </c>
      <c r="X281" t="s">
        <v>45</v>
      </c>
      <c r="Y281" t="s">
        <v>640</v>
      </c>
      <c r="Z281" t="s">
        <v>50</v>
      </c>
      <c r="AA281" s="10">
        <f>IF(O281&lt;=1,7,7+0.8*ROUNDUP(O281-1,0))</f>
        <v>7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12"/>
        <v>0.42</v>
      </c>
      <c r="AG281" s="11">
        <f t="shared" si="13"/>
        <v>7.42</v>
      </c>
      <c r="AH281" t="s">
        <v>51</v>
      </c>
    </row>
    <row r="282" spans="1:34" ht="15" customHeight="1" x14ac:dyDescent="0.35">
      <c r="A282">
        <v>7547676</v>
      </c>
      <c r="B282">
        <v>690929</v>
      </c>
      <c r="C282" t="s">
        <v>34</v>
      </c>
      <c r="D282" t="s">
        <v>35</v>
      </c>
      <c r="E282" s="6" t="s">
        <v>34</v>
      </c>
      <c r="F282" t="s">
        <v>941</v>
      </c>
      <c r="G282" t="s">
        <v>37</v>
      </c>
      <c r="H282" t="s">
        <v>38</v>
      </c>
      <c r="I282" t="s">
        <v>502</v>
      </c>
      <c r="J282" t="s">
        <v>40</v>
      </c>
      <c r="K282">
        <v>2</v>
      </c>
      <c r="L282" t="s">
        <v>41</v>
      </c>
      <c r="M282" t="s">
        <v>42</v>
      </c>
      <c r="N282" t="s">
        <v>43</v>
      </c>
      <c r="O282" s="7">
        <v>16</v>
      </c>
      <c r="P282" s="8">
        <v>45371.656793981485</v>
      </c>
      <c r="Q282" s="9">
        <v>45373</v>
      </c>
      <c r="R282" t="s">
        <v>44</v>
      </c>
      <c r="S282" t="s">
        <v>45</v>
      </c>
      <c r="T282" t="s">
        <v>46</v>
      </c>
      <c r="U282" t="s">
        <v>82</v>
      </c>
      <c r="V282" t="s">
        <v>503</v>
      </c>
      <c r="W282">
        <v>81200</v>
      </c>
      <c r="X282" t="s">
        <v>45</v>
      </c>
      <c r="Y282" t="s">
        <v>79</v>
      </c>
      <c r="Z282" t="s">
        <v>50</v>
      </c>
      <c r="AA282" s="10">
        <f>IF(O282&lt;=1,7,7+0.8*ROUNDUP(O282-1,0))</f>
        <v>19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12"/>
        <v>1.1399999999999999</v>
      </c>
      <c r="AG282" s="11">
        <f t="shared" si="13"/>
        <v>20.14</v>
      </c>
      <c r="AH282" t="s">
        <v>51</v>
      </c>
    </row>
    <row r="283" spans="1:34" ht="15" customHeight="1" x14ac:dyDescent="0.35">
      <c r="A283">
        <v>7547676</v>
      </c>
      <c r="B283">
        <v>690929</v>
      </c>
      <c r="C283" t="s">
        <v>34</v>
      </c>
      <c r="D283" t="s">
        <v>35</v>
      </c>
      <c r="E283" s="6" t="s">
        <v>34</v>
      </c>
      <c r="F283" t="s">
        <v>942</v>
      </c>
      <c r="G283" t="s">
        <v>37</v>
      </c>
      <c r="H283" t="s">
        <v>38</v>
      </c>
      <c r="I283" t="s">
        <v>943</v>
      </c>
      <c r="J283" t="s">
        <v>40</v>
      </c>
      <c r="K283">
        <v>2</v>
      </c>
      <c r="L283" t="s">
        <v>41</v>
      </c>
      <c r="M283" t="s">
        <v>42</v>
      </c>
      <c r="N283" t="s">
        <v>43</v>
      </c>
      <c r="O283" s="7">
        <v>2</v>
      </c>
      <c r="P283" s="8">
        <v>45371.66207175926</v>
      </c>
      <c r="Q283" s="9">
        <v>45373</v>
      </c>
      <c r="R283" t="s">
        <v>44</v>
      </c>
      <c r="S283" t="s">
        <v>45</v>
      </c>
      <c r="T283" t="s">
        <v>46</v>
      </c>
      <c r="U283" t="s">
        <v>134</v>
      </c>
      <c r="V283" t="s">
        <v>944</v>
      </c>
      <c r="W283">
        <v>8800</v>
      </c>
      <c r="X283" t="s">
        <v>45</v>
      </c>
      <c r="Y283" t="s">
        <v>945</v>
      </c>
      <c r="Z283" t="s">
        <v>50</v>
      </c>
      <c r="AA283" s="10">
        <f>IF(O283&lt;=1,7,7+0.8*ROUNDUP(O283-1,0))</f>
        <v>7.8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12"/>
        <v>0.46799999999999997</v>
      </c>
      <c r="AG283" s="11">
        <f t="shared" si="13"/>
        <v>8.2680000000000007</v>
      </c>
      <c r="AH283" t="s">
        <v>51</v>
      </c>
    </row>
    <row r="284" spans="1:34" ht="15" customHeight="1" x14ac:dyDescent="0.35">
      <c r="A284">
        <v>7547676</v>
      </c>
      <c r="B284">
        <v>690929</v>
      </c>
      <c r="C284" t="s">
        <v>34</v>
      </c>
      <c r="D284" t="s">
        <v>35</v>
      </c>
      <c r="E284" s="6" t="s">
        <v>34</v>
      </c>
      <c r="F284" t="s">
        <v>946</v>
      </c>
      <c r="G284" t="s">
        <v>37</v>
      </c>
      <c r="H284" t="s">
        <v>38</v>
      </c>
      <c r="I284" t="s">
        <v>947</v>
      </c>
      <c r="J284" t="s">
        <v>40</v>
      </c>
      <c r="K284">
        <v>2</v>
      </c>
      <c r="L284" t="s">
        <v>41</v>
      </c>
      <c r="M284" t="s">
        <v>42</v>
      </c>
      <c r="N284" t="s">
        <v>43</v>
      </c>
      <c r="O284" s="7">
        <v>2</v>
      </c>
      <c r="P284" s="8">
        <v>45371.66207175926</v>
      </c>
      <c r="Q284" s="9">
        <v>45373</v>
      </c>
      <c r="R284" t="s">
        <v>44</v>
      </c>
      <c r="S284" t="s">
        <v>45</v>
      </c>
      <c r="T284" t="s">
        <v>46</v>
      </c>
      <c r="U284" t="s">
        <v>278</v>
      </c>
      <c r="V284" t="s">
        <v>948</v>
      </c>
      <c r="W284">
        <v>11000</v>
      </c>
      <c r="X284" t="s">
        <v>45</v>
      </c>
      <c r="Y284" t="s">
        <v>949</v>
      </c>
      <c r="Z284" t="s">
        <v>50</v>
      </c>
      <c r="AA284" s="10">
        <f>IF(O284&lt;=1,7,7+0.8*ROUNDUP(O284-1,0))</f>
        <v>7.8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12"/>
        <v>0.46799999999999997</v>
      </c>
      <c r="AG284" s="11">
        <f t="shared" si="13"/>
        <v>8.2680000000000007</v>
      </c>
      <c r="AH284" t="s">
        <v>51</v>
      </c>
    </row>
    <row r="285" spans="1:34" ht="15" customHeight="1" x14ac:dyDescent="0.35">
      <c r="A285">
        <v>7547676</v>
      </c>
      <c r="B285">
        <v>690929</v>
      </c>
      <c r="C285" t="s">
        <v>34</v>
      </c>
      <c r="D285" t="s">
        <v>35</v>
      </c>
      <c r="E285" s="6" t="s">
        <v>34</v>
      </c>
      <c r="F285" t="s">
        <v>950</v>
      </c>
      <c r="G285" t="s">
        <v>37</v>
      </c>
      <c r="H285" t="s">
        <v>38</v>
      </c>
      <c r="I285" t="s">
        <v>951</v>
      </c>
      <c r="J285" t="s">
        <v>40</v>
      </c>
      <c r="K285">
        <v>2</v>
      </c>
      <c r="L285" t="s">
        <v>41</v>
      </c>
      <c r="M285" t="s">
        <v>42</v>
      </c>
      <c r="N285" t="s">
        <v>43</v>
      </c>
      <c r="O285" s="7">
        <v>4</v>
      </c>
      <c r="P285" s="8">
        <v>45371.560115740744</v>
      </c>
      <c r="Q285" s="9">
        <v>45373</v>
      </c>
      <c r="R285" t="s">
        <v>789</v>
      </c>
      <c r="S285" t="s">
        <v>45</v>
      </c>
      <c r="T285" t="s">
        <v>46</v>
      </c>
      <c r="U285" t="s">
        <v>82</v>
      </c>
      <c r="V285" t="s">
        <v>952</v>
      </c>
      <c r="W285">
        <v>81750</v>
      </c>
      <c r="X285" t="s">
        <v>45</v>
      </c>
      <c r="Y285" t="s">
        <v>79</v>
      </c>
      <c r="Z285" t="s">
        <v>50</v>
      </c>
      <c r="AA285" s="10">
        <f>IF(O285&lt;=1,7,7+0.8*ROUNDUP(O285-1,0))</f>
        <v>9.4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12"/>
        <v>0.56399999999999995</v>
      </c>
      <c r="AG285" s="11">
        <f t="shared" si="13"/>
        <v>9.9640000000000004</v>
      </c>
      <c r="AH285" t="s">
        <v>51</v>
      </c>
    </row>
    <row r="286" spans="1:34" ht="15" customHeight="1" x14ac:dyDescent="0.35">
      <c r="A286">
        <v>7547676</v>
      </c>
      <c r="B286">
        <v>690929</v>
      </c>
      <c r="C286" t="s">
        <v>34</v>
      </c>
      <c r="D286" t="s">
        <v>35</v>
      </c>
      <c r="E286" s="6" t="s">
        <v>34</v>
      </c>
      <c r="F286" t="s">
        <v>953</v>
      </c>
      <c r="G286" t="s">
        <v>37</v>
      </c>
      <c r="H286" t="s">
        <v>38</v>
      </c>
      <c r="I286" t="s">
        <v>954</v>
      </c>
      <c r="J286" t="s">
        <v>40</v>
      </c>
      <c r="K286">
        <v>2</v>
      </c>
      <c r="L286" t="s">
        <v>41</v>
      </c>
      <c r="M286" t="s">
        <v>42</v>
      </c>
      <c r="N286" t="s">
        <v>43</v>
      </c>
      <c r="O286" s="7">
        <v>2</v>
      </c>
      <c r="P286" s="8">
        <v>45371.523356481484</v>
      </c>
      <c r="Q286" s="9">
        <v>45373</v>
      </c>
      <c r="R286" t="s">
        <v>44</v>
      </c>
      <c r="S286" t="s">
        <v>45</v>
      </c>
      <c r="T286" t="s">
        <v>46</v>
      </c>
      <c r="U286" t="s">
        <v>172</v>
      </c>
      <c r="V286" t="s">
        <v>955</v>
      </c>
      <c r="W286">
        <v>35500</v>
      </c>
      <c r="X286" t="s">
        <v>45</v>
      </c>
      <c r="Y286" t="s">
        <v>956</v>
      </c>
      <c r="Z286" t="s">
        <v>50</v>
      </c>
      <c r="AA286" s="10">
        <f>IF(O286&lt;=1,7,7+0.8*ROUNDUP(O286-1,0))</f>
        <v>7.8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12"/>
        <v>0.46799999999999997</v>
      </c>
      <c r="AG286" s="11">
        <f t="shared" si="13"/>
        <v>8.2680000000000007</v>
      </c>
      <c r="AH286" t="s">
        <v>51</v>
      </c>
    </row>
    <row r="287" spans="1:34" ht="15" customHeight="1" x14ac:dyDescent="0.35">
      <c r="A287">
        <v>7547676</v>
      </c>
      <c r="B287">
        <v>690929</v>
      </c>
      <c r="C287" t="s">
        <v>34</v>
      </c>
      <c r="D287" t="s">
        <v>35</v>
      </c>
      <c r="E287" s="6" t="s">
        <v>34</v>
      </c>
      <c r="F287" t="s">
        <v>957</v>
      </c>
      <c r="G287" t="s">
        <v>37</v>
      </c>
      <c r="H287" t="s">
        <v>38</v>
      </c>
      <c r="I287" t="s">
        <v>958</v>
      </c>
      <c r="J287" t="s">
        <v>40</v>
      </c>
      <c r="K287">
        <v>2</v>
      </c>
      <c r="L287" t="s">
        <v>41</v>
      </c>
      <c r="M287" t="s">
        <v>42</v>
      </c>
      <c r="N287" t="s">
        <v>43</v>
      </c>
      <c r="O287" s="7">
        <v>1</v>
      </c>
      <c r="P287" s="8">
        <v>45371.560127314813</v>
      </c>
      <c r="Q287" s="9">
        <v>45373</v>
      </c>
      <c r="R287" t="s">
        <v>789</v>
      </c>
      <c r="S287" t="s">
        <v>45</v>
      </c>
      <c r="T287" t="s">
        <v>46</v>
      </c>
      <c r="U287" t="s">
        <v>47</v>
      </c>
      <c r="V287" t="s">
        <v>959</v>
      </c>
      <c r="W287">
        <v>22200</v>
      </c>
      <c r="X287" t="s">
        <v>45</v>
      </c>
      <c r="Y287" t="s">
        <v>761</v>
      </c>
      <c r="Z287" t="s">
        <v>50</v>
      </c>
      <c r="AA287" s="10">
        <f>IF(O287&lt;=1,7,7+0.8*ROUNDUP(O287-1,0))</f>
        <v>7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12"/>
        <v>0.42</v>
      </c>
      <c r="AG287" s="11">
        <f t="shared" si="13"/>
        <v>7.42</v>
      </c>
      <c r="AH287" t="s">
        <v>51</v>
      </c>
    </row>
    <row r="288" spans="1:34" ht="15" customHeight="1" x14ac:dyDescent="0.35">
      <c r="A288">
        <v>7547676</v>
      </c>
      <c r="B288">
        <v>690929</v>
      </c>
      <c r="C288" t="s">
        <v>34</v>
      </c>
      <c r="D288" t="s">
        <v>35</v>
      </c>
      <c r="E288" s="6" t="s">
        <v>34</v>
      </c>
      <c r="F288" t="s">
        <v>960</v>
      </c>
      <c r="G288" t="s">
        <v>37</v>
      </c>
      <c r="H288" t="s">
        <v>38</v>
      </c>
      <c r="I288" t="s">
        <v>961</v>
      </c>
      <c r="J288" t="s">
        <v>40</v>
      </c>
      <c r="K288">
        <v>2</v>
      </c>
      <c r="L288" t="s">
        <v>41</v>
      </c>
      <c r="M288" t="s">
        <v>42</v>
      </c>
      <c r="N288" t="s">
        <v>43</v>
      </c>
      <c r="O288" s="7">
        <v>2</v>
      </c>
      <c r="P288" s="8">
        <v>45371.636956018519</v>
      </c>
      <c r="Q288" s="9">
        <v>45373</v>
      </c>
      <c r="R288" t="s">
        <v>789</v>
      </c>
      <c r="S288" t="s">
        <v>45</v>
      </c>
      <c r="T288" t="s">
        <v>46</v>
      </c>
      <c r="U288" t="s">
        <v>54</v>
      </c>
      <c r="V288" t="s">
        <v>962</v>
      </c>
      <c r="W288">
        <v>68000</v>
      </c>
      <c r="X288" t="s">
        <v>45</v>
      </c>
      <c r="Y288" t="s">
        <v>331</v>
      </c>
      <c r="Z288" t="s">
        <v>50</v>
      </c>
      <c r="AA288" s="10">
        <f>IF(O288&lt;=1,7,7+0.8*ROUNDUP(O288-1,0))</f>
        <v>7.8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12"/>
        <v>0.46799999999999997</v>
      </c>
      <c r="AG288" s="11">
        <f t="shared" si="13"/>
        <v>8.2680000000000007</v>
      </c>
      <c r="AH288" t="s">
        <v>51</v>
      </c>
    </row>
    <row r="289" spans="1:34" ht="15" customHeight="1" x14ac:dyDescent="0.35">
      <c r="A289">
        <v>7547676</v>
      </c>
      <c r="B289">
        <v>690929</v>
      </c>
      <c r="C289" t="s">
        <v>34</v>
      </c>
      <c r="D289" t="s">
        <v>35</v>
      </c>
      <c r="E289" s="6" t="s">
        <v>34</v>
      </c>
      <c r="F289" t="s">
        <v>963</v>
      </c>
      <c r="G289" t="s">
        <v>37</v>
      </c>
      <c r="H289" t="s">
        <v>38</v>
      </c>
      <c r="I289" t="s">
        <v>964</v>
      </c>
      <c r="J289" t="s">
        <v>40</v>
      </c>
      <c r="K289">
        <v>2</v>
      </c>
      <c r="L289" t="s">
        <v>41</v>
      </c>
      <c r="M289" t="s">
        <v>42</v>
      </c>
      <c r="N289" t="s">
        <v>43</v>
      </c>
      <c r="O289" s="7">
        <v>2</v>
      </c>
      <c r="P289" s="8">
        <v>45372.458020833335</v>
      </c>
      <c r="Q289" s="9">
        <v>45373</v>
      </c>
      <c r="R289" t="s">
        <v>789</v>
      </c>
      <c r="S289" t="s">
        <v>45</v>
      </c>
      <c r="T289" t="s">
        <v>46</v>
      </c>
      <c r="U289" t="s">
        <v>54</v>
      </c>
      <c r="V289" t="s">
        <v>965</v>
      </c>
      <c r="W289">
        <v>63000</v>
      </c>
      <c r="X289" t="s">
        <v>45</v>
      </c>
      <c r="Y289" t="s">
        <v>966</v>
      </c>
      <c r="Z289" t="s">
        <v>50</v>
      </c>
      <c r="AA289" s="10">
        <f>IF(O289&lt;=1,7,7+0.8*ROUNDUP(O289-1,0))</f>
        <v>7.8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12"/>
        <v>0.46799999999999997</v>
      </c>
      <c r="AG289" s="11">
        <f t="shared" si="13"/>
        <v>8.2680000000000007</v>
      </c>
      <c r="AH289" t="s">
        <v>51</v>
      </c>
    </row>
    <row r="290" spans="1:34" ht="15" customHeight="1" x14ac:dyDescent="0.35">
      <c r="A290">
        <v>7547676</v>
      </c>
      <c r="B290">
        <v>690929</v>
      </c>
      <c r="C290" t="s">
        <v>34</v>
      </c>
      <c r="D290" t="s">
        <v>35</v>
      </c>
      <c r="E290" s="6" t="s">
        <v>34</v>
      </c>
      <c r="F290" t="s">
        <v>967</v>
      </c>
      <c r="G290" t="s">
        <v>37</v>
      </c>
      <c r="H290" t="s">
        <v>38</v>
      </c>
      <c r="I290" t="s">
        <v>968</v>
      </c>
      <c r="J290" t="s">
        <v>40</v>
      </c>
      <c r="K290">
        <v>2</v>
      </c>
      <c r="L290" t="s">
        <v>41</v>
      </c>
      <c r="M290" t="s">
        <v>42</v>
      </c>
      <c r="N290" t="s">
        <v>43</v>
      </c>
      <c r="O290" s="7">
        <v>1</v>
      </c>
      <c r="P290" s="8">
        <v>45371.560127314813</v>
      </c>
      <c r="Q290" s="9">
        <v>45373</v>
      </c>
      <c r="R290" t="s">
        <v>789</v>
      </c>
      <c r="S290" t="s">
        <v>45</v>
      </c>
      <c r="T290" t="s">
        <v>46</v>
      </c>
      <c r="U290" t="s">
        <v>82</v>
      </c>
      <c r="V290" t="s">
        <v>969</v>
      </c>
      <c r="W290">
        <v>81400</v>
      </c>
      <c r="X290" t="s">
        <v>45</v>
      </c>
      <c r="Y290" t="s">
        <v>970</v>
      </c>
      <c r="Z290" t="s">
        <v>50</v>
      </c>
      <c r="AA290" s="10">
        <f>IF(O290&lt;=1,7,7+0.8*ROUNDUP(O290-1,0))</f>
        <v>7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12"/>
        <v>0.42</v>
      </c>
      <c r="AG290" s="11">
        <f t="shared" si="13"/>
        <v>7.42</v>
      </c>
      <c r="AH290" t="s">
        <v>51</v>
      </c>
    </row>
    <row r="291" spans="1:34" ht="15" customHeight="1" x14ac:dyDescent="0.35">
      <c r="A291">
        <v>7547676</v>
      </c>
      <c r="B291">
        <v>690929</v>
      </c>
      <c r="C291" t="s">
        <v>34</v>
      </c>
      <c r="D291" t="s">
        <v>35</v>
      </c>
      <c r="E291" s="6" t="s">
        <v>34</v>
      </c>
      <c r="F291" t="s">
        <v>971</v>
      </c>
      <c r="G291" t="s">
        <v>37</v>
      </c>
      <c r="H291" t="s">
        <v>38</v>
      </c>
      <c r="I291" t="s">
        <v>972</v>
      </c>
      <c r="J291" t="s">
        <v>40</v>
      </c>
      <c r="K291">
        <v>2</v>
      </c>
      <c r="L291" t="s">
        <v>41</v>
      </c>
      <c r="M291" t="s">
        <v>42</v>
      </c>
      <c r="N291" t="s">
        <v>43</v>
      </c>
      <c r="O291" s="7">
        <v>2</v>
      </c>
      <c r="P291" s="8">
        <v>45370.627395833333</v>
      </c>
      <c r="Q291" s="9">
        <v>45373</v>
      </c>
      <c r="R291" t="s">
        <v>44</v>
      </c>
      <c r="S291" t="s">
        <v>45</v>
      </c>
      <c r="T291" t="s">
        <v>46</v>
      </c>
      <c r="U291" t="s">
        <v>54</v>
      </c>
      <c r="V291" t="s">
        <v>973</v>
      </c>
      <c r="W291">
        <v>45800</v>
      </c>
      <c r="X291" t="s">
        <v>45</v>
      </c>
      <c r="Y291" t="s">
        <v>927</v>
      </c>
      <c r="Z291" t="s">
        <v>50</v>
      </c>
      <c r="AA291" s="10">
        <f>IF(O291&lt;=1,7,7+0.8*ROUNDUP(O291-1,0))</f>
        <v>7.8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12"/>
        <v>0.46799999999999997</v>
      </c>
      <c r="AG291" s="11">
        <f t="shared" si="13"/>
        <v>8.2680000000000007</v>
      </c>
      <c r="AH291" t="s">
        <v>51</v>
      </c>
    </row>
    <row r="292" spans="1:34" ht="15" customHeight="1" x14ac:dyDescent="0.35">
      <c r="A292">
        <v>7547676</v>
      </c>
      <c r="B292">
        <v>690929</v>
      </c>
      <c r="C292" t="s">
        <v>34</v>
      </c>
      <c r="D292" t="s">
        <v>35</v>
      </c>
      <c r="E292" s="6" t="s">
        <v>34</v>
      </c>
      <c r="F292" t="s">
        <v>974</v>
      </c>
      <c r="G292" t="s">
        <v>37</v>
      </c>
      <c r="H292" t="s">
        <v>38</v>
      </c>
      <c r="I292" t="s">
        <v>975</v>
      </c>
      <c r="J292" t="s">
        <v>40</v>
      </c>
      <c r="K292">
        <v>2</v>
      </c>
      <c r="L292" t="s">
        <v>41</v>
      </c>
      <c r="M292" t="s">
        <v>42</v>
      </c>
      <c r="N292" t="s">
        <v>43</v>
      </c>
      <c r="O292" s="7">
        <v>1</v>
      </c>
      <c r="P292" s="8">
        <v>45372.631631944445</v>
      </c>
      <c r="Q292" s="9">
        <v>45373</v>
      </c>
      <c r="R292" t="s">
        <v>789</v>
      </c>
      <c r="S292" t="s">
        <v>45</v>
      </c>
      <c r="T292" t="s">
        <v>46</v>
      </c>
      <c r="U292" t="s">
        <v>54</v>
      </c>
      <c r="V292" t="s">
        <v>976</v>
      </c>
      <c r="W292">
        <v>43200</v>
      </c>
      <c r="X292" t="s">
        <v>45</v>
      </c>
      <c r="Y292" t="s">
        <v>804</v>
      </c>
      <c r="Z292" t="s">
        <v>50</v>
      </c>
      <c r="AA292" s="10">
        <f>IF(O292&lt;=1,7,7+0.8*ROUNDUP(O292-1,0))</f>
        <v>7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12"/>
        <v>0.42</v>
      </c>
      <c r="AG292" s="11">
        <f t="shared" si="13"/>
        <v>7.42</v>
      </c>
      <c r="AH292" t="s">
        <v>51</v>
      </c>
    </row>
    <row r="293" spans="1:34" ht="15" customHeight="1" x14ac:dyDescent="0.35">
      <c r="A293">
        <v>7547676</v>
      </c>
      <c r="B293">
        <v>690929</v>
      </c>
      <c r="C293" t="s">
        <v>34</v>
      </c>
      <c r="D293" t="s">
        <v>35</v>
      </c>
      <c r="E293" s="6" t="s">
        <v>34</v>
      </c>
      <c r="F293" t="s">
        <v>977</v>
      </c>
      <c r="G293" t="s">
        <v>37</v>
      </c>
      <c r="H293" t="s">
        <v>38</v>
      </c>
      <c r="I293" t="s">
        <v>978</v>
      </c>
      <c r="J293" t="s">
        <v>40</v>
      </c>
      <c r="K293">
        <v>2</v>
      </c>
      <c r="L293" t="s">
        <v>41</v>
      </c>
      <c r="M293" t="s">
        <v>42</v>
      </c>
      <c r="N293" t="s">
        <v>43</v>
      </c>
      <c r="O293" s="7">
        <v>5</v>
      </c>
      <c r="P293" s="8">
        <v>45371.560127314813</v>
      </c>
      <c r="Q293" s="9">
        <v>45373</v>
      </c>
      <c r="R293" t="s">
        <v>789</v>
      </c>
      <c r="S293" t="s">
        <v>45</v>
      </c>
      <c r="T293" t="s">
        <v>46</v>
      </c>
      <c r="U293" t="s">
        <v>190</v>
      </c>
      <c r="V293" t="s">
        <v>979</v>
      </c>
      <c r="W293">
        <v>26900</v>
      </c>
      <c r="X293" t="s">
        <v>45</v>
      </c>
      <c r="Y293" t="s">
        <v>79</v>
      </c>
      <c r="Z293" t="s">
        <v>50</v>
      </c>
      <c r="AA293" s="10">
        <f>IF(O293&lt;=1,7,7+0.8*ROUNDUP(O293-1,0))</f>
        <v>10.199999999999999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12"/>
        <v>0.61199999999999999</v>
      </c>
      <c r="AG293" s="11">
        <f t="shared" si="13"/>
        <v>10.811999999999999</v>
      </c>
      <c r="AH293" t="s">
        <v>51</v>
      </c>
    </row>
    <row r="294" spans="1:34" ht="15" customHeight="1" x14ac:dyDescent="0.35">
      <c r="A294">
        <v>7547676</v>
      </c>
      <c r="B294">
        <v>690929</v>
      </c>
      <c r="C294" t="s">
        <v>34</v>
      </c>
      <c r="D294" t="s">
        <v>35</v>
      </c>
      <c r="E294" s="6" t="s">
        <v>34</v>
      </c>
      <c r="F294" t="s">
        <v>980</v>
      </c>
      <c r="G294" t="s">
        <v>37</v>
      </c>
      <c r="H294" t="s">
        <v>38</v>
      </c>
      <c r="I294" t="s">
        <v>981</v>
      </c>
      <c r="J294" t="s">
        <v>40</v>
      </c>
      <c r="K294">
        <v>2</v>
      </c>
      <c r="L294" t="s">
        <v>41</v>
      </c>
      <c r="M294" t="s">
        <v>42</v>
      </c>
      <c r="N294" t="s">
        <v>43</v>
      </c>
      <c r="O294" s="7">
        <v>1</v>
      </c>
      <c r="P294" s="8">
        <v>45371.686979166669</v>
      </c>
      <c r="Q294" s="9">
        <v>45373</v>
      </c>
      <c r="R294" t="s">
        <v>789</v>
      </c>
      <c r="S294" t="s">
        <v>45</v>
      </c>
      <c r="T294" t="s">
        <v>46</v>
      </c>
      <c r="U294" t="s">
        <v>54</v>
      </c>
      <c r="V294" t="s">
        <v>982</v>
      </c>
      <c r="W294">
        <v>43500</v>
      </c>
      <c r="X294" t="s">
        <v>45</v>
      </c>
      <c r="Y294" t="s">
        <v>983</v>
      </c>
      <c r="Z294" t="s">
        <v>50</v>
      </c>
      <c r="AA294" s="10">
        <f>IF(O294&lt;=1,7,7+0.8*ROUNDUP(O294-1,0))</f>
        <v>7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12"/>
        <v>0.42</v>
      </c>
      <c r="AG294" s="11">
        <f t="shared" si="13"/>
        <v>7.42</v>
      </c>
      <c r="AH294" t="s">
        <v>51</v>
      </c>
    </row>
    <row r="295" spans="1:34" ht="15" customHeight="1" x14ac:dyDescent="0.35">
      <c r="A295">
        <v>7547676</v>
      </c>
      <c r="B295">
        <v>690929</v>
      </c>
      <c r="C295" t="s">
        <v>34</v>
      </c>
      <c r="D295" t="s">
        <v>35</v>
      </c>
      <c r="E295" s="6" t="s">
        <v>34</v>
      </c>
      <c r="F295" t="s">
        <v>984</v>
      </c>
      <c r="G295" t="s">
        <v>37</v>
      </c>
      <c r="H295" t="s">
        <v>38</v>
      </c>
      <c r="I295" t="s">
        <v>985</v>
      </c>
      <c r="J295" t="s">
        <v>40</v>
      </c>
      <c r="K295">
        <v>2</v>
      </c>
      <c r="L295" t="s">
        <v>41</v>
      </c>
      <c r="M295" t="s">
        <v>42</v>
      </c>
      <c r="N295" t="s">
        <v>43</v>
      </c>
      <c r="O295" s="7">
        <v>2</v>
      </c>
      <c r="P295" s="8">
        <v>45371.636956018519</v>
      </c>
      <c r="Q295" s="9">
        <v>45373</v>
      </c>
      <c r="R295" t="s">
        <v>44</v>
      </c>
      <c r="S295" t="s">
        <v>45</v>
      </c>
      <c r="T295" t="s">
        <v>46</v>
      </c>
      <c r="U295" t="s">
        <v>54</v>
      </c>
      <c r="V295" t="s">
        <v>986</v>
      </c>
      <c r="W295">
        <v>68000</v>
      </c>
      <c r="X295" t="s">
        <v>45</v>
      </c>
      <c r="Y295" t="s">
        <v>228</v>
      </c>
      <c r="Z295" t="s">
        <v>50</v>
      </c>
      <c r="AA295" s="10">
        <f>IF(O295&lt;=1,7,7+0.8*ROUNDUP(O295-1,0))</f>
        <v>7.8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12"/>
        <v>0.46799999999999997</v>
      </c>
      <c r="AG295" s="11">
        <f t="shared" si="13"/>
        <v>8.2680000000000007</v>
      </c>
      <c r="AH295" t="s">
        <v>51</v>
      </c>
    </row>
    <row r="296" spans="1:34" ht="15" customHeight="1" x14ac:dyDescent="0.35">
      <c r="A296">
        <v>7547676</v>
      </c>
      <c r="B296">
        <v>690929</v>
      </c>
      <c r="C296" t="s">
        <v>34</v>
      </c>
      <c r="D296" t="s">
        <v>35</v>
      </c>
      <c r="E296" s="6" t="s">
        <v>34</v>
      </c>
      <c r="F296" t="s">
        <v>987</v>
      </c>
      <c r="G296" t="s">
        <v>37</v>
      </c>
      <c r="H296" t="s">
        <v>38</v>
      </c>
      <c r="I296" t="s">
        <v>988</v>
      </c>
      <c r="J296" t="s">
        <v>40</v>
      </c>
      <c r="K296">
        <v>2</v>
      </c>
      <c r="L296" t="s">
        <v>41</v>
      </c>
      <c r="M296" t="s">
        <v>42</v>
      </c>
      <c r="N296" t="s">
        <v>43</v>
      </c>
      <c r="O296" s="7">
        <v>1</v>
      </c>
      <c r="P296" s="8">
        <v>45372.637199074074</v>
      </c>
      <c r="Q296" s="9">
        <v>45373</v>
      </c>
      <c r="R296" t="s">
        <v>789</v>
      </c>
      <c r="S296" t="s">
        <v>45</v>
      </c>
      <c r="T296" t="s">
        <v>46</v>
      </c>
      <c r="U296" t="s">
        <v>86</v>
      </c>
      <c r="V296" t="s">
        <v>989</v>
      </c>
      <c r="W296">
        <v>71800</v>
      </c>
      <c r="X296" t="s">
        <v>45</v>
      </c>
      <c r="Y296" t="s">
        <v>88</v>
      </c>
      <c r="Z296" t="s">
        <v>50</v>
      </c>
      <c r="AA296" s="10">
        <f>IF(O296&lt;=1,7,7+0.8*ROUNDUP(O296-1,0))</f>
        <v>7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ref="AF296:AF359" si="14">(AA296+AC296+AE296)*6%</f>
        <v>0.42</v>
      </c>
      <c r="AG296" s="11">
        <f t="shared" ref="AG296:AG359" si="15">AA296+AC296+AE296+AF296</f>
        <v>7.42</v>
      </c>
      <c r="AH296" t="s">
        <v>51</v>
      </c>
    </row>
    <row r="297" spans="1:34" ht="15" customHeight="1" x14ac:dyDescent="0.35">
      <c r="A297">
        <v>7547676</v>
      </c>
      <c r="B297">
        <v>690929</v>
      </c>
      <c r="C297" t="s">
        <v>34</v>
      </c>
      <c r="D297" t="s">
        <v>35</v>
      </c>
      <c r="E297" s="6" t="s">
        <v>34</v>
      </c>
      <c r="F297" t="s">
        <v>990</v>
      </c>
      <c r="G297" t="s">
        <v>37</v>
      </c>
      <c r="H297" t="s">
        <v>38</v>
      </c>
      <c r="I297" t="s">
        <v>991</v>
      </c>
      <c r="J297" t="s">
        <v>40</v>
      </c>
      <c r="K297">
        <v>2</v>
      </c>
      <c r="L297" t="s">
        <v>41</v>
      </c>
      <c r="M297" t="s">
        <v>42</v>
      </c>
      <c r="N297" t="s">
        <v>43</v>
      </c>
      <c r="O297" s="7">
        <v>1</v>
      </c>
      <c r="P297" s="8">
        <v>45372.67690972222</v>
      </c>
      <c r="Q297" s="9">
        <v>45373</v>
      </c>
      <c r="R297" t="s">
        <v>789</v>
      </c>
      <c r="S297" t="s">
        <v>45</v>
      </c>
      <c r="T297" t="s">
        <v>46</v>
      </c>
      <c r="U297" t="s">
        <v>54</v>
      </c>
      <c r="V297" t="s">
        <v>992</v>
      </c>
      <c r="W297">
        <v>68100</v>
      </c>
      <c r="X297" t="s">
        <v>45</v>
      </c>
      <c r="Y297" t="s">
        <v>126</v>
      </c>
      <c r="Z297" t="s">
        <v>50</v>
      </c>
      <c r="AA297" s="10">
        <f>IF(O297&lt;=1,7,7+0.8*ROUNDUP(O297-1,0))</f>
        <v>7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14"/>
        <v>0.42</v>
      </c>
      <c r="AG297" s="11">
        <f t="shared" si="15"/>
        <v>7.42</v>
      </c>
      <c r="AH297" t="s">
        <v>51</v>
      </c>
    </row>
    <row r="298" spans="1:34" ht="15" customHeight="1" x14ac:dyDescent="0.35">
      <c r="A298">
        <v>7547676</v>
      </c>
      <c r="B298">
        <v>690929</v>
      </c>
      <c r="C298" t="s">
        <v>34</v>
      </c>
      <c r="D298" t="s">
        <v>35</v>
      </c>
      <c r="E298" s="6" t="s">
        <v>34</v>
      </c>
      <c r="F298" t="s">
        <v>993</v>
      </c>
      <c r="G298" t="s">
        <v>37</v>
      </c>
      <c r="H298" t="s">
        <v>38</v>
      </c>
      <c r="I298" t="s">
        <v>994</v>
      </c>
      <c r="J298" t="s">
        <v>40</v>
      </c>
      <c r="K298">
        <v>2</v>
      </c>
      <c r="L298" t="s">
        <v>41</v>
      </c>
      <c r="M298" t="s">
        <v>42</v>
      </c>
      <c r="N298" t="s">
        <v>43</v>
      </c>
      <c r="O298" s="7">
        <v>1</v>
      </c>
      <c r="P298" s="8">
        <v>45370.40084490741</v>
      </c>
      <c r="Q298" s="9">
        <v>45373</v>
      </c>
      <c r="R298" t="s">
        <v>44</v>
      </c>
      <c r="S298" t="s">
        <v>45</v>
      </c>
      <c r="T298" t="s">
        <v>46</v>
      </c>
      <c r="U298" t="s">
        <v>54</v>
      </c>
      <c r="V298" t="s">
        <v>995</v>
      </c>
      <c r="W298">
        <v>53100</v>
      </c>
      <c r="X298" t="s">
        <v>45</v>
      </c>
      <c r="Y298" t="s">
        <v>79</v>
      </c>
      <c r="Z298" t="s">
        <v>50</v>
      </c>
      <c r="AA298" s="10">
        <f>IF(O298&lt;=1,7,7+0.8*ROUNDUP(O298-1,0))</f>
        <v>7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14"/>
        <v>0.42</v>
      </c>
      <c r="AG298" s="11">
        <f t="shared" si="15"/>
        <v>7.42</v>
      </c>
      <c r="AH298" t="s">
        <v>51</v>
      </c>
    </row>
    <row r="299" spans="1:34" ht="15" customHeight="1" x14ac:dyDescent="0.35">
      <c r="A299">
        <v>7547676</v>
      </c>
      <c r="B299">
        <v>690929</v>
      </c>
      <c r="C299" t="s">
        <v>34</v>
      </c>
      <c r="D299" t="s">
        <v>35</v>
      </c>
      <c r="E299" s="6" t="s">
        <v>34</v>
      </c>
      <c r="F299" t="s">
        <v>996</v>
      </c>
      <c r="G299" t="s">
        <v>37</v>
      </c>
      <c r="H299" t="s">
        <v>38</v>
      </c>
      <c r="I299" t="s">
        <v>997</v>
      </c>
      <c r="J299" t="s">
        <v>40</v>
      </c>
      <c r="K299">
        <v>2</v>
      </c>
      <c r="L299" t="s">
        <v>41</v>
      </c>
      <c r="M299" t="s">
        <v>42</v>
      </c>
      <c r="N299" t="s">
        <v>43</v>
      </c>
      <c r="O299" s="7">
        <v>5</v>
      </c>
      <c r="P299" s="8">
        <v>45372.51835648148</v>
      </c>
      <c r="Q299" s="9">
        <v>45374</v>
      </c>
      <c r="R299" t="s">
        <v>44</v>
      </c>
      <c r="S299" t="s">
        <v>45</v>
      </c>
      <c r="T299" t="s">
        <v>46</v>
      </c>
      <c r="U299" t="s">
        <v>54</v>
      </c>
      <c r="V299" t="s">
        <v>998</v>
      </c>
      <c r="W299">
        <v>52100</v>
      </c>
      <c r="X299" t="s">
        <v>45</v>
      </c>
      <c r="Y299" t="s">
        <v>243</v>
      </c>
      <c r="Z299" t="s">
        <v>50</v>
      </c>
      <c r="AA299" s="10">
        <f>IF(O299&lt;=1,7,7+0.8*ROUNDUP(O299-1,0))</f>
        <v>10.199999999999999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14"/>
        <v>0.61199999999999999</v>
      </c>
      <c r="AG299" s="11">
        <f t="shared" si="15"/>
        <v>10.811999999999999</v>
      </c>
      <c r="AH299" t="s">
        <v>51</v>
      </c>
    </row>
    <row r="300" spans="1:34" ht="15" customHeight="1" x14ac:dyDescent="0.35">
      <c r="A300">
        <v>7547676</v>
      </c>
      <c r="B300">
        <v>690929</v>
      </c>
      <c r="C300" t="s">
        <v>34</v>
      </c>
      <c r="D300" t="s">
        <v>35</v>
      </c>
      <c r="E300" s="6" t="s">
        <v>34</v>
      </c>
      <c r="F300" t="s">
        <v>999</v>
      </c>
      <c r="G300" t="s">
        <v>37</v>
      </c>
      <c r="H300" t="s">
        <v>38</v>
      </c>
      <c r="I300" t="s">
        <v>1000</v>
      </c>
      <c r="J300" t="s">
        <v>40</v>
      </c>
      <c r="K300">
        <v>2</v>
      </c>
      <c r="L300" t="s">
        <v>41</v>
      </c>
      <c r="M300" t="s">
        <v>42</v>
      </c>
      <c r="N300" t="s">
        <v>43</v>
      </c>
      <c r="O300" s="7">
        <v>1</v>
      </c>
      <c r="P300" s="8">
        <v>45372.693206018521</v>
      </c>
      <c r="Q300" s="9">
        <v>45374</v>
      </c>
      <c r="R300" t="s">
        <v>789</v>
      </c>
      <c r="S300" t="s">
        <v>45</v>
      </c>
      <c r="T300" t="s">
        <v>46</v>
      </c>
      <c r="U300" t="s">
        <v>47</v>
      </c>
      <c r="V300" t="s">
        <v>1001</v>
      </c>
      <c r="W300">
        <v>20000</v>
      </c>
      <c r="X300" t="s">
        <v>45</v>
      </c>
      <c r="Y300" t="s">
        <v>79</v>
      </c>
      <c r="Z300" t="s">
        <v>50</v>
      </c>
      <c r="AA300" s="10">
        <f>IF(O300&lt;=1,7,7+0.8*ROUNDUP(O300-1,0))</f>
        <v>7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14"/>
        <v>0.42</v>
      </c>
      <c r="AG300" s="11">
        <f t="shared" si="15"/>
        <v>7.42</v>
      </c>
      <c r="AH300" t="s">
        <v>51</v>
      </c>
    </row>
    <row r="301" spans="1:34" ht="15" customHeight="1" x14ac:dyDescent="0.35">
      <c r="A301">
        <v>7547676</v>
      </c>
      <c r="B301">
        <v>690929</v>
      </c>
      <c r="C301" t="s">
        <v>34</v>
      </c>
      <c r="D301" t="s">
        <v>35</v>
      </c>
      <c r="E301" s="6" t="s">
        <v>34</v>
      </c>
      <c r="F301" t="s">
        <v>1002</v>
      </c>
      <c r="G301" t="s">
        <v>37</v>
      </c>
      <c r="H301" t="s">
        <v>38</v>
      </c>
      <c r="I301" t="s">
        <v>1003</v>
      </c>
      <c r="J301" t="s">
        <v>40</v>
      </c>
      <c r="K301">
        <v>2</v>
      </c>
      <c r="L301" t="s">
        <v>41</v>
      </c>
      <c r="M301" t="s">
        <v>42</v>
      </c>
      <c r="N301" t="s">
        <v>43</v>
      </c>
      <c r="O301" s="7">
        <v>8</v>
      </c>
      <c r="P301" s="8">
        <v>45372.617928240739</v>
      </c>
      <c r="Q301" s="9">
        <v>45374</v>
      </c>
      <c r="R301" t="s">
        <v>44</v>
      </c>
      <c r="S301" t="s">
        <v>45</v>
      </c>
      <c r="T301" t="s">
        <v>46</v>
      </c>
      <c r="U301" t="s">
        <v>172</v>
      </c>
      <c r="V301" t="s">
        <v>1004</v>
      </c>
      <c r="W301">
        <v>32610</v>
      </c>
      <c r="X301" t="s">
        <v>45</v>
      </c>
      <c r="Y301" t="s">
        <v>1005</v>
      </c>
      <c r="Z301" t="s">
        <v>50</v>
      </c>
      <c r="AA301" s="10">
        <f>IF(O301&lt;=1,7,7+0.8*ROUNDUP(O301-1,0))</f>
        <v>12.600000000000001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14"/>
        <v>0.75600000000000001</v>
      </c>
      <c r="AG301" s="11">
        <f t="shared" si="15"/>
        <v>13.356000000000002</v>
      </c>
      <c r="AH301" t="s">
        <v>51</v>
      </c>
    </row>
    <row r="302" spans="1:34" ht="15" customHeight="1" x14ac:dyDescent="0.35">
      <c r="A302">
        <v>7547676</v>
      </c>
      <c r="B302">
        <v>690929</v>
      </c>
      <c r="C302" t="s">
        <v>34</v>
      </c>
      <c r="D302" t="s">
        <v>35</v>
      </c>
      <c r="E302" s="6" t="s">
        <v>34</v>
      </c>
      <c r="F302" t="s">
        <v>1006</v>
      </c>
      <c r="G302" t="s">
        <v>37</v>
      </c>
      <c r="H302" t="s">
        <v>38</v>
      </c>
      <c r="I302" t="s">
        <v>1007</v>
      </c>
      <c r="J302" t="s">
        <v>40</v>
      </c>
      <c r="K302">
        <v>2</v>
      </c>
      <c r="L302" t="s">
        <v>41</v>
      </c>
      <c r="M302" t="s">
        <v>42</v>
      </c>
      <c r="N302" t="s">
        <v>43</v>
      </c>
      <c r="O302" s="7">
        <v>1</v>
      </c>
      <c r="P302" s="8">
        <v>45372.476041666669</v>
      </c>
      <c r="Q302" s="9">
        <v>45374</v>
      </c>
      <c r="R302" t="s">
        <v>789</v>
      </c>
      <c r="S302" t="s">
        <v>45</v>
      </c>
      <c r="T302" t="s">
        <v>46</v>
      </c>
      <c r="U302" t="s">
        <v>99</v>
      </c>
      <c r="V302" t="s">
        <v>1008</v>
      </c>
      <c r="W302">
        <v>16050</v>
      </c>
      <c r="X302" t="s">
        <v>45</v>
      </c>
      <c r="Y302" t="s">
        <v>399</v>
      </c>
      <c r="Z302" t="s">
        <v>50</v>
      </c>
      <c r="AA302" s="10">
        <f>IF(O302&lt;=1,7,7+0.8*ROUNDUP(O302-1,0))</f>
        <v>7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14"/>
        <v>0.42</v>
      </c>
      <c r="AG302" s="11">
        <f t="shared" si="15"/>
        <v>7.42</v>
      </c>
      <c r="AH302" t="s">
        <v>51</v>
      </c>
    </row>
    <row r="303" spans="1:34" ht="15" customHeight="1" x14ac:dyDescent="0.35">
      <c r="A303">
        <v>7547676</v>
      </c>
      <c r="B303">
        <v>690929</v>
      </c>
      <c r="C303" t="s">
        <v>34</v>
      </c>
      <c r="D303" t="s">
        <v>35</v>
      </c>
      <c r="E303" s="6" t="s">
        <v>34</v>
      </c>
      <c r="F303" t="s">
        <v>1009</v>
      </c>
      <c r="G303" t="s">
        <v>37</v>
      </c>
      <c r="H303" t="s">
        <v>38</v>
      </c>
      <c r="I303" t="s">
        <v>1010</v>
      </c>
      <c r="J303" t="s">
        <v>40</v>
      </c>
      <c r="K303">
        <v>2</v>
      </c>
      <c r="L303" t="s">
        <v>41</v>
      </c>
      <c r="M303" t="s">
        <v>42</v>
      </c>
      <c r="N303" t="s">
        <v>43</v>
      </c>
      <c r="O303" s="7">
        <v>1</v>
      </c>
      <c r="P303" s="8">
        <v>45371.737349537034</v>
      </c>
      <c r="Q303" s="9">
        <v>45374</v>
      </c>
      <c r="R303" t="s">
        <v>789</v>
      </c>
      <c r="S303" t="s">
        <v>45</v>
      </c>
      <c r="T303" t="s">
        <v>46</v>
      </c>
      <c r="U303" t="s">
        <v>67</v>
      </c>
      <c r="V303" t="s">
        <v>1011</v>
      </c>
      <c r="W303">
        <v>53300</v>
      </c>
      <c r="X303" t="s">
        <v>45</v>
      </c>
      <c r="Y303" t="s">
        <v>79</v>
      </c>
      <c r="Z303" t="s">
        <v>50</v>
      </c>
      <c r="AA303" s="10">
        <f>IF(O303&lt;=1,7,7+0.8*ROUNDUP(O303-1,0))</f>
        <v>7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14"/>
        <v>0.42</v>
      </c>
      <c r="AG303" s="11">
        <f t="shared" si="15"/>
        <v>7.42</v>
      </c>
      <c r="AH303" t="s">
        <v>51</v>
      </c>
    </row>
    <row r="304" spans="1:34" ht="15" customHeight="1" x14ac:dyDescent="0.35">
      <c r="A304">
        <v>7547676</v>
      </c>
      <c r="B304">
        <v>690929</v>
      </c>
      <c r="C304" t="s">
        <v>34</v>
      </c>
      <c r="D304" t="s">
        <v>35</v>
      </c>
      <c r="E304" s="6" t="s">
        <v>34</v>
      </c>
      <c r="F304" t="s">
        <v>1012</v>
      </c>
      <c r="G304" t="s">
        <v>37</v>
      </c>
      <c r="H304" t="s">
        <v>38</v>
      </c>
      <c r="I304" t="s">
        <v>1013</v>
      </c>
      <c r="J304" t="s">
        <v>40</v>
      </c>
      <c r="K304">
        <v>2</v>
      </c>
      <c r="L304" t="s">
        <v>41</v>
      </c>
      <c r="M304" t="s">
        <v>42</v>
      </c>
      <c r="N304" t="s">
        <v>43</v>
      </c>
      <c r="O304" s="7">
        <v>1</v>
      </c>
      <c r="P304" s="8">
        <v>45372.701527777775</v>
      </c>
      <c r="Q304" s="9">
        <v>45374</v>
      </c>
      <c r="R304" t="s">
        <v>789</v>
      </c>
      <c r="S304" t="s">
        <v>45</v>
      </c>
      <c r="T304" t="s">
        <v>46</v>
      </c>
      <c r="U304" t="s">
        <v>190</v>
      </c>
      <c r="V304" t="s">
        <v>1014</v>
      </c>
      <c r="W304">
        <v>39100</v>
      </c>
      <c r="X304" t="s">
        <v>45</v>
      </c>
      <c r="Y304" t="s">
        <v>79</v>
      </c>
      <c r="Z304" t="s">
        <v>50</v>
      </c>
      <c r="AA304" s="10">
        <f>IF(O304&lt;=1,7,7+0.8*ROUNDUP(O304-1,0))</f>
        <v>7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14"/>
        <v>0.42</v>
      </c>
      <c r="AG304" s="11">
        <f t="shared" si="15"/>
        <v>7.42</v>
      </c>
      <c r="AH304" t="s">
        <v>51</v>
      </c>
    </row>
    <row r="305" spans="1:34" ht="15" customHeight="1" x14ac:dyDescent="0.35">
      <c r="A305">
        <v>7547676</v>
      </c>
      <c r="B305">
        <v>690929</v>
      </c>
      <c r="C305" t="s">
        <v>34</v>
      </c>
      <c r="D305" t="s">
        <v>35</v>
      </c>
      <c r="E305" s="6" t="s">
        <v>34</v>
      </c>
      <c r="F305" t="s">
        <v>1015</v>
      </c>
      <c r="G305" t="s">
        <v>37</v>
      </c>
      <c r="H305" t="s">
        <v>38</v>
      </c>
      <c r="I305" t="s">
        <v>1016</v>
      </c>
      <c r="J305" t="s">
        <v>40</v>
      </c>
      <c r="K305">
        <v>2</v>
      </c>
      <c r="L305" t="s">
        <v>41</v>
      </c>
      <c r="M305" t="s">
        <v>42</v>
      </c>
      <c r="N305" t="s">
        <v>43</v>
      </c>
      <c r="O305" s="7">
        <v>1</v>
      </c>
      <c r="P305" s="8">
        <v>45373.517939814818</v>
      </c>
      <c r="Q305" s="9">
        <v>45374</v>
      </c>
      <c r="R305" t="s">
        <v>287</v>
      </c>
      <c r="S305" t="s">
        <v>45</v>
      </c>
      <c r="T305" t="s">
        <v>46</v>
      </c>
      <c r="U305" t="s">
        <v>54</v>
      </c>
      <c r="V305" t="s">
        <v>1017</v>
      </c>
      <c r="W305">
        <v>43000</v>
      </c>
      <c r="X305" t="s">
        <v>45</v>
      </c>
      <c r="Y305" t="s">
        <v>284</v>
      </c>
      <c r="Z305" t="s">
        <v>50</v>
      </c>
      <c r="AA305" s="10">
        <f>IF(O305&lt;=1,7,7+0.8*ROUNDUP(O305-1,0))</f>
        <v>7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14"/>
        <v>0.42</v>
      </c>
      <c r="AG305" s="11">
        <f t="shared" si="15"/>
        <v>7.42</v>
      </c>
      <c r="AH305" t="s">
        <v>51</v>
      </c>
    </row>
    <row r="306" spans="1:34" ht="15" customHeight="1" x14ac:dyDescent="0.35">
      <c r="A306">
        <v>7547676</v>
      </c>
      <c r="B306">
        <v>690929</v>
      </c>
      <c r="C306" t="s">
        <v>34</v>
      </c>
      <c r="D306" t="s">
        <v>35</v>
      </c>
      <c r="E306" s="6" t="s">
        <v>34</v>
      </c>
      <c r="F306" t="s">
        <v>1018</v>
      </c>
      <c r="G306" t="s">
        <v>37</v>
      </c>
      <c r="H306" t="s">
        <v>38</v>
      </c>
      <c r="I306" t="s">
        <v>1019</v>
      </c>
      <c r="J306" t="s">
        <v>40</v>
      </c>
      <c r="K306">
        <v>2</v>
      </c>
      <c r="L306" t="s">
        <v>41</v>
      </c>
      <c r="M306" t="s">
        <v>42</v>
      </c>
      <c r="N306" t="s">
        <v>43</v>
      </c>
      <c r="O306" s="7">
        <v>1</v>
      </c>
      <c r="P306" s="8">
        <v>45372.458020833335</v>
      </c>
      <c r="Q306" s="9">
        <v>45374</v>
      </c>
      <c r="R306" t="s">
        <v>789</v>
      </c>
      <c r="S306" t="s">
        <v>45</v>
      </c>
      <c r="T306" t="s">
        <v>46</v>
      </c>
      <c r="U306" t="s">
        <v>99</v>
      </c>
      <c r="V306" t="s">
        <v>1020</v>
      </c>
      <c r="W306">
        <v>18300</v>
      </c>
      <c r="X306" t="s">
        <v>45</v>
      </c>
      <c r="Y306" t="s">
        <v>79</v>
      </c>
      <c r="Z306" t="s">
        <v>50</v>
      </c>
      <c r="AA306" s="10">
        <f>IF(O306&lt;=1,7,7+0.8*ROUNDUP(O306-1,0))</f>
        <v>7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14"/>
        <v>0.42</v>
      </c>
      <c r="AG306" s="11">
        <f t="shared" si="15"/>
        <v>7.42</v>
      </c>
      <c r="AH306" t="s">
        <v>51</v>
      </c>
    </row>
    <row r="307" spans="1:34" ht="15" customHeight="1" x14ac:dyDescent="0.35">
      <c r="A307">
        <v>7547676</v>
      </c>
      <c r="B307">
        <v>690929</v>
      </c>
      <c r="C307" t="s">
        <v>34</v>
      </c>
      <c r="D307" t="s">
        <v>35</v>
      </c>
      <c r="E307" s="6" t="s">
        <v>34</v>
      </c>
      <c r="F307" t="s">
        <v>1021</v>
      </c>
      <c r="G307" t="s">
        <v>37</v>
      </c>
      <c r="H307" t="s">
        <v>38</v>
      </c>
      <c r="I307" t="s">
        <v>1022</v>
      </c>
      <c r="J307" t="s">
        <v>40</v>
      </c>
      <c r="K307">
        <v>2</v>
      </c>
      <c r="L307" t="s">
        <v>41</v>
      </c>
      <c r="M307" t="s">
        <v>42</v>
      </c>
      <c r="N307" t="s">
        <v>43</v>
      </c>
      <c r="O307" s="7">
        <v>8</v>
      </c>
      <c r="P307" s="8">
        <v>45371.632268518515</v>
      </c>
      <c r="Q307" s="9">
        <v>45374</v>
      </c>
      <c r="R307" t="s">
        <v>44</v>
      </c>
      <c r="S307" t="s">
        <v>45</v>
      </c>
      <c r="T307" t="s">
        <v>46</v>
      </c>
      <c r="U307" t="s">
        <v>112</v>
      </c>
      <c r="V307" t="s">
        <v>1023</v>
      </c>
      <c r="W307">
        <v>88400</v>
      </c>
      <c r="X307" t="s">
        <v>114</v>
      </c>
      <c r="Y307" t="s">
        <v>115</v>
      </c>
      <c r="Z307" t="s">
        <v>50</v>
      </c>
      <c r="AA307" s="12">
        <f>IF(O307&lt;=1,13,IF(O307&lt;=2,23,IF(O307&lt;=3,35,IF(O307&lt;=4,43,IF(O307&lt;=5,53,IF(O307&lt;=6,63,IF(O307&lt;=7,71,IF(O307&lt;=8,79,IF(O307&lt;=9,87,IF(O307&lt;=10,95,IF(O307&lt;=11,105,IF(O307&lt;=12,114,IF(O307&lt;=13,119,IF(O307&lt;=14,127,IF(O307&lt;=15,135,IF(O307&lt;=16,143,IF(O307&lt;=17,153,IF(O307&lt;=18,163,IF(O307&lt;=19,171,IF(O307&lt;=20,185,IF(O307&lt;=21,193,IF(O307&lt;=22,201,IF(O307&lt;=23,210,IF(O307&lt;=24,220,IF(O307&lt;=25,230,IF(O307&lt;=26,240,IF(O307&lt;=27,250,IF(O307&lt;=28,260,IF(O307&lt;=29,270,IF(O307&lt;=30,280,280+10*ROUNDUP(O307-30,0)))))))))))))))))))))))))))))))</f>
        <v>79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14"/>
        <v>4.74</v>
      </c>
      <c r="AG307" s="11">
        <f t="shared" si="15"/>
        <v>83.74</v>
      </c>
      <c r="AH307" t="s">
        <v>116</v>
      </c>
    </row>
    <row r="308" spans="1:34" ht="15" customHeight="1" x14ac:dyDescent="0.35">
      <c r="A308">
        <v>7547676</v>
      </c>
      <c r="B308">
        <v>690929</v>
      </c>
      <c r="C308" t="s">
        <v>34</v>
      </c>
      <c r="D308" t="s">
        <v>35</v>
      </c>
      <c r="E308" s="6" t="s">
        <v>34</v>
      </c>
      <c r="F308" t="s">
        <v>1024</v>
      </c>
      <c r="G308" t="s">
        <v>37</v>
      </c>
      <c r="H308" t="s">
        <v>38</v>
      </c>
      <c r="I308" t="s">
        <v>1025</v>
      </c>
      <c r="J308" t="s">
        <v>40</v>
      </c>
      <c r="K308">
        <v>2</v>
      </c>
      <c r="L308" t="s">
        <v>41</v>
      </c>
      <c r="M308" t="s">
        <v>42</v>
      </c>
      <c r="N308" t="s">
        <v>43</v>
      </c>
      <c r="O308" s="7">
        <v>1</v>
      </c>
      <c r="P308" s="8">
        <v>45372.690474537034</v>
      </c>
      <c r="Q308" s="9">
        <v>45374</v>
      </c>
      <c r="R308" t="s">
        <v>789</v>
      </c>
      <c r="S308" t="s">
        <v>45</v>
      </c>
      <c r="T308" t="s">
        <v>46</v>
      </c>
      <c r="U308" t="s">
        <v>47</v>
      </c>
      <c r="V308" t="s">
        <v>1026</v>
      </c>
      <c r="W308">
        <v>21700</v>
      </c>
      <c r="X308" t="s">
        <v>45</v>
      </c>
      <c r="Y308" t="s">
        <v>1027</v>
      </c>
      <c r="Z308" t="s">
        <v>50</v>
      </c>
      <c r="AA308" s="10">
        <f>IF(O308&lt;=1,7,7+0.8*ROUNDUP(O308-1,0))</f>
        <v>7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14"/>
        <v>0.42</v>
      </c>
      <c r="AG308" s="11">
        <f t="shared" si="15"/>
        <v>7.42</v>
      </c>
      <c r="AH308" t="s">
        <v>51</v>
      </c>
    </row>
    <row r="309" spans="1:34" ht="15" customHeight="1" x14ac:dyDescent="0.35">
      <c r="A309">
        <v>7547676</v>
      </c>
      <c r="B309">
        <v>690929</v>
      </c>
      <c r="C309" t="s">
        <v>34</v>
      </c>
      <c r="D309" t="s">
        <v>35</v>
      </c>
      <c r="E309" s="6" t="s">
        <v>34</v>
      </c>
      <c r="F309" t="s">
        <v>1028</v>
      </c>
      <c r="G309" t="s">
        <v>37</v>
      </c>
      <c r="H309" t="s">
        <v>38</v>
      </c>
      <c r="I309" t="s">
        <v>1029</v>
      </c>
      <c r="J309" t="s">
        <v>40</v>
      </c>
      <c r="K309">
        <v>2</v>
      </c>
      <c r="L309" t="s">
        <v>41</v>
      </c>
      <c r="M309" t="s">
        <v>42</v>
      </c>
      <c r="N309" t="s">
        <v>43</v>
      </c>
      <c r="O309" s="7">
        <v>1</v>
      </c>
      <c r="P309" s="8">
        <v>45372.458020833335</v>
      </c>
      <c r="Q309" s="9">
        <v>45374</v>
      </c>
      <c r="R309" t="s">
        <v>789</v>
      </c>
      <c r="S309" t="s">
        <v>45</v>
      </c>
      <c r="T309" t="s">
        <v>46</v>
      </c>
      <c r="U309" t="s">
        <v>99</v>
      </c>
      <c r="V309" t="s">
        <v>1030</v>
      </c>
      <c r="W309">
        <v>16150</v>
      </c>
      <c r="X309" t="s">
        <v>45</v>
      </c>
      <c r="Y309" t="s">
        <v>1031</v>
      </c>
      <c r="Z309" t="s">
        <v>50</v>
      </c>
      <c r="AA309" s="10">
        <f>IF(O309&lt;=1,7,7+0.8*ROUNDUP(O309-1,0))</f>
        <v>7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14"/>
        <v>0.42</v>
      </c>
      <c r="AG309" s="11">
        <f t="shared" si="15"/>
        <v>7.42</v>
      </c>
      <c r="AH309" t="s">
        <v>51</v>
      </c>
    </row>
    <row r="310" spans="1:34" ht="15" customHeight="1" x14ac:dyDescent="0.35">
      <c r="A310">
        <v>7547676</v>
      </c>
      <c r="B310">
        <v>690929</v>
      </c>
      <c r="C310" t="s">
        <v>34</v>
      </c>
      <c r="D310" t="s">
        <v>35</v>
      </c>
      <c r="E310" s="6" t="s">
        <v>34</v>
      </c>
      <c r="F310" t="s">
        <v>1032</v>
      </c>
      <c r="G310" t="s">
        <v>37</v>
      </c>
      <c r="H310" t="s">
        <v>38</v>
      </c>
      <c r="I310" t="s">
        <v>290</v>
      </c>
      <c r="J310" t="s">
        <v>40</v>
      </c>
      <c r="K310">
        <v>2</v>
      </c>
      <c r="L310" t="s">
        <v>41</v>
      </c>
      <c r="M310" t="s">
        <v>42</v>
      </c>
      <c r="N310" t="s">
        <v>43</v>
      </c>
      <c r="O310" s="7">
        <v>1</v>
      </c>
      <c r="P310" s="8">
        <v>45372.593761574077</v>
      </c>
      <c r="Q310" s="9">
        <v>45374</v>
      </c>
      <c r="R310" t="s">
        <v>789</v>
      </c>
      <c r="S310" t="s">
        <v>45</v>
      </c>
      <c r="T310" t="s">
        <v>46</v>
      </c>
      <c r="U310" t="s">
        <v>172</v>
      </c>
      <c r="V310" t="s">
        <v>1033</v>
      </c>
      <c r="W310">
        <v>34700</v>
      </c>
      <c r="X310" t="s">
        <v>45</v>
      </c>
      <c r="Y310" t="s">
        <v>79</v>
      </c>
      <c r="Z310" t="s">
        <v>50</v>
      </c>
      <c r="AA310" s="10">
        <f>IF(O310&lt;=1,7,7+0.8*ROUNDUP(O310-1,0))</f>
        <v>7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14"/>
        <v>0.42</v>
      </c>
      <c r="AG310" s="11">
        <f t="shared" si="15"/>
        <v>7.42</v>
      </c>
      <c r="AH310" t="s">
        <v>51</v>
      </c>
    </row>
    <row r="311" spans="1:34" ht="15" customHeight="1" x14ac:dyDescent="0.35">
      <c r="A311">
        <v>7547676</v>
      </c>
      <c r="B311">
        <v>690929</v>
      </c>
      <c r="C311" t="s">
        <v>34</v>
      </c>
      <c r="D311" t="s">
        <v>35</v>
      </c>
      <c r="E311" s="6" t="s">
        <v>34</v>
      </c>
      <c r="F311" t="s">
        <v>1034</v>
      </c>
      <c r="G311" t="s">
        <v>37</v>
      </c>
      <c r="H311" t="s">
        <v>38</v>
      </c>
      <c r="I311" t="s">
        <v>1035</v>
      </c>
      <c r="J311" t="s">
        <v>40</v>
      </c>
      <c r="K311">
        <v>2</v>
      </c>
      <c r="L311" t="s">
        <v>41</v>
      </c>
      <c r="M311" t="s">
        <v>42</v>
      </c>
      <c r="N311" t="s">
        <v>43</v>
      </c>
      <c r="O311" s="7">
        <v>12</v>
      </c>
      <c r="P311" s="8">
        <v>45372.614699074074</v>
      </c>
      <c r="Q311" s="9">
        <v>45374</v>
      </c>
      <c r="R311" t="s">
        <v>44</v>
      </c>
      <c r="S311" t="s">
        <v>45</v>
      </c>
      <c r="T311" t="s">
        <v>46</v>
      </c>
      <c r="U311" t="s">
        <v>54</v>
      </c>
      <c r="V311" t="s">
        <v>1036</v>
      </c>
      <c r="W311">
        <v>53100</v>
      </c>
      <c r="X311" t="s">
        <v>45</v>
      </c>
      <c r="Y311" t="s">
        <v>126</v>
      </c>
      <c r="Z311" t="s">
        <v>50</v>
      </c>
      <c r="AA311" s="10">
        <f>IF(O311&lt;=1,7,7+0.8*ROUNDUP(O311-1,0))</f>
        <v>15.8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14"/>
        <v>0.94799999999999995</v>
      </c>
      <c r="AG311" s="11">
        <f t="shared" si="15"/>
        <v>16.748000000000001</v>
      </c>
      <c r="AH311" t="s">
        <v>51</v>
      </c>
    </row>
    <row r="312" spans="1:34" ht="15" customHeight="1" x14ac:dyDescent="0.35">
      <c r="A312">
        <v>7547676</v>
      </c>
      <c r="B312">
        <v>690929</v>
      </c>
      <c r="C312" t="s">
        <v>34</v>
      </c>
      <c r="D312" t="s">
        <v>35</v>
      </c>
      <c r="E312" s="6" t="s">
        <v>34</v>
      </c>
      <c r="F312" t="s">
        <v>1037</v>
      </c>
      <c r="G312" t="s">
        <v>37</v>
      </c>
      <c r="H312" t="s">
        <v>38</v>
      </c>
      <c r="I312" t="s">
        <v>1038</v>
      </c>
      <c r="J312" t="s">
        <v>40</v>
      </c>
      <c r="K312">
        <v>2</v>
      </c>
      <c r="L312" t="s">
        <v>41</v>
      </c>
      <c r="M312" t="s">
        <v>42</v>
      </c>
      <c r="N312" t="s">
        <v>43</v>
      </c>
      <c r="O312" s="7">
        <v>2</v>
      </c>
      <c r="P312" s="8">
        <v>45372.696481481478</v>
      </c>
      <c r="Q312" s="9">
        <v>45374</v>
      </c>
      <c r="R312" t="s">
        <v>789</v>
      </c>
      <c r="S312" t="s">
        <v>45</v>
      </c>
      <c r="T312" t="s">
        <v>46</v>
      </c>
      <c r="U312" t="s">
        <v>86</v>
      </c>
      <c r="V312" t="s">
        <v>1039</v>
      </c>
      <c r="W312">
        <v>70400</v>
      </c>
      <c r="X312" t="s">
        <v>45</v>
      </c>
      <c r="Y312" t="s">
        <v>589</v>
      </c>
      <c r="Z312" t="s">
        <v>50</v>
      </c>
      <c r="AA312" s="10">
        <f>IF(O312&lt;=1,7,7+0.8*ROUNDUP(O312-1,0))</f>
        <v>7.8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14"/>
        <v>0.46799999999999997</v>
      </c>
      <c r="AG312" s="11">
        <f t="shared" si="15"/>
        <v>8.2680000000000007</v>
      </c>
      <c r="AH312" t="s">
        <v>51</v>
      </c>
    </row>
    <row r="313" spans="1:34" ht="15" customHeight="1" x14ac:dyDescent="0.35">
      <c r="A313">
        <v>7547676</v>
      </c>
      <c r="B313">
        <v>690929</v>
      </c>
      <c r="C313" t="s">
        <v>34</v>
      </c>
      <c r="D313" t="s">
        <v>35</v>
      </c>
      <c r="E313" s="6" t="s">
        <v>34</v>
      </c>
      <c r="F313" t="s">
        <v>1040</v>
      </c>
      <c r="G313" t="s">
        <v>37</v>
      </c>
      <c r="H313" t="s">
        <v>38</v>
      </c>
      <c r="I313" t="s">
        <v>158</v>
      </c>
      <c r="J313" t="s">
        <v>40</v>
      </c>
      <c r="K313">
        <v>2</v>
      </c>
      <c r="L313" t="s">
        <v>41</v>
      </c>
      <c r="M313" t="s">
        <v>42</v>
      </c>
      <c r="N313" t="s">
        <v>43</v>
      </c>
      <c r="O313" s="7">
        <v>2</v>
      </c>
      <c r="P313" s="8">
        <v>45372.692106481481</v>
      </c>
      <c r="Q313" s="9">
        <v>45374</v>
      </c>
      <c r="R313" t="s">
        <v>44</v>
      </c>
      <c r="S313" t="s">
        <v>45</v>
      </c>
      <c r="T313" t="s">
        <v>46</v>
      </c>
      <c r="U313" t="s">
        <v>54</v>
      </c>
      <c r="V313" t="s">
        <v>159</v>
      </c>
      <c r="W313">
        <v>47000</v>
      </c>
      <c r="X313" t="s">
        <v>45</v>
      </c>
      <c r="Y313" t="s">
        <v>144</v>
      </c>
      <c r="Z313" t="s">
        <v>50</v>
      </c>
      <c r="AA313" s="10">
        <f>IF(O313&lt;=1,7,7+0.8*ROUNDUP(O313-1,0))</f>
        <v>7.8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14"/>
        <v>0.46799999999999997</v>
      </c>
      <c r="AG313" s="11">
        <f t="shared" si="15"/>
        <v>8.2680000000000007</v>
      </c>
      <c r="AH313" t="s">
        <v>51</v>
      </c>
    </row>
    <row r="314" spans="1:34" ht="15" customHeight="1" x14ac:dyDescent="0.35">
      <c r="A314">
        <v>7547676</v>
      </c>
      <c r="B314">
        <v>690929</v>
      </c>
      <c r="C314" t="s">
        <v>34</v>
      </c>
      <c r="D314" t="s">
        <v>35</v>
      </c>
      <c r="E314" s="6" t="s">
        <v>34</v>
      </c>
      <c r="F314" t="s">
        <v>1041</v>
      </c>
      <c r="G314" t="s">
        <v>37</v>
      </c>
      <c r="H314" t="s">
        <v>38</v>
      </c>
      <c r="I314" t="s">
        <v>933</v>
      </c>
      <c r="J314" t="s">
        <v>40</v>
      </c>
      <c r="K314">
        <v>2</v>
      </c>
      <c r="L314" t="s">
        <v>41</v>
      </c>
      <c r="M314" t="s">
        <v>42</v>
      </c>
      <c r="N314" t="s">
        <v>43</v>
      </c>
      <c r="O314" s="7">
        <v>1</v>
      </c>
      <c r="P314" s="8">
        <v>45372.476041666669</v>
      </c>
      <c r="Q314" s="9">
        <v>45374</v>
      </c>
      <c r="R314" t="s">
        <v>789</v>
      </c>
      <c r="S314" t="s">
        <v>45</v>
      </c>
      <c r="T314" t="s">
        <v>46</v>
      </c>
      <c r="U314" t="s">
        <v>47</v>
      </c>
      <c r="V314" t="s">
        <v>934</v>
      </c>
      <c r="W314">
        <v>22200</v>
      </c>
      <c r="X314" t="s">
        <v>45</v>
      </c>
      <c r="Y314" t="s">
        <v>79</v>
      </c>
      <c r="Z314" t="s">
        <v>50</v>
      </c>
      <c r="AA314" s="10">
        <f>IF(O314&lt;=1,7,7+0.8*ROUNDUP(O314-1,0))</f>
        <v>7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14"/>
        <v>0.42</v>
      </c>
      <c r="AG314" s="11">
        <f t="shared" si="15"/>
        <v>7.42</v>
      </c>
      <c r="AH314" t="s">
        <v>51</v>
      </c>
    </row>
    <row r="315" spans="1:34" ht="15" customHeight="1" x14ac:dyDescent="0.35">
      <c r="A315">
        <v>7547676</v>
      </c>
      <c r="B315">
        <v>690929</v>
      </c>
      <c r="C315" t="s">
        <v>34</v>
      </c>
      <c r="D315" t="s">
        <v>35</v>
      </c>
      <c r="E315" s="6" t="s">
        <v>34</v>
      </c>
      <c r="F315" t="s">
        <v>1042</v>
      </c>
      <c r="G315" t="s">
        <v>37</v>
      </c>
      <c r="H315" t="s">
        <v>38</v>
      </c>
      <c r="I315" t="s">
        <v>1043</v>
      </c>
      <c r="J315" t="s">
        <v>40</v>
      </c>
      <c r="K315">
        <v>2</v>
      </c>
      <c r="L315" t="s">
        <v>41</v>
      </c>
      <c r="M315" t="s">
        <v>42</v>
      </c>
      <c r="N315" t="s">
        <v>43</v>
      </c>
      <c r="O315" s="7">
        <v>4</v>
      </c>
      <c r="P315" s="8">
        <v>45372.711701388886</v>
      </c>
      <c r="Q315" s="9">
        <v>45374</v>
      </c>
      <c r="R315" t="s">
        <v>789</v>
      </c>
      <c r="S315" t="s">
        <v>45</v>
      </c>
      <c r="T315" t="s">
        <v>46</v>
      </c>
      <c r="U315" t="s">
        <v>99</v>
      </c>
      <c r="V315" t="s">
        <v>1044</v>
      </c>
      <c r="W315">
        <v>17200</v>
      </c>
      <c r="X315" t="s">
        <v>45</v>
      </c>
      <c r="Y315" t="s">
        <v>1045</v>
      </c>
      <c r="Z315" t="s">
        <v>50</v>
      </c>
      <c r="AA315" s="10">
        <f>IF(O315&lt;=1,7,7+0.8*ROUNDUP(O315-1,0))</f>
        <v>9.4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14"/>
        <v>0.56399999999999995</v>
      </c>
      <c r="AG315" s="11">
        <f t="shared" si="15"/>
        <v>9.9640000000000004</v>
      </c>
      <c r="AH315" t="s">
        <v>51</v>
      </c>
    </row>
    <row r="316" spans="1:34" ht="15" customHeight="1" x14ac:dyDescent="0.35">
      <c r="A316">
        <v>7547676</v>
      </c>
      <c r="B316">
        <v>690929</v>
      </c>
      <c r="C316" t="s">
        <v>34</v>
      </c>
      <c r="D316" t="s">
        <v>35</v>
      </c>
      <c r="E316" s="6" t="s">
        <v>34</v>
      </c>
      <c r="F316" t="s">
        <v>1046</v>
      </c>
      <c r="G316" t="s">
        <v>37</v>
      </c>
      <c r="H316" t="s">
        <v>38</v>
      </c>
      <c r="I316" t="s">
        <v>1047</v>
      </c>
      <c r="J316" t="s">
        <v>40</v>
      </c>
      <c r="K316">
        <v>2</v>
      </c>
      <c r="L316" t="s">
        <v>41</v>
      </c>
      <c r="M316" t="s">
        <v>42</v>
      </c>
      <c r="N316" t="s">
        <v>43</v>
      </c>
      <c r="O316" s="7">
        <v>4</v>
      </c>
      <c r="P316" s="8">
        <v>45372.670937499999</v>
      </c>
      <c r="Q316" s="9">
        <v>45374</v>
      </c>
      <c r="R316" t="s">
        <v>44</v>
      </c>
      <c r="S316" t="s">
        <v>45</v>
      </c>
      <c r="T316" t="s">
        <v>46</v>
      </c>
      <c r="U316" t="s">
        <v>54</v>
      </c>
      <c r="V316" t="s">
        <v>1048</v>
      </c>
      <c r="W316">
        <v>41200</v>
      </c>
      <c r="X316" t="s">
        <v>45</v>
      </c>
      <c r="Y316" t="s">
        <v>1049</v>
      </c>
      <c r="Z316" t="s">
        <v>50</v>
      </c>
      <c r="AA316" s="10">
        <f>IF(O316&lt;=1,7,7+0.8*ROUNDUP(O316-1,0))</f>
        <v>9.4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14"/>
        <v>0.56399999999999995</v>
      </c>
      <c r="AG316" s="11">
        <f t="shared" si="15"/>
        <v>9.9640000000000004</v>
      </c>
      <c r="AH316" t="s">
        <v>51</v>
      </c>
    </row>
    <row r="317" spans="1:34" ht="15" customHeight="1" x14ac:dyDescent="0.35">
      <c r="A317">
        <v>7547676</v>
      </c>
      <c r="B317">
        <v>690929</v>
      </c>
      <c r="C317" t="s">
        <v>34</v>
      </c>
      <c r="D317" t="s">
        <v>35</v>
      </c>
      <c r="E317" s="6" t="s">
        <v>34</v>
      </c>
      <c r="F317" t="s">
        <v>1050</v>
      </c>
      <c r="G317" t="s">
        <v>37</v>
      </c>
      <c r="H317" t="s">
        <v>38</v>
      </c>
      <c r="I317" t="s">
        <v>1051</v>
      </c>
      <c r="J317" t="s">
        <v>40</v>
      </c>
      <c r="K317">
        <v>2</v>
      </c>
      <c r="L317" t="s">
        <v>41</v>
      </c>
      <c r="M317" t="s">
        <v>42</v>
      </c>
      <c r="N317" t="s">
        <v>43</v>
      </c>
      <c r="O317" s="7">
        <v>1</v>
      </c>
      <c r="P317" s="8">
        <v>45372.584363425929</v>
      </c>
      <c r="Q317" s="9">
        <v>45374</v>
      </c>
      <c r="R317" t="s">
        <v>789</v>
      </c>
      <c r="S317" t="s">
        <v>45</v>
      </c>
      <c r="T317" t="s">
        <v>46</v>
      </c>
      <c r="U317" t="s">
        <v>134</v>
      </c>
      <c r="V317" t="s">
        <v>1052</v>
      </c>
      <c r="W317">
        <v>6900</v>
      </c>
      <c r="X317" t="s">
        <v>45</v>
      </c>
      <c r="Y317" t="s">
        <v>79</v>
      </c>
      <c r="Z317" t="s">
        <v>50</v>
      </c>
      <c r="AA317" s="10">
        <f>IF(O317&lt;=1,7,7+0.8*ROUNDUP(O317-1,0))</f>
        <v>7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14"/>
        <v>0.42</v>
      </c>
      <c r="AG317" s="11">
        <f t="shared" si="15"/>
        <v>7.42</v>
      </c>
      <c r="AH317" t="s">
        <v>51</v>
      </c>
    </row>
    <row r="318" spans="1:34" ht="15" customHeight="1" x14ac:dyDescent="0.35">
      <c r="A318">
        <v>7547676</v>
      </c>
      <c r="B318">
        <v>690929</v>
      </c>
      <c r="C318" t="s">
        <v>34</v>
      </c>
      <c r="D318" t="s">
        <v>35</v>
      </c>
      <c r="E318" s="6" t="s">
        <v>34</v>
      </c>
      <c r="F318" t="s">
        <v>1053</v>
      </c>
      <c r="G318" t="s">
        <v>37</v>
      </c>
      <c r="H318" t="s">
        <v>38</v>
      </c>
      <c r="I318" t="s">
        <v>1054</v>
      </c>
      <c r="J318" t="s">
        <v>40</v>
      </c>
      <c r="K318">
        <v>2</v>
      </c>
      <c r="L318" t="s">
        <v>41</v>
      </c>
      <c r="M318" t="s">
        <v>42</v>
      </c>
      <c r="N318" t="s">
        <v>43</v>
      </c>
      <c r="O318" s="7">
        <v>3</v>
      </c>
      <c r="P318" s="8">
        <v>45372.71366898148</v>
      </c>
      <c r="Q318" s="9">
        <v>45374</v>
      </c>
      <c r="R318" t="s">
        <v>44</v>
      </c>
      <c r="S318" t="s">
        <v>45</v>
      </c>
      <c r="T318" t="s">
        <v>46</v>
      </c>
      <c r="U318" t="s">
        <v>77</v>
      </c>
      <c r="V318" t="s">
        <v>1055</v>
      </c>
      <c r="W318">
        <v>76300</v>
      </c>
      <c r="X318" t="s">
        <v>45</v>
      </c>
      <c r="Y318" t="s">
        <v>335</v>
      </c>
      <c r="Z318" t="s">
        <v>50</v>
      </c>
      <c r="AA318" s="10">
        <f>IF(O318&lt;=1,7,7+0.8*ROUNDUP(O318-1,0))</f>
        <v>8.6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14"/>
        <v>0.51600000000000001</v>
      </c>
      <c r="AG318" s="11">
        <f t="shared" si="15"/>
        <v>9.1159999999999997</v>
      </c>
      <c r="AH318" t="s">
        <v>51</v>
      </c>
    </row>
    <row r="319" spans="1:34" ht="15" customHeight="1" x14ac:dyDescent="0.35">
      <c r="A319">
        <v>7547676</v>
      </c>
      <c r="B319">
        <v>690929</v>
      </c>
      <c r="C319" t="s">
        <v>34</v>
      </c>
      <c r="D319" t="s">
        <v>35</v>
      </c>
      <c r="E319" s="6" t="s">
        <v>34</v>
      </c>
      <c r="F319" t="s">
        <v>1056</v>
      </c>
      <c r="G319" t="s">
        <v>37</v>
      </c>
      <c r="H319" t="s">
        <v>38</v>
      </c>
      <c r="I319" t="s">
        <v>1057</v>
      </c>
      <c r="J319" t="s">
        <v>40</v>
      </c>
      <c r="K319">
        <v>2</v>
      </c>
      <c r="L319" t="s">
        <v>41</v>
      </c>
      <c r="M319" t="s">
        <v>42</v>
      </c>
      <c r="N319" t="s">
        <v>43</v>
      </c>
      <c r="O319" s="7">
        <v>1</v>
      </c>
      <c r="P319" s="8">
        <v>45372.458020833335</v>
      </c>
      <c r="Q319" s="9">
        <v>45374</v>
      </c>
      <c r="R319" t="s">
        <v>789</v>
      </c>
      <c r="S319" t="s">
        <v>45</v>
      </c>
      <c r="T319" t="s">
        <v>46</v>
      </c>
      <c r="U319" t="s">
        <v>172</v>
      </c>
      <c r="V319" t="s">
        <v>1058</v>
      </c>
      <c r="W319">
        <v>34850</v>
      </c>
      <c r="X319" t="s">
        <v>45</v>
      </c>
      <c r="Y319" t="s">
        <v>79</v>
      </c>
      <c r="Z319" t="s">
        <v>50</v>
      </c>
      <c r="AA319" s="10">
        <f>IF(O319&lt;=1,7,7+0.8*ROUNDUP(O319-1,0))</f>
        <v>7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14"/>
        <v>0.42</v>
      </c>
      <c r="AG319" s="11">
        <f t="shared" si="15"/>
        <v>7.42</v>
      </c>
      <c r="AH319" t="s">
        <v>51</v>
      </c>
    </row>
    <row r="320" spans="1:34" ht="15" customHeight="1" x14ac:dyDescent="0.35">
      <c r="A320">
        <v>7547676</v>
      </c>
      <c r="B320">
        <v>690929</v>
      </c>
      <c r="C320" t="s">
        <v>34</v>
      </c>
      <c r="D320" t="s">
        <v>35</v>
      </c>
      <c r="E320" s="6" t="s">
        <v>34</v>
      </c>
      <c r="F320" t="s">
        <v>1059</v>
      </c>
      <c r="G320" t="s">
        <v>37</v>
      </c>
      <c r="H320" t="s">
        <v>38</v>
      </c>
      <c r="I320" t="s">
        <v>1060</v>
      </c>
      <c r="J320" t="s">
        <v>40</v>
      </c>
      <c r="K320">
        <v>2</v>
      </c>
      <c r="L320" t="s">
        <v>41</v>
      </c>
      <c r="M320" t="s">
        <v>42</v>
      </c>
      <c r="N320" t="s">
        <v>43</v>
      </c>
      <c r="O320" s="7">
        <v>1</v>
      </c>
      <c r="P320" s="8">
        <v>45372.458020833335</v>
      </c>
      <c r="Q320" s="9">
        <v>45374</v>
      </c>
      <c r="R320" t="s">
        <v>789</v>
      </c>
      <c r="S320" t="s">
        <v>45</v>
      </c>
      <c r="T320" t="s">
        <v>46</v>
      </c>
      <c r="U320" t="s">
        <v>190</v>
      </c>
      <c r="V320" t="s">
        <v>1061</v>
      </c>
      <c r="W320">
        <v>26800</v>
      </c>
      <c r="X320" t="s">
        <v>45</v>
      </c>
      <c r="Y320" t="s">
        <v>1062</v>
      </c>
      <c r="Z320" t="s">
        <v>50</v>
      </c>
      <c r="AA320" s="10">
        <f>IF(O320&lt;=1,7,7+0.8*ROUNDUP(O320-1,0))</f>
        <v>7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14"/>
        <v>0.42</v>
      </c>
      <c r="AG320" s="11">
        <f t="shared" si="15"/>
        <v>7.42</v>
      </c>
      <c r="AH320" t="s">
        <v>51</v>
      </c>
    </row>
    <row r="321" spans="1:34" ht="15" customHeight="1" x14ac:dyDescent="0.35">
      <c r="A321">
        <v>7547676</v>
      </c>
      <c r="B321">
        <v>690929</v>
      </c>
      <c r="C321" t="s">
        <v>34</v>
      </c>
      <c r="D321" t="s">
        <v>35</v>
      </c>
      <c r="E321" s="6" t="s">
        <v>34</v>
      </c>
      <c r="F321" t="s">
        <v>1063</v>
      </c>
      <c r="G321" t="s">
        <v>37</v>
      </c>
      <c r="H321" t="s">
        <v>38</v>
      </c>
      <c r="I321" t="s">
        <v>1064</v>
      </c>
      <c r="J321" t="s">
        <v>40</v>
      </c>
      <c r="K321">
        <v>2</v>
      </c>
      <c r="L321" t="s">
        <v>41</v>
      </c>
      <c r="M321" t="s">
        <v>42</v>
      </c>
      <c r="N321" t="s">
        <v>43</v>
      </c>
      <c r="O321" s="7">
        <v>1</v>
      </c>
      <c r="P321" s="8">
        <v>45371.72625</v>
      </c>
      <c r="Q321" s="9">
        <v>45374</v>
      </c>
      <c r="R321" t="s">
        <v>789</v>
      </c>
      <c r="S321" t="s">
        <v>45</v>
      </c>
      <c r="T321" t="s">
        <v>46</v>
      </c>
      <c r="U321" t="s">
        <v>86</v>
      </c>
      <c r="V321" t="s">
        <v>1065</v>
      </c>
      <c r="W321">
        <v>71000</v>
      </c>
      <c r="X321" t="s">
        <v>45</v>
      </c>
      <c r="Y321" t="s">
        <v>79</v>
      </c>
      <c r="Z321" t="s">
        <v>50</v>
      </c>
      <c r="AA321" s="10">
        <f>IF(O321&lt;=1,7,7+0.8*ROUNDUP(O321-1,0))</f>
        <v>7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14"/>
        <v>0.42</v>
      </c>
      <c r="AG321" s="11">
        <f t="shared" si="15"/>
        <v>7.42</v>
      </c>
      <c r="AH321" t="s">
        <v>51</v>
      </c>
    </row>
    <row r="322" spans="1:34" ht="15" customHeight="1" x14ac:dyDescent="0.35">
      <c r="A322">
        <v>7547676</v>
      </c>
      <c r="B322">
        <v>690929</v>
      </c>
      <c r="C322" t="s">
        <v>34</v>
      </c>
      <c r="D322" t="s">
        <v>35</v>
      </c>
      <c r="E322" s="6" t="s">
        <v>34</v>
      </c>
      <c r="F322" t="s">
        <v>1066</v>
      </c>
      <c r="G322" t="s">
        <v>37</v>
      </c>
      <c r="H322" t="s">
        <v>38</v>
      </c>
      <c r="I322" t="s">
        <v>1047</v>
      </c>
      <c r="J322" t="s">
        <v>40</v>
      </c>
      <c r="K322">
        <v>2</v>
      </c>
      <c r="L322" t="s">
        <v>41</v>
      </c>
      <c r="M322" t="s">
        <v>42</v>
      </c>
      <c r="N322" t="s">
        <v>43</v>
      </c>
      <c r="O322" s="7">
        <v>3</v>
      </c>
      <c r="P322" s="8">
        <v>45372.670937499999</v>
      </c>
      <c r="Q322" s="9">
        <v>45374</v>
      </c>
      <c r="R322" t="s">
        <v>44</v>
      </c>
      <c r="S322" t="s">
        <v>45</v>
      </c>
      <c r="T322" t="s">
        <v>46</v>
      </c>
      <c r="U322" t="s">
        <v>54</v>
      </c>
      <c r="V322" t="s">
        <v>1048</v>
      </c>
      <c r="W322">
        <v>41200</v>
      </c>
      <c r="X322" t="s">
        <v>45</v>
      </c>
      <c r="Y322" t="s">
        <v>1049</v>
      </c>
      <c r="Z322" t="s">
        <v>50</v>
      </c>
      <c r="AA322" s="10">
        <f>IF(O322&lt;=1,7,7+0.8*ROUNDUP(O322-1,0))</f>
        <v>8.6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si="14"/>
        <v>0.51600000000000001</v>
      </c>
      <c r="AG322" s="11">
        <f t="shared" si="15"/>
        <v>9.1159999999999997</v>
      </c>
      <c r="AH322" t="s">
        <v>51</v>
      </c>
    </row>
    <row r="323" spans="1:34" ht="15" customHeight="1" x14ac:dyDescent="0.35">
      <c r="A323">
        <v>7547676</v>
      </c>
      <c r="B323">
        <v>690929</v>
      </c>
      <c r="C323" t="s">
        <v>34</v>
      </c>
      <c r="D323" t="s">
        <v>35</v>
      </c>
      <c r="E323" s="6" t="s">
        <v>34</v>
      </c>
      <c r="F323" t="s">
        <v>1067</v>
      </c>
      <c r="G323" t="s">
        <v>37</v>
      </c>
      <c r="H323" t="s">
        <v>38</v>
      </c>
      <c r="I323" t="s">
        <v>1068</v>
      </c>
      <c r="J323" t="s">
        <v>40</v>
      </c>
      <c r="K323">
        <v>2</v>
      </c>
      <c r="L323" t="s">
        <v>41</v>
      </c>
      <c r="M323" t="s">
        <v>42</v>
      </c>
      <c r="N323" t="s">
        <v>43</v>
      </c>
      <c r="O323" s="7">
        <v>2</v>
      </c>
      <c r="P323" s="8">
        <v>45372.476041666669</v>
      </c>
      <c r="Q323" s="9">
        <v>45374</v>
      </c>
      <c r="R323" t="s">
        <v>789</v>
      </c>
      <c r="S323" t="s">
        <v>45</v>
      </c>
      <c r="T323" t="s">
        <v>46</v>
      </c>
      <c r="U323" t="s">
        <v>77</v>
      </c>
      <c r="V323" t="s">
        <v>1069</v>
      </c>
      <c r="W323">
        <v>77200</v>
      </c>
      <c r="X323" t="s">
        <v>45</v>
      </c>
      <c r="Y323" t="s">
        <v>706</v>
      </c>
      <c r="Z323" t="s">
        <v>50</v>
      </c>
      <c r="AA323" s="10">
        <f>IF(O323&lt;=1,7,7+0.8*ROUNDUP(O323-1,0))</f>
        <v>7.8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14"/>
        <v>0.46799999999999997</v>
      </c>
      <c r="AG323" s="11">
        <f t="shared" si="15"/>
        <v>8.2680000000000007</v>
      </c>
      <c r="AH323" t="s">
        <v>51</v>
      </c>
    </row>
    <row r="324" spans="1:34" ht="15" customHeight="1" x14ac:dyDescent="0.35">
      <c r="A324">
        <v>7547676</v>
      </c>
      <c r="B324">
        <v>690929</v>
      </c>
      <c r="C324" t="s">
        <v>34</v>
      </c>
      <c r="D324" t="s">
        <v>35</v>
      </c>
      <c r="E324" s="6" t="s">
        <v>34</v>
      </c>
      <c r="F324" t="s">
        <v>1070</v>
      </c>
      <c r="G324" t="s">
        <v>37</v>
      </c>
      <c r="H324" t="s">
        <v>38</v>
      </c>
      <c r="I324" t="s">
        <v>1071</v>
      </c>
      <c r="J324" t="s">
        <v>40</v>
      </c>
      <c r="K324">
        <v>2</v>
      </c>
      <c r="L324" t="s">
        <v>41</v>
      </c>
      <c r="M324" t="s">
        <v>42</v>
      </c>
      <c r="N324" t="s">
        <v>43</v>
      </c>
      <c r="O324" s="7">
        <v>1</v>
      </c>
      <c r="P324" s="8">
        <v>45372.458020833335</v>
      </c>
      <c r="Q324" s="9">
        <v>45374</v>
      </c>
      <c r="R324" t="s">
        <v>789</v>
      </c>
      <c r="S324" t="s">
        <v>45</v>
      </c>
      <c r="T324" t="s">
        <v>46</v>
      </c>
      <c r="U324" t="s">
        <v>67</v>
      </c>
      <c r="V324" t="s">
        <v>1072</v>
      </c>
      <c r="W324">
        <v>55100</v>
      </c>
      <c r="X324" t="s">
        <v>45</v>
      </c>
      <c r="Y324" t="s">
        <v>79</v>
      </c>
      <c r="Z324" t="s">
        <v>50</v>
      </c>
      <c r="AA324" s="10">
        <f>IF(O324&lt;=1,7,7+0.8*ROUNDUP(O324-1,0))</f>
        <v>7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14"/>
        <v>0.42</v>
      </c>
      <c r="AG324" s="11">
        <f t="shared" si="15"/>
        <v>7.42</v>
      </c>
      <c r="AH324" t="s">
        <v>51</v>
      </c>
    </row>
    <row r="325" spans="1:34" ht="15" customHeight="1" x14ac:dyDescent="0.35">
      <c r="A325">
        <v>7547676</v>
      </c>
      <c r="B325">
        <v>690929</v>
      </c>
      <c r="C325" t="s">
        <v>34</v>
      </c>
      <c r="D325" t="s">
        <v>35</v>
      </c>
      <c r="E325" s="6" t="s">
        <v>34</v>
      </c>
      <c r="F325" t="s">
        <v>1073</v>
      </c>
      <c r="G325" t="s">
        <v>37</v>
      </c>
      <c r="H325" t="s">
        <v>38</v>
      </c>
      <c r="I325" t="s">
        <v>1074</v>
      </c>
      <c r="J325" t="s">
        <v>40</v>
      </c>
      <c r="K325">
        <v>2</v>
      </c>
      <c r="L325" t="s">
        <v>41</v>
      </c>
      <c r="M325" t="s">
        <v>42</v>
      </c>
      <c r="N325" t="s">
        <v>43</v>
      </c>
      <c r="O325" s="7">
        <v>1</v>
      </c>
      <c r="P325" s="8">
        <v>45372.659791666665</v>
      </c>
      <c r="Q325" s="9">
        <v>45374</v>
      </c>
      <c r="R325" t="s">
        <v>789</v>
      </c>
      <c r="S325" t="s">
        <v>45</v>
      </c>
      <c r="T325" t="s">
        <v>46</v>
      </c>
      <c r="U325" t="s">
        <v>134</v>
      </c>
      <c r="V325" t="s">
        <v>1075</v>
      </c>
      <c r="W325">
        <v>5400</v>
      </c>
      <c r="X325" t="s">
        <v>45</v>
      </c>
      <c r="Y325" t="s">
        <v>136</v>
      </c>
      <c r="Z325" t="s">
        <v>50</v>
      </c>
      <c r="AA325" s="10">
        <f>IF(O325&lt;=1,7,7+0.8*ROUNDUP(O325-1,0))</f>
        <v>7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14"/>
        <v>0.42</v>
      </c>
      <c r="AG325" s="11">
        <f t="shared" si="15"/>
        <v>7.42</v>
      </c>
      <c r="AH325" t="s">
        <v>51</v>
      </c>
    </row>
    <row r="326" spans="1:34" ht="15" customHeight="1" x14ac:dyDescent="0.35">
      <c r="A326">
        <v>7547676</v>
      </c>
      <c r="B326">
        <v>690929</v>
      </c>
      <c r="C326" t="s">
        <v>34</v>
      </c>
      <c r="D326" t="s">
        <v>35</v>
      </c>
      <c r="E326" s="6" t="s">
        <v>34</v>
      </c>
      <c r="F326" t="s">
        <v>1076</v>
      </c>
      <c r="G326" t="s">
        <v>37</v>
      </c>
      <c r="H326" t="s">
        <v>38</v>
      </c>
      <c r="I326" t="s">
        <v>1077</v>
      </c>
      <c r="J326" t="s">
        <v>40</v>
      </c>
      <c r="K326">
        <v>2</v>
      </c>
      <c r="L326" t="s">
        <v>41</v>
      </c>
      <c r="M326" t="s">
        <v>42</v>
      </c>
      <c r="N326" t="s">
        <v>43</v>
      </c>
      <c r="O326" s="7">
        <v>8</v>
      </c>
      <c r="P326" s="8">
        <v>45370.509756944448</v>
      </c>
      <c r="Q326" s="9">
        <v>45374</v>
      </c>
      <c r="R326" t="s">
        <v>44</v>
      </c>
      <c r="S326" t="s">
        <v>45</v>
      </c>
      <c r="T326" t="s">
        <v>46</v>
      </c>
      <c r="U326" t="s">
        <v>67</v>
      </c>
      <c r="V326" t="s">
        <v>1078</v>
      </c>
      <c r="W326">
        <v>53000</v>
      </c>
      <c r="X326" t="s">
        <v>45</v>
      </c>
      <c r="Y326" t="s">
        <v>69</v>
      </c>
      <c r="Z326" t="s">
        <v>50</v>
      </c>
      <c r="AA326" s="10">
        <f>IF(O326&lt;=1,7,7+0.8*ROUNDUP(O326-1,0))</f>
        <v>12.600000000000001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14"/>
        <v>0.75600000000000001</v>
      </c>
      <c r="AG326" s="11">
        <f t="shared" si="15"/>
        <v>13.356000000000002</v>
      </c>
      <c r="AH326" t="s">
        <v>51</v>
      </c>
    </row>
    <row r="327" spans="1:34" ht="15" customHeight="1" x14ac:dyDescent="0.35">
      <c r="A327">
        <v>7547676</v>
      </c>
      <c r="B327">
        <v>690929</v>
      </c>
      <c r="C327" t="s">
        <v>34</v>
      </c>
      <c r="D327" t="s">
        <v>35</v>
      </c>
      <c r="E327" s="6" t="s">
        <v>34</v>
      </c>
      <c r="F327" t="s">
        <v>1079</v>
      </c>
      <c r="G327" t="s">
        <v>37</v>
      </c>
      <c r="H327" t="s">
        <v>38</v>
      </c>
      <c r="I327" t="s">
        <v>1080</v>
      </c>
      <c r="J327" t="s">
        <v>40</v>
      </c>
      <c r="K327">
        <v>2</v>
      </c>
      <c r="L327" t="s">
        <v>41</v>
      </c>
      <c r="M327" t="s">
        <v>42</v>
      </c>
      <c r="N327" t="s">
        <v>43</v>
      </c>
      <c r="O327" s="7">
        <v>1</v>
      </c>
      <c r="P327" s="8">
        <v>45372.45784722222</v>
      </c>
      <c r="Q327" s="9">
        <v>45374</v>
      </c>
      <c r="R327" t="s">
        <v>789</v>
      </c>
      <c r="S327" t="s">
        <v>45</v>
      </c>
      <c r="T327" t="s">
        <v>46</v>
      </c>
      <c r="U327" t="s">
        <v>278</v>
      </c>
      <c r="V327" t="s">
        <v>1081</v>
      </c>
      <c r="W327">
        <v>14100</v>
      </c>
      <c r="X327" t="s">
        <v>45</v>
      </c>
      <c r="Y327" t="s">
        <v>510</v>
      </c>
      <c r="Z327" t="s">
        <v>50</v>
      </c>
      <c r="AA327" s="10">
        <f>IF(O327&lt;=1,7,7+0.8*ROUNDUP(O327-1,0))</f>
        <v>7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14"/>
        <v>0.42</v>
      </c>
      <c r="AG327" s="11">
        <f t="shared" si="15"/>
        <v>7.42</v>
      </c>
      <c r="AH327" t="s">
        <v>51</v>
      </c>
    </row>
    <row r="328" spans="1:34" ht="15" customHeight="1" x14ac:dyDescent="0.35">
      <c r="A328">
        <v>7547676</v>
      </c>
      <c r="B328">
        <v>690929</v>
      </c>
      <c r="C328" t="s">
        <v>34</v>
      </c>
      <c r="D328" t="s">
        <v>35</v>
      </c>
      <c r="E328" s="6" t="s">
        <v>34</v>
      </c>
      <c r="F328" t="s">
        <v>1082</v>
      </c>
      <c r="G328" t="s">
        <v>37</v>
      </c>
      <c r="H328" t="s">
        <v>38</v>
      </c>
      <c r="I328" t="s">
        <v>1083</v>
      </c>
      <c r="J328" t="s">
        <v>40</v>
      </c>
      <c r="K328">
        <v>2</v>
      </c>
      <c r="L328" t="s">
        <v>41</v>
      </c>
      <c r="M328" t="s">
        <v>42</v>
      </c>
      <c r="N328" t="s">
        <v>43</v>
      </c>
      <c r="O328" s="7">
        <v>2</v>
      </c>
      <c r="P328" s="8">
        <v>45372.489745370367</v>
      </c>
      <c r="Q328" s="9">
        <v>45374</v>
      </c>
      <c r="R328" t="s">
        <v>789</v>
      </c>
      <c r="S328" t="s">
        <v>45</v>
      </c>
      <c r="T328" t="s">
        <v>46</v>
      </c>
      <c r="U328" t="s">
        <v>99</v>
      </c>
      <c r="V328" t="s">
        <v>1084</v>
      </c>
      <c r="W328">
        <v>18300</v>
      </c>
      <c r="X328" t="s">
        <v>45</v>
      </c>
      <c r="Y328" t="s">
        <v>848</v>
      </c>
      <c r="Z328" t="s">
        <v>50</v>
      </c>
      <c r="AA328" s="10">
        <f>IF(O328&lt;=1,7,7+0.8*ROUNDUP(O328-1,0))</f>
        <v>7.8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14"/>
        <v>0.46799999999999997</v>
      </c>
      <c r="AG328" s="11">
        <f t="shared" si="15"/>
        <v>8.2680000000000007</v>
      </c>
      <c r="AH328" t="s">
        <v>51</v>
      </c>
    </row>
    <row r="329" spans="1:34" ht="15" customHeight="1" x14ac:dyDescent="0.35">
      <c r="A329">
        <v>7547676</v>
      </c>
      <c r="B329">
        <v>690929</v>
      </c>
      <c r="C329" t="s">
        <v>34</v>
      </c>
      <c r="D329" t="s">
        <v>35</v>
      </c>
      <c r="E329" s="6" t="s">
        <v>34</v>
      </c>
      <c r="F329" t="s">
        <v>1085</v>
      </c>
      <c r="G329" t="s">
        <v>37</v>
      </c>
      <c r="H329" t="s">
        <v>38</v>
      </c>
      <c r="I329" t="s">
        <v>1086</v>
      </c>
      <c r="J329" t="s">
        <v>40</v>
      </c>
      <c r="K329">
        <v>2</v>
      </c>
      <c r="L329" t="s">
        <v>41</v>
      </c>
      <c r="M329" t="s">
        <v>42</v>
      </c>
      <c r="N329" t="s">
        <v>43</v>
      </c>
      <c r="O329" s="7">
        <v>1</v>
      </c>
      <c r="P329" s="8">
        <v>45372.659791666665</v>
      </c>
      <c r="Q329" s="9">
        <v>45374</v>
      </c>
      <c r="R329" t="s">
        <v>789</v>
      </c>
      <c r="S329" t="s">
        <v>45</v>
      </c>
      <c r="T329" t="s">
        <v>46</v>
      </c>
      <c r="U329" t="s">
        <v>86</v>
      </c>
      <c r="V329" t="s">
        <v>1087</v>
      </c>
      <c r="W329">
        <v>73450</v>
      </c>
      <c r="X329" t="s">
        <v>45</v>
      </c>
      <c r="Y329" t="s">
        <v>79</v>
      </c>
      <c r="Z329" t="s">
        <v>50</v>
      </c>
      <c r="AA329" s="10">
        <f>IF(O329&lt;=1,7,7+0.8*ROUNDUP(O329-1,0))</f>
        <v>7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14"/>
        <v>0.42</v>
      </c>
      <c r="AG329" s="11">
        <f t="shared" si="15"/>
        <v>7.42</v>
      </c>
      <c r="AH329" t="s">
        <v>51</v>
      </c>
    </row>
    <row r="330" spans="1:34" ht="15" customHeight="1" x14ac:dyDescent="0.35">
      <c r="A330">
        <v>7547676</v>
      </c>
      <c r="B330">
        <v>690929</v>
      </c>
      <c r="C330" t="s">
        <v>34</v>
      </c>
      <c r="D330" t="s">
        <v>35</v>
      </c>
      <c r="E330" s="6" t="s">
        <v>34</v>
      </c>
      <c r="F330" t="s">
        <v>1088</v>
      </c>
      <c r="G330" t="s">
        <v>37</v>
      </c>
      <c r="H330" t="s">
        <v>38</v>
      </c>
      <c r="I330" t="s">
        <v>1089</v>
      </c>
      <c r="J330" t="s">
        <v>40</v>
      </c>
      <c r="K330">
        <v>2</v>
      </c>
      <c r="L330" t="s">
        <v>41</v>
      </c>
      <c r="M330" t="s">
        <v>42</v>
      </c>
      <c r="N330" t="s">
        <v>43</v>
      </c>
      <c r="O330" s="7">
        <v>2</v>
      </c>
      <c r="P330" s="8">
        <v>45372.659791666665</v>
      </c>
      <c r="Q330" s="9">
        <v>45374</v>
      </c>
      <c r="R330" t="s">
        <v>789</v>
      </c>
      <c r="S330" t="s">
        <v>45</v>
      </c>
      <c r="T330" t="s">
        <v>46</v>
      </c>
      <c r="U330" t="s">
        <v>99</v>
      </c>
      <c r="V330" t="s">
        <v>1090</v>
      </c>
      <c r="W330">
        <v>17040</v>
      </c>
      <c r="X330" t="s">
        <v>45</v>
      </c>
      <c r="Y330" t="s">
        <v>79</v>
      </c>
      <c r="Z330" t="s">
        <v>50</v>
      </c>
      <c r="AA330" s="10">
        <f>IF(O330&lt;=1,7,7+0.8*ROUNDUP(O330-1,0))</f>
        <v>7.8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14"/>
        <v>0.46799999999999997</v>
      </c>
      <c r="AG330" s="11">
        <f t="shared" si="15"/>
        <v>8.2680000000000007</v>
      </c>
      <c r="AH330" t="s">
        <v>51</v>
      </c>
    </row>
    <row r="331" spans="1:34" ht="15" customHeight="1" x14ac:dyDescent="0.35">
      <c r="A331">
        <v>7547676</v>
      </c>
      <c r="B331">
        <v>690929</v>
      </c>
      <c r="C331" t="s">
        <v>34</v>
      </c>
      <c r="D331" t="s">
        <v>35</v>
      </c>
      <c r="E331" s="6" t="s">
        <v>34</v>
      </c>
      <c r="F331" t="s">
        <v>1091</v>
      </c>
      <c r="G331" t="s">
        <v>37</v>
      </c>
      <c r="H331" t="s">
        <v>38</v>
      </c>
      <c r="I331" t="s">
        <v>1092</v>
      </c>
      <c r="J331" t="s">
        <v>40</v>
      </c>
      <c r="K331">
        <v>2</v>
      </c>
      <c r="L331" t="s">
        <v>41</v>
      </c>
      <c r="M331" t="s">
        <v>42</v>
      </c>
      <c r="N331" t="s">
        <v>43</v>
      </c>
      <c r="O331" s="7">
        <v>1</v>
      </c>
      <c r="P331" s="8">
        <v>45372.45784722222</v>
      </c>
      <c r="Q331" s="9">
        <v>45374</v>
      </c>
      <c r="R331" t="s">
        <v>789</v>
      </c>
      <c r="S331" t="s">
        <v>45</v>
      </c>
      <c r="T331" t="s">
        <v>46</v>
      </c>
      <c r="U331" t="s">
        <v>54</v>
      </c>
      <c r="V331" t="s">
        <v>1093</v>
      </c>
      <c r="W331">
        <v>41300</v>
      </c>
      <c r="X331" t="s">
        <v>45</v>
      </c>
      <c r="Y331" t="s">
        <v>79</v>
      </c>
      <c r="Z331" t="s">
        <v>50</v>
      </c>
      <c r="AA331" s="10">
        <f>IF(O331&lt;=1,7,7+0.8*ROUNDUP(O331-1,0))</f>
        <v>7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14"/>
        <v>0.42</v>
      </c>
      <c r="AG331" s="11">
        <f t="shared" si="15"/>
        <v>7.42</v>
      </c>
      <c r="AH331" t="s">
        <v>51</v>
      </c>
    </row>
    <row r="332" spans="1:34" ht="15" customHeight="1" x14ac:dyDescent="0.35">
      <c r="A332">
        <v>7547676</v>
      </c>
      <c r="B332">
        <v>690929</v>
      </c>
      <c r="C332" t="s">
        <v>34</v>
      </c>
      <c r="D332" t="s">
        <v>35</v>
      </c>
      <c r="E332" s="6" t="s">
        <v>34</v>
      </c>
      <c r="F332" t="s">
        <v>1094</v>
      </c>
      <c r="G332" t="s">
        <v>37</v>
      </c>
      <c r="H332" t="s">
        <v>38</v>
      </c>
      <c r="I332" t="s">
        <v>1095</v>
      </c>
      <c r="J332" t="s">
        <v>40</v>
      </c>
      <c r="K332">
        <v>2</v>
      </c>
      <c r="L332" t="s">
        <v>41</v>
      </c>
      <c r="M332" t="s">
        <v>42</v>
      </c>
      <c r="N332" t="s">
        <v>43</v>
      </c>
      <c r="O332" s="7">
        <v>5</v>
      </c>
      <c r="P332" s="8">
        <v>45372.51835648148</v>
      </c>
      <c r="Q332" s="9">
        <v>45374</v>
      </c>
      <c r="R332" t="s">
        <v>789</v>
      </c>
      <c r="S332" t="s">
        <v>45</v>
      </c>
      <c r="T332" t="s">
        <v>46</v>
      </c>
      <c r="U332" t="s">
        <v>54</v>
      </c>
      <c r="V332" t="s">
        <v>1096</v>
      </c>
      <c r="W332">
        <v>68000</v>
      </c>
      <c r="X332" t="s">
        <v>45</v>
      </c>
      <c r="Y332" t="s">
        <v>79</v>
      </c>
      <c r="Z332" t="s">
        <v>50</v>
      </c>
      <c r="AA332" s="10">
        <f>IF(O332&lt;=1,7,7+0.8*ROUNDUP(O332-1,0))</f>
        <v>10.199999999999999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14"/>
        <v>0.61199999999999999</v>
      </c>
      <c r="AG332" s="11">
        <f t="shared" si="15"/>
        <v>10.811999999999999</v>
      </c>
      <c r="AH332" t="s">
        <v>51</v>
      </c>
    </row>
    <row r="333" spans="1:34" ht="15" customHeight="1" x14ac:dyDescent="0.35">
      <c r="A333">
        <v>7547676</v>
      </c>
      <c r="B333">
        <v>690929</v>
      </c>
      <c r="C333" t="s">
        <v>34</v>
      </c>
      <c r="D333" t="s">
        <v>35</v>
      </c>
      <c r="E333" s="6" t="s">
        <v>34</v>
      </c>
      <c r="F333" t="s">
        <v>1097</v>
      </c>
      <c r="G333" t="s">
        <v>37</v>
      </c>
      <c r="H333" t="s">
        <v>38</v>
      </c>
      <c r="I333" t="s">
        <v>1098</v>
      </c>
      <c r="J333" t="s">
        <v>40</v>
      </c>
      <c r="K333">
        <v>2</v>
      </c>
      <c r="L333" t="s">
        <v>41</v>
      </c>
      <c r="M333" t="s">
        <v>42</v>
      </c>
      <c r="N333" t="s">
        <v>43</v>
      </c>
      <c r="O333" s="7">
        <v>1</v>
      </c>
      <c r="P333" s="8">
        <v>45374.703356481485</v>
      </c>
      <c r="Q333" s="9">
        <v>45375</v>
      </c>
      <c r="R333" t="s">
        <v>44</v>
      </c>
      <c r="S333" t="s">
        <v>45</v>
      </c>
      <c r="T333" t="s">
        <v>46</v>
      </c>
      <c r="U333" t="s">
        <v>47</v>
      </c>
      <c r="V333" t="s">
        <v>1099</v>
      </c>
      <c r="W333">
        <v>21700</v>
      </c>
      <c r="X333" t="s">
        <v>45</v>
      </c>
      <c r="Y333" t="s">
        <v>49</v>
      </c>
      <c r="Z333" t="s">
        <v>50</v>
      </c>
      <c r="AA333" s="10">
        <f>IF(O333&lt;=1,7,7+0.8*ROUNDUP(O333-1,0))</f>
        <v>7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14"/>
        <v>0.42</v>
      </c>
      <c r="AG333" s="11">
        <f t="shared" si="15"/>
        <v>7.42</v>
      </c>
      <c r="AH333" t="s">
        <v>51</v>
      </c>
    </row>
    <row r="334" spans="1:34" ht="15" customHeight="1" x14ac:dyDescent="0.35">
      <c r="A334">
        <v>7547676</v>
      </c>
      <c r="B334">
        <v>690929</v>
      </c>
      <c r="C334" t="s">
        <v>34</v>
      </c>
      <c r="D334" t="s">
        <v>35</v>
      </c>
      <c r="E334" s="6" t="s">
        <v>34</v>
      </c>
      <c r="F334" t="s">
        <v>1100</v>
      </c>
      <c r="G334" t="s">
        <v>37</v>
      </c>
      <c r="H334" t="s">
        <v>38</v>
      </c>
      <c r="I334" t="s">
        <v>1013</v>
      </c>
      <c r="J334" t="s">
        <v>40</v>
      </c>
      <c r="K334">
        <v>2</v>
      </c>
      <c r="L334" t="s">
        <v>41</v>
      </c>
      <c r="M334" t="s">
        <v>42</v>
      </c>
      <c r="N334" t="s">
        <v>43</v>
      </c>
      <c r="O334" s="7">
        <v>4</v>
      </c>
      <c r="P334" s="8">
        <v>45372.62699074074</v>
      </c>
      <c r="Q334" s="9">
        <v>45375</v>
      </c>
      <c r="R334" t="s">
        <v>44</v>
      </c>
      <c r="S334" t="s">
        <v>45</v>
      </c>
      <c r="T334" t="s">
        <v>46</v>
      </c>
      <c r="U334" t="s">
        <v>190</v>
      </c>
      <c r="V334" t="s">
        <v>1014</v>
      </c>
      <c r="W334">
        <v>39100</v>
      </c>
      <c r="X334" t="s">
        <v>45</v>
      </c>
      <c r="Y334" t="s">
        <v>79</v>
      </c>
      <c r="Z334" t="s">
        <v>50</v>
      </c>
      <c r="AA334" s="10">
        <f>IF(O334&lt;=1,7,7+0.8*ROUNDUP(O334-1,0))</f>
        <v>9.4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14"/>
        <v>0.56399999999999995</v>
      </c>
      <c r="AG334" s="11">
        <f t="shared" si="15"/>
        <v>9.9640000000000004</v>
      </c>
      <c r="AH334" t="s">
        <v>51</v>
      </c>
    </row>
    <row r="335" spans="1:34" ht="15" customHeight="1" x14ac:dyDescent="0.35">
      <c r="A335">
        <v>7547676</v>
      </c>
      <c r="B335">
        <v>690929</v>
      </c>
      <c r="C335" t="s">
        <v>34</v>
      </c>
      <c r="D335" t="s">
        <v>35</v>
      </c>
      <c r="E335" s="6" t="s">
        <v>34</v>
      </c>
      <c r="F335" t="s">
        <v>1101</v>
      </c>
      <c r="G335" t="s">
        <v>37</v>
      </c>
      <c r="H335" t="s">
        <v>38</v>
      </c>
      <c r="I335" t="s">
        <v>1102</v>
      </c>
      <c r="J335" t="s">
        <v>40</v>
      </c>
      <c r="K335">
        <v>2</v>
      </c>
      <c r="L335" t="s">
        <v>41</v>
      </c>
      <c r="M335" t="s">
        <v>42</v>
      </c>
      <c r="N335" t="s">
        <v>43</v>
      </c>
      <c r="O335" s="7">
        <v>1</v>
      </c>
      <c r="P335" s="8">
        <v>45372.659791666665</v>
      </c>
      <c r="Q335" s="9">
        <v>45375</v>
      </c>
      <c r="R335" t="s">
        <v>789</v>
      </c>
      <c r="S335" t="s">
        <v>45</v>
      </c>
      <c r="T335" t="s">
        <v>46</v>
      </c>
      <c r="U335" t="s">
        <v>82</v>
      </c>
      <c r="V335" t="s">
        <v>1103</v>
      </c>
      <c r="W335">
        <v>86800</v>
      </c>
      <c r="X335" t="s">
        <v>45</v>
      </c>
      <c r="Y335" t="s">
        <v>79</v>
      </c>
      <c r="Z335" t="s">
        <v>50</v>
      </c>
      <c r="AA335" s="10">
        <f>IF(O335&lt;=1,7,7+0.8*ROUNDUP(O335-1,0))</f>
        <v>7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14"/>
        <v>0.42</v>
      </c>
      <c r="AG335" s="11">
        <f t="shared" si="15"/>
        <v>7.42</v>
      </c>
      <c r="AH335" t="s">
        <v>51</v>
      </c>
    </row>
    <row r="336" spans="1:34" ht="15" customHeight="1" x14ac:dyDescent="0.35">
      <c r="A336">
        <v>7547676</v>
      </c>
      <c r="B336">
        <v>690929</v>
      </c>
      <c r="C336" t="s">
        <v>34</v>
      </c>
      <c r="D336" t="s">
        <v>35</v>
      </c>
      <c r="E336" s="6" t="s">
        <v>34</v>
      </c>
      <c r="F336" t="s">
        <v>1104</v>
      </c>
      <c r="G336" t="s">
        <v>37</v>
      </c>
      <c r="H336" t="s">
        <v>38</v>
      </c>
      <c r="I336" t="s">
        <v>1013</v>
      </c>
      <c r="J336" t="s">
        <v>40</v>
      </c>
      <c r="K336">
        <v>2</v>
      </c>
      <c r="L336" t="s">
        <v>41</v>
      </c>
      <c r="M336" t="s">
        <v>42</v>
      </c>
      <c r="N336" t="s">
        <v>43</v>
      </c>
      <c r="O336" s="7">
        <v>7</v>
      </c>
      <c r="P336" s="8">
        <v>45372.62699074074</v>
      </c>
      <c r="Q336" s="9">
        <v>45375</v>
      </c>
      <c r="R336" t="s">
        <v>44</v>
      </c>
      <c r="S336" t="s">
        <v>45</v>
      </c>
      <c r="T336" t="s">
        <v>46</v>
      </c>
      <c r="U336" t="s">
        <v>190</v>
      </c>
      <c r="V336" t="s">
        <v>1014</v>
      </c>
      <c r="W336">
        <v>39100</v>
      </c>
      <c r="X336" t="s">
        <v>45</v>
      </c>
      <c r="Y336" t="s">
        <v>1105</v>
      </c>
      <c r="Z336" t="s">
        <v>50</v>
      </c>
      <c r="AA336" s="10">
        <f>IF(O336&lt;=1,7,7+0.8*ROUNDUP(O336-1,0))</f>
        <v>11.8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14"/>
        <v>0.70799999999999996</v>
      </c>
      <c r="AG336" s="11">
        <f t="shared" si="15"/>
        <v>12.508000000000001</v>
      </c>
      <c r="AH336" t="s">
        <v>51</v>
      </c>
    </row>
    <row r="337" spans="1:34" ht="15" customHeight="1" x14ac:dyDescent="0.35">
      <c r="A337">
        <v>7547676</v>
      </c>
      <c r="B337">
        <v>690929</v>
      </c>
      <c r="C337" t="s">
        <v>34</v>
      </c>
      <c r="D337" t="s">
        <v>35</v>
      </c>
      <c r="E337" s="6" t="s">
        <v>34</v>
      </c>
      <c r="F337" t="s">
        <v>1106</v>
      </c>
      <c r="G337" t="s">
        <v>37</v>
      </c>
      <c r="H337" t="s">
        <v>38</v>
      </c>
      <c r="I337" t="s">
        <v>1107</v>
      </c>
      <c r="J337" t="s">
        <v>40</v>
      </c>
      <c r="K337">
        <v>2</v>
      </c>
      <c r="L337" t="s">
        <v>41</v>
      </c>
      <c r="M337" t="s">
        <v>42</v>
      </c>
      <c r="N337" t="s">
        <v>43</v>
      </c>
      <c r="O337" s="7">
        <v>2</v>
      </c>
      <c r="P337" s="8">
        <v>45372.688784722224</v>
      </c>
      <c r="Q337" s="9">
        <v>45375</v>
      </c>
      <c r="R337" t="s">
        <v>44</v>
      </c>
      <c r="S337" t="s">
        <v>45</v>
      </c>
      <c r="T337" t="s">
        <v>46</v>
      </c>
      <c r="U337" t="s">
        <v>82</v>
      </c>
      <c r="V337" t="s">
        <v>1108</v>
      </c>
      <c r="W337">
        <v>83000</v>
      </c>
      <c r="X337" t="s">
        <v>45</v>
      </c>
      <c r="Y337" t="s">
        <v>1109</v>
      </c>
      <c r="Z337" t="s">
        <v>50</v>
      </c>
      <c r="AA337" s="10">
        <f>IF(O337&lt;=1,7,7+0.8*ROUNDUP(O337-1,0))</f>
        <v>7.8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14"/>
        <v>0.46799999999999997</v>
      </c>
      <c r="AG337" s="11">
        <f t="shared" si="15"/>
        <v>8.2680000000000007</v>
      </c>
      <c r="AH337" t="s">
        <v>51</v>
      </c>
    </row>
    <row r="338" spans="1:34" ht="15" customHeight="1" x14ac:dyDescent="0.35">
      <c r="A338">
        <v>7547676</v>
      </c>
      <c r="B338">
        <v>690929</v>
      </c>
      <c r="C338" t="s">
        <v>34</v>
      </c>
      <c r="D338" t="s">
        <v>35</v>
      </c>
      <c r="E338" s="6" t="s">
        <v>34</v>
      </c>
      <c r="F338" t="s">
        <v>1110</v>
      </c>
      <c r="G338" t="s">
        <v>37</v>
      </c>
      <c r="H338" t="s">
        <v>38</v>
      </c>
      <c r="I338" t="s">
        <v>1111</v>
      </c>
      <c r="J338" t="s">
        <v>40</v>
      </c>
      <c r="K338">
        <v>2</v>
      </c>
      <c r="L338" t="s">
        <v>41</v>
      </c>
      <c r="M338" t="s">
        <v>42</v>
      </c>
      <c r="N338" t="s">
        <v>43</v>
      </c>
      <c r="O338" s="7">
        <v>3</v>
      </c>
      <c r="P338" s="8">
        <v>45374.519386574073</v>
      </c>
      <c r="Q338" s="9">
        <v>45375</v>
      </c>
      <c r="R338" t="s">
        <v>44</v>
      </c>
      <c r="S338" t="s">
        <v>45</v>
      </c>
      <c r="T338" t="s">
        <v>46</v>
      </c>
      <c r="U338" t="s">
        <v>47</v>
      </c>
      <c r="V338" t="s">
        <v>1112</v>
      </c>
      <c r="W338">
        <v>22200</v>
      </c>
      <c r="X338" t="s">
        <v>45</v>
      </c>
      <c r="Y338" t="s">
        <v>156</v>
      </c>
      <c r="Z338" t="s">
        <v>50</v>
      </c>
      <c r="AA338" s="10">
        <f>IF(O338&lt;=1,7,7+0.8*ROUNDUP(O338-1,0))</f>
        <v>8.6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14"/>
        <v>0.51600000000000001</v>
      </c>
      <c r="AG338" s="11">
        <f t="shared" si="15"/>
        <v>9.1159999999999997</v>
      </c>
      <c r="AH338" t="s">
        <v>51</v>
      </c>
    </row>
    <row r="339" spans="1:34" ht="15" customHeight="1" x14ac:dyDescent="0.35">
      <c r="A339">
        <v>7547676</v>
      </c>
      <c r="B339">
        <v>690929</v>
      </c>
      <c r="C339" t="s">
        <v>34</v>
      </c>
      <c r="D339" t="s">
        <v>35</v>
      </c>
      <c r="E339" s="6" t="s">
        <v>34</v>
      </c>
      <c r="F339" t="s">
        <v>1113</v>
      </c>
      <c r="G339" t="s">
        <v>37</v>
      </c>
      <c r="H339" t="s">
        <v>38</v>
      </c>
      <c r="I339" t="s">
        <v>1114</v>
      </c>
      <c r="J339" t="s">
        <v>40</v>
      </c>
      <c r="K339">
        <v>2</v>
      </c>
      <c r="L339" t="s">
        <v>41</v>
      </c>
      <c r="M339" t="s">
        <v>42</v>
      </c>
      <c r="N339" t="s">
        <v>43</v>
      </c>
      <c r="O339" s="7">
        <v>2</v>
      </c>
      <c r="P339" s="8">
        <v>45372.458020833335</v>
      </c>
      <c r="Q339" s="9">
        <v>45375</v>
      </c>
      <c r="R339" t="s">
        <v>789</v>
      </c>
      <c r="S339" t="s">
        <v>45</v>
      </c>
      <c r="T339" t="s">
        <v>46</v>
      </c>
      <c r="U339" t="s">
        <v>82</v>
      </c>
      <c r="V339" t="s">
        <v>1115</v>
      </c>
      <c r="W339">
        <v>83000</v>
      </c>
      <c r="X339" t="s">
        <v>45</v>
      </c>
      <c r="Y339" t="s">
        <v>321</v>
      </c>
      <c r="Z339" t="s">
        <v>50</v>
      </c>
      <c r="AA339" s="10">
        <f>IF(O339&lt;=1,7,7+0.8*ROUNDUP(O339-1,0))</f>
        <v>7.8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14"/>
        <v>0.46799999999999997</v>
      </c>
      <c r="AG339" s="11">
        <f t="shared" si="15"/>
        <v>8.2680000000000007</v>
      </c>
      <c r="AH339" t="s">
        <v>51</v>
      </c>
    </row>
    <row r="340" spans="1:34" ht="15" customHeight="1" x14ac:dyDescent="0.35">
      <c r="A340">
        <v>7547676</v>
      </c>
      <c r="B340">
        <v>690929</v>
      </c>
      <c r="C340" t="s">
        <v>34</v>
      </c>
      <c r="D340" t="s">
        <v>35</v>
      </c>
      <c r="E340" s="6" t="s">
        <v>34</v>
      </c>
      <c r="F340" t="s">
        <v>1116</v>
      </c>
      <c r="G340" t="s">
        <v>37</v>
      </c>
      <c r="H340" t="s">
        <v>38</v>
      </c>
      <c r="I340" t="s">
        <v>1117</v>
      </c>
      <c r="J340" t="s">
        <v>40</v>
      </c>
      <c r="K340">
        <v>2</v>
      </c>
      <c r="L340" t="s">
        <v>41</v>
      </c>
      <c r="M340" t="s">
        <v>42</v>
      </c>
      <c r="N340" t="s">
        <v>43</v>
      </c>
      <c r="O340" s="7">
        <v>1</v>
      </c>
      <c r="P340" s="8">
        <v>45374.519386574073</v>
      </c>
      <c r="Q340" s="9">
        <v>45375</v>
      </c>
      <c r="R340" t="s">
        <v>44</v>
      </c>
      <c r="S340" t="s">
        <v>45</v>
      </c>
      <c r="T340" t="s">
        <v>46</v>
      </c>
      <c r="U340" t="s">
        <v>47</v>
      </c>
      <c r="V340" t="s">
        <v>1118</v>
      </c>
      <c r="W340">
        <v>21200</v>
      </c>
      <c r="X340" t="s">
        <v>45</v>
      </c>
      <c r="Y340" t="s">
        <v>49</v>
      </c>
      <c r="Z340" t="s">
        <v>50</v>
      </c>
      <c r="AA340" s="10">
        <f>IF(O340&lt;=1,7,7+0.8*ROUNDUP(O340-1,0))</f>
        <v>7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14"/>
        <v>0.42</v>
      </c>
      <c r="AG340" s="11">
        <f t="shared" si="15"/>
        <v>7.42</v>
      </c>
      <c r="AH340" t="s">
        <v>51</v>
      </c>
    </row>
    <row r="341" spans="1:34" ht="15" customHeight="1" x14ac:dyDescent="0.35">
      <c r="A341">
        <v>7547676</v>
      </c>
      <c r="B341">
        <v>690929</v>
      </c>
      <c r="C341" t="s">
        <v>34</v>
      </c>
      <c r="D341" t="s">
        <v>35</v>
      </c>
      <c r="E341" s="6" t="s">
        <v>34</v>
      </c>
      <c r="F341" t="s">
        <v>1119</v>
      </c>
      <c r="G341" t="s">
        <v>37</v>
      </c>
      <c r="H341" t="s">
        <v>38</v>
      </c>
      <c r="I341" t="s">
        <v>1120</v>
      </c>
      <c r="J341" t="s">
        <v>40</v>
      </c>
      <c r="K341">
        <v>2</v>
      </c>
      <c r="L341" t="s">
        <v>41</v>
      </c>
      <c r="M341" t="s">
        <v>42</v>
      </c>
      <c r="N341" t="s">
        <v>43</v>
      </c>
      <c r="O341" s="7">
        <v>1</v>
      </c>
      <c r="P341" s="8">
        <v>45374.599004629628</v>
      </c>
      <c r="Q341" s="9">
        <v>45375</v>
      </c>
      <c r="R341" t="s">
        <v>44</v>
      </c>
      <c r="S341" t="s">
        <v>45</v>
      </c>
      <c r="T341" t="s">
        <v>46</v>
      </c>
      <c r="U341" t="s">
        <v>190</v>
      </c>
      <c r="V341" t="s">
        <v>1121</v>
      </c>
      <c r="W341">
        <v>28740</v>
      </c>
      <c r="X341" t="s">
        <v>45</v>
      </c>
      <c r="Y341" t="s">
        <v>362</v>
      </c>
      <c r="Z341" t="s">
        <v>50</v>
      </c>
      <c r="AA341" s="10">
        <f>IF(O341&lt;=1,7,7+0.8*ROUNDUP(O341-1,0))</f>
        <v>7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14"/>
        <v>0.42</v>
      </c>
      <c r="AG341" s="11">
        <f t="shared" si="15"/>
        <v>7.42</v>
      </c>
      <c r="AH341" t="s">
        <v>51</v>
      </c>
    </row>
    <row r="342" spans="1:34" ht="15" customHeight="1" x14ac:dyDescent="0.35">
      <c r="A342">
        <v>7547676</v>
      </c>
      <c r="B342">
        <v>690929</v>
      </c>
      <c r="C342" t="s">
        <v>34</v>
      </c>
      <c r="D342" t="s">
        <v>35</v>
      </c>
      <c r="E342" s="6" t="s">
        <v>34</v>
      </c>
      <c r="F342" t="s">
        <v>1122</v>
      </c>
      <c r="G342" t="s">
        <v>37</v>
      </c>
      <c r="H342" t="s">
        <v>38</v>
      </c>
      <c r="I342" t="s">
        <v>1123</v>
      </c>
      <c r="J342" t="s">
        <v>40</v>
      </c>
      <c r="K342">
        <v>2</v>
      </c>
      <c r="L342" t="s">
        <v>41</v>
      </c>
      <c r="M342" t="s">
        <v>42</v>
      </c>
      <c r="N342" t="s">
        <v>43</v>
      </c>
      <c r="O342" s="7">
        <v>1</v>
      </c>
      <c r="P342" s="8">
        <v>45372.694699074076</v>
      </c>
      <c r="Q342" s="9">
        <v>45375</v>
      </c>
      <c r="R342" t="s">
        <v>789</v>
      </c>
      <c r="S342" t="s">
        <v>45</v>
      </c>
      <c r="T342" t="s">
        <v>46</v>
      </c>
      <c r="U342" t="s">
        <v>82</v>
      </c>
      <c r="V342" t="s">
        <v>1124</v>
      </c>
      <c r="W342">
        <v>81100</v>
      </c>
      <c r="X342" t="s">
        <v>45</v>
      </c>
      <c r="Y342" t="s">
        <v>79</v>
      </c>
      <c r="Z342" t="s">
        <v>50</v>
      </c>
      <c r="AA342" s="10">
        <f>IF(O342&lt;=1,7,7+0.8*ROUNDUP(O342-1,0))</f>
        <v>7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14"/>
        <v>0.42</v>
      </c>
      <c r="AG342" s="11">
        <f t="shared" si="15"/>
        <v>7.42</v>
      </c>
      <c r="AH342" t="s">
        <v>51</v>
      </c>
    </row>
    <row r="343" spans="1:34" ht="15" customHeight="1" x14ac:dyDescent="0.35">
      <c r="A343">
        <v>7547676</v>
      </c>
      <c r="B343">
        <v>690929</v>
      </c>
      <c r="C343" t="s">
        <v>34</v>
      </c>
      <c r="D343" t="s">
        <v>35</v>
      </c>
      <c r="E343" s="6" t="s">
        <v>34</v>
      </c>
      <c r="F343" t="s">
        <v>1125</v>
      </c>
      <c r="G343" t="s">
        <v>37</v>
      </c>
      <c r="H343" t="s">
        <v>38</v>
      </c>
      <c r="I343" t="s">
        <v>1126</v>
      </c>
      <c r="J343" t="s">
        <v>40</v>
      </c>
      <c r="K343">
        <v>2</v>
      </c>
      <c r="L343" t="s">
        <v>41</v>
      </c>
      <c r="M343" t="s">
        <v>42</v>
      </c>
      <c r="N343" t="s">
        <v>43</v>
      </c>
      <c r="O343" s="7">
        <v>1</v>
      </c>
      <c r="P343" s="8">
        <v>45372.721562500003</v>
      </c>
      <c r="Q343" s="9">
        <v>45375</v>
      </c>
      <c r="R343" t="s">
        <v>287</v>
      </c>
      <c r="S343" t="s">
        <v>45</v>
      </c>
      <c r="T343" t="s">
        <v>46</v>
      </c>
      <c r="U343" t="s">
        <v>103</v>
      </c>
      <c r="V343" t="s">
        <v>1127</v>
      </c>
      <c r="W343">
        <v>2400</v>
      </c>
      <c r="X343" t="s">
        <v>45</v>
      </c>
      <c r="Y343" t="s">
        <v>1128</v>
      </c>
      <c r="Z343" t="s">
        <v>50</v>
      </c>
      <c r="AA343" s="10">
        <f>IF(O343&lt;=1,7,7+0.8*ROUNDUP(O343-1,0))</f>
        <v>7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14"/>
        <v>0.42</v>
      </c>
      <c r="AG343" s="11">
        <f t="shared" si="15"/>
        <v>7.42</v>
      </c>
      <c r="AH343" t="s">
        <v>51</v>
      </c>
    </row>
    <row r="344" spans="1:34" ht="15" customHeight="1" x14ac:dyDescent="0.35">
      <c r="A344">
        <v>7547676</v>
      </c>
      <c r="B344">
        <v>690929</v>
      </c>
      <c r="C344" t="s">
        <v>34</v>
      </c>
      <c r="D344" t="s">
        <v>35</v>
      </c>
      <c r="E344" s="6" t="s">
        <v>34</v>
      </c>
      <c r="F344" t="s">
        <v>1129</v>
      </c>
      <c r="G344" t="s">
        <v>37</v>
      </c>
      <c r="H344" t="s">
        <v>38</v>
      </c>
      <c r="I344" t="s">
        <v>1130</v>
      </c>
      <c r="J344" t="s">
        <v>40</v>
      </c>
      <c r="K344">
        <v>2</v>
      </c>
      <c r="L344" t="s">
        <v>41</v>
      </c>
      <c r="M344" t="s">
        <v>42</v>
      </c>
      <c r="N344" t="s">
        <v>43</v>
      </c>
      <c r="O344" s="7">
        <v>2</v>
      </c>
      <c r="P344" s="8">
        <v>45372.659791666665</v>
      </c>
      <c r="Q344" s="9">
        <v>45375</v>
      </c>
      <c r="R344" t="s">
        <v>789</v>
      </c>
      <c r="S344" t="s">
        <v>45</v>
      </c>
      <c r="T344" t="s">
        <v>46</v>
      </c>
      <c r="U344" t="s">
        <v>134</v>
      </c>
      <c r="V344" t="s">
        <v>1131</v>
      </c>
      <c r="W344">
        <v>9310</v>
      </c>
      <c r="X344" t="s">
        <v>45</v>
      </c>
      <c r="Y344" t="s">
        <v>79</v>
      </c>
      <c r="Z344" t="s">
        <v>50</v>
      </c>
      <c r="AA344" s="10">
        <f>IF(O344&lt;=1,7,7+0.8*ROUNDUP(O344-1,0))</f>
        <v>7.8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14"/>
        <v>0.46799999999999997</v>
      </c>
      <c r="AG344" s="11">
        <f t="shared" si="15"/>
        <v>8.2680000000000007</v>
      </c>
      <c r="AH344" t="s">
        <v>51</v>
      </c>
    </row>
    <row r="345" spans="1:34" ht="15" customHeight="1" x14ac:dyDescent="0.35">
      <c r="A345">
        <v>7547676</v>
      </c>
      <c r="B345">
        <v>690929</v>
      </c>
      <c r="C345" t="s">
        <v>34</v>
      </c>
      <c r="D345" t="s">
        <v>35</v>
      </c>
      <c r="E345" s="6" t="s">
        <v>34</v>
      </c>
      <c r="F345" t="s">
        <v>1132</v>
      </c>
      <c r="G345" t="s">
        <v>37</v>
      </c>
      <c r="H345" t="s">
        <v>38</v>
      </c>
      <c r="I345" t="s">
        <v>1133</v>
      </c>
      <c r="J345" t="s">
        <v>40</v>
      </c>
      <c r="K345">
        <v>2</v>
      </c>
      <c r="L345" t="s">
        <v>41</v>
      </c>
      <c r="M345" t="s">
        <v>42</v>
      </c>
      <c r="N345" t="s">
        <v>43</v>
      </c>
      <c r="O345" s="7">
        <v>1</v>
      </c>
      <c r="P345" s="8">
        <v>45374.697777777779</v>
      </c>
      <c r="Q345" s="9">
        <v>45375</v>
      </c>
      <c r="R345" t="s">
        <v>44</v>
      </c>
      <c r="S345" t="s">
        <v>45</v>
      </c>
      <c r="T345" t="s">
        <v>46</v>
      </c>
      <c r="U345" t="s">
        <v>99</v>
      </c>
      <c r="V345" t="s">
        <v>1134</v>
      </c>
      <c r="W345">
        <v>16010</v>
      </c>
      <c r="X345" t="s">
        <v>45</v>
      </c>
      <c r="Y345" t="s">
        <v>156</v>
      </c>
      <c r="Z345" t="s">
        <v>50</v>
      </c>
      <c r="AA345" s="10">
        <f>IF(O345&lt;=1,7,7+0.8*ROUNDUP(O345-1,0))</f>
        <v>7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14"/>
        <v>0.42</v>
      </c>
      <c r="AG345" s="11">
        <f t="shared" si="15"/>
        <v>7.42</v>
      </c>
      <c r="AH345" t="s">
        <v>51</v>
      </c>
    </row>
    <row r="346" spans="1:34" ht="15" customHeight="1" x14ac:dyDescent="0.35">
      <c r="A346">
        <v>7547676</v>
      </c>
      <c r="B346">
        <v>690929</v>
      </c>
      <c r="C346" t="s">
        <v>34</v>
      </c>
      <c r="D346" t="s">
        <v>35</v>
      </c>
      <c r="E346" s="6" t="s">
        <v>34</v>
      </c>
      <c r="F346" t="s">
        <v>1135</v>
      </c>
      <c r="G346" t="s">
        <v>37</v>
      </c>
      <c r="H346" t="s">
        <v>38</v>
      </c>
      <c r="I346" t="s">
        <v>1136</v>
      </c>
      <c r="J346" t="s">
        <v>40</v>
      </c>
      <c r="K346">
        <v>2</v>
      </c>
      <c r="L346" t="s">
        <v>41</v>
      </c>
      <c r="M346" t="s">
        <v>42</v>
      </c>
      <c r="N346" t="s">
        <v>43</v>
      </c>
      <c r="O346" s="7">
        <v>20</v>
      </c>
      <c r="P346" s="8">
        <v>45372.412835648145</v>
      </c>
      <c r="Q346" s="9">
        <v>45375</v>
      </c>
      <c r="R346" t="s">
        <v>44</v>
      </c>
      <c r="S346" t="s">
        <v>45</v>
      </c>
      <c r="T346" t="s">
        <v>46</v>
      </c>
      <c r="U346" t="s">
        <v>82</v>
      </c>
      <c r="V346" t="s">
        <v>1137</v>
      </c>
      <c r="W346">
        <v>81750</v>
      </c>
      <c r="X346" t="s">
        <v>45</v>
      </c>
      <c r="Y346" t="s">
        <v>327</v>
      </c>
      <c r="Z346" t="s">
        <v>50</v>
      </c>
      <c r="AA346" s="10">
        <f>IF(O346&lt;=1,7,7+0.8*ROUNDUP(O346-1,0))</f>
        <v>22.200000000000003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14"/>
        <v>1.3320000000000001</v>
      </c>
      <c r="AG346" s="11">
        <f t="shared" si="15"/>
        <v>23.532000000000004</v>
      </c>
      <c r="AH346" t="s">
        <v>51</v>
      </c>
    </row>
    <row r="347" spans="1:34" ht="15" customHeight="1" x14ac:dyDescent="0.35">
      <c r="A347">
        <v>7547676</v>
      </c>
      <c r="B347">
        <v>690929</v>
      </c>
      <c r="C347" t="s">
        <v>34</v>
      </c>
      <c r="D347" t="s">
        <v>35</v>
      </c>
      <c r="E347" s="6" t="s">
        <v>34</v>
      </c>
      <c r="F347" t="s">
        <v>1138</v>
      </c>
      <c r="G347" t="s">
        <v>37</v>
      </c>
      <c r="H347" t="s">
        <v>38</v>
      </c>
      <c r="I347" t="s">
        <v>1139</v>
      </c>
      <c r="J347" t="s">
        <v>40</v>
      </c>
      <c r="K347">
        <v>2</v>
      </c>
      <c r="L347" t="s">
        <v>41</v>
      </c>
      <c r="M347" t="s">
        <v>42</v>
      </c>
      <c r="N347" t="s">
        <v>43</v>
      </c>
      <c r="O347" s="7">
        <v>1</v>
      </c>
      <c r="P347" s="8">
        <v>45374.506319444445</v>
      </c>
      <c r="Q347" s="9">
        <v>45376</v>
      </c>
      <c r="R347" t="s">
        <v>789</v>
      </c>
      <c r="S347" t="s">
        <v>45</v>
      </c>
      <c r="T347" t="s">
        <v>46</v>
      </c>
      <c r="U347" t="s">
        <v>54</v>
      </c>
      <c r="V347" t="s">
        <v>1140</v>
      </c>
      <c r="W347">
        <v>40300</v>
      </c>
      <c r="X347" t="s">
        <v>45</v>
      </c>
      <c r="Y347" t="s">
        <v>56</v>
      </c>
      <c r="Z347" t="s">
        <v>50</v>
      </c>
      <c r="AA347" s="10">
        <f>IF(O347&lt;=1,7,7+0.8*ROUNDUP(O347-1,0))</f>
        <v>7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14"/>
        <v>0.42</v>
      </c>
      <c r="AG347" s="11">
        <f t="shared" si="15"/>
        <v>7.42</v>
      </c>
      <c r="AH347" t="s">
        <v>51</v>
      </c>
    </row>
    <row r="348" spans="1:34" ht="15" customHeight="1" x14ac:dyDescent="0.35">
      <c r="A348">
        <v>7547676</v>
      </c>
      <c r="B348">
        <v>690929</v>
      </c>
      <c r="C348" t="s">
        <v>34</v>
      </c>
      <c r="D348" t="s">
        <v>35</v>
      </c>
      <c r="E348" s="6" t="s">
        <v>34</v>
      </c>
      <c r="F348" t="s">
        <v>1141</v>
      </c>
      <c r="G348" t="s">
        <v>37</v>
      </c>
      <c r="H348" t="s">
        <v>38</v>
      </c>
      <c r="I348" t="s">
        <v>645</v>
      </c>
      <c r="J348" t="s">
        <v>40</v>
      </c>
      <c r="K348">
        <v>2</v>
      </c>
      <c r="L348" t="s">
        <v>41</v>
      </c>
      <c r="M348" t="s">
        <v>42</v>
      </c>
      <c r="N348" t="s">
        <v>43</v>
      </c>
      <c r="O348" s="7">
        <v>9</v>
      </c>
      <c r="P348" s="8">
        <v>45374.653136574074</v>
      </c>
      <c r="Q348" s="9">
        <v>45376</v>
      </c>
      <c r="R348" t="s">
        <v>44</v>
      </c>
      <c r="S348" t="s">
        <v>45</v>
      </c>
      <c r="T348" t="s">
        <v>46</v>
      </c>
      <c r="U348" t="s">
        <v>54</v>
      </c>
      <c r="V348" t="s">
        <v>646</v>
      </c>
      <c r="W348">
        <v>40000</v>
      </c>
      <c r="X348" t="s">
        <v>45</v>
      </c>
      <c r="Y348" t="s">
        <v>441</v>
      </c>
      <c r="Z348" t="s">
        <v>50</v>
      </c>
      <c r="AA348" s="10">
        <f>IF(O348&lt;=1,7,7+0.8*ROUNDUP(O348-1,0))</f>
        <v>13.4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14"/>
        <v>0.80399999999999994</v>
      </c>
      <c r="AG348" s="11">
        <f t="shared" si="15"/>
        <v>14.204000000000001</v>
      </c>
      <c r="AH348" t="s">
        <v>51</v>
      </c>
    </row>
    <row r="349" spans="1:34" ht="15" customHeight="1" x14ac:dyDescent="0.35">
      <c r="A349">
        <v>7547676</v>
      </c>
      <c r="B349">
        <v>690929</v>
      </c>
      <c r="C349" t="s">
        <v>34</v>
      </c>
      <c r="D349" t="s">
        <v>35</v>
      </c>
      <c r="E349" s="6" t="s">
        <v>34</v>
      </c>
      <c r="F349" t="s">
        <v>1142</v>
      </c>
      <c r="G349" t="s">
        <v>37</v>
      </c>
      <c r="H349" t="s">
        <v>38</v>
      </c>
      <c r="I349" t="s">
        <v>1143</v>
      </c>
      <c r="J349" t="s">
        <v>40</v>
      </c>
      <c r="K349">
        <v>2</v>
      </c>
      <c r="L349" t="s">
        <v>41</v>
      </c>
      <c r="M349" t="s">
        <v>42</v>
      </c>
      <c r="N349" t="s">
        <v>43</v>
      </c>
      <c r="O349" s="7">
        <v>1</v>
      </c>
      <c r="P349" s="8">
        <v>45369.727094907408</v>
      </c>
      <c r="Q349" s="9">
        <v>45376</v>
      </c>
      <c r="R349" t="s">
        <v>44</v>
      </c>
      <c r="S349" t="s">
        <v>45</v>
      </c>
      <c r="T349" t="s">
        <v>46</v>
      </c>
      <c r="U349" t="s">
        <v>67</v>
      </c>
      <c r="V349" t="s">
        <v>1144</v>
      </c>
      <c r="W349">
        <v>50050</v>
      </c>
      <c r="X349" t="s">
        <v>45</v>
      </c>
      <c r="Y349" t="s">
        <v>79</v>
      </c>
      <c r="Z349" t="s">
        <v>50</v>
      </c>
      <c r="AA349" s="10">
        <f>IF(O349&lt;=1,7,7+0.8*ROUNDUP(O349-1,0))</f>
        <v>7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si="14"/>
        <v>0.42</v>
      </c>
      <c r="AG349" s="11">
        <f t="shared" si="15"/>
        <v>7.42</v>
      </c>
      <c r="AH349" t="s">
        <v>51</v>
      </c>
    </row>
    <row r="350" spans="1:34" ht="15" customHeight="1" x14ac:dyDescent="0.35">
      <c r="A350">
        <v>7547676</v>
      </c>
      <c r="B350">
        <v>690929</v>
      </c>
      <c r="C350" t="s">
        <v>34</v>
      </c>
      <c r="D350" t="s">
        <v>35</v>
      </c>
      <c r="E350" s="6" t="s">
        <v>34</v>
      </c>
      <c r="F350" t="s">
        <v>1145</v>
      </c>
      <c r="G350" t="s">
        <v>37</v>
      </c>
      <c r="H350" t="s">
        <v>38</v>
      </c>
      <c r="I350" t="s">
        <v>1146</v>
      </c>
      <c r="J350" t="s">
        <v>40</v>
      </c>
      <c r="K350">
        <v>2</v>
      </c>
      <c r="L350" t="s">
        <v>41</v>
      </c>
      <c r="M350" t="s">
        <v>42</v>
      </c>
      <c r="N350" t="s">
        <v>43</v>
      </c>
      <c r="O350" s="7">
        <v>1</v>
      </c>
      <c r="P350" s="8">
        <v>45375.663506944446</v>
      </c>
      <c r="Q350" s="9">
        <v>45376</v>
      </c>
      <c r="R350" t="s">
        <v>44</v>
      </c>
      <c r="S350" t="s">
        <v>45</v>
      </c>
      <c r="T350" t="s">
        <v>46</v>
      </c>
      <c r="U350" t="s">
        <v>99</v>
      </c>
      <c r="V350" t="s">
        <v>1147</v>
      </c>
      <c r="W350">
        <v>17200</v>
      </c>
      <c r="X350" t="s">
        <v>45</v>
      </c>
      <c r="Y350" t="s">
        <v>156</v>
      </c>
      <c r="Z350" t="s">
        <v>50</v>
      </c>
      <c r="AA350" s="10">
        <f>IF(O350&lt;=1,7,7+0.8*ROUNDUP(O350-1,0))</f>
        <v>7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14"/>
        <v>0.42</v>
      </c>
      <c r="AG350" s="11">
        <f t="shared" si="15"/>
        <v>7.42</v>
      </c>
      <c r="AH350" t="s">
        <v>51</v>
      </c>
    </row>
    <row r="351" spans="1:34" ht="15" customHeight="1" x14ac:dyDescent="0.35">
      <c r="A351">
        <v>7547676</v>
      </c>
      <c r="B351">
        <v>690929</v>
      </c>
      <c r="C351" t="s">
        <v>34</v>
      </c>
      <c r="D351" t="s">
        <v>35</v>
      </c>
      <c r="E351" s="6" t="s">
        <v>34</v>
      </c>
      <c r="F351" t="s">
        <v>1148</v>
      </c>
      <c r="G351" t="s">
        <v>37</v>
      </c>
      <c r="H351" t="s">
        <v>38</v>
      </c>
      <c r="I351" t="s">
        <v>1149</v>
      </c>
      <c r="J351" t="s">
        <v>40</v>
      </c>
      <c r="K351">
        <v>2</v>
      </c>
      <c r="L351" t="s">
        <v>41</v>
      </c>
      <c r="M351" t="s">
        <v>42</v>
      </c>
      <c r="N351" t="s">
        <v>43</v>
      </c>
      <c r="O351" s="7">
        <v>1</v>
      </c>
      <c r="P351" s="8">
        <v>45375.659826388888</v>
      </c>
      <c r="Q351" s="9">
        <v>45376</v>
      </c>
      <c r="R351" t="s">
        <v>44</v>
      </c>
      <c r="S351" t="s">
        <v>45</v>
      </c>
      <c r="T351" t="s">
        <v>46</v>
      </c>
      <c r="U351" t="s">
        <v>54</v>
      </c>
      <c r="V351" t="s">
        <v>1150</v>
      </c>
      <c r="W351">
        <v>43300</v>
      </c>
      <c r="X351" t="s">
        <v>45</v>
      </c>
      <c r="Y351" t="s">
        <v>60</v>
      </c>
      <c r="Z351" t="s">
        <v>50</v>
      </c>
      <c r="AA351" s="10">
        <f>IF(O351&lt;=1,7,7+0.8*ROUNDUP(O351-1,0))</f>
        <v>7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14"/>
        <v>0.42</v>
      </c>
      <c r="AG351" s="11">
        <f t="shared" si="15"/>
        <v>7.42</v>
      </c>
      <c r="AH351" t="s">
        <v>51</v>
      </c>
    </row>
    <row r="352" spans="1:34" ht="15" customHeight="1" x14ac:dyDescent="0.35">
      <c r="A352">
        <v>7547676</v>
      </c>
      <c r="B352">
        <v>690929</v>
      </c>
      <c r="C352" t="s">
        <v>34</v>
      </c>
      <c r="D352" t="s">
        <v>35</v>
      </c>
      <c r="E352" s="6" t="s">
        <v>34</v>
      </c>
      <c r="F352" t="s">
        <v>1151</v>
      </c>
      <c r="G352" t="s">
        <v>37</v>
      </c>
      <c r="H352" t="s">
        <v>38</v>
      </c>
      <c r="I352" t="s">
        <v>1152</v>
      </c>
      <c r="J352" t="s">
        <v>40</v>
      </c>
      <c r="K352">
        <v>2</v>
      </c>
      <c r="L352" t="s">
        <v>41</v>
      </c>
      <c r="M352" t="s">
        <v>42</v>
      </c>
      <c r="N352" t="s">
        <v>43</v>
      </c>
      <c r="O352" s="7">
        <v>1</v>
      </c>
      <c r="P352" s="8">
        <v>45375.710590277777</v>
      </c>
      <c r="Q352" s="9">
        <v>45376</v>
      </c>
      <c r="R352" t="s">
        <v>44</v>
      </c>
      <c r="S352" t="s">
        <v>45</v>
      </c>
      <c r="T352" t="s">
        <v>46</v>
      </c>
      <c r="U352" t="s">
        <v>99</v>
      </c>
      <c r="V352" t="s">
        <v>1153</v>
      </c>
      <c r="W352">
        <v>15000</v>
      </c>
      <c r="X352" t="s">
        <v>45</v>
      </c>
      <c r="Y352" t="s">
        <v>156</v>
      </c>
      <c r="Z352" t="s">
        <v>50</v>
      </c>
      <c r="AA352" s="10">
        <f>IF(O352&lt;=1,7,7+0.8*ROUNDUP(O352-1,0))</f>
        <v>7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14"/>
        <v>0.42</v>
      </c>
      <c r="AG352" s="11">
        <f t="shared" si="15"/>
        <v>7.42</v>
      </c>
      <c r="AH352" t="s">
        <v>51</v>
      </c>
    </row>
    <row r="353" spans="1:34" ht="15" customHeight="1" x14ac:dyDescent="0.35">
      <c r="A353">
        <v>7547676</v>
      </c>
      <c r="B353">
        <v>690929</v>
      </c>
      <c r="C353" t="s">
        <v>34</v>
      </c>
      <c r="D353" t="s">
        <v>35</v>
      </c>
      <c r="E353" s="6" t="s">
        <v>34</v>
      </c>
      <c r="F353" t="s">
        <v>1154</v>
      </c>
      <c r="G353" t="s">
        <v>37</v>
      </c>
      <c r="H353" t="s">
        <v>38</v>
      </c>
      <c r="I353" t="s">
        <v>1155</v>
      </c>
      <c r="J353" t="s">
        <v>40</v>
      </c>
      <c r="K353">
        <v>2</v>
      </c>
      <c r="L353" t="s">
        <v>41</v>
      </c>
      <c r="M353" t="s">
        <v>42</v>
      </c>
      <c r="N353" t="s">
        <v>43</v>
      </c>
      <c r="O353" s="7">
        <v>3</v>
      </c>
      <c r="P353" s="8">
        <v>45374.519386574073</v>
      </c>
      <c r="Q353" s="9">
        <v>45376</v>
      </c>
      <c r="R353" t="s">
        <v>44</v>
      </c>
      <c r="S353" t="s">
        <v>45</v>
      </c>
      <c r="T353" t="s">
        <v>46</v>
      </c>
      <c r="U353" t="s">
        <v>82</v>
      </c>
      <c r="V353" t="s">
        <v>1156</v>
      </c>
      <c r="W353">
        <v>86000</v>
      </c>
      <c r="X353" t="s">
        <v>45</v>
      </c>
      <c r="Y353" t="s">
        <v>362</v>
      </c>
      <c r="Z353" t="s">
        <v>50</v>
      </c>
      <c r="AA353" s="10">
        <f>IF(O353&lt;=1,7,7+0.8*ROUNDUP(O353-1,0))</f>
        <v>8.6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14"/>
        <v>0.51600000000000001</v>
      </c>
      <c r="AG353" s="11">
        <f t="shared" si="15"/>
        <v>9.1159999999999997</v>
      </c>
      <c r="AH353" t="s">
        <v>51</v>
      </c>
    </row>
    <row r="354" spans="1:34" ht="15" customHeight="1" x14ac:dyDescent="0.35">
      <c r="A354">
        <v>7547676</v>
      </c>
      <c r="B354">
        <v>690929</v>
      </c>
      <c r="C354" t="s">
        <v>34</v>
      </c>
      <c r="D354" t="s">
        <v>35</v>
      </c>
      <c r="E354" s="6" t="s">
        <v>34</v>
      </c>
      <c r="F354" t="s">
        <v>1157</v>
      </c>
      <c r="G354" t="s">
        <v>37</v>
      </c>
      <c r="H354" t="s">
        <v>38</v>
      </c>
      <c r="I354" t="s">
        <v>1158</v>
      </c>
      <c r="J354" t="s">
        <v>40</v>
      </c>
      <c r="K354">
        <v>2</v>
      </c>
      <c r="L354" t="s">
        <v>41</v>
      </c>
      <c r="M354" t="s">
        <v>42</v>
      </c>
      <c r="N354" t="s">
        <v>43</v>
      </c>
      <c r="O354" s="7">
        <v>1</v>
      </c>
      <c r="P354" s="8">
        <v>45374.70208333333</v>
      </c>
      <c r="Q354" s="9">
        <v>45376</v>
      </c>
      <c r="R354" t="s">
        <v>789</v>
      </c>
      <c r="S354" t="s">
        <v>45</v>
      </c>
      <c r="T354" t="s">
        <v>46</v>
      </c>
      <c r="U354" t="s">
        <v>54</v>
      </c>
      <c r="V354" t="s">
        <v>1159</v>
      </c>
      <c r="W354">
        <v>68000</v>
      </c>
      <c r="X354" t="s">
        <v>45</v>
      </c>
      <c r="Y354" t="s">
        <v>79</v>
      </c>
      <c r="Z354" t="s">
        <v>50</v>
      </c>
      <c r="AA354" s="10">
        <f>IF(O354&lt;=1,7,7+0.8*ROUNDUP(O354-1,0))</f>
        <v>7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14"/>
        <v>0.42</v>
      </c>
      <c r="AG354" s="11">
        <f t="shared" si="15"/>
        <v>7.42</v>
      </c>
      <c r="AH354" t="s">
        <v>51</v>
      </c>
    </row>
    <row r="355" spans="1:34" ht="15" customHeight="1" x14ac:dyDescent="0.35">
      <c r="A355">
        <v>7547676</v>
      </c>
      <c r="B355">
        <v>690929</v>
      </c>
      <c r="C355" t="s">
        <v>34</v>
      </c>
      <c r="D355" t="s">
        <v>35</v>
      </c>
      <c r="E355" s="6" t="s">
        <v>34</v>
      </c>
      <c r="F355" t="s">
        <v>1160</v>
      </c>
      <c r="G355" t="s">
        <v>37</v>
      </c>
      <c r="H355" t="s">
        <v>38</v>
      </c>
      <c r="I355" t="s">
        <v>1161</v>
      </c>
      <c r="J355" t="s">
        <v>40</v>
      </c>
      <c r="K355">
        <v>2</v>
      </c>
      <c r="L355" t="s">
        <v>41</v>
      </c>
      <c r="M355" t="s">
        <v>42</v>
      </c>
      <c r="N355" t="s">
        <v>43</v>
      </c>
      <c r="O355" s="7">
        <v>1</v>
      </c>
      <c r="P355" s="8">
        <v>45373.62771990741</v>
      </c>
      <c r="Q355" s="9">
        <v>45376</v>
      </c>
      <c r="R355" t="s">
        <v>789</v>
      </c>
      <c r="S355" t="s">
        <v>45</v>
      </c>
      <c r="T355" t="s">
        <v>46</v>
      </c>
      <c r="U355" t="s">
        <v>54</v>
      </c>
      <c r="V355" t="s">
        <v>1162</v>
      </c>
      <c r="W355">
        <v>47620</v>
      </c>
      <c r="X355" t="s">
        <v>45</v>
      </c>
      <c r="Y355" t="s">
        <v>441</v>
      </c>
      <c r="Z355" t="s">
        <v>50</v>
      </c>
      <c r="AA355" s="10">
        <f>IF(O355&lt;=1,7,7+0.8*ROUNDUP(O355-1,0))</f>
        <v>7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14"/>
        <v>0.42</v>
      </c>
      <c r="AG355" s="11">
        <f t="shared" si="15"/>
        <v>7.42</v>
      </c>
      <c r="AH355" t="s">
        <v>51</v>
      </c>
    </row>
    <row r="356" spans="1:34" ht="15" customHeight="1" x14ac:dyDescent="0.35">
      <c r="A356">
        <v>7547676</v>
      </c>
      <c r="B356">
        <v>690929</v>
      </c>
      <c r="C356" t="s">
        <v>34</v>
      </c>
      <c r="D356" t="s">
        <v>35</v>
      </c>
      <c r="E356" s="6" t="s">
        <v>34</v>
      </c>
      <c r="F356" t="s">
        <v>1163</v>
      </c>
      <c r="G356" t="s">
        <v>37</v>
      </c>
      <c r="H356" t="s">
        <v>38</v>
      </c>
      <c r="I356" t="s">
        <v>1164</v>
      </c>
      <c r="J356" t="s">
        <v>40</v>
      </c>
      <c r="K356">
        <v>2</v>
      </c>
      <c r="L356" t="s">
        <v>41</v>
      </c>
      <c r="M356" t="s">
        <v>42</v>
      </c>
      <c r="N356" t="s">
        <v>43</v>
      </c>
      <c r="O356" s="7">
        <v>1</v>
      </c>
      <c r="P356" s="8">
        <v>45375.394270833334</v>
      </c>
      <c r="Q356" s="9">
        <v>45376</v>
      </c>
      <c r="R356" t="s">
        <v>44</v>
      </c>
      <c r="S356" t="s">
        <v>45</v>
      </c>
      <c r="T356" t="s">
        <v>46</v>
      </c>
      <c r="U356" t="s">
        <v>47</v>
      </c>
      <c r="V356" t="s">
        <v>1165</v>
      </c>
      <c r="W356">
        <v>22000</v>
      </c>
      <c r="X356" t="s">
        <v>45</v>
      </c>
      <c r="Y356" t="s">
        <v>156</v>
      </c>
      <c r="Z356" t="s">
        <v>50</v>
      </c>
      <c r="AA356" s="10">
        <f>IF(O356&lt;=1,7,7+0.8*ROUNDUP(O356-1,0))</f>
        <v>7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si="14"/>
        <v>0.42</v>
      </c>
      <c r="AG356" s="11">
        <f t="shared" si="15"/>
        <v>7.42</v>
      </c>
      <c r="AH356" t="s">
        <v>51</v>
      </c>
    </row>
    <row r="357" spans="1:34" ht="15" customHeight="1" x14ac:dyDescent="0.35">
      <c r="A357">
        <v>7547676</v>
      </c>
      <c r="B357">
        <v>690929</v>
      </c>
      <c r="C357" t="s">
        <v>34</v>
      </c>
      <c r="D357" t="s">
        <v>35</v>
      </c>
      <c r="E357" s="6" t="s">
        <v>34</v>
      </c>
      <c r="F357" t="s">
        <v>1166</v>
      </c>
      <c r="G357" t="s">
        <v>37</v>
      </c>
      <c r="H357" t="s">
        <v>38</v>
      </c>
      <c r="I357" t="s">
        <v>1167</v>
      </c>
      <c r="J357" t="s">
        <v>40</v>
      </c>
      <c r="K357">
        <v>2</v>
      </c>
      <c r="L357" t="s">
        <v>41</v>
      </c>
      <c r="M357" t="s">
        <v>42</v>
      </c>
      <c r="N357" t="s">
        <v>43</v>
      </c>
      <c r="O357" s="7">
        <v>1</v>
      </c>
      <c r="P357" s="8">
        <v>45374.70208333333</v>
      </c>
      <c r="Q357" s="9">
        <v>45376</v>
      </c>
      <c r="R357" t="s">
        <v>789</v>
      </c>
      <c r="S357" t="s">
        <v>45</v>
      </c>
      <c r="T357" t="s">
        <v>46</v>
      </c>
      <c r="U357" t="s">
        <v>278</v>
      </c>
      <c r="V357" t="s">
        <v>1168</v>
      </c>
      <c r="W357">
        <v>13200</v>
      </c>
      <c r="X357" t="s">
        <v>45</v>
      </c>
      <c r="Y357" t="s">
        <v>79</v>
      </c>
      <c r="Z357" t="s">
        <v>50</v>
      </c>
      <c r="AA357" s="10">
        <f>IF(O357&lt;=1,7,7+0.8*ROUNDUP(O357-1,0))</f>
        <v>7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14"/>
        <v>0.42</v>
      </c>
      <c r="AG357" s="11">
        <f t="shared" si="15"/>
        <v>7.42</v>
      </c>
      <c r="AH357" t="s">
        <v>51</v>
      </c>
    </row>
    <row r="358" spans="1:34" ht="15" customHeight="1" x14ac:dyDescent="0.35">
      <c r="A358">
        <v>7547676</v>
      </c>
      <c r="B358">
        <v>690929</v>
      </c>
      <c r="C358" t="s">
        <v>34</v>
      </c>
      <c r="D358" t="s">
        <v>35</v>
      </c>
      <c r="E358" s="6" t="s">
        <v>34</v>
      </c>
      <c r="F358" t="s">
        <v>1169</v>
      </c>
      <c r="G358" t="s">
        <v>37</v>
      </c>
      <c r="H358" t="s">
        <v>38</v>
      </c>
      <c r="I358" t="s">
        <v>1170</v>
      </c>
      <c r="J358" t="s">
        <v>40</v>
      </c>
      <c r="K358">
        <v>2</v>
      </c>
      <c r="L358" t="s">
        <v>41</v>
      </c>
      <c r="M358" t="s">
        <v>42</v>
      </c>
      <c r="N358" t="s">
        <v>43</v>
      </c>
      <c r="O358" s="7">
        <v>2</v>
      </c>
      <c r="P358" s="8">
        <v>45375.487129629626</v>
      </c>
      <c r="Q358" s="9">
        <v>45376</v>
      </c>
      <c r="R358" t="s">
        <v>44</v>
      </c>
      <c r="S358" t="s">
        <v>45</v>
      </c>
      <c r="T358" t="s">
        <v>46</v>
      </c>
      <c r="U358" t="s">
        <v>99</v>
      </c>
      <c r="V358" t="s">
        <v>1171</v>
      </c>
      <c r="W358">
        <v>16800</v>
      </c>
      <c r="X358" t="s">
        <v>45</v>
      </c>
      <c r="Y358" t="s">
        <v>156</v>
      </c>
      <c r="Z358" t="s">
        <v>50</v>
      </c>
      <c r="AA358" s="10">
        <f>IF(O358&lt;=1,7,7+0.8*ROUNDUP(O358-1,0))</f>
        <v>7.8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14"/>
        <v>0.46799999999999997</v>
      </c>
      <c r="AG358" s="11">
        <f t="shared" si="15"/>
        <v>8.2680000000000007</v>
      </c>
      <c r="AH358" t="s">
        <v>51</v>
      </c>
    </row>
    <row r="359" spans="1:34" ht="15" customHeight="1" x14ac:dyDescent="0.35">
      <c r="A359">
        <v>7547676</v>
      </c>
      <c r="B359">
        <v>690929</v>
      </c>
      <c r="C359" t="s">
        <v>34</v>
      </c>
      <c r="D359" t="s">
        <v>35</v>
      </c>
      <c r="E359" s="6" t="s">
        <v>34</v>
      </c>
      <c r="F359" t="s">
        <v>1172</v>
      </c>
      <c r="G359" t="s">
        <v>37</v>
      </c>
      <c r="H359" t="s">
        <v>38</v>
      </c>
      <c r="I359" t="s">
        <v>1173</v>
      </c>
      <c r="J359" t="s">
        <v>40</v>
      </c>
      <c r="K359">
        <v>2</v>
      </c>
      <c r="L359" t="s">
        <v>41</v>
      </c>
      <c r="M359" t="s">
        <v>42</v>
      </c>
      <c r="N359" t="s">
        <v>43</v>
      </c>
      <c r="O359" s="7">
        <v>1</v>
      </c>
      <c r="P359" s="8">
        <v>45374.70208333333</v>
      </c>
      <c r="Q359" s="9">
        <v>45376</v>
      </c>
      <c r="R359" t="s">
        <v>789</v>
      </c>
      <c r="S359" t="s">
        <v>45</v>
      </c>
      <c r="T359" t="s">
        <v>46</v>
      </c>
      <c r="U359" t="s">
        <v>54</v>
      </c>
      <c r="V359" t="s">
        <v>1174</v>
      </c>
      <c r="W359">
        <v>43650</v>
      </c>
      <c r="X359" t="s">
        <v>45</v>
      </c>
      <c r="Y359" t="s">
        <v>79</v>
      </c>
      <c r="Z359" t="s">
        <v>50</v>
      </c>
      <c r="AA359" s="10">
        <f>IF(O359&lt;=1,7,7+0.8*ROUNDUP(O359-1,0))</f>
        <v>7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14"/>
        <v>0.42</v>
      </c>
      <c r="AG359" s="11">
        <f t="shared" si="15"/>
        <v>7.42</v>
      </c>
      <c r="AH359" t="s">
        <v>51</v>
      </c>
    </row>
    <row r="360" spans="1:34" ht="15" customHeight="1" x14ac:dyDescent="0.35">
      <c r="A360">
        <v>7547676</v>
      </c>
      <c r="B360">
        <v>690929</v>
      </c>
      <c r="C360" t="s">
        <v>34</v>
      </c>
      <c r="D360" t="s">
        <v>35</v>
      </c>
      <c r="E360" s="6" t="s">
        <v>34</v>
      </c>
      <c r="F360" t="s">
        <v>1175</v>
      </c>
      <c r="G360" t="s">
        <v>37</v>
      </c>
      <c r="H360" t="s">
        <v>38</v>
      </c>
      <c r="I360" t="s">
        <v>1176</v>
      </c>
      <c r="J360" t="s">
        <v>40</v>
      </c>
      <c r="K360">
        <v>2</v>
      </c>
      <c r="L360" t="s">
        <v>41</v>
      </c>
      <c r="M360" t="s">
        <v>42</v>
      </c>
      <c r="N360" t="s">
        <v>43</v>
      </c>
      <c r="O360" s="7">
        <v>1</v>
      </c>
      <c r="P360" s="8">
        <v>45375.487129629626</v>
      </c>
      <c r="Q360" s="9">
        <v>45376</v>
      </c>
      <c r="R360" t="s">
        <v>44</v>
      </c>
      <c r="S360" t="s">
        <v>45</v>
      </c>
      <c r="T360" t="s">
        <v>46</v>
      </c>
      <c r="U360" t="s">
        <v>54</v>
      </c>
      <c r="V360" t="s">
        <v>1177</v>
      </c>
      <c r="W360">
        <v>55100</v>
      </c>
      <c r="X360" t="s">
        <v>45</v>
      </c>
      <c r="Y360" t="s">
        <v>331</v>
      </c>
      <c r="Z360" t="s">
        <v>50</v>
      </c>
      <c r="AA360" s="10">
        <f>IF(O360&lt;=1,7,7+0.8*ROUNDUP(O360-1,0))</f>
        <v>7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ref="AF360:AF423" si="16">(AA360+AC360+AE360)*6%</f>
        <v>0.42</v>
      </c>
      <c r="AG360" s="11">
        <f t="shared" ref="AG360:AG423" si="17">AA360+AC360+AE360+AF360</f>
        <v>7.42</v>
      </c>
      <c r="AH360" t="s">
        <v>51</v>
      </c>
    </row>
    <row r="361" spans="1:34" ht="15" customHeight="1" x14ac:dyDescent="0.35">
      <c r="A361">
        <v>7547676</v>
      </c>
      <c r="B361">
        <v>690929</v>
      </c>
      <c r="C361" t="s">
        <v>34</v>
      </c>
      <c r="D361" t="s">
        <v>35</v>
      </c>
      <c r="E361" s="6" t="s">
        <v>34</v>
      </c>
      <c r="F361" t="s">
        <v>1178</v>
      </c>
      <c r="G361" t="s">
        <v>37</v>
      </c>
      <c r="H361" t="s">
        <v>38</v>
      </c>
      <c r="I361" t="s">
        <v>1179</v>
      </c>
      <c r="J361" t="s">
        <v>40</v>
      </c>
      <c r="K361">
        <v>2</v>
      </c>
      <c r="L361" t="s">
        <v>41</v>
      </c>
      <c r="M361" t="s">
        <v>42</v>
      </c>
      <c r="N361" t="s">
        <v>43</v>
      </c>
      <c r="O361" s="7">
        <v>1</v>
      </c>
      <c r="P361" s="8">
        <v>45374.689513888887</v>
      </c>
      <c r="Q361" s="9">
        <v>45376</v>
      </c>
      <c r="R361" t="s">
        <v>789</v>
      </c>
      <c r="S361" t="s">
        <v>45</v>
      </c>
      <c r="T361" t="s">
        <v>46</v>
      </c>
      <c r="U361" t="s">
        <v>77</v>
      </c>
      <c r="V361" t="s">
        <v>1180</v>
      </c>
      <c r="W361">
        <v>75250</v>
      </c>
      <c r="X361" t="s">
        <v>45</v>
      </c>
      <c r="Y361" t="s">
        <v>1181</v>
      </c>
      <c r="Z361" t="s">
        <v>50</v>
      </c>
      <c r="AA361" s="10">
        <f>IF(O361&lt;=1,7,7+0.8*ROUNDUP(O361-1,0))</f>
        <v>7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16"/>
        <v>0.42</v>
      </c>
      <c r="AG361" s="11">
        <f t="shared" si="17"/>
        <v>7.42</v>
      </c>
      <c r="AH361" t="s">
        <v>51</v>
      </c>
    </row>
    <row r="362" spans="1:34" ht="15" customHeight="1" x14ac:dyDescent="0.35">
      <c r="A362">
        <v>7547676</v>
      </c>
      <c r="B362">
        <v>690929</v>
      </c>
      <c r="C362" t="s">
        <v>34</v>
      </c>
      <c r="D362" t="s">
        <v>35</v>
      </c>
      <c r="E362" s="6" t="s">
        <v>34</v>
      </c>
      <c r="F362" t="s">
        <v>1182</v>
      </c>
      <c r="G362" t="s">
        <v>37</v>
      </c>
      <c r="H362" t="s">
        <v>38</v>
      </c>
      <c r="I362" t="s">
        <v>1183</v>
      </c>
      <c r="J362" t="s">
        <v>40</v>
      </c>
      <c r="K362">
        <v>2</v>
      </c>
      <c r="L362" t="s">
        <v>41</v>
      </c>
      <c r="M362" t="s">
        <v>42</v>
      </c>
      <c r="N362" t="s">
        <v>43</v>
      </c>
      <c r="O362" s="7">
        <v>1</v>
      </c>
      <c r="P362" s="8">
        <v>45371.737349537034</v>
      </c>
      <c r="Q362" s="9">
        <v>45376</v>
      </c>
      <c r="R362" t="s">
        <v>789</v>
      </c>
      <c r="S362" t="s">
        <v>45</v>
      </c>
      <c r="T362" t="s">
        <v>46</v>
      </c>
      <c r="U362" t="s">
        <v>67</v>
      </c>
      <c r="V362" t="s">
        <v>1184</v>
      </c>
      <c r="W362">
        <v>50634</v>
      </c>
      <c r="X362" t="s">
        <v>45</v>
      </c>
      <c r="Y362" t="s">
        <v>79</v>
      </c>
      <c r="Z362" t="s">
        <v>50</v>
      </c>
      <c r="AA362" s="10">
        <f>IF(O362&lt;=1,7,7+0.8*ROUNDUP(O362-1,0))</f>
        <v>7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16"/>
        <v>0.42</v>
      </c>
      <c r="AG362" s="11">
        <f t="shared" si="17"/>
        <v>7.42</v>
      </c>
      <c r="AH362" t="s">
        <v>51</v>
      </c>
    </row>
    <row r="363" spans="1:34" ht="15" customHeight="1" x14ac:dyDescent="0.35">
      <c r="A363">
        <v>7547676</v>
      </c>
      <c r="B363">
        <v>690929</v>
      </c>
      <c r="C363" t="s">
        <v>34</v>
      </c>
      <c r="D363" t="s">
        <v>35</v>
      </c>
      <c r="E363" s="6" t="s">
        <v>34</v>
      </c>
      <c r="F363" t="s">
        <v>1185</v>
      </c>
      <c r="G363" t="s">
        <v>37</v>
      </c>
      <c r="H363" t="s">
        <v>38</v>
      </c>
      <c r="I363" t="s">
        <v>1186</v>
      </c>
      <c r="J363" t="s">
        <v>40</v>
      </c>
      <c r="K363">
        <v>2</v>
      </c>
      <c r="L363" t="s">
        <v>41</v>
      </c>
      <c r="M363" t="s">
        <v>42</v>
      </c>
      <c r="N363" t="s">
        <v>43</v>
      </c>
      <c r="O363" s="7">
        <v>1</v>
      </c>
      <c r="P363" s="8">
        <v>45371.737349537034</v>
      </c>
      <c r="Q363" s="9">
        <v>45376</v>
      </c>
      <c r="R363" t="s">
        <v>789</v>
      </c>
      <c r="S363" t="s">
        <v>45</v>
      </c>
      <c r="T363" t="s">
        <v>46</v>
      </c>
      <c r="U363" t="s">
        <v>67</v>
      </c>
      <c r="V363" t="s">
        <v>1187</v>
      </c>
      <c r="W363">
        <v>50634</v>
      </c>
      <c r="X363" t="s">
        <v>45</v>
      </c>
      <c r="Y363" t="s">
        <v>79</v>
      </c>
      <c r="Z363" t="s">
        <v>50</v>
      </c>
      <c r="AA363" s="10">
        <f>IF(O363&lt;=1,7,7+0.8*ROUNDUP(O363-1,0))</f>
        <v>7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16"/>
        <v>0.42</v>
      </c>
      <c r="AG363" s="11">
        <f t="shared" si="17"/>
        <v>7.42</v>
      </c>
      <c r="AH363" t="s">
        <v>51</v>
      </c>
    </row>
    <row r="364" spans="1:34" ht="15" customHeight="1" x14ac:dyDescent="0.35">
      <c r="A364">
        <v>7547676</v>
      </c>
      <c r="B364">
        <v>690929</v>
      </c>
      <c r="C364" t="s">
        <v>34</v>
      </c>
      <c r="D364" t="s">
        <v>35</v>
      </c>
      <c r="E364" s="6" t="s">
        <v>34</v>
      </c>
      <c r="F364" t="s">
        <v>1188</v>
      </c>
      <c r="G364" t="s">
        <v>37</v>
      </c>
      <c r="H364" t="s">
        <v>38</v>
      </c>
      <c r="I364" t="s">
        <v>1189</v>
      </c>
      <c r="J364" t="s">
        <v>40</v>
      </c>
      <c r="K364">
        <v>2</v>
      </c>
      <c r="L364" t="s">
        <v>41</v>
      </c>
      <c r="M364" t="s">
        <v>42</v>
      </c>
      <c r="N364" t="s">
        <v>43</v>
      </c>
      <c r="O364" s="7">
        <v>1</v>
      </c>
      <c r="P364" s="8">
        <v>45374.519386574073</v>
      </c>
      <c r="Q364" s="9">
        <v>45376</v>
      </c>
      <c r="R364" t="s">
        <v>44</v>
      </c>
      <c r="S364" t="s">
        <v>45</v>
      </c>
      <c r="T364" t="s">
        <v>46</v>
      </c>
      <c r="U364" t="s">
        <v>86</v>
      </c>
      <c r="V364" t="s">
        <v>1190</v>
      </c>
      <c r="W364">
        <v>71900</v>
      </c>
      <c r="X364" t="s">
        <v>45</v>
      </c>
      <c r="Y364" t="s">
        <v>88</v>
      </c>
      <c r="Z364" t="s">
        <v>50</v>
      </c>
      <c r="AA364" s="10">
        <f>IF(O364&lt;=1,7,7+0.8*ROUNDUP(O364-1,0))</f>
        <v>7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16"/>
        <v>0.42</v>
      </c>
      <c r="AG364" s="11">
        <f t="shared" si="17"/>
        <v>7.42</v>
      </c>
      <c r="AH364" t="s">
        <v>51</v>
      </c>
    </row>
    <row r="365" spans="1:34" ht="15" customHeight="1" x14ac:dyDescent="0.35">
      <c r="A365">
        <v>7547676</v>
      </c>
      <c r="B365">
        <v>690929</v>
      </c>
      <c r="C365" t="s">
        <v>34</v>
      </c>
      <c r="D365" t="s">
        <v>35</v>
      </c>
      <c r="E365" s="6" t="s">
        <v>34</v>
      </c>
      <c r="F365" t="s">
        <v>1191</v>
      </c>
      <c r="G365" t="s">
        <v>37</v>
      </c>
      <c r="H365" t="s">
        <v>38</v>
      </c>
      <c r="I365" t="s">
        <v>1192</v>
      </c>
      <c r="J365" t="s">
        <v>40</v>
      </c>
      <c r="K365">
        <v>2</v>
      </c>
      <c r="L365" t="s">
        <v>41</v>
      </c>
      <c r="M365" t="s">
        <v>42</v>
      </c>
      <c r="N365" t="s">
        <v>43</v>
      </c>
      <c r="O365" s="7">
        <v>3</v>
      </c>
      <c r="P365" s="8">
        <v>45375.558645833335</v>
      </c>
      <c r="Q365" s="9">
        <v>45376</v>
      </c>
      <c r="R365" t="s">
        <v>44</v>
      </c>
      <c r="S365" t="s">
        <v>45</v>
      </c>
      <c r="T365" t="s">
        <v>46</v>
      </c>
      <c r="U365" t="s">
        <v>54</v>
      </c>
      <c r="V365" t="s">
        <v>1193</v>
      </c>
      <c r="W365">
        <v>48000</v>
      </c>
      <c r="X365" t="s">
        <v>45</v>
      </c>
      <c r="Y365" t="s">
        <v>486</v>
      </c>
      <c r="Z365" t="s">
        <v>50</v>
      </c>
      <c r="AA365" s="10">
        <f>IF(O365&lt;=1,7,7+0.8*ROUNDUP(O365-1,0))</f>
        <v>8.6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16"/>
        <v>0.51600000000000001</v>
      </c>
      <c r="AG365" s="11">
        <f t="shared" si="17"/>
        <v>9.1159999999999997</v>
      </c>
      <c r="AH365" t="s">
        <v>51</v>
      </c>
    </row>
    <row r="366" spans="1:34" ht="15" customHeight="1" x14ac:dyDescent="0.35">
      <c r="A366">
        <v>7547676</v>
      </c>
      <c r="B366">
        <v>690929</v>
      </c>
      <c r="C366" t="s">
        <v>34</v>
      </c>
      <c r="D366" t="s">
        <v>35</v>
      </c>
      <c r="E366" s="6" t="s">
        <v>34</v>
      </c>
      <c r="F366" t="s">
        <v>1194</v>
      </c>
      <c r="G366" t="s">
        <v>37</v>
      </c>
      <c r="H366" t="s">
        <v>38</v>
      </c>
      <c r="I366" t="s">
        <v>1195</v>
      </c>
      <c r="J366" t="s">
        <v>40</v>
      </c>
      <c r="K366">
        <v>2</v>
      </c>
      <c r="L366" t="s">
        <v>41</v>
      </c>
      <c r="M366" t="s">
        <v>42</v>
      </c>
      <c r="N366" t="s">
        <v>43</v>
      </c>
      <c r="O366" s="7">
        <v>1</v>
      </c>
      <c r="P366" s="8">
        <v>45374.519375000003</v>
      </c>
      <c r="Q366" s="9">
        <v>45376</v>
      </c>
      <c r="R366" t="s">
        <v>789</v>
      </c>
      <c r="S366" t="s">
        <v>45</v>
      </c>
      <c r="T366" t="s">
        <v>46</v>
      </c>
      <c r="U366" t="s">
        <v>103</v>
      </c>
      <c r="V366" t="s">
        <v>1196</v>
      </c>
      <c r="W366">
        <v>2200</v>
      </c>
      <c r="X366" t="s">
        <v>45</v>
      </c>
      <c r="Y366" t="s">
        <v>1128</v>
      </c>
      <c r="Z366" t="s">
        <v>50</v>
      </c>
      <c r="AA366" s="10">
        <f>IF(O366&lt;=1,7,7+0.8*ROUNDUP(O366-1,0))</f>
        <v>7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16"/>
        <v>0.42</v>
      </c>
      <c r="AG366" s="11">
        <f t="shared" si="17"/>
        <v>7.42</v>
      </c>
      <c r="AH366" t="s">
        <v>51</v>
      </c>
    </row>
    <row r="367" spans="1:34" ht="15" customHeight="1" x14ac:dyDescent="0.35">
      <c r="A367">
        <v>7547676</v>
      </c>
      <c r="B367">
        <v>690929</v>
      </c>
      <c r="C367" t="s">
        <v>34</v>
      </c>
      <c r="D367" t="s">
        <v>35</v>
      </c>
      <c r="E367" s="6" t="s">
        <v>34</v>
      </c>
      <c r="F367" t="s">
        <v>1197</v>
      </c>
      <c r="G367" t="s">
        <v>37</v>
      </c>
      <c r="H367" t="s">
        <v>38</v>
      </c>
      <c r="I367" t="s">
        <v>1198</v>
      </c>
      <c r="J367" t="s">
        <v>40</v>
      </c>
      <c r="K367">
        <v>2</v>
      </c>
      <c r="L367" t="s">
        <v>41</v>
      </c>
      <c r="M367" t="s">
        <v>42</v>
      </c>
      <c r="N367" t="s">
        <v>43</v>
      </c>
      <c r="O367" s="7">
        <v>1</v>
      </c>
      <c r="P367" s="8">
        <v>45374.519386574073</v>
      </c>
      <c r="Q367" s="9">
        <v>45376</v>
      </c>
      <c r="R367" t="s">
        <v>789</v>
      </c>
      <c r="S367" t="s">
        <v>45</v>
      </c>
      <c r="T367" t="s">
        <v>46</v>
      </c>
      <c r="U367" t="s">
        <v>103</v>
      </c>
      <c r="V367" t="s">
        <v>1199</v>
      </c>
      <c r="W367">
        <v>2400</v>
      </c>
      <c r="X367" t="s">
        <v>45</v>
      </c>
      <c r="Y367" t="s">
        <v>1128</v>
      </c>
      <c r="Z367" t="s">
        <v>50</v>
      </c>
      <c r="AA367" s="10">
        <f>IF(O367&lt;=1,7,7+0.8*ROUNDUP(O367-1,0))</f>
        <v>7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16"/>
        <v>0.42</v>
      </c>
      <c r="AG367" s="11">
        <f t="shared" si="17"/>
        <v>7.42</v>
      </c>
      <c r="AH367" t="s">
        <v>51</v>
      </c>
    </row>
    <row r="368" spans="1:34" ht="15" customHeight="1" x14ac:dyDescent="0.35">
      <c r="A368">
        <v>7547676</v>
      </c>
      <c r="B368">
        <v>690929</v>
      </c>
      <c r="C368" t="s">
        <v>34</v>
      </c>
      <c r="D368" t="s">
        <v>35</v>
      </c>
      <c r="E368" s="6" t="s">
        <v>34</v>
      </c>
      <c r="F368" t="s">
        <v>1200</v>
      </c>
      <c r="G368" t="s">
        <v>37</v>
      </c>
      <c r="H368" t="s">
        <v>38</v>
      </c>
      <c r="I368" t="s">
        <v>1201</v>
      </c>
      <c r="J368" t="s">
        <v>40</v>
      </c>
      <c r="K368">
        <v>2</v>
      </c>
      <c r="L368" t="s">
        <v>41</v>
      </c>
      <c r="M368" t="s">
        <v>42</v>
      </c>
      <c r="N368" t="s">
        <v>43</v>
      </c>
      <c r="O368" s="7">
        <v>1</v>
      </c>
      <c r="P368" s="8">
        <v>45375.707777777781</v>
      </c>
      <c r="Q368" s="9">
        <v>45376</v>
      </c>
      <c r="R368" t="s">
        <v>44</v>
      </c>
      <c r="S368" t="s">
        <v>45</v>
      </c>
      <c r="T368" t="s">
        <v>46</v>
      </c>
      <c r="U368" t="s">
        <v>47</v>
      </c>
      <c r="V368" t="s">
        <v>1202</v>
      </c>
      <c r="W368">
        <v>20578</v>
      </c>
      <c r="X368" t="s">
        <v>45</v>
      </c>
      <c r="Y368" t="s">
        <v>49</v>
      </c>
      <c r="Z368" t="s">
        <v>50</v>
      </c>
      <c r="AA368" s="10">
        <f>IF(O368&lt;=1,7,7+0.8*ROUNDUP(O368-1,0))</f>
        <v>7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16"/>
        <v>0.42</v>
      </c>
      <c r="AG368" s="11">
        <f t="shared" si="17"/>
        <v>7.42</v>
      </c>
      <c r="AH368" t="s">
        <v>51</v>
      </c>
    </row>
    <row r="369" spans="1:34" ht="15" customHeight="1" x14ac:dyDescent="0.35">
      <c r="A369">
        <v>7547676</v>
      </c>
      <c r="B369">
        <v>690929</v>
      </c>
      <c r="C369" t="s">
        <v>34</v>
      </c>
      <c r="D369" t="s">
        <v>35</v>
      </c>
      <c r="E369" s="6" t="s">
        <v>34</v>
      </c>
      <c r="F369" t="s">
        <v>1203</v>
      </c>
      <c r="G369" t="s">
        <v>37</v>
      </c>
      <c r="H369" t="s">
        <v>38</v>
      </c>
      <c r="I369" t="s">
        <v>1204</v>
      </c>
      <c r="J369" t="s">
        <v>40</v>
      </c>
      <c r="K369">
        <v>2</v>
      </c>
      <c r="L369" t="s">
        <v>41</v>
      </c>
      <c r="M369" t="s">
        <v>42</v>
      </c>
      <c r="N369" t="s">
        <v>43</v>
      </c>
      <c r="O369" s="7">
        <v>1</v>
      </c>
      <c r="P369" s="8">
        <v>45373.663425925923</v>
      </c>
      <c r="Q369" s="9">
        <v>45376</v>
      </c>
      <c r="R369" t="s">
        <v>789</v>
      </c>
      <c r="S369" t="s">
        <v>45</v>
      </c>
      <c r="T369" t="s">
        <v>46</v>
      </c>
      <c r="U369" t="s">
        <v>278</v>
      </c>
      <c r="V369" t="s">
        <v>1205</v>
      </c>
      <c r="W369">
        <v>13400</v>
      </c>
      <c r="X369" t="s">
        <v>45</v>
      </c>
      <c r="Y369" t="s">
        <v>305</v>
      </c>
      <c r="Z369" t="s">
        <v>50</v>
      </c>
      <c r="AA369" s="10">
        <f>IF(O369&lt;=1,7,7+0.8*ROUNDUP(O369-1,0))</f>
        <v>7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16"/>
        <v>0.42</v>
      </c>
      <c r="AG369" s="11">
        <f t="shared" si="17"/>
        <v>7.42</v>
      </c>
      <c r="AH369" t="s">
        <v>51</v>
      </c>
    </row>
    <row r="370" spans="1:34" ht="15" customHeight="1" x14ac:dyDescent="0.35">
      <c r="A370">
        <v>7547676</v>
      </c>
      <c r="B370">
        <v>690929</v>
      </c>
      <c r="C370" t="s">
        <v>34</v>
      </c>
      <c r="D370" t="s">
        <v>35</v>
      </c>
      <c r="E370" s="6" t="s">
        <v>34</v>
      </c>
      <c r="F370" t="s">
        <v>1206</v>
      </c>
      <c r="G370" t="s">
        <v>37</v>
      </c>
      <c r="H370" t="s">
        <v>38</v>
      </c>
      <c r="I370" t="s">
        <v>1207</v>
      </c>
      <c r="J370" t="s">
        <v>40</v>
      </c>
      <c r="K370">
        <v>2</v>
      </c>
      <c r="L370" t="s">
        <v>41</v>
      </c>
      <c r="M370" t="s">
        <v>42</v>
      </c>
      <c r="N370" t="s">
        <v>43</v>
      </c>
      <c r="O370" s="7">
        <v>1</v>
      </c>
      <c r="P370" s="8">
        <v>45374.476215277777</v>
      </c>
      <c r="Q370" s="9">
        <v>45376</v>
      </c>
      <c r="R370" t="s">
        <v>789</v>
      </c>
      <c r="S370" t="s">
        <v>45</v>
      </c>
      <c r="T370" t="s">
        <v>46</v>
      </c>
      <c r="U370" t="s">
        <v>54</v>
      </c>
      <c r="V370" t="s">
        <v>1208</v>
      </c>
      <c r="W370">
        <v>43000</v>
      </c>
      <c r="X370" t="s">
        <v>45</v>
      </c>
      <c r="Y370" t="s">
        <v>79</v>
      </c>
      <c r="Z370" t="s">
        <v>50</v>
      </c>
      <c r="AA370" s="10">
        <f>IF(O370&lt;=1,7,7+0.8*ROUNDUP(O370-1,0))</f>
        <v>7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16"/>
        <v>0.42</v>
      </c>
      <c r="AG370" s="11">
        <f t="shared" si="17"/>
        <v>7.42</v>
      </c>
      <c r="AH370" t="s">
        <v>51</v>
      </c>
    </row>
    <row r="371" spans="1:34" ht="15" customHeight="1" x14ac:dyDescent="0.35">
      <c r="A371">
        <v>7547676</v>
      </c>
      <c r="B371">
        <v>690929</v>
      </c>
      <c r="C371" t="s">
        <v>34</v>
      </c>
      <c r="D371" t="s">
        <v>35</v>
      </c>
      <c r="E371" s="6" t="s">
        <v>34</v>
      </c>
      <c r="F371" t="s">
        <v>1209</v>
      </c>
      <c r="G371" t="s">
        <v>37</v>
      </c>
      <c r="H371" t="s">
        <v>38</v>
      </c>
      <c r="I371" t="s">
        <v>1210</v>
      </c>
      <c r="J371" t="s">
        <v>40</v>
      </c>
      <c r="K371">
        <v>2</v>
      </c>
      <c r="L371" t="s">
        <v>41</v>
      </c>
      <c r="M371" t="s">
        <v>42</v>
      </c>
      <c r="N371" t="s">
        <v>43</v>
      </c>
      <c r="O371" s="7">
        <v>1</v>
      </c>
      <c r="P371" s="8">
        <v>45374.399178240739</v>
      </c>
      <c r="Q371" s="9">
        <v>45376</v>
      </c>
      <c r="R371" t="s">
        <v>44</v>
      </c>
      <c r="S371" t="s">
        <v>45</v>
      </c>
      <c r="T371" t="s">
        <v>46</v>
      </c>
      <c r="U371" t="s">
        <v>86</v>
      </c>
      <c r="V371" t="s">
        <v>1211</v>
      </c>
      <c r="W371">
        <v>70200</v>
      </c>
      <c r="X371" t="s">
        <v>45</v>
      </c>
      <c r="Y371" t="s">
        <v>92</v>
      </c>
      <c r="Z371" t="s">
        <v>50</v>
      </c>
      <c r="AA371" s="10">
        <f>IF(O371&lt;=1,7,7+0.8*ROUNDUP(O371-1,0))</f>
        <v>7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16"/>
        <v>0.42</v>
      </c>
      <c r="AG371" s="11">
        <f t="shared" si="17"/>
        <v>7.42</v>
      </c>
      <c r="AH371" t="s">
        <v>51</v>
      </c>
    </row>
    <row r="372" spans="1:34" ht="15" customHeight="1" x14ac:dyDescent="0.35">
      <c r="A372">
        <v>7547676</v>
      </c>
      <c r="B372">
        <v>690929</v>
      </c>
      <c r="C372" t="s">
        <v>34</v>
      </c>
      <c r="D372" t="s">
        <v>35</v>
      </c>
      <c r="E372" s="6" t="s">
        <v>34</v>
      </c>
      <c r="F372" t="s">
        <v>1212</v>
      </c>
      <c r="G372" t="s">
        <v>37</v>
      </c>
      <c r="H372" t="s">
        <v>38</v>
      </c>
      <c r="I372" t="s">
        <v>1213</v>
      </c>
      <c r="J372" t="s">
        <v>40</v>
      </c>
      <c r="K372">
        <v>2</v>
      </c>
      <c r="L372" t="s">
        <v>41</v>
      </c>
      <c r="M372" t="s">
        <v>42</v>
      </c>
      <c r="N372" t="s">
        <v>43</v>
      </c>
      <c r="O372" s="7">
        <v>1</v>
      </c>
      <c r="P372" s="8">
        <v>45375.698819444442</v>
      </c>
      <c r="Q372" s="9">
        <v>45376</v>
      </c>
      <c r="R372" t="s">
        <v>44</v>
      </c>
      <c r="S372" t="s">
        <v>45</v>
      </c>
      <c r="T372" t="s">
        <v>46</v>
      </c>
      <c r="U372" t="s">
        <v>47</v>
      </c>
      <c r="V372" t="s">
        <v>1214</v>
      </c>
      <c r="W372">
        <v>22200</v>
      </c>
      <c r="X372" t="s">
        <v>45</v>
      </c>
      <c r="Y372" t="s">
        <v>761</v>
      </c>
      <c r="Z372" t="s">
        <v>50</v>
      </c>
      <c r="AA372" s="10">
        <f>IF(O372&lt;=1,7,7+0.8*ROUNDUP(O372-1,0))</f>
        <v>7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16"/>
        <v>0.42</v>
      </c>
      <c r="AG372" s="11">
        <f t="shared" si="17"/>
        <v>7.42</v>
      </c>
      <c r="AH372" t="s">
        <v>51</v>
      </c>
    </row>
    <row r="373" spans="1:34" ht="15" customHeight="1" x14ac:dyDescent="0.35">
      <c r="A373">
        <v>7547676</v>
      </c>
      <c r="B373">
        <v>690929</v>
      </c>
      <c r="C373" t="s">
        <v>34</v>
      </c>
      <c r="D373" t="s">
        <v>35</v>
      </c>
      <c r="E373" s="6" t="s">
        <v>34</v>
      </c>
      <c r="F373" t="s">
        <v>1215</v>
      </c>
      <c r="G373" t="s">
        <v>37</v>
      </c>
      <c r="H373" t="s">
        <v>38</v>
      </c>
      <c r="I373" t="s">
        <v>1216</v>
      </c>
      <c r="J373" t="s">
        <v>40</v>
      </c>
      <c r="K373">
        <v>2</v>
      </c>
      <c r="L373" t="s">
        <v>41</v>
      </c>
      <c r="M373" t="s">
        <v>42</v>
      </c>
      <c r="N373" t="s">
        <v>43</v>
      </c>
      <c r="O373" s="7">
        <v>16</v>
      </c>
      <c r="P373" s="8">
        <v>45375.558645833335</v>
      </c>
      <c r="Q373" s="9">
        <v>45376</v>
      </c>
      <c r="R373" t="s">
        <v>44</v>
      </c>
      <c r="S373" t="s">
        <v>45</v>
      </c>
      <c r="T373" t="s">
        <v>46</v>
      </c>
      <c r="U373" t="s">
        <v>190</v>
      </c>
      <c r="V373" t="s">
        <v>1217</v>
      </c>
      <c r="W373">
        <v>26700</v>
      </c>
      <c r="X373" t="s">
        <v>45</v>
      </c>
      <c r="Y373" t="s">
        <v>1218</v>
      </c>
      <c r="Z373" t="s">
        <v>50</v>
      </c>
      <c r="AA373" s="10">
        <f>IF(O373&lt;=1,7,7+0.8*ROUNDUP(O373-1,0))</f>
        <v>19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16"/>
        <v>1.1399999999999999</v>
      </c>
      <c r="AG373" s="11">
        <f t="shared" si="17"/>
        <v>20.14</v>
      </c>
      <c r="AH373" t="s">
        <v>51</v>
      </c>
    </row>
    <row r="374" spans="1:34" ht="15" customHeight="1" x14ac:dyDescent="0.35">
      <c r="A374">
        <v>7547676</v>
      </c>
      <c r="B374">
        <v>690929</v>
      </c>
      <c r="C374" t="s">
        <v>34</v>
      </c>
      <c r="D374" t="s">
        <v>35</v>
      </c>
      <c r="E374" s="6" t="s">
        <v>34</v>
      </c>
      <c r="F374" t="s">
        <v>1219</v>
      </c>
      <c r="G374" t="s">
        <v>37</v>
      </c>
      <c r="H374" t="s">
        <v>38</v>
      </c>
      <c r="I374" t="s">
        <v>1220</v>
      </c>
      <c r="J374" t="s">
        <v>40</v>
      </c>
      <c r="K374">
        <v>2</v>
      </c>
      <c r="L374" t="s">
        <v>41</v>
      </c>
      <c r="M374" t="s">
        <v>42</v>
      </c>
      <c r="N374" t="s">
        <v>43</v>
      </c>
      <c r="O374" s="7">
        <v>1</v>
      </c>
      <c r="P374" s="8">
        <v>45374.70208333333</v>
      </c>
      <c r="Q374" s="9">
        <v>45376</v>
      </c>
      <c r="R374" t="s">
        <v>789</v>
      </c>
      <c r="S374" t="s">
        <v>45</v>
      </c>
      <c r="T374" t="s">
        <v>46</v>
      </c>
      <c r="U374" t="s">
        <v>99</v>
      </c>
      <c r="V374" t="s">
        <v>1221</v>
      </c>
      <c r="W374">
        <v>17000</v>
      </c>
      <c r="X374" t="s">
        <v>45</v>
      </c>
      <c r="Y374" t="s">
        <v>1045</v>
      </c>
      <c r="Z374" t="s">
        <v>50</v>
      </c>
      <c r="AA374" s="10">
        <f>IF(O374&lt;=1,7,7+0.8*ROUNDUP(O374-1,0))</f>
        <v>7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16"/>
        <v>0.42</v>
      </c>
      <c r="AG374" s="11">
        <f t="shared" si="17"/>
        <v>7.42</v>
      </c>
      <c r="AH374" t="s">
        <v>51</v>
      </c>
    </row>
    <row r="375" spans="1:34" ht="15" customHeight="1" x14ac:dyDescent="0.35">
      <c r="A375">
        <v>7547676</v>
      </c>
      <c r="B375">
        <v>690929</v>
      </c>
      <c r="C375" t="s">
        <v>34</v>
      </c>
      <c r="D375" t="s">
        <v>35</v>
      </c>
      <c r="E375" s="6" t="s">
        <v>34</v>
      </c>
      <c r="F375" t="s">
        <v>1222</v>
      </c>
      <c r="G375" t="s">
        <v>37</v>
      </c>
      <c r="H375" t="s">
        <v>38</v>
      </c>
      <c r="I375" t="s">
        <v>1223</v>
      </c>
      <c r="J375" t="s">
        <v>40</v>
      </c>
      <c r="K375">
        <v>2</v>
      </c>
      <c r="L375" t="s">
        <v>41</v>
      </c>
      <c r="M375" t="s">
        <v>42</v>
      </c>
      <c r="N375" t="s">
        <v>43</v>
      </c>
      <c r="O375" s="7">
        <v>1</v>
      </c>
      <c r="P375" s="8">
        <v>45373.62771990741</v>
      </c>
      <c r="Q375" s="9">
        <v>45376</v>
      </c>
      <c r="R375" t="s">
        <v>789</v>
      </c>
      <c r="S375" t="s">
        <v>45</v>
      </c>
      <c r="T375" t="s">
        <v>46</v>
      </c>
      <c r="U375" t="s">
        <v>82</v>
      </c>
      <c r="V375" t="s">
        <v>1224</v>
      </c>
      <c r="W375">
        <v>81900</v>
      </c>
      <c r="X375" t="s">
        <v>45</v>
      </c>
      <c r="Y375" t="s">
        <v>1225</v>
      </c>
      <c r="Z375" t="s">
        <v>50</v>
      </c>
      <c r="AA375" s="10">
        <f>IF(O375&lt;=1,7,7+0.8*ROUNDUP(O375-1,0))</f>
        <v>7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16"/>
        <v>0.42</v>
      </c>
      <c r="AG375" s="11">
        <f t="shared" si="17"/>
        <v>7.42</v>
      </c>
      <c r="AH375" t="s">
        <v>51</v>
      </c>
    </row>
    <row r="376" spans="1:34" ht="15" customHeight="1" x14ac:dyDescent="0.35">
      <c r="A376">
        <v>7547676</v>
      </c>
      <c r="B376">
        <v>690929</v>
      </c>
      <c r="C376" t="s">
        <v>34</v>
      </c>
      <c r="D376" t="s">
        <v>35</v>
      </c>
      <c r="E376" s="6" t="s">
        <v>34</v>
      </c>
      <c r="F376" t="s">
        <v>1226</v>
      </c>
      <c r="G376" t="s">
        <v>37</v>
      </c>
      <c r="H376" t="s">
        <v>38</v>
      </c>
      <c r="I376" t="s">
        <v>364</v>
      </c>
      <c r="J376" t="s">
        <v>40</v>
      </c>
      <c r="K376">
        <v>2</v>
      </c>
      <c r="L376" t="s">
        <v>41</v>
      </c>
      <c r="M376" t="s">
        <v>42</v>
      </c>
      <c r="N376" t="s">
        <v>43</v>
      </c>
      <c r="O376" s="7">
        <v>1</v>
      </c>
      <c r="P376" s="8">
        <v>45375.659826388888</v>
      </c>
      <c r="Q376" s="9">
        <v>45376</v>
      </c>
      <c r="R376" t="s">
        <v>44</v>
      </c>
      <c r="S376" t="s">
        <v>45</v>
      </c>
      <c r="T376" t="s">
        <v>46</v>
      </c>
      <c r="U376" t="s">
        <v>190</v>
      </c>
      <c r="V376" t="s">
        <v>365</v>
      </c>
      <c r="W376">
        <v>28000</v>
      </c>
      <c r="X376" t="s">
        <v>45</v>
      </c>
      <c r="Y376" t="s">
        <v>362</v>
      </c>
      <c r="Z376" t="s">
        <v>50</v>
      </c>
      <c r="AA376" s="10">
        <f>IF(O376&lt;=1,7,7+0.8*ROUNDUP(O376-1,0))</f>
        <v>7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16"/>
        <v>0.42</v>
      </c>
      <c r="AG376" s="11">
        <f t="shared" si="17"/>
        <v>7.42</v>
      </c>
      <c r="AH376" t="s">
        <v>51</v>
      </c>
    </row>
    <row r="377" spans="1:34" ht="15" customHeight="1" x14ac:dyDescent="0.35">
      <c r="A377">
        <v>7547676</v>
      </c>
      <c r="B377">
        <v>690929</v>
      </c>
      <c r="C377" t="s">
        <v>34</v>
      </c>
      <c r="D377" t="s">
        <v>35</v>
      </c>
      <c r="E377" s="6" t="s">
        <v>34</v>
      </c>
      <c r="F377" t="s">
        <v>1227</v>
      </c>
      <c r="G377" t="s">
        <v>37</v>
      </c>
      <c r="H377" t="s">
        <v>38</v>
      </c>
      <c r="I377" t="s">
        <v>1228</v>
      </c>
      <c r="J377" t="s">
        <v>40</v>
      </c>
      <c r="K377">
        <v>2</v>
      </c>
      <c r="L377" t="s">
        <v>41</v>
      </c>
      <c r="M377" t="s">
        <v>42</v>
      </c>
      <c r="N377" t="s">
        <v>43</v>
      </c>
      <c r="O377" s="7">
        <v>13</v>
      </c>
      <c r="P377" s="8">
        <v>45372.73646990741</v>
      </c>
      <c r="Q377" s="9">
        <v>45376</v>
      </c>
      <c r="R377" t="s">
        <v>287</v>
      </c>
      <c r="S377" t="s">
        <v>45</v>
      </c>
      <c r="T377" t="s">
        <v>46</v>
      </c>
      <c r="U377" t="s">
        <v>54</v>
      </c>
      <c r="V377" t="s">
        <v>1229</v>
      </c>
      <c r="W377">
        <v>47300</v>
      </c>
      <c r="X377" t="s">
        <v>45</v>
      </c>
      <c r="Y377" t="s">
        <v>780</v>
      </c>
      <c r="Z377" t="s">
        <v>50</v>
      </c>
      <c r="AA377" s="10">
        <f>IF(O377&lt;=1,7,7+0.8*ROUNDUP(O377-1,0))</f>
        <v>16.600000000000001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16"/>
        <v>0.996</v>
      </c>
      <c r="AG377" s="11">
        <f t="shared" si="17"/>
        <v>17.596</v>
      </c>
      <c r="AH377" t="s">
        <v>51</v>
      </c>
    </row>
    <row r="378" spans="1:34" ht="15" customHeight="1" x14ac:dyDescent="0.35">
      <c r="A378">
        <v>7547676</v>
      </c>
      <c r="B378">
        <v>690929</v>
      </c>
      <c r="C378" t="s">
        <v>34</v>
      </c>
      <c r="D378" t="s">
        <v>35</v>
      </c>
      <c r="E378" s="6" t="s">
        <v>34</v>
      </c>
      <c r="F378" t="s">
        <v>1230</v>
      </c>
      <c r="G378" t="s">
        <v>37</v>
      </c>
      <c r="H378" t="s">
        <v>38</v>
      </c>
      <c r="I378" t="s">
        <v>1231</v>
      </c>
      <c r="J378" t="s">
        <v>40</v>
      </c>
      <c r="K378">
        <v>2</v>
      </c>
      <c r="L378" t="s">
        <v>41</v>
      </c>
      <c r="M378" t="s">
        <v>42</v>
      </c>
      <c r="N378" t="s">
        <v>43</v>
      </c>
      <c r="O378" s="7">
        <v>1</v>
      </c>
      <c r="P378" s="8">
        <v>45375.723668981482</v>
      </c>
      <c r="Q378" s="9">
        <v>45376</v>
      </c>
      <c r="R378" t="s">
        <v>44</v>
      </c>
      <c r="S378" t="s">
        <v>45</v>
      </c>
      <c r="T378" t="s">
        <v>46</v>
      </c>
      <c r="U378" t="s">
        <v>99</v>
      </c>
      <c r="V378" t="s">
        <v>1232</v>
      </c>
      <c r="W378">
        <v>18300</v>
      </c>
      <c r="X378" t="s">
        <v>45</v>
      </c>
      <c r="Y378" t="s">
        <v>156</v>
      </c>
      <c r="Z378" t="s">
        <v>50</v>
      </c>
      <c r="AA378" s="10">
        <f>IF(O378&lt;=1,7,7+0.8*ROUNDUP(O378-1,0))</f>
        <v>7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16"/>
        <v>0.42</v>
      </c>
      <c r="AG378" s="11">
        <f t="shared" si="17"/>
        <v>7.42</v>
      </c>
      <c r="AH378" t="s">
        <v>51</v>
      </c>
    </row>
    <row r="379" spans="1:34" ht="15" customHeight="1" x14ac:dyDescent="0.35">
      <c r="A379">
        <v>7547676</v>
      </c>
      <c r="B379">
        <v>690929</v>
      </c>
      <c r="C379" t="s">
        <v>34</v>
      </c>
      <c r="D379" t="s">
        <v>35</v>
      </c>
      <c r="E379" s="6" t="s">
        <v>34</v>
      </c>
      <c r="F379" t="s">
        <v>1233</v>
      </c>
      <c r="G379" t="s">
        <v>37</v>
      </c>
      <c r="H379" t="s">
        <v>38</v>
      </c>
      <c r="I379" t="s">
        <v>1234</v>
      </c>
      <c r="J379" t="s">
        <v>40</v>
      </c>
      <c r="K379">
        <v>2</v>
      </c>
      <c r="L379" t="s">
        <v>41</v>
      </c>
      <c r="M379" t="s">
        <v>42</v>
      </c>
      <c r="N379" t="s">
        <v>43</v>
      </c>
      <c r="O379" s="7">
        <v>1</v>
      </c>
      <c r="P379" s="8">
        <v>45375.707777777781</v>
      </c>
      <c r="Q379" s="9">
        <v>45376</v>
      </c>
      <c r="R379" t="s">
        <v>44</v>
      </c>
      <c r="S379" t="s">
        <v>45</v>
      </c>
      <c r="T379" t="s">
        <v>46</v>
      </c>
      <c r="U379" t="s">
        <v>54</v>
      </c>
      <c r="V379" t="s">
        <v>1235</v>
      </c>
      <c r="W379">
        <v>40150</v>
      </c>
      <c r="X379" t="s">
        <v>45</v>
      </c>
      <c r="Y379" t="s">
        <v>325</v>
      </c>
      <c r="Z379" t="s">
        <v>50</v>
      </c>
      <c r="AA379" s="10">
        <f>IF(O379&lt;=1,7,7+0.8*ROUNDUP(O379-1,0))</f>
        <v>7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16"/>
        <v>0.42</v>
      </c>
      <c r="AG379" s="11">
        <f t="shared" si="17"/>
        <v>7.42</v>
      </c>
      <c r="AH379" t="s">
        <v>51</v>
      </c>
    </row>
    <row r="380" spans="1:34" ht="15" customHeight="1" x14ac:dyDescent="0.35">
      <c r="A380">
        <v>7547676</v>
      </c>
      <c r="B380">
        <v>690929</v>
      </c>
      <c r="C380" t="s">
        <v>34</v>
      </c>
      <c r="D380" t="s">
        <v>35</v>
      </c>
      <c r="E380" s="6" t="s">
        <v>34</v>
      </c>
      <c r="F380" t="s">
        <v>1236</v>
      </c>
      <c r="G380" t="s">
        <v>37</v>
      </c>
      <c r="H380" t="s">
        <v>38</v>
      </c>
      <c r="I380" t="s">
        <v>1228</v>
      </c>
      <c r="J380" t="s">
        <v>40</v>
      </c>
      <c r="K380">
        <v>2</v>
      </c>
      <c r="L380" t="s">
        <v>41</v>
      </c>
      <c r="M380" t="s">
        <v>42</v>
      </c>
      <c r="N380" t="s">
        <v>43</v>
      </c>
      <c r="O380" s="7">
        <v>10</v>
      </c>
      <c r="P380" s="8">
        <v>45372.73646990741</v>
      </c>
      <c r="Q380" s="9">
        <v>45376</v>
      </c>
      <c r="R380" t="s">
        <v>287</v>
      </c>
      <c r="S380" t="s">
        <v>45</v>
      </c>
      <c r="T380" t="s">
        <v>46</v>
      </c>
      <c r="U380" t="s">
        <v>54</v>
      </c>
      <c r="V380" t="s">
        <v>1229</v>
      </c>
      <c r="W380">
        <v>47300</v>
      </c>
      <c r="X380" t="s">
        <v>45</v>
      </c>
      <c r="Y380" t="s">
        <v>780</v>
      </c>
      <c r="Z380" t="s">
        <v>50</v>
      </c>
      <c r="AA380" s="10">
        <f>IF(O380&lt;=1,7,7+0.8*ROUNDUP(O380-1,0))</f>
        <v>14.2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16"/>
        <v>0.85199999999999998</v>
      </c>
      <c r="AG380" s="11">
        <f t="shared" si="17"/>
        <v>15.052</v>
      </c>
      <c r="AH380" t="s">
        <v>51</v>
      </c>
    </row>
    <row r="381" spans="1:34" ht="15" customHeight="1" x14ac:dyDescent="0.35">
      <c r="A381">
        <v>7547676</v>
      </c>
      <c r="B381">
        <v>690929</v>
      </c>
      <c r="C381" t="s">
        <v>34</v>
      </c>
      <c r="D381" t="s">
        <v>35</v>
      </c>
      <c r="E381" s="6" t="s">
        <v>34</v>
      </c>
      <c r="F381" t="s">
        <v>1237</v>
      </c>
      <c r="G381" t="s">
        <v>37</v>
      </c>
      <c r="H381" t="s">
        <v>38</v>
      </c>
      <c r="I381" t="s">
        <v>1238</v>
      </c>
      <c r="J381" t="s">
        <v>40</v>
      </c>
      <c r="K381">
        <v>2</v>
      </c>
      <c r="L381" t="s">
        <v>41</v>
      </c>
      <c r="M381" t="s">
        <v>42</v>
      </c>
      <c r="N381" t="s">
        <v>43</v>
      </c>
      <c r="O381" s="7">
        <v>1</v>
      </c>
      <c r="P381" s="8">
        <v>45374.70208333333</v>
      </c>
      <c r="Q381" s="9">
        <v>45376</v>
      </c>
      <c r="R381" t="s">
        <v>789</v>
      </c>
      <c r="S381" t="s">
        <v>45</v>
      </c>
      <c r="T381" t="s">
        <v>46</v>
      </c>
      <c r="U381" t="s">
        <v>134</v>
      </c>
      <c r="V381" t="s">
        <v>1239</v>
      </c>
      <c r="W381">
        <v>6550</v>
      </c>
      <c r="X381" t="s">
        <v>45</v>
      </c>
      <c r="Y381" t="s">
        <v>79</v>
      </c>
      <c r="Z381" t="s">
        <v>50</v>
      </c>
      <c r="AA381" s="10">
        <f>IF(O381&lt;=1,7,7+0.8*ROUNDUP(O381-1,0))</f>
        <v>7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16"/>
        <v>0.42</v>
      </c>
      <c r="AG381" s="11">
        <f t="shared" si="17"/>
        <v>7.42</v>
      </c>
      <c r="AH381" t="s">
        <v>51</v>
      </c>
    </row>
    <row r="382" spans="1:34" ht="15" customHeight="1" x14ac:dyDescent="0.35">
      <c r="A382">
        <v>7547676</v>
      </c>
      <c r="B382">
        <v>690929</v>
      </c>
      <c r="C382" t="s">
        <v>34</v>
      </c>
      <c r="D382" t="s">
        <v>35</v>
      </c>
      <c r="E382" s="6" t="s">
        <v>34</v>
      </c>
      <c r="F382" t="s">
        <v>1240</v>
      </c>
      <c r="G382" t="s">
        <v>37</v>
      </c>
      <c r="H382" t="s">
        <v>38</v>
      </c>
      <c r="I382" t="s">
        <v>1241</v>
      </c>
      <c r="J382" t="s">
        <v>40</v>
      </c>
      <c r="K382">
        <v>2</v>
      </c>
      <c r="L382" t="s">
        <v>41</v>
      </c>
      <c r="M382" t="s">
        <v>42</v>
      </c>
      <c r="N382" t="s">
        <v>43</v>
      </c>
      <c r="O382" s="7">
        <v>1</v>
      </c>
      <c r="P382" s="8">
        <v>45374.689513888887</v>
      </c>
      <c r="Q382" s="9">
        <v>45376</v>
      </c>
      <c r="R382" t="s">
        <v>789</v>
      </c>
      <c r="S382" t="s">
        <v>45</v>
      </c>
      <c r="T382" t="s">
        <v>46</v>
      </c>
      <c r="U382" t="s">
        <v>67</v>
      </c>
      <c r="V382" t="s">
        <v>1242</v>
      </c>
      <c r="W382">
        <v>55100</v>
      </c>
      <c r="X382" t="s">
        <v>45</v>
      </c>
      <c r="Y382" t="s">
        <v>79</v>
      </c>
      <c r="Z382" t="s">
        <v>50</v>
      </c>
      <c r="AA382" s="10">
        <f>IF(O382&lt;=1,7,7+0.8*ROUNDUP(O382-1,0))</f>
        <v>7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16"/>
        <v>0.42</v>
      </c>
      <c r="AG382" s="11">
        <f t="shared" si="17"/>
        <v>7.42</v>
      </c>
      <c r="AH382" t="s">
        <v>51</v>
      </c>
    </row>
    <row r="383" spans="1:34" ht="15" customHeight="1" x14ac:dyDescent="0.35">
      <c r="A383">
        <v>7547676</v>
      </c>
      <c r="B383">
        <v>690929</v>
      </c>
      <c r="C383" t="s">
        <v>34</v>
      </c>
      <c r="D383" t="s">
        <v>35</v>
      </c>
      <c r="E383" s="6" t="s">
        <v>34</v>
      </c>
      <c r="F383" t="s">
        <v>1243</v>
      </c>
      <c r="G383" t="s">
        <v>37</v>
      </c>
      <c r="H383" t="s">
        <v>38</v>
      </c>
      <c r="I383" t="s">
        <v>885</v>
      </c>
      <c r="J383" t="s">
        <v>40</v>
      </c>
      <c r="K383">
        <v>2</v>
      </c>
      <c r="L383" t="s">
        <v>41</v>
      </c>
      <c r="M383" t="s">
        <v>42</v>
      </c>
      <c r="N383" t="s">
        <v>43</v>
      </c>
      <c r="O383" s="7">
        <v>3</v>
      </c>
      <c r="P383" s="8">
        <v>45374.647118055553</v>
      </c>
      <c r="Q383" s="9">
        <v>45376</v>
      </c>
      <c r="R383" t="s">
        <v>44</v>
      </c>
      <c r="S383" t="s">
        <v>45</v>
      </c>
      <c r="T383" t="s">
        <v>46</v>
      </c>
      <c r="U383" t="s">
        <v>67</v>
      </c>
      <c r="V383" t="s">
        <v>886</v>
      </c>
      <c r="W383">
        <v>53300</v>
      </c>
      <c r="X383" t="s">
        <v>45</v>
      </c>
      <c r="Y383" t="s">
        <v>887</v>
      </c>
      <c r="Z383" t="s">
        <v>50</v>
      </c>
      <c r="AA383" s="10">
        <f>IF(O383&lt;=1,7,7+0.8*ROUNDUP(O383-1,0))</f>
        <v>8.6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16"/>
        <v>0.51600000000000001</v>
      </c>
      <c r="AG383" s="11">
        <f t="shared" si="17"/>
        <v>9.1159999999999997</v>
      </c>
      <c r="AH383" t="s">
        <v>51</v>
      </c>
    </row>
    <row r="384" spans="1:34" ht="15" customHeight="1" x14ac:dyDescent="0.35">
      <c r="A384">
        <v>7547676</v>
      </c>
      <c r="B384">
        <v>690929</v>
      </c>
      <c r="C384" t="s">
        <v>34</v>
      </c>
      <c r="D384" t="s">
        <v>35</v>
      </c>
      <c r="E384" s="6" t="s">
        <v>34</v>
      </c>
      <c r="F384" t="s">
        <v>1244</v>
      </c>
      <c r="G384" t="s">
        <v>37</v>
      </c>
      <c r="H384" t="s">
        <v>38</v>
      </c>
      <c r="I384" t="s">
        <v>1245</v>
      </c>
      <c r="J384" t="s">
        <v>40</v>
      </c>
      <c r="K384">
        <v>2</v>
      </c>
      <c r="L384" t="s">
        <v>41</v>
      </c>
      <c r="M384" t="s">
        <v>42</v>
      </c>
      <c r="N384" t="s">
        <v>43</v>
      </c>
      <c r="O384" s="7">
        <v>1</v>
      </c>
      <c r="P384" s="8">
        <v>45374.686064814814</v>
      </c>
      <c r="Q384" s="9">
        <v>45376</v>
      </c>
      <c r="R384" t="s">
        <v>44</v>
      </c>
      <c r="S384" t="s">
        <v>45</v>
      </c>
      <c r="T384" t="s">
        <v>46</v>
      </c>
      <c r="U384" t="s">
        <v>54</v>
      </c>
      <c r="V384" t="s">
        <v>1246</v>
      </c>
      <c r="W384">
        <v>40150</v>
      </c>
      <c r="X384" t="s">
        <v>45</v>
      </c>
      <c r="Y384" t="s">
        <v>250</v>
      </c>
      <c r="Z384" t="s">
        <v>50</v>
      </c>
      <c r="AA384" s="10">
        <f>IF(O384&lt;=1,7,7+0.8*ROUNDUP(O384-1,0))</f>
        <v>7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16"/>
        <v>0.42</v>
      </c>
      <c r="AG384" s="11">
        <f t="shared" si="17"/>
        <v>7.42</v>
      </c>
      <c r="AH384" t="s">
        <v>51</v>
      </c>
    </row>
    <row r="385" spans="1:34" ht="15" customHeight="1" x14ac:dyDescent="0.35">
      <c r="A385">
        <v>7547676</v>
      </c>
      <c r="B385">
        <v>690929</v>
      </c>
      <c r="C385" t="s">
        <v>34</v>
      </c>
      <c r="D385" t="s">
        <v>35</v>
      </c>
      <c r="E385" s="6" t="s">
        <v>34</v>
      </c>
      <c r="F385" t="s">
        <v>1247</v>
      </c>
      <c r="G385" t="s">
        <v>37</v>
      </c>
      <c r="H385" t="s">
        <v>38</v>
      </c>
      <c r="I385" t="s">
        <v>1248</v>
      </c>
      <c r="J385" t="s">
        <v>40</v>
      </c>
      <c r="K385">
        <v>2</v>
      </c>
      <c r="L385" t="s">
        <v>41</v>
      </c>
      <c r="M385" t="s">
        <v>42</v>
      </c>
      <c r="N385" t="s">
        <v>43</v>
      </c>
      <c r="O385" s="7">
        <v>2</v>
      </c>
      <c r="P385" s="8">
        <v>45374.519386574073</v>
      </c>
      <c r="Q385" s="9">
        <v>45376</v>
      </c>
      <c r="R385" t="s">
        <v>789</v>
      </c>
      <c r="S385" t="s">
        <v>45</v>
      </c>
      <c r="T385" t="s">
        <v>46</v>
      </c>
      <c r="U385" t="s">
        <v>47</v>
      </c>
      <c r="V385" t="s">
        <v>1249</v>
      </c>
      <c r="W385">
        <v>21020</v>
      </c>
      <c r="X385" t="s">
        <v>45</v>
      </c>
      <c r="Y385" t="s">
        <v>1250</v>
      </c>
      <c r="Z385" t="s">
        <v>50</v>
      </c>
      <c r="AA385" s="10">
        <f>IF(O385&lt;=1,7,7+0.8*ROUNDUP(O385-1,0))</f>
        <v>7.8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16"/>
        <v>0.46799999999999997</v>
      </c>
      <c r="AG385" s="11">
        <f t="shared" si="17"/>
        <v>8.2680000000000007</v>
      </c>
      <c r="AH385" t="s">
        <v>51</v>
      </c>
    </row>
    <row r="386" spans="1:34" ht="15" customHeight="1" x14ac:dyDescent="0.35">
      <c r="A386">
        <v>7547676</v>
      </c>
      <c r="B386">
        <v>690929</v>
      </c>
      <c r="C386" t="s">
        <v>34</v>
      </c>
      <c r="D386" t="s">
        <v>35</v>
      </c>
      <c r="E386" s="6" t="s">
        <v>34</v>
      </c>
      <c r="F386" t="s">
        <v>1251</v>
      </c>
      <c r="G386" t="s">
        <v>37</v>
      </c>
      <c r="H386" t="s">
        <v>38</v>
      </c>
      <c r="I386" t="s">
        <v>1252</v>
      </c>
      <c r="J386" t="s">
        <v>40</v>
      </c>
      <c r="K386">
        <v>2</v>
      </c>
      <c r="L386" t="s">
        <v>41</v>
      </c>
      <c r="M386" t="s">
        <v>42</v>
      </c>
      <c r="N386" t="s">
        <v>43</v>
      </c>
      <c r="O386" s="7">
        <v>1</v>
      </c>
      <c r="P386" s="8">
        <v>45374.519386574073</v>
      </c>
      <c r="Q386" s="9">
        <v>45376</v>
      </c>
      <c r="R386" t="s">
        <v>789</v>
      </c>
      <c r="S386" t="s">
        <v>45</v>
      </c>
      <c r="T386" t="s">
        <v>46</v>
      </c>
      <c r="U386" t="s">
        <v>54</v>
      </c>
      <c r="V386" t="s">
        <v>1253</v>
      </c>
      <c r="W386">
        <v>40150</v>
      </c>
      <c r="X386" t="s">
        <v>45</v>
      </c>
      <c r="Y386" t="s">
        <v>325</v>
      </c>
      <c r="Z386" t="s">
        <v>50</v>
      </c>
      <c r="AA386" s="10">
        <f>IF(O386&lt;=1,7,7+0.8*ROUNDUP(O386-1,0))</f>
        <v>7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si="16"/>
        <v>0.42</v>
      </c>
      <c r="AG386" s="11">
        <f t="shared" si="17"/>
        <v>7.42</v>
      </c>
      <c r="AH386" t="s">
        <v>51</v>
      </c>
    </row>
    <row r="387" spans="1:34" ht="15" customHeight="1" x14ac:dyDescent="0.35">
      <c r="A387">
        <v>7547676</v>
      </c>
      <c r="B387">
        <v>690929</v>
      </c>
      <c r="C387" t="s">
        <v>34</v>
      </c>
      <c r="D387" t="s">
        <v>35</v>
      </c>
      <c r="E387" s="6" t="s">
        <v>34</v>
      </c>
      <c r="F387" t="s">
        <v>1254</v>
      </c>
      <c r="G387" t="s">
        <v>37</v>
      </c>
      <c r="H387" t="s">
        <v>38</v>
      </c>
      <c r="I387" t="s">
        <v>1255</v>
      </c>
      <c r="J387" t="s">
        <v>40</v>
      </c>
      <c r="K387">
        <v>2</v>
      </c>
      <c r="L387" t="s">
        <v>41</v>
      </c>
      <c r="M387" t="s">
        <v>42</v>
      </c>
      <c r="N387" t="s">
        <v>43</v>
      </c>
      <c r="O387" s="7">
        <v>1</v>
      </c>
      <c r="P387" s="8">
        <v>45374.691458333335</v>
      </c>
      <c r="Q387" s="9">
        <v>45376</v>
      </c>
      <c r="R387" t="s">
        <v>44</v>
      </c>
      <c r="S387" t="s">
        <v>45</v>
      </c>
      <c r="T387" t="s">
        <v>46</v>
      </c>
      <c r="U387" t="s">
        <v>54</v>
      </c>
      <c r="V387" t="s">
        <v>1256</v>
      </c>
      <c r="W387">
        <v>43200</v>
      </c>
      <c r="X387" t="s">
        <v>45</v>
      </c>
      <c r="Y387" t="s">
        <v>284</v>
      </c>
      <c r="Z387" t="s">
        <v>50</v>
      </c>
      <c r="AA387" s="10">
        <f>IF(O387&lt;=1,7,7+0.8*ROUNDUP(O387-1,0))</f>
        <v>7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16"/>
        <v>0.42</v>
      </c>
      <c r="AG387" s="11">
        <f t="shared" si="17"/>
        <v>7.42</v>
      </c>
      <c r="AH387" t="s">
        <v>51</v>
      </c>
    </row>
    <row r="388" spans="1:34" ht="15" customHeight="1" x14ac:dyDescent="0.35">
      <c r="A388">
        <v>7547676</v>
      </c>
      <c r="B388">
        <v>690929</v>
      </c>
      <c r="C388" t="s">
        <v>34</v>
      </c>
      <c r="D388" t="s">
        <v>35</v>
      </c>
      <c r="E388" s="6" t="s">
        <v>34</v>
      </c>
      <c r="F388" t="s">
        <v>1257</v>
      </c>
      <c r="G388" t="s">
        <v>37</v>
      </c>
      <c r="H388" t="s">
        <v>38</v>
      </c>
      <c r="I388" t="s">
        <v>1258</v>
      </c>
      <c r="J388" t="s">
        <v>40</v>
      </c>
      <c r="K388">
        <v>2</v>
      </c>
      <c r="L388" t="s">
        <v>41</v>
      </c>
      <c r="M388" t="s">
        <v>42</v>
      </c>
      <c r="N388" t="s">
        <v>43</v>
      </c>
      <c r="O388" s="7">
        <v>1</v>
      </c>
      <c r="P388" s="8">
        <v>45374.636516203704</v>
      </c>
      <c r="Q388" s="9">
        <v>45376</v>
      </c>
      <c r="R388" t="s">
        <v>44</v>
      </c>
      <c r="S388" t="s">
        <v>45</v>
      </c>
      <c r="T388" t="s">
        <v>46</v>
      </c>
      <c r="U388" t="s">
        <v>54</v>
      </c>
      <c r="V388" t="s">
        <v>1259</v>
      </c>
      <c r="W388">
        <v>44300</v>
      </c>
      <c r="X388" t="s">
        <v>45</v>
      </c>
      <c r="Y388" t="s">
        <v>64</v>
      </c>
      <c r="Z388" t="s">
        <v>50</v>
      </c>
      <c r="AA388" s="10">
        <f>IF(O388&lt;=1,7,7+0.8*ROUNDUP(O388-1,0))</f>
        <v>7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16"/>
        <v>0.42</v>
      </c>
      <c r="AG388" s="11">
        <f t="shared" si="17"/>
        <v>7.42</v>
      </c>
      <c r="AH388" t="s">
        <v>51</v>
      </c>
    </row>
    <row r="389" spans="1:34" ht="15" customHeight="1" x14ac:dyDescent="0.35">
      <c r="A389">
        <v>7547676</v>
      </c>
      <c r="B389">
        <v>690929</v>
      </c>
      <c r="C389" t="s">
        <v>34</v>
      </c>
      <c r="D389" t="s">
        <v>35</v>
      </c>
      <c r="E389" s="6" t="s">
        <v>34</v>
      </c>
      <c r="F389" t="s">
        <v>1260</v>
      </c>
      <c r="G389" t="s">
        <v>37</v>
      </c>
      <c r="H389" t="s">
        <v>38</v>
      </c>
      <c r="I389" t="s">
        <v>1261</v>
      </c>
      <c r="J389" t="s">
        <v>40</v>
      </c>
      <c r="K389">
        <v>2</v>
      </c>
      <c r="L389" t="s">
        <v>41</v>
      </c>
      <c r="M389" t="s">
        <v>42</v>
      </c>
      <c r="N389" t="s">
        <v>43</v>
      </c>
      <c r="O389" s="7">
        <v>1</v>
      </c>
      <c r="P389" s="8">
        <v>45375.663506944446</v>
      </c>
      <c r="Q389" s="9">
        <v>45376</v>
      </c>
      <c r="R389" t="s">
        <v>44</v>
      </c>
      <c r="S389" t="s">
        <v>45</v>
      </c>
      <c r="T389" t="s">
        <v>46</v>
      </c>
      <c r="U389" t="s">
        <v>47</v>
      </c>
      <c r="V389" t="s">
        <v>1262</v>
      </c>
      <c r="W389">
        <v>23000</v>
      </c>
      <c r="X389" t="s">
        <v>45</v>
      </c>
      <c r="Y389" t="s">
        <v>49</v>
      </c>
      <c r="Z389" t="s">
        <v>50</v>
      </c>
      <c r="AA389" s="10">
        <f>IF(O389&lt;=1,7,7+0.8*ROUNDUP(O389-1,0))</f>
        <v>7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16"/>
        <v>0.42</v>
      </c>
      <c r="AG389" s="11">
        <f t="shared" si="17"/>
        <v>7.42</v>
      </c>
      <c r="AH389" t="s">
        <v>51</v>
      </c>
    </row>
    <row r="390" spans="1:34" ht="15" customHeight="1" x14ac:dyDescent="0.35">
      <c r="A390">
        <v>7547676</v>
      </c>
      <c r="B390">
        <v>690929</v>
      </c>
      <c r="C390" t="s">
        <v>34</v>
      </c>
      <c r="D390" t="s">
        <v>35</v>
      </c>
      <c r="E390" s="6" t="s">
        <v>34</v>
      </c>
      <c r="F390" t="s">
        <v>1263</v>
      </c>
      <c r="G390" t="s">
        <v>37</v>
      </c>
      <c r="H390" t="s">
        <v>38</v>
      </c>
      <c r="I390" t="s">
        <v>1264</v>
      </c>
      <c r="J390" t="s">
        <v>40</v>
      </c>
      <c r="K390">
        <v>2</v>
      </c>
      <c r="L390" t="s">
        <v>41</v>
      </c>
      <c r="M390" t="s">
        <v>42</v>
      </c>
      <c r="N390" t="s">
        <v>43</v>
      </c>
      <c r="O390" s="7">
        <v>1</v>
      </c>
      <c r="P390" s="8">
        <v>45375.691689814812</v>
      </c>
      <c r="Q390" s="9">
        <v>45376</v>
      </c>
      <c r="R390" t="s">
        <v>44</v>
      </c>
      <c r="S390" t="s">
        <v>45</v>
      </c>
      <c r="T390" t="s">
        <v>46</v>
      </c>
      <c r="U390" t="s">
        <v>47</v>
      </c>
      <c r="V390" t="s">
        <v>1265</v>
      </c>
      <c r="W390">
        <v>22200</v>
      </c>
      <c r="X390" t="s">
        <v>45</v>
      </c>
      <c r="Y390" t="s">
        <v>156</v>
      </c>
      <c r="Z390" t="s">
        <v>50</v>
      </c>
      <c r="AA390" s="10">
        <f>IF(O390&lt;=1,7,7+0.8*ROUNDUP(O390-1,0))</f>
        <v>7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16"/>
        <v>0.42</v>
      </c>
      <c r="AG390" s="11">
        <f t="shared" si="17"/>
        <v>7.42</v>
      </c>
      <c r="AH390" t="s">
        <v>51</v>
      </c>
    </row>
    <row r="391" spans="1:34" ht="15" customHeight="1" x14ac:dyDescent="0.35">
      <c r="A391">
        <v>7547676</v>
      </c>
      <c r="B391">
        <v>690929</v>
      </c>
      <c r="C391" t="s">
        <v>34</v>
      </c>
      <c r="D391" t="s">
        <v>35</v>
      </c>
      <c r="E391" s="6" t="s">
        <v>34</v>
      </c>
      <c r="F391" t="s">
        <v>1266</v>
      </c>
      <c r="G391" t="s">
        <v>37</v>
      </c>
      <c r="H391" t="s">
        <v>38</v>
      </c>
      <c r="I391" t="s">
        <v>1267</v>
      </c>
      <c r="J391" t="s">
        <v>40</v>
      </c>
      <c r="K391">
        <v>2</v>
      </c>
      <c r="L391" t="s">
        <v>41</v>
      </c>
      <c r="M391" t="s">
        <v>42</v>
      </c>
      <c r="N391" t="s">
        <v>43</v>
      </c>
      <c r="O391" s="7">
        <v>1</v>
      </c>
      <c r="P391" s="8">
        <v>45371.560115740744</v>
      </c>
      <c r="Q391" s="9">
        <v>45376</v>
      </c>
      <c r="R391" t="s">
        <v>789</v>
      </c>
      <c r="S391" t="s">
        <v>45</v>
      </c>
      <c r="T391" t="s">
        <v>46</v>
      </c>
      <c r="U391" t="s">
        <v>112</v>
      </c>
      <c r="V391" t="s">
        <v>1268</v>
      </c>
      <c r="W391">
        <v>89850</v>
      </c>
      <c r="X391" t="s">
        <v>114</v>
      </c>
      <c r="Y391" t="s">
        <v>79</v>
      </c>
      <c r="Z391" t="s">
        <v>50</v>
      </c>
      <c r="AA391" s="12">
        <f>IF(O391&lt;=1,13,IF(O391&lt;=2,23,IF(O391&lt;=3,35,IF(O391&lt;=4,43,IF(O391&lt;=5,53,IF(O391&lt;=6,63,IF(O391&lt;=7,71,IF(O391&lt;=8,79,IF(O391&lt;=9,87,IF(O391&lt;=10,95,IF(O391&lt;=11,105,IF(O391&lt;=12,114,IF(O391&lt;=13,119,IF(O391&lt;=14,127,IF(O391&lt;=15,135,IF(O391&lt;=16,143,IF(O391&lt;=17,153,IF(O391&lt;=18,163,IF(O391&lt;=19,171,IF(O391&lt;=20,185,IF(O391&lt;=21,193,IF(O391&lt;=22,201,IF(O391&lt;=23,210,IF(O391&lt;=24,220,IF(O391&lt;=25,230,IF(O391&lt;=26,240,IF(O391&lt;=27,250,IF(O391&lt;=28,260,IF(O391&lt;=29,270,IF(O391&lt;=30,280,280+10*ROUNDUP(O391-30,0)))))))))))))))))))))))))))))))</f>
        <v>13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16"/>
        <v>0.78</v>
      </c>
      <c r="AG391" s="11">
        <f t="shared" si="17"/>
        <v>13.78</v>
      </c>
      <c r="AH391" t="s">
        <v>116</v>
      </c>
    </row>
    <row r="392" spans="1:34" ht="15" customHeight="1" x14ac:dyDescent="0.35">
      <c r="A392">
        <v>7547676</v>
      </c>
      <c r="B392">
        <v>690929</v>
      </c>
      <c r="C392" t="s">
        <v>34</v>
      </c>
      <c r="D392" t="s">
        <v>35</v>
      </c>
      <c r="E392" s="6" t="s">
        <v>34</v>
      </c>
      <c r="F392" t="s">
        <v>1269</v>
      </c>
      <c r="G392" t="s">
        <v>37</v>
      </c>
      <c r="H392" t="s">
        <v>38</v>
      </c>
      <c r="I392" t="s">
        <v>1270</v>
      </c>
      <c r="J392" t="s">
        <v>40</v>
      </c>
      <c r="K392">
        <v>2</v>
      </c>
      <c r="L392" t="s">
        <v>41</v>
      </c>
      <c r="M392" t="s">
        <v>42</v>
      </c>
      <c r="N392" t="s">
        <v>43</v>
      </c>
      <c r="O392" s="7">
        <v>1</v>
      </c>
      <c r="P392" s="8">
        <v>45376.487372685187</v>
      </c>
      <c r="Q392" s="9">
        <v>45377</v>
      </c>
      <c r="R392" t="s">
        <v>789</v>
      </c>
      <c r="S392" t="s">
        <v>45</v>
      </c>
      <c r="T392" t="s">
        <v>46</v>
      </c>
      <c r="U392" t="s">
        <v>54</v>
      </c>
      <c r="V392" t="s">
        <v>1271</v>
      </c>
      <c r="W392">
        <v>47500</v>
      </c>
      <c r="X392" t="s">
        <v>45</v>
      </c>
      <c r="Y392" t="s">
        <v>441</v>
      </c>
      <c r="Z392" t="s">
        <v>50</v>
      </c>
      <c r="AA392" s="10">
        <f>IF(O392&lt;=1,7,7+0.8*ROUNDUP(O392-1,0))</f>
        <v>7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16"/>
        <v>0.42</v>
      </c>
      <c r="AG392" s="11">
        <f t="shared" si="17"/>
        <v>7.42</v>
      </c>
      <c r="AH392" t="s">
        <v>51</v>
      </c>
    </row>
    <row r="393" spans="1:34" ht="15" customHeight="1" x14ac:dyDescent="0.35">
      <c r="A393">
        <v>7547676</v>
      </c>
      <c r="B393">
        <v>690929</v>
      </c>
      <c r="C393" t="s">
        <v>34</v>
      </c>
      <c r="D393" t="s">
        <v>35</v>
      </c>
      <c r="E393" s="6" t="s">
        <v>34</v>
      </c>
      <c r="F393" t="s">
        <v>1272</v>
      </c>
      <c r="G393" t="s">
        <v>37</v>
      </c>
      <c r="H393" t="s">
        <v>38</v>
      </c>
      <c r="I393" t="s">
        <v>1273</v>
      </c>
      <c r="J393" t="s">
        <v>40</v>
      </c>
      <c r="K393">
        <v>2</v>
      </c>
      <c r="L393" t="s">
        <v>41</v>
      </c>
      <c r="M393" t="s">
        <v>42</v>
      </c>
      <c r="N393" t="s">
        <v>43</v>
      </c>
      <c r="O393" s="7">
        <v>1</v>
      </c>
      <c r="P393" s="8">
        <v>45374.519386574073</v>
      </c>
      <c r="Q393" s="9">
        <v>45377</v>
      </c>
      <c r="R393" t="s">
        <v>789</v>
      </c>
      <c r="S393" t="s">
        <v>45</v>
      </c>
      <c r="T393" t="s">
        <v>46</v>
      </c>
      <c r="U393" t="s">
        <v>47</v>
      </c>
      <c r="V393" t="s">
        <v>1274</v>
      </c>
      <c r="W393">
        <v>22100</v>
      </c>
      <c r="X393" t="s">
        <v>45</v>
      </c>
      <c r="Y393" t="s">
        <v>358</v>
      </c>
      <c r="Z393" t="s">
        <v>50</v>
      </c>
      <c r="AA393" s="10">
        <f>IF(O393&lt;=1,7,7+0.8*ROUNDUP(O393-1,0))</f>
        <v>7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16"/>
        <v>0.42</v>
      </c>
      <c r="AG393" s="11">
        <f t="shared" si="17"/>
        <v>7.42</v>
      </c>
      <c r="AH393" t="s">
        <v>51</v>
      </c>
    </row>
    <row r="394" spans="1:34" ht="15" customHeight="1" x14ac:dyDescent="0.35">
      <c r="A394">
        <v>7547676</v>
      </c>
      <c r="B394">
        <v>690929</v>
      </c>
      <c r="C394" t="s">
        <v>34</v>
      </c>
      <c r="D394" t="s">
        <v>35</v>
      </c>
      <c r="E394" s="6" t="s">
        <v>34</v>
      </c>
      <c r="F394" t="s">
        <v>1275</v>
      </c>
      <c r="G394" t="s">
        <v>37</v>
      </c>
      <c r="H394" t="s">
        <v>38</v>
      </c>
      <c r="I394" t="s">
        <v>1276</v>
      </c>
      <c r="J394" t="s">
        <v>40</v>
      </c>
      <c r="K394">
        <v>2</v>
      </c>
      <c r="L394" t="s">
        <v>41</v>
      </c>
      <c r="M394" t="s">
        <v>42</v>
      </c>
      <c r="N394" t="s">
        <v>43</v>
      </c>
      <c r="O394" s="7">
        <v>1</v>
      </c>
      <c r="P394" s="8">
        <v>45375.659826388888</v>
      </c>
      <c r="Q394" s="9">
        <v>45377</v>
      </c>
      <c r="R394" t="s">
        <v>44</v>
      </c>
      <c r="S394" t="s">
        <v>45</v>
      </c>
      <c r="T394" t="s">
        <v>46</v>
      </c>
      <c r="U394" t="s">
        <v>86</v>
      </c>
      <c r="V394" t="s">
        <v>1277</v>
      </c>
      <c r="W394">
        <v>71250</v>
      </c>
      <c r="X394" t="s">
        <v>45</v>
      </c>
      <c r="Y394" t="s">
        <v>611</v>
      </c>
      <c r="Z394" t="s">
        <v>50</v>
      </c>
      <c r="AA394" s="10">
        <f>IF(O394&lt;=1,7,7+0.8*ROUNDUP(O394-1,0))</f>
        <v>7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16"/>
        <v>0.42</v>
      </c>
      <c r="AG394" s="11">
        <f t="shared" si="17"/>
        <v>7.42</v>
      </c>
      <c r="AH394" t="s">
        <v>51</v>
      </c>
    </row>
    <row r="395" spans="1:34" ht="15" customHeight="1" x14ac:dyDescent="0.35">
      <c r="A395">
        <v>7547676</v>
      </c>
      <c r="B395">
        <v>690929</v>
      </c>
      <c r="C395" t="s">
        <v>34</v>
      </c>
      <c r="D395" t="s">
        <v>35</v>
      </c>
      <c r="E395" s="6" t="s">
        <v>34</v>
      </c>
      <c r="F395" t="s">
        <v>1278</v>
      </c>
      <c r="G395" t="s">
        <v>37</v>
      </c>
      <c r="H395" t="s">
        <v>38</v>
      </c>
      <c r="I395" t="s">
        <v>1279</v>
      </c>
      <c r="J395" t="s">
        <v>40</v>
      </c>
      <c r="K395">
        <v>2</v>
      </c>
      <c r="L395" t="s">
        <v>41</v>
      </c>
      <c r="M395" t="s">
        <v>42</v>
      </c>
      <c r="N395" t="s">
        <v>43</v>
      </c>
      <c r="O395" s="7">
        <v>1</v>
      </c>
      <c r="P395" s="8">
        <v>45375.603831018518</v>
      </c>
      <c r="Q395" s="9">
        <v>45377</v>
      </c>
      <c r="R395" t="s">
        <v>44</v>
      </c>
      <c r="S395" t="s">
        <v>45</v>
      </c>
      <c r="T395" t="s">
        <v>46</v>
      </c>
      <c r="U395" t="s">
        <v>278</v>
      </c>
      <c r="V395" t="s">
        <v>1280</v>
      </c>
      <c r="W395">
        <v>14000</v>
      </c>
      <c r="X395" t="s">
        <v>45</v>
      </c>
      <c r="Y395" t="s">
        <v>305</v>
      </c>
      <c r="Z395" t="s">
        <v>50</v>
      </c>
      <c r="AA395" s="10">
        <f>IF(O395&lt;=1,7,7+0.8*ROUNDUP(O395-1,0))</f>
        <v>7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16"/>
        <v>0.42</v>
      </c>
      <c r="AG395" s="11">
        <f t="shared" si="17"/>
        <v>7.42</v>
      </c>
      <c r="AH395" t="s">
        <v>51</v>
      </c>
    </row>
    <row r="396" spans="1:34" ht="15" customHeight="1" x14ac:dyDescent="0.35">
      <c r="A396">
        <v>7547676</v>
      </c>
      <c r="B396">
        <v>690929</v>
      </c>
      <c r="C396" t="s">
        <v>34</v>
      </c>
      <c r="D396" t="s">
        <v>35</v>
      </c>
      <c r="E396" s="6" t="s">
        <v>34</v>
      </c>
      <c r="F396" t="s">
        <v>1281</v>
      </c>
      <c r="G396" t="s">
        <v>37</v>
      </c>
      <c r="H396" t="s">
        <v>38</v>
      </c>
      <c r="I396" t="s">
        <v>1282</v>
      </c>
      <c r="J396" t="s">
        <v>40</v>
      </c>
      <c r="K396">
        <v>2</v>
      </c>
      <c r="L396" t="s">
        <v>41</v>
      </c>
      <c r="M396" t="s">
        <v>42</v>
      </c>
      <c r="N396" t="s">
        <v>43</v>
      </c>
      <c r="O396" s="7">
        <v>1</v>
      </c>
      <c r="P396" s="8">
        <v>45375.721261574072</v>
      </c>
      <c r="Q396" s="9">
        <v>45377</v>
      </c>
      <c r="R396" t="s">
        <v>44</v>
      </c>
      <c r="S396" t="s">
        <v>45</v>
      </c>
      <c r="T396" t="s">
        <v>46</v>
      </c>
      <c r="U396" t="s">
        <v>278</v>
      </c>
      <c r="V396" t="s">
        <v>1283</v>
      </c>
      <c r="W396">
        <v>13700</v>
      </c>
      <c r="X396" t="s">
        <v>45</v>
      </c>
      <c r="Y396" t="s">
        <v>79</v>
      </c>
      <c r="Z396" t="s">
        <v>50</v>
      </c>
      <c r="AA396" s="10">
        <f>IF(O396&lt;=1,7,7+0.8*ROUNDUP(O396-1,0))</f>
        <v>7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16"/>
        <v>0.42</v>
      </c>
      <c r="AG396" s="11">
        <f t="shared" si="17"/>
        <v>7.42</v>
      </c>
      <c r="AH396" t="s">
        <v>51</v>
      </c>
    </row>
    <row r="397" spans="1:34" ht="15" customHeight="1" x14ac:dyDescent="0.35">
      <c r="A397">
        <v>7547676</v>
      </c>
      <c r="B397">
        <v>690929</v>
      </c>
      <c r="C397" t="s">
        <v>34</v>
      </c>
      <c r="D397" t="s">
        <v>35</v>
      </c>
      <c r="E397" s="6" t="s">
        <v>34</v>
      </c>
      <c r="F397" t="s">
        <v>1284</v>
      </c>
      <c r="G397" t="s">
        <v>37</v>
      </c>
      <c r="H397" t="s">
        <v>38</v>
      </c>
      <c r="I397" t="s">
        <v>1285</v>
      </c>
      <c r="J397" t="s">
        <v>40</v>
      </c>
      <c r="K397">
        <v>2</v>
      </c>
      <c r="L397" t="s">
        <v>41</v>
      </c>
      <c r="M397" t="s">
        <v>42</v>
      </c>
      <c r="N397" t="s">
        <v>43</v>
      </c>
      <c r="O397" s="7">
        <v>1</v>
      </c>
      <c r="P397" s="8">
        <v>45375.659826388888</v>
      </c>
      <c r="Q397" s="9">
        <v>45377</v>
      </c>
      <c r="R397" t="s">
        <v>44</v>
      </c>
      <c r="S397" t="s">
        <v>45</v>
      </c>
      <c r="T397" t="s">
        <v>46</v>
      </c>
      <c r="U397" t="s">
        <v>82</v>
      </c>
      <c r="V397" t="s">
        <v>1286</v>
      </c>
      <c r="W397">
        <v>83000</v>
      </c>
      <c r="X397" t="s">
        <v>45</v>
      </c>
      <c r="Y397" t="s">
        <v>321</v>
      </c>
      <c r="Z397" t="s">
        <v>50</v>
      </c>
      <c r="AA397" s="10">
        <f>IF(O397&lt;=1,7,7+0.8*ROUNDUP(O397-1,0))</f>
        <v>7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16"/>
        <v>0.42</v>
      </c>
      <c r="AG397" s="11">
        <f t="shared" si="17"/>
        <v>7.42</v>
      </c>
      <c r="AH397" t="s">
        <v>51</v>
      </c>
    </row>
    <row r="398" spans="1:34" ht="15" customHeight="1" x14ac:dyDescent="0.35">
      <c r="A398">
        <v>7547676</v>
      </c>
      <c r="B398">
        <v>690929</v>
      </c>
      <c r="C398" t="s">
        <v>34</v>
      </c>
      <c r="D398" t="s">
        <v>35</v>
      </c>
      <c r="E398" s="6" t="s">
        <v>34</v>
      </c>
      <c r="F398" t="s">
        <v>1287</v>
      </c>
      <c r="G398" t="s">
        <v>37</v>
      </c>
      <c r="H398" t="s">
        <v>38</v>
      </c>
      <c r="I398" t="s">
        <v>1288</v>
      </c>
      <c r="J398" t="s">
        <v>40</v>
      </c>
      <c r="K398">
        <v>2</v>
      </c>
      <c r="L398" t="s">
        <v>41</v>
      </c>
      <c r="M398" t="s">
        <v>42</v>
      </c>
      <c r="N398" t="s">
        <v>43</v>
      </c>
      <c r="O398" s="7">
        <v>1</v>
      </c>
      <c r="P398" s="8">
        <v>45375.705185185187</v>
      </c>
      <c r="Q398" s="9">
        <v>45377</v>
      </c>
      <c r="R398" t="s">
        <v>44</v>
      </c>
      <c r="S398" t="s">
        <v>45</v>
      </c>
      <c r="T398" t="s">
        <v>46</v>
      </c>
      <c r="U398" t="s">
        <v>77</v>
      </c>
      <c r="V398" t="s">
        <v>1289</v>
      </c>
      <c r="W398">
        <v>75450</v>
      </c>
      <c r="X398" t="s">
        <v>45</v>
      </c>
      <c r="Y398" t="s">
        <v>1290</v>
      </c>
      <c r="Z398" t="s">
        <v>50</v>
      </c>
      <c r="AA398" s="10">
        <f>IF(O398&lt;=1,7,7+0.8*ROUNDUP(O398-1,0))</f>
        <v>7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16"/>
        <v>0.42</v>
      </c>
      <c r="AG398" s="11">
        <f t="shared" si="17"/>
        <v>7.42</v>
      </c>
      <c r="AH398" t="s">
        <v>51</v>
      </c>
    </row>
    <row r="399" spans="1:34" ht="15" customHeight="1" x14ac:dyDescent="0.35">
      <c r="A399">
        <v>7547676</v>
      </c>
      <c r="B399">
        <v>690929</v>
      </c>
      <c r="C399" t="s">
        <v>34</v>
      </c>
      <c r="D399" t="s">
        <v>35</v>
      </c>
      <c r="E399" s="6" t="s">
        <v>34</v>
      </c>
      <c r="F399" t="s">
        <v>1291</v>
      </c>
      <c r="G399" t="s">
        <v>37</v>
      </c>
      <c r="H399" t="s">
        <v>38</v>
      </c>
      <c r="I399" t="s">
        <v>1292</v>
      </c>
      <c r="J399" t="s">
        <v>40</v>
      </c>
      <c r="K399">
        <v>2</v>
      </c>
      <c r="L399" t="s">
        <v>41</v>
      </c>
      <c r="M399" t="s">
        <v>42</v>
      </c>
      <c r="N399" t="s">
        <v>43</v>
      </c>
      <c r="O399" s="7">
        <v>1</v>
      </c>
      <c r="P399" s="8">
        <v>45375.487129629626</v>
      </c>
      <c r="Q399" s="9">
        <v>45377</v>
      </c>
      <c r="R399" t="s">
        <v>44</v>
      </c>
      <c r="S399" t="s">
        <v>45</v>
      </c>
      <c r="T399" t="s">
        <v>46</v>
      </c>
      <c r="U399" t="s">
        <v>134</v>
      </c>
      <c r="V399" t="s">
        <v>1293</v>
      </c>
      <c r="W399">
        <v>34950</v>
      </c>
      <c r="X399" t="s">
        <v>45</v>
      </c>
      <c r="Y399" t="s">
        <v>1294</v>
      </c>
      <c r="Z399" t="s">
        <v>50</v>
      </c>
      <c r="AA399" s="10">
        <f>IF(O399&lt;=1,7,7+0.8*ROUNDUP(O399-1,0))</f>
        <v>7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16"/>
        <v>0.42</v>
      </c>
      <c r="AG399" s="11">
        <f t="shared" si="17"/>
        <v>7.42</v>
      </c>
      <c r="AH399" t="s">
        <v>51</v>
      </c>
    </row>
    <row r="400" spans="1:34" ht="15" customHeight="1" x14ac:dyDescent="0.35">
      <c r="A400">
        <v>7547676</v>
      </c>
      <c r="B400">
        <v>690929</v>
      </c>
      <c r="C400" t="s">
        <v>34</v>
      </c>
      <c r="D400" t="s">
        <v>35</v>
      </c>
      <c r="E400" s="6" t="s">
        <v>34</v>
      </c>
      <c r="F400" t="s">
        <v>1295</v>
      </c>
      <c r="G400" t="s">
        <v>37</v>
      </c>
      <c r="H400" t="s">
        <v>38</v>
      </c>
      <c r="I400" t="s">
        <v>1296</v>
      </c>
      <c r="J400" t="s">
        <v>40</v>
      </c>
      <c r="K400">
        <v>2</v>
      </c>
      <c r="L400" t="s">
        <v>41</v>
      </c>
      <c r="M400" t="s">
        <v>42</v>
      </c>
      <c r="N400" t="s">
        <v>43</v>
      </c>
      <c r="O400" s="7">
        <v>3</v>
      </c>
      <c r="P400" s="8">
        <v>45375.616076388891</v>
      </c>
      <c r="Q400" s="9">
        <v>45377</v>
      </c>
      <c r="R400" t="s">
        <v>44</v>
      </c>
      <c r="S400" t="s">
        <v>45</v>
      </c>
      <c r="T400" t="s">
        <v>46</v>
      </c>
      <c r="U400" t="s">
        <v>54</v>
      </c>
      <c r="V400" t="s">
        <v>139</v>
      </c>
      <c r="W400">
        <v>40000</v>
      </c>
      <c r="X400" t="s">
        <v>45</v>
      </c>
      <c r="Y400" t="s">
        <v>79</v>
      </c>
      <c r="Z400" t="s">
        <v>50</v>
      </c>
      <c r="AA400" s="10">
        <f>IF(O400&lt;=1,7,7+0.8*ROUNDUP(O400-1,0))</f>
        <v>8.6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16"/>
        <v>0.51600000000000001</v>
      </c>
      <c r="AG400" s="11">
        <f t="shared" si="17"/>
        <v>9.1159999999999997</v>
      </c>
      <c r="AH400" t="s">
        <v>51</v>
      </c>
    </row>
    <row r="401" spans="1:34" ht="15" customHeight="1" x14ac:dyDescent="0.35">
      <c r="A401">
        <v>7547676</v>
      </c>
      <c r="B401">
        <v>690929</v>
      </c>
      <c r="C401" t="s">
        <v>34</v>
      </c>
      <c r="D401" t="s">
        <v>35</v>
      </c>
      <c r="E401" s="6" t="s">
        <v>34</v>
      </c>
      <c r="F401" t="s">
        <v>1297</v>
      </c>
      <c r="G401" t="s">
        <v>37</v>
      </c>
      <c r="H401" t="s">
        <v>38</v>
      </c>
      <c r="I401" t="s">
        <v>1298</v>
      </c>
      <c r="J401" t="s">
        <v>40</v>
      </c>
      <c r="K401">
        <v>2</v>
      </c>
      <c r="L401" t="s">
        <v>41</v>
      </c>
      <c r="M401" t="s">
        <v>42</v>
      </c>
      <c r="N401" t="s">
        <v>43</v>
      </c>
      <c r="O401" s="7">
        <v>1</v>
      </c>
      <c r="P401" s="8">
        <v>45375.487129629626</v>
      </c>
      <c r="Q401" s="9">
        <v>45377</v>
      </c>
      <c r="R401" t="s">
        <v>44</v>
      </c>
      <c r="S401" t="s">
        <v>45</v>
      </c>
      <c r="T401" t="s">
        <v>46</v>
      </c>
      <c r="U401" t="s">
        <v>77</v>
      </c>
      <c r="V401" t="s">
        <v>1299</v>
      </c>
      <c r="W401">
        <v>78000</v>
      </c>
      <c r="X401" t="s">
        <v>45</v>
      </c>
      <c r="Y401" t="s">
        <v>79</v>
      </c>
      <c r="Z401" t="s">
        <v>50</v>
      </c>
      <c r="AA401" s="10">
        <f>IF(O401&lt;=1,7,7+0.8*ROUNDUP(O401-1,0))</f>
        <v>7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16"/>
        <v>0.42</v>
      </c>
      <c r="AG401" s="11">
        <f t="shared" si="17"/>
        <v>7.42</v>
      </c>
      <c r="AH401" t="s">
        <v>51</v>
      </c>
    </row>
    <row r="402" spans="1:34" ht="15" customHeight="1" x14ac:dyDescent="0.35">
      <c r="A402">
        <v>7547676</v>
      </c>
      <c r="B402">
        <v>690929</v>
      </c>
      <c r="C402" t="s">
        <v>34</v>
      </c>
      <c r="D402" t="s">
        <v>35</v>
      </c>
      <c r="E402" s="6" t="s">
        <v>34</v>
      </c>
      <c r="F402" t="s">
        <v>1300</v>
      </c>
      <c r="G402" t="s">
        <v>37</v>
      </c>
      <c r="H402" t="s">
        <v>38</v>
      </c>
      <c r="I402" t="s">
        <v>1301</v>
      </c>
      <c r="J402" t="s">
        <v>40</v>
      </c>
      <c r="K402">
        <v>2</v>
      </c>
      <c r="L402" t="s">
        <v>41</v>
      </c>
      <c r="M402" t="s">
        <v>42</v>
      </c>
      <c r="N402" t="s">
        <v>43</v>
      </c>
      <c r="O402" s="7">
        <v>1</v>
      </c>
      <c r="P402" s="8">
        <v>45375.671770833331</v>
      </c>
      <c r="Q402" s="9">
        <v>45377</v>
      </c>
      <c r="R402" t="s">
        <v>44</v>
      </c>
      <c r="S402" t="s">
        <v>45</v>
      </c>
      <c r="T402" t="s">
        <v>46</v>
      </c>
      <c r="U402" t="s">
        <v>134</v>
      </c>
      <c r="V402" t="s">
        <v>1302</v>
      </c>
      <c r="W402">
        <v>9000</v>
      </c>
      <c r="X402" t="s">
        <v>45</v>
      </c>
      <c r="Y402" t="s">
        <v>855</v>
      </c>
      <c r="Z402" t="s">
        <v>50</v>
      </c>
      <c r="AA402" s="10">
        <f>IF(O402&lt;=1,7,7+0.8*ROUNDUP(O402-1,0))</f>
        <v>7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16"/>
        <v>0.42</v>
      </c>
      <c r="AG402" s="11">
        <f t="shared" si="17"/>
        <v>7.42</v>
      </c>
      <c r="AH402" t="s">
        <v>51</v>
      </c>
    </row>
    <row r="403" spans="1:34" ht="15" customHeight="1" x14ac:dyDescent="0.35">
      <c r="A403">
        <v>7547676</v>
      </c>
      <c r="B403">
        <v>690929</v>
      </c>
      <c r="C403" t="s">
        <v>34</v>
      </c>
      <c r="D403" t="s">
        <v>35</v>
      </c>
      <c r="E403" s="6" t="s">
        <v>34</v>
      </c>
      <c r="F403" t="s">
        <v>1303</v>
      </c>
      <c r="G403" t="s">
        <v>37</v>
      </c>
      <c r="H403" t="s">
        <v>38</v>
      </c>
      <c r="I403" t="s">
        <v>1304</v>
      </c>
      <c r="J403" t="s">
        <v>40</v>
      </c>
      <c r="K403">
        <v>2</v>
      </c>
      <c r="L403" t="s">
        <v>41</v>
      </c>
      <c r="M403" t="s">
        <v>42</v>
      </c>
      <c r="N403" t="s">
        <v>43</v>
      </c>
      <c r="O403" s="7">
        <v>1</v>
      </c>
      <c r="P403" s="8">
        <v>45375.487129629626</v>
      </c>
      <c r="Q403" s="9">
        <v>45377</v>
      </c>
      <c r="R403" t="s">
        <v>44</v>
      </c>
      <c r="S403" t="s">
        <v>45</v>
      </c>
      <c r="T403" t="s">
        <v>46</v>
      </c>
      <c r="U403" t="s">
        <v>54</v>
      </c>
      <c r="V403" t="s">
        <v>1305</v>
      </c>
      <c r="W403">
        <v>62050</v>
      </c>
      <c r="X403" t="s">
        <v>45</v>
      </c>
      <c r="Y403" t="s">
        <v>79</v>
      </c>
      <c r="Z403" t="s">
        <v>50</v>
      </c>
      <c r="AA403" s="10">
        <f>IF(O403&lt;=1,7,7+0.8*ROUNDUP(O403-1,0))</f>
        <v>7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16"/>
        <v>0.42</v>
      </c>
      <c r="AG403" s="11">
        <f t="shared" si="17"/>
        <v>7.42</v>
      </c>
      <c r="AH403" t="s">
        <v>51</v>
      </c>
    </row>
    <row r="404" spans="1:34" ht="15" customHeight="1" x14ac:dyDescent="0.35">
      <c r="A404">
        <v>7547676</v>
      </c>
      <c r="B404">
        <v>690929</v>
      </c>
      <c r="C404" t="s">
        <v>34</v>
      </c>
      <c r="D404" t="s">
        <v>35</v>
      </c>
      <c r="E404" s="6" t="s">
        <v>34</v>
      </c>
      <c r="F404" t="s">
        <v>1306</v>
      </c>
      <c r="G404" t="s">
        <v>37</v>
      </c>
      <c r="H404" t="s">
        <v>38</v>
      </c>
      <c r="I404" t="s">
        <v>1307</v>
      </c>
      <c r="J404" t="s">
        <v>40</v>
      </c>
      <c r="K404">
        <v>2</v>
      </c>
      <c r="L404" t="s">
        <v>41</v>
      </c>
      <c r="M404" t="s">
        <v>42</v>
      </c>
      <c r="N404" t="s">
        <v>43</v>
      </c>
      <c r="O404" s="7">
        <v>2</v>
      </c>
      <c r="P404" s="8">
        <v>45375.487129629626</v>
      </c>
      <c r="Q404" s="9">
        <v>45377</v>
      </c>
      <c r="R404" t="s">
        <v>44</v>
      </c>
      <c r="S404" t="s">
        <v>45</v>
      </c>
      <c r="T404" t="s">
        <v>46</v>
      </c>
      <c r="U404" t="s">
        <v>77</v>
      </c>
      <c r="V404" t="s">
        <v>1308</v>
      </c>
      <c r="W404">
        <v>75450</v>
      </c>
      <c r="X404" t="s">
        <v>45</v>
      </c>
      <c r="Y404" t="s">
        <v>1290</v>
      </c>
      <c r="Z404" t="s">
        <v>50</v>
      </c>
      <c r="AA404" s="10">
        <f>IF(O404&lt;=1,7,7+0.8*ROUNDUP(O404-1,0))</f>
        <v>7.8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16"/>
        <v>0.46799999999999997</v>
      </c>
      <c r="AG404" s="11">
        <f t="shared" si="17"/>
        <v>8.2680000000000007</v>
      </c>
      <c r="AH404" t="s">
        <v>51</v>
      </c>
    </row>
    <row r="405" spans="1:34" ht="15" customHeight="1" x14ac:dyDescent="0.35">
      <c r="A405">
        <v>7547676</v>
      </c>
      <c r="B405">
        <v>690929</v>
      </c>
      <c r="C405" t="s">
        <v>34</v>
      </c>
      <c r="D405" t="s">
        <v>35</v>
      </c>
      <c r="E405" s="6" t="s">
        <v>34</v>
      </c>
      <c r="F405" t="s">
        <v>1309</v>
      </c>
      <c r="G405" t="s">
        <v>37</v>
      </c>
      <c r="H405" t="s">
        <v>38</v>
      </c>
      <c r="I405" t="s">
        <v>222</v>
      </c>
      <c r="J405" t="s">
        <v>40</v>
      </c>
      <c r="K405">
        <v>2</v>
      </c>
      <c r="L405" t="s">
        <v>41</v>
      </c>
      <c r="M405" t="s">
        <v>42</v>
      </c>
      <c r="N405" t="s">
        <v>43</v>
      </c>
      <c r="O405" s="7">
        <v>3</v>
      </c>
      <c r="P405" s="8">
        <v>45375.740416666667</v>
      </c>
      <c r="Q405" s="9">
        <v>45377</v>
      </c>
      <c r="R405" t="s">
        <v>44</v>
      </c>
      <c r="S405" t="s">
        <v>45</v>
      </c>
      <c r="T405" t="s">
        <v>46</v>
      </c>
      <c r="U405" t="s">
        <v>190</v>
      </c>
      <c r="V405" t="s">
        <v>223</v>
      </c>
      <c r="W405">
        <v>28000</v>
      </c>
      <c r="X405" t="s">
        <v>45</v>
      </c>
      <c r="Y405" t="s">
        <v>224</v>
      </c>
      <c r="Z405" t="s">
        <v>50</v>
      </c>
      <c r="AA405" s="10">
        <f>IF(O405&lt;=1,7,7+0.8*ROUNDUP(O405-1,0))</f>
        <v>8.6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16"/>
        <v>0.51600000000000001</v>
      </c>
      <c r="AG405" s="11">
        <f t="shared" si="17"/>
        <v>9.1159999999999997</v>
      </c>
      <c r="AH405" t="s">
        <v>51</v>
      </c>
    </row>
    <row r="406" spans="1:34" ht="15" customHeight="1" x14ac:dyDescent="0.35">
      <c r="A406">
        <v>7547676</v>
      </c>
      <c r="B406">
        <v>690929</v>
      </c>
      <c r="C406" t="s">
        <v>34</v>
      </c>
      <c r="D406" t="s">
        <v>35</v>
      </c>
      <c r="E406" s="6" t="s">
        <v>34</v>
      </c>
      <c r="F406" t="s">
        <v>1310</v>
      </c>
      <c r="G406" t="s">
        <v>37</v>
      </c>
      <c r="H406" t="s">
        <v>38</v>
      </c>
      <c r="I406" t="s">
        <v>1311</v>
      </c>
      <c r="J406" t="s">
        <v>40</v>
      </c>
      <c r="K406">
        <v>2</v>
      </c>
      <c r="L406" t="s">
        <v>41</v>
      </c>
      <c r="M406" t="s">
        <v>42</v>
      </c>
      <c r="N406" t="s">
        <v>43</v>
      </c>
      <c r="O406" s="7">
        <v>2</v>
      </c>
      <c r="P406" s="8">
        <v>45375.487129629626</v>
      </c>
      <c r="Q406" s="9">
        <v>45377</v>
      </c>
      <c r="R406" t="s">
        <v>44</v>
      </c>
      <c r="S406" t="s">
        <v>45</v>
      </c>
      <c r="T406" t="s">
        <v>46</v>
      </c>
      <c r="U406" t="s">
        <v>82</v>
      </c>
      <c r="V406" t="s">
        <v>1312</v>
      </c>
      <c r="W406">
        <v>86000</v>
      </c>
      <c r="X406" t="s">
        <v>45</v>
      </c>
      <c r="Y406" t="s">
        <v>702</v>
      </c>
      <c r="Z406" t="s">
        <v>50</v>
      </c>
      <c r="AA406" s="10">
        <f>IF(O406&lt;=1,7,7+0.8*ROUNDUP(O406-1,0))</f>
        <v>7.8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16"/>
        <v>0.46799999999999997</v>
      </c>
      <c r="AG406" s="11">
        <f t="shared" si="17"/>
        <v>8.2680000000000007</v>
      </c>
      <c r="AH406" t="s">
        <v>51</v>
      </c>
    </row>
    <row r="407" spans="1:34" ht="15" customHeight="1" x14ac:dyDescent="0.35">
      <c r="A407">
        <v>7547676</v>
      </c>
      <c r="B407">
        <v>690929</v>
      </c>
      <c r="C407" t="s">
        <v>34</v>
      </c>
      <c r="D407" t="s">
        <v>35</v>
      </c>
      <c r="E407" s="6" t="s">
        <v>34</v>
      </c>
      <c r="F407" t="s">
        <v>1313</v>
      </c>
      <c r="G407" t="s">
        <v>37</v>
      </c>
      <c r="H407" t="s">
        <v>38</v>
      </c>
      <c r="I407" t="s">
        <v>1314</v>
      </c>
      <c r="J407" t="s">
        <v>40</v>
      </c>
      <c r="K407">
        <v>2</v>
      </c>
      <c r="L407" t="s">
        <v>41</v>
      </c>
      <c r="M407" t="s">
        <v>42</v>
      </c>
      <c r="N407" t="s">
        <v>43</v>
      </c>
      <c r="O407" s="7">
        <v>1</v>
      </c>
      <c r="P407" s="8">
        <v>45375.619479166664</v>
      </c>
      <c r="Q407" s="9">
        <v>45377</v>
      </c>
      <c r="R407" t="s">
        <v>44</v>
      </c>
      <c r="S407" t="s">
        <v>45</v>
      </c>
      <c r="T407" t="s">
        <v>46</v>
      </c>
      <c r="U407" t="s">
        <v>82</v>
      </c>
      <c r="V407" t="s">
        <v>1315</v>
      </c>
      <c r="W407">
        <v>85300</v>
      </c>
      <c r="X407" t="s">
        <v>45</v>
      </c>
      <c r="Y407" t="s">
        <v>416</v>
      </c>
      <c r="Z407" t="s">
        <v>50</v>
      </c>
      <c r="AA407" s="10">
        <f>IF(O407&lt;=1,7,7+0.8*ROUNDUP(O407-1,0))</f>
        <v>7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16"/>
        <v>0.42</v>
      </c>
      <c r="AG407" s="11">
        <f t="shared" si="17"/>
        <v>7.42</v>
      </c>
      <c r="AH407" t="s">
        <v>51</v>
      </c>
    </row>
    <row r="408" spans="1:34" ht="15" customHeight="1" x14ac:dyDescent="0.35">
      <c r="A408">
        <v>7547676</v>
      </c>
      <c r="B408">
        <v>690929</v>
      </c>
      <c r="C408" t="s">
        <v>34</v>
      </c>
      <c r="D408" t="s">
        <v>35</v>
      </c>
      <c r="E408" s="6" t="s">
        <v>34</v>
      </c>
      <c r="F408" t="s">
        <v>1316</v>
      </c>
      <c r="G408" t="s">
        <v>37</v>
      </c>
      <c r="H408" t="s">
        <v>38</v>
      </c>
      <c r="I408" t="s">
        <v>1317</v>
      </c>
      <c r="J408" t="s">
        <v>40</v>
      </c>
      <c r="K408">
        <v>2</v>
      </c>
      <c r="L408" t="s">
        <v>41</v>
      </c>
      <c r="M408" t="s">
        <v>42</v>
      </c>
      <c r="N408" t="s">
        <v>43</v>
      </c>
      <c r="O408" s="7">
        <v>1</v>
      </c>
      <c r="P408" s="8">
        <v>45374.519386574073</v>
      </c>
      <c r="Q408" s="9">
        <v>45377</v>
      </c>
      <c r="R408" t="s">
        <v>789</v>
      </c>
      <c r="S408" t="s">
        <v>45</v>
      </c>
      <c r="T408" t="s">
        <v>46</v>
      </c>
      <c r="U408" t="s">
        <v>54</v>
      </c>
      <c r="V408" t="s">
        <v>1318</v>
      </c>
      <c r="W408">
        <v>43200</v>
      </c>
      <c r="X408" t="s">
        <v>45</v>
      </c>
      <c r="Y408" t="s">
        <v>1319</v>
      </c>
      <c r="Z408" t="s">
        <v>50</v>
      </c>
      <c r="AA408" s="10">
        <f>IF(O408&lt;=1,7,7+0.8*ROUNDUP(O408-1,0))</f>
        <v>7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16"/>
        <v>0.42</v>
      </c>
      <c r="AG408" s="11">
        <f t="shared" si="17"/>
        <v>7.42</v>
      </c>
      <c r="AH408" t="s">
        <v>51</v>
      </c>
    </row>
    <row r="409" spans="1:34" ht="15" customHeight="1" x14ac:dyDescent="0.35">
      <c r="A409">
        <v>7547676</v>
      </c>
      <c r="B409">
        <v>690929</v>
      </c>
      <c r="C409" t="s">
        <v>34</v>
      </c>
      <c r="D409" t="s">
        <v>35</v>
      </c>
      <c r="E409" s="6" t="s">
        <v>34</v>
      </c>
      <c r="F409" t="s">
        <v>1320</v>
      </c>
      <c r="G409" t="s">
        <v>37</v>
      </c>
      <c r="H409" t="s">
        <v>38</v>
      </c>
      <c r="I409" t="s">
        <v>1321</v>
      </c>
      <c r="J409" t="s">
        <v>40</v>
      </c>
      <c r="K409">
        <v>2</v>
      </c>
      <c r="L409" t="s">
        <v>41</v>
      </c>
      <c r="M409" t="s">
        <v>42</v>
      </c>
      <c r="N409" t="s">
        <v>43</v>
      </c>
      <c r="O409" s="7">
        <v>1</v>
      </c>
      <c r="P409" s="8">
        <v>45374.519386574073</v>
      </c>
      <c r="Q409" s="9">
        <v>45377</v>
      </c>
      <c r="R409" t="s">
        <v>44</v>
      </c>
      <c r="S409" t="s">
        <v>45</v>
      </c>
      <c r="T409" t="s">
        <v>46</v>
      </c>
      <c r="U409" t="s">
        <v>278</v>
      </c>
      <c r="V409" t="s">
        <v>1322</v>
      </c>
      <c r="W409">
        <v>14000</v>
      </c>
      <c r="X409" t="s">
        <v>45</v>
      </c>
      <c r="Y409" t="s">
        <v>79</v>
      </c>
      <c r="Z409" t="s">
        <v>50</v>
      </c>
      <c r="AA409" s="10">
        <f>IF(O409&lt;=1,7,7+0.8*ROUNDUP(O409-1,0))</f>
        <v>7</v>
      </c>
      <c r="AB409" s="11">
        <v>0</v>
      </c>
      <c r="AC409" s="11">
        <v>0</v>
      </c>
      <c r="AD409" s="11">
        <v>0</v>
      </c>
      <c r="AE409" s="11">
        <v>0</v>
      </c>
      <c r="AF409" s="11">
        <f t="shared" si="16"/>
        <v>0.42</v>
      </c>
      <c r="AG409" s="11">
        <f t="shared" si="17"/>
        <v>7.42</v>
      </c>
      <c r="AH409" t="s">
        <v>51</v>
      </c>
    </row>
    <row r="410" spans="1:34" ht="15" customHeight="1" x14ac:dyDescent="0.35">
      <c r="A410">
        <v>7547676</v>
      </c>
      <c r="B410">
        <v>690929</v>
      </c>
      <c r="C410" t="s">
        <v>34</v>
      </c>
      <c r="D410" t="s">
        <v>35</v>
      </c>
      <c r="E410" s="6" t="s">
        <v>34</v>
      </c>
      <c r="F410" t="s">
        <v>1323</v>
      </c>
      <c r="G410" t="s">
        <v>37</v>
      </c>
      <c r="H410" t="s">
        <v>38</v>
      </c>
      <c r="I410" t="s">
        <v>1324</v>
      </c>
      <c r="J410" t="s">
        <v>40</v>
      </c>
      <c r="K410">
        <v>2</v>
      </c>
      <c r="L410" t="s">
        <v>41</v>
      </c>
      <c r="M410" t="s">
        <v>42</v>
      </c>
      <c r="N410" t="s">
        <v>43</v>
      </c>
      <c r="O410" s="7">
        <v>1</v>
      </c>
      <c r="P410" s="8">
        <v>45376.645960648151</v>
      </c>
      <c r="Q410" s="9">
        <v>45377</v>
      </c>
      <c r="R410" t="s">
        <v>789</v>
      </c>
      <c r="S410" t="s">
        <v>45</v>
      </c>
      <c r="T410" t="s">
        <v>46</v>
      </c>
      <c r="U410" t="s">
        <v>54</v>
      </c>
      <c r="V410" t="s">
        <v>1325</v>
      </c>
      <c r="W410">
        <v>42000</v>
      </c>
      <c r="X410" t="s">
        <v>45</v>
      </c>
      <c r="Y410" t="s">
        <v>316</v>
      </c>
      <c r="Z410" t="s">
        <v>50</v>
      </c>
      <c r="AA410" s="10">
        <f>IF(O410&lt;=1,7,7+0.8*ROUNDUP(O410-1,0))</f>
        <v>7</v>
      </c>
      <c r="AB410" s="11">
        <v>0</v>
      </c>
      <c r="AC410" s="11">
        <v>0</v>
      </c>
      <c r="AD410" s="11">
        <v>0</v>
      </c>
      <c r="AE410" s="11">
        <v>0</v>
      </c>
      <c r="AF410" s="11">
        <f t="shared" si="16"/>
        <v>0.42</v>
      </c>
      <c r="AG410" s="11">
        <f t="shared" si="17"/>
        <v>7.42</v>
      </c>
      <c r="AH410" t="s">
        <v>51</v>
      </c>
    </row>
    <row r="411" spans="1:34" ht="15" customHeight="1" x14ac:dyDescent="0.35">
      <c r="A411">
        <v>7547676</v>
      </c>
      <c r="B411">
        <v>690929</v>
      </c>
      <c r="C411" t="s">
        <v>34</v>
      </c>
      <c r="D411" t="s">
        <v>35</v>
      </c>
      <c r="E411" s="6" t="s">
        <v>34</v>
      </c>
      <c r="F411" t="s">
        <v>1326</v>
      </c>
      <c r="G411" t="s">
        <v>37</v>
      </c>
      <c r="H411" t="s">
        <v>38</v>
      </c>
      <c r="I411" t="s">
        <v>1327</v>
      </c>
      <c r="J411" t="s">
        <v>40</v>
      </c>
      <c r="K411">
        <v>2</v>
      </c>
      <c r="L411" t="s">
        <v>41</v>
      </c>
      <c r="M411" t="s">
        <v>42</v>
      </c>
      <c r="N411" t="s">
        <v>43</v>
      </c>
      <c r="O411" s="7">
        <v>1</v>
      </c>
      <c r="P411" s="8">
        <v>45375.390324074076</v>
      </c>
      <c r="Q411" s="9">
        <v>45377</v>
      </c>
      <c r="R411" t="s">
        <v>44</v>
      </c>
      <c r="S411" t="s">
        <v>45</v>
      </c>
      <c r="T411" t="s">
        <v>46</v>
      </c>
      <c r="U411" t="s">
        <v>86</v>
      </c>
      <c r="V411" t="s">
        <v>1328</v>
      </c>
      <c r="W411">
        <v>70200</v>
      </c>
      <c r="X411" t="s">
        <v>45</v>
      </c>
      <c r="Y411" t="s">
        <v>92</v>
      </c>
      <c r="Z411" t="s">
        <v>50</v>
      </c>
      <c r="AA411" s="10">
        <f>IF(O411&lt;=1,7,7+0.8*ROUNDUP(O411-1,0))</f>
        <v>7</v>
      </c>
      <c r="AB411" s="11">
        <v>0</v>
      </c>
      <c r="AC411" s="11">
        <v>0</v>
      </c>
      <c r="AD411" s="11">
        <v>0</v>
      </c>
      <c r="AE411" s="11">
        <v>0</v>
      </c>
      <c r="AF411" s="11">
        <f t="shared" si="16"/>
        <v>0.42</v>
      </c>
      <c r="AG411" s="11">
        <f t="shared" si="17"/>
        <v>7.42</v>
      </c>
      <c r="AH411" t="s">
        <v>51</v>
      </c>
    </row>
    <row r="412" spans="1:34" ht="15" customHeight="1" x14ac:dyDescent="0.35">
      <c r="A412">
        <v>7547676</v>
      </c>
      <c r="B412">
        <v>690929</v>
      </c>
      <c r="C412" t="s">
        <v>34</v>
      </c>
      <c r="D412" t="s">
        <v>35</v>
      </c>
      <c r="E412" s="6" t="s">
        <v>34</v>
      </c>
      <c r="F412" t="s">
        <v>1329</v>
      </c>
      <c r="G412" t="s">
        <v>37</v>
      </c>
      <c r="H412" t="s">
        <v>38</v>
      </c>
      <c r="I412" t="s">
        <v>1330</v>
      </c>
      <c r="J412" t="s">
        <v>40</v>
      </c>
      <c r="K412">
        <v>2</v>
      </c>
      <c r="L412" t="s">
        <v>41</v>
      </c>
      <c r="M412" t="s">
        <v>42</v>
      </c>
      <c r="N412" t="s">
        <v>43</v>
      </c>
      <c r="O412" s="7">
        <v>1</v>
      </c>
      <c r="P412" s="8">
        <v>45375.678055555552</v>
      </c>
      <c r="Q412" s="9">
        <v>45377</v>
      </c>
      <c r="R412" t="s">
        <v>44</v>
      </c>
      <c r="S412" t="s">
        <v>45</v>
      </c>
      <c r="T412" t="s">
        <v>46</v>
      </c>
      <c r="U412" t="s">
        <v>77</v>
      </c>
      <c r="V412" t="s">
        <v>1331</v>
      </c>
      <c r="W412">
        <v>75200</v>
      </c>
      <c r="X412" t="s">
        <v>45</v>
      </c>
      <c r="Y412" t="s">
        <v>1181</v>
      </c>
      <c r="Z412" t="s">
        <v>50</v>
      </c>
      <c r="AA412" s="10">
        <f>IF(O412&lt;=1,7,7+0.8*ROUNDUP(O412-1,0))</f>
        <v>7</v>
      </c>
      <c r="AB412" s="11">
        <v>0</v>
      </c>
      <c r="AC412" s="11">
        <v>0</v>
      </c>
      <c r="AD412" s="11">
        <v>0</v>
      </c>
      <c r="AE412" s="11">
        <v>0</v>
      </c>
      <c r="AF412" s="11">
        <f t="shared" si="16"/>
        <v>0.42</v>
      </c>
      <c r="AG412" s="11">
        <f t="shared" si="17"/>
        <v>7.42</v>
      </c>
      <c r="AH412" t="s">
        <v>51</v>
      </c>
    </row>
    <row r="413" spans="1:34" ht="15" customHeight="1" x14ac:dyDescent="0.35">
      <c r="A413">
        <v>7547676</v>
      </c>
      <c r="B413">
        <v>690929</v>
      </c>
      <c r="C413" t="s">
        <v>34</v>
      </c>
      <c r="D413" t="s">
        <v>35</v>
      </c>
      <c r="E413" s="6" t="s">
        <v>34</v>
      </c>
      <c r="F413" t="s">
        <v>1332</v>
      </c>
      <c r="G413" t="s">
        <v>37</v>
      </c>
      <c r="H413" t="s">
        <v>38</v>
      </c>
      <c r="I413" t="s">
        <v>738</v>
      </c>
      <c r="J413" t="s">
        <v>40</v>
      </c>
      <c r="K413">
        <v>2</v>
      </c>
      <c r="L413" t="s">
        <v>41</v>
      </c>
      <c r="M413" t="s">
        <v>42</v>
      </c>
      <c r="N413" t="s">
        <v>43</v>
      </c>
      <c r="O413" s="7">
        <v>1</v>
      </c>
      <c r="P413" s="8">
        <v>45375.487129629626</v>
      </c>
      <c r="Q413" s="9">
        <v>45377</v>
      </c>
      <c r="R413" t="s">
        <v>44</v>
      </c>
      <c r="S413" t="s">
        <v>45</v>
      </c>
      <c r="T413" t="s">
        <v>46</v>
      </c>
      <c r="U413" t="s">
        <v>67</v>
      </c>
      <c r="V413" t="s">
        <v>739</v>
      </c>
      <c r="W413">
        <v>50300</v>
      </c>
      <c r="X413" t="s">
        <v>45</v>
      </c>
      <c r="Y413" t="s">
        <v>69</v>
      </c>
      <c r="Z413" t="s">
        <v>50</v>
      </c>
      <c r="AA413" s="10">
        <f>IF(O413&lt;=1,7,7+0.8*ROUNDUP(O413-1,0))</f>
        <v>7</v>
      </c>
      <c r="AB413" s="11">
        <v>0</v>
      </c>
      <c r="AC413" s="11">
        <v>0</v>
      </c>
      <c r="AD413" s="11">
        <v>0</v>
      </c>
      <c r="AE413" s="11">
        <v>0</v>
      </c>
      <c r="AF413" s="11">
        <f t="shared" si="16"/>
        <v>0.42</v>
      </c>
      <c r="AG413" s="11">
        <f t="shared" si="17"/>
        <v>7.42</v>
      </c>
      <c r="AH413" t="s">
        <v>51</v>
      </c>
    </row>
    <row r="414" spans="1:34" ht="15" customHeight="1" x14ac:dyDescent="0.35">
      <c r="A414">
        <v>7547676</v>
      </c>
      <c r="B414">
        <v>690929</v>
      </c>
      <c r="C414" t="s">
        <v>34</v>
      </c>
      <c r="D414" t="s">
        <v>35</v>
      </c>
      <c r="E414" s="6" t="s">
        <v>34</v>
      </c>
      <c r="F414" t="s">
        <v>1333</v>
      </c>
      <c r="G414" t="s">
        <v>37</v>
      </c>
      <c r="H414" t="s">
        <v>38</v>
      </c>
      <c r="I414" t="s">
        <v>1334</v>
      </c>
      <c r="J414" t="s">
        <v>40</v>
      </c>
      <c r="K414">
        <v>2</v>
      </c>
      <c r="L414" t="s">
        <v>41</v>
      </c>
      <c r="M414" t="s">
        <v>42</v>
      </c>
      <c r="N414" t="s">
        <v>43</v>
      </c>
      <c r="O414" s="7">
        <v>3</v>
      </c>
      <c r="P414" s="8">
        <v>45371.565520833334</v>
      </c>
      <c r="Q414" s="9">
        <v>45377</v>
      </c>
      <c r="R414" t="s">
        <v>44</v>
      </c>
      <c r="S414" t="s">
        <v>45</v>
      </c>
      <c r="T414" t="s">
        <v>46</v>
      </c>
      <c r="U414" t="s">
        <v>82</v>
      </c>
      <c r="V414" t="s">
        <v>1335</v>
      </c>
      <c r="W414">
        <v>81300</v>
      </c>
      <c r="X414" t="s">
        <v>45</v>
      </c>
      <c r="Y414" t="s">
        <v>1336</v>
      </c>
      <c r="Z414" t="s">
        <v>50</v>
      </c>
      <c r="AA414" s="10">
        <f>IF(O414&lt;=1,7,7+0.8*ROUNDUP(O414-1,0))</f>
        <v>8.6</v>
      </c>
      <c r="AB414" s="11">
        <v>0</v>
      </c>
      <c r="AC414" s="11">
        <v>0</v>
      </c>
      <c r="AD414" s="11">
        <v>0</v>
      </c>
      <c r="AE414" s="11">
        <v>0</v>
      </c>
      <c r="AF414" s="11">
        <f t="shared" si="16"/>
        <v>0.51600000000000001</v>
      </c>
      <c r="AG414" s="11">
        <f t="shared" si="17"/>
        <v>9.1159999999999997</v>
      </c>
      <c r="AH414" t="s">
        <v>51</v>
      </c>
    </row>
    <row r="415" spans="1:34" ht="15" customHeight="1" x14ac:dyDescent="0.35">
      <c r="A415">
        <v>7547676</v>
      </c>
      <c r="B415">
        <v>690929</v>
      </c>
      <c r="C415" t="s">
        <v>34</v>
      </c>
      <c r="D415" t="s">
        <v>35</v>
      </c>
      <c r="E415" s="6" t="s">
        <v>34</v>
      </c>
      <c r="F415" t="s">
        <v>1337</v>
      </c>
      <c r="G415" t="s">
        <v>37</v>
      </c>
      <c r="H415" t="s">
        <v>38</v>
      </c>
      <c r="I415" t="s">
        <v>1338</v>
      </c>
      <c r="J415" t="s">
        <v>40</v>
      </c>
      <c r="K415">
        <v>2</v>
      </c>
      <c r="L415" t="s">
        <v>41</v>
      </c>
      <c r="M415" t="s">
        <v>42</v>
      </c>
      <c r="N415" t="s">
        <v>43</v>
      </c>
      <c r="O415" s="7">
        <v>1</v>
      </c>
      <c r="P415" s="8">
        <v>45351.560370370367</v>
      </c>
      <c r="Q415" s="9">
        <v>45352</v>
      </c>
      <c r="R415" t="s">
        <v>44</v>
      </c>
      <c r="S415" t="s">
        <v>45</v>
      </c>
      <c r="T415" t="s">
        <v>46</v>
      </c>
      <c r="U415" t="s">
        <v>67</v>
      </c>
      <c r="V415" t="s">
        <v>1339</v>
      </c>
      <c r="W415">
        <v>50586</v>
      </c>
      <c r="X415" t="s">
        <v>45</v>
      </c>
      <c r="Y415" t="s">
        <v>69</v>
      </c>
      <c r="Z415" t="s">
        <v>50</v>
      </c>
      <c r="AA415" s="10">
        <f>IF(O415&lt;=1,7,7+0.8*ROUNDUP(O415-1,0))</f>
        <v>7</v>
      </c>
      <c r="AB415" s="11">
        <v>0</v>
      </c>
      <c r="AC415" s="11">
        <v>0</v>
      </c>
      <c r="AD415" s="11">
        <v>0</v>
      </c>
      <c r="AE415" s="11">
        <v>0</v>
      </c>
      <c r="AF415" s="11">
        <f t="shared" si="16"/>
        <v>0.42</v>
      </c>
      <c r="AG415" s="11">
        <f t="shared" si="17"/>
        <v>7.42</v>
      </c>
      <c r="AH415" t="s">
        <v>51</v>
      </c>
    </row>
    <row r="416" spans="1:34" ht="15" customHeight="1" x14ac:dyDescent="0.35">
      <c r="A416">
        <v>7547676</v>
      </c>
      <c r="B416">
        <v>690929</v>
      </c>
      <c r="C416" t="s">
        <v>34</v>
      </c>
      <c r="D416" t="s">
        <v>35</v>
      </c>
      <c r="E416" s="6" t="s">
        <v>34</v>
      </c>
      <c r="F416" t="s">
        <v>1340</v>
      </c>
      <c r="G416" t="s">
        <v>37</v>
      </c>
      <c r="H416" t="s">
        <v>38</v>
      </c>
      <c r="I416" t="s">
        <v>1341</v>
      </c>
      <c r="J416" t="s">
        <v>40</v>
      </c>
      <c r="K416">
        <v>2</v>
      </c>
      <c r="L416" t="s">
        <v>41</v>
      </c>
      <c r="M416" t="s">
        <v>42</v>
      </c>
      <c r="N416" t="s">
        <v>43</v>
      </c>
      <c r="O416" s="7">
        <v>1</v>
      </c>
      <c r="P416" s="8">
        <v>45350.50582175926</v>
      </c>
      <c r="Q416" s="9">
        <v>45352</v>
      </c>
      <c r="R416" t="s">
        <v>44</v>
      </c>
      <c r="S416" t="s">
        <v>45</v>
      </c>
      <c r="T416" t="s">
        <v>46</v>
      </c>
      <c r="U416" t="s">
        <v>172</v>
      </c>
      <c r="V416" t="s">
        <v>1342</v>
      </c>
      <c r="W416">
        <v>31600</v>
      </c>
      <c r="X416" t="s">
        <v>45</v>
      </c>
      <c r="Y416" t="s">
        <v>1005</v>
      </c>
      <c r="Z416" t="s">
        <v>50</v>
      </c>
      <c r="AA416" s="10">
        <f>IF(O416&lt;=1,7,7+0.8*ROUNDUP(O416-1,0))</f>
        <v>7</v>
      </c>
      <c r="AB416" s="11">
        <v>0</v>
      </c>
      <c r="AC416" s="11">
        <v>0</v>
      </c>
      <c r="AD416" s="11">
        <v>0</v>
      </c>
      <c r="AE416" s="11">
        <v>0</v>
      </c>
      <c r="AF416" s="11">
        <f t="shared" si="16"/>
        <v>0.42</v>
      </c>
      <c r="AG416" s="11">
        <f t="shared" si="17"/>
        <v>7.42</v>
      </c>
      <c r="AH416" t="s">
        <v>51</v>
      </c>
    </row>
    <row r="417" spans="1:34" ht="15" customHeight="1" x14ac:dyDescent="0.35">
      <c r="A417">
        <v>7547676</v>
      </c>
      <c r="B417">
        <v>690929</v>
      </c>
      <c r="C417" t="s">
        <v>34</v>
      </c>
      <c r="D417" t="s">
        <v>35</v>
      </c>
      <c r="E417" s="6" t="s">
        <v>34</v>
      </c>
      <c r="F417" t="s">
        <v>1343</v>
      </c>
      <c r="G417" t="s">
        <v>37</v>
      </c>
      <c r="H417" t="s">
        <v>38</v>
      </c>
      <c r="I417" t="s">
        <v>1344</v>
      </c>
      <c r="J417" t="s">
        <v>40</v>
      </c>
      <c r="K417">
        <v>2</v>
      </c>
      <c r="L417" t="s">
        <v>41</v>
      </c>
      <c r="M417" t="s">
        <v>42</v>
      </c>
      <c r="N417" t="s">
        <v>43</v>
      </c>
      <c r="O417" s="7">
        <v>1</v>
      </c>
      <c r="P417" s="8">
        <v>45350.427789351852</v>
      </c>
      <c r="Q417" s="9">
        <v>45352</v>
      </c>
      <c r="R417" t="s">
        <v>44</v>
      </c>
      <c r="S417" t="s">
        <v>45</v>
      </c>
      <c r="T417" t="s">
        <v>46</v>
      </c>
      <c r="U417" t="s">
        <v>54</v>
      </c>
      <c r="V417" t="s">
        <v>1345</v>
      </c>
      <c r="W417">
        <v>47100</v>
      </c>
      <c r="X417" t="s">
        <v>45</v>
      </c>
      <c r="Y417" t="s">
        <v>1346</v>
      </c>
      <c r="Z417" t="s">
        <v>50</v>
      </c>
      <c r="AA417" s="10">
        <f>IF(O417&lt;=1,7,7+0.8*ROUNDUP(O417-1,0))</f>
        <v>7</v>
      </c>
      <c r="AB417" s="11">
        <v>0</v>
      </c>
      <c r="AC417" s="11">
        <v>0</v>
      </c>
      <c r="AD417" s="11">
        <v>0</v>
      </c>
      <c r="AE417" s="11">
        <v>0</v>
      </c>
      <c r="AF417" s="11">
        <f t="shared" si="16"/>
        <v>0.42</v>
      </c>
      <c r="AG417" s="11">
        <f t="shared" si="17"/>
        <v>7.42</v>
      </c>
      <c r="AH417" t="s">
        <v>51</v>
      </c>
    </row>
    <row r="418" spans="1:34" ht="15" customHeight="1" x14ac:dyDescent="0.35">
      <c r="A418">
        <v>7547676</v>
      </c>
      <c r="B418">
        <v>690929</v>
      </c>
      <c r="C418" t="s">
        <v>34</v>
      </c>
      <c r="D418" t="s">
        <v>35</v>
      </c>
      <c r="E418" s="6" t="s">
        <v>34</v>
      </c>
      <c r="F418" t="s">
        <v>1347</v>
      </c>
      <c r="G418" t="s">
        <v>37</v>
      </c>
      <c r="H418" t="s">
        <v>38</v>
      </c>
      <c r="I418" t="s">
        <v>1348</v>
      </c>
      <c r="J418" t="s">
        <v>40</v>
      </c>
      <c r="K418">
        <v>2</v>
      </c>
      <c r="L418" t="s">
        <v>41</v>
      </c>
      <c r="M418" t="s">
        <v>42</v>
      </c>
      <c r="N418" t="s">
        <v>43</v>
      </c>
      <c r="O418" s="7">
        <v>2</v>
      </c>
      <c r="P418" s="8">
        <v>45348.818043981482</v>
      </c>
      <c r="Q418" s="9">
        <v>45352</v>
      </c>
      <c r="R418" t="s">
        <v>44</v>
      </c>
      <c r="S418" t="s">
        <v>45</v>
      </c>
      <c r="T418" t="s">
        <v>46</v>
      </c>
      <c r="U418" t="s">
        <v>238</v>
      </c>
      <c r="V418" t="s">
        <v>1349</v>
      </c>
      <c r="W418">
        <v>87000</v>
      </c>
      <c r="X418" t="s">
        <v>114</v>
      </c>
      <c r="Y418" t="s">
        <v>79</v>
      </c>
      <c r="Z418" t="s">
        <v>50</v>
      </c>
      <c r="AA418" s="12">
        <f>IF(O418&lt;=1,13,IF(O418&lt;=2,23,IF(O418&lt;=3,35,IF(O418&lt;=4,43,IF(O418&lt;=5,53,IF(O418&lt;=6,63,IF(O418&lt;=7,71,IF(O418&lt;=8,79,IF(O418&lt;=9,87,IF(O418&lt;=10,95,IF(O418&lt;=11,105,IF(O418&lt;=12,114,IF(O418&lt;=13,119,IF(O418&lt;=14,127,IF(O418&lt;=15,135,IF(O418&lt;=16,143,IF(O418&lt;=17,153,IF(O418&lt;=18,163,IF(O418&lt;=19,171,IF(O418&lt;=20,185,IF(O418&lt;=21,193,IF(O418&lt;=22,201,IF(O418&lt;=23,210,IF(O418&lt;=24,220,IF(O418&lt;=25,230,IF(O418&lt;=26,240,IF(O418&lt;=27,250,IF(O418&lt;=28,260,IF(O418&lt;=29,270,IF(O418&lt;=30,280,280+10*ROUNDUP(O418-30,0)))))))))))))))))))))))))))))))</f>
        <v>23</v>
      </c>
      <c r="AB418" s="11">
        <v>0</v>
      </c>
      <c r="AC418" s="11">
        <v>0</v>
      </c>
      <c r="AD418" s="11">
        <v>0</v>
      </c>
      <c r="AE418" s="11">
        <v>0</v>
      </c>
      <c r="AF418" s="11">
        <f t="shared" si="16"/>
        <v>1.38</v>
      </c>
      <c r="AG418" s="11">
        <f t="shared" si="17"/>
        <v>24.38</v>
      </c>
      <c r="AH418" t="s">
        <v>116</v>
      </c>
    </row>
    <row r="419" spans="1:34" ht="15" customHeight="1" x14ac:dyDescent="0.35">
      <c r="A419">
        <v>7547676</v>
      </c>
      <c r="B419">
        <v>690929</v>
      </c>
      <c r="C419" t="s">
        <v>34</v>
      </c>
      <c r="D419" t="s">
        <v>35</v>
      </c>
      <c r="E419" s="6" t="s">
        <v>34</v>
      </c>
      <c r="F419" t="s">
        <v>1350</v>
      </c>
      <c r="G419" t="s">
        <v>37</v>
      </c>
      <c r="H419" t="s">
        <v>38</v>
      </c>
      <c r="I419" t="s">
        <v>1351</v>
      </c>
      <c r="J419" t="s">
        <v>40</v>
      </c>
      <c r="K419">
        <v>2</v>
      </c>
      <c r="L419" t="s">
        <v>41</v>
      </c>
      <c r="M419" t="s">
        <v>42</v>
      </c>
      <c r="N419" t="s">
        <v>43</v>
      </c>
      <c r="O419" s="7">
        <v>1</v>
      </c>
      <c r="P419" s="8">
        <v>45351.721458333333</v>
      </c>
      <c r="Q419" s="9">
        <v>45352</v>
      </c>
      <c r="R419" t="s">
        <v>44</v>
      </c>
      <c r="S419" t="s">
        <v>45</v>
      </c>
      <c r="T419" t="s">
        <v>46</v>
      </c>
      <c r="U419" t="s">
        <v>99</v>
      </c>
      <c r="V419" t="s">
        <v>1352</v>
      </c>
      <c r="W419">
        <v>18300</v>
      </c>
      <c r="X419" t="s">
        <v>45</v>
      </c>
      <c r="Y419" t="s">
        <v>156</v>
      </c>
      <c r="Z419" t="s">
        <v>50</v>
      </c>
      <c r="AA419" s="10">
        <f>IF(O419&lt;=1,7,7+0.8*ROUNDUP(O419-1,0))</f>
        <v>7</v>
      </c>
      <c r="AB419" s="11">
        <v>0</v>
      </c>
      <c r="AC419" s="11">
        <v>0</v>
      </c>
      <c r="AD419" s="11">
        <v>0</v>
      </c>
      <c r="AE419" s="11">
        <v>0</v>
      </c>
      <c r="AF419" s="11">
        <f t="shared" si="16"/>
        <v>0.42</v>
      </c>
      <c r="AG419" s="11">
        <f t="shared" si="17"/>
        <v>7.42</v>
      </c>
      <c r="AH419" t="s">
        <v>51</v>
      </c>
    </row>
    <row r="420" spans="1:34" ht="15" customHeight="1" x14ac:dyDescent="0.35">
      <c r="A420">
        <v>7547676</v>
      </c>
      <c r="B420">
        <v>690929</v>
      </c>
      <c r="C420" t="s">
        <v>34</v>
      </c>
      <c r="D420" t="s">
        <v>35</v>
      </c>
      <c r="E420" s="6" t="s">
        <v>34</v>
      </c>
      <c r="F420" t="s">
        <v>1353</v>
      </c>
      <c r="G420" t="s">
        <v>37</v>
      </c>
      <c r="H420" t="s">
        <v>38</v>
      </c>
      <c r="I420" t="s">
        <v>1354</v>
      </c>
      <c r="J420" t="s">
        <v>40</v>
      </c>
      <c r="K420">
        <v>2</v>
      </c>
      <c r="L420" t="s">
        <v>41</v>
      </c>
      <c r="M420" t="s">
        <v>42</v>
      </c>
      <c r="N420" t="s">
        <v>43</v>
      </c>
      <c r="O420" s="7">
        <v>1</v>
      </c>
      <c r="P420" s="8">
        <v>45351.694143518522</v>
      </c>
      <c r="Q420" s="9">
        <v>45352</v>
      </c>
      <c r="R420" t="s">
        <v>44</v>
      </c>
      <c r="S420" t="s">
        <v>45</v>
      </c>
      <c r="T420" t="s">
        <v>46</v>
      </c>
      <c r="U420" t="s">
        <v>99</v>
      </c>
      <c r="V420" t="s">
        <v>1355</v>
      </c>
      <c r="W420">
        <v>17000</v>
      </c>
      <c r="X420" t="s">
        <v>45</v>
      </c>
      <c r="Y420" t="s">
        <v>156</v>
      </c>
      <c r="Z420" t="s">
        <v>50</v>
      </c>
      <c r="AA420" s="10">
        <f>IF(O420&lt;=1,7,7+0.8*ROUNDUP(O420-1,0))</f>
        <v>7</v>
      </c>
      <c r="AB420" s="11">
        <v>0</v>
      </c>
      <c r="AC420" s="11">
        <v>0</v>
      </c>
      <c r="AD420" s="11">
        <v>0</v>
      </c>
      <c r="AE420" s="11">
        <v>0</v>
      </c>
      <c r="AF420" s="11">
        <f t="shared" si="16"/>
        <v>0.42</v>
      </c>
      <c r="AG420" s="11">
        <f t="shared" si="17"/>
        <v>7.42</v>
      </c>
      <c r="AH420" t="s">
        <v>51</v>
      </c>
    </row>
    <row r="421" spans="1:34" ht="15" customHeight="1" x14ac:dyDescent="0.35">
      <c r="A421">
        <v>7547676</v>
      </c>
      <c r="B421">
        <v>690929</v>
      </c>
      <c r="C421" t="s">
        <v>34</v>
      </c>
      <c r="D421" t="s">
        <v>35</v>
      </c>
      <c r="E421" s="6" t="s">
        <v>34</v>
      </c>
      <c r="F421" t="s">
        <v>1356</v>
      </c>
      <c r="G421" t="s">
        <v>37</v>
      </c>
      <c r="H421" t="s">
        <v>38</v>
      </c>
      <c r="I421" t="s">
        <v>1357</v>
      </c>
      <c r="J421" t="s">
        <v>40</v>
      </c>
      <c r="K421">
        <v>2</v>
      </c>
      <c r="L421" t="s">
        <v>41</v>
      </c>
      <c r="M421" t="s">
        <v>42</v>
      </c>
      <c r="N421" t="s">
        <v>43</v>
      </c>
      <c r="O421" s="7">
        <v>1</v>
      </c>
      <c r="P421" s="8">
        <v>45350.603738425925</v>
      </c>
      <c r="Q421" s="9">
        <v>45352</v>
      </c>
      <c r="R421" t="s">
        <v>44</v>
      </c>
      <c r="S421" t="s">
        <v>45</v>
      </c>
      <c r="T421" t="s">
        <v>46</v>
      </c>
      <c r="U421" t="s">
        <v>86</v>
      </c>
      <c r="V421" t="s">
        <v>1358</v>
      </c>
      <c r="W421">
        <v>70400</v>
      </c>
      <c r="X421" t="s">
        <v>45</v>
      </c>
      <c r="Y421" t="s">
        <v>92</v>
      </c>
      <c r="Z421" t="s">
        <v>50</v>
      </c>
      <c r="AA421" s="10">
        <f>IF(O421&lt;=1,7,7+0.8*ROUNDUP(O421-1,0))</f>
        <v>7</v>
      </c>
      <c r="AB421" s="11">
        <v>0</v>
      </c>
      <c r="AC421" s="11">
        <v>0</v>
      </c>
      <c r="AD421" s="11">
        <v>0</v>
      </c>
      <c r="AE421" s="11">
        <v>0</v>
      </c>
      <c r="AF421" s="11">
        <f t="shared" si="16"/>
        <v>0.42</v>
      </c>
      <c r="AG421" s="11">
        <f t="shared" si="17"/>
        <v>7.42</v>
      </c>
      <c r="AH421" t="s">
        <v>51</v>
      </c>
    </row>
    <row r="422" spans="1:34" ht="15" customHeight="1" x14ac:dyDescent="0.35">
      <c r="A422">
        <v>7547676</v>
      </c>
      <c r="B422">
        <v>690929</v>
      </c>
      <c r="C422" t="s">
        <v>34</v>
      </c>
      <c r="D422" t="s">
        <v>35</v>
      </c>
      <c r="E422" s="6" t="s">
        <v>34</v>
      </c>
      <c r="F422" t="s">
        <v>1359</v>
      </c>
      <c r="G422" t="s">
        <v>37</v>
      </c>
      <c r="H422" t="s">
        <v>38</v>
      </c>
      <c r="I422" t="s">
        <v>1360</v>
      </c>
      <c r="J422" t="s">
        <v>40</v>
      </c>
      <c r="K422">
        <v>2</v>
      </c>
      <c r="L422" t="s">
        <v>41</v>
      </c>
      <c r="M422" t="s">
        <v>42</v>
      </c>
      <c r="N422" t="s">
        <v>43</v>
      </c>
      <c r="O422" s="7">
        <v>17</v>
      </c>
      <c r="P422" s="8">
        <v>45349.816712962966</v>
      </c>
      <c r="Q422" s="9">
        <v>45352</v>
      </c>
      <c r="R422" t="s">
        <v>44</v>
      </c>
      <c r="S422" t="s">
        <v>45</v>
      </c>
      <c r="T422" t="s">
        <v>46</v>
      </c>
      <c r="U422" t="s">
        <v>82</v>
      </c>
      <c r="V422" t="s">
        <v>1361</v>
      </c>
      <c r="W422">
        <v>85000</v>
      </c>
      <c r="X422" t="s">
        <v>45</v>
      </c>
      <c r="Y422" t="s">
        <v>1109</v>
      </c>
      <c r="Z422" t="s">
        <v>50</v>
      </c>
      <c r="AA422" s="10">
        <f>IF(O422&lt;=1,7,7+0.8*ROUNDUP(O422-1,0))</f>
        <v>19.8</v>
      </c>
      <c r="AB422" s="11">
        <v>0</v>
      </c>
      <c r="AC422" s="11">
        <v>0</v>
      </c>
      <c r="AD422" s="11">
        <v>0</v>
      </c>
      <c r="AE422" s="11">
        <v>0</v>
      </c>
      <c r="AF422" s="11">
        <f t="shared" si="16"/>
        <v>1.1879999999999999</v>
      </c>
      <c r="AG422" s="11">
        <f t="shared" si="17"/>
        <v>20.988</v>
      </c>
      <c r="AH422" t="s">
        <v>51</v>
      </c>
    </row>
    <row r="423" spans="1:34" ht="15" customHeight="1" x14ac:dyDescent="0.35">
      <c r="A423">
        <v>7547676</v>
      </c>
      <c r="B423">
        <v>690929</v>
      </c>
      <c r="C423" t="s">
        <v>34</v>
      </c>
      <c r="D423" t="s">
        <v>35</v>
      </c>
      <c r="E423" s="6" t="s">
        <v>34</v>
      </c>
      <c r="F423" t="s">
        <v>1362</v>
      </c>
      <c r="G423" t="s">
        <v>37</v>
      </c>
      <c r="H423" t="s">
        <v>38</v>
      </c>
      <c r="I423" t="s">
        <v>1360</v>
      </c>
      <c r="J423" t="s">
        <v>40</v>
      </c>
      <c r="K423">
        <v>2</v>
      </c>
      <c r="L423" t="s">
        <v>41</v>
      </c>
      <c r="M423" t="s">
        <v>42</v>
      </c>
      <c r="N423" t="s">
        <v>43</v>
      </c>
      <c r="O423" s="7">
        <v>7</v>
      </c>
      <c r="P423" s="8">
        <v>45349.816712962966</v>
      </c>
      <c r="Q423" s="9">
        <v>45352</v>
      </c>
      <c r="R423" t="s">
        <v>44</v>
      </c>
      <c r="S423" t="s">
        <v>45</v>
      </c>
      <c r="T423" t="s">
        <v>46</v>
      </c>
      <c r="U423" t="s">
        <v>82</v>
      </c>
      <c r="V423" t="s">
        <v>1363</v>
      </c>
      <c r="W423">
        <v>85000</v>
      </c>
      <c r="X423" t="s">
        <v>45</v>
      </c>
      <c r="Y423" t="s">
        <v>1109</v>
      </c>
      <c r="Z423" t="s">
        <v>50</v>
      </c>
      <c r="AA423" s="10">
        <f>IF(O423&lt;=1,7,7+0.8*ROUNDUP(O423-1,0))</f>
        <v>11.8</v>
      </c>
      <c r="AB423" s="11">
        <v>0</v>
      </c>
      <c r="AC423" s="11">
        <v>0</v>
      </c>
      <c r="AD423" s="11">
        <v>0</v>
      </c>
      <c r="AE423" s="11">
        <v>0</v>
      </c>
      <c r="AF423" s="11">
        <f t="shared" si="16"/>
        <v>0.70799999999999996</v>
      </c>
      <c r="AG423" s="11">
        <f t="shared" si="17"/>
        <v>12.508000000000001</v>
      </c>
      <c r="AH423" t="s">
        <v>51</v>
      </c>
    </row>
    <row r="424" spans="1:34" ht="15" customHeight="1" x14ac:dyDescent="0.35">
      <c r="A424">
        <v>7547676</v>
      </c>
      <c r="B424">
        <v>690929</v>
      </c>
      <c r="C424" t="s">
        <v>34</v>
      </c>
      <c r="D424" t="s">
        <v>35</v>
      </c>
      <c r="E424" s="6" t="s">
        <v>34</v>
      </c>
      <c r="F424" t="s">
        <v>1364</v>
      </c>
      <c r="G424" t="s">
        <v>37</v>
      </c>
      <c r="H424" t="s">
        <v>38</v>
      </c>
      <c r="I424" t="s">
        <v>1365</v>
      </c>
      <c r="J424" t="s">
        <v>40</v>
      </c>
      <c r="K424">
        <v>2</v>
      </c>
      <c r="L424" t="s">
        <v>41</v>
      </c>
      <c r="M424" t="s">
        <v>42</v>
      </c>
      <c r="N424" t="s">
        <v>43</v>
      </c>
      <c r="O424" s="7">
        <v>2</v>
      </c>
      <c r="P424" s="8">
        <v>45351.557349537034</v>
      </c>
      <c r="Q424" s="9">
        <v>45352</v>
      </c>
      <c r="R424" t="s">
        <v>44</v>
      </c>
      <c r="S424" t="s">
        <v>45</v>
      </c>
      <c r="T424" t="s">
        <v>46</v>
      </c>
      <c r="U424" t="s">
        <v>190</v>
      </c>
      <c r="V424" t="s">
        <v>1366</v>
      </c>
      <c r="W424">
        <v>28200</v>
      </c>
      <c r="X424" t="s">
        <v>45</v>
      </c>
      <c r="Y424" t="s">
        <v>362</v>
      </c>
      <c r="Z424" t="s">
        <v>50</v>
      </c>
      <c r="AA424" s="10">
        <f>IF(O424&lt;=1,7,7+0.8*ROUNDUP(O424-1,0))</f>
        <v>7.8</v>
      </c>
      <c r="AB424" s="11">
        <v>0</v>
      </c>
      <c r="AC424" s="11">
        <v>0</v>
      </c>
      <c r="AD424" s="11">
        <v>0</v>
      </c>
      <c r="AE424" s="11">
        <v>0</v>
      </c>
      <c r="AF424" s="11">
        <f t="shared" ref="AF424:AF487" si="18">(AA424+AC424+AE424)*6%</f>
        <v>0.46799999999999997</v>
      </c>
      <c r="AG424" s="11">
        <f t="shared" ref="AG424:AG487" si="19">AA424+AC424+AE424+AF424</f>
        <v>8.2680000000000007</v>
      </c>
      <c r="AH424" t="s">
        <v>51</v>
      </c>
    </row>
    <row r="425" spans="1:34" ht="15" customHeight="1" x14ac:dyDescent="0.35">
      <c r="A425">
        <v>7547676</v>
      </c>
      <c r="B425">
        <v>690929</v>
      </c>
      <c r="C425" t="s">
        <v>34</v>
      </c>
      <c r="D425" t="s">
        <v>35</v>
      </c>
      <c r="E425" s="6" t="s">
        <v>34</v>
      </c>
      <c r="F425" t="s">
        <v>1367</v>
      </c>
      <c r="G425" t="s">
        <v>37</v>
      </c>
      <c r="H425" t="s">
        <v>38</v>
      </c>
      <c r="I425" t="s">
        <v>1368</v>
      </c>
      <c r="J425" t="s">
        <v>40</v>
      </c>
      <c r="K425">
        <v>2</v>
      </c>
      <c r="L425" t="s">
        <v>41</v>
      </c>
      <c r="M425" t="s">
        <v>42</v>
      </c>
      <c r="N425" t="s">
        <v>43</v>
      </c>
      <c r="O425" s="7">
        <v>1</v>
      </c>
      <c r="P425" s="8">
        <v>45351.627951388888</v>
      </c>
      <c r="Q425" s="9">
        <v>45352</v>
      </c>
      <c r="R425" t="s">
        <v>44</v>
      </c>
      <c r="S425" t="s">
        <v>45</v>
      </c>
      <c r="T425" t="s">
        <v>46</v>
      </c>
      <c r="U425" t="s">
        <v>54</v>
      </c>
      <c r="V425" t="s">
        <v>444</v>
      </c>
      <c r="W425">
        <v>40000</v>
      </c>
      <c r="X425" t="s">
        <v>45</v>
      </c>
      <c r="Y425" t="s">
        <v>140</v>
      </c>
      <c r="Z425" t="s">
        <v>50</v>
      </c>
      <c r="AA425" s="10">
        <f>IF(O425&lt;=1,7,7+0.8*ROUNDUP(O425-1,0))</f>
        <v>7</v>
      </c>
      <c r="AB425" s="11">
        <v>0</v>
      </c>
      <c r="AC425" s="11">
        <v>0</v>
      </c>
      <c r="AD425" s="11">
        <v>0</v>
      </c>
      <c r="AE425" s="11">
        <v>0</v>
      </c>
      <c r="AF425" s="11">
        <f t="shared" si="18"/>
        <v>0.42</v>
      </c>
      <c r="AG425" s="11">
        <f t="shared" si="19"/>
        <v>7.42</v>
      </c>
      <c r="AH425" t="s">
        <v>51</v>
      </c>
    </row>
    <row r="426" spans="1:34" ht="15" customHeight="1" x14ac:dyDescent="0.35">
      <c r="A426">
        <v>7547676</v>
      </c>
      <c r="B426">
        <v>690929</v>
      </c>
      <c r="C426" t="s">
        <v>34</v>
      </c>
      <c r="D426" t="s">
        <v>35</v>
      </c>
      <c r="E426" s="6" t="s">
        <v>34</v>
      </c>
      <c r="F426" t="s">
        <v>1369</v>
      </c>
      <c r="G426" t="s">
        <v>37</v>
      </c>
      <c r="H426" t="s">
        <v>38</v>
      </c>
      <c r="I426" t="s">
        <v>1370</v>
      </c>
      <c r="J426" t="s">
        <v>40</v>
      </c>
      <c r="K426">
        <v>2</v>
      </c>
      <c r="L426" t="s">
        <v>41</v>
      </c>
      <c r="M426" t="s">
        <v>42</v>
      </c>
      <c r="N426" t="s">
        <v>43</v>
      </c>
      <c r="O426" s="7">
        <v>1</v>
      </c>
      <c r="P426" s="8">
        <v>45349.730613425927</v>
      </c>
      <c r="Q426" s="9">
        <v>45352</v>
      </c>
      <c r="R426" t="s">
        <v>44</v>
      </c>
      <c r="S426" t="s">
        <v>45</v>
      </c>
      <c r="T426" t="s">
        <v>46</v>
      </c>
      <c r="U426" t="s">
        <v>172</v>
      </c>
      <c r="V426" t="s">
        <v>1371</v>
      </c>
      <c r="W426">
        <v>36000</v>
      </c>
      <c r="X426" t="s">
        <v>45</v>
      </c>
      <c r="Y426" t="s">
        <v>1372</v>
      </c>
      <c r="Z426" t="s">
        <v>50</v>
      </c>
      <c r="AA426" s="10">
        <f>IF(O426&lt;=1,7,7+0.8*ROUNDUP(O426-1,0))</f>
        <v>7</v>
      </c>
      <c r="AB426" s="11">
        <v>0</v>
      </c>
      <c r="AC426" s="11">
        <v>0</v>
      </c>
      <c r="AD426" s="11">
        <v>0</v>
      </c>
      <c r="AE426" s="11">
        <v>0</v>
      </c>
      <c r="AF426" s="11">
        <f t="shared" si="18"/>
        <v>0.42</v>
      </c>
      <c r="AG426" s="11">
        <f t="shared" si="19"/>
        <v>7.42</v>
      </c>
      <c r="AH426" t="s">
        <v>51</v>
      </c>
    </row>
    <row r="427" spans="1:34" ht="15" customHeight="1" x14ac:dyDescent="0.35">
      <c r="A427">
        <v>7547676</v>
      </c>
      <c r="B427">
        <v>690929</v>
      </c>
      <c r="C427" t="s">
        <v>34</v>
      </c>
      <c r="D427" t="s">
        <v>35</v>
      </c>
      <c r="E427" s="6" t="s">
        <v>34</v>
      </c>
      <c r="F427" t="s">
        <v>1373</v>
      </c>
      <c r="G427" t="s">
        <v>37</v>
      </c>
      <c r="H427" t="s">
        <v>38</v>
      </c>
      <c r="I427" t="s">
        <v>1374</v>
      </c>
      <c r="J427" t="s">
        <v>40</v>
      </c>
      <c r="K427">
        <v>2</v>
      </c>
      <c r="L427" t="s">
        <v>41</v>
      </c>
      <c r="M427" t="s">
        <v>42</v>
      </c>
      <c r="N427" t="s">
        <v>43</v>
      </c>
      <c r="O427" s="7">
        <v>3</v>
      </c>
      <c r="P427" s="8">
        <v>45350.724490740744</v>
      </c>
      <c r="Q427" s="9">
        <v>45352</v>
      </c>
      <c r="R427" t="s">
        <v>44</v>
      </c>
      <c r="S427" t="s">
        <v>45</v>
      </c>
      <c r="T427" t="s">
        <v>46</v>
      </c>
      <c r="U427" t="s">
        <v>278</v>
      </c>
      <c r="V427" t="s">
        <v>1375</v>
      </c>
      <c r="W427">
        <v>13500</v>
      </c>
      <c r="X427" t="s">
        <v>45</v>
      </c>
      <c r="Y427" t="s">
        <v>210</v>
      </c>
      <c r="Z427" t="s">
        <v>50</v>
      </c>
      <c r="AA427" s="10">
        <f>IF(O427&lt;=1,7,7+0.8*ROUNDUP(O427-1,0))</f>
        <v>8.6</v>
      </c>
      <c r="AB427" s="11">
        <v>0</v>
      </c>
      <c r="AC427" s="11">
        <v>0</v>
      </c>
      <c r="AD427" s="11">
        <v>0</v>
      </c>
      <c r="AE427" s="11">
        <v>0</v>
      </c>
      <c r="AF427" s="11">
        <f t="shared" si="18"/>
        <v>0.51600000000000001</v>
      </c>
      <c r="AG427" s="11">
        <f t="shared" si="19"/>
        <v>9.1159999999999997</v>
      </c>
      <c r="AH427" t="s">
        <v>51</v>
      </c>
    </row>
    <row r="428" spans="1:34" ht="15" customHeight="1" x14ac:dyDescent="0.35">
      <c r="A428">
        <v>7547676</v>
      </c>
      <c r="B428">
        <v>690929</v>
      </c>
      <c r="C428" t="s">
        <v>34</v>
      </c>
      <c r="D428" t="s">
        <v>35</v>
      </c>
      <c r="E428" s="6" t="s">
        <v>34</v>
      </c>
      <c r="F428" t="s">
        <v>1376</v>
      </c>
      <c r="G428" t="s">
        <v>37</v>
      </c>
      <c r="H428" t="s">
        <v>38</v>
      </c>
      <c r="I428" t="s">
        <v>1377</v>
      </c>
      <c r="J428" t="s">
        <v>40</v>
      </c>
      <c r="K428">
        <v>2</v>
      </c>
      <c r="L428" t="s">
        <v>41</v>
      </c>
      <c r="M428" t="s">
        <v>42</v>
      </c>
      <c r="N428" t="s">
        <v>43</v>
      </c>
      <c r="O428" s="7">
        <v>2</v>
      </c>
      <c r="P428" s="8">
        <v>45351.734884259262</v>
      </c>
      <c r="Q428" s="9">
        <v>45352</v>
      </c>
      <c r="R428" t="s">
        <v>44</v>
      </c>
      <c r="S428" t="s">
        <v>45</v>
      </c>
      <c r="T428" t="s">
        <v>46</v>
      </c>
      <c r="U428" t="s">
        <v>190</v>
      </c>
      <c r="V428" t="s">
        <v>1378</v>
      </c>
      <c r="W428">
        <v>25300</v>
      </c>
      <c r="X428" t="s">
        <v>45</v>
      </c>
      <c r="Y428" t="s">
        <v>1379</v>
      </c>
      <c r="Z428" t="s">
        <v>50</v>
      </c>
      <c r="AA428" s="10">
        <f>IF(O428&lt;=1,7,7+0.8*ROUNDUP(O428-1,0))</f>
        <v>7.8</v>
      </c>
      <c r="AB428" s="11">
        <v>0</v>
      </c>
      <c r="AC428" s="11">
        <v>0</v>
      </c>
      <c r="AD428" s="11">
        <v>0</v>
      </c>
      <c r="AE428" s="11">
        <v>0</v>
      </c>
      <c r="AF428" s="11">
        <f t="shared" si="18"/>
        <v>0.46799999999999997</v>
      </c>
      <c r="AG428" s="11">
        <f t="shared" si="19"/>
        <v>8.2680000000000007</v>
      </c>
      <c r="AH428" t="s">
        <v>51</v>
      </c>
    </row>
    <row r="429" spans="1:34" ht="15" customHeight="1" x14ac:dyDescent="0.35">
      <c r="A429">
        <v>7547676</v>
      </c>
      <c r="B429">
        <v>690929</v>
      </c>
      <c r="C429" t="s">
        <v>34</v>
      </c>
      <c r="D429" t="s">
        <v>35</v>
      </c>
      <c r="E429" s="6" t="s">
        <v>34</v>
      </c>
      <c r="F429" t="s">
        <v>1380</v>
      </c>
      <c r="G429" t="s">
        <v>37</v>
      </c>
      <c r="H429" t="s">
        <v>38</v>
      </c>
      <c r="I429" t="s">
        <v>1381</v>
      </c>
      <c r="J429" t="s">
        <v>40</v>
      </c>
      <c r="K429">
        <v>2</v>
      </c>
      <c r="L429" t="s">
        <v>41</v>
      </c>
      <c r="M429" t="s">
        <v>42</v>
      </c>
      <c r="N429" t="s">
        <v>43</v>
      </c>
      <c r="O429" s="7">
        <v>1</v>
      </c>
      <c r="P429" s="8">
        <v>45351.734884259262</v>
      </c>
      <c r="Q429" s="9">
        <v>45352</v>
      </c>
      <c r="R429" t="s">
        <v>44</v>
      </c>
      <c r="S429" t="s">
        <v>45</v>
      </c>
      <c r="T429" t="s">
        <v>46</v>
      </c>
      <c r="U429" t="s">
        <v>54</v>
      </c>
      <c r="V429" t="s">
        <v>1382</v>
      </c>
      <c r="W429">
        <v>42100</v>
      </c>
      <c r="X429" t="s">
        <v>45</v>
      </c>
      <c r="Y429" t="s">
        <v>1383</v>
      </c>
      <c r="Z429" t="s">
        <v>50</v>
      </c>
      <c r="AA429" s="10">
        <f>IF(O429&lt;=1,7,7+0.8*ROUNDUP(O429-1,0))</f>
        <v>7</v>
      </c>
      <c r="AB429" s="11">
        <v>0</v>
      </c>
      <c r="AC429" s="11">
        <v>0</v>
      </c>
      <c r="AD429" s="11">
        <v>0</v>
      </c>
      <c r="AE429" s="11">
        <v>0</v>
      </c>
      <c r="AF429" s="11">
        <f t="shared" si="18"/>
        <v>0.42</v>
      </c>
      <c r="AG429" s="11">
        <f t="shared" si="19"/>
        <v>7.42</v>
      </c>
      <c r="AH429" t="s">
        <v>51</v>
      </c>
    </row>
    <row r="430" spans="1:34" ht="15" customHeight="1" x14ac:dyDescent="0.35">
      <c r="A430">
        <v>7547676</v>
      </c>
      <c r="B430">
        <v>690929</v>
      </c>
      <c r="C430" t="s">
        <v>34</v>
      </c>
      <c r="D430" t="s">
        <v>35</v>
      </c>
      <c r="E430" s="6" t="s">
        <v>34</v>
      </c>
      <c r="F430" t="s">
        <v>1384</v>
      </c>
      <c r="G430" t="s">
        <v>37</v>
      </c>
      <c r="H430" t="s">
        <v>38</v>
      </c>
      <c r="I430" t="s">
        <v>1385</v>
      </c>
      <c r="J430" t="s">
        <v>40</v>
      </c>
      <c r="K430">
        <v>2</v>
      </c>
      <c r="L430" t="s">
        <v>41</v>
      </c>
      <c r="M430" t="s">
        <v>42</v>
      </c>
      <c r="N430" t="s">
        <v>43</v>
      </c>
      <c r="O430" s="7">
        <v>1</v>
      </c>
      <c r="P430" s="8">
        <v>45349.738020833334</v>
      </c>
      <c r="Q430" s="9">
        <v>45352</v>
      </c>
      <c r="R430" t="s">
        <v>44</v>
      </c>
      <c r="S430" t="s">
        <v>45</v>
      </c>
      <c r="T430" t="s">
        <v>46</v>
      </c>
      <c r="U430" t="s">
        <v>82</v>
      </c>
      <c r="V430" t="s">
        <v>1386</v>
      </c>
      <c r="W430">
        <v>81400</v>
      </c>
      <c r="X430" t="s">
        <v>45</v>
      </c>
      <c r="Y430" t="s">
        <v>79</v>
      </c>
      <c r="Z430" t="s">
        <v>50</v>
      </c>
      <c r="AA430" s="10">
        <f>IF(O430&lt;=1,7,7+0.8*ROUNDUP(O430-1,0))</f>
        <v>7</v>
      </c>
      <c r="AB430" s="11">
        <v>0</v>
      </c>
      <c r="AC430" s="11">
        <v>0</v>
      </c>
      <c r="AD430" s="11">
        <v>0</v>
      </c>
      <c r="AE430" s="11">
        <v>0</v>
      </c>
      <c r="AF430" s="11">
        <f t="shared" si="18"/>
        <v>0.42</v>
      </c>
      <c r="AG430" s="11">
        <f t="shared" si="19"/>
        <v>7.42</v>
      </c>
      <c r="AH430" t="s">
        <v>51</v>
      </c>
    </row>
    <row r="431" spans="1:34" ht="15" customHeight="1" x14ac:dyDescent="0.35">
      <c r="A431">
        <v>7547676</v>
      </c>
      <c r="B431">
        <v>690929</v>
      </c>
      <c r="C431" t="s">
        <v>34</v>
      </c>
      <c r="D431" t="s">
        <v>35</v>
      </c>
      <c r="E431" s="6" t="s">
        <v>34</v>
      </c>
      <c r="F431" t="s">
        <v>1387</v>
      </c>
      <c r="G431" t="s">
        <v>37</v>
      </c>
      <c r="H431" t="s">
        <v>38</v>
      </c>
      <c r="I431" t="s">
        <v>1388</v>
      </c>
      <c r="J431" t="s">
        <v>40</v>
      </c>
      <c r="K431">
        <v>2</v>
      </c>
      <c r="L431" t="s">
        <v>41</v>
      </c>
      <c r="M431" t="s">
        <v>42</v>
      </c>
      <c r="N431" t="s">
        <v>43</v>
      </c>
      <c r="O431" s="7">
        <v>1</v>
      </c>
      <c r="P431" s="8">
        <v>45350.616643518515</v>
      </c>
      <c r="Q431" s="9">
        <v>45352</v>
      </c>
      <c r="R431" t="s">
        <v>44</v>
      </c>
      <c r="S431" t="s">
        <v>45</v>
      </c>
      <c r="T431" t="s">
        <v>46</v>
      </c>
      <c r="U431" t="s">
        <v>172</v>
      </c>
      <c r="V431" t="s">
        <v>1389</v>
      </c>
      <c r="W431">
        <v>34900</v>
      </c>
      <c r="X431" t="s">
        <v>45</v>
      </c>
      <c r="Y431" t="s">
        <v>79</v>
      </c>
      <c r="Z431" t="s">
        <v>50</v>
      </c>
      <c r="AA431" s="10">
        <f>IF(O431&lt;=1,7,7+0.8*ROUNDUP(O431-1,0))</f>
        <v>7</v>
      </c>
      <c r="AB431" s="11">
        <v>0</v>
      </c>
      <c r="AC431" s="11">
        <v>0</v>
      </c>
      <c r="AD431" s="11">
        <v>0</v>
      </c>
      <c r="AE431" s="11">
        <v>0</v>
      </c>
      <c r="AF431" s="11">
        <f t="shared" si="18"/>
        <v>0.42</v>
      </c>
      <c r="AG431" s="11">
        <f t="shared" si="19"/>
        <v>7.42</v>
      </c>
      <c r="AH431" t="s">
        <v>51</v>
      </c>
    </row>
    <row r="432" spans="1:34" ht="15" customHeight="1" x14ac:dyDescent="0.35">
      <c r="A432">
        <v>7547676</v>
      </c>
      <c r="B432">
        <v>690929</v>
      </c>
      <c r="C432" t="s">
        <v>34</v>
      </c>
      <c r="D432" t="s">
        <v>35</v>
      </c>
      <c r="E432" s="6" t="s">
        <v>34</v>
      </c>
      <c r="F432" t="s">
        <v>1390</v>
      </c>
      <c r="G432" t="s">
        <v>37</v>
      </c>
      <c r="H432" t="s">
        <v>38</v>
      </c>
      <c r="I432" t="s">
        <v>1391</v>
      </c>
      <c r="J432" t="s">
        <v>40</v>
      </c>
      <c r="K432">
        <v>2</v>
      </c>
      <c r="L432" t="s">
        <v>41</v>
      </c>
      <c r="M432" t="s">
        <v>42</v>
      </c>
      <c r="N432" t="s">
        <v>43</v>
      </c>
      <c r="O432" s="7">
        <v>1</v>
      </c>
      <c r="P432" s="8">
        <v>45351.719282407408</v>
      </c>
      <c r="Q432" s="9">
        <v>45352</v>
      </c>
      <c r="R432" t="s">
        <v>44</v>
      </c>
      <c r="S432" t="s">
        <v>45</v>
      </c>
      <c r="T432" t="s">
        <v>46</v>
      </c>
      <c r="U432" t="s">
        <v>99</v>
      </c>
      <c r="V432" t="s">
        <v>1392</v>
      </c>
      <c r="W432">
        <v>17000</v>
      </c>
      <c r="X432" t="s">
        <v>45</v>
      </c>
      <c r="Y432" t="s">
        <v>156</v>
      </c>
      <c r="Z432" t="s">
        <v>50</v>
      </c>
      <c r="AA432" s="10">
        <f>IF(O432&lt;=1,7,7+0.8*ROUNDUP(O432-1,0))</f>
        <v>7</v>
      </c>
      <c r="AB432" s="11">
        <v>0</v>
      </c>
      <c r="AC432" s="11">
        <v>0</v>
      </c>
      <c r="AD432" s="11">
        <v>0</v>
      </c>
      <c r="AE432" s="11">
        <v>0</v>
      </c>
      <c r="AF432" s="11">
        <f t="shared" si="18"/>
        <v>0.42</v>
      </c>
      <c r="AG432" s="11">
        <f t="shared" si="19"/>
        <v>7.42</v>
      </c>
      <c r="AH432" t="s">
        <v>51</v>
      </c>
    </row>
    <row r="433" spans="1:34" ht="15" customHeight="1" x14ac:dyDescent="0.35">
      <c r="A433">
        <v>7547676</v>
      </c>
      <c r="B433">
        <v>690929</v>
      </c>
      <c r="C433" t="s">
        <v>34</v>
      </c>
      <c r="D433" t="s">
        <v>35</v>
      </c>
      <c r="E433" s="6" t="s">
        <v>34</v>
      </c>
      <c r="F433" t="s">
        <v>1393</v>
      </c>
      <c r="G433" t="s">
        <v>37</v>
      </c>
      <c r="H433" t="s">
        <v>38</v>
      </c>
      <c r="I433" t="s">
        <v>1394</v>
      </c>
      <c r="J433" t="s">
        <v>40</v>
      </c>
      <c r="K433">
        <v>2</v>
      </c>
      <c r="L433" t="s">
        <v>41</v>
      </c>
      <c r="M433" t="s">
        <v>42</v>
      </c>
      <c r="N433" t="s">
        <v>43</v>
      </c>
      <c r="O433" s="7">
        <v>2</v>
      </c>
      <c r="P433" s="8">
        <v>45351.557349537034</v>
      </c>
      <c r="Q433" s="9">
        <v>45352</v>
      </c>
      <c r="R433" t="s">
        <v>44</v>
      </c>
      <c r="S433" t="s">
        <v>45</v>
      </c>
      <c r="T433" t="s">
        <v>46</v>
      </c>
      <c r="U433" t="s">
        <v>99</v>
      </c>
      <c r="V433" t="s">
        <v>1395</v>
      </c>
      <c r="W433">
        <v>16500</v>
      </c>
      <c r="X433" t="s">
        <v>45</v>
      </c>
      <c r="Y433" t="s">
        <v>156</v>
      </c>
      <c r="Z433" t="s">
        <v>50</v>
      </c>
      <c r="AA433" s="10">
        <f>IF(O433&lt;=1,7,7+0.8*ROUNDUP(O433-1,0))</f>
        <v>7.8</v>
      </c>
      <c r="AB433" s="11">
        <v>0</v>
      </c>
      <c r="AC433" s="11">
        <v>0</v>
      </c>
      <c r="AD433" s="11">
        <v>0</v>
      </c>
      <c r="AE433" s="11">
        <v>0</v>
      </c>
      <c r="AF433" s="11">
        <f t="shared" si="18"/>
        <v>0.46799999999999997</v>
      </c>
      <c r="AG433" s="11">
        <f t="shared" si="19"/>
        <v>8.2680000000000007</v>
      </c>
      <c r="AH433" t="s">
        <v>51</v>
      </c>
    </row>
    <row r="434" spans="1:34" ht="15" customHeight="1" x14ac:dyDescent="0.35">
      <c r="A434">
        <v>7547676</v>
      </c>
      <c r="B434">
        <v>690929</v>
      </c>
      <c r="C434" t="s">
        <v>34</v>
      </c>
      <c r="D434" t="s">
        <v>35</v>
      </c>
      <c r="E434" s="6" t="s">
        <v>34</v>
      </c>
      <c r="F434" t="s">
        <v>1396</v>
      </c>
      <c r="G434" t="s">
        <v>37</v>
      </c>
      <c r="H434" t="s">
        <v>38</v>
      </c>
      <c r="I434" t="s">
        <v>1397</v>
      </c>
      <c r="J434" t="s">
        <v>40</v>
      </c>
      <c r="K434">
        <v>2</v>
      </c>
      <c r="L434" t="s">
        <v>41</v>
      </c>
      <c r="M434" t="s">
        <v>42</v>
      </c>
      <c r="N434" t="s">
        <v>43</v>
      </c>
      <c r="O434" s="7">
        <v>1</v>
      </c>
      <c r="P434" s="8">
        <v>45350.600416666668</v>
      </c>
      <c r="Q434" s="9">
        <v>45352</v>
      </c>
      <c r="R434" t="s">
        <v>44</v>
      </c>
      <c r="S434" t="s">
        <v>45</v>
      </c>
      <c r="T434" t="s">
        <v>46</v>
      </c>
      <c r="U434" t="s">
        <v>82</v>
      </c>
      <c r="V434" t="s">
        <v>1398</v>
      </c>
      <c r="W434">
        <v>84900</v>
      </c>
      <c r="X434" t="s">
        <v>45</v>
      </c>
      <c r="Y434" t="s">
        <v>198</v>
      </c>
      <c r="Z434" t="s">
        <v>50</v>
      </c>
      <c r="AA434" s="10">
        <f>IF(O434&lt;=1,7,7+0.8*ROUNDUP(O434-1,0))</f>
        <v>7</v>
      </c>
      <c r="AB434" s="11">
        <v>0</v>
      </c>
      <c r="AC434" s="11">
        <v>0</v>
      </c>
      <c r="AD434" s="11">
        <v>0</v>
      </c>
      <c r="AE434" s="11">
        <v>0</v>
      </c>
      <c r="AF434" s="11">
        <f t="shared" si="18"/>
        <v>0.42</v>
      </c>
      <c r="AG434" s="11">
        <f t="shared" si="19"/>
        <v>7.42</v>
      </c>
      <c r="AH434" t="s">
        <v>51</v>
      </c>
    </row>
    <row r="435" spans="1:34" ht="15" customHeight="1" x14ac:dyDescent="0.35">
      <c r="A435">
        <v>7547676</v>
      </c>
      <c r="B435">
        <v>690929</v>
      </c>
      <c r="C435" t="s">
        <v>34</v>
      </c>
      <c r="D435" t="s">
        <v>35</v>
      </c>
      <c r="E435" s="6" t="s">
        <v>34</v>
      </c>
      <c r="F435" t="s">
        <v>1399</v>
      </c>
      <c r="G435" t="s">
        <v>37</v>
      </c>
      <c r="H435" t="s">
        <v>38</v>
      </c>
      <c r="I435" t="s">
        <v>1400</v>
      </c>
      <c r="J435" t="s">
        <v>40</v>
      </c>
      <c r="K435">
        <v>2</v>
      </c>
      <c r="L435" t="s">
        <v>41</v>
      </c>
      <c r="M435" t="s">
        <v>42</v>
      </c>
      <c r="N435" t="s">
        <v>43</v>
      </c>
      <c r="O435" s="7">
        <v>1</v>
      </c>
      <c r="P435" s="8">
        <v>45351.570613425924</v>
      </c>
      <c r="Q435" s="9">
        <v>45352</v>
      </c>
      <c r="R435" t="s">
        <v>44</v>
      </c>
      <c r="S435" t="s">
        <v>45</v>
      </c>
      <c r="T435" t="s">
        <v>46</v>
      </c>
      <c r="U435" t="s">
        <v>67</v>
      </c>
      <c r="V435" t="s">
        <v>1401</v>
      </c>
      <c r="W435">
        <v>52200</v>
      </c>
      <c r="X435" t="s">
        <v>45</v>
      </c>
      <c r="Y435" t="s">
        <v>275</v>
      </c>
      <c r="Z435" t="s">
        <v>50</v>
      </c>
      <c r="AA435" s="10">
        <f>IF(O435&lt;=1,7,7+0.8*ROUNDUP(O435-1,0))</f>
        <v>7</v>
      </c>
      <c r="AB435" s="11">
        <v>0</v>
      </c>
      <c r="AC435" s="11">
        <v>0</v>
      </c>
      <c r="AD435" s="11">
        <v>0</v>
      </c>
      <c r="AE435" s="11">
        <v>0</v>
      </c>
      <c r="AF435" s="11">
        <f t="shared" si="18"/>
        <v>0.42</v>
      </c>
      <c r="AG435" s="11">
        <f t="shared" si="19"/>
        <v>7.42</v>
      </c>
      <c r="AH435" t="s">
        <v>51</v>
      </c>
    </row>
    <row r="436" spans="1:34" ht="15" customHeight="1" x14ac:dyDescent="0.35">
      <c r="A436">
        <v>7547676</v>
      </c>
      <c r="B436">
        <v>690929</v>
      </c>
      <c r="C436" t="s">
        <v>34</v>
      </c>
      <c r="D436" t="s">
        <v>35</v>
      </c>
      <c r="E436" s="6" t="s">
        <v>34</v>
      </c>
      <c r="F436" t="s">
        <v>1402</v>
      </c>
      <c r="G436" t="s">
        <v>37</v>
      </c>
      <c r="H436" t="s">
        <v>38</v>
      </c>
      <c r="I436" t="s">
        <v>1403</v>
      </c>
      <c r="J436" t="s">
        <v>40</v>
      </c>
      <c r="K436">
        <v>2</v>
      </c>
      <c r="L436" t="s">
        <v>41</v>
      </c>
      <c r="M436" t="s">
        <v>42</v>
      </c>
      <c r="N436" t="s">
        <v>43</v>
      </c>
      <c r="O436" s="7">
        <v>2</v>
      </c>
      <c r="P436" s="8">
        <v>45350.67800925926</v>
      </c>
      <c r="Q436" s="9">
        <v>45352</v>
      </c>
      <c r="R436" t="s">
        <v>44</v>
      </c>
      <c r="S436" t="s">
        <v>45</v>
      </c>
      <c r="T436" t="s">
        <v>46</v>
      </c>
      <c r="U436" t="s">
        <v>278</v>
      </c>
      <c r="V436" t="s">
        <v>1404</v>
      </c>
      <c r="W436">
        <v>11900</v>
      </c>
      <c r="X436" t="s">
        <v>45</v>
      </c>
      <c r="Y436" t="s">
        <v>342</v>
      </c>
      <c r="Z436" t="s">
        <v>50</v>
      </c>
      <c r="AA436" s="10">
        <f>IF(O436&lt;=1,7,7+0.8*ROUNDUP(O436-1,0))</f>
        <v>7.8</v>
      </c>
      <c r="AB436" s="11">
        <v>0</v>
      </c>
      <c r="AC436" s="11">
        <v>0</v>
      </c>
      <c r="AD436" s="11">
        <v>0</v>
      </c>
      <c r="AE436" s="11">
        <v>0</v>
      </c>
      <c r="AF436" s="11">
        <f t="shared" si="18"/>
        <v>0.46799999999999997</v>
      </c>
      <c r="AG436" s="11">
        <f t="shared" si="19"/>
        <v>8.2680000000000007</v>
      </c>
      <c r="AH436" t="s">
        <v>51</v>
      </c>
    </row>
    <row r="437" spans="1:34" ht="15" customHeight="1" x14ac:dyDescent="0.35">
      <c r="A437">
        <v>7547676</v>
      </c>
      <c r="B437">
        <v>690929</v>
      </c>
      <c r="C437" t="s">
        <v>34</v>
      </c>
      <c r="D437" t="s">
        <v>35</v>
      </c>
      <c r="E437" s="6" t="s">
        <v>34</v>
      </c>
      <c r="F437" t="s">
        <v>1405</v>
      </c>
      <c r="G437" t="s">
        <v>37</v>
      </c>
      <c r="H437" t="s">
        <v>38</v>
      </c>
      <c r="I437" t="s">
        <v>1406</v>
      </c>
      <c r="J437" t="s">
        <v>40</v>
      </c>
      <c r="K437">
        <v>2</v>
      </c>
      <c r="L437" t="s">
        <v>41</v>
      </c>
      <c r="M437" t="s">
        <v>42</v>
      </c>
      <c r="N437" t="s">
        <v>43</v>
      </c>
      <c r="O437" s="7">
        <v>2</v>
      </c>
      <c r="P437" s="8">
        <v>45351.734884259262</v>
      </c>
      <c r="Q437" s="9">
        <v>45352</v>
      </c>
      <c r="R437" t="s">
        <v>44</v>
      </c>
      <c r="S437" t="s">
        <v>45</v>
      </c>
      <c r="T437" t="s">
        <v>46</v>
      </c>
      <c r="U437" t="s">
        <v>54</v>
      </c>
      <c r="V437" t="s">
        <v>1407</v>
      </c>
      <c r="W437">
        <v>47830</v>
      </c>
      <c r="X437" t="s">
        <v>45</v>
      </c>
      <c r="Y437" t="s">
        <v>1408</v>
      </c>
      <c r="Z437" t="s">
        <v>50</v>
      </c>
      <c r="AA437" s="10">
        <f>IF(O437&lt;=1,7,7+0.8*ROUNDUP(O437-1,0))</f>
        <v>7.8</v>
      </c>
      <c r="AB437" s="11">
        <v>0</v>
      </c>
      <c r="AC437" s="11">
        <v>0</v>
      </c>
      <c r="AD437" s="11">
        <v>0</v>
      </c>
      <c r="AE437" s="11">
        <v>0</v>
      </c>
      <c r="AF437" s="11">
        <f t="shared" si="18"/>
        <v>0.46799999999999997</v>
      </c>
      <c r="AG437" s="11">
        <f t="shared" si="19"/>
        <v>8.2680000000000007</v>
      </c>
      <c r="AH437" t="s">
        <v>51</v>
      </c>
    </row>
    <row r="438" spans="1:34" ht="15" customHeight="1" x14ac:dyDescent="0.35">
      <c r="A438">
        <v>7547676</v>
      </c>
      <c r="B438">
        <v>690929</v>
      </c>
      <c r="C438" t="s">
        <v>34</v>
      </c>
      <c r="D438" t="s">
        <v>35</v>
      </c>
      <c r="E438" s="6" t="s">
        <v>34</v>
      </c>
      <c r="F438" t="s">
        <v>1409</v>
      </c>
      <c r="G438" t="s">
        <v>37</v>
      </c>
      <c r="H438" t="s">
        <v>38</v>
      </c>
      <c r="I438" t="s">
        <v>1410</v>
      </c>
      <c r="J438" t="s">
        <v>40</v>
      </c>
      <c r="K438">
        <v>2</v>
      </c>
      <c r="L438" t="s">
        <v>41</v>
      </c>
      <c r="M438" t="s">
        <v>42</v>
      </c>
      <c r="N438" t="s">
        <v>43</v>
      </c>
      <c r="O438" s="7">
        <v>5</v>
      </c>
      <c r="P438" s="8">
        <v>45351.672395833331</v>
      </c>
      <c r="Q438" s="9">
        <v>45352</v>
      </c>
      <c r="R438" t="s">
        <v>44</v>
      </c>
      <c r="S438" t="s">
        <v>45</v>
      </c>
      <c r="T438" t="s">
        <v>46</v>
      </c>
      <c r="U438" t="s">
        <v>47</v>
      </c>
      <c r="V438" t="s">
        <v>1411</v>
      </c>
      <c r="W438">
        <v>22100</v>
      </c>
      <c r="X438" t="s">
        <v>45</v>
      </c>
      <c r="Y438" t="s">
        <v>358</v>
      </c>
      <c r="Z438" t="s">
        <v>50</v>
      </c>
      <c r="AA438" s="10">
        <f>IF(O438&lt;=1,7,7+0.8*ROUNDUP(O438-1,0))</f>
        <v>10.199999999999999</v>
      </c>
      <c r="AB438" s="11">
        <v>0</v>
      </c>
      <c r="AC438" s="11">
        <v>0</v>
      </c>
      <c r="AD438" s="11">
        <v>0</v>
      </c>
      <c r="AE438" s="11">
        <v>0</v>
      </c>
      <c r="AF438" s="11">
        <f t="shared" si="18"/>
        <v>0.61199999999999999</v>
      </c>
      <c r="AG438" s="11">
        <f t="shared" si="19"/>
        <v>10.811999999999999</v>
      </c>
      <c r="AH438" t="s">
        <v>51</v>
      </c>
    </row>
    <row r="439" spans="1:34" ht="15" customHeight="1" x14ac:dyDescent="0.35">
      <c r="A439">
        <v>7547676</v>
      </c>
      <c r="B439">
        <v>690929</v>
      </c>
      <c r="C439" t="s">
        <v>34</v>
      </c>
      <c r="D439" t="s">
        <v>35</v>
      </c>
      <c r="E439" s="6" t="s">
        <v>34</v>
      </c>
      <c r="F439" t="s">
        <v>1412</v>
      </c>
      <c r="G439" t="s">
        <v>37</v>
      </c>
      <c r="H439" t="s">
        <v>38</v>
      </c>
      <c r="I439" t="s">
        <v>1413</v>
      </c>
      <c r="J439" t="s">
        <v>40</v>
      </c>
      <c r="K439">
        <v>2</v>
      </c>
      <c r="L439" t="s">
        <v>41</v>
      </c>
      <c r="M439" t="s">
        <v>42</v>
      </c>
      <c r="N439" t="s">
        <v>43</v>
      </c>
      <c r="O439" s="7">
        <v>2</v>
      </c>
      <c r="P439" s="8">
        <v>45351.585370370369</v>
      </c>
      <c r="Q439" s="9">
        <v>45353</v>
      </c>
      <c r="R439" t="s">
        <v>44</v>
      </c>
      <c r="S439" t="s">
        <v>45</v>
      </c>
      <c r="T439" t="s">
        <v>46</v>
      </c>
      <c r="U439" t="s">
        <v>82</v>
      </c>
      <c r="V439" t="s">
        <v>1414</v>
      </c>
      <c r="W439">
        <v>86810</v>
      </c>
      <c r="X439" t="s">
        <v>45</v>
      </c>
      <c r="Y439" t="s">
        <v>79</v>
      </c>
      <c r="Z439" t="s">
        <v>50</v>
      </c>
      <c r="AA439" s="10">
        <f>IF(O439&lt;=1,7,7+0.8*ROUNDUP(O439-1,0))</f>
        <v>7.8</v>
      </c>
      <c r="AB439" s="11">
        <v>0</v>
      </c>
      <c r="AC439" s="11">
        <v>0</v>
      </c>
      <c r="AD439" s="11">
        <v>0</v>
      </c>
      <c r="AE439" s="11">
        <v>0</v>
      </c>
      <c r="AF439" s="11">
        <f t="shared" si="18"/>
        <v>0.46799999999999997</v>
      </c>
      <c r="AG439" s="11">
        <f t="shared" si="19"/>
        <v>8.2680000000000007</v>
      </c>
      <c r="AH439" t="s">
        <v>51</v>
      </c>
    </row>
    <row r="440" spans="1:34" ht="15" customHeight="1" x14ac:dyDescent="0.35">
      <c r="A440">
        <v>7547676</v>
      </c>
      <c r="B440">
        <v>690929</v>
      </c>
      <c r="C440" t="s">
        <v>34</v>
      </c>
      <c r="D440" t="s">
        <v>35</v>
      </c>
      <c r="E440" s="6" t="s">
        <v>34</v>
      </c>
      <c r="F440" t="s">
        <v>1415</v>
      </c>
      <c r="G440" t="s">
        <v>37</v>
      </c>
      <c r="H440" t="s">
        <v>38</v>
      </c>
      <c r="I440" t="s">
        <v>1416</v>
      </c>
      <c r="J440" t="s">
        <v>40</v>
      </c>
      <c r="K440">
        <v>2</v>
      </c>
      <c r="L440" t="s">
        <v>41</v>
      </c>
      <c r="M440" t="s">
        <v>42</v>
      </c>
      <c r="N440" t="s">
        <v>43</v>
      </c>
      <c r="O440" s="7">
        <v>8</v>
      </c>
      <c r="P440" s="8">
        <v>45350.616643518515</v>
      </c>
      <c r="Q440" s="9">
        <v>45353</v>
      </c>
      <c r="R440" t="s">
        <v>44</v>
      </c>
      <c r="S440" t="s">
        <v>45</v>
      </c>
      <c r="T440" t="s">
        <v>46</v>
      </c>
      <c r="U440" t="s">
        <v>82</v>
      </c>
      <c r="V440" t="s">
        <v>1417</v>
      </c>
      <c r="W440">
        <v>81000</v>
      </c>
      <c r="X440" t="s">
        <v>45</v>
      </c>
      <c r="Y440" t="s">
        <v>970</v>
      </c>
      <c r="Z440" t="s">
        <v>50</v>
      </c>
      <c r="AA440" s="10">
        <f>IF(O440&lt;=1,7,7+0.8*ROUNDUP(O440-1,0))</f>
        <v>12.600000000000001</v>
      </c>
      <c r="AB440" s="11">
        <v>0</v>
      </c>
      <c r="AC440" s="11">
        <v>0</v>
      </c>
      <c r="AD440" s="11">
        <v>0</v>
      </c>
      <c r="AE440" s="11">
        <v>0</v>
      </c>
      <c r="AF440" s="11">
        <f t="shared" si="18"/>
        <v>0.75600000000000001</v>
      </c>
      <c r="AG440" s="11">
        <f t="shared" si="19"/>
        <v>13.356000000000002</v>
      </c>
      <c r="AH440" t="s">
        <v>51</v>
      </c>
    </row>
    <row r="441" spans="1:34" ht="15" customHeight="1" x14ac:dyDescent="0.35">
      <c r="A441">
        <v>7547676</v>
      </c>
      <c r="B441">
        <v>690929</v>
      </c>
      <c r="C441" t="s">
        <v>34</v>
      </c>
      <c r="D441" t="s">
        <v>35</v>
      </c>
      <c r="E441" s="6" t="s">
        <v>34</v>
      </c>
      <c r="F441" t="s">
        <v>1418</v>
      </c>
      <c r="G441" t="s">
        <v>37</v>
      </c>
      <c r="H441" t="s">
        <v>38</v>
      </c>
      <c r="I441" t="s">
        <v>1419</v>
      </c>
      <c r="J441" t="s">
        <v>40</v>
      </c>
      <c r="K441">
        <v>2</v>
      </c>
      <c r="L441" t="s">
        <v>41</v>
      </c>
      <c r="M441" t="s">
        <v>42</v>
      </c>
      <c r="N441" t="s">
        <v>43</v>
      </c>
      <c r="O441" s="7">
        <v>1</v>
      </c>
      <c r="P441" s="8">
        <v>45351.696261574078</v>
      </c>
      <c r="Q441" s="9">
        <v>45353</v>
      </c>
      <c r="R441" t="s">
        <v>44</v>
      </c>
      <c r="S441" t="s">
        <v>45</v>
      </c>
      <c r="T441" t="s">
        <v>46</v>
      </c>
      <c r="U441" t="s">
        <v>172</v>
      </c>
      <c r="V441" t="s">
        <v>1420</v>
      </c>
      <c r="W441">
        <v>32100</v>
      </c>
      <c r="X441" t="s">
        <v>45</v>
      </c>
      <c r="Y441" t="s">
        <v>463</v>
      </c>
      <c r="Z441" t="s">
        <v>50</v>
      </c>
      <c r="AA441" s="10">
        <f>IF(O441&lt;=1,7,7+0.8*ROUNDUP(O441-1,0))</f>
        <v>7</v>
      </c>
      <c r="AB441" s="11">
        <v>0</v>
      </c>
      <c r="AC441" s="11">
        <v>0</v>
      </c>
      <c r="AD441" s="11">
        <v>0</v>
      </c>
      <c r="AE441" s="11">
        <v>0</v>
      </c>
      <c r="AF441" s="11">
        <f t="shared" si="18"/>
        <v>0.42</v>
      </c>
      <c r="AG441" s="11">
        <f t="shared" si="19"/>
        <v>7.42</v>
      </c>
      <c r="AH441" t="s">
        <v>51</v>
      </c>
    </row>
    <row r="442" spans="1:34" ht="15" customHeight="1" x14ac:dyDescent="0.35">
      <c r="A442">
        <v>7547676</v>
      </c>
      <c r="B442">
        <v>690929</v>
      </c>
      <c r="C442" t="s">
        <v>34</v>
      </c>
      <c r="D442" t="s">
        <v>35</v>
      </c>
      <c r="E442" s="6" t="s">
        <v>34</v>
      </c>
      <c r="F442" t="s">
        <v>1421</v>
      </c>
      <c r="G442" t="s">
        <v>37</v>
      </c>
      <c r="H442" t="s">
        <v>38</v>
      </c>
      <c r="I442" t="s">
        <v>1422</v>
      </c>
      <c r="J442" t="s">
        <v>40</v>
      </c>
      <c r="K442">
        <v>2</v>
      </c>
      <c r="L442" t="s">
        <v>41</v>
      </c>
      <c r="M442" t="s">
        <v>42</v>
      </c>
      <c r="N442" t="s">
        <v>43</v>
      </c>
      <c r="O442" s="7">
        <v>1</v>
      </c>
      <c r="P442" s="8">
        <v>45349.773460648146</v>
      </c>
      <c r="Q442" s="9">
        <v>45353</v>
      </c>
      <c r="R442" t="s">
        <v>44</v>
      </c>
      <c r="S442" t="s">
        <v>45</v>
      </c>
      <c r="T442" t="s">
        <v>46</v>
      </c>
      <c r="U442" t="s">
        <v>86</v>
      </c>
      <c r="V442" t="s">
        <v>1423</v>
      </c>
      <c r="W442">
        <v>71800</v>
      </c>
      <c r="X442" t="s">
        <v>45</v>
      </c>
      <c r="Y442" t="s">
        <v>79</v>
      </c>
      <c r="Z442" t="s">
        <v>50</v>
      </c>
      <c r="AA442" s="10">
        <f>IF(O442&lt;=1,7,7+0.8*ROUNDUP(O442-1,0))</f>
        <v>7</v>
      </c>
      <c r="AB442" s="11">
        <v>0</v>
      </c>
      <c r="AC442" s="11">
        <v>0</v>
      </c>
      <c r="AD442" s="11">
        <v>0</v>
      </c>
      <c r="AE442" s="11">
        <v>0</v>
      </c>
      <c r="AF442" s="11">
        <f t="shared" si="18"/>
        <v>0.42</v>
      </c>
      <c r="AG442" s="11">
        <f t="shared" si="19"/>
        <v>7.42</v>
      </c>
      <c r="AH442" t="s">
        <v>51</v>
      </c>
    </row>
    <row r="443" spans="1:34" ht="15" customHeight="1" x14ac:dyDescent="0.35">
      <c r="A443">
        <v>7547676</v>
      </c>
      <c r="B443">
        <v>690929</v>
      </c>
      <c r="C443" t="s">
        <v>34</v>
      </c>
      <c r="D443" t="s">
        <v>35</v>
      </c>
      <c r="E443" s="6" t="s">
        <v>34</v>
      </c>
      <c r="F443" t="s">
        <v>1424</v>
      </c>
      <c r="G443" t="s">
        <v>37</v>
      </c>
      <c r="H443" t="s">
        <v>38</v>
      </c>
      <c r="I443" t="s">
        <v>1425</v>
      </c>
      <c r="J443" t="s">
        <v>40</v>
      </c>
      <c r="K443">
        <v>2</v>
      </c>
      <c r="L443" t="s">
        <v>41</v>
      </c>
      <c r="M443" t="s">
        <v>42</v>
      </c>
      <c r="N443" t="s">
        <v>43</v>
      </c>
      <c r="O443" s="7">
        <v>1</v>
      </c>
      <c r="P443" s="8">
        <v>45351.863032407404</v>
      </c>
      <c r="Q443" s="9">
        <v>45353</v>
      </c>
      <c r="R443" t="s">
        <v>287</v>
      </c>
      <c r="S443" t="s">
        <v>45</v>
      </c>
      <c r="T443" t="s">
        <v>46</v>
      </c>
      <c r="U443" t="s">
        <v>54</v>
      </c>
      <c r="V443" t="s">
        <v>1426</v>
      </c>
      <c r="W443">
        <v>42200</v>
      </c>
      <c r="X443" t="s">
        <v>45</v>
      </c>
      <c r="Y443" t="s">
        <v>1427</v>
      </c>
      <c r="Z443" t="s">
        <v>50</v>
      </c>
      <c r="AA443" s="10">
        <f>IF(O443&lt;=1,7,7+0.8*ROUNDUP(O443-1,0))</f>
        <v>7</v>
      </c>
      <c r="AB443" s="11">
        <v>0</v>
      </c>
      <c r="AC443" s="11">
        <v>0</v>
      </c>
      <c r="AD443" s="11">
        <v>0</v>
      </c>
      <c r="AE443" s="11">
        <v>0</v>
      </c>
      <c r="AF443" s="11">
        <f t="shared" si="18"/>
        <v>0.42</v>
      </c>
      <c r="AG443" s="11">
        <f t="shared" si="19"/>
        <v>7.42</v>
      </c>
      <c r="AH443" t="s">
        <v>51</v>
      </c>
    </row>
    <row r="444" spans="1:34" ht="15" customHeight="1" x14ac:dyDescent="0.35">
      <c r="A444">
        <v>7547676</v>
      </c>
      <c r="B444">
        <v>690929</v>
      </c>
      <c r="C444" t="s">
        <v>34</v>
      </c>
      <c r="D444" t="s">
        <v>35</v>
      </c>
      <c r="E444" s="6" t="s">
        <v>34</v>
      </c>
      <c r="F444" t="s">
        <v>1428</v>
      </c>
      <c r="G444" t="s">
        <v>37</v>
      </c>
      <c r="H444" t="s">
        <v>38</v>
      </c>
      <c r="I444" t="s">
        <v>1429</v>
      </c>
      <c r="J444" t="s">
        <v>40</v>
      </c>
      <c r="K444">
        <v>2</v>
      </c>
      <c r="L444" t="s">
        <v>41</v>
      </c>
      <c r="M444" t="s">
        <v>42</v>
      </c>
      <c r="N444" t="s">
        <v>43</v>
      </c>
      <c r="O444" s="7">
        <v>1</v>
      </c>
      <c r="P444" s="8">
        <v>45351.582094907404</v>
      </c>
      <c r="Q444" s="9">
        <v>45353</v>
      </c>
      <c r="R444" t="s">
        <v>44</v>
      </c>
      <c r="S444" t="s">
        <v>45</v>
      </c>
      <c r="T444" t="s">
        <v>46</v>
      </c>
      <c r="U444" t="s">
        <v>278</v>
      </c>
      <c r="V444" t="s">
        <v>1430</v>
      </c>
      <c r="W444">
        <v>11700</v>
      </c>
      <c r="X444" t="s">
        <v>45</v>
      </c>
      <c r="Y444" t="s">
        <v>1431</v>
      </c>
      <c r="Z444" t="s">
        <v>50</v>
      </c>
      <c r="AA444" s="10">
        <f>IF(O444&lt;=1,7,7+0.8*ROUNDUP(O444-1,0))</f>
        <v>7</v>
      </c>
      <c r="AB444" s="11">
        <v>0</v>
      </c>
      <c r="AC444" s="11">
        <v>0</v>
      </c>
      <c r="AD444" s="11">
        <v>0</v>
      </c>
      <c r="AE444" s="11">
        <v>0</v>
      </c>
      <c r="AF444" s="11">
        <f t="shared" si="18"/>
        <v>0.42</v>
      </c>
      <c r="AG444" s="11">
        <f t="shared" si="19"/>
        <v>7.42</v>
      </c>
      <c r="AH444" t="s">
        <v>51</v>
      </c>
    </row>
    <row r="445" spans="1:34" ht="15" customHeight="1" x14ac:dyDescent="0.35">
      <c r="A445">
        <v>7547676</v>
      </c>
      <c r="B445">
        <v>690929</v>
      </c>
      <c r="C445" t="s">
        <v>34</v>
      </c>
      <c r="D445" t="s">
        <v>35</v>
      </c>
      <c r="E445" s="6" t="s">
        <v>34</v>
      </c>
      <c r="F445" t="s">
        <v>1432</v>
      </c>
      <c r="G445" t="s">
        <v>37</v>
      </c>
      <c r="H445" t="s">
        <v>38</v>
      </c>
      <c r="I445" t="s">
        <v>1433</v>
      </c>
      <c r="J445" t="s">
        <v>40</v>
      </c>
      <c r="K445">
        <v>2</v>
      </c>
      <c r="L445" t="s">
        <v>41</v>
      </c>
      <c r="M445" t="s">
        <v>42</v>
      </c>
      <c r="N445" t="s">
        <v>43</v>
      </c>
      <c r="O445" s="7">
        <v>5</v>
      </c>
      <c r="P445" s="8">
        <v>45350.758449074077</v>
      </c>
      <c r="Q445" s="9">
        <v>45353</v>
      </c>
      <c r="R445" t="s">
        <v>44</v>
      </c>
      <c r="S445" t="s">
        <v>45</v>
      </c>
      <c r="T445" t="s">
        <v>46</v>
      </c>
      <c r="U445" t="s">
        <v>67</v>
      </c>
      <c r="V445" t="s">
        <v>1434</v>
      </c>
      <c r="W445">
        <v>60000</v>
      </c>
      <c r="X445" t="s">
        <v>45</v>
      </c>
      <c r="Y445" t="s">
        <v>1435</v>
      </c>
      <c r="Z445" t="s">
        <v>50</v>
      </c>
      <c r="AA445" s="10">
        <f>IF(O445&lt;=1,7,7+0.8*ROUNDUP(O445-1,0))</f>
        <v>10.199999999999999</v>
      </c>
      <c r="AB445" s="11">
        <v>0</v>
      </c>
      <c r="AC445" s="11">
        <v>0</v>
      </c>
      <c r="AD445" s="11">
        <v>0</v>
      </c>
      <c r="AE445" s="11">
        <v>0</v>
      </c>
      <c r="AF445" s="11">
        <f t="shared" si="18"/>
        <v>0.61199999999999999</v>
      </c>
      <c r="AG445" s="11">
        <f t="shared" si="19"/>
        <v>10.811999999999999</v>
      </c>
      <c r="AH445" t="s">
        <v>51</v>
      </c>
    </row>
    <row r="446" spans="1:34" ht="15" customHeight="1" x14ac:dyDescent="0.35">
      <c r="A446">
        <v>7547676</v>
      </c>
      <c r="B446">
        <v>690929</v>
      </c>
      <c r="C446" t="s">
        <v>34</v>
      </c>
      <c r="D446" t="s">
        <v>35</v>
      </c>
      <c r="E446" s="6" t="s">
        <v>34</v>
      </c>
      <c r="F446" t="s">
        <v>1436</v>
      </c>
      <c r="G446" t="s">
        <v>37</v>
      </c>
      <c r="H446" t="s">
        <v>38</v>
      </c>
      <c r="I446" t="s">
        <v>1437</v>
      </c>
      <c r="J446" t="s">
        <v>40</v>
      </c>
      <c r="K446">
        <v>2</v>
      </c>
      <c r="L446" t="s">
        <v>41</v>
      </c>
      <c r="M446" t="s">
        <v>42</v>
      </c>
      <c r="N446" t="s">
        <v>43</v>
      </c>
      <c r="O446" s="7">
        <v>3</v>
      </c>
      <c r="P446" s="8">
        <v>45351.557349537034</v>
      </c>
      <c r="Q446" s="9">
        <v>45353</v>
      </c>
      <c r="R446" t="s">
        <v>44</v>
      </c>
      <c r="S446" t="s">
        <v>45</v>
      </c>
      <c r="T446" t="s">
        <v>46</v>
      </c>
      <c r="U446" t="s">
        <v>278</v>
      </c>
      <c r="V446" t="s">
        <v>1438</v>
      </c>
      <c r="W446">
        <v>13100</v>
      </c>
      <c r="X446" t="s">
        <v>45</v>
      </c>
      <c r="Y446" t="s">
        <v>280</v>
      </c>
      <c r="Z446" t="s">
        <v>50</v>
      </c>
      <c r="AA446" s="10">
        <f>IF(O446&lt;=1,7,7+0.8*ROUNDUP(O446-1,0))</f>
        <v>8.6</v>
      </c>
      <c r="AB446" s="11">
        <v>0</v>
      </c>
      <c r="AC446" s="11">
        <v>0</v>
      </c>
      <c r="AD446" s="11">
        <v>0</v>
      </c>
      <c r="AE446" s="11">
        <v>0</v>
      </c>
      <c r="AF446" s="11">
        <f t="shared" si="18"/>
        <v>0.51600000000000001</v>
      </c>
      <c r="AG446" s="11">
        <f t="shared" si="19"/>
        <v>9.1159999999999997</v>
      </c>
      <c r="AH446" t="s">
        <v>51</v>
      </c>
    </row>
    <row r="447" spans="1:34" ht="15" customHeight="1" x14ac:dyDescent="0.35">
      <c r="A447">
        <v>7547676</v>
      </c>
      <c r="B447">
        <v>690929</v>
      </c>
      <c r="C447" t="s">
        <v>34</v>
      </c>
      <c r="D447" t="s">
        <v>35</v>
      </c>
      <c r="E447" s="6" t="s">
        <v>34</v>
      </c>
      <c r="F447" t="s">
        <v>1439</v>
      </c>
      <c r="G447" t="s">
        <v>37</v>
      </c>
      <c r="H447" t="s">
        <v>38</v>
      </c>
      <c r="I447" t="s">
        <v>1440</v>
      </c>
      <c r="J447" t="s">
        <v>40</v>
      </c>
      <c r="K447">
        <v>2</v>
      </c>
      <c r="L447" t="s">
        <v>41</v>
      </c>
      <c r="M447" t="s">
        <v>42</v>
      </c>
      <c r="N447" t="s">
        <v>43</v>
      </c>
      <c r="O447" s="7">
        <v>2</v>
      </c>
      <c r="P447" s="8">
        <v>45350.753761574073</v>
      </c>
      <c r="Q447" s="9">
        <v>45353</v>
      </c>
      <c r="R447" t="s">
        <v>44</v>
      </c>
      <c r="S447" t="s">
        <v>45</v>
      </c>
      <c r="T447" t="s">
        <v>46</v>
      </c>
      <c r="U447" t="s">
        <v>86</v>
      </c>
      <c r="V447" t="s">
        <v>1441</v>
      </c>
      <c r="W447">
        <v>70300</v>
      </c>
      <c r="X447" t="s">
        <v>45</v>
      </c>
      <c r="Y447" t="s">
        <v>79</v>
      </c>
      <c r="Z447" t="s">
        <v>50</v>
      </c>
      <c r="AA447" s="10">
        <f>IF(O447&lt;=1,7,7+0.8*ROUNDUP(O447-1,0))</f>
        <v>7.8</v>
      </c>
      <c r="AB447" s="11">
        <v>0</v>
      </c>
      <c r="AC447" s="11">
        <v>0</v>
      </c>
      <c r="AD447" s="11">
        <v>0</v>
      </c>
      <c r="AE447" s="11">
        <v>0</v>
      </c>
      <c r="AF447" s="11">
        <f t="shared" si="18"/>
        <v>0.46799999999999997</v>
      </c>
      <c r="AG447" s="11">
        <f t="shared" si="19"/>
        <v>8.2680000000000007</v>
      </c>
      <c r="AH447" t="s">
        <v>51</v>
      </c>
    </row>
    <row r="448" spans="1:34" ht="15" customHeight="1" x14ac:dyDescent="0.35">
      <c r="A448">
        <v>7547676</v>
      </c>
      <c r="B448">
        <v>690929</v>
      </c>
      <c r="C448" t="s">
        <v>34</v>
      </c>
      <c r="D448" t="s">
        <v>35</v>
      </c>
      <c r="E448" s="6" t="s">
        <v>34</v>
      </c>
      <c r="F448" t="s">
        <v>1442</v>
      </c>
      <c r="G448" t="s">
        <v>37</v>
      </c>
      <c r="H448" t="s">
        <v>38</v>
      </c>
      <c r="I448" t="s">
        <v>1443</v>
      </c>
      <c r="J448" t="s">
        <v>40</v>
      </c>
      <c r="K448">
        <v>2</v>
      </c>
      <c r="L448" t="s">
        <v>41</v>
      </c>
      <c r="M448" t="s">
        <v>42</v>
      </c>
      <c r="N448" t="s">
        <v>43</v>
      </c>
      <c r="O448" s="7">
        <v>1</v>
      </c>
      <c r="P448" s="8">
        <v>45375.487129629626</v>
      </c>
      <c r="Q448" s="9">
        <v>45377</v>
      </c>
      <c r="R448" t="s">
        <v>44</v>
      </c>
      <c r="S448" t="s">
        <v>45</v>
      </c>
      <c r="T448" t="s">
        <v>46</v>
      </c>
      <c r="U448" t="s">
        <v>172</v>
      </c>
      <c r="V448" t="s">
        <v>1444</v>
      </c>
      <c r="W448">
        <v>34900</v>
      </c>
      <c r="X448" t="s">
        <v>45</v>
      </c>
      <c r="Y448" t="s">
        <v>174</v>
      </c>
      <c r="Z448" t="s">
        <v>50</v>
      </c>
      <c r="AA448" s="10">
        <f>IF(O448&lt;=1,7,7+0.8*ROUNDUP(O448-1,0))</f>
        <v>7</v>
      </c>
      <c r="AB448" s="11">
        <v>0</v>
      </c>
      <c r="AC448" s="11">
        <v>0</v>
      </c>
      <c r="AD448" s="11">
        <v>0</v>
      </c>
      <c r="AE448" s="11">
        <v>0</v>
      </c>
      <c r="AF448" s="11">
        <f t="shared" si="18"/>
        <v>0.42</v>
      </c>
      <c r="AG448" s="11">
        <f t="shared" si="19"/>
        <v>7.42</v>
      </c>
      <c r="AH448" t="s">
        <v>51</v>
      </c>
    </row>
    <row r="449" spans="1:34" ht="15" customHeight="1" x14ac:dyDescent="0.35">
      <c r="A449">
        <v>7547676</v>
      </c>
      <c r="B449">
        <v>690929</v>
      </c>
      <c r="C449" t="s">
        <v>34</v>
      </c>
      <c r="D449" t="s">
        <v>35</v>
      </c>
      <c r="E449" s="6" t="s">
        <v>34</v>
      </c>
      <c r="F449" t="s">
        <v>1445</v>
      </c>
      <c r="G449" t="s">
        <v>37</v>
      </c>
      <c r="H449" t="s">
        <v>38</v>
      </c>
      <c r="I449" t="s">
        <v>1446</v>
      </c>
      <c r="J449" t="s">
        <v>40</v>
      </c>
      <c r="K449">
        <v>2</v>
      </c>
      <c r="L449" t="s">
        <v>41</v>
      </c>
      <c r="M449" t="s">
        <v>42</v>
      </c>
      <c r="N449" t="s">
        <v>43</v>
      </c>
      <c r="O449" s="7">
        <v>1</v>
      </c>
      <c r="P449" s="8">
        <v>45376.656944444447</v>
      </c>
      <c r="Q449" s="9">
        <v>45378</v>
      </c>
      <c r="R449" t="s">
        <v>789</v>
      </c>
      <c r="S449" t="s">
        <v>45</v>
      </c>
      <c r="T449" t="s">
        <v>46</v>
      </c>
      <c r="U449" t="s">
        <v>67</v>
      </c>
      <c r="V449" t="s">
        <v>1447</v>
      </c>
      <c r="W449">
        <v>57000</v>
      </c>
      <c r="X449" t="s">
        <v>45</v>
      </c>
      <c r="Y449" t="s">
        <v>1448</v>
      </c>
      <c r="Z449" t="s">
        <v>50</v>
      </c>
      <c r="AA449" s="10">
        <f>IF(O449&lt;=1,7,7+0.8*ROUNDUP(O449-1,0))</f>
        <v>7</v>
      </c>
      <c r="AB449" s="11">
        <v>0</v>
      </c>
      <c r="AC449" s="11">
        <v>0</v>
      </c>
      <c r="AD449" s="11">
        <v>0</v>
      </c>
      <c r="AE449" s="11">
        <v>0</v>
      </c>
      <c r="AF449" s="11">
        <f t="shared" si="18"/>
        <v>0.42</v>
      </c>
      <c r="AG449" s="11">
        <f t="shared" si="19"/>
        <v>7.42</v>
      </c>
      <c r="AH449" t="s">
        <v>51</v>
      </c>
    </row>
    <row r="450" spans="1:34" ht="15" customHeight="1" x14ac:dyDescent="0.35">
      <c r="A450">
        <v>7547676</v>
      </c>
      <c r="B450">
        <v>690929</v>
      </c>
      <c r="C450" t="s">
        <v>34</v>
      </c>
      <c r="D450" t="s">
        <v>35</v>
      </c>
      <c r="E450" s="6" t="s">
        <v>34</v>
      </c>
      <c r="F450" t="s">
        <v>1449</v>
      </c>
      <c r="G450" t="s">
        <v>37</v>
      </c>
      <c r="H450" t="s">
        <v>38</v>
      </c>
      <c r="I450" t="s">
        <v>1450</v>
      </c>
      <c r="J450" t="s">
        <v>40</v>
      </c>
      <c r="K450">
        <v>2</v>
      </c>
      <c r="L450" t="s">
        <v>41</v>
      </c>
      <c r="M450" t="s">
        <v>42</v>
      </c>
      <c r="N450" t="s">
        <v>43</v>
      </c>
      <c r="O450" s="7">
        <v>1</v>
      </c>
      <c r="P450" s="8">
        <v>45376.692129629628</v>
      </c>
      <c r="Q450" s="9">
        <v>45378</v>
      </c>
      <c r="R450" t="s">
        <v>789</v>
      </c>
      <c r="S450" t="s">
        <v>45</v>
      </c>
      <c r="T450" t="s">
        <v>46</v>
      </c>
      <c r="U450" t="s">
        <v>190</v>
      </c>
      <c r="V450" t="s">
        <v>1451</v>
      </c>
      <c r="W450">
        <v>28800</v>
      </c>
      <c r="X450" t="s">
        <v>45</v>
      </c>
      <c r="Y450" t="s">
        <v>1452</v>
      </c>
      <c r="Z450" t="s">
        <v>50</v>
      </c>
      <c r="AA450" s="10">
        <f>IF(O450&lt;=1,7,7+0.8*ROUNDUP(O450-1,0))</f>
        <v>7</v>
      </c>
      <c r="AB450" s="11">
        <v>0</v>
      </c>
      <c r="AC450" s="11">
        <v>0</v>
      </c>
      <c r="AD450" s="11">
        <v>0</v>
      </c>
      <c r="AE450" s="11">
        <v>0</v>
      </c>
      <c r="AF450" s="11">
        <f t="shared" si="18"/>
        <v>0.42</v>
      </c>
      <c r="AG450" s="11">
        <f t="shared" si="19"/>
        <v>7.42</v>
      </c>
      <c r="AH450" t="s">
        <v>51</v>
      </c>
    </row>
    <row r="451" spans="1:34" ht="15" customHeight="1" x14ac:dyDescent="0.35">
      <c r="A451">
        <v>7547676</v>
      </c>
      <c r="B451">
        <v>690929</v>
      </c>
      <c r="C451" t="s">
        <v>34</v>
      </c>
      <c r="D451" t="s">
        <v>35</v>
      </c>
      <c r="E451" s="6" t="s">
        <v>34</v>
      </c>
      <c r="F451" t="s">
        <v>1453</v>
      </c>
      <c r="G451" t="s">
        <v>37</v>
      </c>
      <c r="H451" t="s">
        <v>38</v>
      </c>
      <c r="I451" t="s">
        <v>1454</v>
      </c>
      <c r="J451" t="s">
        <v>40</v>
      </c>
      <c r="K451">
        <v>2</v>
      </c>
      <c r="L451" t="s">
        <v>41</v>
      </c>
      <c r="M451" t="s">
        <v>42</v>
      </c>
      <c r="N451" t="s">
        <v>43</v>
      </c>
      <c r="O451" s="7">
        <v>1</v>
      </c>
      <c r="P451" s="8">
        <v>45376.454456018517</v>
      </c>
      <c r="Q451" s="9">
        <v>45378</v>
      </c>
      <c r="R451" t="s">
        <v>789</v>
      </c>
      <c r="S451" t="s">
        <v>45</v>
      </c>
      <c r="T451" t="s">
        <v>46</v>
      </c>
      <c r="U451" t="s">
        <v>82</v>
      </c>
      <c r="V451" t="s">
        <v>1455</v>
      </c>
      <c r="W451">
        <v>83000</v>
      </c>
      <c r="X451" t="s">
        <v>45</v>
      </c>
      <c r="Y451" t="s">
        <v>79</v>
      </c>
      <c r="Z451" t="s">
        <v>50</v>
      </c>
      <c r="AA451" s="10">
        <f>IF(O451&lt;=1,7,7+0.8*ROUNDUP(O451-1,0))</f>
        <v>7</v>
      </c>
      <c r="AB451" s="11">
        <v>0</v>
      </c>
      <c r="AC451" s="11">
        <v>0</v>
      </c>
      <c r="AD451" s="11">
        <v>0</v>
      </c>
      <c r="AE451" s="11">
        <v>0</v>
      </c>
      <c r="AF451" s="11">
        <f t="shared" si="18"/>
        <v>0.42</v>
      </c>
      <c r="AG451" s="11">
        <f t="shared" si="19"/>
        <v>7.42</v>
      </c>
      <c r="AH451" t="s">
        <v>51</v>
      </c>
    </row>
    <row r="452" spans="1:34" ht="15" customHeight="1" x14ac:dyDescent="0.35">
      <c r="A452">
        <v>7547676</v>
      </c>
      <c r="B452">
        <v>690929</v>
      </c>
      <c r="C452" t="s">
        <v>34</v>
      </c>
      <c r="D452" t="s">
        <v>35</v>
      </c>
      <c r="E452" s="6" t="s">
        <v>34</v>
      </c>
      <c r="F452" t="s">
        <v>1456</v>
      </c>
      <c r="G452" t="s">
        <v>37</v>
      </c>
      <c r="H452" t="s">
        <v>38</v>
      </c>
      <c r="I452" t="s">
        <v>1457</v>
      </c>
      <c r="J452" t="s">
        <v>40</v>
      </c>
      <c r="K452">
        <v>2</v>
      </c>
      <c r="L452" t="s">
        <v>41</v>
      </c>
      <c r="M452" t="s">
        <v>42</v>
      </c>
      <c r="N452" t="s">
        <v>43</v>
      </c>
      <c r="O452" s="7">
        <v>3</v>
      </c>
      <c r="P452" s="8">
        <v>45376.611377314817</v>
      </c>
      <c r="Q452" s="9">
        <v>45378</v>
      </c>
      <c r="R452" t="s">
        <v>44</v>
      </c>
      <c r="S452" t="s">
        <v>45</v>
      </c>
      <c r="T452" t="s">
        <v>46</v>
      </c>
      <c r="U452" t="s">
        <v>172</v>
      </c>
      <c r="V452" t="s">
        <v>1458</v>
      </c>
      <c r="W452">
        <v>31600</v>
      </c>
      <c r="X452" t="s">
        <v>45</v>
      </c>
      <c r="Y452" t="s">
        <v>1005</v>
      </c>
      <c r="Z452" t="s">
        <v>50</v>
      </c>
      <c r="AA452" s="10">
        <f>IF(O452&lt;=1,7,7+0.8*ROUNDUP(O452-1,0))</f>
        <v>8.6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18"/>
        <v>0.51600000000000001</v>
      </c>
      <c r="AG452" s="11">
        <f t="shared" si="19"/>
        <v>9.1159999999999997</v>
      </c>
      <c r="AH452" t="s">
        <v>51</v>
      </c>
    </row>
    <row r="453" spans="1:34" ht="15" customHeight="1" x14ac:dyDescent="0.35">
      <c r="A453">
        <v>7547676</v>
      </c>
      <c r="B453">
        <v>690929</v>
      </c>
      <c r="C453" t="s">
        <v>34</v>
      </c>
      <c r="D453" t="s">
        <v>35</v>
      </c>
      <c r="E453" s="6" t="s">
        <v>34</v>
      </c>
      <c r="F453" t="s">
        <v>1459</v>
      </c>
      <c r="G453" t="s">
        <v>37</v>
      </c>
      <c r="H453" t="s">
        <v>38</v>
      </c>
      <c r="I453" t="s">
        <v>1460</v>
      </c>
      <c r="J453" t="s">
        <v>40</v>
      </c>
      <c r="K453">
        <v>2</v>
      </c>
      <c r="L453" t="s">
        <v>41</v>
      </c>
      <c r="M453" t="s">
        <v>42</v>
      </c>
      <c r="N453" t="s">
        <v>43</v>
      </c>
      <c r="O453" s="7">
        <v>1</v>
      </c>
      <c r="P453" s="8">
        <v>45377.518333333333</v>
      </c>
      <c r="Q453" s="9">
        <v>45378</v>
      </c>
      <c r="R453" t="s">
        <v>44</v>
      </c>
      <c r="S453" t="s">
        <v>45</v>
      </c>
      <c r="T453" t="s">
        <v>46</v>
      </c>
      <c r="U453" t="s">
        <v>190</v>
      </c>
      <c r="V453" t="s">
        <v>1461</v>
      </c>
      <c r="W453">
        <v>26400</v>
      </c>
      <c r="X453" t="s">
        <v>45</v>
      </c>
      <c r="Y453" t="s">
        <v>362</v>
      </c>
      <c r="Z453" t="s">
        <v>50</v>
      </c>
      <c r="AA453" s="10">
        <f>IF(O453&lt;=1,7,7+0.8*ROUNDUP(O453-1,0))</f>
        <v>7</v>
      </c>
      <c r="AB453" s="11">
        <v>0</v>
      </c>
      <c r="AC453" s="11">
        <v>0</v>
      </c>
      <c r="AD453" s="11">
        <v>0</v>
      </c>
      <c r="AE453" s="11">
        <v>0</v>
      </c>
      <c r="AF453" s="11">
        <f t="shared" si="18"/>
        <v>0.42</v>
      </c>
      <c r="AG453" s="11">
        <f t="shared" si="19"/>
        <v>7.42</v>
      </c>
      <c r="AH453" t="s">
        <v>51</v>
      </c>
    </row>
    <row r="454" spans="1:34" ht="15" customHeight="1" x14ac:dyDescent="0.35">
      <c r="A454">
        <v>7547676</v>
      </c>
      <c r="B454">
        <v>690929</v>
      </c>
      <c r="C454" t="s">
        <v>34</v>
      </c>
      <c r="D454" t="s">
        <v>35</v>
      </c>
      <c r="E454" s="6" t="s">
        <v>34</v>
      </c>
      <c r="F454" t="s">
        <v>1462</v>
      </c>
      <c r="G454" t="s">
        <v>37</v>
      </c>
      <c r="H454" t="s">
        <v>38</v>
      </c>
      <c r="I454" t="s">
        <v>1463</v>
      </c>
      <c r="J454" t="s">
        <v>40</v>
      </c>
      <c r="K454">
        <v>2</v>
      </c>
      <c r="L454" t="s">
        <v>41</v>
      </c>
      <c r="M454" t="s">
        <v>42</v>
      </c>
      <c r="N454" t="s">
        <v>43</v>
      </c>
      <c r="O454" s="7">
        <v>1</v>
      </c>
      <c r="P454" s="8">
        <v>45376.645960648151</v>
      </c>
      <c r="Q454" s="9">
        <v>45378</v>
      </c>
      <c r="R454" t="s">
        <v>789</v>
      </c>
      <c r="S454" t="s">
        <v>45</v>
      </c>
      <c r="T454" t="s">
        <v>46</v>
      </c>
      <c r="U454" t="s">
        <v>99</v>
      </c>
      <c r="V454" t="s">
        <v>1464</v>
      </c>
      <c r="W454">
        <v>15150</v>
      </c>
      <c r="X454" t="s">
        <v>45</v>
      </c>
      <c r="Y454" t="s">
        <v>859</v>
      </c>
      <c r="Z454" t="s">
        <v>50</v>
      </c>
      <c r="AA454" s="10">
        <f>IF(O454&lt;=1,7,7+0.8*ROUNDUP(O454-1,0))</f>
        <v>7</v>
      </c>
      <c r="AB454" s="11">
        <v>0</v>
      </c>
      <c r="AC454" s="11">
        <v>0</v>
      </c>
      <c r="AD454" s="11">
        <v>0</v>
      </c>
      <c r="AE454" s="11">
        <v>0</v>
      </c>
      <c r="AF454" s="11">
        <f t="shared" si="18"/>
        <v>0.42</v>
      </c>
      <c r="AG454" s="11">
        <f t="shared" si="19"/>
        <v>7.42</v>
      </c>
      <c r="AH454" t="s">
        <v>51</v>
      </c>
    </row>
    <row r="455" spans="1:34" ht="15" customHeight="1" x14ac:dyDescent="0.35">
      <c r="A455">
        <v>7547676</v>
      </c>
      <c r="B455">
        <v>690929</v>
      </c>
      <c r="C455" t="s">
        <v>34</v>
      </c>
      <c r="D455" t="s">
        <v>35</v>
      </c>
      <c r="E455" s="6" t="s">
        <v>34</v>
      </c>
      <c r="F455" t="s">
        <v>1465</v>
      </c>
      <c r="G455" t="s">
        <v>37</v>
      </c>
      <c r="H455" t="s">
        <v>38</v>
      </c>
      <c r="I455" t="s">
        <v>518</v>
      </c>
      <c r="J455" t="s">
        <v>40</v>
      </c>
      <c r="K455">
        <v>2</v>
      </c>
      <c r="L455" t="s">
        <v>41</v>
      </c>
      <c r="M455" t="s">
        <v>42</v>
      </c>
      <c r="N455" t="s">
        <v>43</v>
      </c>
      <c r="O455" s="7">
        <v>2</v>
      </c>
      <c r="P455" s="8">
        <v>45377.526701388888</v>
      </c>
      <c r="Q455" s="9">
        <v>45378</v>
      </c>
      <c r="R455" t="s">
        <v>44</v>
      </c>
      <c r="S455" t="s">
        <v>45</v>
      </c>
      <c r="T455" t="s">
        <v>46</v>
      </c>
      <c r="U455" t="s">
        <v>99</v>
      </c>
      <c r="V455" t="s">
        <v>519</v>
      </c>
      <c r="W455">
        <v>16810</v>
      </c>
      <c r="X455" t="s">
        <v>45</v>
      </c>
      <c r="Y455" t="s">
        <v>156</v>
      </c>
      <c r="Z455" t="s">
        <v>50</v>
      </c>
      <c r="AA455" s="10">
        <f>IF(O455&lt;=1,7,7+0.8*ROUNDUP(O455-1,0))</f>
        <v>7.8</v>
      </c>
      <c r="AB455" s="11">
        <v>0</v>
      </c>
      <c r="AC455" s="11">
        <v>0</v>
      </c>
      <c r="AD455" s="11">
        <v>0</v>
      </c>
      <c r="AE455" s="11">
        <v>0</v>
      </c>
      <c r="AF455" s="11">
        <f t="shared" si="18"/>
        <v>0.46799999999999997</v>
      </c>
      <c r="AG455" s="11">
        <f t="shared" si="19"/>
        <v>8.2680000000000007</v>
      </c>
      <c r="AH455" t="s">
        <v>51</v>
      </c>
    </row>
    <row r="456" spans="1:34" ht="15" customHeight="1" x14ac:dyDescent="0.35">
      <c r="A456">
        <v>7547676</v>
      </c>
      <c r="B456">
        <v>690929</v>
      </c>
      <c r="C456" t="s">
        <v>34</v>
      </c>
      <c r="D456" t="s">
        <v>35</v>
      </c>
      <c r="E456" s="6" t="s">
        <v>34</v>
      </c>
      <c r="F456" t="s">
        <v>1466</v>
      </c>
      <c r="G456" t="s">
        <v>37</v>
      </c>
      <c r="H456" t="s">
        <v>38</v>
      </c>
      <c r="I456" t="s">
        <v>1467</v>
      </c>
      <c r="J456" t="s">
        <v>40</v>
      </c>
      <c r="K456">
        <v>2</v>
      </c>
      <c r="L456" t="s">
        <v>41</v>
      </c>
      <c r="M456" t="s">
        <v>42</v>
      </c>
      <c r="N456" t="s">
        <v>43</v>
      </c>
      <c r="O456" s="7">
        <v>2</v>
      </c>
      <c r="P456" s="8">
        <v>45375.698819444442</v>
      </c>
      <c r="Q456" s="9">
        <v>45378</v>
      </c>
      <c r="R456" t="s">
        <v>44</v>
      </c>
      <c r="S456" t="s">
        <v>45</v>
      </c>
      <c r="T456" t="s">
        <v>46</v>
      </c>
      <c r="U456" t="s">
        <v>134</v>
      </c>
      <c r="V456" t="s">
        <v>1468</v>
      </c>
      <c r="W456">
        <v>9100</v>
      </c>
      <c r="X456" t="s">
        <v>45</v>
      </c>
      <c r="Y456" t="s">
        <v>148</v>
      </c>
      <c r="Z456" t="s">
        <v>50</v>
      </c>
      <c r="AA456" s="10">
        <f>IF(O456&lt;=1,7,7+0.8*ROUNDUP(O456-1,0))</f>
        <v>7.8</v>
      </c>
      <c r="AB456" s="11">
        <v>0</v>
      </c>
      <c r="AC456" s="11">
        <v>0</v>
      </c>
      <c r="AD456" s="11">
        <v>0</v>
      </c>
      <c r="AE456" s="11">
        <v>0</v>
      </c>
      <c r="AF456" s="11">
        <f t="shared" si="18"/>
        <v>0.46799999999999997</v>
      </c>
      <c r="AG456" s="11">
        <f t="shared" si="19"/>
        <v>8.2680000000000007</v>
      </c>
      <c r="AH456" t="s">
        <v>51</v>
      </c>
    </row>
    <row r="457" spans="1:34" ht="15" customHeight="1" x14ac:dyDescent="0.35">
      <c r="A457">
        <v>7547676</v>
      </c>
      <c r="B457">
        <v>690929</v>
      </c>
      <c r="C457" t="s">
        <v>34</v>
      </c>
      <c r="D457" t="s">
        <v>35</v>
      </c>
      <c r="E457" s="6" t="s">
        <v>34</v>
      </c>
      <c r="F457" t="s">
        <v>1469</v>
      </c>
      <c r="G457" t="s">
        <v>37</v>
      </c>
      <c r="H457" t="s">
        <v>38</v>
      </c>
      <c r="I457" t="s">
        <v>1470</v>
      </c>
      <c r="J457" t="s">
        <v>40</v>
      </c>
      <c r="K457">
        <v>2</v>
      </c>
      <c r="L457" t="s">
        <v>41</v>
      </c>
      <c r="M457" t="s">
        <v>42</v>
      </c>
      <c r="N457" t="s">
        <v>43</v>
      </c>
      <c r="O457" s="7">
        <v>2</v>
      </c>
      <c r="P457" s="8">
        <v>45375.487129629626</v>
      </c>
      <c r="Q457" s="9">
        <v>45378</v>
      </c>
      <c r="R457" t="s">
        <v>44</v>
      </c>
      <c r="S457" t="s">
        <v>45</v>
      </c>
      <c r="T457" t="s">
        <v>46</v>
      </c>
      <c r="U457" t="s">
        <v>54</v>
      </c>
      <c r="V457" t="s">
        <v>1471</v>
      </c>
      <c r="W457">
        <v>42100</v>
      </c>
      <c r="X457" t="s">
        <v>45</v>
      </c>
      <c r="Y457" t="s">
        <v>1383</v>
      </c>
      <c r="Z457" t="s">
        <v>50</v>
      </c>
      <c r="AA457" s="10">
        <f>IF(O457&lt;=1,7,7+0.8*ROUNDUP(O457-1,0))</f>
        <v>7.8</v>
      </c>
      <c r="AB457" s="11">
        <v>0</v>
      </c>
      <c r="AC457" s="11">
        <v>0</v>
      </c>
      <c r="AD457" s="11">
        <v>0</v>
      </c>
      <c r="AE457" s="11">
        <v>0</v>
      </c>
      <c r="AF457" s="11">
        <f t="shared" si="18"/>
        <v>0.46799999999999997</v>
      </c>
      <c r="AG457" s="11">
        <f t="shared" si="19"/>
        <v>8.2680000000000007</v>
      </c>
      <c r="AH457" t="s">
        <v>51</v>
      </c>
    </row>
    <row r="458" spans="1:34" ht="15" customHeight="1" x14ac:dyDescent="0.35">
      <c r="A458">
        <v>7547676</v>
      </c>
      <c r="B458">
        <v>690929</v>
      </c>
      <c r="C458" t="s">
        <v>34</v>
      </c>
      <c r="D458" t="s">
        <v>35</v>
      </c>
      <c r="E458" s="6" t="s">
        <v>34</v>
      </c>
      <c r="F458" t="s">
        <v>1472</v>
      </c>
      <c r="G458" t="s">
        <v>37</v>
      </c>
      <c r="H458" t="s">
        <v>38</v>
      </c>
      <c r="I458" t="s">
        <v>222</v>
      </c>
      <c r="J458" t="s">
        <v>40</v>
      </c>
      <c r="K458">
        <v>2</v>
      </c>
      <c r="L458" t="s">
        <v>41</v>
      </c>
      <c r="M458" t="s">
        <v>42</v>
      </c>
      <c r="N458" t="s">
        <v>43</v>
      </c>
      <c r="O458" s="7">
        <v>8</v>
      </c>
      <c r="P458" s="8">
        <v>45377.503206018519</v>
      </c>
      <c r="Q458" s="9">
        <v>45378</v>
      </c>
      <c r="R458" t="s">
        <v>44</v>
      </c>
      <c r="S458" t="s">
        <v>45</v>
      </c>
      <c r="T458" t="s">
        <v>46</v>
      </c>
      <c r="U458" t="s">
        <v>190</v>
      </c>
      <c r="V458" t="s">
        <v>223</v>
      </c>
      <c r="W458">
        <v>28000</v>
      </c>
      <c r="X458" t="s">
        <v>45</v>
      </c>
      <c r="Y458" t="s">
        <v>224</v>
      </c>
      <c r="Z458" t="s">
        <v>50</v>
      </c>
      <c r="AA458" s="10">
        <f>IF(O458&lt;=1,7,7+0.8*ROUNDUP(O458-1,0))</f>
        <v>12.600000000000001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18"/>
        <v>0.75600000000000001</v>
      </c>
      <c r="AG458" s="11">
        <f t="shared" si="19"/>
        <v>13.356000000000002</v>
      </c>
      <c r="AH458" t="s">
        <v>51</v>
      </c>
    </row>
    <row r="459" spans="1:34" ht="15" customHeight="1" x14ac:dyDescent="0.35">
      <c r="A459">
        <v>7547676</v>
      </c>
      <c r="B459">
        <v>690929</v>
      </c>
      <c r="C459" t="s">
        <v>34</v>
      </c>
      <c r="D459" t="s">
        <v>35</v>
      </c>
      <c r="E459" s="6" t="s">
        <v>34</v>
      </c>
      <c r="F459" t="s">
        <v>1473</v>
      </c>
      <c r="G459" t="s">
        <v>37</v>
      </c>
      <c r="H459" t="s">
        <v>38</v>
      </c>
      <c r="I459" t="s">
        <v>1474</v>
      </c>
      <c r="J459" t="s">
        <v>40</v>
      </c>
      <c r="K459">
        <v>2</v>
      </c>
      <c r="L459" t="s">
        <v>41</v>
      </c>
      <c r="M459" t="s">
        <v>42</v>
      </c>
      <c r="N459" t="s">
        <v>43</v>
      </c>
      <c r="O459" s="7">
        <v>1</v>
      </c>
      <c r="P459" s="8">
        <v>45376.613657407404</v>
      </c>
      <c r="Q459" s="9">
        <v>45378</v>
      </c>
      <c r="R459" t="s">
        <v>789</v>
      </c>
      <c r="S459" t="s">
        <v>45</v>
      </c>
      <c r="T459" t="s">
        <v>46</v>
      </c>
      <c r="U459" t="s">
        <v>77</v>
      </c>
      <c r="V459" t="s">
        <v>1475</v>
      </c>
      <c r="W459">
        <v>75450</v>
      </c>
      <c r="X459" t="s">
        <v>45</v>
      </c>
      <c r="Y459" t="s">
        <v>1290</v>
      </c>
      <c r="Z459" t="s">
        <v>50</v>
      </c>
      <c r="AA459" s="10">
        <f>IF(O459&lt;=1,7,7+0.8*ROUNDUP(O459-1,0))</f>
        <v>7</v>
      </c>
      <c r="AB459" s="11">
        <v>0</v>
      </c>
      <c r="AC459" s="11">
        <v>0</v>
      </c>
      <c r="AD459" s="11">
        <v>0</v>
      </c>
      <c r="AE459" s="11">
        <v>0</v>
      </c>
      <c r="AF459" s="11">
        <f t="shared" si="18"/>
        <v>0.42</v>
      </c>
      <c r="AG459" s="11">
        <f t="shared" si="19"/>
        <v>7.42</v>
      </c>
      <c r="AH459" t="s">
        <v>51</v>
      </c>
    </row>
    <row r="460" spans="1:34" ht="15" customHeight="1" x14ac:dyDescent="0.35">
      <c r="A460">
        <v>7547676</v>
      </c>
      <c r="B460">
        <v>690929</v>
      </c>
      <c r="C460" t="s">
        <v>34</v>
      </c>
      <c r="D460" t="s">
        <v>35</v>
      </c>
      <c r="E460" s="6" t="s">
        <v>34</v>
      </c>
      <c r="F460" t="s">
        <v>1476</v>
      </c>
      <c r="G460" t="s">
        <v>37</v>
      </c>
      <c r="H460" t="s">
        <v>38</v>
      </c>
      <c r="I460" t="s">
        <v>1477</v>
      </c>
      <c r="J460" t="s">
        <v>40</v>
      </c>
      <c r="K460">
        <v>2</v>
      </c>
      <c r="L460" t="s">
        <v>41</v>
      </c>
      <c r="M460" t="s">
        <v>42</v>
      </c>
      <c r="N460" t="s">
        <v>43</v>
      </c>
      <c r="O460" s="7">
        <v>1</v>
      </c>
      <c r="P460" s="8">
        <v>45377.453981481478</v>
      </c>
      <c r="Q460" s="9">
        <v>45378</v>
      </c>
      <c r="R460" t="s">
        <v>44</v>
      </c>
      <c r="S460" t="s">
        <v>45</v>
      </c>
      <c r="T460" t="s">
        <v>46</v>
      </c>
      <c r="U460" t="s">
        <v>54</v>
      </c>
      <c r="V460" t="s">
        <v>1478</v>
      </c>
      <c r="W460">
        <v>52100</v>
      </c>
      <c r="X460" t="s">
        <v>45</v>
      </c>
      <c r="Y460" t="s">
        <v>243</v>
      </c>
      <c r="Z460" t="s">
        <v>50</v>
      </c>
      <c r="AA460" s="10">
        <f>IF(O460&lt;=1,7,7+0.8*ROUNDUP(O460-1,0))</f>
        <v>7</v>
      </c>
      <c r="AB460" s="11">
        <v>0</v>
      </c>
      <c r="AC460" s="11">
        <v>0</v>
      </c>
      <c r="AD460" s="11">
        <v>0</v>
      </c>
      <c r="AE460" s="11">
        <v>0</v>
      </c>
      <c r="AF460" s="11">
        <f t="shared" si="18"/>
        <v>0.42</v>
      </c>
      <c r="AG460" s="11">
        <f t="shared" si="19"/>
        <v>7.42</v>
      </c>
      <c r="AH460" t="s">
        <v>51</v>
      </c>
    </row>
    <row r="461" spans="1:34" ht="15" customHeight="1" x14ac:dyDescent="0.35">
      <c r="A461">
        <v>7547676</v>
      </c>
      <c r="B461">
        <v>690929</v>
      </c>
      <c r="C461" t="s">
        <v>34</v>
      </c>
      <c r="D461" t="s">
        <v>35</v>
      </c>
      <c r="E461" s="6" t="s">
        <v>34</v>
      </c>
      <c r="F461" t="s">
        <v>1479</v>
      </c>
      <c r="G461" t="s">
        <v>37</v>
      </c>
      <c r="H461" t="s">
        <v>38</v>
      </c>
      <c r="I461" t="s">
        <v>1480</v>
      </c>
      <c r="J461" t="s">
        <v>40</v>
      </c>
      <c r="K461">
        <v>2</v>
      </c>
      <c r="L461" t="s">
        <v>41</v>
      </c>
      <c r="M461" t="s">
        <v>42</v>
      </c>
      <c r="N461" t="s">
        <v>43</v>
      </c>
      <c r="O461" s="7">
        <v>1</v>
      </c>
      <c r="P461" s="8">
        <v>45377.656226851854</v>
      </c>
      <c r="Q461" s="9">
        <v>45378</v>
      </c>
      <c r="R461" t="s">
        <v>44</v>
      </c>
      <c r="S461" t="s">
        <v>45</v>
      </c>
      <c r="T461" t="s">
        <v>46</v>
      </c>
      <c r="U461" t="s">
        <v>99</v>
      </c>
      <c r="V461" t="s">
        <v>1481</v>
      </c>
      <c r="W461">
        <v>17500</v>
      </c>
      <c r="X461" t="s">
        <v>45</v>
      </c>
      <c r="Y461" t="s">
        <v>156</v>
      </c>
      <c r="Z461" t="s">
        <v>50</v>
      </c>
      <c r="AA461" s="10">
        <f>IF(O461&lt;=1,7,7+0.8*ROUNDUP(O461-1,0))</f>
        <v>7</v>
      </c>
      <c r="AB461" s="11">
        <v>0</v>
      </c>
      <c r="AC461" s="11">
        <v>0</v>
      </c>
      <c r="AD461" s="11">
        <v>0</v>
      </c>
      <c r="AE461" s="11">
        <v>0</v>
      </c>
      <c r="AF461" s="11">
        <f t="shared" si="18"/>
        <v>0.42</v>
      </c>
      <c r="AG461" s="11">
        <f t="shared" si="19"/>
        <v>7.42</v>
      </c>
      <c r="AH461" t="s">
        <v>51</v>
      </c>
    </row>
    <row r="462" spans="1:34" ht="15" customHeight="1" x14ac:dyDescent="0.35">
      <c r="A462">
        <v>7547676</v>
      </c>
      <c r="B462">
        <v>690929</v>
      </c>
      <c r="C462" t="s">
        <v>34</v>
      </c>
      <c r="D462" t="s">
        <v>35</v>
      </c>
      <c r="E462" s="6" t="s">
        <v>34</v>
      </c>
      <c r="F462" t="s">
        <v>1482</v>
      </c>
      <c r="G462" t="s">
        <v>37</v>
      </c>
      <c r="H462" t="s">
        <v>38</v>
      </c>
      <c r="I462" t="s">
        <v>1483</v>
      </c>
      <c r="J462" t="s">
        <v>40</v>
      </c>
      <c r="K462">
        <v>2</v>
      </c>
      <c r="L462" t="s">
        <v>41</v>
      </c>
      <c r="M462" t="s">
        <v>42</v>
      </c>
      <c r="N462" t="s">
        <v>43</v>
      </c>
      <c r="O462" s="7">
        <v>1</v>
      </c>
      <c r="P462" s="8">
        <v>45376.534618055557</v>
      </c>
      <c r="Q462" s="9">
        <v>45378</v>
      </c>
      <c r="R462" t="s">
        <v>789</v>
      </c>
      <c r="S462" t="s">
        <v>45</v>
      </c>
      <c r="T462" t="s">
        <v>46</v>
      </c>
      <c r="U462" t="s">
        <v>134</v>
      </c>
      <c r="V462" t="s">
        <v>1484</v>
      </c>
      <c r="W462">
        <v>9000</v>
      </c>
      <c r="X462" t="s">
        <v>45</v>
      </c>
      <c r="Y462" t="s">
        <v>855</v>
      </c>
      <c r="Z462" t="s">
        <v>50</v>
      </c>
      <c r="AA462" s="10">
        <f>IF(O462&lt;=1,7,7+0.8*ROUNDUP(O462-1,0))</f>
        <v>7</v>
      </c>
      <c r="AB462" s="11">
        <v>0</v>
      </c>
      <c r="AC462" s="11">
        <v>0</v>
      </c>
      <c r="AD462" s="11">
        <v>0</v>
      </c>
      <c r="AE462" s="11">
        <v>0</v>
      </c>
      <c r="AF462" s="11">
        <f t="shared" si="18"/>
        <v>0.42</v>
      </c>
      <c r="AG462" s="11">
        <f t="shared" si="19"/>
        <v>7.42</v>
      </c>
      <c r="AH462" t="s">
        <v>51</v>
      </c>
    </row>
    <row r="463" spans="1:34" ht="15" customHeight="1" x14ac:dyDescent="0.35">
      <c r="A463">
        <v>7547676</v>
      </c>
      <c r="B463">
        <v>690929</v>
      </c>
      <c r="C463" t="s">
        <v>34</v>
      </c>
      <c r="D463" t="s">
        <v>35</v>
      </c>
      <c r="E463" s="6" t="s">
        <v>34</v>
      </c>
      <c r="F463" t="s">
        <v>1485</v>
      </c>
      <c r="G463" t="s">
        <v>37</v>
      </c>
      <c r="H463" t="s">
        <v>38</v>
      </c>
      <c r="I463" t="s">
        <v>1486</v>
      </c>
      <c r="J463" t="s">
        <v>40</v>
      </c>
      <c r="K463">
        <v>2</v>
      </c>
      <c r="L463" t="s">
        <v>41</v>
      </c>
      <c r="M463" t="s">
        <v>42</v>
      </c>
      <c r="N463" t="s">
        <v>43</v>
      </c>
      <c r="O463" s="7">
        <v>1</v>
      </c>
      <c r="P463" s="8">
        <v>45377.549814814818</v>
      </c>
      <c r="Q463" s="9">
        <v>45378</v>
      </c>
      <c r="R463" t="s">
        <v>44</v>
      </c>
      <c r="S463" t="s">
        <v>45</v>
      </c>
      <c r="T463" t="s">
        <v>46</v>
      </c>
      <c r="U463" t="s">
        <v>54</v>
      </c>
      <c r="V463" t="s">
        <v>1487</v>
      </c>
      <c r="W463">
        <v>47100</v>
      </c>
      <c r="X463" t="s">
        <v>45</v>
      </c>
      <c r="Y463" t="s">
        <v>459</v>
      </c>
      <c r="Z463" t="s">
        <v>50</v>
      </c>
      <c r="AA463" s="10">
        <f>IF(O463&lt;=1,7,7+0.8*ROUNDUP(O463-1,0))</f>
        <v>7</v>
      </c>
      <c r="AB463" s="11">
        <v>0</v>
      </c>
      <c r="AC463" s="11">
        <v>0</v>
      </c>
      <c r="AD463" s="11">
        <v>0</v>
      </c>
      <c r="AE463" s="11">
        <v>0</v>
      </c>
      <c r="AF463" s="11">
        <f t="shared" si="18"/>
        <v>0.42</v>
      </c>
      <c r="AG463" s="11">
        <f t="shared" si="19"/>
        <v>7.42</v>
      </c>
      <c r="AH463" t="s">
        <v>51</v>
      </c>
    </row>
    <row r="464" spans="1:34" ht="15" customHeight="1" x14ac:dyDescent="0.35">
      <c r="A464">
        <v>7547676</v>
      </c>
      <c r="B464">
        <v>690929</v>
      </c>
      <c r="C464" t="s">
        <v>34</v>
      </c>
      <c r="D464" t="s">
        <v>35</v>
      </c>
      <c r="E464" s="6" t="s">
        <v>34</v>
      </c>
      <c r="F464" t="s">
        <v>1488</v>
      </c>
      <c r="G464" t="s">
        <v>37</v>
      </c>
      <c r="H464" t="s">
        <v>38</v>
      </c>
      <c r="I464" t="s">
        <v>1489</v>
      </c>
      <c r="J464" t="s">
        <v>40</v>
      </c>
      <c r="K464">
        <v>2</v>
      </c>
      <c r="L464" t="s">
        <v>41</v>
      </c>
      <c r="M464" t="s">
        <v>42</v>
      </c>
      <c r="N464" t="s">
        <v>43</v>
      </c>
      <c r="O464" s="7">
        <v>2</v>
      </c>
      <c r="P464" s="8">
        <v>45377.456307870372</v>
      </c>
      <c r="Q464" s="9">
        <v>45378</v>
      </c>
      <c r="R464" t="s">
        <v>44</v>
      </c>
      <c r="S464" t="s">
        <v>45</v>
      </c>
      <c r="T464" t="s">
        <v>46</v>
      </c>
      <c r="U464" t="s">
        <v>190</v>
      </c>
      <c r="V464" t="s">
        <v>1490</v>
      </c>
      <c r="W464">
        <v>26500</v>
      </c>
      <c r="X464" t="s">
        <v>45</v>
      </c>
      <c r="Y464" t="s">
        <v>351</v>
      </c>
      <c r="Z464" t="s">
        <v>50</v>
      </c>
      <c r="AA464" s="10">
        <f>IF(O464&lt;=1,7,7+0.8*ROUNDUP(O464-1,0))</f>
        <v>7.8</v>
      </c>
      <c r="AB464" s="11">
        <v>0</v>
      </c>
      <c r="AC464" s="11">
        <v>0</v>
      </c>
      <c r="AD464" s="11">
        <v>0</v>
      </c>
      <c r="AE464" s="11">
        <v>0</v>
      </c>
      <c r="AF464" s="11">
        <f t="shared" si="18"/>
        <v>0.46799999999999997</v>
      </c>
      <c r="AG464" s="11">
        <f t="shared" si="19"/>
        <v>8.2680000000000007</v>
      </c>
      <c r="AH464" t="s">
        <v>51</v>
      </c>
    </row>
    <row r="465" spans="1:34" ht="15" customHeight="1" x14ac:dyDescent="0.35">
      <c r="A465">
        <v>7547676</v>
      </c>
      <c r="B465">
        <v>690929</v>
      </c>
      <c r="C465" t="s">
        <v>34</v>
      </c>
      <c r="D465" t="s">
        <v>35</v>
      </c>
      <c r="E465" s="6" t="s">
        <v>34</v>
      </c>
      <c r="F465" t="s">
        <v>1491</v>
      </c>
      <c r="G465" t="s">
        <v>37</v>
      </c>
      <c r="H465" t="s">
        <v>38</v>
      </c>
      <c r="I465" t="s">
        <v>1492</v>
      </c>
      <c r="J465" t="s">
        <v>40</v>
      </c>
      <c r="K465">
        <v>2</v>
      </c>
      <c r="L465" t="s">
        <v>41</v>
      </c>
      <c r="M465" t="s">
        <v>42</v>
      </c>
      <c r="N465" t="s">
        <v>43</v>
      </c>
      <c r="O465" s="7">
        <v>1</v>
      </c>
      <c r="P465" s="8">
        <v>45376.524699074071</v>
      </c>
      <c r="Q465" s="9">
        <v>45378</v>
      </c>
      <c r="R465" t="s">
        <v>789</v>
      </c>
      <c r="S465" t="s">
        <v>45</v>
      </c>
      <c r="T465" t="s">
        <v>46</v>
      </c>
      <c r="U465" t="s">
        <v>278</v>
      </c>
      <c r="V465" t="s">
        <v>1493</v>
      </c>
      <c r="W465">
        <v>13400</v>
      </c>
      <c r="X465" t="s">
        <v>45</v>
      </c>
      <c r="Y465" t="s">
        <v>305</v>
      </c>
      <c r="Z465" t="s">
        <v>50</v>
      </c>
      <c r="AA465" s="10">
        <f>IF(O465&lt;=1,7,7+0.8*ROUNDUP(O465-1,0))</f>
        <v>7</v>
      </c>
      <c r="AB465" s="11">
        <v>0</v>
      </c>
      <c r="AC465" s="11">
        <v>0</v>
      </c>
      <c r="AD465" s="11">
        <v>0</v>
      </c>
      <c r="AE465" s="11">
        <v>0</v>
      </c>
      <c r="AF465" s="11">
        <f t="shared" si="18"/>
        <v>0.42</v>
      </c>
      <c r="AG465" s="11">
        <f t="shared" si="19"/>
        <v>7.42</v>
      </c>
      <c r="AH465" t="s">
        <v>51</v>
      </c>
    </row>
    <row r="466" spans="1:34" ht="15" customHeight="1" x14ac:dyDescent="0.35">
      <c r="A466">
        <v>7547676</v>
      </c>
      <c r="B466">
        <v>690929</v>
      </c>
      <c r="C466" t="s">
        <v>34</v>
      </c>
      <c r="D466" t="s">
        <v>35</v>
      </c>
      <c r="E466" s="6" t="s">
        <v>34</v>
      </c>
      <c r="F466" t="s">
        <v>1494</v>
      </c>
      <c r="G466" t="s">
        <v>37</v>
      </c>
      <c r="H466" t="s">
        <v>38</v>
      </c>
      <c r="I466" t="s">
        <v>1495</v>
      </c>
      <c r="J466" t="s">
        <v>40</v>
      </c>
      <c r="K466">
        <v>2</v>
      </c>
      <c r="L466" t="s">
        <v>41</v>
      </c>
      <c r="M466" t="s">
        <v>42</v>
      </c>
      <c r="N466" t="s">
        <v>43</v>
      </c>
      <c r="O466" s="7">
        <v>1</v>
      </c>
      <c r="P466" s="8">
        <v>45377.549814814818</v>
      </c>
      <c r="Q466" s="9">
        <v>45378</v>
      </c>
      <c r="R466" t="s">
        <v>44</v>
      </c>
      <c r="S466" t="s">
        <v>45</v>
      </c>
      <c r="T466" t="s">
        <v>46</v>
      </c>
      <c r="U466" t="s">
        <v>54</v>
      </c>
      <c r="V466" t="s">
        <v>1496</v>
      </c>
      <c r="W466">
        <v>47650</v>
      </c>
      <c r="X466" t="s">
        <v>45</v>
      </c>
      <c r="Y466" t="s">
        <v>662</v>
      </c>
      <c r="Z466" t="s">
        <v>50</v>
      </c>
      <c r="AA466" s="10">
        <f>IF(O466&lt;=1,7,7+0.8*ROUNDUP(O466-1,0))</f>
        <v>7</v>
      </c>
      <c r="AB466" s="11">
        <v>0</v>
      </c>
      <c r="AC466" s="11">
        <v>0</v>
      </c>
      <c r="AD466" s="11">
        <v>0</v>
      </c>
      <c r="AE466" s="11">
        <v>0</v>
      </c>
      <c r="AF466" s="11">
        <f t="shared" si="18"/>
        <v>0.42</v>
      </c>
      <c r="AG466" s="11">
        <f t="shared" si="19"/>
        <v>7.42</v>
      </c>
      <c r="AH466" t="s">
        <v>51</v>
      </c>
    </row>
    <row r="467" spans="1:34" ht="15" customHeight="1" x14ac:dyDescent="0.35">
      <c r="A467">
        <v>7547676</v>
      </c>
      <c r="B467">
        <v>690929</v>
      </c>
      <c r="C467" t="s">
        <v>34</v>
      </c>
      <c r="D467" t="s">
        <v>35</v>
      </c>
      <c r="E467" s="6" t="s">
        <v>34</v>
      </c>
      <c r="F467" t="s">
        <v>1497</v>
      </c>
      <c r="G467" t="s">
        <v>37</v>
      </c>
      <c r="H467" t="s">
        <v>38</v>
      </c>
      <c r="I467" t="s">
        <v>1498</v>
      </c>
      <c r="J467" t="s">
        <v>40</v>
      </c>
      <c r="K467">
        <v>2</v>
      </c>
      <c r="L467" t="s">
        <v>41</v>
      </c>
      <c r="M467" t="s">
        <v>42</v>
      </c>
      <c r="N467" t="s">
        <v>43</v>
      </c>
      <c r="O467" s="7">
        <v>1</v>
      </c>
      <c r="P467" s="8">
        <v>45376.703750000001</v>
      </c>
      <c r="Q467" s="9">
        <v>45378</v>
      </c>
      <c r="R467" t="s">
        <v>789</v>
      </c>
      <c r="S467" t="s">
        <v>45</v>
      </c>
      <c r="T467" t="s">
        <v>46</v>
      </c>
      <c r="U467" t="s">
        <v>54</v>
      </c>
      <c r="V467" t="s">
        <v>1499</v>
      </c>
      <c r="W467">
        <v>43650</v>
      </c>
      <c r="X467" t="s">
        <v>45</v>
      </c>
      <c r="Y467" t="s">
        <v>1500</v>
      </c>
      <c r="Z467" t="s">
        <v>50</v>
      </c>
      <c r="AA467" s="10">
        <f>IF(O467&lt;=1,7,7+0.8*ROUNDUP(O467-1,0))</f>
        <v>7</v>
      </c>
      <c r="AB467" s="11">
        <v>0</v>
      </c>
      <c r="AC467" s="11">
        <v>0</v>
      </c>
      <c r="AD467" s="11">
        <v>0</v>
      </c>
      <c r="AE467" s="11">
        <v>0</v>
      </c>
      <c r="AF467" s="11">
        <f t="shared" si="18"/>
        <v>0.42</v>
      </c>
      <c r="AG467" s="11">
        <f t="shared" si="19"/>
        <v>7.42</v>
      </c>
      <c r="AH467" t="s">
        <v>51</v>
      </c>
    </row>
    <row r="468" spans="1:34" ht="15" customHeight="1" x14ac:dyDescent="0.35">
      <c r="A468">
        <v>7547676</v>
      </c>
      <c r="B468">
        <v>690929</v>
      </c>
      <c r="C468" t="s">
        <v>34</v>
      </c>
      <c r="D468" t="s">
        <v>35</v>
      </c>
      <c r="E468" s="6" t="s">
        <v>34</v>
      </c>
      <c r="F468" t="s">
        <v>1501</v>
      </c>
      <c r="G468" t="s">
        <v>37</v>
      </c>
      <c r="H468" t="s">
        <v>38</v>
      </c>
      <c r="I468" t="s">
        <v>1502</v>
      </c>
      <c r="J468" t="s">
        <v>40</v>
      </c>
      <c r="K468">
        <v>2</v>
      </c>
      <c r="L468" t="s">
        <v>41</v>
      </c>
      <c r="M468" t="s">
        <v>42</v>
      </c>
      <c r="N468" t="s">
        <v>43</v>
      </c>
      <c r="O468" s="7">
        <v>1</v>
      </c>
      <c r="P468" s="8">
        <v>45377.518333333333</v>
      </c>
      <c r="Q468" s="9">
        <v>45378</v>
      </c>
      <c r="R468" t="s">
        <v>44</v>
      </c>
      <c r="S468" t="s">
        <v>45</v>
      </c>
      <c r="T468" t="s">
        <v>46</v>
      </c>
      <c r="U468" t="s">
        <v>190</v>
      </c>
      <c r="V468" t="s">
        <v>1503</v>
      </c>
      <c r="W468">
        <v>28400</v>
      </c>
      <c r="X468" t="s">
        <v>45</v>
      </c>
      <c r="Y468" t="s">
        <v>362</v>
      </c>
      <c r="Z468" t="s">
        <v>50</v>
      </c>
      <c r="AA468" s="10">
        <f>IF(O468&lt;=1,7,7+0.8*ROUNDUP(O468-1,0))</f>
        <v>7</v>
      </c>
      <c r="AB468" s="11">
        <v>0</v>
      </c>
      <c r="AC468" s="11">
        <v>0</v>
      </c>
      <c r="AD468" s="11">
        <v>0</v>
      </c>
      <c r="AE468" s="11">
        <v>0</v>
      </c>
      <c r="AF468" s="11">
        <f t="shared" si="18"/>
        <v>0.42</v>
      </c>
      <c r="AG468" s="11">
        <f t="shared" si="19"/>
        <v>7.42</v>
      </c>
      <c r="AH468" t="s">
        <v>51</v>
      </c>
    </row>
    <row r="469" spans="1:34" ht="15" customHeight="1" x14ac:dyDescent="0.35">
      <c r="A469">
        <v>7547676</v>
      </c>
      <c r="B469">
        <v>690929</v>
      </c>
      <c r="C469" t="s">
        <v>34</v>
      </c>
      <c r="D469" t="s">
        <v>35</v>
      </c>
      <c r="E469" s="6" t="s">
        <v>34</v>
      </c>
      <c r="F469" t="s">
        <v>1504</v>
      </c>
      <c r="G469" t="s">
        <v>37</v>
      </c>
      <c r="H469" t="s">
        <v>38</v>
      </c>
      <c r="I469" t="s">
        <v>1505</v>
      </c>
      <c r="J469" t="s">
        <v>40</v>
      </c>
      <c r="K469">
        <v>2</v>
      </c>
      <c r="L469" t="s">
        <v>41</v>
      </c>
      <c r="M469" t="s">
        <v>42</v>
      </c>
      <c r="N469" t="s">
        <v>43</v>
      </c>
      <c r="O469" s="7">
        <v>1</v>
      </c>
      <c r="P469" s="8">
        <v>45377.518333333333</v>
      </c>
      <c r="Q469" s="9">
        <v>45378</v>
      </c>
      <c r="R469" t="s">
        <v>44</v>
      </c>
      <c r="S469" t="s">
        <v>45</v>
      </c>
      <c r="T469" t="s">
        <v>46</v>
      </c>
      <c r="U469" t="s">
        <v>190</v>
      </c>
      <c r="V469" t="s">
        <v>1506</v>
      </c>
      <c r="W469">
        <v>28000</v>
      </c>
      <c r="X469" t="s">
        <v>45</v>
      </c>
      <c r="Y469" t="s">
        <v>362</v>
      </c>
      <c r="Z469" t="s">
        <v>50</v>
      </c>
      <c r="AA469" s="10">
        <f>IF(O469&lt;=1,7,7+0.8*ROUNDUP(O469-1,0))</f>
        <v>7</v>
      </c>
      <c r="AB469" s="11">
        <v>0</v>
      </c>
      <c r="AC469" s="11">
        <v>0</v>
      </c>
      <c r="AD469" s="11">
        <v>0</v>
      </c>
      <c r="AE469" s="11">
        <v>0</v>
      </c>
      <c r="AF469" s="11">
        <f t="shared" si="18"/>
        <v>0.42</v>
      </c>
      <c r="AG469" s="11">
        <f t="shared" si="19"/>
        <v>7.42</v>
      </c>
      <c r="AH469" t="s">
        <v>51</v>
      </c>
    </row>
    <row r="470" spans="1:34" ht="15" customHeight="1" x14ac:dyDescent="0.35">
      <c r="A470">
        <v>7547676</v>
      </c>
      <c r="B470">
        <v>690929</v>
      </c>
      <c r="C470" t="s">
        <v>34</v>
      </c>
      <c r="D470" t="s">
        <v>35</v>
      </c>
      <c r="E470" s="6" t="s">
        <v>34</v>
      </c>
      <c r="F470" t="s">
        <v>1507</v>
      </c>
      <c r="G470" t="s">
        <v>37</v>
      </c>
      <c r="H470" t="s">
        <v>38</v>
      </c>
      <c r="I470" t="s">
        <v>1508</v>
      </c>
      <c r="J470" t="s">
        <v>40</v>
      </c>
      <c r="K470">
        <v>2</v>
      </c>
      <c r="L470" t="s">
        <v>41</v>
      </c>
      <c r="M470" t="s">
        <v>42</v>
      </c>
      <c r="N470" t="s">
        <v>43</v>
      </c>
      <c r="O470" s="7">
        <v>4</v>
      </c>
      <c r="P470" s="8">
        <v>45377.453981481478</v>
      </c>
      <c r="Q470" s="9">
        <v>45378</v>
      </c>
      <c r="R470" t="s">
        <v>44</v>
      </c>
      <c r="S470" t="s">
        <v>45</v>
      </c>
      <c r="T470" t="s">
        <v>46</v>
      </c>
      <c r="U470" t="s">
        <v>99</v>
      </c>
      <c r="V470" t="s">
        <v>1509</v>
      </c>
      <c r="W470">
        <v>17000</v>
      </c>
      <c r="X470" t="s">
        <v>45</v>
      </c>
      <c r="Y470" t="s">
        <v>156</v>
      </c>
      <c r="Z470" t="s">
        <v>50</v>
      </c>
      <c r="AA470" s="10">
        <f>IF(O470&lt;=1,7,7+0.8*ROUNDUP(O470-1,0))</f>
        <v>9.4</v>
      </c>
      <c r="AB470" s="11">
        <v>0</v>
      </c>
      <c r="AC470" s="11">
        <v>0</v>
      </c>
      <c r="AD470" s="11">
        <v>0</v>
      </c>
      <c r="AE470" s="11">
        <v>0</v>
      </c>
      <c r="AF470" s="11">
        <f t="shared" si="18"/>
        <v>0.56399999999999995</v>
      </c>
      <c r="AG470" s="11">
        <f t="shared" si="19"/>
        <v>9.9640000000000004</v>
      </c>
      <c r="AH470" t="s">
        <v>51</v>
      </c>
    </row>
    <row r="471" spans="1:34" ht="15" customHeight="1" x14ac:dyDescent="0.35">
      <c r="A471">
        <v>7547676</v>
      </c>
      <c r="B471">
        <v>690929</v>
      </c>
      <c r="C471" t="s">
        <v>34</v>
      </c>
      <c r="D471" t="s">
        <v>35</v>
      </c>
      <c r="E471" s="6" t="s">
        <v>34</v>
      </c>
      <c r="F471" t="s">
        <v>1510</v>
      </c>
      <c r="G471" t="s">
        <v>37</v>
      </c>
      <c r="H471" t="s">
        <v>38</v>
      </c>
      <c r="I471" t="s">
        <v>1511</v>
      </c>
      <c r="J471" t="s">
        <v>40</v>
      </c>
      <c r="K471">
        <v>2</v>
      </c>
      <c r="L471" t="s">
        <v>41</v>
      </c>
      <c r="M471" t="s">
        <v>42</v>
      </c>
      <c r="N471" t="s">
        <v>43</v>
      </c>
      <c r="O471" s="7">
        <v>3</v>
      </c>
      <c r="P471" s="8">
        <v>45374.519386574073</v>
      </c>
      <c r="Q471" s="9">
        <v>45378</v>
      </c>
      <c r="R471" t="s">
        <v>789</v>
      </c>
      <c r="S471" t="s">
        <v>45</v>
      </c>
      <c r="T471" t="s">
        <v>46</v>
      </c>
      <c r="U471" t="s">
        <v>77</v>
      </c>
      <c r="V471" t="s">
        <v>1512</v>
      </c>
      <c r="W471">
        <v>75460</v>
      </c>
      <c r="X471" t="s">
        <v>45</v>
      </c>
      <c r="Y471" t="s">
        <v>1181</v>
      </c>
      <c r="Z471" t="s">
        <v>50</v>
      </c>
      <c r="AA471" s="10">
        <f>IF(O471&lt;=1,7,7+0.8*ROUNDUP(O471-1,0))</f>
        <v>8.6</v>
      </c>
      <c r="AB471" s="11">
        <v>0</v>
      </c>
      <c r="AC471" s="11">
        <v>0</v>
      </c>
      <c r="AD471" s="11">
        <v>0</v>
      </c>
      <c r="AE471" s="11">
        <v>0</v>
      </c>
      <c r="AF471" s="11">
        <f t="shared" si="18"/>
        <v>0.51600000000000001</v>
      </c>
      <c r="AG471" s="11">
        <f t="shared" si="19"/>
        <v>9.1159999999999997</v>
      </c>
      <c r="AH471" t="s">
        <v>51</v>
      </c>
    </row>
    <row r="472" spans="1:34" ht="15" customHeight="1" x14ac:dyDescent="0.35">
      <c r="A472">
        <v>7547676</v>
      </c>
      <c r="B472">
        <v>690929</v>
      </c>
      <c r="C472" t="s">
        <v>34</v>
      </c>
      <c r="D472" t="s">
        <v>35</v>
      </c>
      <c r="E472" s="6" t="s">
        <v>34</v>
      </c>
      <c r="F472" t="s">
        <v>1513</v>
      </c>
      <c r="G472" t="s">
        <v>37</v>
      </c>
      <c r="H472" t="s">
        <v>38</v>
      </c>
      <c r="I472" t="s">
        <v>1514</v>
      </c>
      <c r="J472" t="s">
        <v>40</v>
      </c>
      <c r="K472">
        <v>2</v>
      </c>
      <c r="L472" t="s">
        <v>41</v>
      </c>
      <c r="M472" t="s">
        <v>42</v>
      </c>
      <c r="N472" t="s">
        <v>43</v>
      </c>
      <c r="O472" s="7">
        <v>4</v>
      </c>
      <c r="P472" s="8">
        <v>45376.631516203706</v>
      </c>
      <c r="Q472" s="9">
        <v>45378</v>
      </c>
      <c r="R472" t="s">
        <v>44</v>
      </c>
      <c r="S472" t="s">
        <v>45</v>
      </c>
      <c r="T472" t="s">
        <v>46</v>
      </c>
      <c r="U472" t="s">
        <v>86</v>
      </c>
      <c r="V472" t="s">
        <v>1515</v>
      </c>
      <c r="W472">
        <v>70450</v>
      </c>
      <c r="X472" t="s">
        <v>45</v>
      </c>
      <c r="Y472" t="s">
        <v>589</v>
      </c>
      <c r="Z472" t="s">
        <v>50</v>
      </c>
      <c r="AA472" s="10">
        <f>IF(O472&lt;=1,7,7+0.8*ROUNDUP(O472-1,0))</f>
        <v>9.4</v>
      </c>
      <c r="AB472" s="11">
        <v>0</v>
      </c>
      <c r="AC472" s="11">
        <v>0</v>
      </c>
      <c r="AD472" s="11">
        <v>0</v>
      </c>
      <c r="AE472" s="11">
        <v>0</v>
      </c>
      <c r="AF472" s="11">
        <f t="shared" si="18"/>
        <v>0.56399999999999995</v>
      </c>
      <c r="AG472" s="11">
        <f t="shared" si="19"/>
        <v>9.9640000000000004</v>
      </c>
      <c r="AH472" t="s">
        <v>51</v>
      </c>
    </row>
    <row r="473" spans="1:34" ht="15" customHeight="1" x14ac:dyDescent="0.35">
      <c r="A473">
        <v>7547676</v>
      </c>
      <c r="B473">
        <v>690929</v>
      </c>
      <c r="C473" t="s">
        <v>34</v>
      </c>
      <c r="D473" t="s">
        <v>35</v>
      </c>
      <c r="E473" s="6" t="s">
        <v>34</v>
      </c>
      <c r="F473" t="s">
        <v>1516</v>
      </c>
      <c r="G473" t="s">
        <v>37</v>
      </c>
      <c r="H473" t="s">
        <v>38</v>
      </c>
      <c r="I473" t="s">
        <v>1517</v>
      </c>
      <c r="J473" t="s">
        <v>40</v>
      </c>
      <c r="K473">
        <v>2</v>
      </c>
      <c r="L473" t="s">
        <v>41</v>
      </c>
      <c r="M473" t="s">
        <v>42</v>
      </c>
      <c r="N473" t="s">
        <v>43</v>
      </c>
      <c r="O473" s="7">
        <v>1</v>
      </c>
      <c r="P473" s="8">
        <v>45377.649525462963</v>
      </c>
      <c r="Q473" s="9">
        <v>45378</v>
      </c>
      <c r="R473" t="s">
        <v>44</v>
      </c>
      <c r="S473" t="s">
        <v>45</v>
      </c>
      <c r="T473" t="s">
        <v>46</v>
      </c>
      <c r="U473" t="s">
        <v>190</v>
      </c>
      <c r="V473" t="s">
        <v>1518</v>
      </c>
      <c r="W473">
        <v>25200</v>
      </c>
      <c r="X473" t="s">
        <v>45</v>
      </c>
      <c r="Y473" t="s">
        <v>362</v>
      </c>
      <c r="Z473" t="s">
        <v>50</v>
      </c>
      <c r="AA473" s="10">
        <f>IF(O473&lt;=1,7,7+0.8*ROUNDUP(O473-1,0))</f>
        <v>7</v>
      </c>
      <c r="AB473" s="11">
        <v>0</v>
      </c>
      <c r="AC473" s="11">
        <v>0</v>
      </c>
      <c r="AD473" s="11">
        <v>0</v>
      </c>
      <c r="AE473" s="11">
        <v>0</v>
      </c>
      <c r="AF473" s="11">
        <f t="shared" si="18"/>
        <v>0.42</v>
      </c>
      <c r="AG473" s="11">
        <f t="shared" si="19"/>
        <v>7.42</v>
      </c>
      <c r="AH473" t="s">
        <v>51</v>
      </c>
    </row>
    <row r="474" spans="1:34" ht="15" customHeight="1" x14ac:dyDescent="0.35">
      <c r="A474">
        <v>7547676</v>
      </c>
      <c r="B474">
        <v>690929</v>
      </c>
      <c r="C474" t="s">
        <v>34</v>
      </c>
      <c r="D474" t="s">
        <v>35</v>
      </c>
      <c r="E474" s="6" t="s">
        <v>34</v>
      </c>
      <c r="F474" t="s">
        <v>1519</v>
      </c>
      <c r="G474" t="s">
        <v>37</v>
      </c>
      <c r="H474" t="s">
        <v>38</v>
      </c>
      <c r="I474" t="s">
        <v>1520</v>
      </c>
      <c r="J474" t="s">
        <v>40</v>
      </c>
      <c r="K474">
        <v>2</v>
      </c>
      <c r="L474" t="s">
        <v>41</v>
      </c>
      <c r="M474" t="s">
        <v>42</v>
      </c>
      <c r="N474" t="s">
        <v>43</v>
      </c>
      <c r="O474" s="7">
        <v>1</v>
      </c>
      <c r="P474" s="8">
        <v>45377.518333333333</v>
      </c>
      <c r="Q474" s="9">
        <v>45378</v>
      </c>
      <c r="R474" t="s">
        <v>44</v>
      </c>
      <c r="S474" t="s">
        <v>45</v>
      </c>
      <c r="T474" t="s">
        <v>46</v>
      </c>
      <c r="U474" t="s">
        <v>47</v>
      </c>
      <c r="V474" t="s">
        <v>1521</v>
      </c>
      <c r="W474">
        <v>24000</v>
      </c>
      <c r="X474" t="s">
        <v>45</v>
      </c>
      <c r="Y474" t="s">
        <v>362</v>
      </c>
      <c r="Z474" t="s">
        <v>50</v>
      </c>
      <c r="AA474" s="10">
        <f>IF(O474&lt;=1,7,7+0.8*ROUNDUP(O474-1,0))</f>
        <v>7</v>
      </c>
      <c r="AB474" s="11">
        <v>0</v>
      </c>
      <c r="AC474" s="11">
        <v>0</v>
      </c>
      <c r="AD474" s="11">
        <v>0</v>
      </c>
      <c r="AE474" s="11">
        <v>0</v>
      </c>
      <c r="AF474" s="11">
        <f t="shared" si="18"/>
        <v>0.42</v>
      </c>
      <c r="AG474" s="11">
        <f t="shared" si="19"/>
        <v>7.42</v>
      </c>
      <c r="AH474" t="s">
        <v>51</v>
      </c>
    </row>
    <row r="475" spans="1:34" ht="15" customHeight="1" x14ac:dyDescent="0.35">
      <c r="A475">
        <v>7547676</v>
      </c>
      <c r="B475">
        <v>690929</v>
      </c>
      <c r="C475" t="s">
        <v>34</v>
      </c>
      <c r="D475" t="s">
        <v>35</v>
      </c>
      <c r="E475" s="6" t="s">
        <v>34</v>
      </c>
      <c r="F475" t="s">
        <v>1522</v>
      </c>
      <c r="G475" t="s">
        <v>37</v>
      </c>
      <c r="H475" t="s">
        <v>38</v>
      </c>
      <c r="I475" t="s">
        <v>815</v>
      </c>
      <c r="J475" t="s">
        <v>40</v>
      </c>
      <c r="K475">
        <v>2</v>
      </c>
      <c r="L475" t="s">
        <v>41</v>
      </c>
      <c r="M475" t="s">
        <v>42</v>
      </c>
      <c r="N475" t="s">
        <v>43</v>
      </c>
      <c r="O475" s="7">
        <v>1</v>
      </c>
      <c r="P475" s="8">
        <v>45369.49119212963</v>
      </c>
      <c r="Q475" s="9">
        <v>45378</v>
      </c>
      <c r="R475" t="s">
        <v>44</v>
      </c>
      <c r="S475" t="s">
        <v>45</v>
      </c>
      <c r="T475" t="s">
        <v>46</v>
      </c>
      <c r="U475" t="s">
        <v>112</v>
      </c>
      <c r="V475" t="s">
        <v>816</v>
      </c>
      <c r="W475">
        <v>91150</v>
      </c>
      <c r="X475" t="s">
        <v>114</v>
      </c>
      <c r="Y475" t="s">
        <v>1319</v>
      </c>
      <c r="Z475" t="s">
        <v>50</v>
      </c>
      <c r="AA475" s="12">
        <f>IF(O475&lt;=1,13,IF(O475&lt;=2,23,IF(O475&lt;=3,35,IF(O475&lt;=4,43,IF(O475&lt;=5,53,IF(O475&lt;=6,63,IF(O475&lt;=7,71,IF(O475&lt;=8,79,IF(O475&lt;=9,87,IF(O475&lt;=10,95,IF(O475&lt;=11,105,IF(O475&lt;=12,114,IF(O475&lt;=13,119,IF(O475&lt;=14,127,IF(O475&lt;=15,135,IF(O475&lt;=16,143,IF(O475&lt;=17,153,IF(O475&lt;=18,163,IF(O475&lt;=19,171,IF(O475&lt;=20,185,IF(O475&lt;=21,193,IF(O475&lt;=22,201,IF(O475&lt;=23,210,IF(O475&lt;=24,220,IF(O475&lt;=25,230,IF(O475&lt;=26,240,IF(O475&lt;=27,250,IF(O475&lt;=28,260,IF(O475&lt;=29,270,IF(O475&lt;=30,280,280+10*ROUNDUP(O475-30,0)))))))))))))))))))))))))))))))</f>
        <v>13</v>
      </c>
      <c r="AB475" s="11">
        <v>0</v>
      </c>
      <c r="AC475" s="11">
        <v>0</v>
      </c>
      <c r="AD475" s="11">
        <v>0</v>
      </c>
      <c r="AE475" s="11">
        <v>0</v>
      </c>
      <c r="AF475" s="11">
        <f t="shared" si="18"/>
        <v>0.78</v>
      </c>
      <c r="AG475" s="11">
        <f t="shared" si="19"/>
        <v>13.78</v>
      </c>
      <c r="AH475" t="s">
        <v>116</v>
      </c>
    </row>
    <row r="476" spans="1:34" ht="15" customHeight="1" x14ac:dyDescent="0.35">
      <c r="A476">
        <v>7547676</v>
      </c>
      <c r="B476">
        <v>690929</v>
      </c>
      <c r="C476" t="s">
        <v>34</v>
      </c>
      <c r="D476" t="s">
        <v>35</v>
      </c>
      <c r="E476" s="6" t="s">
        <v>34</v>
      </c>
      <c r="F476" t="s">
        <v>1523</v>
      </c>
      <c r="G476" t="s">
        <v>37</v>
      </c>
      <c r="H476" t="s">
        <v>38</v>
      </c>
      <c r="I476" t="s">
        <v>1524</v>
      </c>
      <c r="J476" t="s">
        <v>40</v>
      </c>
      <c r="K476">
        <v>2</v>
      </c>
      <c r="L476" t="s">
        <v>41</v>
      </c>
      <c r="M476" t="s">
        <v>42</v>
      </c>
      <c r="N476" t="s">
        <v>43</v>
      </c>
      <c r="O476" s="7">
        <v>1</v>
      </c>
      <c r="P476" s="8">
        <v>45377.549814814818</v>
      </c>
      <c r="Q476" s="9">
        <v>45378</v>
      </c>
      <c r="R476" t="s">
        <v>44</v>
      </c>
      <c r="S476" t="s">
        <v>45</v>
      </c>
      <c r="T476" t="s">
        <v>46</v>
      </c>
      <c r="U476" t="s">
        <v>47</v>
      </c>
      <c r="V476" t="s">
        <v>1525</v>
      </c>
      <c r="W476">
        <v>24100</v>
      </c>
      <c r="X476" t="s">
        <v>45</v>
      </c>
      <c r="Y476" t="s">
        <v>362</v>
      </c>
      <c r="Z476" t="s">
        <v>50</v>
      </c>
      <c r="AA476" s="10">
        <f>IF(O476&lt;=1,7,7+0.8*ROUNDUP(O476-1,0))</f>
        <v>7</v>
      </c>
      <c r="AB476" s="11">
        <v>0</v>
      </c>
      <c r="AC476" s="11">
        <v>0</v>
      </c>
      <c r="AD476" s="11">
        <v>0</v>
      </c>
      <c r="AE476" s="11">
        <v>0</v>
      </c>
      <c r="AF476" s="11">
        <f t="shared" si="18"/>
        <v>0.42</v>
      </c>
      <c r="AG476" s="11">
        <f t="shared" si="19"/>
        <v>7.42</v>
      </c>
      <c r="AH476" t="s">
        <v>51</v>
      </c>
    </row>
    <row r="477" spans="1:34" ht="15" customHeight="1" x14ac:dyDescent="0.35">
      <c r="A477">
        <v>7547676</v>
      </c>
      <c r="B477">
        <v>690929</v>
      </c>
      <c r="C477" t="s">
        <v>34</v>
      </c>
      <c r="D477" t="s">
        <v>35</v>
      </c>
      <c r="E477" s="6" t="s">
        <v>34</v>
      </c>
      <c r="F477" t="s">
        <v>1526</v>
      </c>
      <c r="G477" t="s">
        <v>37</v>
      </c>
      <c r="H477" t="s">
        <v>38</v>
      </c>
      <c r="I477" t="s">
        <v>1527</v>
      </c>
      <c r="J477" t="s">
        <v>40</v>
      </c>
      <c r="K477">
        <v>2</v>
      </c>
      <c r="L477" t="s">
        <v>41</v>
      </c>
      <c r="M477" t="s">
        <v>42</v>
      </c>
      <c r="N477" t="s">
        <v>43</v>
      </c>
      <c r="O477" s="7">
        <v>1</v>
      </c>
      <c r="P477" s="8">
        <v>45376.524699074071</v>
      </c>
      <c r="Q477" s="9">
        <v>45378</v>
      </c>
      <c r="R477" t="s">
        <v>789</v>
      </c>
      <c r="S477" t="s">
        <v>45</v>
      </c>
      <c r="T477" t="s">
        <v>46</v>
      </c>
      <c r="U477" t="s">
        <v>86</v>
      </c>
      <c r="V477" t="s">
        <v>1528</v>
      </c>
      <c r="W477">
        <v>71760</v>
      </c>
      <c r="X477" t="s">
        <v>45</v>
      </c>
      <c r="Y477" t="s">
        <v>88</v>
      </c>
      <c r="Z477" t="s">
        <v>50</v>
      </c>
      <c r="AA477" s="10">
        <f>IF(O477&lt;=1,7,7+0.8*ROUNDUP(O477-1,0))</f>
        <v>7</v>
      </c>
      <c r="AB477" s="11">
        <v>0</v>
      </c>
      <c r="AC477" s="11">
        <v>0</v>
      </c>
      <c r="AD477" s="11">
        <v>0</v>
      </c>
      <c r="AE477" s="11">
        <v>0</v>
      </c>
      <c r="AF477" s="11">
        <f t="shared" si="18"/>
        <v>0.42</v>
      </c>
      <c r="AG477" s="11">
        <f t="shared" si="19"/>
        <v>7.42</v>
      </c>
      <c r="AH477" t="s">
        <v>51</v>
      </c>
    </row>
    <row r="478" spans="1:34" ht="15" customHeight="1" x14ac:dyDescent="0.35">
      <c r="A478">
        <v>7547676</v>
      </c>
      <c r="B478">
        <v>690929</v>
      </c>
      <c r="C478" t="s">
        <v>34</v>
      </c>
      <c r="D478" t="s">
        <v>35</v>
      </c>
      <c r="E478" s="6" t="s">
        <v>34</v>
      </c>
      <c r="F478" t="s">
        <v>1529</v>
      </c>
      <c r="G478" t="s">
        <v>37</v>
      </c>
      <c r="H478" t="s">
        <v>38</v>
      </c>
      <c r="I478" t="s">
        <v>1530</v>
      </c>
      <c r="J478" t="s">
        <v>40</v>
      </c>
      <c r="K478">
        <v>2</v>
      </c>
      <c r="L478" t="s">
        <v>41</v>
      </c>
      <c r="M478" t="s">
        <v>42</v>
      </c>
      <c r="N478" t="s">
        <v>43</v>
      </c>
      <c r="O478" s="7">
        <v>1</v>
      </c>
      <c r="P478" s="8">
        <v>45372.659791666665</v>
      </c>
      <c r="Q478" s="9">
        <v>45378</v>
      </c>
      <c r="R478" t="s">
        <v>789</v>
      </c>
      <c r="S478" t="s">
        <v>45</v>
      </c>
      <c r="T478" t="s">
        <v>46</v>
      </c>
      <c r="U478" t="s">
        <v>130</v>
      </c>
      <c r="V478" t="s">
        <v>1531</v>
      </c>
      <c r="W478">
        <v>98000</v>
      </c>
      <c r="X478" t="s">
        <v>114</v>
      </c>
      <c r="Y478" t="s">
        <v>79</v>
      </c>
      <c r="Z478" t="s">
        <v>50</v>
      </c>
      <c r="AA478" s="12">
        <f>IF(O478&lt;=1,13,IF(O478&lt;=2,23,IF(O478&lt;=3,35,IF(O478&lt;=4,43,IF(O478&lt;=5,53,IF(O478&lt;=6,63,IF(O478&lt;=7,71,IF(O478&lt;=8,79,IF(O478&lt;=9,87,IF(O478&lt;=10,95,IF(O478&lt;=11,105,IF(O478&lt;=12,114,IF(O478&lt;=13,119,IF(O478&lt;=14,127,IF(O478&lt;=15,135,IF(O478&lt;=16,143,IF(O478&lt;=17,153,IF(O478&lt;=18,163,IF(O478&lt;=19,171,IF(O478&lt;=20,185,IF(O478&lt;=21,193,IF(O478&lt;=22,201,IF(O478&lt;=23,210,IF(O478&lt;=24,220,IF(O478&lt;=25,230,IF(O478&lt;=26,240,IF(O478&lt;=27,250,IF(O478&lt;=28,260,IF(O478&lt;=29,270,IF(O478&lt;=30,280,280+10*ROUNDUP(O478-30,0)))))))))))))))))))))))))))))))</f>
        <v>13</v>
      </c>
      <c r="AB478" s="11">
        <v>0</v>
      </c>
      <c r="AC478" s="11">
        <v>0</v>
      </c>
      <c r="AD478" s="11">
        <v>0</v>
      </c>
      <c r="AE478" s="11">
        <v>0</v>
      </c>
      <c r="AF478" s="11">
        <f t="shared" si="18"/>
        <v>0.78</v>
      </c>
      <c r="AG478" s="11">
        <f t="shared" si="19"/>
        <v>13.78</v>
      </c>
      <c r="AH478" t="s">
        <v>116</v>
      </c>
    </row>
    <row r="479" spans="1:34" ht="15" customHeight="1" x14ac:dyDescent="0.35">
      <c r="A479">
        <v>7547676</v>
      </c>
      <c r="B479">
        <v>690929</v>
      </c>
      <c r="C479" t="s">
        <v>34</v>
      </c>
      <c r="D479" t="s">
        <v>35</v>
      </c>
      <c r="E479" s="6" t="s">
        <v>34</v>
      </c>
      <c r="F479" t="s">
        <v>1532</v>
      </c>
      <c r="G479" t="s">
        <v>37</v>
      </c>
      <c r="H479" t="s">
        <v>38</v>
      </c>
      <c r="I479" t="s">
        <v>1533</v>
      </c>
      <c r="J479" t="s">
        <v>40</v>
      </c>
      <c r="K479">
        <v>2</v>
      </c>
      <c r="L479" t="s">
        <v>41</v>
      </c>
      <c r="M479" t="s">
        <v>42</v>
      </c>
      <c r="N479" t="s">
        <v>43</v>
      </c>
      <c r="O479" s="7">
        <v>1</v>
      </c>
      <c r="P479" s="8">
        <v>45376.524699074071</v>
      </c>
      <c r="Q479" s="9">
        <v>45378</v>
      </c>
      <c r="R479" t="s">
        <v>789</v>
      </c>
      <c r="S479" t="s">
        <v>45</v>
      </c>
      <c r="T479" t="s">
        <v>46</v>
      </c>
      <c r="U479" t="s">
        <v>54</v>
      </c>
      <c r="V479" t="s">
        <v>1534</v>
      </c>
      <c r="W479">
        <v>43300</v>
      </c>
      <c r="X479" t="s">
        <v>45</v>
      </c>
      <c r="Y479" t="s">
        <v>60</v>
      </c>
      <c r="Z479" t="s">
        <v>50</v>
      </c>
      <c r="AA479" s="10">
        <f>IF(O479&lt;=1,7,7+0.8*ROUNDUP(O479-1,0))</f>
        <v>7</v>
      </c>
      <c r="AB479" s="11">
        <v>0</v>
      </c>
      <c r="AC479" s="11">
        <v>0</v>
      </c>
      <c r="AD479" s="11">
        <v>0</v>
      </c>
      <c r="AE479" s="11">
        <v>0</v>
      </c>
      <c r="AF479" s="11">
        <f t="shared" si="18"/>
        <v>0.42</v>
      </c>
      <c r="AG479" s="11">
        <f t="shared" si="19"/>
        <v>7.42</v>
      </c>
      <c r="AH479" t="s">
        <v>51</v>
      </c>
    </row>
    <row r="480" spans="1:34" ht="15" customHeight="1" x14ac:dyDescent="0.35">
      <c r="A480">
        <v>7547676</v>
      </c>
      <c r="B480">
        <v>690929</v>
      </c>
      <c r="C480" t="s">
        <v>34</v>
      </c>
      <c r="D480" t="s">
        <v>35</v>
      </c>
      <c r="E480" s="6" t="s">
        <v>34</v>
      </c>
      <c r="F480" t="s">
        <v>1535</v>
      </c>
      <c r="G480" t="s">
        <v>37</v>
      </c>
      <c r="H480" t="s">
        <v>38</v>
      </c>
      <c r="I480" t="s">
        <v>1536</v>
      </c>
      <c r="J480" t="s">
        <v>40</v>
      </c>
      <c r="K480">
        <v>2</v>
      </c>
      <c r="L480" t="s">
        <v>41</v>
      </c>
      <c r="M480" t="s">
        <v>42</v>
      </c>
      <c r="N480" t="s">
        <v>43</v>
      </c>
      <c r="O480" s="7">
        <v>2</v>
      </c>
      <c r="P480" s="8">
        <v>45376.639803240738</v>
      </c>
      <c r="Q480" s="9">
        <v>45378</v>
      </c>
      <c r="R480" t="s">
        <v>789</v>
      </c>
      <c r="S480" t="s">
        <v>45</v>
      </c>
      <c r="T480" t="s">
        <v>46</v>
      </c>
      <c r="U480" t="s">
        <v>67</v>
      </c>
      <c r="V480" t="s">
        <v>1537</v>
      </c>
      <c r="W480">
        <v>55100</v>
      </c>
      <c r="X480" t="s">
        <v>45</v>
      </c>
      <c r="Y480" t="s">
        <v>79</v>
      </c>
      <c r="Z480" t="s">
        <v>50</v>
      </c>
      <c r="AA480" s="10">
        <f>IF(O480&lt;=1,7,7+0.8*ROUNDUP(O480-1,0))</f>
        <v>7.8</v>
      </c>
      <c r="AB480" s="11">
        <v>0</v>
      </c>
      <c r="AC480" s="11">
        <v>0</v>
      </c>
      <c r="AD480" s="11">
        <v>0</v>
      </c>
      <c r="AE480" s="11">
        <v>0</v>
      </c>
      <c r="AF480" s="11">
        <f t="shared" si="18"/>
        <v>0.46799999999999997</v>
      </c>
      <c r="AG480" s="11">
        <f t="shared" si="19"/>
        <v>8.2680000000000007</v>
      </c>
      <c r="AH480" t="s">
        <v>51</v>
      </c>
    </row>
    <row r="481" spans="1:34" ht="15" customHeight="1" x14ac:dyDescent="0.35">
      <c r="A481">
        <v>7547676</v>
      </c>
      <c r="B481">
        <v>690929</v>
      </c>
      <c r="C481" t="s">
        <v>34</v>
      </c>
      <c r="D481" t="s">
        <v>35</v>
      </c>
      <c r="E481" s="6" t="s">
        <v>34</v>
      </c>
      <c r="F481" t="s">
        <v>1538</v>
      </c>
      <c r="G481" t="s">
        <v>37</v>
      </c>
      <c r="H481" t="s">
        <v>38</v>
      </c>
      <c r="I481" t="s">
        <v>1539</v>
      </c>
      <c r="J481" t="s">
        <v>40</v>
      </c>
      <c r="K481">
        <v>2</v>
      </c>
      <c r="L481" t="s">
        <v>41</v>
      </c>
      <c r="M481" t="s">
        <v>42</v>
      </c>
      <c r="N481" t="s">
        <v>43</v>
      </c>
      <c r="O481" s="7">
        <v>1</v>
      </c>
      <c r="P481" s="8">
        <v>45376.68990740741</v>
      </c>
      <c r="Q481" s="9">
        <v>45378</v>
      </c>
      <c r="R481" t="s">
        <v>789</v>
      </c>
      <c r="S481" t="s">
        <v>45</v>
      </c>
      <c r="T481" t="s">
        <v>46</v>
      </c>
      <c r="U481" t="s">
        <v>99</v>
      </c>
      <c r="V481" t="s">
        <v>1540</v>
      </c>
      <c r="W481">
        <v>16150</v>
      </c>
      <c r="X481" t="s">
        <v>45</v>
      </c>
      <c r="Y481" t="s">
        <v>399</v>
      </c>
      <c r="Z481" t="s">
        <v>50</v>
      </c>
      <c r="AA481" s="10">
        <f>IF(O481&lt;=1,7,7+0.8*ROUNDUP(O481-1,0))</f>
        <v>7</v>
      </c>
      <c r="AB481" s="11">
        <v>0</v>
      </c>
      <c r="AC481" s="11">
        <v>0</v>
      </c>
      <c r="AD481" s="11">
        <v>0</v>
      </c>
      <c r="AE481" s="11">
        <v>0</v>
      </c>
      <c r="AF481" s="11">
        <f t="shared" si="18"/>
        <v>0.42</v>
      </c>
      <c r="AG481" s="11">
        <f t="shared" si="19"/>
        <v>7.42</v>
      </c>
      <c r="AH481" t="s">
        <v>51</v>
      </c>
    </row>
    <row r="482" spans="1:34" ht="15" customHeight="1" x14ac:dyDescent="0.35">
      <c r="A482">
        <v>7547676</v>
      </c>
      <c r="B482">
        <v>690929</v>
      </c>
      <c r="C482" t="s">
        <v>34</v>
      </c>
      <c r="D482" t="s">
        <v>35</v>
      </c>
      <c r="E482" s="6" t="s">
        <v>34</v>
      </c>
      <c r="F482" t="s">
        <v>1541</v>
      </c>
      <c r="G482" t="s">
        <v>37</v>
      </c>
      <c r="H482" t="s">
        <v>38</v>
      </c>
      <c r="I482" t="s">
        <v>1542</v>
      </c>
      <c r="J482" t="s">
        <v>40</v>
      </c>
      <c r="K482">
        <v>2</v>
      </c>
      <c r="L482" t="s">
        <v>41</v>
      </c>
      <c r="M482" t="s">
        <v>42</v>
      </c>
      <c r="N482" t="s">
        <v>43</v>
      </c>
      <c r="O482" s="7">
        <v>1</v>
      </c>
      <c r="P482" s="8">
        <v>45377.656226851854</v>
      </c>
      <c r="Q482" s="9">
        <v>45378</v>
      </c>
      <c r="R482" t="s">
        <v>44</v>
      </c>
      <c r="S482" t="s">
        <v>45</v>
      </c>
      <c r="T482" t="s">
        <v>46</v>
      </c>
      <c r="U482" t="s">
        <v>54</v>
      </c>
      <c r="V482" t="s">
        <v>1543</v>
      </c>
      <c r="W482">
        <v>68000</v>
      </c>
      <c r="X482" t="s">
        <v>45</v>
      </c>
      <c r="Y482" t="s">
        <v>331</v>
      </c>
      <c r="Z482" t="s">
        <v>50</v>
      </c>
      <c r="AA482" s="10">
        <f>IF(O482&lt;=1,7,7+0.8*ROUNDUP(O482-1,0))</f>
        <v>7</v>
      </c>
      <c r="AB482" s="11">
        <v>0</v>
      </c>
      <c r="AC482" s="11">
        <v>0</v>
      </c>
      <c r="AD482" s="11">
        <v>0</v>
      </c>
      <c r="AE482" s="11">
        <v>0</v>
      </c>
      <c r="AF482" s="11">
        <f t="shared" si="18"/>
        <v>0.42</v>
      </c>
      <c r="AG482" s="11">
        <f t="shared" si="19"/>
        <v>7.42</v>
      </c>
      <c r="AH482" t="s">
        <v>51</v>
      </c>
    </row>
    <row r="483" spans="1:34" ht="15" customHeight="1" x14ac:dyDescent="0.35">
      <c r="A483">
        <v>7547676</v>
      </c>
      <c r="B483">
        <v>690929</v>
      </c>
      <c r="C483" t="s">
        <v>34</v>
      </c>
      <c r="D483" t="s">
        <v>35</v>
      </c>
      <c r="E483" s="6" t="s">
        <v>34</v>
      </c>
      <c r="F483" t="s">
        <v>1544</v>
      </c>
      <c r="G483" t="s">
        <v>37</v>
      </c>
      <c r="H483" t="s">
        <v>38</v>
      </c>
      <c r="I483" t="s">
        <v>1545</v>
      </c>
      <c r="J483" t="s">
        <v>40</v>
      </c>
      <c r="K483">
        <v>2</v>
      </c>
      <c r="L483" t="s">
        <v>41</v>
      </c>
      <c r="M483" t="s">
        <v>42</v>
      </c>
      <c r="N483" t="s">
        <v>43</v>
      </c>
      <c r="O483" s="7">
        <v>1</v>
      </c>
      <c r="P483" s="8">
        <v>45376.681956018518</v>
      </c>
      <c r="Q483" s="9">
        <v>45378</v>
      </c>
      <c r="R483" t="s">
        <v>789</v>
      </c>
      <c r="S483" t="s">
        <v>45</v>
      </c>
      <c r="T483" t="s">
        <v>46</v>
      </c>
      <c r="U483" t="s">
        <v>67</v>
      </c>
      <c r="V483" t="s">
        <v>1546</v>
      </c>
      <c r="W483">
        <v>56100</v>
      </c>
      <c r="X483" t="s">
        <v>45</v>
      </c>
      <c r="Y483" t="s">
        <v>1547</v>
      </c>
      <c r="Z483" t="s">
        <v>50</v>
      </c>
      <c r="AA483" s="10">
        <f>IF(O483&lt;=1,7,7+0.8*ROUNDUP(O483-1,0))</f>
        <v>7</v>
      </c>
      <c r="AB483" s="11">
        <v>0</v>
      </c>
      <c r="AC483" s="11">
        <v>0</v>
      </c>
      <c r="AD483" s="11">
        <v>0</v>
      </c>
      <c r="AE483" s="11">
        <v>0</v>
      </c>
      <c r="AF483" s="11">
        <f t="shared" si="18"/>
        <v>0.42</v>
      </c>
      <c r="AG483" s="11">
        <f t="shared" si="19"/>
        <v>7.42</v>
      </c>
      <c r="AH483" t="s">
        <v>51</v>
      </c>
    </row>
    <row r="484" spans="1:34" ht="15" customHeight="1" x14ac:dyDescent="0.35">
      <c r="A484">
        <v>7547676</v>
      </c>
      <c r="B484">
        <v>690929</v>
      </c>
      <c r="C484" t="s">
        <v>34</v>
      </c>
      <c r="D484" t="s">
        <v>35</v>
      </c>
      <c r="E484" s="6" t="s">
        <v>34</v>
      </c>
      <c r="F484" t="s">
        <v>1548</v>
      </c>
      <c r="G484" t="s">
        <v>37</v>
      </c>
      <c r="H484" t="s">
        <v>38</v>
      </c>
      <c r="I484" t="s">
        <v>1549</v>
      </c>
      <c r="J484" t="s">
        <v>40</v>
      </c>
      <c r="K484">
        <v>2</v>
      </c>
      <c r="L484" t="s">
        <v>41</v>
      </c>
      <c r="M484" t="s">
        <v>42</v>
      </c>
      <c r="N484" t="s">
        <v>43</v>
      </c>
      <c r="O484" s="7">
        <v>1</v>
      </c>
      <c r="P484" s="8">
        <v>45377.518333333333</v>
      </c>
      <c r="Q484" s="9">
        <v>45378</v>
      </c>
      <c r="R484" t="s">
        <v>44</v>
      </c>
      <c r="S484" t="s">
        <v>45</v>
      </c>
      <c r="T484" t="s">
        <v>46</v>
      </c>
      <c r="U484" t="s">
        <v>99</v>
      </c>
      <c r="V484" t="s">
        <v>1550</v>
      </c>
      <c r="W484">
        <v>18000</v>
      </c>
      <c r="X484" t="s">
        <v>45</v>
      </c>
      <c r="Y484" t="s">
        <v>156</v>
      </c>
      <c r="Z484" t="s">
        <v>50</v>
      </c>
      <c r="AA484" s="10">
        <f>IF(O484&lt;=1,7,7+0.8*ROUNDUP(O484-1,0))</f>
        <v>7</v>
      </c>
      <c r="AB484" s="11">
        <v>0</v>
      </c>
      <c r="AC484" s="11">
        <v>0</v>
      </c>
      <c r="AD484" s="11">
        <v>0</v>
      </c>
      <c r="AE484" s="11">
        <v>0</v>
      </c>
      <c r="AF484" s="11">
        <f t="shared" si="18"/>
        <v>0.42</v>
      </c>
      <c r="AG484" s="11">
        <f t="shared" si="19"/>
        <v>7.42</v>
      </c>
      <c r="AH484" t="s">
        <v>51</v>
      </c>
    </row>
    <row r="485" spans="1:34" ht="15" customHeight="1" x14ac:dyDescent="0.35">
      <c r="A485">
        <v>7547676</v>
      </c>
      <c r="B485">
        <v>690929</v>
      </c>
      <c r="C485" t="s">
        <v>34</v>
      </c>
      <c r="D485" t="s">
        <v>35</v>
      </c>
      <c r="E485" s="6" t="s">
        <v>34</v>
      </c>
      <c r="F485" t="s">
        <v>1551</v>
      </c>
      <c r="G485" t="s">
        <v>37</v>
      </c>
      <c r="H485" t="s">
        <v>38</v>
      </c>
      <c r="I485" t="s">
        <v>1552</v>
      </c>
      <c r="J485" t="s">
        <v>40</v>
      </c>
      <c r="K485">
        <v>2</v>
      </c>
      <c r="L485" t="s">
        <v>41</v>
      </c>
      <c r="M485" t="s">
        <v>42</v>
      </c>
      <c r="N485" t="s">
        <v>43</v>
      </c>
      <c r="O485" s="7">
        <v>1</v>
      </c>
      <c r="P485" s="8">
        <v>45377.532453703701</v>
      </c>
      <c r="Q485" s="9">
        <v>45379</v>
      </c>
      <c r="R485" t="s">
        <v>44</v>
      </c>
      <c r="S485" t="s">
        <v>45</v>
      </c>
      <c r="T485" t="s">
        <v>46</v>
      </c>
      <c r="U485" t="s">
        <v>77</v>
      </c>
      <c r="V485" t="s">
        <v>1553</v>
      </c>
      <c r="W485">
        <v>78000</v>
      </c>
      <c r="X485" t="s">
        <v>45</v>
      </c>
      <c r="Y485" t="s">
        <v>96</v>
      </c>
      <c r="Z485" t="s">
        <v>50</v>
      </c>
      <c r="AA485" s="10">
        <f>IF(O485&lt;=1,7,7+0.8*ROUNDUP(O485-1,0))</f>
        <v>7</v>
      </c>
      <c r="AB485" s="11">
        <v>0</v>
      </c>
      <c r="AC485" s="11">
        <v>0</v>
      </c>
      <c r="AD485" s="11">
        <v>0</v>
      </c>
      <c r="AE485" s="11">
        <v>0</v>
      </c>
      <c r="AF485" s="11">
        <f t="shared" si="18"/>
        <v>0.42</v>
      </c>
      <c r="AG485" s="11">
        <f t="shared" si="19"/>
        <v>7.42</v>
      </c>
      <c r="AH485" t="s">
        <v>51</v>
      </c>
    </row>
    <row r="486" spans="1:34" ht="15" customHeight="1" x14ac:dyDescent="0.35">
      <c r="A486">
        <v>7547676</v>
      </c>
      <c r="B486">
        <v>690929</v>
      </c>
      <c r="C486" t="s">
        <v>34</v>
      </c>
      <c r="D486" t="s">
        <v>35</v>
      </c>
      <c r="E486" s="6" t="s">
        <v>34</v>
      </c>
      <c r="F486" t="s">
        <v>1554</v>
      </c>
      <c r="G486" t="s">
        <v>37</v>
      </c>
      <c r="H486" t="s">
        <v>38</v>
      </c>
      <c r="I486" t="s">
        <v>1555</v>
      </c>
      <c r="J486" t="s">
        <v>40</v>
      </c>
      <c r="K486">
        <v>2</v>
      </c>
      <c r="L486" t="s">
        <v>41</v>
      </c>
      <c r="M486" t="s">
        <v>42</v>
      </c>
      <c r="N486" t="s">
        <v>43</v>
      </c>
      <c r="O486" s="7">
        <v>1</v>
      </c>
      <c r="P486" s="8">
        <v>45377.639918981484</v>
      </c>
      <c r="Q486" s="9">
        <v>45379</v>
      </c>
      <c r="R486" t="s">
        <v>44</v>
      </c>
      <c r="S486" t="s">
        <v>45</v>
      </c>
      <c r="T486" t="s">
        <v>46</v>
      </c>
      <c r="U486" t="s">
        <v>278</v>
      </c>
      <c r="V486" t="s">
        <v>1556</v>
      </c>
      <c r="W486">
        <v>14000</v>
      </c>
      <c r="X486" t="s">
        <v>45</v>
      </c>
      <c r="Y486" t="s">
        <v>880</v>
      </c>
      <c r="Z486" t="s">
        <v>50</v>
      </c>
      <c r="AA486" s="10">
        <f>IF(O486&lt;=1,7,7+0.8*ROUNDUP(O486-1,0))</f>
        <v>7</v>
      </c>
      <c r="AB486" s="11">
        <v>0</v>
      </c>
      <c r="AC486" s="11">
        <v>0</v>
      </c>
      <c r="AD486" s="11">
        <v>0</v>
      </c>
      <c r="AE486" s="11">
        <v>0</v>
      </c>
      <c r="AF486" s="11">
        <f t="shared" si="18"/>
        <v>0.42</v>
      </c>
      <c r="AG486" s="11">
        <f t="shared" si="19"/>
        <v>7.42</v>
      </c>
      <c r="AH486" t="s">
        <v>51</v>
      </c>
    </row>
    <row r="487" spans="1:34" ht="15" customHeight="1" x14ac:dyDescent="0.35">
      <c r="A487">
        <v>7547676</v>
      </c>
      <c r="B487">
        <v>690929</v>
      </c>
      <c r="C487" t="s">
        <v>34</v>
      </c>
      <c r="D487" t="s">
        <v>35</v>
      </c>
      <c r="E487" s="6" t="s">
        <v>34</v>
      </c>
      <c r="F487" t="s">
        <v>1557</v>
      </c>
      <c r="G487" t="s">
        <v>37</v>
      </c>
      <c r="H487" t="s">
        <v>38</v>
      </c>
      <c r="I487" t="s">
        <v>1558</v>
      </c>
      <c r="J487" t="s">
        <v>40</v>
      </c>
      <c r="K487">
        <v>2</v>
      </c>
      <c r="L487" t="s">
        <v>41</v>
      </c>
      <c r="M487" t="s">
        <v>42</v>
      </c>
      <c r="N487" t="s">
        <v>43</v>
      </c>
      <c r="O487" s="7">
        <v>1</v>
      </c>
      <c r="P487" s="8">
        <v>45378.525879629633</v>
      </c>
      <c r="Q487" s="9">
        <v>45379</v>
      </c>
      <c r="R487" t="s">
        <v>44</v>
      </c>
      <c r="S487" t="s">
        <v>45</v>
      </c>
      <c r="T487" t="s">
        <v>46</v>
      </c>
      <c r="U487" t="s">
        <v>47</v>
      </c>
      <c r="V487" t="s">
        <v>1559</v>
      </c>
      <c r="W487">
        <v>20400</v>
      </c>
      <c r="X487" t="s">
        <v>45</v>
      </c>
      <c r="Y487" t="s">
        <v>49</v>
      </c>
      <c r="Z487" t="s">
        <v>50</v>
      </c>
      <c r="AA487" s="10">
        <f>IF(O487&lt;=1,7,7+0.8*ROUNDUP(O487-1,0))</f>
        <v>7</v>
      </c>
      <c r="AB487" s="11">
        <v>0</v>
      </c>
      <c r="AC487" s="11">
        <v>0</v>
      </c>
      <c r="AD487" s="11">
        <v>0</v>
      </c>
      <c r="AE487" s="11">
        <v>0</v>
      </c>
      <c r="AF487" s="11">
        <f t="shared" si="18"/>
        <v>0.42</v>
      </c>
      <c r="AG487" s="11">
        <f t="shared" si="19"/>
        <v>7.42</v>
      </c>
      <c r="AH487" t="s">
        <v>51</v>
      </c>
    </row>
    <row r="488" spans="1:34" ht="15" customHeight="1" x14ac:dyDescent="0.35">
      <c r="A488">
        <v>7547676</v>
      </c>
      <c r="B488">
        <v>690929</v>
      </c>
      <c r="C488" t="s">
        <v>34</v>
      </c>
      <c r="D488" t="s">
        <v>35</v>
      </c>
      <c r="E488" s="6" t="s">
        <v>34</v>
      </c>
      <c r="F488" t="s">
        <v>1560</v>
      </c>
      <c r="G488" t="s">
        <v>37</v>
      </c>
      <c r="H488" t="s">
        <v>38</v>
      </c>
      <c r="I488" t="s">
        <v>1561</v>
      </c>
      <c r="J488" t="s">
        <v>40</v>
      </c>
      <c r="K488">
        <v>2</v>
      </c>
      <c r="L488" t="s">
        <v>41</v>
      </c>
      <c r="M488" t="s">
        <v>42</v>
      </c>
      <c r="N488" t="s">
        <v>43</v>
      </c>
      <c r="O488" s="7">
        <v>1</v>
      </c>
      <c r="P488" s="8">
        <v>45378.588275462964</v>
      </c>
      <c r="Q488" s="9">
        <v>45379</v>
      </c>
      <c r="R488" t="s">
        <v>44</v>
      </c>
      <c r="S488" t="s">
        <v>45</v>
      </c>
      <c r="T488" t="s">
        <v>46</v>
      </c>
      <c r="U488" t="s">
        <v>190</v>
      </c>
      <c r="V488" t="s">
        <v>1562</v>
      </c>
      <c r="W488">
        <v>27000</v>
      </c>
      <c r="X488" t="s">
        <v>45</v>
      </c>
      <c r="Y488" t="s">
        <v>362</v>
      </c>
      <c r="Z488" t="s">
        <v>50</v>
      </c>
      <c r="AA488" s="10">
        <f>IF(O488&lt;=1,7,7+0.8*ROUNDUP(O488-1,0))</f>
        <v>7</v>
      </c>
      <c r="AB488" s="11">
        <v>0</v>
      </c>
      <c r="AC488" s="11">
        <v>0</v>
      </c>
      <c r="AD488" s="11">
        <v>0</v>
      </c>
      <c r="AE488" s="11">
        <v>0</v>
      </c>
      <c r="AF488" s="11">
        <f t="shared" ref="AF488:AF536" si="20">(AA488+AC488+AE488)*6%</f>
        <v>0.42</v>
      </c>
      <c r="AG488" s="11">
        <f t="shared" ref="AG488:AG536" si="21">AA488+AC488+AE488+AF488</f>
        <v>7.42</v>
      </c>
      <c r="AH488" t="s">
        <v>51</v>
      </c>
    </row>
    <row r="489" spans="1:34" ht="15" customHeight="1" x14ac:dyDescent="0.35">
      <c r="A489">
        <v>7547676</v>
      </c>
      <c r="B489">
        <v>690929</v>
      </c>
      <c r="C489" t="s">
        <v>34</v>
      </c>
      <c r="D489" t="s">
        <v>35</v>
      </c>
      <c r="E489" s="6" t="s">
        <v>34</v>
      </c>
      <c r="F489" t="s">
        <v>1563</v>
      </c>
      <c r="G489" t="s">
        <v>37</v>
      </c>
      <c r="H489" t="s">
        <v>38</v>
      </c>
      <c r="I489" t="s">
        <v>1564</v>
      </c>
      <c r="J489" t="s">
        <v>40</v>
      </c>
      <c r="K489">
        <v>2</v>
      </c>
      <c r="L489" t="s">
        <v>41</v>
      </c>
      <c r="M489" t="s">
        <v>42</v>
      </c>
      <c r="N489" t="s">
        <v>43</v>
      </c>
      <c r="O489" s="7">
        <v>1</v>
      </c>
      <c r="P489" s="8">
        <v>45377.57984953704</v>
      </c>
      <c r="Q489" s="9">
        <v>45379</v>
      </c>
      <c r="R489" t="s">
        <v>44</v>
      </c>
      <c r="S489" t="s">
        <v>45</v>
      </c>
      <c r="T489" t="s">
        <v>46</v>
      </c>
      <c r="U489" t="s">
        <v>172</v>
      </c>
      <c r="V489" t="s">
        <v>1565</v>
      </c>
      <c r="W489">
        <v>32610</v>
      </c>
      <c r="X489" t="s">
        <v>45</v>
      </c>
      <c r="Y489" t="s">
        <v>1005</v>
      </c>
      <c r="Z489" t="s">
        <v>50</v>
      </c>
      <c r="AA489" s="10">
        <f>IF(O489&lt;=1,7,7+0.8*ROUNDUP(O489-1,0))</f>
        <v>7</v>
      </c>
      <c r="AB489" s="11">
        <v>0</v>
      </c>
      <c r="AC489" s="11">
        <v>0</v>
      </c>
      <c r="AD489" s="11">
        <v>0</v>
      </c>
      <c r="AE489" s="11">
        <v>0</v>
      </c>
      <c r="AF489" s="11">
        <f t="shared" si="20"/>
        <v>0.42</v>
      </c>
      <c r="AG489" s="11">
        <f t="shared" si="21"/>
        <v>7.42</v>
      </c>
      <c r="AH489" t="s">
        <v>51</v>
      </c>
    </row>
    <row r="490" spans="1:34" ht="15" customHeight="1" x14ac:dyDescent="0.35">
      <c r="A490">
        <v>7547676</v>
      </c>
      <c r="B490">
        <v>690929</v>
      </c>
      <c r="C490" t="s">
        <v>34</v>
      </c>
      <c r="D490" t="s">
        <v>35</v>
      </c>
      <c r="E490" s="6" t="s">
        <v>34</v>
      </c>
      <c r="F490" t="s">
        <v>1566</v>
      </c>
      <c r="G490" t="s">
        <v>37</v>
      </c>
      <c r="H490" t="s">
        <v>38</v>
      </c>
      <c r="I490" t="s">
        <v>1567</v>
      </c>
      <c r="J490" t="s">
        <v>40</v>
      </c>
      <c r="K490">
        <v>2</v>
      </c>
      <c r="L490" t="s">
        <v>41</v>
      </c>
      <c r="M490" t="s">
        <v>42</v>
      </c>
      <c r="N490" t="s">
        <v>43</v>
      </c>
      <c r="O490" s="7">
        <v>2</v>
      </c>
      <c r="P490" s="8">
        <v>45377.549814814818</v>
      </c>
      <c r="Q490" s="9">
        <v>45379</v>
      </c>
      <c r="R490" t="s">
        <v>44</v>
      </c>
      <c r="S490" t="s">
        <v>45</v>
      </c>
      <c r="T490" t="s">
        <v>46</v>
      </c>
      <c r="U490" t="s">
        <v>54</v>
      </c>
      <c r="V490" t="s">
        <v>1568</v>
      </c>
      <c r="W490">
        <v>41200</v>
      </c>
      <c r="X490" t="s">
        <v>45</v>
      </c>
      <c r="Y490" t="s">
        <v>79</v>
      </c>
      <c r="Z490" t="s">
        <v>50</v>
      </c>
      <c r="AA490" s="10">
        <f>IF(O490&lt;=1,7,7+0.8*ROUNDUP(O490-1,0))</f>
        <v>7.8</v>
      </c>
      <c r="AB490" s="11">
        <v>0</v>
      </c>
      <c r="AC490" s="11">
        <v>0</v>
      </c>
      <c r="AD490" s="11">
        <v>0</v>
      </c>
      <c r="AE490" s="11">
        <v>0</v>
      </c>
      <c r="AF490" s="11">
        <f t="shared" si="20"/>
        <v>0.46799999999999997</v>
      </c>
      <c r="AG490" s="11">
        <f t="shared" si="21"/>
        <v>8.2680000000000007</v>
      </c>
      <c r="AH490" t="s">
        <v>51</v>
      </c>
    </row>
    <row r="491" spans="1:34" ht="15" customHeight="1" x14ac:dyDescent="0.35">
      <c r="A491">
        <v>7547676</v>
      </c>
      <c r="B491">
        <v>690929</v>
      </c>
      <c r="C491" t="s">
        <v>34</v>
      </c>
      <c r="D491" t="s">
        <v>35</v>
      </c>
      <c r="E491" s="6" t="s">
        <v>34</v>
      </c>
      <c r="F491" t="s">
        <v>1569</v>
      </c>
      <c r="G491" t="s">
        <v>37</v>
      </c>
      <c r="H491" t="s">
        <v>38</v>
      </c>
      <c r="I491" t="s">
        <v>1570</v>
      </c>
      <c r="J491" t="s">
        <v>40</v>
      </c>
      <c r="K491">
        <v>2</v>
      </c>
      <c r="L491" t="s">
        <v>41</v>
      </c>
      <c r="M491" t="s">
        <v>42</v>
      </c>
      <c r="N491" t="s">
        <v>43</v>
      </c>
      <c r="O491" s="7">
        <v>2</v>
      </c>
      <c r="P491" s="8">
        <v>45375.619479166664</v>
      </c>
      <c r="Q491" s="9">
        <v>45379</v>
      </c>
      <c r="R491" t="s">
        <v>44</v>
      </c>
      <c r="S491" t="s">
        <v>45</v>
      </c>
      <c r="T491" t="s">
        <v>46</v>
      </c>
      <c r="U491" t="s">
        <v>238</v>
      </c>
      <c r="V491" t="s">
        <v>1571</v>
      </c>
      <c r="W491">
        <v>87000</v>
      </c>
      <c r="X491" t="s">
        <v>114</v>
      </c>
      <c r="Y491" t="s">
        <v>79</v>
      </c>
      <c r="Z491" t="s">
        <v>50</v>
      </c>
      <c r="AA491" s="12">
        <f>IF(O491&lt;=1,13,IF(O491&lt;=2,23,IF(O491&lt;=3,35,IF(O491&lt;=4,43,IF(O491&lt;=5,53,IF(O491&lt;=6,63,IF(O491&lt;=7,71,IF(O491&lt;=8,79,IF(O491&lt;=9,87,IF(O491&lt;=10,95,IF(O491&lt;=11,105,IF(O491&lt;=12,114,IF(O491&lt;=13,119,IF(O491&lt;=14,127,IF(O491&lt;=15,135,IF(O491&lt;=16,143,IF(O491&lt;=17,153,IF(O491&lt;=18,163,IF(O491&lt;=19,171,IF(O491&lt;=20,185,IF(O491&lt;=21,193,IF(O491&lt;=22,201,IF(O491&lt;=23,210,IF(O491&lt;=24,220,IF(O491&lt;=25,230,IF(O491&lt;=26,240,IF(O491&lt;=27,250,IF(O491&lt;=28,260,IF(O491&lt;=29,270,IF(O491&lt;=30,280,280+10*ROUNDUP(O491-30,0)))))))))))))))))))))))))))))))</f>
        <v>23</v>
      </c>
      <c r="AB491" s="11">
        <v>0</v>
      </c>
      <c r="AC491" s="11">
        <v>0</v>
      </c>
      <c r="AD491" s="11">
        <v>0</v>
      </c>
      <c r="AE491" s="11">
        <v>0</v>
      </c>
      <c r="AF491" s="11">
        <f t="shared" si="20"/>
        <v>1.38</v>
      </c>
      <c r="AG491" s="11">
        <f t="shared" si="21"/>
        <v>24.38</v>
      </c>
      <c r="AH491" t="s">
        <v>116</v>
      </c>
    </row>
    <row r="492" spans="1:34" ht="15" customHeight="1" x14ac:dyDescent="0.35">
      <c r="A492">
        <v>7547676</v>
      </c>
      <c r="B492">
        <v>690929</v>
      </c>
      <c r="C492" t="s">
        <v>34</v>
      </c>
      <c r="D492" t="s">
        <v>35</v>
      </c>
      <c r="E492" s="6" t="s">
        <v>34</v>
      </c>
      <c r="F492" t="s">
        <v>1572</v>
      </c>
      <c r="G492" t="s">
        <v>37</v>
      </c>
      <c r="H492" t="s">
        <v>38</v>
      </c>
      <c r="I492" t="s">
        <v>1573</v>
      </c>
      <c r="J492" t="s">
        <v>40</v>
      </c>
      <c r="K492">
        <v>2</v>
      </c>
      <c r="L492" t="s">
        <v>41</v>
      </c>
      <c r="M492" t="s">
        <v>42</v>
      </c>
      <c r="N492" t="s">
        <v>43</v>
      </c>
      <c r="O492" s="7">
        <v>1</v>
      </c>
      <c r="P492" s="8">
        <v>45377.565046296295</v>
      </c>
      <c r="Q492" s="9">
        <v>45379</v>
      </c>
      <c r="R492" t="s">
        <v>44</v>
      </c>
      <c r="S492" t="s">
        <v>45</v>
      </c>
      <c r="T492" t="s">
        <v>46</v>
      </c>
      <c r="U492" t="s">
        <v>54</v>
      </c>
      <c r="V492" t="s">
        <v>1574</v>
      </c>
      <c r="W492">
        <v>42500</v>
      </c>
      <c r="X492" t="s">
        <v>45</v>
      </c>
      <c r="Y492" t="s">
        <v>79</v>
      </c>
      <c r="Z492" t="s">
        <v>50</v>
      </c>
      <c r="AA492" s="10">
        <f>IF(O492&lt;=1,7,7+0.8*ROUNDUP(O492-1,0))</f>
        <v>7</v>
      </c>
      <c r="AB492" s="11">
        <v>0</v>
      </c>
      <c r="AC492" s="11">
        <v>0</v>
      </c>
      <c r="AD492" s="11">
        <v>0</v>
      </c>
      <c r="AE492" s="11">
        <v>0</v>
      </c>
      <c r="AF492" s="11">
        <f t="shared" si="20"/>
        <v>0.42</v>
      </c>
      <c r="AG492" s="11">
        <f t="shared" si="21"/>
        <v>7.42</v>
      </c>
      <c r="AH492" t="s">
        <v>51</v>
      </c>
    </row>
    <row r="493" spans="1:34" ht="15" customHeight="1" x14ac:dyDescent="0.35">
      <c r="A493">
        <v>7547676</v>
      </c>
      <c r="B493">
        <v>690929</v>
      </c>
      <c r="C493" t="s">
        <v>34</v>
      </c>
      <c r="D493" t="s">
        <v>35</v>
      </c>
      <c r="E493" s="6" t="s">
        <v>34</v>
      </c>
      <c r="F493" t="s">
        <v>1575</v>
      </c>
      <c r="G493" t="s">
        <v>37</v>
      </c>
      <c r="H493" t="s">
        <v>38</v>
      </c>
      <c r="I493" t="s">
        <v>1576</v>
      </c>
      <c r="J493" t="s">
        <v>40</v>
      </c>
      <c r="K493">
        <v>2</v>
      </c>
      <c r="L493" t="s">
        <v>41</v>
      </c>
      <c r="M493" t="s">
        <v>42</v>
      </c>
      <c r="N493" t="s">
        <v>43</v>
      </c>
      <c r="O493" s="7">
        <v>1</v>
      </c>
      <c r="P493" s="8">
        <v>45377.518333333333</v>
      </c>
      <c r="Q493" s="9">
        <v>45379</v>
      </c>
      <c r="R493" t="s">
        <v>44</v>
      </c>
      <c r="S493" t="s">
        <v>45</v>
      </c>
      <c r="T493" t="s">
        <v>46</v>
      </c>
      <c r="U493" t="s">
        <v>82</v>
      </c>
      <c r="V493" t="s">
        <v>1577</v>
      </c>
      <c r="W493">
        <v>81200</v>
      </c>
      <c r="X493" t="s">
        <v>45</v>
      </c>
      <c r="Y493" t="s">
        <v>79</v>
      </c>
      <c r="Z493" t="s">
        <v>50</v>
      </c>
      <c r="AA493" s="10">
        <f>IF(O493&lt;=1,7,7+0.8*ROUNDUP(O493-1,0))</f>
        <v>7</v>
      </c>
      <c r="AB493" s="11">
        <v>0</v>
      </c>
      <c r="AC493" s="11">
        <v>0</v>
      </c>
      <c r="AD493" s="11">
        <v>0</v>
      </c>
      <c r="AE493" s="11">
        <v>0</v>
      </c>
      <c r="AF493" s="11">
        <f t="shared" si="20"/>
        <v>0.42</v>
      </c>
      <c r="AG493" s="11">
        <f t="shared" si="21"/>
        <v>7.42</v>
      </c>
      <c r="AH493" t="s">
        <v>51</v>
      </c>
    </row>
    <row r="494" spans="1:34" ht="15" customHeight="1" x14ac:dyDescent="0.35">
      <c r="A494">
        <v>7547676</v>
      </c>
      <c r="B494">
        <v>690929</v>
      </c>
      <c r="C494" t="s">
        <v>34</v>
      </c>
      <c r="D494" t="s">
        <v>35</v>
      </c>
      <c r="E494" s="6" t="s">
        <v>34</v>
      </c>
      <c r="F494" t="s">
        <v>1578</v>
      </c>
      <c r="G494" t="s">
        <v>37</v>
      </c>
      <c r="H494" t="s">
        <v>38</v>
      </c>
      <c r="I494" t="s">
        <v>1579</v>
      </c>
      <c r="J494" t="s">
        <v>40</v>
      </c>
      <c r="K494">
        <v>2</v>
      </c>
      <c r="L494" t="s">
        <v>41</v>
      </c>
      <c r="M494" t="s">
        <v>42</v>
      </c>
      <c r="N494" t="s">
        <v>43</v>
      </c>
      <c r="O494" s="7">
        <v>1</v>
      </c>
      <c r="P494" s="8">
        <v>45377.614571759259</v>
      </c>
      <c r="Q494" s="9">
        <v>45379</v>
      </c>
      <c r="R494" t="s">
        <v>44</v>
      </c>
      <c r="S494" t="s">
        <v>45</v>
      </c>
      <c r="T494" t="s">
        <v>46</v>
      </c>
      <c r="U494" t="s">
        <v>54</v>
      </c>
      <c r="V494" t="s">
        <v>444</v>
      </c>
      <c r="W494">
        <v>40000</v>
      </c>
      <c r="X494" t="s">
        <v>45</v>
      </c>
      <c r="Y494" t="s">
        <v>140</v>
      </c>
      <c r="Z494" t="s">
        <v>50</v>
      </c>
      <c r="AA494" s="10">
        <f>IF(O494&lt;=1,7,7+0.8*ROUNDUP(O494-1,0))</f>
        <v>7</v>
      </c>
      <c r="AB494" s="11">
        <v>0</v>
      </c>
      <c r="AC494" s="11">
        <v>0</v>
      </c>
      <c r="AD494" s="11">
        <v>0</v>
      </c>
      <c r="AE494" s="11">
        <v>0</v>
      </c>
      <c r="AF494" s="11">
        <f t="shared" si="20"/>
        <v>0.42</v>
      </c>
      <c r="AG494" s="11">
        <f t="shared" si="21"/>
        <v>7.42</v>
      </c>
      <c r="AH494" t="s">
        <v>51</v>
      </c>
    </row>
    <row r="495" spans="1:34" ht="15" customHeight="1" x14ac:dyDescent="0.35">
      <c r="A495">
        <v>7547676</v>
      </c>
      <c r="B495">
        <v>690929</v>
      </c>
      <c r="C495" t="s">
        <v>34</v>
      </c>
      <c r="D495" t="s">
        <v>35</v>
      </c>
      <c r="E495" s="6" t="s">
        <v>34</v>
      </c>
      <c r="F495" t="s">
        <v>1580</v>
      </c>
      <c r="G495" t="s">
        <v>37</v>
      </c>
      <c r="H495" t="s">
        <v>38</v>
      </c>
      <c r="I495" t="s">
        <v>1581</v>
      </c>
      <c r="J495" t="s">
        <v>40</v>
      </c>
      <c r="K495">
        <v>2</v>
      </c>
      <c r="L495" t="s">
        <v>41</v>
      </c>
      <c r="M495" t="s">
        <v>42</v>
      </c>
      <c r="N495" t="s">
        <v>43</v>
      </c>
      <c r="O495" s="7">
        <v>1</v>
      </c>
      <c r="P495" s="8">
        <v>45378.522858796299</v>
      </c>
      <c r="Q495" s="9">
        <v>45379</v>
      </c>
      <c r="R495" t="s">
        <v>44</v>
      </c>
      <c r="S495" t="s">
        <v>45</v>
      </c>
      <c r="T495" t="s">
        <v>46</v>
      </c>
      <c r="U495" t="s">
        <v>99</v>
      </c>
      <c r="V495" t="s">
        <v>1582</v>
      </c>
      <c r="W495">
        <v>18300</v>
      </c>
      <c r="X495" t="s">
        <v>45</v>
      </c>
      <c r="Y495" t="s">
        <v>156</v>
      </c>
      <c r="Z495" t="s">
        <v>50</v>
      </c>
      <c r="AA495" s="10">
        <f>IF(O495&lt;=1,7,7+0.8*ROUNDUP(O495-1,0))</f>
        <v>7</v>
      </c>
      <c r="AB495" s="11">
        <v>0</v>
      </c>
      <c r="AC495" s="11">
        <v>0</v>
      </c>
      <c r="AD495" s="11">
        <v>0</v>
      </c>
      <c r="AE495" s="11">
        <v>0</v>
      </c>
      <c r="AF495" s="11">
        <f t="shared" si="20"/>
        <v>0.42</v>
      </c>
      <c r="AG495" s="11">
        <f t="shared" si="21"/>
        <v>7.42</v>
      </c>
      <c r="AH495" t="s">
        <v>51</v>
      </c>
    </row>
    <row r="496" spans="1:34" ht="15" customHeight="1" x14ac:dyDescent="0.35">
      <c r="A496">
        <v>7547676</v>
      </c>
      <c r="B496">
        <v>690929</v>
      </c>
      <c r="C496" t="s">
        <v>34</v>
      </c>
      <c r="D496" t="s">
        <v>35</v>
      </c>
      <c r="E496" s="6" t="s">
        <v>34</v>
      </c>
      <c r="F496" t="s">
        <v>1583</v>
      </c>
      <c r="G496" t="s">
        <v>37</v>
      </c>
      <c r="H496" t="s">
        <v>38</v>
      </c>
      <c r="I496" t="s">
        <v>1584</v>
      </c>
      <c r="J496" t="s">
        <v>40</v>
      </c>
      <c r="K496">
        <v>2</v>
      </c>
      <c r="L496" t="s">
        <v>41</v>
      </c>
      <c r="M496" t="s">
        <v>42</v>
      </c>
      <c r="N496" t="s">
        <v>43</v>
      </c>
      <c r="O496" s="7">
        <v>2</v>
      </c>
      <c r="P496" s="8">
        <v>45377.518333333333</v>
      </c>
      <c r="Q496" s="9">
        <v>45379</v>
      </c>
      <c r="R496" t="s">
        <v>44</v>
      </c>
      <c r="S496" t="s">
        <v>45</v>
      </c>
      <c r="T496" t="s">
        <v>46</v>
      </c>
      <c r="U496" t="s">
        <v>134</v>
      </c>
      <c r="V496" t="s">
        <v>1585</v>
      </c>
      <c r="W496">
        <v>6250</v>
      </c>
      <c r="X496" t="s">
        <v>45</v>
      </c>
      <c r="Y496" t="s">
        <v>79</v>
      </c>
      <c r="Z496" t="s">
        <v>50</v>
      </c>
      <c r="AA496" s="10">
        <f>IF(O496&lt;=1,7,7+0.8*ROUNDUP(O496-1,0))</f>
        <v>7.8</v>
      </c>
      <c r="AB496" s="11">
        <v>0</v>
      </c>
      <c r="AC496" s="11">
        <v>0</v>
      </c>
      <c r="AD496" s="11">
        <v>0</v>
      </c>
      <c r="AE496" s="11">
        <v>0</v>
      </c>
      <c r="AF496" s="11">
        <f t="shared" si="20"/>
        <v>0.46799999999999997</v>
      </c>
      <c r="AG496" s="11">
        <f t="shared" si="21"/>
        <v>8.2680000000000007</v>
      </c>
      <c r="AH496" t="s">
        <v>51</v>
      </c>
    </row>
    <row r="497" spans="1:34" ht="15" customHeight="1" x14ac:dyDescent="0.35">
      <c r="A497">
        <v>7547676</v>
      </c>
      <c r="B497">
        <v>690929</v>
      </c>
      <c r="C497" t="s">
        <v>34</v>
      </c>
      <c r="D497" t="s">
        <v>35</v>
      </c>
      <c r="E497" s="6" t="s">
        <v>34</v>
      </c>
      <c r="F497" t="s">
        <v>1586</v>
      </c>
      <c r="G497" t="s">
        <v>37</v>
      </c>
      <c r="H497" t="s">
        <v>38</v>
      </c>
      <c r="I497" t="s">
        <v>1587</v>
      </c>
      <c r="J497" t="s">
        <v>40</v>
      </c>
      <c r="K497">
        <v>2</v>
      </c>
      <c r="L497" t="s">
        <v>41</v>
      </c>
      <c r="M497" t="s">
        <v>42</v>
      </c>
      <c r="N497" t="s">
        <v>43</v>
      </c>
      <c r="O497" s="7">
        <v>2</v>
      </c>
      <c r="P497" s="8">
        <v>45377.518333333333</v>
      </c>
      <c r="Q497" s="9">
        <v>45379</v>
      </c>
      <c r="R497" t="s">
        <v>44</v>
      </c>
      <c r="S497" t="s">
        <v>45</v>
      </c>
      <c r="T497" t="s">
        <v>46</v>
      </c>
      <c r="U497" t="s">
        <v>172</v>
      </c>
      <c r="V497" t="s">
        <v>1588</v>
      </c>
      <c r="W497">
        <v>31900</v>
      </c>
      <c r="X497" t="s">
        <v>45</v>
      </c>
      <c r="Y497" t="s">
        <v>956</v>
      </c>
      <c r="Z497" t="s">
        <v>50</v>
      </c>
      <c r="AA497" s="10">
        <f>IF(O497&lt;=1,7,7+0.8*ROUNDUP(O497-1,0))</f>
        <v>7.8</v>
      </c>
      <c r="AB497" s="11">
        <v>0</v>
      </c>
      <c r="AC497" s="11">
        <v>0</v>
      </c>
      <c r="AD497" s="11">
        <v>0</v>
      </c>
      <c r="AE497" s="11">
        <v>0</v>
      </c>
      <c r="AF497" s="11">
        <f t="shared" si="20"/>
        <v>0.46799999999999997</v>
      </c>
      <c r="AG497" s="11">
        <f t="shared" si="21"/>
        <v>8.2680000000000007</v>
      </c>
      <c r="AH497" t="s">
        <v>51</v>
      </c>
    </row>
    <row r="498" spans="1:34" ht="15" customHeight="1" x14ac:dyDescent="0.35">
      <c r="A498">
        <v>7547676</v>
      </c>
      <c r="B498">
        <v>690929</v>
      </c>
      <c r="C498" t="s">
        <v>34</v>
      </c>
      <c r="D498" t="s">
        <v>35</v>
      </c>
      <c r="E498" s="6" t="s">
        <v>34</v>
      </c>
      <c r="F498" t="s">
        <v>1589</v>
      </c>
      <c r="G498" t="s">
        <v>37</v>
      </c>
      <c r="H498" t="s">
        <v>38</v>
      </c>
      <c r="I498" t="s">
        <v>1590</v>
      </c>
      <c r="J498" t="s">
        <v>40</v>
      </c>
      <c r="K498">
        <v>2</v>
      </c>
      <c r="L498" t="s">
        <v>41</v>
      </c>
      <c r="M498" t="s">
        <v>42</v>
      </c>
      <c r="N498" t="s">
        <v>43</v>
      </c>
      <c r="O498" s="7">
        <v>1</v>
      </c>
      <c r="P498" s="8">
        <v>45378.67</v>
      </c>
      <c r="Q498" s="9">
        <v>45379</v>
      </c>
      <c r="R498" t="s">
        <v>44</v>
      </c>
      <c r="S498" t="s">
        <v>45</v>
      </c>
      <c r="T498" t="s">
        <v>46</v>
      </c>
      <c r="U498" t="s">
        <v>47</v>
      </c>
      <c r="V498" t="s">
        <v>1591</v>
      </c>
      <c r="W498">
        <v>21400</v>
      </c>
      <c r="X498" t="s">
        <v>45</v>
      </c>
      <c r="Y498" t="s">
        <v>49</v>
      </c>
      <c r="Z498" t="s">
        <v>50</v>
      </c>
      <c r="AA498" s="10">
        <f>IF(O498&lt;=1,7,7+0.8*ROUNDUP(O498-1,0))</f>
        <v>7</v>
      </c>
      <c r="AB498" s="11">
        <v>0</v>
      </c>
      <c r="AC498" s="11">
        <v>0</v>
      </c>
      <c r="AD498" s="11">
        <v>0</v>
      </c>
      <c r="AE498" s="11">
        <v>0</v>
      </c>
      <c r="AF498" s="11">
        <f t="shared" si="20"/>
        <v>0.42</v>
      </c>
      <c r="AG498" s="11">
        <f t="shared" si="21"/>
        <v>7.42</v>
      </c>
      <c r="AH498" t="s">
        <v>51</v>
      </c>
    </row>
    <row r="499" spans="1:34" ht="15" customHeight="1" x14ac:dyDescent="0.35">
      <c r="A499">
        <v>7547676</v>
      </c>
      <c r="B499">
        <v>690929</v>
      </c>
      <c r="C499" t="s">
        <v>34</v>
      </c>
      <c r="D499" t="s">
        <v>35</v>
      </c>
      <c r="E499" s="6" t="s">
        <v>34</v>
      </c>
      <c r="F499" t="s">
        <v>1592</v>
      </c>
      <c r="G499" t="s">
        <v>37</v>
      </c>
      <c r="H499" t="s">
        <v>38</v>
      </c>
      <c r="I499" t="s">
        <v>1593</v>
      </c>
      <c r="J499" t="s">
        <v>40</v>
      </c>
      <c r="K499">
        <v>2</v>
      </c>
      <c r="L499" t="s">
        <v>41</v>
      </c>
      <c r="M499" t="s">
        <v>42</v>
      </c>
      <c r="N499" t="s">
        <v>43</v>
      </c>
      <c r="O499" s="7">
        <v>1</v>
      </c>
      <c r="P499" s="8">
        <v>45378.67</v>
      </c>
      <c r="Q499" s="9">
        <v>45379</v>
      </c>
      <c r="R499" t="s">
        <v>44</v>
      </c>
      <c r="S499" t="s">
        <v>45</v>
      </c>
      <c r="T499" t="s">
        <v>46</v>
      </c>
      <c r="U499" t="s">
        <v>190</v>
      </c>
      <c r="V499" t="s">
        <v>1594</v>
      </c>
      <c r="W499">
        <v>28000</v>
      </c>
      <c r="X499" t="s">
        <v>45</v>
      </c>
      <c r="Y499" t="s">
        <v>362</v>
      </c>
      <c r="Z499" t="s">
        <v>50</v>
      </c>
      <c r="AA499" s="10">
        <f>IF(O499&lt;=1,7,7+0.8*ROUNDUP(O499-1,0))</f>
        <v>7</v>
      </c>
      <c r="AB499" s="11">
        <v>0</v>
      </c>
      <c r="AC499" s="11">
        <v>0</v>
      </c>
      <c r="AD499" s="11">
        <v>0</v>
      </c>
      <c r="AE499" s="11">
        <v>0</v>
      </c>
      <c r="AF499" s="11">
        <f t="shared" si="20"/>
        <v>0.42</v>
      </c>
      <c r="AG499" s="11">
        <f t="shared" si="21"/>
        <v>7.42</v>
      </c>
      <c r="AH499" t="s">
        <v>51</v>
      </c>
    </row>
    <row r="500" spans="1:34" ht="15" customHeight="1" x14ac:dyDescent="0.35">
      <c r="A500">
        <v>7547676</v>
      </c>
      <c r="B500">
        <v>690929</v>
      </c>
      <c r="C500" t="s">
        <v>34</v>
      </c>
      <c r="D500" t="s">
        <v>35</v>
      </c>
      <c r="E500" s="6" t="s">
        <v>34</v>
      </c>
      <c r="F500" t="s">
        <v>1595</v>
      </c>
      <c r="G500" t="s">
        <v>37</v>
      </c>
      <c r="H500" t="s">
        <v>38</v>
      </c>
      <c r="I500" t="s">
        <v>1596</v>
      </c>
      <c r="J500" t="s">
        <v>40</v>
      </c>
      <c r="K500">
        <v>2</v>
      </c>
      <c r="L500" t="s">
        <v>41</v>
      </c>
      <c r="M500" t="s">
        <v>42</v>
      </c>
      <c r="N500" t="s">
        <v>43</v>
      </c>
      <c r="O500" s="7">
        <v>3</v>
      </c>
      <c r="P500" s="8">
        <v>45377.649525462963</v>
      </c>
      <c r="Q500" s="9">
        <v>45379</v>
      </c>
      <c r="R500" t="s">
        <v>44</v>
      </c>
      <c r="S500" t="s">
        <v>45</v>
      </c>
      <c r="T500" t="s">
        <v>46</v>
      </c>
      <c r="U500" t="s">
        <v>172</v>
      </c>
      <c r="V500" t="s">
        <v>1597</v>
      </c>
      <c r="W500">
        <v>36800</v>
      </c>
      <c r="X500" t="s">
        <v>45</v>
      </c>
      <c r="Y500" t="s">
        <v>1372</v>
      </c>
      <c r="Z500" t="s">
        <v>50</v>
      </c>
      <c r="AA500" s="10">
        <f>IF(O500&lt;=1,7,7+0.8*ROUNDUP(O500-1,0))</f>
        <v>8.6</v>
      </c>
      <c r="AB500" s="11">
        <v>0</v>
      </c>
      <c r="AC500" s="11">
        <v>0</v>
      </c>
      <c r="AD500" s="11">
        <v>0</v>
      </c>
      <c r="AE500" s="11">
        <v>0</v>
      </c>
      <c r="AF500" s="11">
        <f t="shared" si="20"/>
        <v>0.51600000000000001</v>
      </c>
      <c r="AG500" s="11">
        <f t="shared" si="21"/>
        <v>9.1159999999999997</v>
      </c>
      <c r="AH500" t="s">
        <v>51</v>
      </c>
    </row>
    <row r="501" spans="1:34" ht="15" customHeight="1" x14ac:dyDescent="0.35">
      <c r="A501">
        <v>7547676</v>
      </c>
      <c r="B501">
        <v>690929</v>
      </c>
      <c r="C501" t="s">
        <v>34</v>
      </c>
      <c r="D501" t="s">
        <v>35</v>
      </c>
      <c r="E501" s="6" t="s">
        <v>34</v>
      </c>
      <c r="F501" t="s">
        <v>1598</v>
      </c>
      <c r="G501" t="s">
        <v>37</v>
      </c>
      <c r="H501" t="s">
        <v>38</v>
      </c>
      <c r="I501" t="s">
        <v>1599</v>
      </c>
      <c r="J501" t="s">
        <v>40</v>
      </c>
      <c r="K501">
        <v>2</v>
      </c>
      <c r="L501" t="s">
        <v>41</v>
      </c>
      <c r="M501" t="s">
        <v>42</v>
      </c>
      <c r="N501" t="s">
        <v>43</v>
      </c>
      <c r="O501" s="7">
        <v>2</v>
      </c>
      <c r="P501" s="8">
        <v>45377.518333333333</v>
      </c>
      <c r="Q501" s="9">
        <v>45379</v>
      </c>
      <c r="R501" t="s">
        <v>44</v>
      </c>
      <c r="S501" t="s">
        <v>45</v>
      </c>
      <c r="T501" t="s">
        <v>46</v>
      </c>
      <c r="U501" t="s">
        <v>67</v>
      </c>
      <c r="V501" t="s">
        <v>1600</v>
      </c>
      <c r="W501">
        <v>50400</v>
      </c>
      <c r="X501" t="s">
        <v>45</v>
      </c>
      <c r="Y501" t="s">
        <v>79</v>
      </c>
      <c r="Z501" t="s">
        <v>50</v>
      </c>
      <c r="AA501" s="10">
        <f>IF(O501&lt;=1,7,7+0.8*ROUNDUP(O501-1,0))</f>
        <v>7.8</v>
      </c>
      <c r="AB501" s="11">
        <v>0</v>
      </c>
      <c r="AC501" s="11">
        <v>0</v>
      </c>
      <c r="AD501" s="11">
        <v>0</v>
      </c>
      <c r="AE501" s="11">
        <v>0</v>
      </c>
      <c r="AF501" s="11">
        <f t="shared" si="20"/>
        <v>0.46799999999999997</v>
      </c>
      <c r="AG501" s="11">
        <f t="shared" si="21"/>
        <v>8.2680000000000007</v>
      </c>
      <c r="AH501" t="s">
        <v>51</v>
      </c>
    </row>
    <row r="502" spans="1:34" ht="15" customHeight="1" x14ac:dyDescent="0.35">
      <c r="A502">
        <v>7547676</v>
      </c>
      <c r="B502">
        <v>690929</v>
      </c>
      <c r="C502" t="s">
        <v>34</v>
      </c>
      <c r="D502" t="s">
        <v>35</v>
      </c>
      <c r="E502" s="6" t="s">
        <v>34</v>
      </c>
      <c r="F502" t="s">
        <v>1601</v>
      </c>
      <c r="G502" t="s">
        <v>37</v>
      </c>
      <c r="H502" t="s">
        <v>38</v>
      </c>
      <c r="I502" t="s">
        <v>1602</v>
      </c>
      <c r="J502" t="s">
        <v>40</v>
      </c>
      <c r="K502">
        <v>2</v>
      </c>
      <c r="L502" t="s">
        <v>41</v>
      </c>
      <c r="M502" t="s">
        <v>42</v>
      </c>
      <c r="N502" t="s">
        <v>43</v>
      </c>
      <c r="O502" s="7">
        <v>1</v>
      </c>
      <c r="P502" s="8">
        <v>45378.588599537034</v>
      </c>
      <c r="Q502" s="9">
        <v>45379</v>
      </c>
      <c r="R502" t="s">
        <v>44</v>
      </c>
      <c r="S502" t="s">
        <v>45</v>
      </c>
      <c r="T502" t="s">
        <v>46</v>
      </c>
      <c r="U502" t="s">
        <v>99</v>
      </c>
      <c r="V502" t="s">
        <v>1603</v>
      </c>
      <c r="W502">
        <v>16150</v>
      </c>
      <c r="X502" t="s">
        <v>45</v>
      </c>
      <c r="Y502" t="s">
        <v>156</v>
      </c>
      <c r="Z502" t="s">
        <v>50</v>
      </c>
      <c r="AA502" s="10">
        <f>IF(O502&lt;=1,7,7+0.8*ROUNDUP(O502-1,0))</f>
        <v>7</v>
      </c>
      <c r="AB502" s="11">
        <v>0</v>
      </c>
      <c r="AC502" s="11">
        <v>0</v>
      </c>
      <c r="AD502" s="11">
        <v>0</v>
      </c>
      <c r="AE502" s="11">
        <v>0</v>
      </c>
      <c r="AF502" s="11">
        <f t="shared" si="20"/>
        <v>0.42</v>
      </c>
      <c r="AG502" s="11">
        <f t="shared" si="21"/>
        <v>7.42</v>
      </c>
      <c r="AH502" t="s">
        <v>51</v>
      </c>
    </row>
    <row r="503" spans="1:34" ht="15" customHeight="1" x14ac:dyDescent="0.35">
      <c r="A503">
        <v>7547676</v>
      </c>
      <c r="B503">
        <v>690929</v>
      </c>
      <c r="C503" t="s">
        <v>34</v>
      </c>
      <c r="D503" t="s">
        <v>35</v>
      </c>
      <c r="E503" s="6" t="s">
        <v>34</v>
      </c>
      <c r="F503" t="s">
        <v>1604</v>
      </c>
      <c r="G503" t="s">
        <v>37</v>
      </c>
      <c r="H503" t="s">
        <v>38</v>
      </c>
      <c r="I503" t="s">
        <v>1605</v>
      </c>
      <c r="J503" t="s">
        <v>40</v>
      </c>
      <c r="K503">
        <v>2</v>
      </c>
      <c r="L503" t="s">
        <v>41</v>
      </c>
      <c r="M503" t="s">
        <v>42</v>
      </c>
      <c r="N503" t="s">
        <v>43</v>
      </c>
      <c r="O503" s="7">
        <v>1</v>
      </c>
      <c r="P503" s="8">
        <v>45377.549814814818</v>
      </c>
      <c r="Q503" s="9">
        <v>45379</v>
      </c>
      <c r="R503" t="s">
        <v>44</v>
      </c>
      <c r="S503" t="s">
        <v>45</v>
      </c>
      <c r="T503" t="s">
        <v>46</v>
      </c>
      <c r="U503" t="s">
        <v>82</v>
      </c>
      <c r="V503" t="s">
        <v>1606</v>
      </c>
      <c r="W503">
        <v>79100</v>
      </c>
      <c r="X503" t="s">
        <v>45</v>
      </c>
      <c r="Y503" t="s">
        <v>1336</v>
      </c>
      <c r="Z503" t="s">
        <v>50</v>
      </c>
      <c r="AA503" s="10">
        <f>IF(O503&lt;=1,7,7+0.8*ROUNDUP(O503-1,0))</f>
        <v>7</v>
      </c>
      <c r="AB503" s="11">
        <v>0</v>
      </c>
      <c r="AC503" s="11">
        <v>0</v>
      </c>
      <c r="AD503" s="11">
        <v>0</v>
      </c>
      <c r="AE503" s="11">
        <v>0</v>
      </c>
      <c r="AF503" s="11">
        <f t="shared" si="20"/>
        <v>0.42</v>
      </c>
      <c r="AG503" s="11">
        <f t="shared" si="21"/>
        <v>7.42</v>
      </c>
      <c r="AH503" t="s">
        <v>51</v>
      </c>
    </row>
    <row r="504" spans="1:34" ht="15" customHeight="1" x14ac:dyDescent="0.35">
      <c r="A504">
        <v>7547676</v>
      </c>
      <c r="B504">
        <v>690929</v>
      </c>
      <c r="C504" t="s">
        <v>34</v>
      </c>
      <c r="D504" t="s">
        <v>35</v>
      </c>
      <c r="E504" s="6" t="s">
        <v>34</v>
      </c>
      <c r="F504" t="s">
        <v>1607</v>
      </c>
      <c r="G504" t="s">
        <v>37</v>
      </c>
      <c r="H504" t="s">
        <v>38</v>
      </c>
      <c r="I504" t="s">
        <v>642</v>
      </c>
      <c r="J504" t="s">
        <v>40</v>
      </c>
      <c r="K504">
        <v>2</v>
      </c>
      <c r="L504" t="s">
        <v>41</v>
      </c>
      <c r="M504" t="s">
        <v>42</v>
      </c>
      <c r="N504" t="s">
        <v>43</v>
      </c>
      <c r="O504" s="7">
        <v>13</v>
      </c>
      <c r="P504" s="8">
        <v>45376.631516203706</v>
      </c>
      <c r="Q504" s="9">
        <v>45379</v>
      </c>
      <c r="R504" t="s">
        <v>44</v>
      </c>
      <c r="S504" t="s">
        <v>45</v>
      </c>
      <c r="T504" t="s">
        <v>46</v>
      </c>
      <c r="U504" t="s">
        <v>54</v>
      </c>
      <c r="V504" t="s">
        <v>643</v>
      </c>
      <c r="W504">
        <v>42700</v>
      </c>
      <c r="X504" t="s">
        <v>45</v>
      </c>
      <c r="Y504" t="s">
        <v>347</v>
      </c>
      <c r="Z504" t="s">
        <v>50</v>
      </c>
      <c r="AA504" s="10">
        <f>IF(O504&lt;=1,7,7+0.8*ROUNDUP(O504-1,0))</f>
        <v>16.600000000000001</v>
      </c>
      <c r="AB504" s="11">
        <v>0</v>
      </c>
      <c r="AC504" s="11">
        <v>0</v>
      </c>
      <c r="AD504" s="11">
        <v>0</v>
      </c>
      <c r="AE504" s="11">
        <v>0</v>
      </c>
      <c r="AF504" s="11">
        <f t="shared" si="20"/>
        <v>0.996</v>
      </c>
      <c r="AG504" s="11">
        <f t="shared" si="21"/>
        <v>17.596</v>
      </c>
      <c r="AH504" t="s">
        <v>51</v>
      </c>
    </row>
    <row r="505" spans="1:34" ht="15" customHeight="1" x14ac:dyDescent="0.35">
      <c r="A505">
        <v>7547676</v>
      </c>
      <c r="B505">
        <v>690929</v>
      </c>
      <c r="C505" t="s">
        <v>34</v>
      </c>
      <c r="D505" t="s">
        <v>35</v>
      </c>
      <c r="E505" s="6" t="s">
        <v>34</v>
      </c>
      <c r="F505" t="s">
        <v>1608</v>
      </c>
      <c r="G505" t="s">
        <v>37</v>
      </c>
      <c r="H505" t="s">
        <v>38</v>
      </c>
      <c r="I505" t="s">
        <v>1609</v>
      </c>
      <c r="J505" t="s">
        <v>40</v>
      </c>
      <c r="K505">
        <v>2</v>
      </c>
      <c r="L505" t="s">
        <v>41</v>
      </c>
      <c r="M505" t="s">
        <v>42</v>
      </c>
      <c r="N505" t="s">
        <v>43</v>
      </c>
      <c r="O505" s="7">
        <v>1</v>
      </c>
      <c r="P505" s="8">
        <v>45377.565046296295</v>
      </c>
      <c r="Q505" s="9">
        <v>45379</v>
      </c>
      <c r="R505" t="s">
        <v>44</v>
      </c>
      <c r="S505" t="s">
        <v>45</v>
      </c>
      <c r="T505" t="s">
        <v>46</v>
      </c>
      <c r="U505" t="s">
        <v>54</v>
      </c>
      <c r="V505" t="s">
        <v>1610</v>
      </c>
      <c r="W505">
        <v>63000</v>
      </c>
      <c r="X505" t="s">
        <v>45</v>
      </c>
      <c r="Y505" t="s">
        <v>966</v>
      </c>
      <c r="Z505" t="s">
        <v>50</v>
      </c>
      <c r="AA505" s="10">
        <f>IF(O505&lt;=1,7,7+0.8*ROUNDUP(O505-1,0))</f>
        <v>7</v>
      </c>
      <c r="AB505" s="11">
        <v>0</v>
      </c>
      <c r="AC505" s="11">
        <v>0</v>
      </c>
      <c r="AD505" s="11">
        <v>0</v>
      </c>
      <c r="AE505" s="11">
        <v>0</v>
      </c>
      <c r="AF505" s="11">
        <f t="shared" si="20"/>
        <v>0.42</v>
      </c>
      <c r="AG505" s="11">
        <f t="shared" si="21"/>
        <v>7.42</v>
      </c>
      <c r="AH505" t="s">
        <v>51</v>
      </c>
    </row>
    <row r="506" spans="1:34" ht="15" customHeight="1" x14ac:dyDescent="0.35">
      <c r="A506">
        <v>7547676</v>
      </c>
      <c r="B506">
        <v>690929</v>
      </c>
      <c r="C506" t="s">
        <v>34</v>
      </c>
      <c r="D506" t="s">
        <v>35</v>
      </c>
      <c r="E506" s="6" t="s">
        <v>34</v>
      </c>
      <c r="F506" t="s">
        <v>1611</v>
      </c>
      <c r="G506" t="s">
        <v>37</v>
      </c>
      <c r="H506" t="s">
        <v>38</v>
      </c>
      <c r="I506" t="s">
        <v>1612</v>
      </c>
      <c r="J506" t="s">
        <v>40</v>
      </c>
      <c r="K506">
        <v>2</v>
      </c>
      <c r="L506" t="s">
        <v>41</v>
      </c>
      <c r="M506" t="s">
        <v>42</v>
      </c>
      <c r="N506" t="s">
        <v>43</v>
      </c>
      <c r="O506" s="7">
        <v>1</v>
      </c>
      <c r="P506" s="8">
        <v>45351.582094907404</v>
      </c>
      <c r="Q506" s="9">
        <v>45353</v>
      </c>
      <c r="R506" t="s">
        <v>44</v>
      </c>
      <c r="S506" t="s">
        <v>45</v>
      </c>
      <c r="T506" t="s">
        <v>46</v>
      </c>
      <c r="U506" t="s">
        <v>82</v>
      </c>
      <c r="V506" t="s">
        <v>1613</v>
      </c>
      <c r="W506">
        <v>84500</v>
      </c>
      <c r="X506" t="s">
        <v>45</v>
      </c>
      <c r="Y506" t="s">
        <v>79</v>
      </c>
      <c r="Z506" t="s">
        <v>50</v>
      </c>
      <c r="AA506" s="10">
        <f>IF(O506&lt;=1,7,7+0.8*ROUNDUP(O506-1,0))</f>
        <v>7</v>
      </c>
      <c r="AB506" s="11">
        <v>0</v>
      </c>
      <c r="AC506" s="11">
        <v>0</v>
      </c>
      <c r="AD506" s="11">
        <v>0</v>
      </c>
      <c r="AE506" s="11">
        <v>0</v>
      </c>
      <c r="AF506" s="11">
        <f t="shared" si="20"/>
        <v>0.42</v>
      </c>
      <c r="AG506" s="11">
        <f t="shared" si="21"/>
        <v>7.42</v>
      </c>
      <c r="AH506" t="s">
        <v>51</v>
      </c>
    </row>
    <row r="507" spans="1:34" ht="15" customHeight="1" x14ac:dyDescent="0.35">
      <c r="A507">
        <v>7547676</v>
      </c>
      <c r="B507">
        <v>690929</v>
      </c>
      <c r="C507" t="s">
        <v>34</v>
      </c>
      <c r="D507" t="s">
        <v>35</v>
      </c>
      <c r="E507" s="6" t="s">
        <v>34</v>
      </c>
      <c r="F507" t="s">
        <v>1614</v>
      </c>
      <c r="G507" t="s">
        <v>37</v>
      </c>
      <c r="H507" t="s">
        <v>38</v>
      </c>
      <c r="I507" t="s">
        <v>1231</v>
      </c>
      <c r="J507" t="s">
        <v>40</v>
      </c>
      <c r="K507">
        <v>2</v>
      </c>
      <c r="L507" t="s">
        <v>41</v>
      </c>
      <c r="M507" t="s">
        <v>42</v>
      </c>
      <c r="N507" t="s">
        <v>43</v>
      </c>
      <c r="O507" s="7">
        <v>2</v>
      </c>
      <c r="P507" s="8">
        <v>45351.734884259262</v>
      </c>
      <c r="Q507" s="9">
        <v>45353</v>
      </c>
      <c r="R507" t="s">
        <v>44</v>
      </c>
      <c r="S507" t="s">
        <v>45</v>
      </c>
      <c r="T507" t="s">
        <v>46</v>
      </c>
      <c r="U507" t="s">
        <v>134</v>
      </c>
      <c r="V507" t="s">
        <v>1615</v>
      </c>
      <c r="W507">
        <v>5300</v>
      </c>
      <c r="X507" t="s">
        <v>45</v>
      </c>
      <c r="Y507" t="s">
        <v>136</v>
      </c>
      <c r="Z507" t="s">
        <v>50</v>
      </c>
      <c r="AA507" s="10">
        <f>IF(O507&lt;=1,7,7+0.8*ROUNDUP(O507-1,0))</f>
        <v>7.8</v>
      </c>
      <c r="AB507" s="11">
        <v>0</v>
      </c>
      <c r="AC507" s="11">
        <v>0</v>
      </c>
      <c r="AD507" s="11">
        <v>0</v>
      </c>
      <c r="AE507" s="11">
        <v>0</v>
      </c>
      <c r="AF507" s="11">
        <f t="shared" si="20"/>
        <v>0.46799999999999997</v>
      </c>
      <c r="AG507" s="11">
        <f t="shared" si="21"/>
        <v>8.2680000000000007</v>
      </c>
      <c r="AH507" t="s">
        <v>51</v>
      </c>
    </row>
    <row r="508" spans="1:34" ht="15" customHeight="1" x14ac:dyDescent="0.35">
      <c r="A508">
        <v>7547676</v>
      </c>
      <c r="B508">
        <v>690929</v>
      </c>
      <c r="C508" t="s">
        <v>34</v>
      </c>
      <c r="D508" t="s">
        <v>35</v>
      </c>
      <c r="E508" s="6" t="s">
        <v>34</v>
      </c>
      <c r="F508" t="s">
        <v>1616</v>
      </c>
      <c r="G508" t="s">
        <v>37</v>
      </c>
      <c r="H508" t="s">
        <v>38</v>
      </c>
      <c r="I508" t="s">
        <v>1617</v>
      </c>
      <c r="J508" t="s">
        <v>40</v>
      </c>
      <c r="K508">
        <v>2</v>
      </c>
      <c r="L508" t="s">
        <v>41</v>
      </c>
      <c r="M508" t="s">
        <v>42</v>
      </c>
      <c r="N508" t="s">
        <v>43</v>
      </c>
      <c r="O508" s="7">
        <v>2</v>
      </c>
      <c r="P508" s="8">
        <v>45351.852986111109</v>
      </c>
      <c r="Q508" s="9">
        <v>45354</v>
      </c>
      <c r="R508" t="s">
        <v>287</v>
      </c>
      <c r="S508" t="s">
        <v>45</v>
      </c>
      <c r="T508" t="s">
        <v>46</v>
      </c>
      <c r="U508" t="s">
        <v>134</v>
      </c>
      <c r="V508" t="s">
        <v>1618</v>
      </c>
      <c r="W508">
        <v>8000</v>
      </c>
      <c r="X508" t="s">
        <v>45</v>
      </c>
      <c r="Y508" t="s">
        <v>180</v>
      </c>
      <c r="Z508" t="s">
        <v>50</v>
      </c>
      <c r="AA508" s="10">
        <f>IF(O508&lt;=1,7,7+0.8*ROUNDUP(O508-1,0))</f>
        <v>7.8</v>
      </c>
      <c r="AB508" s="11">
        <v>0</v>
      </c>
      <c r="AC508" s="11">
        <v>0</v>
      </c>
      <c r="AD508" s="11">
        <v>0</v>
      </c>
      <c r="AE508" s="11">
        <v>0</v>
      </c>
      <c r="AF508" s="11">
        <f t="shared" si="20"/>
        <v>0.46799999999999997</v>
      </c>
      <c r="AG508" s="11">
        <f t="shared" si="21"/>
        <v>8.2680000000000007</v>
      </c>
      <c r="AH508" t="s">
        <v>51</v>
      </c>
    </row>
    <row r="509" spans="1:34" ht="15" customHeight="1" x14ac:dyDescent="0.35">
      <c r="A509">
        <v>7547676</v>
      </c>
      <c r="B509">
        <v>690929</v>
      </c>
      <c r="C509" t="s">
        <v>34</v>
      </c>
      <c r="D509" t="s">
        <v>35</v>
      </c>
      <c r="E509" s="6" t="s">
        <v>34</v>
      </c>
      <c r="F509" t="s">
        <v>1619</v>
      </c>
      <c r="G509" t="s">
        <v>37</v>
      </c>
      <c r="H509" t="s">
        <v>38</v>
      </c>
      <c r="I509" t="s">
        <v>1620</v>
      </c>
      <c r="J509" t="s">
        <v>40</v>
      </c>
      <c r="K509">
        <v>2</v>
      </c>
      <c r="L509" t="s">
        <v>41</v>
      </c>
      <c r="M509" t="s">
        <v>42</v>
      </c>
      <c r="N509" t="s">
        <v>43</v>
      </c>
      <c r="O509" s="7">
        <v>1</v>
      </c>
      <c r="P509" s="8">
        <v>45353.595185185186</v>
      </c>
      <c r="Q509" s="9">
        <v>45354</v>
      </c>
      <c r="R509" t="s">
        <v>44</v>
      </c>
      <c r="S509" t="s">
        <v>45</v>
      </c>
      <c r="T509" t="s">
        <v>46</v>
      </c>
      <c r="U509" t="s">
        <v>54</v>
      </c>
      <c r="V509" t="s">
        <v>1621</v>
      </c>
      <c r="W509">
        <v>43500</v>
      </c>
      <c r="X509" t="s">
        <v>45</v>
      </c>
      <c r="Y509" t="s">
        <v>983</v>
      </c>
      <c r="Z509" t="s">
        <v>50</v>
      </c>
      <c r="AA509" s="10">
        <f>IF(O509&lt;=1,7,7+0.8*ROUNDUP(O509-1,0))</f>
        <v>7</v>
      </c>
      <c r="AB509" s="11">
        <v>0</v>
      </c>
      <c r="AC509" s="11">
        <v>0</v>
      </c>
      <c r="AD509" s="11">
        <v>0</v>
      </c>
      <c r="AE509" s="11">
        <v>0</v>
      </c>
      <c r="AF509" s="11">
        <f t="shared" si="20"/>
        <v>0.42</v>
      </c>
      <c r="AG509" s="11">
        <f t="shared" si="21"/>
        <v>7.42</v>
      </c>
      <c r="AH509" t="s">
        <v>51</v>
      </c>
    </row>
    <row r="510" spans="1:34" ht="15" customHeight="1" x14ac:dyDescent="0.35">
      <c r="A510">
        <v>7547676</v>
      </c>
      <c r="B510">
        <v>690929</v>
      </c>
      <c r="C510" t="s">
        <v>34</v>
      </c>
      <c r="D510" t="s">
        <v>35</v>
      </c>
      <c r="E510" s="6" t="s">
        <v>34</v>
      </c>
      <c r="F510" t="s">
        <v>1622</v>
      </c>
      <c r="G510" t="s">
        <v>37</v>
      </c>
      <c r="H510" t="s">
        <v>38</v>
      </c>
      <c r="I510" t="s">
        <v>1623</v>
      </c>
      <c r="J510" t="s">
        <v>40</v>
      </c>
      <c r="K510">
        <v>2</v>
      </c>
      <c r="L510" t="s">
        <v>41</v>
      </c>
      <c r="M510" t="s">
        <v>42</v>
      </c>
      <c r="N510" t="s">
        <v>43</v>
      </c>
      <c r="O510" s="7">
        <v>11</v>
      </c>
      <c r="P510" s="8">
        <v>45354.69935185185</v>
      </c>
      <c r="Q510" s="9">
        <v>45355</v>
      </c>
      <c r="R510" t="s">
        <v>44</v>
      </c>
      <c r="S510" t="s">
        <v>45</v>
      </c>
      <c r="T510" t="s">
        <v>46</v>
      </c>
      <c r="U510" t="s">
        <v>54</v>
      </c>
      <c r="V510" t="s">
        <v>1624</v>
      </c>
      <c r="W510">
        <v>40150</v>
      </c>
      <c r="X510" t="s">
        <v>45</v>
      </c>
      <c r="Y510" t="s">
        <v>441</v>
      </c>
      <c r="Z510" t="s">
        <v>50</v>
      </c>
      <c r="AA510" s="10">
        <f>IF(O510&lt;=1,7,7+0.8*ROUNDUP(O510-1,0))</f>
        <v>15</v>
      </c>
      <c r="AB510" s="11">
        <v>0</v>
      </c>
      <c r="AC510" s="11">
        <v>0</v>
      </c>
      <c r="AD510" s="11">
        <v>0</v>
      </c>
      <c r="AE510" s="11">
        <v>0</v>
      </c>
      <c r="AF510" s="11">
        <f t="shared" si="20"/>
        <v>0.89999999999999991</v>
      </c>
      <c r="AG510" s="11">
        <f t="shared" si="21"/>
        <v>15.9</v>
      </c>
      <c r="AH510" t="s">
        <v>51</v>
      </c>
    </row>
    <row r="511" spans="1:34" ht="15" customHeight="1" x14ac:dyDescent="0.35">
      <c r="A511">
        <v>7547676</v>
      </c>
      <c r="B511">
        <v>690929</v>
      </c>
      <c r="C511" t="s">
        <v>34</v>
      </c>
      <c r="D511" t="s">
        <v>35</v>
      </c>
      <c r="E511" s="6" t="s">
        <v>34</v>
      </c>
      <c r="F511" t="s">
        <v>1625</v>
      </c>
      <c r="G511" t="s">
        <v>37</v>
      </c>
      <c r="H511" t="s">
        <v>38</v>
      </c>
      <c r="I511" t="s">
        <v>1626</v>
      </c>
      <c r="J511" t="s">
        <v>40</v>
      </c>
      <c r="K511">
        <v>2</v>
      </c>
      <c r="L511" t="s">
        <v>41</v>
      </c>
      <c r="M511" t="s">
        <v>42</v>
      </c>
      <c r="N511" t="s">
        <v>43</v>
      </c>
      <c r="O511" s="7">
        <v>1</v>
      </c>
      <c r="P511" s="8">
        <v>45353.647152777776</v>
      </c>
      <c r="Q511" s="9">
        <v>45355</v>
      </c>
      <c r="R511" t="s">
        <v>44</v>
      </c>
      <c r="S511" t="s">
        <v>45</v>
      </c>
      <c r="T511" t="s">
        <v>46</v>
      </c>
      <c r="U511" t="s">
        <v>82</v>
      </c>
      <c r="V511" t="s">
        <v>1627</v>
      </c>
      <c r="W511">
        <v>83700</v>
      </c>
      <c r="X511" t="s">
        <v>45</v>
      </c>
      <c r="Y511" t="s">
        <v>79</v>
      </c>
      <c r="Z511" t="s">
        <v>50</v>
      </c>
      <c r="AA511" s="10">
        <f>IF(O511&lt;=1,7,7+0.8*ROUNDUP(O511-1,0))</f>
        <v>7</v>
      </c>
      <c r="AB511" s="11">
        <v>0</v>
      </c>
      <c r="AC511" s="11">
        <v>0</v>
      </c>
      <c r="AD511" s="11">
        <v>0</v>
      </c>
      <c r="AE511" s="11">
        <v>0</v>
      </c>
      <c r="AF511" s="11">
        <f t="shared" si="20"/>
        <v>0.42</v>
      </c>
      <c r="AG511" s="11">
        <f t="shared" si="21"/>
        <v>7.42</v>
      </c>
      <c r="AH511" t="s">
        <v>51</v>
      </c>
    </row>
    <row r="512" spans="1:34" ht="15" customHeight="1" x14ac:dyDescent="0.35">
      <c r="A512">
        <v>7547676</v>
      </c>
      <c r="B512">
        <v>690929</v>
      </c>
      <c r="C512" t="s">
        <v>34</v>
      </c>
      <c r="D512" t="s">
        <v>35</v>
      </c>
      <c r="E512" s="6" t="s">
        <v>34</v>
      </c>
      <c r="F512" t="s">
        <v>1628</v>
      </c>
      <c r="G512" t="s">
        <v>37</v>
      </c>
      <c r="H512" t="s">
        <v>38</v>
      </c>
      <c r="I512" t="s">
        <v>1629</v>
      </c>
      <c r="J512" t="s">
        <v>40</v>
      </c>
      <c r="K512">
        <v>2</v>
      </c>
      <c r="L512" t="s">
        <v>41</v>
      </c>
      <c r="M512" t="s">
        <v>42</v>
      </c>
      <c r="N512" t="s">
        <v>43</v>
      </c>
      <c r="O512" s="7">
        <v>1</v>
      </c>
      <c r="P512" s="8">
        <v>45354.718715277777</v>
      </c>
      <c r="Q512" s="9">
        <v>45355</v>
      </c>
      <c r="R512" t="s">
        <v>44</v>
      </c>
      <c r="S512" t="s">
        <v>45</v>
      </c>
      <c r="T512" t="s">
        <v>46</v>
      </c>
      <c r="U512" t="s">
        <v>99</v>
      </c>
      <c r="V512" t="s">
        <v>1630</v>
      </c>
      <c r="W512">
        <v>18300</v>
      </c>
      <c r="X512" t="s">
        <v>45</v>
      </c>
      <c r="Y512" t="s">
        <v>156</v>
      </c>
      <c r="Z512" t="s">
        <v>50</v>
      </c>
      <c r="AA512" s="10">
        <f>IF(O512&lt;=1,7,7+0.8*ROUNDUP(O512-1,0))</f>
        <v>7</v>
      </c>
      <c r="AB512" s="11">
        <v>0</v>
      </c>
      <c r="AC512" s="11">
        <v>0</v>
      </c>
      <c r="AD512" s="11">
        <v>0</v>
      </c>
      <c r="AE512" s="11">
        <v>0</v>
      </c>
      <c r="AF512" s="11">
        <f t="shared" si="20"/>
        <v>0.42</v>
      </c>
      <c r="AG512" s="11">
        <f t="shared" si="21"/>
        <v>7.42</v>
      </c>
      <c r="AH512" t="s">
        <v>51</v>
      </c>
    </row>
    <row r="513" spans="1:34" ht="15" customHeight="1" x14ac:dyDescent="0.35">
      <c r="A513">
        <v>7547676</v>
      </c>
      <c r="B513">
        <v>690929</v>
      </c>
      <c r="C513" t="s">
        <v>34</v>
      </c>
      <c r="D513" t="s">
        <v>35</v>
      </c>
      <c r="E513" s="6" t="s">
        <v>34</v>
      </c>
      <c r="F513" t="s">
        <v>1631</v>
      </c>
      <c r="G513" t="s">
        <v>37</v>
      </c>
      <c r="H513" t="s">
        <v>38</v>
      </c>
      <c r="I513" t="s">
        <v>1632</v>
      </c>
      <c r="J513" t="s">
        <v>40</v>
      </c>
      <c r="K513">
        <v>2</v>
      </c>
      <c r="L513" t="s">
        <v>41</v>
      </c>
      <c r="M513" t="s">
        <v>42</v>
      </c>
      <c r="N513" t="s">
        <v>43</v>
      </c>
      <c r="O513" s="7">
        <v>1</v>
      </c>
      <c r="P513" s="8">
        <v>45354.718715277777</v>
      </c>
      <c r="Q513" s="9">
        <v>45355</v>
      </c>
      <c r="R513" t="s">
        <v>44</v>
      </c>
      <c r="S513" t="s">
        <v>45</v>
      </c>
      <c r="T513" t="s">
        <v>46</v>
      </c>
      <c r="U513" t="s">
        <v>54</v>
      </c>
      <c r="V513" t="s">
        <v>1633</v>
      </c>
      <c r="W513">
        <v>40000</v>
      </c>
      <c r="X513" t="s">
        <v>45</v>
      </c>
      <c r="Y513" t="s">
        <v>140</v>
      </c>
      <c r="Z513" t="s">
        <v>50</v>
      </c>
      <c r="AA513" s="10">
        <f>IF(O513&lt;=1,7,7+0.8*ROUNDUP(O513-1,0))</f>
        <v>7</v>
      </c>
      <c r="AB513" s="11">
        <v>0</v>
      </c>
      <c r="AC513" s="11">
        <v>0</v>
      </c>
      <c r="AD513" s="11">
        <v>0</v>
      </c>
      <c r="AE513" s="11">
        <v>0</v>
      </c>
      <c r="AF513" s="11">
        <f t="shared" si="20"/>
        <v>0.42</v>
      </c>
      <c r="AG513" s="11">
        <f t="shared" si="21"/>
        <v>7.42</v>
      </c>
      <c r="AH513" t="s">
        <v>51</v>
      </c>
    </row>
    <row r="514" spans="1:34" ht="15" customHeight="1" x14ac:dyDescent="0.35">
      <c r="A514">
        <v>7547676</v>
      </c>
      <c r="B514">
        <v>690929</v>
      </c>
      <c r="C514" t="s">
        <v>34</v>
      </c>
      <c r="D514" t="s">
        <v>35</v>
      </c>
      <c r="E514" s="6" t="s">
        <v>34</v>
      </c>
      <c r="F514" t="s">
        <v>1634</v>
      </c>
      <c r="G514" t="s">
        <v>37</v>
      </c>
      <c r="H514" t="s">
        <v>38</v>
      </c>
      <c r="I514" t="s">
        <v>1635</v>
      </c>
      <c r="J514" t="s">
        <v>40</v>
      </c>
      <c r="K514">
        <v>2</v>
      </c>
      <c r="L514" t="s">
        <v>41</v>
      </c>
      <c r="M514" t="s">
        <v>42</v>
      </c>
      <c r="N514" t="s">
        <v>43</v>
      </c>
      <c r="O514" s="7">
        <v>2</v>
      </c>
      <c r="P514" s="8">
        <v>45353.479791666665</v>
      </c>
      <c r="Q514" s="9">
        <v>45355</v>
      </c>
      <c r="R514" t="s">
        <v>44</v>
      </c>
      <c r="S514" t="s">
        <v>45</v>
      </c>
      <c r="T514" t="s">
        <v>46</v>
      </c>
      <c r="U514" t="s">
        <v>134</v>
      </c>
      <c r="V514" t="s">
        <v>1636</v>
      </c>
      <c r="W514">
        <v>5300</v>
      </c>
      <c r="X514" t="s">
        <v>45</v>
      </c>
      <c r="Y514" t="s">
        <v>136</v>
      </c>
      <c r="Z514" t="s">
        <v>50</v>
      </c>
      <c r="AA514" s="10">
        <f>IF(O514&lt;=1,7,7+0.8*ROUNDUP(O514-1,0))</f>
        <v>7.8</v>
      </c>
      <c r="AB514" s="11">
        <v>0</v>
      </c>
      <c r="AC514" s="11">
        <v>0</v>
      </c>
      <c r="AD514" s="11">
        <v>0</v>
      </c>
      <c r="AE514" s="11">
        <v>0</v>
      </c>
      <c r="AF514" s="11">
        <f t="shared" si="20"/>
        <v>0.46799999999999997</v>
      </c>
      <c r="AG514" s="11">
        <f t="shared" si="21"/>
        <v>8.2680000000000007</v>
      </c>
      <c r="AH514" t="s">
        <v>51</v>
      </c>
    </row>
    <row r="515" spans="1:34" ht="15" customHeight="1" x14ac:dyDescent="0.35">
      <c r="A515">
        <v>7547676</v>
      </c>
      <c r="B515">
        <v>690929</v>
      </c>
      <c r="C515" t="s">
        <v>34</v>
      </c>
      <c r="D515" t="s">
        <v>35</v>
      </c>
      <c r="E515" s="6" t="s">
        <v>34</v>
      </c>
      <c r="F515" t="s">
        <v>1637</v>
      </c>
      <c r="G515" t="s">
        <v>37</v>
      </c>
      <c r="H515" t="s">
        <v>38</v>
      </c>
      <c r="I515" t="s">
        <v>1638</v>
      </c>
      <c r="J515" t="s">
        <v>40</v>
      </c>
      <c r="K515">
        <v>2</v>
      </c>
      <c r="L515" t="s">
        <v>41</v>
      </c>
      <c r="M515" t="s">
        <v>42</v>
      </c>
      <c r="N515" t="s">
        <v>43</v>
      </c>
      <c r="O515" s="7">
        <v>1</v>
      </c>
      <c r="P515" s="8">
        <v>45354.572916666664</v>
      </c>
      <c r="Q515" s="9">
        <v>45355</v>
      </c>
      <c r="R515" t="s">
        <v>44</v>
      </c>
      <c r="S515" t="s">
        <v>45</v>
      </c>
      <c r="T515" t="s">
        <v>46</v>
      </c>
      <c r="U515" t="s">
        <v>67</v>
      </c>
      <c r="V515" t="s">
        <v>1639</v>
      </c>
      <c r="W515">
        <v>50300</v>
      </c>
      <c r="X515" t="s">
        <v>45</v>
      </c>
      <c r="Y515" t="s">
        <v>69</v>
      </c>
      <c r="Z515" t="s">
        <v>50</v>
      </c>
      <c r="AA515" s="10">
        <f>IF(O515&lt;=1,7,7+0.8*ROUNDUP(O515-1,0))</f>
        <v>7</v>
      </c>
      <c r="AB515" s="11">
        <v>0</v>
      </c>
      <c r="AC515" s="11">
        <v>0</v>
      </c>
      <c r="AD515" s="11">
        <v>0</v>
      </c>
      <c r="AE515" s="11">
        <v>0</v>
      </c>
      <c r="AF515" s="11">
        <f t="shared" si="20"/>
        <v>0.42</v>
      </c>
      <c r="AG515" s="11">
        <f t="shared" si="21"/>
        <v>7.42</v>
      </c>
      <c r="AH515" t="s">
        <v>51</v>
      </c>
    </row>
    <row r="516" spans="1:34" ht="15" customHeight="1" x14ac:dyDescent="0.35">
      <c r="A516">
        <v>7547676</v>
      </c>
      <c r="B516">
        <v>690929</v>
      </c>
      <c r="C516" t="s">
        <v>34</v>
      </c>
      <c r="D516" t="s">
        <v>35</v>
      </c>
      <c r="E516" s="6" t="s">
        <v>34</v>
      </c>
      <c r="F516" t="s">
        <v>1640</v>
      </c>
      <c r="G516" t="s">
        <v>37</v>
      </c>
      <c r="H516" t="s">
        <v>38</v>
      </c>
      <c r="I516" t="s">
        <v>568</v>
      </c>
      <c r="J516" t="s">
        <v>40</v>
      </c>
      <c r="K516">
        <v>2</v>
      </c>
      <c r="L516" t="s">
        <v>41</v>
      </c>
      <c r="M516" t="s">
        <v>42</v>
      </c>
      <c r="N516" t="s">
        <v>43</v>
      </c>
      <c r="O516" s="7">
        <v>8</v>
      </c>
      <c r="P516" s="8">
        <v>45354.70722222222</v>
      </c>
      <c r="Q516" s="9">
        <v>45355</v>
      </c>
      <c r="R516" t="s">
        <v>44</v>
      </c>
      <c r="S516" t="s">
        <v>45</v>
      </c>
      <c r="T516" t="s">
        <v>46</v>
      </c>
      <c r="U516" t="s">
        <v>99</v>
      </c>
      <c r="V516" t="s">
        <v>1641</v>
      </c>
      <c r="W516">
        <v>17500</v>
      </c>
      <c r="X516" t="s">
        <v>45</v>
      </c>
      <c r="Y516" t="s">
        <v>733</v>
      </c>
      <c r="Z516" t="s">
        <v>50</v>
      </c>
      <c r="AA516" s="10">
        <f>IF(O516&lt;=1,7,7+0.8*ROUNDUP(O516-1,0))</f>
        <v>12.600000000000001</v>
      </c>
      <c r="AB516" s="11">
        <v>0</v>
      </c>
      <c r="AC516" s="11">
        <v>0</v>
      </c>
      <c r="AD516" s="11">
        <v>0</v>
      </c>
      <c r="AE516" s="11">
        <v>0</v>
      </c>
      <c r="AF516" s="11">
        <f t="shared" si="20"/>
        <v>0.75600000000000001</v>
      </c>
      <c r="AG516" s="11">
        <f t="shared" si="21"/>
        <v>13.356000000000002</v>
      </c>
      <c r="AH516" t="s">
        <v>51</v>
      </c>
    </row>
    <row r="517" spans="1:34" ht="15" customHeight="1" x14ac:dyDescent="0.35">
      <c r="A517">
        <v>7547676</v>
      </c>
      <c r="B517">
        <v>690929</v>
      </c>
      <c r="C517" t="s">
        <v>34</v>
      </c>
      <c r="D517" t="s">
        <v>35</v>
      </c>
      <c r="E517" s="6" t="s">
        <v>34</v>
      </c>
      <c r="F517" t="s">
        <v>1642</v>
      </c>
      <c r="G517" t="s">
        <v>37</v>
      </c>
      <c r="H517" t="s">
        <v>38</v>
      </c>
      <c r="I517" t="s">
        <v>222</v>
      </c>
      <c r="J517" t="s">
        <v>40</v>
      </c>
      <c r="K517">
        <v>2</v>
      </c>
      <c r="L517" t="s">
        <v>41</v>
      </c>
      <c r="M517" t="s">
        <v>42</v>
      </c>
      <c r="N517" t="s">
        <v>43</v>
      </c>
      <c r="O517" s="7">
        <v>3</v>
      </c>
      <c r="P517" s="8">
        <v>45354.486377314817</v>
      </c>
      <c r="Q517" s="9">
        <v>45355</v>
      </c>
      <c r="R517" t="s">
        <v>44</v>
      </c>
      <c r="S517" t="s">
        <v>45</v>
      </c>
      <c r="T517" t="s">
        <v>46</v>
      </c>
      <c r="U517" t="s">
        <v>190</v>
      </c>
      <c r="V517" t="s">
        <v>223</v>
      </c>
      <c r="W517">
        <v>28000</v>
      </c>
      <c r="X517" t="s">
        <v>45</v>
      </c>
      <c r="Y517" t="s">
        <v>224</v>
      </c>
      <c r="Z517" t="s">
        <v>50</v>
      </c>
      <c r="AA517" s="10">
        <f>IF(O517&lt;=1,7,7+0.8*ROUNDUP(O517-1,0))</f>
        <v>8.6</v>
      </c>
      <c r="AB517" s="11">
        <v>0</v>
      </c>
      <c r="AC517" s="11">
        <v>0</v>
      </c>
      <c r="AD517" s="11">
        <v>0</v>
      </c>
      <c r="AE517" s="11">
        <v>0</v>
      </c>
      <c r="AF517" s="11">
        <f t="shared" si="20"/>
        <v>0.51600000000000001</v>
      </c>
      <c r="AG517" s="11">
        <f t="shared" si="21"/>
        <v>9.1159999999999997</v>
      </c>
      <c r="AH517" t="s">
        <v>51</v>
      </c>
    </row>
    <row r="518" spans="1:34" ht="15" customHeight="1" x14ac:dyDescent="0.35">
      <c r="A518">
        <v>7547676</v>
      </c>
      <c r="B518">
        <v>690929</v>
      </c>
      <c r="C518" t="s">
        <v>34</v>
      </c>
      <c r="D518" t="s">
        <v>35</v>
      </c>
      <c r="E518" s="6" t="s">
        <v>34</v>
      </c>
      <c r="F518" t="s">
        <v>1643</v>
      </c>
      <c r="G518" t="s">
        <v>37</v>
      </c>
      <c r="H518" t="s">
        <v>38</v>
      </c>
      <c r="I518" t="s">
        <v>975</v>
      </c>
      <c r="J518" t="s">
        <v>40</v>
      </c>
      <c r="K518">
        <v>2</v>
      </c>
      <c r="L518" t="s">
        <v>41</v>
      </c>
      <c r="M518" t="s">
        <v>42</v>
      </c>
      <c r="N518" t="s">
        <v>43</v>
      </c>
      <c r="O518" s="7">
        <v>1</v>
      </c>
      <c r="P518" s="8">
        <v>45353.772129629629</v>
      </c>
      <c r="Q518" s="9">
        <v>45355</v>
      </c>
      <c r="R518" t="s">
        <v>44</v>
      </c>
      <c r="S518" t="s">
        <v>45</v>
      </c>
      <c r="T518" t="s">
        <v>46</v>
      </c>
      <c r="U518" t="s">
        <v>54</v>
      </c>
      <c r="V518" t="s">
        <v>976</v>
      </c>
      <c r="W518">
        <v>43200</v>
      </c>
      <c r="X518" t="s">
        <v>45</v>
      </c>
      <c r="Y518" t="s">
        <v>804</v>
      </c>
      <c r="Z518" t="s">
        <v>50</v>
      </c>
      <c r="AA518" s="10">
        <f>IF(O518&lt;=1,7,7+0.8*ROUNDUP(O518-1,0))</f>
        <v>7</v>
      </c>
      <c r="AB518" s="11">
        <v>0</v>
      </c>
      <c r="AC518" s="11">
        <v>0</v>
      </c>
      <c r="AD518" s="11">
        <v>0</v>
      </c>
      <c r="AE518" s="11">
        <v>0</v>
      </c>
      <c r="AF518" s="11">
        <f t="shared" si="20"/>
        <v>0.42</v>
      </c>
      <c r="AG518" s="11">
        <f t="shared" si="21"/>
        <v>7.42</v>
      </c>
      <c r="AH518" t="s">
        <v>51</v>
      </c>
    </row>
    <row r="519" spans="1:34" ht="15" customHeight="1" x14ac:dyDescent="0.35">
      <c r="A519">
        <v>7547676</v>
      </c>
      <c r="B519">
        <v>690929</v>
      </c>
      <c r="C519" t="s">
        <v>34</v>
      </c>
      <c r="D519" t="s">
        <v>35</v>
      </c>
      <c r="E519" s="6" t="s">
        <v>34</v>
      </c>
      <c r="F519" t="s">
        <v>1644</v>
      </c>
      <c r="G519" t="s">
        <v>37</v>
      </c>
      <c r="H519" t="s">
        <v>38</v>
      </c>
      <c r="I519" t="s">
        <v>1645</v>
      </c>
      <c r="J519" t="s">
        <v>40</v>
      </c>
      <c r="K519">
        <v>2</v>
      </c>
      <c r="L519" t="s">
        <v>41</v>
      </c>
      <c r="M519" t="s">
        <v>42</v>
      </c>
      <c r="N519" t="s">
        <v>43</v>
      </c>
      <c r="O519" s="7">
        <v>1</v>
      </c>
      <c r="P519" s="8">
        <v>45354.718715277777</v>
      </c>
      <c r="Q519" s="9">
        <v>45355</v>
      </c>
      <c r="R519" t="s">
        <v>44</v>
      </c>
      <c r="S519" t="s">
        <v>45</v>
      </c>
      <c r="T519" t="s">
        <v>46</v>
      </c>
      <c r="U519" t="s">
        <v>54</v>
      </c>
      <c r="V519" t="s">
        <v>1646</v>
      </c>
      <c r="W519">
        <v>44100</v>
      </c>
      <c r="X519" t="s">
        <v>45</v>
      </c>
      <c r="Y519" t="s">
        <v>64</v>
      </c>
      <c r="Z519" t="s">
        <v>50</v>
      </c>
      <c r="AA519" s="10">
        <f>IF(O519&lt;=1,7,7+0.8*ROUNDUP(O519-1,0))</f>
        <v>7</v>
      </c>
      <c r="AB519" s="11">
        <v>0</v>
      </c>
      <c r="AC519" s="11">
        <v>0</v>
      </c>
      <c r="AD519" s="11">
        <v>0</v>
      </c>
      <c r="AE519" s="11">
        <v>0</v>
      </c>
      <c r="AF519" s="11">
        <f t="shared" si="20"/>
        <v>0.42</v>
      </c>
      <c r="AG519" s="11">
        <f t="shared" si="21"/>
        <v>7.42</v>
      </c>
      <c r="AH519" t="s">
        <v>51</v>
      </c>
    </row>
    <row r="520" spans="1:34" ht="15" customHeight="1" x14ac:dyDescent="0.35">
      <c r="A520">
        <v>7547676</v>
      </c>
      <c r="B520">
        <v>690929</v>
      </c>
      <c r="C520" t="s">
        <v>34</v>
      </c>
      <c r="D520" t="s">
        <v>35</v>
      </c>
      <c r="E520" s="6" t="s">
        <v>34</v>
      </c>
      <c r="F520" t="s">
        <v>1647</v>
      </c>
      <c r="G520" t="s">
        <v>37</v>
      </c>
      <c r="H520" t="s">
        <v>38</v>
      </c>
      <c r="I520" t="s">
        <v>731</v>
      </c>
      <c r="J520" t="s">
        <v>40</v>
      </c>
      <c r="K520">
        <v>2</v>
      </c>
      <c r="L520" t="s">
        <v>41</v>
      </c>
      <c r="M520" t="s">
        <v>42</v>
      </c>
      <c r="N520" t="s">
        <v>43</v>
      </c>
      <c r="O520" s="7">
        <v>3</v>
      </c>
      <c r="P520" s="8">
        <v>45354.504432870373</v>
      </c>
      <c r="Q520" s="9">
        <v>45355</v>
      </c>
      <c r="R520" t="s">
        <v>44</v>
      </c>
      <c r="S520" t="s">
        <v>45</v>
      </c>
      <c r="T520" t="s">
        <v>46</v>
      </c>
      <c r="U520" t="s">
        <v>99</v>
      </c>
      <c r="V520" t="s">
        <v>732</v>
      </c>
      <c r="W520">
        <v>17500</v>
      </c>
      <c r="X520" t="s">
        <v>45</v>
      </c>
      <c r="Y520" t="s">
        <v>733</v>
      </c>
      <c r="Z520" t="s">
        <v>50</v>
      </c>
      <c r="AA520" s="10">
        <f>IF(O520&lt;=1,7,7+0.8*ROUNDUP(O520-1,0))</f>
        <v>8.6</v>
      </c>
      <c r="AB520" s="11">
        <v>0</v>
      </c>
      <c r="AC520" s="11">
        <v>0</v>
      </c>
      <c r="AD520" s="11">
        <v>0</v>
      </c>
      <c r="AE520" s="11">
        <v>0</v>
      </c>
      <c r="AF520" s="11">
        <f t="shared" si="20"/>
        <v>0.51600000000000001</v>
      </c>
      <c r="AG520" s="11">
        <f t="shared" si="21"/>
        <v>9.1159999999999997</v>
      </c>
      <c r="AH520" t="s">
        <v>51</v>
      </c>
    </row>
    <row r="521" spans="1:34" ht="15" customHeight="1" x14ac:dyDescent="0.35">
      <c r="A521">
        <v>7547676</v>
      </c>
      <c r="B521">
        <v>690929</v>
      </c>
      <c r="C521" t="s">
        <v>34</v>
      </c>
      <c r="D521" t="s">
        <v>35</v>
      </c>
      <c r="E521" s="6" t="s">
        <v>34</v>
      </c>
      <c r="F521" t="s">
        <v>1648</v>
      </c>
      <c r="G521" t="s">
        <v>37</v>
      </c>
      <c r="H521" t="s">
        <v>128</v>
      </c>
      <c r="I521" t="s">
        <v>1228</v>
      </c>
      <c r="J521" t="s">
        <v>40</v>
      </c>
      <c r="K521">
        <v>2</v>
      </c>
      <c r="L521" t="s">
        <v>41</v>
      </c>
      <c r="M521" t="s">
        <v>42</v>
      </c>
      <c r="N521" t="s">
        <v>43</v>
      </c>
      <c r="O521" s="7">
        <v>1</v>
      </c>
      <c r="P521" s="8">
        <v>45348.766712962963</v>
      </c>
      <c r="Q521" s="9">
        <v>45355</v>
      </c>
      <c r="R521" t="s">
        <v>44</v>
      </c>
      <c r="S521" t="s">
        <v>45</v>
      </c>
      <c r="T521" t="s">
        <v>46</v>
      </c>
      <c r="U521" t="s">
        <v>54</v>
      </c>
      <c r="V521" t="s">
        <v>1649</v>
      </c>
      <c r="W521">
        <v>47300</v>
      </c>
      <c r="X521" t="s">
        <v>45</v>
      </c>
      <c r="Y521" t="s">
        <v>780</v>
      </c>
      <c r="Z521" t="s">
        <v>50</v>
      </c>
      <c r="AA521" s="10">
        <f>IF(O521&lt;=1,7,7+0.8*ROUNDUP(O521-1,0))</f>
        <v>7</v>
      </c>
      <c r="AB521" s="11">
        <v>0</v>
      </c>
      <c r="AC521" s="11">
        <v>0</v>
      </c>
      <c r="AD521" s="11">
        <v>0</v>
      </c>
      <c r="AE521" s="11">
        <v>0</v>
      </c>
      <c r="AF521" s="11">
        <f t="shared" si="20"/>
        <v>0.42</v>
      </c>
      <c r="AG521" s="11">
        <f t="shared" si="21"/>
        <v>7.42</v>
      </c>
      <c r="AH521" t="s">
        <v>51</v>
      </c>
    </row>
    <row r="522" spans="1:34" ht="15" customHeight="1" x14ac:dyDescent="0.35">
      <c r="A522">
        <v>7547676</v>
      </c>
      <c r="B522">
        <v>690929</v>
      </c>
      <c r="C522" t="s">
        <v>34</v>
      </c>
      <c r="D522" t="s">
        <v>35</v>
      </c>
      <c r="E522" s="6" t="s">
        <v>34</v>
      </c>
      <c r="F522" t="s">
        <v>1650</v>
      </c>
      <c r="G522" t="s">
        <v>37</v>
      </c>
      <c r="H522" t="s">
        <v>38</v>
      </c>
      <c r="I522" t="s">
        <v>1651</v>
      </c>
      <c r="J522" t="s">
        <v>40</v>
      </c>
      <c r="K522">
        <v>2</v>
      </c>
      <c r="L522" t="s">
        <v>41</v>
      </c>
      <c r="M522" t="s">
        <v>42</v>
      </c>
      <c r="N522" t="s">
        <v>43</v>
      </c>
      <c r="O522" s="7">
        <v>1</v>
      </c>
      <c r="P522" s="8">
        <v>45352.656921296293</v>
      </c>
      <c r="Q522" s="9">
        <v>45355</v>
      </c>
      <c r="R522" t="s">
        <v>44</v>
      </c>
      <c r="S522" t="s">
        <v>45</v>
      </c>
      <c r="T522" t="s">
        <v>46</v>
      </c>
      <c r="U522" t="s">
        <v>77</v>
      </c>
      <c r="V522" t="s">
        <v>1652</v>
      </c>
      <c r="W522">
        <v>78200</v>
      </c>
      <c r="X522" t="s">
        <v>45</v>
      </c>
      <c r="Y522" t="s">
        <v>335</v>
      </c>
      <c r="Z522" t="s">
        <v>50</v>
      </c>
      <c r="AA522" s="10">
        <f>IF(O522&lt;=1,7,7+0.8*ROUNDUP(O522-1,0))</f>
        <v>7</v>
      </c>
      <c r="AB522" s="11">
        <v>0</v>
      </c>
      <c r="AC522" s="11">
        <v>0</v>
      </c>
      <c r="AD522" s="11">
        <v>0</v>
      </c>
      <c r="AE522" s="11">
        <v>0</v>
      </c>
      <c r="AF522" s="11">
        <f t="shared" si="20"/>
        <v>0.42</v>
      </c>
      <c r="AG522" s="11">
        <f t="shared" si="21"/>
        <v>7.42</v>
      </c>
      <c r="AH522" t="s">
        <v>51</v>
      </c>
    </row>
    <row r="523" spans="1:34" ht="15" customHeight="1" x14ac:dyDescent="0.35">
      <c r="A523">
        <v>7547676</v>
      </c>
      <c r="B523">
        <v>690929</v>
      </c>
      <c r="C523" t="s">
        <v>34</v>
      </c>
      <c r="D523" t="s">
        <v>35</v>
      </c>
      <c r="E523" s="6" t="s">
        <v>34</v>
      </c>
      <c r="F523" t="s">
        <v>1653</v>
      </c>
      <c r="G523" t="s">
        <v>37</v>
      </c>
      <c r="H523" t="s">
        <v>38</v>
      </c>
      <c r="I523" t="s">
        <v>1654</v>
      </c>
      <c r="J523" t="s">
        <v>40</v>
      </c>
      <c r="K523">
        <v>2</v>
      </c>
      <c r="L523" t="s">
        <v>41</v>
      </c>
      <c r="M523" t="s">
        <v>42</v>
      </c>
      <c r="N523" t="s">
        <v>43</v>
      </c>
      <c r="O523" s="7">
        <v>1</v>
      </c>
      <c r="P523" s="8">
        <v>45354.743564814817</v>
      </c>
      <c r="Q523" s="9">
        <v>45355</v>
      </c>
      <c r="R523" t="s">
        <v>44</v>
      </c>
      <c r="S523" t="s">
        <v>45</v>
      </c>
      <c r="T523" t="s">
        <v>46</v>
      </c>
      <c r="U523" t="s">
        <v>47</v>
      </c>
      <c r="V523" t="s">
        <v>1655</v>
      </c>
      <c r="W523">
        <v>24000</v>
      </c>
      <c r="X523" t="s">
        <v>45</v>
      </c>
      <c r="Y523" t="s">
        <v>192</v>
      </c>
      <c r="Z523" t="s">
        <v>50</v>
      </c>
      <c r="AA523" s="10">
        <f>IF(O523&lt;=1,7,7+0.8*ROUNDUP(O523-1,0))</f>
        <v>7</v>
      </c>
      <c r="AB523" s="11">
        <v>0</v>
      </c>
      <c r="AC523" s="11">
        <v>0</v>
      </c>
      <c r="AD523" s="11">
        <v>0</v>
      </c>
      <c r="AE523" s="11">
        <v>0</v>
      </c>
      <c r="AF523" s="11">
        <f t="shared" si="20"/>
        <v>0.42</v>
      </c>
      <c r="AG523" s="11">
        <f t="shared" si="21"/>
        <v>7.42</v>
      </c>
      <c r="AH523" t="s">
        <v>51</v>
      </c>
    </row>
    <row r="524" spans="1:34" ht="15" customHeight="1" x14ac:dyDescent="0.35">
      <c r="A524">
        <v>7547676</v>
      </c>
      <c r="B524">
        <v>690929</v>
      </c>
      <c r="C524" t="s">
        <v>34</v>
      </c>
      <c r="D524" t="s">
        <v>35</v>
      </c>
      <c r="E524" s="6" t="s">
        <v>34</v>
      </c>
      <c r="F524" t="s">
        <v>1656</v>
      </c>
      <c r="G524" t="s">
        <v>37</v>
      </c>
      <c r="H524" t="s">
        <v>38</v>
      </c>
      <c r="I524" t="s">
        <v>1657</v>
      </c>
      <c r="J524" t="s">
        <v>40</v>
      </c>
      <c r="K524">
        <v>2</v>
      </c>
      <c r="L524" t="s">
        <v>41</v>
      </c>
      <c r="M524" t="s">
        <v>42</v>
      </c>
      <c r="N524" t="s">
        <v>43</v>
      </c>
      <c r="O524" s="7">
        <v>1</v>
      </c>
      <c r="P524" s="8">
        <v>45354.718715277777</v>
      </c>
      <c r="Q524" s="9">
        <v>45355</v>
      </c>
      <c r="R524" t="s">
        <v>44</v>
      </c>
      <c r="S524" t="s">
        <v>45</v>
      </c>
      <c r="T524" t="s">
        <v>46</v>
      </c>
      <c r="U524" t="s">
        <v>190</v>
      </c>
      <c r="V524" t="s">
        <v>1658</v>
      </c>
      <c r="W524">
        <v>26820</v>
      </c>
      <c r="X524" t="s">
        <v>45</v>
      </c>
      <c r="Y524" t="s">
        <v>192</v>
      </c>
      <c r="Z524" t="s">
        <v>50</v>
      </c>
      <c r="AA524" s="10">
        <f>IF(O524&lt;=1,7,7+0.8*ROUNDUP(O524-1,0))</f>
        <v>7</v>
      </c>
      <c r="AB524" s="11">
        <v>0</v>
      </c>
      <c r="AC524" s="11">
        <v>0</v>
      </c>
      <c r="AD524" s="11">
        <v>0</v>
      </c>
      <c r="AE524" s="11">
        <v>0</v>
      </c>
      <c r="AF524" s="11">
        <f t="shared" si="20"/>
        <v>0.42</v>
      </c>
      <c r="AG524" s="11">
        <f t="shared" si="21"/>
        <v>7.42</v>
      </c>
      <c r="AH524" t="s">
        <v>51</v>
      </c>
    </row>
    <row r="525" spans="1:34" ht="15" customHeight="1" x14ac:dyDescent="0.35">
      <c r="A525">
        <v>7547676</v>
      </c>
      <c r="B525">
        <v>690929</v>
      </c>
      <c r="C525" t="s">
        <v>34</v>
      </c>
      <c r="D525" t="s">
        <v>35</v>
      </c>
      <c r="E525" s="6" t="s">
        <v>34</v>
      </c>
      <c r="F525" t="s">
        <v>1659</v>
      </c>
      <c r="G525" t="s">
        <v>37</v>
      </c>
      <c r="H525" t="s">
        <v>38</v>
      </c>
      <c r="I525" t="s">
        <v>1489</v>
      </c>
      <c r="J525" t="s">
        <v>40</v>
      </c>
      <c r="K525">
        <v>2</v>
      </c>
      <c r="L525" t="s">
        <v>41</v>
      </c>
      <c r="M525" t="s">
        <v>42</v>
      </c>
      <c r="N525" t="s">
        <v>43</v>
      </c>
      <c r="O525" s="7">
        <v>1</v>
      </c>
      <c r="P525" s="8">
        <v>45354.663113425922</v>
      </c>
      <c r="Q525" s="9">
        <v>45355</v>
      </c>
      <c r="R525" t="s">
        <v>44</v>
      </c>
      <c r="S525" t="s">
        <v>45</v>
      </c>
      <c r="T525" t="s">
        <v>46</v>
      </c>
      <c r="U525" t="s">
        <v>190</v>
      </c>
      <c r="V525" t="s">
        <v>1490</v>
      </c>
      <c r="W525">
        <v>26500</v>
      </c>
      <c r="X525" t="s">
        <v>45</v>
      </c>
      <c r="Y525" t="s">
        <v>192</v>
      </c>
      <c r="Z525" t="s">
        <v>50</v>
      </c>
      <c r="AA525" s="10">
        <f>IF(O525&lt;=1,7,7+0.8*ROUNDUP(O525-1,0))</f>
        <v>7</v>
      </c>
      <c r="AB525" s="11">
        <v>0</v>
      </c>
      <c r="AC525" s="11">
        <v>0</v>
      </c>
      <c r="AD525" s="11">
        <v>0</v>
      </c>
      <c r="AE525" s="11">
        <v>0</v>
      </c>
      <c r="AF525" s="11">
        <f t="shared" si="20"/>
        <v>0.42</v>
      </c>
      <c r="AG525" s="11">
        <f t="shared" si="21"/>
        <v>7.42</v>
      </c>
      <c r="AH525" t="s">
        <v>51</v>
      </c>
    </row>
    <row r="526" spans="1:34" ht="15" customHeight="1" x14ac:dyDescent="0.35">
      <c r="A526">
        <v>7547676</v>
      </c>
      <c r="B526">
        <v>690929</v>
      </c>
      <c r="C526" t="s">
        <v>34</v>
      </c>
      <c r="D526" t="s">
        <v>35</v>
      </c>
      <c r="E526" s="6" t="s">
        <v>34</v>
      </c>
      <c r="F526" t="s">
        <v>1660</v>
      </c>
      <c r="G526" t="s">
        <v>37</v>
      </c>
      <c r="H526" t="s">
        <v>38</v>
      </c>
      <c r="I526" t="s">
        <v>1661</v>
      </c>
      <c r="J526" t="s">
        <v>40</v>
      </c>
      <c r="K526">
        <v>2</v>
      </c>
      <c r="L526" t="s">
        <v>41</v>
      </c>
      <c r="M526" t="s">
        <v>42</v>
      </c>
      <c r="N526" t="s">
        <v>43</v>
      </c>
      <c r="O526" s="7">
        <v>1</v>
      </c>
      <c r="P526" s="8">
        <v>45354.718715277777</v>
      </c>
      <c r="Q526" s="9">
        <v>45355</v>
      </c>
      <c r="R526" t="s">
        <v>44</v>
      </c>
      <c r="S526" t="s">
        <v>45</v>
      </c>
      <c r="T526" t="s">
        <v>46</v>
      </c>
      <c r="U526" t="s">
        <v>54</v>
      </c>
      <c r="V526" t="s">
        <v>1662</v>
      </c>
      <c r="W526">
        <v>68100</v>
      </c>
      <c r="X526" t="s">
        <v>45</v>
      </c>
      <c r="Y526" t="s">
        <v>126</v>
      </c>
      <c r="Z526" t="s">
        <v>50</v>
      </c>
      <c r="AA526" s="10">
        <f>IF(O526&lt;=1,7,7+0.8*ROUNDUP(O526-1,0))</f>
        <v>7</v>
      </c>
      <c r="AB526" s="11">
        <v>0</v>
      </c>
      <c r="AC526" s="11">
        <v>0</v>
      </c>
      <c r="AD526" s="11">
        <v>0</v>
      </c>
      <c r="AE526" s="11">
        <v>0</v>
      </c>
      <c r="AF526" s="11">
        <f t="shared" si="20"/>
        <v>0.42</v>
      </c>
      <c r="AG526" s="11">
        <f t="shared" si="21"/>
        <v>7.42</v>
      </c>
      <c r="AH526" t="s">
        <v>51</v>
      </c>
    </row>
    <row r="527" spans="1:34" ht="15" customHeight="1" x14ac:dyDescent="0.35">
      <c r="A527">
        <v>7547676</v>
      </c>
      <c r="B527">
        <v>690929</v>
      </c>
      <c r="C527" t="s">
        <v>34</v>
      </c>
      <c r="D527" t="s">
        <v>35</v>
      </c>
      <c r="E527" s="6" t="s">
        <v>34</v>
      </c>
      <c r="F527" t="s">
        <v>1663</v>
      </c>
      <c r="G527" t="s">
        <v>37</v>
      </c>
      <c r="H527" t="s">
        <v>38</v>
      </c>
      <c r="I527" t="s">
        <v>1664</v>
      </c>
      <c r="J527" t="s">
        <v>40</v>
      </c>
      <c r="K527">
        <v>2</v>
      </c>
      <c r="L527" t="s">
        <v>41</v>
      </c>
      <c r="M527" t="s">
        <v>42</v>
      </c>
      <c r="N527" t="s">
        <v>43</v>
      </c>
      <c r="O527" s="7">
        <v>1</v>
      </c>
      <c r="P527" s="8">
        <v>45353.492199074077</v>
      </c>
      <c r="Q527" s="9">
        <v>45355</v>
      </c>
      <c r="R527" t="s">
        <v>44</v>
      </c>
      <c r="S527" t="s">
        <v>45</v>
      </c>
      <c r="T527" t="s">
        <v>46</v>
      </c>
      <c r="U527" t="s">
        <v>67</v>
      </c>
      <c r="V527" t="s">
        <v>1665</v>
      </c>
      <c r="W527">
        <v>50480</v>
      </c>
      <c r="X527" t="s">
        <v>45</v>
      </c>
      <c r="Y527" t="s">
        <v>780</v>
      </c>
      <c r="Z527" t="s">
        <v>50</v>
      </c>
      <c r="AA527" s="10">
        <f>IF(O527&lt;=1,7,7+0.8*ROUNDUP(O527-1,0))</f>
        <v>7</v>
      </c>
      <c r="AB527" s="11">
        <v>0</v>
      </c>
      <c r="AC527" s="11">
        <v>0</v>
      </c>
      <c r="AD527" s="11">
        <v>0</v>
      </c>
      <c r="AE527" s="11">
        <v>0</v>
      </c>
      <c r="AF527" s="11">
        <f t="shared" si="20"/>
        <v>0.42</v>
      </c>
      <c r="AG527" s="11">
        <f t="shared" si="21"/>
        <v>7.42</v>
      </c>
      <c r="AH527" t="s">
        <v>51</v>
      </c>
    </row>
    <row r="528" spans="1:34" ht="15" customHeight="1" x14ac:dyDescent="0.35">
      <c r="A528">
        <v>7547676</v>
      </c>
      <c r="B528">
        <v>690929</v>
      </c>
      <c r="C528" t="s">
        <v>34</v>
      </c>
      <c r="D528" t="s">
        <v>35</v>
      </c>
      <c r="E528" s="6" t="s">
        <v>34</v>
      </c>
      <c r="F528" t="s">
        <v>1666</v>
      </c>
      <c r="G528" t="s">
        <v>37</v>
      </c>
      <c r="H528" t="s">
        <v>38</v>
      </c>
      <c r="I528" t="s">
        <v>1667</v>
      </c>
      <c r="J528" t="s">
        <v>40</v>
      </c>
      <c r="K528">
        <v>2</v>
      </c>
      <c r="L528" t="s">
        <v>41</v>
      </c>
      <c r="M528" t="s">
        <v>42</v>
      </c>
      <c r="N528" t="s">
        <v>43</v>
      </c>
      <c r="O528" s="7">
        <v>1</v>
      </c>
      <c r="P528" s="8">
        <v>45351.582094907404</v>
      </c>
      <c r="Q528" s="9">
        <v>45355</v>
      </c>
      <c r="R528" t="s">
        <v>44</v>
      </c>
      <c r="S528" t="s">
        <v>45</v>
      </c>
      <c r="T528" t="s">
        <v>46</v>
      </c>
      <c r="U528" t="s">
        <v>278</v>
      </c>
      <c r="V528" t="s">
        <v>1668</v>
      </c>
      <c r="W528">
        <v>13300</v>
      </c>
      <c r="X528" t="s">
        <v>45</v>
      </c>
      <c r="Y528" t="s">
        <v>305</v>
      </c>
      <c r="Z528" t="s">
        <v>50</v>
      </c>
      <c r="AA528" s="10">
        <f>IF(O528&lt;=1,7,7+0.8*ROUNDUP(O528-1,0))</f>
        <v>7</v>
      </c>
      <c r="AB528" s="11">
        <v>0</v>
      </c>
      <c r="AC528" s="11">
        <v>0</v>
      </c>
      <c r="AD528" s="11">
        <v>0</v>
      </c>
      <c r="AE528" s="11">
        <v>0</v>
      </c>
      <c r="AF528" s="11">
        <f t="shared" si="20"/>
        <v>0.42</v>
      </c>
      <c r="AG528" s="11">
        <f t="shared" si="21"/>
        <v>7.42</v>
      </c>
      <c r="AH528" t="s">
        <v>51</v>
      </c>
    </row>
    <row r="529" spans="1:34" ht="15" customHeight="1" x14ac:dyDescent="0.35">
      <c r="A529">
        <v>7547676</v>
      </c>
      <c r="B529">
        <v>690929</v>
      </c>
      <c r="C529" t="s">
        <v>34</v>
      </c>
      <c r="D529" t="s">
        <v>35</v>
      </c>
      <c r="E529" s="6" t="s">
        <v>34</v>
      </c>
      <c r="F529" t="s">
        <v>1669</v>
      </c>
      <c r="G529" t="s">
        <v>37</v>
      </c>
      <c r="H529" t="s">
        <v>38</v>
      </c>
      <c r="I529" t="s">
        <v>1670</v>
      </c>
      <c r="J529" t="s">
        <v>40</v>
      </c>
      <c r="K529">
        <v>2</v>
      </c>
      <c r="L529" t="s">
        <v>41</v>
      </c>
      <c r="M529" t="s">
        <v>42</v>
      </c>
      <c r="N529" t="s">
        <v>43</v>
      </c>
      <c r="O529" s="7">
        <v>1</v>
      </c>
      <c r="P529" s="8">
        <v>45353.712546296294</v>
      </c>
      <c r="Q529" s="9">
        <v>45355</v>
      </c>
      <c r="R529" t="s">
        <v>44</v>
      </c>
      <c r="S529" t="s">
        <v>45</v>
      </c>
      <c r="T529" t="s">
        <v>46</v>
      </c>
      <c r="U529" t="s">
        <v>54</v>
      </c>
      <c r="V529" t="s">
        <v>1671</v>
      </c>
      <c r="W529">
        <v>41200</v>
      </c>
      <c r="X529" t="s">
        <v>45</v>
      </c>
      <c r="Y529" t="s">
        <v>1049</v>
      </c>
      <c r="Z529" t="s">
        <v>50</v>
      </c>
      <c r="AA529" s="10">
        <f>IF(O529&lt;=1,7,7+0.8*ROUNDUP(O529-1,0))</f>
        <v>7</v>
      </c>
      <c r="AB529" s="11">
        <v>0</v>
      </c>
      <c r="AC529" s="11">
        <v>0</v>
      </c>
      <c r="AD529" s="11">
        <v>0</v>
      </c>
      <c r="AE529" s="11">
        <v>0</v>
      </c>
      <c r="AF529" s="11">
        <f t="shared" si="20"/>
        <v>0.42</v>
      </c>
      <c r="AG529" s="11">
        <f t="shared" si="21"/>
        <v>7.42</v>
      </c>
      <c r="AH529" t="s">
        <v>51</v>
      </c>
    </row>
    <row r="530" spans="1:34" ht="15" customHeight="1" x14ac:dyDescent="0.35">
      <c r="A530">
        <v>7547676</v>
      </c>
      <c r="B530">
        <v>690929</v>
      </c>
      <c r="C530" t="s">
        <v>34</v>
      </c>
      <c r="D530" t="s">
        <v>35</v>
      </c>
      <c r="E530" s="6" t="s">
        <v>34</v>
      </c>
      <c r="F530" t="s">
        <v>1672</v>
      </c>
      <c r="G530" t="s">
        <v>37</v>
      </c>
      <c r="H530" t="s">
        <v>38</v>
      </c>
      <c r="I530" t="s">
        <v>1673</v>
      </c>
      <c r="J530" t="s">
        <v>40</v>
      </c>
      <c r="K530">
        <v>2</v>
      </c>
      <c r="L530" t="s">
        <v>41</v>
      </c>
      <c r="M530" t="s">
        <v>42</v>
      </c>
      <c r="N530" t="s">
        <v>43</v>
      </c>
      <c r="O530" s="7">
        <v>1</v>
      </c>
      <c r="P530" s="8">
        <v>45354.589687500003</v>
      </c>
      <c r="Q530" s="9">
        <v>45355</v>
      </c>
      <c r="R530" t="s">
        <v>44</v>
      </c>
      <c r="S530" t="s">
        <v>45</v>
      </c>
      <c r="T530" t="s">
        <v>46</v>
      </c>
      <c r="U530" t="s">
        <v>54</v>
      </c>
      <c r="V530" t="s">
        <v>1674</v>
      </c>
      <c r="W530">
        <v>43650</v>
      </c>
      <c r="X530" t="s">
        <v>45</v>
      </c>
      <c r="Y530" t="s">
        <v>1500</v>
      </c>
      <c r="Z530" t="s">
        <v>50</v>
      </c>
      <c r="AA530" s="10">
        <f>IF(O530&lt;=1,7,7+0.8*ROUNDUP(O530-1,0))</f>
        <v>7</v>
      </c>
      <c r="AB530" s="11">
        <v>0</v>
      </c>
      <c r="AC530" s="11">
        <v>0</v>
      </c>
      <c r="AD530" s="11">
        <v>0</v>
      </c>
      <c r="AE530" s="11">
        <v>0</v>
      </c>
      <c r="AF530" s="11">
        <f t="shared" si="20"/>
        <v>0.42</v>
      </c>
      <c r="AG530" s="11">
        <f t="shared" si="21"/>
        <v>7.42</v>
      </c>
      <c r="AH530" t="s">
        <v>51</v>
      </c>
    </row>
    <row r="531" spans="1:34" ht="15" customHeight="1" x14ac:dyDescent="0.35">
      <c r="A531">
        <v>7547676</v>
      </c>
      <c r="B531">
        <v>690929</v>
      </c>
      <c r="C531" t="s">
        <v>34</v>
      </c>
      <c r="D531" t="s">
        <v>35</v>
      </c>
      <c r="E531" s="6" t="s">
        <v>34</v>
      </c>
      <c r="F531" t="s">
        <v>1675</v>
      </c>
      <c r="G531" t="s">
        <v>37</v>
      </c>
      <c r="H531" t="s">
        <v>38</v>
      </c>
      <c r="I531" t="s">
        <v>1676</v>
      </c>
      <c r="J531" t="s">
        <v>40</v>
      </c>
      <c r="K531">
        <v>2</v>
      </c>
      <c r="L531" t="s">
        <v>41</v>
      </c>
      <c r="M531" t="s">
        <v>42</v>
      </c>
      <c r="N531" t="s">
        <v>43</v>
      </c>
      <c r="O531" s="7">
        <v>7</v>
      </c>
      <c r="P531" s="8">
        <v>45349.711377314816</v>
      </c>
      <c r="Q531" s="9">
        <v>45356</v>
      </c>
      <c r="R531" t="s">
        <v>44</v>
      </c>
      <c r="S531" t="s">
        <v>45</v>
      </c>
      <c r="T531" t="s">
        <v>46</v>
      </c>
      <c r="U531" t="s">
        <v>67</v>
      </c>
      <c r="V531" t="s">
        <v>1677</v>
      </c>
      <c r="W531">
        <v>58100</v>
      </c>
      <c r="X531" t="s">
        <v>45</v>
      </c>
      <c r="Y531" t="s">
        <v>79</v>
      </c>
      <c r="Z531" t="s">
        <v>50</v>
      </c>
      <c r="AA531" s="10">
        <f>IF(O531&lt;=1,7,7+0.8*ROUNDUP(O531-1,0))</f>
        <v>11.8</v>
      </c>
      <c r="AB531" s="11">
        <v>0</v>
      </c>
      <c r="AC531" s="11">
        <v>0</v>
      </c>
      <c r="AD531" s="11">
        <v>0</v>
      </c>
      <c r="AE531" s="11">
        <v>0</v>
      </c>
      <c r="AF531" s="11">
        <f t="shared" si="20"/>
        <v>0.70799999999999996</v>
      </c>
      <c r="AG531" s="11">
        <f t="shared" si="21"/>
        <v>12.508000000000001</v>
      </c>
      <c r="AH531" t="s">
        <v>51</v>
      </c>
    </row>
    <row r="532" spans="1:34" ht="15" customHeight="1" x14ac:dyDescent="0.35">
      <c r="A532">
        <v>7547676</v>
      </c>
      <c r="B532">
        <v>690929</v>
      </c>
      <c r="C532" t="s">
        <v>34</v>
      </c>
      <c r="D532" t="s">
        <v>35</v>
      </c>
      <c r="E532" s="6" t="s">
        <v>34</v>
      </c>
      <c r="F532" t="s">
        <v>1678</v>
      </c>
      <c r="G532" t="s">
        <v>37</v>
      </c>
      <c r="H532" t="s">
        <v>38</v>
      </c>
      <c r="I532" t="s">
        <v>1679</v>
      </c>
      <c r="J532" t="s">
        <v>40</v>
      </c>
      <c r="K532">
        <v>2</v>
      </c>
      <c r="L532" t="s">
        <v>41</v>
      </c>
      <c r="M532" t="s">
        <v>42</v>
      </c>
      <c r="N532" t="s">
        <v>43</v>
      </c>
      <c r="O532" s="7">
        <v>2</v>
      </c>
      <c r="P532" s="8">
        <v>45354.755243055559</v>
      </c>
      <c r="Q532" s="9">
        <v>45356</v>
      </c>
      <c r="R532" t="s">
        <v>44</v>
      </c>
      <c r="S532" t="s">
        <v>45</v>
      </c>
      <c r="T532" t="s">
        <v>46</v>
      </c>
      <c r="U532" t="s">
        <v>190</v>
      </c>
      <c r="V532" t="s">
        <v>1680</v>
      </c>
      <c r="W532">
        <v>26100</v>
      </c>
      <c r="X532" t="s">
        <v>45</v>
      </c>
      <c r="Y532" t="s">
        <v>1681</v>
      </c>
      <c r="Z532" t="s">
        <v>50</v>
      </c>
      <c r="AA532" s="10">
        <f>IF(O532&lt;=1,7,7+0.8*ROUNDUP(O532-1,0))</f>
        <v>7.8</v>
      </c>
      <c r="AB532" s="11">
        <v>0</v>
      </c>
      <c r="AC532" s="11">
        <v>0</v>
      </c>
      <c r="AD532" s="11">
        <v>0</v>
      </c>
      <c r="AE532" s="11">
        <v>0</v>
      </c>
      <c r="AF532" s="11">
        <f t="shared" si="20"/>
        <v>0.46799999999999997</v>
      </c>
      <c r="AG532" s="11">
        <f t="shared" si="21"/>
        <v>8.2680000000000007</v>
      </c>
      <c r="AH532" t="s">
        <v>51</v>
      </c>
    </row>
    <row r="533" spans="1:34" ht="15" customHeight="1" x14ac:dyDescent="0.35">
      <c r="A533">
        <v>7547676</v>
      </c>
      <c r="B533">
        <v>690929</v>
      </c>
      <c r="C533" t="s">
        <v>34</v>
      </c>
      <c r="D533" t="s">
        <v>35</v>
      </c>
      <c r="E533" s="6" t="s">
        <v>34</v>
      </c>
      <c r="F533" t="s">
        <v>1682</v>
      </c>
      <c r="G533" t="s">
        <v>37</v>
      </c>
      <c r="H533" t="s">
        <v>38</v>
      </c>
      <c r="I533" t="s">
        <v>545</v>
      </c>
      <c r="J533" t="s">
        <v>40</v>
      </c>
      <c r="K533">
        <v>2</v>
      </c>
      <c r="L533" t="s">
        <v>41</v>
      </c>
      <c r="M533" t="s">
        <v>42</v>
      </c>
      <c r="N533" t="s">
        <v>43</v>
      </c>
      <c r="O533" s="7">
        <v>3</v>
      </c>
      <c r="P533" s="8">
        <v>45355.521956018521</v>
      </c>
      <c r="Q533" s="9">
        <v>45356</v>
      </c>
      <c r="R533" t="s">
        <v>44</v>
      </c>
      <c r="S533" t="s">
        <v>45</v>
      </c>
      <c r="T533" t="s">
        <v>46</v>
      </c>
      <c r="U533" t="s">
        <v>47</v>
      </c>
      <c r="V533" t="s">
        <v>546</v>
      </c>
      <c r="W533">
        <v>23100</v>
      </c>
      <c r="X533" t="s">
        <v>45</v>
      </c>
      <c r="Y533" t="s">
        <v>49</v>
      </c>
      <c r="Z533" t="s">
        <v>50</v>
      </c>
      <c r="AA533" s="10">
        <f>IF(O533&lt;=1,7,7+0.8*ROUNDUP(O533-1,0))</f>
        <v>8.6</v>
      </c>
      <c r="AB533" s="11">
        <v>0</v>
      </c>
      <c r="AC533" s="11">
        <v>0</v>
      </c>
      <c r="AD533" s="11">
        <v>0</v>
      </c>
      <c r="AE533" s="11">
        <v>0</v>
      </c>
      <c r="AF533" s="11">
        <f t="shared" si="20"/>
        <v>0.51600000000000001</v>
      </c>
      <c r="AG533" s="11">
        <f t="shared" si="21"/>
        <v>9.1159999999999997</v>
      </c>
      <c r="AH533" t="s">
        <v>51</v>
      </c>
    </row>
    <row r="534" spans="1:34" ht="15" customHeight="1" x14ac:dyDescent="0.35">
      <c r="A534">
        <v>7547676</v>
      </c>
      <c r="B534">
        <v>690929</v>
      </c>
      <c r="C534" t="s">
        <v>34</v>
      </c>
      <c r="D534" t="s">
        <v>35</v>
      </c>
      <c r="E534" s="6" t="s">
        <v>34</v>
      </c>
      <c r="F534" t="s">
        <v>1683</v>
      </c>
      <c r="G534" t="s">
        <v>37</v>
      </c>
      <c r="H534" t="s">
        <v>38</v>
      </c>
      <c r="I534" t="s">
        <v>1684</v>
      </c>
      <c r="J534" t="s">
        <v>40</v>
      </c>
      <c r="K534">
        <v>2</v>
      </c>
      <c r="L534" t="s">
        <v>41</v>
      </c>
      <c r="M534" t="s">
        <v>42</v>
      </c>
      <c r="N534" t="s">
        <v>43</v>
      </c>
      <c r="O534" s="7">
        <v>2</v>
      </c>
      <c r="P534" s="8">
        <v>45354.481446759259</v>
      </c>
      <c r="Q534" s="9">
        <v>45356</v>
      </c>
      <c r="R534" t="s">
        <v>44</v>
      </c>
      <c r="S534" t="s">
        <v>45</v>
      </c>
      <c r="T534" t="s">
        <v>46</v>
      </c>
      <c r="U534" t="s">
        <v>54</v>
      </c>
      <c r="V534" t="s">
        <v>1685</v>
      </c>
      <c r="W534">
        <v>52100</v>
      </c>
      <c r="X534" t="s">
        <v>45</v>
      </c>
      <c r="Y534" t="s">
        <v>79</v>
      </c>
      <c r="Z534" t="s">
        <v>50</v>
      </c>
      <c r="AA534" s="10">
        <f>IF(O534&lt;=1,7,7+0.8*ROUNDUP(O534-1,0))</f>
        <v>7.8</v>
      </c>
      <c r="AB534" s="11">
        <v>0</v>
      </c>
      <c r="AC534" s="11">
        <v>0</v>
      </c>
      <c r="AD534" s="11">
        <v>0</v>
      </c>
      <c r="AE534" s="11">
        <v>0</v>
      </c>
      <c r="AF534" s="11">
        <f t="shared" si="20"/>
        <v>0.46799999999999997</v>
      </c>
      <c r="AG534" s="11">
        <f t="shared" si="21"/>
        <v>8.2680000000000007</v>
      </c>
      <c r="AH534" t="s">
        <v>51</v>
      </c>
    </row>
    <row r="535" spans="1:34" ht="15" customHeight="1" x14ac:dyDescent="0.35">
      <c r="A535">
        <v>7547676</v>
      </c>
      <c r="B535">
        <v>690929</v>
      </c>
      <c r="C535" t="s">
        <v>34</v>
      </c>
      <c r="D535" t="s">
        <v>35</v>
      </c>
      <c r="E535" s="6" t="s">
        <v>34</v>
      </c>
      <c r="F535" t="s">
        <v>1686</v>
      </c>
      <c r="G535" t="s">
        <v>37</v>
      </c>
      <c r="H535" t="s">
        <v>38</v>
      </c>
      <c r="I535" t="s">
        <v>1687</v>
      </c>
      <c r="J535" t="s">
        <v>40</v>
      </c>
      <c r="K535">
        <v>2</v>
      </c>
      <c r="L535" t="s">
        <v>41</v>
      </c>
      <c r="M535" t="s">
        <v>42</v>
      </c>
      <c r="N535" t="s">
        <v>43</v>
      </c>
      <c r="O535" s="7">
        <v>3</v>
      </c>
      <c r="P535" s="8">
        <v>45355.739490740743</v>
      </c>
      <c r="Q535" s="9">
        <v>45356</v>
      </c>
      <c r="R535" t="s">
        <v>44</v>
      </c>
      <c r="S535" t="s">
        <v>45</v>
      </c>
      <c r="T535" t="s">
        <v>46</v>
      </c>
      <c r="U535" t="s">
        <v>190</v>
      </c>
      <c r="V535" t="s">
        <v>1688</v>
      </c>
      <c r="W535">
        <v>26700</v>
      </c>
      <c r="X535" t="s">
        <v>45</v>
      </c>
      <c r="Y535" t="s">
        <v>1218</v>
      </c>
      <c r="Z535" t="s">
        <v>50</v>
      </c>
      <c r="AA535" s="10">
        <f>IF(O535&lt;=1,7,7+0.8*ROUNDUP(O535-1,0))</f>
        <v>8.6</v>
      </c>
      <c r="AB535" s="11">
        <v>0</v>
      </c>
      <c r="AC535" s="11">
        <v>0</v>
      </c>
      <c r="AD535" s="11">
        <v>0</v>
      </c>
      <c r="AE535" s="11">
        <v>0</v>
      </c>
      <c r="AF535" s="11">
        <f t="shared" si="20"/>
        <v>0.51600000000000001</v>
      </c>
      <c r="AG535" s="11">
        <f t="shared" si="21"/>
        <v>9.1159999999999997</v>
      </c>
      <c r="AH535" t="s">
        <v>51</v>
      </c>
    </row>
    <row r="536" spans="1:34" ht="15" customHeight="1" x14ac:dyDescent="0.35">
      <c r="A536">
        <v>7547676</v>
      </c>
      <c r="B536">
        <v>690929</v>
      </c>
      <c r="C536" t="s">
        <v>34</v>
      </c>
      <c r="D536" t="s">
        <v>35</v>
      </c>
      <c r="E536" s="6" t="s">
        <v>34</v>
      </c>
      <c r="F536" t="s">
        <v>1689</v>
      </c>
      <c r="G536" t="s">
        <v>37</v>
      </c>
      <c r="H536" t="s">
        <v>38</v>
      </c>
      <c r="I536" t="s">
        <v>290</v>
      </c>
      <c r="J536" t="s">
        <v>40</v>
      </c>
      <c r="K536">
        <v>2</v>
      </c>
      <c r="L536" t="s">
        <v>41</v>
      </c>
      <c r="M536" t="s">
        <v>42</v>
      </c>
      <c r="N536" t="s">
        <v>43</v>
      </c>
      <c r="O536" s="7">
        <v>1</v>
      </c>
      <c r="P536" s="8">
        <v>45354.547430555554</v>
      </c>
      <c r="Q536" s="9">
        <v>45356</v>
      </c>
      <c r="R536" t="s">
        <v>44</v>
      </c>
      <c r="S536" t="s">
        <v>45</v>
      </c>
      <c r="T536" t="s">
        <v>46</v>
      </c>
      <c r="U536" t="s">
        <v>172</v>
      </c>
      <c r="V536" t="s">
        <v>1690</v>
      </c>
      <c r="W536">
        <v>34700</v>
      </c>
      <c r="X536" t="s">
        <v>45</v>
      </c>
      <c r="Y536" t="s">
        <v>79</v>
      </c>
      <c r="Z536" t="s">
        <v>50</v>
      </c>
      <c r="AA536" s="10">
        <f>IF(O536&lt;=1,7,7+0.8*ROUNDUP(O536-1,0))</f>
        <v>7</v>
      </c>
      <c r="AB536" s="11">
        <v>0</v>
      </c>
      <c r="AC536" s="11">
        <v>0</v>
      </c>
      <c r="AD536" s="11">
        <v>0</v>
      </c>
      <c r="AE536" s="11">
        <v>0</v>
      </c>
      <c r="AF536" s="11">
        <f t="shared" si="20"/>
        <v>0.42</v>
      </c>
      <c r="AG536" s="11">
        <f t="shared" si="21"/>
        <v>7.42</v>
      </c>
      <c r="AH536" t="s">
        <v>51</v>
      </c>
    </row>
    <row r="537" spans="1:34" ht="15" customHeight="1" x14ac:dyDescent="0.35">
      <c r="A537">
        <v>7547676</v>
      </c>
      <c r="B537">
        <v>690929</v>
      </c>
      <c r="C537" t="s">
        <v>34</v>
      </c>
      <c r="D537" t="s">
        <v>35</v>
      </c>
      <c r="E537" s="6" t="s">
        <v>34</v>
      </c>
      <c r="F537" t="s">
        <v>1691</v>
      </c>
      <c r="G537" t="s">
        <v>37</v>
      </c>
      <c r="H537" t="s">
        <v>38</v>
      </c>
      <c r="I537" t="s">
        <v>1692</v>
      </c>
      <c r="J537" t="s">
        <v>40</v>
      </c>
      <c r="K537">
        <v>2</v>
      </c>
      <c r="L537" t="s">
        <v>41</v>
      </c>
      <c r="M537" t="s">
        <v>42</v>
      </c>
      <c r="N537" t="s">
        <v>43</v>
      </c>
      <c r="O537" s="7">
        <v>4</v>
      </c>
      <c r="P537" s="8">
        <v>45355.521956018521</v>
      </c>
      <c r="Q537" s="9">
        <v>45356</v>
      </c>
      <c r="R537" t="s">
        <v>44</v>
      </c>
      <c r="S537" t="s">
        <v>45</v>
      </c>
      <c r="T537" t="s">
        <v>46</v>
      </c>
      <c r="U537" t="s">
        <v>99</v>
      </c>
      <c r="V537" t="s">
        <v>1693</v>
      </c>
      <c r="W537">
        <v>18300</v>
      </c>
      <c r="X537" t="s">
        <v>45</v>
      </c>
      <c r="Y537" t="s">
        <v>156</v>
      </c>
      <c r="Z537" t="s">
        <v>50</v>
      </c>
      <c r="AA537" s="10">
        <f>IF(O537&lt;=1,7,7+0.8*ROUNDUP(O537-1,0))</f>
        <v>9.4</v>
      </c>
      <c r="AB537" s="11">
        <v>0</v>
      </c>
      <c r="AC537" s="11">
        <v>0</v>
      </c>
      <c r="AD537" s="11">
        <v>0</v>
      </c>
      <c r="AE537" s="11">
        <v>0</v>
      </c>
      <c r="AF537" s="11">
        <f>(AA537+AC537+AE537)*6%</f>
        <v>0.56399999999999995</v>
      </c>
      <c r="AG537" s="11">
        <f>AA537+AC537+AE537+AF537</f>
        <v>9.9640000000000004</v>
      </c>
      <c r="AH537" t="s">
        <v>51</v>
      </c>
    </row>
    <row r="538" spans="1:34" ht="15" customHeight="1" x14ac:dyDescent="0.35">
      <c r="A538">
        <v>7547676</v>
      </c>
      <c r="B538">
        <v>690929</v>
      </c>
      <c r="C538" t="s">
        <v>34</v>
      </c>
      <c r="D538" t="s">
        <v>35</v>
      </c>
      <c r="E538" s="6" t="s">
        <v>34</v>
      </c>
      <c r="F538" t="s">
        <v>1694</v>
      </c>
      <c r="G538" t="s">
        <v>37</v>
      </c>
      <c r="H538" t="s">
        <v>38</v>
      </c>
      <c r="I538" t="s">
        <v>872</v>
      </c>
      <c r="J538" t="s">
        <v>40</v>
      </c>
      <c r="K538">
        <v>2</v>
      </c>
      <c r="L538" t="s">
        <v>41</v>
      </c>
      <c r="M538" t="s">
        <v>42</v>
      </c>
      <c r="N538" t="s">
        <v>43</v>
      </c>
      <c r="O538" s="7">
        <v>1</v>
      </c>
      <c r="P538" s="8">
        <v>45353.647152777776</v>
      </c>
      <c r="Q538" s="9">
        <v>45356</v>
      </c>
      <c r="R538" t="s">
        <v>44</v>
      </c>
      <c r="S538" t="s">
        <v>45</v>
      </c>
      <c r="T538" t="s">
        <v>46</v>
      </c>
      <c r="U538" t="s">
        <v>82</v>
      </c>
      <c r="V538" t="s">
        <v>873</v>
      </c>
      <c r="W538">
        <v>83700</v>
      </c>
      <c r="X538" t="s">
        <v>45</v>
      </c>
      <c r="Y538" t="s">
        <v>79</v>
      </c>
      <c r="Z538" t="s">
        <v>50</v>
      </c>
      <c r="AA538" s="10">
        <f>IF(O538&lt;=1,7,7+0.8*ROUNDUP(O538-1,0))</f>
        <v>7</v>
      </c>
      <c r="AB538" s="11">
        <v>0</v>
      </c>
      <c r="AC538" s="11">
        <v>0</v>
      </c>
      <c r="AD538" s="11">
        <v>0</v>
      </c>
      <c r="AE538" s="11">
        <v>0</v>
      </c>
      <c r="AF538" s="11">
        <f t="shared" ref="AF538:AF540" si="22">(AA538+AC538+AE538)*6%</f>
        <v>0.42</v>
      </c>
      <c r="AG538" s="11">
        <f t="shared" ref="AG538:AG601" si="23">AA538+AC538+AE538+AF538</f>
        <v>7.42</v>
      </c>
      <c r="AH538" t="s">
        <v>51</v>
      </c>
    </row>
    <row r="539" spans="1:34" ht="15" customHeight="1" x14ac:dyDescent="0.35">
      <c r="A539">
        <v>7547676</v>
      </c>
      <c r="B539">
        <v>690929</v>
      </c>
      <c r="C539" t="s">
        <v>34</v>
      </c>
      <c r="D539" t="s">
        <v>35</v>
      </c>
      <c r="E539" s="6" t="s">
        <v>34</v>
      </c>
      <c r="F539" t="s">
        <v>1695</v>
      </c>
      <c r="G539" t="s">
        <v>37</v>
      </c>
      <c r="H539" t="s">
        <v>38</v>
      </c>
      <c r="I539" t="s">
        <v>1696</v>
      </c>
      <c r="J539" t="s">
        <v>40</v>
      </c>
      <c r="K539">
        <v>2</v>
      </c>
      <c r="L539" t="s">
        <v>41</v>
      </c>
      <c r="M539" t="s">
        <v>42</v>
      </c>
      <c r="N539" t="s">
        <v>43</v>
      </c>
      <c r="O539" s="7">
        <v>1</v>
      </c>
      <c r="P539" s="8">
        <v>45355.739490740743</v>
      </c>
      <c r="Q539" s="9">
        <v>45356</v>
      </c>
      <c r="R539" t="s">
        <v>44</v>
      </c>
      <c r="S539" t="s">
        <v>45</v>
      </c>
      <c r="T539" t="s">
        <v>46</v>
      </c>
      <c r="U539" t="s">
        <v>54</v>
      </c>
      <c r="V539" t="s">
        <v>1697</v>
      </c>
      <c r="W539">
        <v>40100</v>
      </c>
      <c r="X539" t="s">
        <v>45</v>
      </c>
      <c r="Y539" t="s">
        <v>56</v>
      </c>
      <c r="Z539" t="s">
        <v>50</v>
      </c>
      <c r="AA539" s="10">
        <f>IF(O539&lt;=1,7,7+0.8*ROUNDUP(O539-1,0))</f>
        <v>7</v>
      </c>
      <c r="AB539" s="11">
        <v>0</v>
      </c>
      <c r="AC539" s="11">
        <v>0</v>
      </c>
      <c r="AD539" s="11">
        <v>0</v>
      </c>
      <c r="AE539" s="11">
        <v>0</v>
      </c>
      <c r="AF539" s="11">
        <f t="shared" si="22"/>
        <v>0.42</v>
      </c>
      <c r="AG539" s="11">
        <f t="shared" si="23"/>
        <v>7.42</v>
      </c>
      <c r="AH539" t="s">
        <v>51</v>
      </c>
    </row>
    <row r="540" spans="1:34" ht="15" customHeight="1" x14ac:dyDescent="0.35">
      <c r="A540">
        <v>7547676</v>
      </c>
      <c r="B540">
        <v>690929</v>
      </c>
      <c r="C540" t="s">
        <v>34</v>
      </c>
      <c r="D540" t="s">
        <v>35</v>
      </c>
      <c r="E540" s="6" t="s">
        <v>34</v>
      </c>
      <c r="F540" t="s">
        <v>1698</v>
      </c>
      <c r="G540" t="s">
        <v>37</v>
      </c>
      <c r="H540" t="s">
        <v>38</v>
      </c>
      <c r="I540" t="s">
        <v>1699</v>
      </c>
      <c r="J540" t="s">
        <v>40</v>
      </c>
      <c r="K540">
        <v>2</v>
      </c>
      <c r="L540" t="s">
        <v>41</v>
      </c>
      <c r="M540" t="s">
        <v>42</v>
      </c>
      <c r="N540" t="s">
        <v>43</v>
      </c>
      <c r="O540" s="7">
        <v>1</v>
      </c>
      <c r="P540" s="8">
        <v>45355.654548611114</v>
      </c>
      <c r="Q540" s="9">
        <v>45356</v>
      </c>
      <c r="R540" t="s">
        <v>44</v>
      </c>
      <c r="S540" t="s">
        <v>45</v>
      </c>
      <c r="T540" t="s">
        <v>46</v>
      </c>
      <c r="U540" t="s">
        <v>54</v>
      </c>
      <c r="V540" t="s">
        <v>1700</v>
      </c>
      <c r="W540">
        <v>47000</v>
      </c>
      <c r="X540" t="s">
        <v>45</v>
      </c>
      <c r="Y540" t="s">
        <v>144</v>
      </c>
      <c r="Z540" t="s">
        <v>50</v>
      </c>
      <c r="AA540" s="10">
        <f>IF(O540&lt;=1,7,7+0.8*ROUNDUP(O540-1,0))</f>
        <v>7</v>
      </c>
      <c r="AB540" s="11">
        <v>0</v>
      </c>
      <c r="AC540" s="11">
        <v>0</v>
      </c>
      <c r="AD540" s="11">
        <v>0</v>
      </c>
      <c r="AE540" s="11">
        <v>0</v>
      </c>
      <c r="AF540" s="11">
        <f t="shared" si="22"/>
        <v>0.42</v>
      </c>
      <c r="AG540" s="11">
        <f t="shared" si="23"/>
        <v>7.42</v>
      </c>
      <c r="AH540" t="s">
        <v>51</v>
      </c>
    </row>
    <row r="541" spans="1:34" ht="15" customHeight="1" x14ac:dyDescent="0.35">
      <c r="A541">
        <v>7547676</v>
      </c>
      <c r="B541">
        <v>690929</v>
      </c>
      <c r="C541" t="s">
        <v>34</v>
      </c>
      <c r="D541" t="s">
        <v>35</v>
      </c>
      <c r="E541" s="6" t="s">
        <v>34</v>
      </c>
      <c r="F541" t="s">
        <v>1701</v>
      </c>
      <c r="G541" t="s">
        <v>37</v>
      </c>
      <c r="H541" t="s">
        <v>38</v>
      </c>
      <c r="I541" t="s">
        <v>1702</v>
      </c>
      <c r="J541" t="s">
        <v>40</v>
      </c>
      <c r="K541">
        <v>2</v>
      </c>
      <c r="L541" t="s">
        <v>41</v>
      </c>
      <c r="M541" t="s">
        <v>42</v>
      </c>
      <c r="N541" t="s">
        <v>43</v>
      </c>
      <c r="O541" s="7">
        <v>1</v>
      </c>
      <c r="P541" s="8">
        <v>45354.750810185185</v>
      </c>
      <c r="Q541" s="9">
        <v>45356</v>
      </c>
      <c r="R541" t="s">
        <v>44</v>
      </c>
      <c r="S541" t="s">
        <v>45</v>
      </c>
      <c r="T541" t="s">
        <v>46</v>
      </c>
      <c r="U541" t="s">
        <v>99</v>
      </c>
      <c r="V541" t="s">
        <v>1703</v>
      </c>
      <c r="W541">
        <v>18300</v>
      </c>
      <c r="X541" t="s">
        <v>45</v>
      </c>
      <c r="Y541" t="s">
        <v>156</v>
      </c>
      <c r="Z541" t="s">
        <v>50</v>
      </c>
      <c r="AA541" s="10">
        <f>IF(O541&lt;=1,7,7+0.8*ROUNDUP(O541-1,0))</f>
        <v>7</v>
      </c>
      <c r="AB541" s="11">
        <v>0</v>
      </c>
      <c r="AC541" s="11">
        <v>0</v>
      </c>
      <c r="AD541" s="11">
        <v>0</v>
      </c>
      <c r="AE541" s="11">
        <v>0</v>
      </c>
      <c r="AF541" s="11">
        <f>(AA541+AC541+AE541)*6%</f>
        <v>0.42</v>
      </c>
      <c r="AG541" s="11">
        <f t="shared" si="23"/>
        <v>7.42</v>
      </c>
      <c r="AH541" t="s">
        <v>51</v>
      </c>
    </row>
    <row r="542" spans="1:34" ht="15" customHeight="1" x14ac:dyDescent="0.35">
      <c r="A542">
        <v>7547676</v>
      </c>
      <c r="B542">
        <v>690929</v>
      </c>
      <c r="C542" t="s">
        <v>34</v>
      </c>
      <c r="D542" t="s">
        <v>35</v>
      </c>
      <c r="E542" s="6" t="s">
        <v>34</v>
      </c>
      <c r="F542" t="s">
        <v>1704</v>
      </c>
      <c r="G542" t="s">
        <v>37</v>
      </c>
      <c r="H542" t="s">
        <v>38</v>
      </c>
      <c r="I542" t="s">
        <v>1705</v>
      </c>
      <c r="J542" t="s">
        <v>40</v>
      </c>
      <c r="K542">
        <v>2</v>
      </c>
      <c r="L542" t="s">
        <v>41</v>
      </c>
      <c r="M542" t="s">
        <v>42</v>
      </c>
      <c r="N542" t="s">
        <v>43</v>
      </c>
      <c r="O542" s="7">
        <v>1</v>
      </c>
      <c r="P542" s="8">
        <v>45354.743564814817</v>
      </c>
      <c r="Q542" s="9">
        <v>45356</v>
      </c>
      <c r="R542" t="s">
        <v>44</v>
      </c>
      <c r="S542" t="s">
        <v>45</v>
      </c>
      <c r="T542" t="s">
        <v>46</v>
      </c>
      <c r="U542" t="s">
        <v>172</v>
      </c>
      <c r="V542" t="s">
        <v>1706</v>
      </c>
      <c r="W542">
        <v>31400</v>
      </c>
      <c r="X542" t="s">
        <v>45</v>
      </c>
      <c r="Y542" t="s">
        <v>1707</v>
      </c>
      <c r="Z542" t="s">
        <v>50</v>
      </c>
      <c r="AA542" s="10">
        <f>IF(O542&lt;=1,7,7+0.8*ROUNDUP(O542-1,0))</f>
        <v>7</v>
      </c>
      <c r="AB542" s="11">
        <v>0</v>
      </c>
      <c r="AC542" s="11">
        <v>0</v>
      </c>
      <c r="AD542" s="11">
        <v>0</v>
      </c>
      <c r="AE542" s="11">
        <v>0</v>
      </c>
      <c r="AF542" s="11">
        <f t="shared" ref="AF542:AF605" si="24">(AA542+AC542+AE542)*6%</f>
        <v>0.42</v>
      </c>
      <c r="AG542" s="11">
        <f t="shared" si="23"/>
        <v>7.42</v>
      </c>
      <c r="AH542" t="s">
        <v>51</v>
      </c>
    </row>
    <row r="543" spans="1:34" ht="15" customHeight="1" x14ac:dyDescent="0.35">
      <c r="A543">
        <v>7547676</v>
      </c>
      <c r="B543">
        <v>690929</v>
      </c>
      <c r="C543" t="s">
        <v>34</v>
      </c>
      <c r="D543" t="s">
        <v>35</v>
      </c>
      <c r="E543" s="6" t="s">
        <v>34</v>
      </c>
      <c r="F543" t="s">
        <v>1708</v>
      </c>
      <c r="G543" t="s">
        <v>37</v>
      </c>
      <c r="H543" t="s">
        <v>38</v>
      </c>
      <c r="I543" t="s">
        <v>1709</v>
      </c>
      <c r="J543" t="s">
        <v>40</v>
      </c>
      <c r="K543">
        <v>2</v>
      </c>
      <c r="L543" t="s">
        <v>41</v>
      </c>
      <c r="M543" t="s">
        <v>42</v>
      </c>
      <c r="N543" t="s">
        <v>43</v>
      </c>
      <c r="O543" s="7">
        <v>1</v>
      </c>
      <c r="P543" s="8">
        <v>45354.743564814817</v>
      </c>
      <c r="Q543" s="9">
        <v>45356</v>
      </c>
      <c r="R543" t="s">
        <v>44</v>
      </c>
      <c r="S543" t="s">
        <v>45</v>
      </c>
      <c r="T543" t="s">
        <v>46</v>
      </c>
      <c r="U543" t="s">
        <v>134</v>
      </c>
      <c r="V543" t="s">
        <v>1710</v>
      </c>
      <c r="W543">
        <v>6910</v>
      </c>
      <c r="X543" t="s">
        <v>45</v>
      </c>
      <c r="Y543" t="s">
        <v>945</v>
      </c>
      <c r="Z543" t="s">
        <v>50</v>
      </c>
      <c r="AA543" s="10">
        <f>IF(O543&lt;=1,7,7+0.8*ROUNDUP(O543-1,0))</f>
        <v>7</v>
      </c>
      <c r="AB543" s="11">
        <v>0</v>
      </c>
      <c r="AC543" s="11">
        <v>0</v>
      </c>
      <c r="AD543" s="11">
        <v>0</v>
      </c>
      <c r="AE543" s="11">
        <v>0</v>
      </c>
      <c r="AF543" s="11">
        <f t="shared" si="24"/>
        <v>0.42</v>
      </c>
      <c r="AG543" s="11">
        <f t="shared" si="23"/>
        <v>7.42</v>
      </c>
      <c r="AH543" t="s">
        <v>51</v>
      </c>
    </row>
    <row r="544" spans="1:34" ht="15" customHeight="1" x14ac:dyDescent="0.35">
      <c r="A544">
        <v>7547676</v>
      </c>
      <c r="B544">
        <v>690929</v>
      </c>
      <c r="C544" t="s">
        <v>34</v>
      </c>
      <c r="D544" t="s">
        <v>35</v>
      </c>
      <c r="E544" s="6" t="s">
        <v>34</v>
      </c>
      <c r="F544" t="s">
        <v>1711</v>
      </c>
      <c r="G544" t="s">
        <v>37</v>
      </c>
      <c r="H544" t="s">
        <v>38</v>
      </c>
      <c r="I544" t="s">
        <v>391</v>
      </c>
      <c r="J544" t="s">
        <v>40</v>
      </c>
      <c r="K544">
        <v>2</v>
      </c>
      <c r="L544" t="s">
        <v>41</v>
      </c>
      <c r="M544" t="s">
        <v>42</v>
      </c>
      <c r="N544" t="s">
        <v>43</v>
      </c>
      <c r="O544" s="7">
        <v>3</v>
      </c>
      <c r="P544" s="8">
        <v>45355.521956018521</v>
      </c>
      <c r="Q544" s="9">
        <v>45356</v>
      </c>
      <c r="R544" t="s">
        <v>44</v>
      </c>
      <c r="S544" t="s">
        <v>45</v>
      </c>
      <c r="T544" t="s">
        <v>46</v>
      </c>
      <c r="U544" t="s">
        <v>47</v>
      </c>
      <c r="V544" t="s">
        <v>1712</v>
      </c>
      <c r="W544">
        <v>20050</v>
      </c>
      <c r="X544" t="s">
        <v>45</v>
      </c>
      <c r="Y544" t="s">
        <v>49</v>
      </c>
      <c r="Z544" t="s">
        <v>50</v>
      </c>
      <c r="AA544" s="10">
        <f>IF(O544&lt;=1,7,7+0.8*ROUNDUP(O544-1,0))</f>
        <v>8.6</v>
      </c>
      <c r="AB544" s="11">
        <v>0</v>
      </c>
      <c r="AC544" s="11">
        <v>0</v>
      </c>
      <c r="AD544" s="11">
        <v>0</v>
      </c>
      <c r="AE544" s="11">
        <v>0</v>
      </c>
      <c r="AF544" s="11">
        <f t="shared" si="24"/>
        <v>0.51600000000000001</v>
      </c>
      <c r="AG544" s="11">
        <f t="shared" si="23"/>
        <v>9.1159999999999997</v>
      </c>
      <c r="AH544" t="s">
        <v>51</v>
      </c>
    </row>
    <row r="545" spans="1:34" ht="15" customHeight="1" x14ac:dyDescent="0.35">
      <c r="A545">
        <v>7547676</v>
      </c>
      <c r="B545">
        <v>690929</v>
      </c>
      <c r="C545" t="s">
        <v>34</v>
      </c>
      <c r="D545" t="s">
        <v>35</v>
      </c>
      <c r="E545" s="6" t="s">
        <v>34</v>
      </c>
      <c r="F545" t="s">
        <v>1713</v>
      </c>
      <c r="G545" t="s">
        <v>37</v>
      </c>
      <c r="H545" t="s">
        <v>38</v>
      </c>
      <c r="I545" t="s">
        <v>1714</v>
      </c>
      <c r="J545" t="s">
        <v>40</v>
      </c>
      <c r="K545">
        <v>2</v>
      </c>
      <c r="L545" t="s">
        <v>41</v>
      </c>
      <c r="M545" t="s">
        <v>42</v>
      </c>
      <c r="N545" t="s">
        <v>43</v>
      </c>
      <c r="O545" s="7">
        <v>2</v>
      </c>
      <c r="P545" s="8">
        <v>45354.476018518515</v>
      </c>
      <c r="Q545" s="9">
        <v>45356</v>
      </c>
      <c r="R545" t="s">
        <v>44</v>
      </c>
      <c r="S545" t="s">
        <v>45</v>
      </c>
      <c r="T545" t="s">
        <v>46</v>
      </c>
      <c r="U545" t="s">
        <v>82</v>
      </c>
      <c r="V545" t="s">
        <v>1715</v>
      </c>
      <c r="W545">
        <v>81300</v>
      </c>
      <c r="X545" t="s">
        <v>45</v>
      </c>
      <c r="Y545" t="s">
        <v>309</v>
      </c>
      <c r="Z545" t="s">
        <v>50</v>
      </c>
      <c r="AA545" s="10">
        <f>IF(O545&lt;=1,7,7+0.8*ROUNDUP(O545-1,0))</f>
        <v>7.8</v>
      </c>
      <c r="AB545" s="11">
        <v>0</v>
      </c>
      <c r="AC545" s="11">
        <v>0</v>
      </c>
      <c r="AD545" s="11">
        <v>0</v>
      </c>
      <c r="AE545" s="11">
        <v>0</v>
      </c>
      <c r="AF545" s="11">
        <f t="shared" si="24"/>
        <v>0.46799999999999997</v>
      </c>
      <c r="AG545" s="11">
        <f t="shared" si="23"/>
        <v>8.2680000000000007</v>
      </c>
      <c r="AH545" t="s">
        <v>51</v>
      </c>
    </row>
    <row r="546" spans="1:34" ht="15" customHeight="1" x14ac:dyDescent="0.35">
      <c r="A546">
        <v>7547676</v>
      </c>
      <c r="B546">
        <v>690929</v>
      </c>
      <c r="C546" t="s">
        <v>34</v>
      </c>
      <c r="D546" t="s">
        <v>35</v>
      </c>
      <c r="E546" s="6" t="s">
        <v>34</v>
      </c>
      <c r="F546" t="s">
        <v>1716</v>
      </c>
      <c r="G546" t="s">
        <v>37</v>
      </c>
      <c r="H546" t="s">
        <v>38</v>
      </c>
      <c r="I546" t="s">
        <v>1717</v>
      </c>
      <c r="J546" t="s">
        <v>40</v>
      </c>
      <c r="K546">
        <v>2</v>
      </c>
      <c r="L546" t="s">
        <v>41</v>
      </c>
      <c r="M546" t="s">
        <v>42</v>
      </c>
      <c r="N546" t="s">
        <v>43</v>
      </c>
      <c r="O546" s="7">
        <v>1</v>
      </c>
      <c r="P546" s="8">
        <v>45355.547719907408</v>
      </c>
      <c r="Q546" s="9">
        <v>45356</v>
      </c>
      <c r="R546" t="s">
        <v>44</v>
      </c>
      <c r="S546" t="s">
        <v>45</v>
      </c>
      <c r="T546" t="s">
        <v>46</v>
      </c>
      <c r="U546" t="s">
        <v>67</v>
      </c>
      <c r="V546" t="s">
        <v>1718</v>
      </c>
      <c r="W546">
        <v>50300</v>
      </c>
      <c r="X546" t="s">
        <v>45</v>
      </c>
      <c r="Y546" t="s">
        <v>69</v>
      </c>
      <c r="Z546" t="s">
        <v>50</v>
      </c>
      <c r="AA546" s="10">
        <f>IF(O546&lt;=1,7,7+0.8*ROUNDUP(O546-1,0))</f>
        <v>7</v>
      </c>
      <c r="AB546" s="11">
        <v>0</v>
      </c>
      <c r="AC546" s="11">
        <v>0</v>
      </c>
      <c r="AD546" s="11">
        <v>0</v>
      </c>
      <c r="AE546" s="11">
        <v>0</v>
      </c>
      <c r="AF546" s="11">
        <f t="shared" si="24"/>
        <v>0.42</v>
      </c>
      <c r="AG546" s="11">
        <f t="shared" si="23"/>
        <v>7.42</v>
      </c>
      <c r="AH546" t="s">
        <v>51</v>
      </c>
    </row>
    <row r="547" spans="1:34" ht="15" customHeight="1" x14ac:dyDescent="0.35">
      <c r="A547">
        <v>7547676</v>
      </c>
      <c r="B547">
        <v>690929</v>
      </c>
      <c r="C547" t="s">
        <v>34</v>
      </c>
      <c r="D547" t="s">
        <v>35</v>
      </c>
      <c r="E547" s="6" t="s">
        <v>34</v>
      </c>
      <c r="F547" t="s">
        <v>1719</v>
      </c>
      <c r="G547" t="s">
        <v>37</v>
      </c>
      <c r="H547" t="s">
        <v>38</v>
      </c>
      <c r="I547" t="s">
        <v>1720</v>
      </c>
      <c r="J547" t="s">
        <v>40</v>
      </c>
      <c r="K547">
        <v>2</v>
      </c>
      <c r="L547" t="s">
        <v>41</v>
      </c>
      <c r="M547" t="s">
        <v>42</v>
      </c>
      <c r="N547" t="s">
        <v>43</v>
      </c>
      <c r="O547" s="7">
        <v>1</v>
      </c>
      <c r="P547" s="8">
        <v>45355.739490740743</v>
      </c>
      <c r="Q547" s="9">
        <v>45356</v>
      </c>
      <c r="R547" t="s">
        <v>44</v>
      </c>
      <c r="S547" t="s">
        <v>45</v>
      </c>
      <c r="T547" t="s">
        <v>46</v>
      </c>
      <c r="U547" t="s">
        <v>54</v>
      </c>
      <c r="V547" t="s">
        <v>1721</v>
      </c>
      <c r="W547">
        <v>46100</v>
      </c>
      <c r="X547" t="s">
        <v>45</v>
      </c>
      <c r="Y547" t="s">
        <v>780</v>
      </c>
      <c r="Z547" t="s">
        <v>50</v>
      </c>
      <c r="AA547" s="10">
        <f>IF(O547&lt;=1,7,7+0.8*ROUNDUP(O547-1,0))</f>
        <v>7</v>
      </c>
      <c r="AB547" s="11">
        <v>0</v>
      </c>
      <c r="AC547" s="11">
        <v>0</v>
      </c>
      <c r="AD547" s="11">
        <v>0</v>
      </c>
      <c r="AE547" s="11">
        <v>0</v>
      </c>
      <c r="AF547" s="11">
        <f t="shared" si="24"/>
        <v>0.42</v>
      </c>
      <c r="AG547" s="11">
        <f t="shared" si="23"/>
        <v>7.42</v>
      </c>
      <c r="AH547" t="s">
        <v>51</v>
      </c>
    </row>
    <row r="548" spans="1:34" ht="15" customHeight="1" x14ac:dyDescent="0.35">
      <c r="A548">
        <v>7547676</v>
      </c>
      <c r="B548">
        <v>690929</v>
      </c>
      <c r="C548" t="s">
        <v>34</v>
      </c>
      <c r="D548" t="s">
        <v>35</v>
      </c>
      <c r="E548" s="6" t="s">
        <v>34</v>
      </c>
      <c r="F548" t="s">
        <v>1722</v>
      </c>
      <c r="G548" t="s">
        <v>37</v>
      </c>
      <c r="H548" t="s">
        <v>38</v>
      </c>
      <c r="I548" t="s">
        <v>1723</v>
      </c>
      <c r="J548" t="s">
        <v>40</v>
      </c>
      <c r="K548">
        <v>2</v>
      </c>
      <c r="L548" t="s">
        <v>41</v>
      </c>
      <c r="M548" t="s">
        <v>42</v>
      </c>
      <c r="N548" t="s">
        <v>43</v>
      </c>
      <c r="O548" s="7">
        <v>1</v>
      </c>
      <c r="P548" s="8">
        <v>45354.627881944441</v>
      </c>
      <c r="Q548" s="9">
        <v>45356</v>
      </c>
      <c r="R548" t="s">
        <v>44</v>
      </c>
      <c r="S548" t="s">
        <v>45</v>
      </c>
      <c r="T548" t="s">
        <v>46</v>
      </c>
      <c r="U548" t="s">
        <v>82</v>
      </c>
      <c r="V548" t="s">
        <v>1724</v>
      </c>
      <c r="W548">
        <v>81700</v>
      </c>
      <c r="X548" t="s">
        <v>45</v>
      </c>
      <c r="Y548" t="s">
        <v>301</v>
      </c>
      <c r="Z548" t="s">
        <v>50</v>
      </c>
      <c r="AA548" s="10">
        <f>IF(O548&lt;=1,7,7+0.8*ROUNDUP(O548-1,0))</f>
        <v>7</v>
      </c>
      <c r="AB548" s="11">
        <v>0</v>
      </c>
      <c r="AC548" s="11">
        <v>0</v>
      </c>
      <c r="AD548" s="11">
        <v>0</v>
      </c>
      <c r="AE548" s="11">
        <v>0</v>
      </c>
      <c r="AF548" s="11">
        <f t="shared" si="24"/>
        <v>0.42</v>
      </c>
      <c r="AG548" s="11">
        <f t="shared" si="23"/>
        <v>7.42</v>
      </c>
      <c r="AH548" t="s">
        <v>51</v>
      </c>
    </row>
    <row r="549" spans="1:34" ht="15" customHeight="1" x14ac:dyDescent="0.35">
      <c r="A549">
        <v>7547676</v>
      </c>
      <c r="B549">
        <v>690929</v>
      </c>
      <c r="C549" t="s">
        <v>34</v>
      </c>
      <c r="D549" t="s">
        <v>35</v>
      </c>
      <c r="E549" s="6" t="s">
        <v>34</v>
      </c>
      <c r="F549" t="s">
        <v>1725</v>
      </c>
      <c r="G549" t="s">
        <v>37</v>
      </c>
      <c r="H549" t="s">
        <v>38</v>
      </c>
      <c r="I549" t="s">
        <v>1726</v>
      </c>
      <c r="J549" t="s">
        <v>40</v>
      </c>
      <c r="K549">
        <v>2</v>
      </c>
      <c r="L549" t="s">
        <v>41</v>
      </c>
      <c r="M549" t="s">
        <v>42</v>
      </c>
      <c r="N549" t="s">
        <v>43</v>
      </c>
      <c r="O549" s="7">
        <v>1</v>
      </c>
      <c r="P549" s="8">
        <v>45354.807789351849</v>
      </c>
      <c r="Q549" s="9">
        <v>45357</v>
      </c>
      <c r="R549" t="s">
        <v>44</v>
      </c>
      <c r="S549" t="s">
        <v>45</v>
      </c>
      <c r="T549" t="s">
        <v>46</v>
      </c>
      <c r="U549" t="s">
        <v>134</v>
      </c>
      <c r="V549" t="s">
        <v>1727</v>
      </c>
      <c r="W549">
        <v>9300</v>
      </c>
      <c r="X549" t="s">
        <v>45</v>
      </c>
      <c r="Y549" t="s">
        <v>148</v>
      </c>
      <c r="Z549" t="s">
        <v>50</v>
      </c>
      <c r="AA549" s="10">
        <f>IF(O549&lt;=1,7,7+0.8*ROUNDUP(O549-1,0))</f>
        <v>7</v>
      </c>
      <c r="AB549" s="11">
        <v>0</v>
      </c>
      <c r="AC549" s="11">
        <v>0</v>
      </c>
      <c r="AD549" s="11">
        <v>0</v>
      </c>
      <c r="AE549" s="11">
        <v>0</v>
      </c>
      <c r="AF549" s="11">
        <f t="shared" si="24"/>
        <v>0.42</v>
      </c>
      <c r="AG549" s="11">
        <f t="shared" si="23"/>
        <v>7.42</v>
      </c>
      <c r="AH549" t="s">
        <v>51</v>
      </c>
    </row>
    <row r="550" spans="1:34" ht="15" customHeight="1" x14ac:dyDescent="0.35">
      <c r="A550">
        <v>7547676</v>
      </c>
      <c r="B550">
        <v>690929</v>
      </c>
      <c r="C550" t="s">
        <v>34</v>
      </c>
      <c r="D550" t="s">
        <v>35</v>
      </c>
      <c r="E550" s="6" t="s">
        <v>34</v>
      </c>
      <c r="F550" t="s">
        <v>1728</v>
      </c>
      <c r="G550" t="s">
        <v>37</v>
      </c>
      <c r="H550" t="s">
        <v>38</v>
      </c>
      <c r="I550" t="s">
        <v>905</v>
      </c>
      <c r="J550" t="s">
        <v>40</v>
      </c>
      <c r="K550">
        <v>2</v>
      </c>
      <c r="L550" t="s">
        <v>41</v>
      </c>
      <c r="M550" t="s">
        <v>42</v>
      </c>
      <c r="N550" t="s">
        <v>43</v>
      </c>
      <c r="O550" s="7">
        <v>1</v>
      </c>
      <c r="P550" s="8">
        <v>45356.629861111112</v>
      </c>
      <c r="Q550" s="9">
        <v>45357</v>
      </c>
      <c r="R550" t="s">
        <v>44</v>
      </c>
      <c r="S550" t="s">
        <v>45</v>
      </c>
      <c r="T550" t="s">
        <v>46</v>
      </c>
      <c r="U550" t="s">
        <v>54</v>
      </c>
      <c r="V550" t="s">
        <v>1729</v>
      </c>
      <c r="W550">
        <v>46150</v>
      </c>
      <c r="X550" t="s">
        <v>45</v>
      </c>
      <c r="Y550" t="s">
        <v>1730</v>
      </c>
      <c r="Z550" t="s">
        <v>50</v>
      </c>
      <c r="AA550" s="10">
        <f>IF(O550&lt;=1,7,7+0.8*ROUNDUP(O550-1,0))</f>
        <v>7</v>
      </c>
      <c r="AB550" s="11">
        <v>0</v>
      </c>
      <c r="AC550" s="11">
        <v>0</v>
      </c>
      <c r="AD550" s="11">
        <v>0</v>
      </c>
      <c r="AE550" s="11">
        <v>0</v>
      </c>
      <c r="AF550" s="11">
        <f t="shared" si="24"/>
        <v>0.42</v>
      </c>
      <c r="AG550" s="11">
        <f t="shared" si="23"/>
        <v>7.42</v>
      </c>
      <c r="AH550" t="s">
        <v>51</v>
      </c>
    </row>
    <row r="551" spans="1:34" ht="15" customHeight="1" x14ac:dyDescent="0.35">
      <c r="A551">
        <v>7547676</v>
      </c>
      <c r="B551">
        <v>690929</v>
      </c>
      <c r="C551" t="s">
        <v>34</v>
      </c>
      <c r="D551" t="s">
        <v>35</v>
      </c>
      <c r="E551" s="6" t="s">
        <v>34</v>
      </c>
      <c r="F551" t="s">
        <v>1731</v>
      </c>
      <c r="G551" t="s">
        <v>37</v>
      </c>
      <c r="H551" t="s">
        <v>38</v>
      </c>
      <c r="I551" t="s">
        <v>1732</v>
      </c>
      <c r="J551" t="s">
        <v>40</v>
      </c>
      <c r="K551">
        <v>2</v>
      </c>
      <c r="L551" t="s">
        <v>41</v>
      </c>
      <c r="M551" t="s">
        <v>42</v>
      </c>
      <c r="N551" t="s">
        <v>43</v>
      </c>
      <c r="O551" s="7">
        <v>1</v>
      </c>
      <c r="P551" s="8">
        <v>45356.629861111112</v>
      </c>
      <c r="Q551" s="9">
        <v>45357</v>
      </c>
      <c r="R551" t="s">
        <v>44</v>
      </c>
      <c r="S551" t="s">
        <v>45</v>
      </c>
      <c r="T551" t="s">
        <v>46</v>
      </c>
      <c r="U551" t="s">
        <v>47</v>
      </c>
      <c r="V551" t="s">
        <v>1733</v>
      </c>
      <c r="W551">
        <v>21800</v>
      </c>
      <c r="X551" t="s">
        <v>45</v>
      </c>
      <c r="Y551" t="s">
        <v>49</v>
      </c>
      <c r="Z551" t="s">
        <v>50</v>
      </c>
      <c r="AA551" s="10">
        <f>IF(O551&lt;=1,7,7+0.8*ROUNDUP(O551-1,0))</f>
        <v>7</v>
      </c>
      <c r="AB551" s="11">
        <v>0</v>
      </c>
      <c r="AC551" s="11">
        <v>0</v>
      </c>
      <c r="AD551" s="11">
        <v>0</v>
      </c>
      <c r="AE551" s="11">
        <v>0</v>
      </c>
      <c r="AF551" s="11">
        <f t="shared" si="24"/>
        <v>0.42</v>
      </c>
      <c r="AG551" s="11">
        <f t="shared" si="23"/>
        <v>7.42</v>
      </c>
      <c r="AH551" t="s">
        <v>51</v>
      </c>
    </row>
    <row r="552" spans="1:34" ht="15" customHeight="1" x14ac:dyDescent="0.35">
      <c r="A552">
        <v>7547676</v>
      </c>
      <c r="B552">
        <v>690929</v>
      </c>
      <c r="C552" t="s">
        <v>34</v>
      </c>
      <c r="D552" t="s">
        <v>35</v>
      </c>
      <c r="E552" s="6" t="s">
        <v>34</v>
      </c>
      <c r="F552" t="s">
        <v>1734</v>
      </c>
      <c r="G552" t="s">
        <v>37</v>
      </c>
      <c r="H552" t="s">
        <v>38</v>
      </c>
      <c r="I552" t="s">
        <v>1735</v>
      </c>
      <c r="J552" t="s">
        <v>40</v>
      </c>
      <c r="K552">
        <v>2</v>
      </c>
      <c r="L552" t="s">
        <v>41</v>
      </c>
      <c r="M552" t="s">
        <v>42</v>
      </c>
      <c r="N552" t="s">
        <v>43</v>
      </c>
      <c r="O552" s="7">
        <v>1</v>
      </c>
      <c r="P552" s="8">
        <v>45356.629861111112</v>
      </c>
      <c r="Q552" s="9">
        <v>45357</v>
      </c>
      <c r="R552" t="s">
        <v>44</v>
      </c>
      <c r="S552" t="s">
        <v>45</v>
      </c>
      <c r="T552" t="s">
        <v>46</v>
      </c>
      <c r="U552" t="s">
        <v>47</v>
      </c>
      <c r="V552" t="s">
        <v>1736</v>
      </c>
      <c r="W552">
        <v>21100</v>
      </c>
      <c r="X552" t="s">
        <v>45</v>
      </c>
      <c r="Y552" t="s">
        <v>49</v>
      </c>
      <c r="Z552" t="s">
        <v>50</v>
      </c>
      <c r="AA552" s="10">
        <f>IF(O552&lt;=1,7,7+0.8*ROUNDUP(O552-1,0))</f>
        <v>7</v>
      </c>
      <c r="AB552" s="11">
        <v>0</v>
      </c>
      <c r="AC552" s="11">
        <v>0</v>
      </c>
      <c r="AD552" s="11">
        <v>0</v>
      </c>
      <c r="AE552" s="11">
        <v>0</v>
      </c>
      <c r="AF552" s="11">
        <f t="shared" si="24"/>
        <v>0.42</v>
      </c>
      <c r="AG552" s="11">
        <f t="shared" si="23"/>
        <v>7.42</v>
      </c>
      <c r="AH552" t="s">
        <v>51</v>
      </c>
    </row>
    <row r="553" spans="1:34" ht="15" customHeight="1" x14ac:dyDescent="0.35">
      <c r="A553">
        <v>7547676</v>
      </c>
      <c r="B553">
        <v>690929</v>
      </c>
      <c r="C553" t="s">
        <v>34</v>
      </c>
      <c r="D553" t="s">
        <v>35</v>
      </c>
      <c r="E553" s="6" t="s">
        <v>34</v>
      </c>
      <c r="F553" t="s">
        <v>1737</v>
      </c>
      <c r="G553" t="s">
        <v>37</v>
      </c>
      <c r="H553" t="s">
        <v>38</v>
      </c>
      <c r="I553" t="s">
        <v>1738</v>
      </c>
      <c r="J553" t="s">
        <v>40</v>
      </c>
      <c r="K553">
        <v>2</v>
      </c>
      <c r="L553" t="s">
        <v>41</v>
      </c>
      <c r="M553" t="s">
        <v>42</v>
      </c>
      <c r="N553" t="s">
        <v>43</v>
      </c>
      <c r="O553" s="7">
        <v>1</v>
      </c>
      <c r="P553" s="8">
        <v>45356.580682870372</v>
      </c>
      <c r="Q553" s="9">
        <v>45357</v>
      </c>
      <c r="R553" t="s">
        <v>44</v>
      </c>
      <c r="S553" t="s">
        <v>45</v>
      </c>
      <c r="T553" t="s">
        <v>46</v>
      </c>
      <c r="U553" t="s">
        <v>99</v>
      </c>
      <c r="V553" t="s">
        <v>1739</v>
      </c>
      <c r="W553">
        <v>16070</v>
      </c>
      <c r="X553" t="s">
        <v>45</v>
      </c>
      <c r="Y553" t="s">
        <v>156</v>
      </c>
      <c r="Z553" t="s">
        <v>50</v>
      </c>
      <c r="AA553" s="10">
        <f>IF(O553&lt;=1,7,7+0.8*ROUNDUP(O553-1,0))</f>
        <v>7</v>
      </c>
      <c r="AB553" s="11">
        <v>0</v>
      </c>
      <c r="AC553" s="11">
        <v>0</v>
      </c>
      <c r="AD553" s="11">
        <v>0</v>
      </c>
      <c r="AE553" s="11">
        <v>0</v>
      </c>
      <c r="AF553" s="11">
        <f t="shared" si="24"/>
        <v>0.42</v>
      </c>
      <c r="AG553" s="11">
        <f t="shared" si="23"/>
        <v>7.42</v>
      </c>
      <c r="AH553" t="s">
        <v>51</v>
      </c>
    </row>
    <row r="554" spans="1:34" ht="15" customHeight="1" x14ac:dyDescent="0.35">
      <c r="A554">
        <v>7547676</v>
      </c>
      <c r="B554">
        <v>690929</v>
      </c>
      <c r="C554" t="s">
        <v>34</v>
      </c>
      <c r="D554" t="s">
        <v>35</v>
      </c>
      <c r="E554" s="6" t="s">
        <v>34</v>
      </c>
      <c r="F554" t="s">
        <v>1740</v>
      </c>
      <c r="G554" t="s">
        <v>37</v>
      </c>
      <c r="H554" t="s">
        <v>38</v>
      </c>
      <c r="I554" t="s">
        <v>502</v>
      </c>
      <c r="J554" t="s">
        <v>40</v>
      </c>
      <c r="K554">
        <v>2</v>
      </c>
      <c r="L554" t="s">
        <v>41</v>
      </c>
      <c r="M554" t="s">
        <v>42</v>
      </c>
      <c r="N554" t="s">
        <v>43</v>
      </c>
      <c r="O554" s="7">
        <v>1</v>
      </c>
      <c r="P554" s="8">
        <v>45355.70517361111</v>
      </c>
      <c r="Q554" s="9">
        <v>45357</v>
      </c>
      <c r="R554" t="s">
        <v>44</v>
      </c>
      <c r="S554" t="s">
        <v>45</v>
      </c>
      <c r="T554" t="s">
        <v>46</v>
      </c>
      <c r="U554" t="s">
        <v>82</v>
      </c>
      <c r="V554" t="s">
        <v>503</v>
      </c>
      <c r="W554">
        <v>81200</v>
      </c>
      <c r="X554" t="s">
        <v>45</v>
      </c>
      <c r="Y554" t="s">
        <v>79</v>
      </c>
      <c r="Z554" t="s">
        <v>50</v>
      </c>
      <c r="AA554" s="10">
        <f>IF(O554&lt;=1,7,7+0.8*ROUNDUP(O554-1,0))</f>
        <v>7</v>
      </c>
      <c r="AB554" s="11">
        <v>0</v>
      </c>
      <c r="AC554" s="11">
        <v>0</v>
      </c>
      <c r="AD554" s="11">
        <v>0</v>
      </c>
      <c r="AE554" s="11">
        <v>0</v>
      </c>
      <c r="AF554" s="11">
        <f t="shared" si="24"/>
        <v>0.42</v>
      </c>
      <c r="AG554" s="11">
        <f t="shared" si="23"/>
        <v>7.42</v>
      </c>
      <c r="AH554" t="s">
        <v>51</v>
      </c>
    </row>
    <row r="555" spans="1:34" ht="15" customHeight="1" x14ac:dyDescent="0.35">
      <c r="A555">
        <v>7547676</v>
      </c>
      <c r="B555">
        <v>690929</v>
      </c>
      <c r="C555" t="s">
        <v>34</v>
      </c>
      <c r="D555" t="s">
        <v>35</v>
      </c>
      <c r="E555" s="6" t="s">
        <v>34</v>
      </c>
      <c r="F555" t="s">
        <v>1741</v>
      </c>
      <c r="G555" t="s">
        <v>37</v>
      </c>
      <c r="H555" t="s">
        <v>38</v>
      </c>
      <c r="I555" t="s">
        <v>1742</v>
      </c>
      <c r="J555" t="s">
        <v>40</v>
      </c>
      <c r="K555">
        <v>2</v>
      </c>
      <c r="L555" t="s">
        <v>41</v>
      </c>
      <c r="M555" t="s">
        <v>42</v>
      </c>
      <c r="N555" t="s">
        <v>43</v>
      </c>
      <c r="O555" s="7">
        <v>1</v>
      </c>
      <c r="P555" s="8">
        <v>45356.499756944446</v>
      </c>
      <c r="Q555" s="9">
        <v>45357</v>
      </c>
      <c r="R555" t="s">
        <v>44</v>
      </c>
      <c r="S555" t="s">
        <v>45</v>
      </c>
      <c r="T555" t="s">
        <v>46</v>
      </c>
      <c r="U555" t="s">
        <v>47</v>
      </c>
      <c r="V555" t="s">
        <v>1743</v>
      </c>
      <c r="W555">
        <v>22100</v>
      </c>
      <c r="X555" t="s">
        <v>45</v>
      </c>
      <c r="Y555" t="s">
        <v>49</v>
      </c>
      <c r="Z555" t="s">
        <v>50</v>
      </c>
      <c r="AA555" s="10">
        <f>IF(O555&lt;=1,7,7+0.8*ROUNDUP(O555-1,0))</f>
        <v>7</v>
      </c>
      <c r="AB555" s="11">
        <v>0</v>
      </c>
      <c r="AC555" s="11">
        <v>0</v>
      </c>
      <c r="AD555" s="11">
        <v>0</v>
      </c>
      <c r="AE555" s="11">
        <v>0</v>
      </c>
      <c r="AF555" s="11">
        <f t="shared" si="24"/>
        <v>0.42</v>
      </c>
      <c r="AG555" s="11">
        <f t="shared" si="23"/>
        <v>7.42</v>
      </c>
      <c r="AH555" t="s">
        <v>51</v>
      </c>
    </row>
    <row r="556" spans="1:34" ht="15" customHeight="1" x14ac:dyDescent="0.35">
      <c r="A556">
        <v>7547676</v>
      </c>
      <c r="B556">
        <v>690929</v>
      </c>
      <c r="C556" t="s">
        <v>34</v>
      </c>
      <c r="D556" t="s">
        <v>35</v>
      </c>
      <c r="E556" s="6" t="s">
        <v>34</v>
      </c>
      <c r="F556" t="s">
        <v>1744</v>
      </c>
      <c r="G556" t="s">
        <v>37</v>
      </c>
      <c r="H556" t="s">
        <v>38</v>
      </c>
      <c r="I556" t="s">
        <v>1745</v>
      </c>
      <c r="J556" t="s">
        <v>40</v>
      </c>
      <c r="K556">
        <v>2</v>
      </c>
      <c r="L556" t="s">
        <v>41</v>
      </c>
      <c r="M556" t="s">
        <v>42</v>
      </c>
      <c r="N556" t="s">
        <v>43</v>
      </c>
      <c r="O556" s="7">
        <v>2</v>
      </c>
      <c r="P556" s="8">
        <v>45354.60664351852</v>
      </c>
      <c r="Q556" s="9">
        <v>45357</v>
      </c>
      <c r="R556" t="s">
        <v>44</v>
      </c>
      <c r="S556" t="s">
        <v>45</v>
      </c>
      <c r="T556" t="s">
        <v>46</v>
      </c>
      <c r="U556" t="s">
        <v>67</v>
      </c>
      <c r="V556" t="s">
        <v>1746</v>
      </c>
      <c r="W556">
        <v>51100</v>
      </c>
      <c r="X556" t="s">
        <v>45</v>
      </c>
      <c r="Y556" t="s">
        <v>79</v>
      </c>
      <c r="Z556" t="s">
        <v>50</v>
      </c>
      <c r="AA556" s="10">
        <f>IF(O556&lt;=1,7,7+0.8*ROUNDUP(O556-1,0))</f>
        <v>7.8</v>
      </c>
      <c r="AB556" s="11">
        <v>0</v>
      </c>
      <c r="AC556" s="11">
        <v>0</v>
      </c>
      <c r="AD556" s="11">
        <v>0</v>
      </c>
      <c r="AE556" s="11">
        <v>0</v>
      </c>
      <c r="AF556" s="11">
        <f t="shared" si="24"/>
        <v>0.46799999999999997</v>
      </c>
      <c r="AG556" s="11">
        <f t="shared" si="23"/>
        <v>8.2680000000000007</v>
      </c>
      <c r="AH556" t="s">
        <v>51</v>
      </c>
    </row>
    <row r="557" spans="1:34" ht="15" customHeight="1" x14ac:dyDescent="0.35">
      <c r="A557">
        <v>7547676</v>
      </c>
      <c r="B557">
        <v>690929</v>
      </c>
      <c r="C557" t="s">
        <v>34</v>
      </c>
      <c r="D557" t="s">
        <v>35</v>
      </c>
      <c r="E557" s="6" t="s">
        <v>34</v>
      </c>
      <c r="F557" t="s">
        <v>1747</v>
      </c>
      <c r="G557" t="s">
        <v>37</v>
      </c>
      <c r="H557" t="s">
        <v>38</v>
      </c>
      <c r="I557" t="s">
        <v>1748</v>
      </c>
      <c r="J557" t="s">
        <v>40</v>
      </c>
      <c r="K557">
        <v>2</v>
      </c>
      <c r="L557" t="s">
        <v>41</v>
      </c>
      <c r="M557" t="s">
        <v>42</v>
      </c>
      <c r="N557" t="s">
        <v>43</v>
      </c>
      <c r="O557" s="7">
        <v>4</v>
      </c>
      <c r="P557" s="8">
        <v>45355.742152777777</v>
      </c>
      <c r="Q557" s="9">
        <v>45357</v>
      </c>
      <c r="R557" t="s">
        <v>44</v>
      </c>
      <c r="S557" t="s">
        <v>45</v>
      </c>
      <c r="T557" t="s">
        <v>46</v>
      </c>
      <c r="U557" t="s">
        <v>54</v>
      </c>
      <c r="V557" t="s">
        <v>1749</v>
      </c>
      <c r="W557">
        <v>47130</v>
      </c>
      <c r="X557" t="s">
        <v>45</v>
      </c>
      <c r="Y557" t="s">
        <v>459</v>
      </c>
      <c r="Z557" t="s">
        <v>50</v>
      </c>
      <c r="AA557" s="10">
        <f>IF(O557&lt;=1,7,7+0.8*ROUNDUP(O557-1,0))</f>
        <v>9.4</v>
      </c>
      <c r="AB557" s="11">
        <v>0</v>
      </c>
      <c r="AC557" s="11">
        <v>0</v>
      </c>
      <c r="AD557" s="11">
        <v>0</v>
      </c>
      <c r="AE557" s="11">
        <v>0</v>
      </c>
      <c r="AF557" s="11">
        <f t="shared" si="24"/>
        <v>0.56399999999999995</v>
      </c>
      <c r="AG557" s="11">
        <f t="shared" si="23"/>
        <v>9.9640000000000004</v>
      </c>
      <c r="AH557" t="s">
        <v>51</v>
      </c>
    </row>
    <row r="558" spans="1:34" ht="15" customHeight="1" x14ac:dyDescent="0.35">
      <c r="A558">
        <v>7547676</v>
      </c>
      <c r="B558">
        <v>690929</v>
      </c>
      <c r="C558" t="s">
        <v>34</v>
      </c>
      <c r="D558" t="s">
        <v>35</v>
      </c>
      <c r="E558" s="6" t="s">
        <v>34</v>
      </c>
      <c r="F558" t="s">
        <v>1750</v>
      </c>
      <c r="G558" t="s">
        <v>37</v>
      </c>
      <c r="H558" t="s">
        <v>38</v>
      </c>
      <c r="I558" t="s">
        <v>1751</v>
      </c>
      <c r="J558" t="s">
        <v>40</v>
      </c>
      <c r="K558">
        <v>2</v>
      </c>
      <c r="L558" t="s">
        <v>41</v>
      </c>
      <c r="M558" t="s">
        <v>42</v>
      </c>
      <c r="N558" t="s">
        <v>43</v>
      </c>
      <c r="O558" s="7">
        <v>1</v>
      </c>
      <c r="P558" s="8">
        <v>45356.629861111112</v>
      </c>
      <c r="Q558" s="9">
        <v>45357</v>
      </c>
      <c r="R558" t="s">
        <v>44</v>
      </c>
      <c r="S558" t="s">
        <v>45</v>
      </c>
      <c r="T558" t="s">
        <v>46</v>
      </c>
      <c r="U558" t="s">
        <v>47</v>
      </c>
      <c r="V558" t="s">
        <v>1752</v>
      </c>
      <c r="W558">
        <v>21800</v>
      </c>
      <c r="X558" t="s">
        <v>45</v>
      </c>
      <c r="Y558" t="s">
        <v>49</v>
      </c>
      <c r="Z558" t="s">
        <v>50</v>
      </c>
      <c r="AA558" s="10">
        <f>IF(O558&lt;=1,7,7+0.8*ROUNDUP(O558-1,0))</f>
        <v>7</v>
      </c>
      <c r="AB558" s="11">
        <v>0</v>
      </c>
      <c r="AC558" s="11">
        <v>0</v>
      </c>
      <c r="AD558" s="11">
        <v>0</v>
      </c>
      <c r="AE558" s="11">
        <v>0</v>
      </c>
      <c r="AF558" s="11">
        <f t="shared" si="24"/>
        <v>0.42</v>
      </c>
      <c r="AG558" s="11">
        <f t="shared" si="23"/>
        <v>7.42</v>
      </c>
      <c r="AH558" t="s">
        <v>51</v>
      </c>
    </row>
    <row r="559" spans="1:34" ht="15" customHeight="1" x14ac:dyDescent="0.35">
      <c r="A559">
        <v>7547676</v>
      </c>
      <c r="B559">
        <v>690929</v>
      </c>
      <c r="C559" t="s">
        <v>34</v>
      </c>
      <c r="D559" t="s">
        <v>35</v>
      </c>
      <c r="E559" s="6" t="s">
        <v>34</v>
      </c>
      <c r="F559" t="s">
        <v>1753</v>
      </c>
      <c r="G559" t="s">
        <v>37</v>
      </c>
      <c r="H559" t="s">
        <v>38</v>
      </c>
      <c r="I559" t="s">
        <v>1754</v>
      </c>
      <c r="J559" t="s">
        <v>40</v>
      </c>
      <c r="K559">
        <v>2</v>
      </c>
      <c r="L559" t="s">
        <v>41</v>
      </c>
      <c r="M559" t="s">
        <v>42</v>
      </c>
      <c r="N559" t="s">
        <v>43</v>
      </c>
      <c r="O559" s="7">
        <v>1</v>
      </c>
      <c r="P559" s="8">
        <v>45356.556388888886</v>
      </c>
      <c r="Q559" s="9">
        <v>45357</v>
      </c>
      <c r="R559" t="s">
        <v>44</v>
      </c>
      <c r="S559" t="s">
        <v>45</v>
      </c>
      <c r="T559" t="s">
        <v>46</v>
      </c>
      <c r="U559" t="s">
        <v>47</v>
      </c>
      <c r="V559" t="s">
        <v>1755</v>
      </c>
      <c r="W559">
        <v>24000</v>
      </c>
      <c r="X559" t="s">
        <v>45</v>
      </c>
      <c r="Y559" t="s">
        <v>362</v>
      </c>
      <c r="Z559" t="s">
        <v>50</v>
      </c>
      <c r="AA559" s="10">
        <f>IF(O559&lt;=1,7,7+0.8*ROUNDUP(O559-1,0))</f>
        <v>7</v>
      </c>
      <c r="AB559" s="11">
        <v>0</v>
      </c>
      <c r="AC559" s="11">
        <v>0</v>
      </c>
      <c r="AD559" s="11">
        <v>0</v>
      </c>
      <c r="AE559" s="11">
        <v>0</v>
      </c>
      <c r="AF559" s="11">
        <f t="shared" si="24"/>
        <v>0.42</v>
      </c>
      <c r="AG559" s="11">
        <f t="shared" si="23"/>
        <v>7.42</v>
      </c>
      <c r="AH559" t="s">
        <v>51</v>
      </c>
    </row>
    <row r="560" spans="1:34" ht="15" customHeight="1" x14ac:dyDescent="0.35">
      <c r="A560">
        <v>7547676</v>
      </c>
      <c r="B560">
        <v>690929</v>
      </c>
      <c r="C560" t="s">
        <v>34</v>
      </c>
      <c r="D560" t="s">
        <v>35</v>
      </c>
      <c r="E560" s="6" t="s">
        <v>34</v>
      </c>
      <c r="F560" t="s">
        <v>1756</v>
      </c>
      <c r="G560" t="s">
        <v>37</v>
      </c>
      <c r="H560" t="s">
        <v>38</v>
      </c>
      <c r="I560" t="s">
        <v>1757</v>
      </c>
      <c r="J560" t="s">
        <v>40</v>
      </c>
      <c r="K560">
        <v>2</v>
      </c>
      <c r="L560" t="s">
        <v>41</v>
      </c>
      <c r="M560" t="s">
        <v>42</v>
      </c>
      <c r="N560" t="s">
        <v>43</v>
      </c>
      <c r="O560" s="7">
        <v>1</v>
      </c>
      <c r="P560" s="8">
        <v>45355.439699074072</v>
      </c>
      <c r="Q560" s="9">
        <v>45357</v>
      </c>
      <c r="R560" t="s">
        <v>44</v>
      </c>
      <c r="S560" t="s">
        <v>45</v>
      </c>
      <c r="T560" t="s">
        <v>46</v>
      </c>
      <c r="U560" t="s">
        <v>82</v>
      </c>
      <c r="V560" t="s">
        <v>1758</v>
      </c>
      <c r="W560">
        <v>81300</v>
      </c>
      <c r="X560" t="s">
        <v>45</v>
      </c>
      <c r="Y560" t="s">
        <v>309</v>
      </c>
      <c r="Z560" t="s">
        <v>50</v>
      </c>
      <c r="AA560" s="10">
        <f>IF(O560&lt;=1,7,7+0.8*ROUNDUP(O560-1,0))</f>
        <v>7</v>
      </c>
      <c r="AB560" s="11">
        <v>0</v>
      </c>
      <c r="AC560" s="11">
        <v>0</v>
      </c>
      <c r="AD560" s="11">
        <v>0</v>
      </c>
      <c r="AE560" s="11">
        <v>0</v>
      </c>
      <c r="AF560" s="11">
        <f t="shared" si="24"/>
        <v>0.42</v>
      </c>
      <c r="AG560" s="11">
        <f t="shared" si="23"/>
        <v>7.42</v>
      </c>
      <c r="AH560" t="s">
        <v>51</v>
      </c>
    </row>
    <row r="561" spans="1:34" ht="15" customHeight="1" x14ac:dyDescent="0.35">
      <c r="A561">
        <v>7547676</v>
      </c>
      <c r="B561">
        <v>690929</v>
      </c>
      <c r="C561" t="s">
        <v>34</v>
      </c>
      <c r="D561" t="s">
        <v>35</v>
      </c>
      <c r="E561" s="6" t="s">
        <v>34</v>
      </c>
      <c r="F561" t="s">
        <v>1759</v>
      </c>
      <c r="G561" t="s">
        <v>37</v>
      </c>
      <c r="H561" t="s">
        <v>38</v>
      </c>
      <c r="I561" t="s">
        <v>1760</v>
      </c>
      <c r="J561" t="s">
        <v>40</v>
      </c>
      <c r="K561">
        <v>2</v>
      </c>
      <c r="L561" t="s">
        <v>41</v>
      </c>
      <c r="M561" t="s">
        <v>42</v>
      </c>
      <c r="N561" t="s">
        <v>43</v>
      </c>
      <c r="O561" s="7">
        <v>1</v>
      </c>
      <c r="P561" s="8">
        <v>45356.449236111112</v>
      </c>
      <c r="Q561" s="9">
        <v>45357</v>
      </c>
      <c r="R561" t="s">
        <v>44</v>
      </c>
      <c r="S561" t="s">
        <v>45</v>
      </c>
      <c r="T561" t="s">
        <v>46</v>
      </c>
      <c r="U561" t="s">
        <v>47</v>
      </c>
      <c r="V561" t="s">
        <v>1761</v>
      </c>
      <c r="W561">
        <v>22300</v>
      </c>
      <c r="X561" t="s">
        <v>45</v>
      </c>
      <c r="Y561" t="s">
        <v>156</v>
      </c>
      <c r="Z561" t="s">
        <v>50</v>
      </c>
      <c r="AA561" s="10">
        <f>IF(O561&lt;=1,7,7+0.8*ROUNDUP(O561-1,0))</f>
        <v>7</v>
      </c>
      <c r="AB561" s="11">
        <v>0</v>
      </c>
      <c r="AC561" s="11">
        <v>0</v>
      </c>
      <c r="AD561" s="11">
        <v>0</v>
      </c>
      <c r="AE561" s="11">
        <v>0</v>
      </c>
      <c r="AF561" s="11">
        <f t="shared" si="24"/>
        <v>0.42</v>
      </c>
      <c r="AG561" s="11">
        <f t="shared" si="23"/>
        <v>7.42</v>
      </c>
      <c r="AH561" t="s">
        <v>51</v>
      </c>
    </row>
    <row r="562" spans="1:34" ht="15" customHeight="1" x14ac:dyDescent="0.35">
      <c r="A562">
        <v>7547676</v>
      </c>
      <c r="B562">
        <v>690929</v>
      </c>
      <c r="C562" t="s">
        <v>34</v>
      </c>
      <c r="D562" t="s">
        <v>35</v>
      </c>
      <c r="E562" s="6" t="s">
        <v>34</v>
      </c>
      <c r="F562" t="s">
        <v>1762</v>
      </c>
      <c r="G562" t="s">
        <v>37</v>
      </c>
      <c r="H562" t="s">
        <v>38</v>
      </c>
      <c r="I562" t="s">
        <v>1763</v>
      </c>
      <c r="J562" t="s">
        <v>40</v>
      </c>
      <c r="K562">
        <v>2</v>
      </c>
      <c r="L562" t="s">
        <v>41</v>
      </c>
      <c r="M562" t="s">
        <v>42</v>
      </c>
      <c r="N562" t="s">
        <v>43</v>
      </c>
      <c r="O562" s="7">
        <v>8</v>
      </c>
      <c r="P562" s="8">
        <v>45355.60696759259</v>
      </c>
      <c r="Q562" s="9">
        <v>45358</v>
      </c>
      <c r="R562" t="s">
        <v>44</v>
      </c>
      <c r="S562" t="s">
        <v>45</v>
      </c>
      <c r="T562" t="s">
        <v>46</v>
      </c>
      <c r="U562" t="s">
        <v>130</v>
      </c>
      <c r="V562" t="s">
        <v>1764</v>
      </c>
      <c r="W562">
        <v>93450</v>
      </c>
      <c r="X562" t="s">
        <v>114</v>
      </c>
      <c r="Y562" t="s">
        <v>206</v>
      </c>
      <c r="Z562" t="s">
        <v>50</v>
      </c>
      <c r="AA562" s="12">
        <f>IF(O562&lt;=1,13,IF(O562&lt;=2,23,IF(O562&lt;=3,35,IF(O562&lt;=4,43,IF(O562&lt;=5,53,IF(O562&lt;=6,63,IF(O562&lt;=7,71,IF(O562&lt;=8,79,IF(O562&lt;=9,87,IF(O562&lt;=10,95,IF(O562&lt;=11,105,IF(O562&lt;=12,114,IF(O562&lt;=13,119,IF(O562&lt;=14,127,IF(O562&lt;=15,135,IF(O562&lt;=16,143,IF(O562&lt;=17,153,IF(O562&lt;=18,163,IF(O562&lt;=19,171,IF(O562&lt;=20,185,IF(O562&lt;=21,193,IF(O562&lt;=22,201,IF(O562&lt;=23,210,IF(O562&lt;=24,220,IF(O562&lt;=25,230,IF(O562&lt;=26,240,IF(O562&lt;=27,250,IF(O562&lt;=28,260,IF(O562&lt;=29,270,IF(O562&lt;=30,280,280+10*ROUNDUP(O562-30,0)))))))))))))))))))))))))))))))</f>
        <v>79</v>
      </c>
      <c r="AB562" s="11">
        <v>0</v>
      </c>
      <c r="AC562" s="11">
        <v>0</v>
      </c>
      <c r="AD562" s="11">
        <v>0</v>
      </c>
      <c r="AE562" s="11">
        <v>0</v>
      </c>
      <c r="AF562" s="11">
        <f t="shared" si="24"/>
        <v>4.74</v>
      </c>
      <c r="AG562" s="11">
        <f t="shared" si="23"/>
        <v>83.74</v>
      </c>
      <c r="AH562" t="s">
        <v>116</v>
      </c>
    </row>
    <row r="563" spans="1:34" ht="15" customHeight="1" x14ac:dyDescent="0.35">
      <c r="A563">
        <v>7547676</v>
      </c>
      <c r="B563">
        <v>690929</v>
      </c>
      <c r="C563" t="s">
        <v>34</v>
      </c>
      <c r="D563" t="s">
        <v>35</v>
      </c>
      <c r="E563" s="6" t="s">
        <v>34</v>
      </c>
      <c r="F563" t="s">
        <v>1765</v>
      </c>
      <c r="G563" t="s">
        <v>37</v>
      </c>
      <c r="H563" t="s">
        <v>38</v>
      </c>
      <c r="I563" t="s">
        <v>1766</v>
      </c>
      <c r="J563" t="s">
        <v>40</v>
      </c>
      <c r="K563">
        <v>2</v>
      </c>
      <c r="L563" t="s">
        <v>41</v>
      </c>
      <c r="M563" t="s">
        <v>42</v>
      </c>
      <c r="N563" t="s">
        <v>43</v>
      </c>
      <c r="O563" s="7">
        <v>1</v>
      </c>
      <c r="P563" s="8">
        <v>45356.575069444443</v>
      </c>
      <c r="Q563" s="9">
        <v>45358</v>
      </c>
      <c r="R563" t="s">
        <v>44</v>
      </c>
      <c r="S563" t="s">
        <v>45</v>
      </c>
      <c r="T563" t="s">
        <v>46</v>
      </c>
      <c r="U563" t="s">
        <v>77</v>
      </c>
      <c r="V563" t="s">
        <v>1767</v>
      </c>
      <c r="W563">
        <v>75460</v>
      </c>
      <c r="X563" t="s">
        <v>45</v>
      </c>
      <c r="Y563" t="s">
        <v>1768</v>
      </c>
      <c r="Z563" t="s">
        <v>50</v>
      </c>
      <c r="AA563" s="10">
        <f>IF(O563&lt;=1,7,7+0.8*ROUNDUP(O563-1,0))</f>
        <v>7</v>
      </c>
      <c r="AB563" s="11">
        <v>0</v>
      </c>
      <c r="AC563" s="11">
        <v>0</v>
      </c>
      <c r="AD563" s="11">
        <v>0</v>
      </c>
      <c r="AE563" s="11">
        <v>0</v>
      </c>
      <c r="AF563" s="11">
        <f t="shared" si="24"/>
        <v>0.42</v>
      </c>
      <c r="AG563" s="11">
        <f t="shared" si="23"/>
        <v>7.42</v>
      </c>
      <c r="AH563" t="s">
        <v>51</v>
      </c>
    </row>
    <row r="564" spans="1:34" ht="15" customHeight="1" x14ac:dyDescent="0.35">
      <c r="A564">
        <v>7547676</v>
      </c>
      <c r="B564">
        <v>690929</v>
      </c>
      <c r="C564" t="s">
        <v>34</v>
      </c>
      <c r="D564" t="s">
        <v>35</v>
      </c>
      <c r="E564" s="6" t="s">
        <v>34</v>
      </c>
      <c r="F564" t="s">
        <v>1769</v>
      </c>
      <c r="G564" t="s">
        <v>37</v>
      </c>
      <c r="H564" t="s">
        <v>38</v>
      </c>
      <c r="I564" t="s">
        <v>1770</v>
      </c>
      <c r="J564" t="s">
        <v>40</v>
      </c>
      <c r="K564">
        <v>2</v>
      </c>
      <c r="L564" t="s">
        <v>41</v>
      </c>
      <c r="M564" t="s">
        <v>42</v>
      </c>
      <c r="N564" t="s">
        <v>43</v>
      </c>
      <c r="O564" s="7">
        <v>2</v>
      </c>
      <c r="P564" s="8">
        <v>45356.634050925924</v>
      </c>
      <c r="Q564" s="9">
        <v>45358</v>
      </c>
      <c r="R564" t="s">
        <v>44</v>
      </c>
      <c r="S564" t="s">
        <v>45</v>
      </c>
      <c r="T564" t="s">
        <v>46</v>
      </c>
      <c r="U564" t="s">
        <v>172</v>
      </c>
      <c r="V564" t="s">
        <v>1771</v>
      </c>
      <c r="W564">
        <v>31650</v>
      </c>
      <c r="X564" t="s">
        <v>45</v>
      </c>
      <c r="Y564" t="s">
        <v>79</v>
      </c>
      <c r="Z564" t="s">
        <v>50</v>
      </c>
      <c r="AA564" s="10">
        <f>IF(O564&lt;=1,7,7+0.8*ROUNDUP(O564-1,0))</f>
        <v>7.8</v>
      </c>
      <c r="AB564" s="11">
        <v>0</v>
      </c>
      <c r="AC564" s="11">
        <v>0</v>
      </c>
      <c r="AD564" s="11">
        <v>0</v>
      </c>
      <c r="AE564" s="11">
        <v>0</v>
      </c>
      <c r="AF564" s="11">
        <f t="shared" si="24"/>
        <v>0.46799999999999997</v>
      </c>
      <c r="AG564" s="11">
        <f t="shared" si="23"/>
        <v>8.2680000000000007</v>
      </c>
      <c r="AH564" t="s">
        <v>51</v>
      </c>
    </row>
    <row r="565" spans="1:34" ht="15" customHeight="1" x14ac:dyDescent="0.35">
      <c r="A565">
        <v>7547676</v>
      </c>
      <c r="B565">
        <v>690929</v>
      </c>
      <c r="C565" t="s">
        <v>34</v>
      </c>
      <c r="D565" t="s">
        <v>35</v>
      </c>
      <c r="E565" s="6" t="s">
        <v>34</v>
      </c>
      <c r="F565" t="s">
        <v>1772</v>
      </c>
      <c r="G565" t="s">
        <v>37</v>
      </c>
      <c r="H565" t="s">
        <v>38</v>
      </c>
      <c r="I565" t="s">
        <v>1773</v>
      </c>
      <c r="J565" t="s">
        <v>40</v>
      </c>
      <c r="K565">
        <v>2</v>
      </c>
      <c r="L565" t="s">
        <v>41</v>
      </c>
      <c r="M565" t="s">
        <v>42</v>
      </c>
      <c r="N565" t="s">
        <v>43</v>
      </c>
      <c r="O565" s="7">
        <v>1</v>
      </c>
      <c r="P565" s="8">
        <v>45356.575069444443</v>
      </c>
      <c r="Q565" s="9">
        <v>45358</v>
      </c>
      <c r="R565" t="s">
        <v>44</v>
      </c>
      <c r="S565" t="s">
        <v>45</v>
      </c>
      <c r="T565" t="s">
        <v>46</v>
      </c>
      <c r="U565" t="s">
        <v>54</v>
      </c>
      <c r="V565" t="s">
        <v>1774</v>
      </c>
      <c r="W565">
        <v>44200</v>
      </c>
      <c r="X565" t="s">
        <v>45</v>
      </c>
      <c r="Y565" t="s">
        <v>64</v>
      </c>
      <c r="Z565" t="s">
        <v>50</v>
      </c>
      <c r="AA565" s="10">
        <f>IF(O565&lt;=1,7,7+0.8*ROUNDUP(O565-1,0))</f>
        <v>7</v>
      </c>
      <c r="AB565" s="11">
        <v>0</v>
      </c>
      <c r="AC565" s="11">
        <v>0</v>
      </c>
      <c r="AD565" s="11">
        <v>0</v>
      </c>
      <c r="AE565" s="11">
        <v>0</v>
      </c>
      <c r="AF565" s="11">
        <f t="shared" si="24"/>
        <v>0.42</v>
      </c>
      <c r="AG565" s="11">
        <f t="shared" si="23"/>
        <v>7.42</v>
      </c>
      <c r="AH565" t="s">
        <v>51</v>
      </c>
    </row>
    <row r="566" spans="1:34" ht="15" customHeight="1" x14ac:dyDescent="0.35">
      <c r="A566">
        <v>7547676</v>
      </c>
      <c r="B566">
        <v>690929</v>
      </c>
      <c r="C566" t="s">
        <v>34</v>
      </c>
      <c r="D566" t="s">
        <v>35</v>
      </c>
      <c r="E566" s="6" t="s">
        <v>34</v>
      </c>
      <c r="F566" t="s">
        <v>1775</v>
      </c>
      <c r="G566" t="s">
        <v>37</v>
      </c>
      <c r="H566" t="s">
        <v>38</v>
      </c>
      <c r="I566" t="s">
        <v>1776</v>
      </c>
      <c r="J566" t="s">
        <v>40</v>
      </c>
      <c r="K566">
        <v>2</v>
      </c>
      <c r="L566" t="s">
        <v>41</v>
      </c>
      <c r="M566" t="s">
        <v>42</v>
      </c>
      <c r="N566" t="s">
        <v>43</v>
      </c>
      <c r="O566" s="7">
        <v>1</v>
      </c>
      <c r="P566" s="8">
        <v>45356.575069444443</v>
      </c>
      <c r="Q566" s="9">
        <v>45358</v>
      </c>
      <c r="R566" t="s">
        <v>44</v>
      </c>
      <c r="S566" t="s">
        <v>45</v>
      </c>
      <c r="T566" t="s">
        <v>46</v>
      </c>
      <c r="U566" t="s">
        <v>77</v>
      </c>
      <c r="V566" t="s">
        <v>1777</v>
      </c>
      <c r="W566">
        <v>75260</v>
      </c>
      <c r="X566" t="s">
        <v>45</v>
      </c>
      <c r="Y566" t="s">
        <v>1290</v>
      </c>
      <c r="Z566" t="s">
        <v>50</v>
      </c>
      <c r="AA566" s="10">
        <f>IF(O566&lt;=1,7,7+0.8*ROUNDUP(O566-1,0))</f>
        <v>7</v>
      </c>
      <c r="AB566" s="11">
        <v>0</v>
      </c>
      <c r="AC566" s="11">
        <v>0</v>
      </c>
      <c r="AD566" s="11">
        <v>0</v>
      </c>
      <c r="AE566" s="11">
        <v>0</v>
      </c>
      <c r="AF566" s="11">
        <f t="shared" si="24"/>
        <v>0.42</v>
      </c>
      <c r="AG566" s="11">
        <f t="shared" si="23"/>
        <v>7.42</v>
      </c>
      <c r="AH566" t="s">
        <v>51</v>
      </c>
    </row>
    <row r="567" spans="1:34" ht="15" customHeight="1" x14ac:dyDescent="0.35">
      <c r="A567">
        <v>7547676</v>
      </c>
      <c r="B567">
        <v>690929</v>
      </c>
      <c r="C567" t="s">
        <v>34</v>
      </c>
      <c r="D567" t="s">
        <v>35</v>
      </c>
      <c r="E567" s="6" t="s">
        <v>34</v>
      </c>
      <c r="F567" t="s">
        <v>1778</v>
      </c>
      <c r="G567" t="s">
        <v>37</v>
      </c>
      <c r="H567" t="s">
        <v>38</v>
      </c>
      <c r="I567" t="s">
        <v>1779</v>
      </c>
      <c r="J567" t="s">
        <v>40</v>
      </c>
      <c r="K567">
        <v>2</v>
      </c>
      <c r="L567" t="s">
        <v>41</v>
      </c>
      <c r="M567" t="s">
        <v>42</v>
      </c>
      <c r="N567" t="s">
        <v>43</v>
      </c>
      <c r="O567" s="7">
        <v>1</v>
      </c>
      <c r="P567" s="8">
        <v>45356.575069444443</v>
      </c>
      <c r="Q567" s="9">
        <v>45358</v>
      </c>
      <c r="R567" t="s">
        <v>44</v>
      </c>
      <c r="S567" t="s">
        <v>45</v>
      </c>
      <c r="T567" t="s">
        <v>46</v>
      </c>
      <c r="U567" t="s">
        <v>86</v>
      </c>
      <c r="V567" t="s">
        <v>1780</v>
      </c>
      <c r="W567">
        <v>71050</v>
      </c>
      <c r="X567" t="s">
        <v>45</v>
      </c>
      <c r="Y567" t="s">
        <v>611</v>
      </c>
      <c r="Z567" t="s">
        <v>50</v>
      </c>
      <c r="AA567" s="10">
        <f>IF(O567&lt;=1,7,7+0.8*ROUNDUP(O567-1,0))</f>
        <v>7</v>
      </c>
      <c r="AB567" s="11">
        <v>0</v>
      </c>
      <c r="AC567" s="11">
        <v>0</v>
      </c>
      <c r="AD567" s="11">
        <v>0</v>
      </c>
      <c r="AE567" s="11">
        <v>0</v>
      </c>
      <c r="AF567" s="11">
        <f t="shared" si="24"/>
        <v>0.42</v>
      </c>
      <c r="AG567" s="11">
        <f t="shared" si="23"/>
        <v>7.42</v>
      </c>
      <c r="AH567" t="s">
        <v>51</v>
      </c>
    </row>
    <row r="568" spans="1:34" ht="15" customHeight="1" x14ac:dyDescent="0.35">
      <c r="A568">
        <v>7547676</v>
      </c>
      <c r="B568">
        <v>690929</v>
      </c>
      <c r="C568" t="s">
        <v>34</v>
      </c>
      <c r="D568" t="s">
        <v>35</v>
      </c>
      <c r="E568" s="6" t="s">
        <v>34</v>
      </c>
      <c r="F568" t="s">
        <v>1781</v>
      </c>
      <c r="G568" t="s">
        <v>37</v>
      </c>
      <c r="H568" t="s">
        <v>38</v>
      </c>
      <c r="I568" t="s">
        <v>138</v>
      </c>
      <c r="J568" t="s">
        <v>40</v>
      </c>
      <c r="K568">
        <v>2</v>
      </c>
      <c r="L568" t="s">
        <v>41</v>
      </c>
      <c r="M568" t="s">
        <v>42</v>
      </c>
      <c r="N568" t="s">
        <v>43</v>
      </c>
      <c r="O568" s="7">
        <v>4</v>
      </c>
      <c r="P568" s="8">
        <v>45356.672731481478</v>
      </c>
      <c r="Q568" s="9">
        <v>45358</v>
      </c>
      <c r="R568" t="s">
        <v>44</v>
      </c>
      <c r="S568" t="s">
        <v>45</v>
      </c>
      <c r="T568" t="s">
        <v>46</v>
      </c>
      <c r="U568" t="s">
        <v>54</v>
      </c>
      <c r="V568" t="s">
        <v>139</v>
      </c>
      <c r="W568">
        <v>40000</v>
      </c>
      <c r="X568" t="s">
        <v>45</v>
      </c>
      <c r="Y568" t="s">
        <v>140</v>
      </c>
      <c r="Z568" t="s">
        <v>50</v>
      </c>
      <c r="AA568" s="10">
        <f>IF(O568&lt;=1,7,7+0.8*ROUNDUP(O568-1,0))</f>
        <v>9.4</v>
      </c>
      <c r="AB568" s="11">
        <v>0</v>
      </c>
      <c r="AC568" s="11">
        <v>0</v>
      </c>
      <c r="AD568" s="11">
        <v>0</v>
      </c>
      <c r="AE568" s="11">
        <v>0</v>
      </c>
      <c r="AF568" s="11">
        <f t="shared" si="24"/>
        <v>0.56399999999999995</v>
      </c>
      <c r="AG568" s="11">
        <f t="shared" si="23"/>
        <v>9.9640000000000004</v>
      </c>
      <c r="AH568" t="s">
        <v>51</v>
      </c>
    </row>
    <row r="569" spans="1:34" ht="15" customHeight="1" x14ac:dyDescent="0.35">
      <c r="A569">
        <v>7547676</v>
      </c>
      <c r="B569">
        <v>690929</v>
      </c>
      <c r="C569" t="s">
        <v>34</v>
      </c>
      <c r="D569" t="s">
        <v>35</v>
      </c>
      <c r="E569" s="6" t="s">
        <v>34</v>
      </c>
      <c r="F569" t="s">
        <v>1782</v>
      </c>
      <c r="G569" t="s">
        <v>37</v>
      </c>
      <c r="H569" t="s">
        <v>38</v>
      </c>
      <c r="I569" t="s">
        <v>1216</v>
      </c>
      <c r="J569" t="s">
        <v>40</v>
      </c>
      <c r="K569">
        <v>2</v>
      </c>
      <c r="L569" t="s">
        <v>41</v>
      </c>
      <c r="M569" t="s">
        <v>42</v>
      </c>
      <c r="N569" t="s">
        <v>43</v>
      </c>
      <c r="O569" s="7">
        <v>15</v>
      </c>
      <c r="P569" s="8">
        <v>45357.569363425922</v>
      </c>
      <c r="Q569" s="9">
        <v>45358</v>
      </c>
      <c r="R569" t="s">
        <v>287</v>
      </c>
      <c r="S569" t="s">
        <v>45</v>
      </c>
      <c r="T569" t="s">
        <v>46</v>
      </c>
      <c r="U569" t="s">
        <v>190</v>
      </c>
      <c r="V569" t="s">
        <v>1217</v>
      </c>
      <c r="W569">
        <v>26700</v>
      </c>
      <c r="X569" t="s">
        <v>45</v>
      </c>
      <c r="Y569" t="s">
        <v>1218</v>
      </c>
      <c r="Z569" t="s">
        <v>50</v>
      </c>
      <c r="AA569" s="10">
        <f>IF(O569&lt;=1,7,7+0.8*ROUNDUP(O569-1,0))</f>
        <v>18.200000000000003</v>
      </c>
      <c r="AB569" s="11">
        <v>0</v>
      </c>
      <c r="AC569" s="11">
        <v>0</v>
      </c>
      <c r="AD569" s="11">
        <v>0</v>
      </c>
      <c r="AE569" s="11">
        <v>0</v>
      </c>
      <c r="AF569" s="11">
        <f t="shared" si="24"/>
        <v>1.0920000000000001</v>
      </c>
      <c r="AG569" s="11">
        <f t="shared" si="23"/>
        <v>19.292000000000002</v>
      </c>
      <c r="AH569" t="s">
        <v>51</v>
      </c>
    </row>
    <row r="570" spans="1:34" ht="15" customHeight="1" x14ac:dyDescent="0.35">
      <c r="A570">
        <v>7547676</v>
      </c>
      <c r="B570">
        <v>690929</v>
      </c>
      <c r="C570" t="s">
        <v>34</v>
      </c>
      <c r="D570" t="s">
        <v>35</v>
      </c>
      <c r="E570" s="6" t="s">
        <v>34</v>
      </c>
      <c r="F570" t="s">
        <v>1783</v>
      </c>
      <c r="G570" t="s">
        <v>37</v>
      </c>
      <c r="H570" t="s">
        <v>38</v>
      </c>
      <c r="I570" t="s">
        <v>1784</v>
      </c>
      <c r="J570" t="s">
        <v>40</v>
      </c>
      <c r="K570">
        <v>2</v>
      </c>
      <c r="L570" t="s">
        <v>41</v>
      </c>
      <c r="M570" t="s">
        <v>42</v>
      </c>
      <c r="N570" t="s">
        <v>43</v>
      </c>
      <c r="O570" s="7">
        <v>1</v>
      </c>
      <c r="P570" s="8">
        <v>45356.595486111109</v>
      </c>
      <c r="Q570" s="9">
        <v>45358</v>
      </c>
      <c r="R570" t="s">
        <v>44</v>
      </c>
      <c r="S570" t="s">
        <v>45</v>
      </c>
      <c r="T570" t="s">
        <v>46</v>
      </c>
      <c r="U570" t="s">
        <v>54</v>
      </c>
      <c r="V570" t="s">
        <v>1785</v>
      </c>
      <c r="W570">
        <v>43900</v>
      </c>
      <c r="X570" t="s">
        <v>45</v>
      </c>
      <c r="Y570" t="s">
        <v>347</v>
      </c>
      <c r="Z570" t="s">
        <v>50</v>
      </c>
      <c r="AA570" s="10">
        <f>IF(O570&lt;=1,7,7+0.8*ROUNDUP(O570-1,0))</f>
        <v>7</v>
      </c>
      <c r="AB570" s="11">
        <v>0</v>
      </c>
      <c r="AC570" s="11">
        <v>0</v>
      </c>
      <c r="AD570" s="11">
        <v>0</v>
      </c>
      <c r="AE570" s="11">
        <v>0</v>
      </c>
      <c r="AF570" s="11">
        <f t="shared" si="24"/>
        <v>0.42</v>
      </c>
      <c r="AG570" s="11">
        <f t="shared" si="23"/>
        <v>7.42</v>
      </c>
      <c r="AH570" t="s">
        <v>51</v>
      </c>
    </row>
    <row r="571" spans="1:34" ht="15" customHeight="1" x14ac:dyDescent="0.35">
      <c r="A571">
        <v>7547676</v>
      </c>
      <c r="B571">
        <v>690929</v>
      </c>
      <c r="C571" t="s">
        <v>34</v>
      </c>
      <c r="D571" t="s">
        <v>35</v>
      </c>
      <c r="E571" s="6" t="s">
        <v>34</v>
      </c>
      <c r="F571" t="s">
        <v>1786</v>
      </c>
      <c r="G571" t="s">
        <v>37</v>
      </c>
      <c r="H571" t="s">
        <v>38</v>
      </c>
      <c r="I571" t="s">
        <v>66</v>
      </c>
      <c r="J571" t="s">
        <v>40</v>
      </c>
      <c r="K571">
        <v>2</v>
      </c>
      <c r="L571" t="s">
        <v>41</v>
      </c>
      <c r="M571" t="s">
        <v>42</v>
      </c>
      <c r="N571" t="s">
        <v>43</v>
      </c>
      <c r="O571" s="7">
        <v>1</v>
      </c>
      <c r="P571" s="8">
        <v>45356.405277777776</v>
      </c>
      <c r="Q571" s="9">
        <v>45358</v>
      </c>
      <c r="R571" t="s">
        <v>44</v>
      </c>
      <c r="S571" t="s">
        <v>45</v>
      </c>
      <c r="T571" t="s">
        <v>46</v>
      </c>
      <c r="U571" t="s">
        <v>67</v>
      </c>
      <c r="V571" t="s">
        <v>68</v>
      </c>
      <c r="W571">
        <v>50100</v>
      </c>
      <c r="X571" t="s">
        <v>45</v>
      </c>
      <c r="Y571" t="s">
        <v>79</v>
      </c>
      <c r="Z571" t="s">
        <v>50</v>
      </c>
      <c r="AA571" s="10">
        <f>IF(O571&lt;=1,7,7+0.8*ROUNDUP(O571-1,0))</f>
        <v>7</v>
      </c>
      <c r="AB571" s="11">
        <v>0</v>
      </c>
      <c r="AC571" s="11">
        <v>0</v>
      </c>
      <c r="AD571" s="11">
        <v>0</v>
      </c>
      <c r="AE571" s="11">
        <v>0</v>
      </c>
      <c r="AF571" s="11">
        <f t="shared" si="24"/>
        <v>0.42</v>
      </c>
      <c r="AG571" s="11">
        <f t="shared" si="23"/>
        <v>7.42</v>
      </c>
      <c r="AH571" t="s">
        <v>51</v>
      </c>
    </row>
    <row r="572" spans="1:34" ht="15" customHeight="1" x14ac:dyDescent="0.35">
      <c r="A572">
        <v>7547676</v>
      </c>
      <c r="B572">
        <v>690929</v>
      </c>
      <c r="C572" t="s">
        <v>34</v>
      </c>
      <c r="D572" t="s">
        <v>35</v>
      </c>
      <c r="E572" s="6" t="s">
        <v>34</v>
      </c>
      <c r="F572" t="s">
        <v>1787</v>
      </c>
      <c r="G572" t="s">
        <v>37</v>
      </c>
      <c r="H572" t="s">
        <v>38</v>
      </c>
      <c r="I572" t="s">
        <v>1788</v>
      </c>
      <c r="J572" t="s">
        <v>40</v>
      </c>
      <c r="K572">
        <v>2</v>
      </c>
      <c r="L572" t="s">
        <v>41</v>
      </c>
      <c r="M572" t="s">
        <v>42</v>
      </c>
      <c r="N572" t="s">
        <v>43</v>
      </c>
      <c r="O572" s="7">
        <v>1</v>
      </c>
      <c r="P572" s="8">
        <v>45355.739490740743</v>
      </c>
      <c r="Q572" s="9">
        <v>45358</v>
      </c>
      <c r="R572" t="s">
        <v>44</v>
      </c>
      <c r="S572" t="s">
        <v>45</v>
      </c>
      <c r="T572" t="s">
        <v>46</v>
      </c>
      <c r="U572" t="s">
        <v>77</v>
      </c>
      <c r="V572" t="s">
        <v>1789</v>
      </c>
      <c r="W572">
        <v>78100</v>
      </c>
      <c r="X572" t="s">
        <v>45</v>
      </c>
      <c r="Y572" t="s">
        <v>96</v>
      </c>
      <c r="Z572" t="s">
        <v>50</v>
      </c>
      <c r="AA572" s="10">
        <f>IF(O572&lt;=1,7,7+0.8*ROUNDUP(O572-1,0))</f>
        <v>7</v>
      </c>
      <c r="AB572" s="11">
        <v>0</v>
      </c>
      <c r="AC572" s="11">
        <v>0</v>
      </c>
      <c r="AD572" s="11">
        <v>0</v>
      </c>
      <c r="AE572" s="11">
        <v>0</v>
      </c>
      <c r="AF572" s="11">
        <f t="shared" si="24"/>
        <v>0.42</v>
      </c>
      <c r="AG572" s="11">
        <f t="shared" si="23"/>
        <v>7.42</v>
      </c>
      <c r="AH572" t="s">
        <v>51</v>
      </c>
    </row>
    <row r="573" spans="1:34" ht="15" customHeight="1" x14ac:dyDescent="0.35">
      <c r="A573">
        <v>7547676</v>
      </c>
      <c r="B573">
        <v>690929</v>
      </c>
      <c r="C573" t="s">
        <v>34</v>
      </c>
      <c r="D573" t="s">
        <v>35</v>
      </c>
      <c r="E573" s="6" t="s">
        <v>34</v>
      </c>
      <c r="F573" t="s">
        <v>1790</v>
      </c>
      <c r="G573" t="s">
        <v>37</v>
      </c>
      <c r="H573" t="s">
        <v>38</v>
      </c>
      <c r="I573" t="s">
        <v>1791</v>
      </c>
      <c r="J573" t="s">
        <v>40</v>
      </c>
      <c r="K573">
        <v>2</v>
      </c>
      <c r="L573" t="s">
        <v>41</v>
      </c>
      <c r="M573" t="s">
        <v>42</v>
      </c>
      <c r="N573" t="s">
        <v>43</v>
      </c>
      <c r="O573" s="7">
        <v>1</v>
      </c>
      <c r="P573" s="8">
        <v>45356.836898148147</v>
      </c>
      <c r="Q573" s="9">
        <v>45358</v>
      </c>
      <c r="R573" t="s">
        <v>287</v>
      </c>
      <c r="S573" t="s">
        <v>45</v>
      </c>
      <c r="T573" t="s">
        <v>46</v>
      </c>
      <c r="U573" t="s">
        <v>99</v>
      </c>
      <c r="V573" t="s">
        <v>1792</v>
      </c>
      <c r="W573">
        <v>16100</v>
      </c>
      <c r="X573" t="s">
        <v>45</v>
      </c>
      <c r="Y573" t="s">
        <v>156</v>
      </c>
      <c r="Z573" t="s">
        <v>50</v>
      </c>
      <c r="AA573" s="10">
        <f>IF(O573&lt;=1,7,7+0.8*ROUNDUP(O573-1,0))</f>
        <v>7</v>
      </c>
      <c r="AB573" s="11">
        <v>0</v>
      </c>
      <c r="AC573" s="11">
        <v>0</v>
      </c>
      <c r="AD573" s="11">
        <v>0</v>
      </c>
      <c r="AE573" s="11">
        <v>0</v>
      </c>
      <c r="AF573" s="11">
        <f t="shared" si="24"/>
        <v>0.42</v>
      </c>
      <c r="AG573" s="11">
        <f t="shared" si="23"/>
        <v>7.42</v>
      </c>
      <c r="AH573" t="s">
        <v>51</v>
      </c>
    </row>
    <row r="574" spans="1:34" ht="15" customHeight="1" x14ac:dyDescent="0.35">
      <c r="A574">
        <v>7547676</v>
      </c>
      <c r="B574">
        <v>690929</v>
      </c>
      <c r="C574" t="s">
        <v>34</v>
      </c>
      <c r="D574" t="s">
        <v>35</v>
      </c>
      <c r="E574" s="6" t="s">
        <v>34</v>
      </c>
      <c r="F574" t="s">
        <v>1793</v>
      </c>
      <c r="G574" t="s">
        <v>37</v>
      </c>
      <c r="H574" t="s">
        <v>38</v>
      </c>
      <c r="I574" t="s">
        <v>1794</v>
      </c>
      <c r="J574" t="s">
        <v>40</v>
      </c>
      <c r="K574">
        <v>2</v>
      </c>
      <c r="L574" t="s">
        <v>41</v>
      </c>
      <c r="M574" t="s">
        <v>42</v>
      </c>
      <c r="N574" t="s">
        <v>43</v>
      </c>
      <c r="O574" s="7">
        <v>1</v>
      </c>
      <c r="P574" s="8">
        <v>45357.449837962966</v>
      </c>
      <c r="Q574" s="9">
        <v>45358</v>
      </c>
      <c r="R574" t="s">
        <v>287</v>
      </c>
      <c r="S574" t="s">
        <v>45</v>
      </c>
      <c r="T574" t="s">
        <v>46</v>
      </c>
      <c r="U574" t="s">
        <v>190</v>
      </c>
      <c r="V574" t="s">
        <v>1795</v>
      </c>
      <c r="W574">
        <v>26500</v>
      </c>
      <c r="X574" t="s">
        <v>45</v>
      </c>
      <c r="Y574" t="s">
        <v>362</v>
      </c>
      <c r="Z574" t="s">
        <v>50</v>
      </c>
      <c r="AA574" s="10">
        <f>IF(O574&lt;=1,7,7+0.8*ROUNDUP(O574-1,0))</f>
        <v>7</v>
      </c>
      <c r="AB574" s="11">
        <v>0</v>
      </c>
      <c r="AC574" s="11">
        <v>0</v>
      </c>
      <c r="AD574" s="11">
        <v>0</v>
      </c>
      <c r="AE574" s="11">
        <v>0</v>
      </c>
      <c r="AF574" s="11">
        <f t="shared" si="24"/>
        <v>0.42</v>
      </c>
      <c r="AG574" s="11">
        <f t="shared" si="23"/>
        <v>7.42</v>
      </c>
      <c r="AH574" t="s">
        <v>51</v>
      </c>
    </row>
    <row r="575" spans="1:34" ht="15" customHeight="1" x14ac:dyDescent="0.35">
      <c r="A575">
        <v>7547676</v>
      </c>
      <c r="B575">
        <v>690929</v>
      </c>
      <c r="C575" t="s">
        <v>34</v>
      </c>
      <c r="D575" t="s">
        <v>35</v>
      </c>
      <c r="E575" s="6" t="s">
        <v>34</v>
      </c>
      <c r="F575" t="s">
        <v>1796</v>
      </c>
      <c r="G575" t="s">
        <v>37</v>
      </c>
      <c r="H575" t="s">
        <v>38</v>
      </c>
      <c r="I575" t="s">
        <v>1797</v>
      </c>
      <c r="J575" t="s">
        <v>40</v>
      </c>
      <c r="K575">
        <v>2</v>
      </c>
      <c r="L575" t="s">
        <v>41</v>
      </c>
      <c r="M575" t="s">
        <v>42</v>
      </c>
      <c r="N575" t="s">
        <v>43</v>
      </c>
      <c r="O575" s="7">
        <v>1</v>
      </c>
      <c r="P575" s="8">
        <v>45357.420081018521</v>
      </c>
      <c r="Q575" s="9">
        <v>45358</v>
      </c>
      <c r="R575" t="s">
        <v>287</v>
      </c>
      <c r="S575" t="s">
        <v>45</v>
      </c>
      <c r="T575" t="s">
        <v>46</v>
      </c>
      <c r="U575" t="s">
        <v>190</v>
      </c>
      <c r="V575" t="s">
        <v>1798</v>
      </c>
      <c r="W575">
        <v>26500</v>
      </c>
      <c r="X575" t="s">
        <v>45</v>
      </c>
      <c r="Y575" t="s">
        <v>362</v>
      </c>
      <c r="Z575" t="s">
        <v>50</v>
      </c>
      <c r="AA575" s="10">
        <f>IF(O575&lt;=1,7,7+0.8*ROUNDUP(O575-1,0))</f>
        <v>7</v>
      </c>
      <c r="AB575" s="11">
        <v>0</v>
      </c>
      <c r="AC575" s="11">
        <v>0</v>
      </c>
      <c r="AD575" s="11">
        <v>0</v>
      </c>
      <c r="AE575" s="11">
        <v>0</v>
      </c>
      <c r="AF575" s="11">
        <f t="shared" si="24"/>
        <v>0.42</v>
      </c>
      <c r="AG575" s="11">
        <f t="shared" si="23"/>
        <v>7.42</v>
      </c>
      <c r="AH575" t="s">
        <v>51</v>
      </c>
    </row>
    <row r="576" spans="1:34" ht="15" customHeight="1" x14ac:dyDescent="0.35">
      <c r="A576">
        <v>7547676</v>
      </c>
      <c r="B576">
        <v>690929</v>
      </c>
      <c r="C576" t="s">
        <v>34</v>
      </c>
      <c r="D576" t="s">
        <v>35</v>
      </c>
      <c r="E576" s="6" t="s">
        <v>34</v>
      </c>
      <c r="F576" t="s">
        <v>1799</v>
      </c>
      <c r="G576" t="s">
        <v>37</v>
      </c>
      <c r="H576" t="s">
        <v>38</v>
      </c>
      <c r="I576" t="s">
        <v>1800</v>
      </c>
      <c r="J576" t="s">
        <v>40</v>
      </c>
      <c r="K576">
        <v>2</v>
      </c>
      <c r="L576" t="s">
        <v>41</v>
      </c>
      <c r="M576" t="s">
        <v>42</v>
      </c>
      <c r="N576" t="s">
        <v>43</v>
      </c>
      <c r="O576" s="7">
        <v>3</v>
      </c>
      <c r="P576" s="8">
        <v>45355.521956018521</v>
      </c>
      <c r="Q576" s="9">
        <v>45358</v>
      </c>
      <c r="R576" t="s">
        <v>44</v>
      </c>
      <c r="S576" t="s">
        <v>45</v>
      </c>
      <c r="T576" t="s">
        <v>46</v>
      </c>
      <c r="U576" t="s">
        <v>172</v>
      </c>
      <c r="V576" t="s">
        <v>1801</v>
      </c>
      <c r="W576">
        <v>31150</v>
      </c>
      <c r="X576" t="s">
        <v>45</v>
      </c>
      <c r="Y576" t="s">
        <v>1707</v>
      </c>
      <c r="Z576" t="s">
        <v>50</v>
      </c>
      <c r="AA576" s="10">
        <f>IF(O576&lt;=1,7,7+0.8*ROUNDUP(O576-1,0))</f>
        <v>8.6</v>
      </c>
      <c r="AB576" s="11">
        <v>0</v>
      </c>
      <c r="AC576" s="11">
        <v>0</v>
      </c>
      <c r="AD576" s="11">
        <v>0</v>
      </c>
      <c r="AE576" s="11">
        <v>0</v>
      </c>
      <c r="AF576" s="11">
        <f t="shared" si="24"/>
        <v>0.51600000000000001</v>
      </c>
      <c r="AG576" s="11">
        <f t="shared" si="23"/>
        <v>9.1159999999999997</v>
      </c>
      <c r="AH576" t="s">
        <v>51</v>
      </c>
    </row>
    <row r="577" spans="1:34" ht="15" customHeight="1" x14ac:dyDescent="0.35">
      <c r="A577">
        <v>7547676</v>
      </c>
      <c r="B577">
        <v>690929</v>
      </c>
      <c r="C577" t="s">
        <v>34</v>
      </c>
      <c r="D577" t="s">
        <v>35</v>
      </c>
      <c r="E577" s="6" t="s">
        <v>34</v>
      </c>
      <c r="F577" t="s">
        <v>1802</v>
      </c>
      <c r="G577" t="s">
        <v>37</v>
      </c>
      <c r="H577" t="s">
        <v>38</v>
      </c>
      <c r="I577" t="s">
        <v>1803</v>
      </c>
      <c r="J577" t="s">
        <v>40</v>
      </c>
      <c r="K577">
        <v>2</v>
      </c>
      <c r="L577" t="s">
        <v>41</v>
      </c>
      <c r="M577" t="s">
        <v>42</v>
      </c>
      <c r="N577" t="s">
        <v>43</v>
      </c>
      <c r="O577" s="7">
        <v>1</v>
      </c>
      <c r="P577" s="8">
        <v>45356.836898148147</v>
      </c>
      <c r="Q577" s="9">
        <v>45358</v>
      </c>
      <c r="R577" t="s">
        <v>287</v>
      </c>
      <c r="S577" t="s">
        <v>45</v>
      </c>
      <c r="T577" t="s">
        <v>46</v>
      </c>
      <c r="U577" t="s">
        <v>99</v>
      </c>
      <c r="V577" t="s">
        <v>1804</v>
      </c>
      <c r="W577">
        <v>16100</v>
      </c>
      <c r="X577" t="s">
        <v>45</v>
      </c>
      <c r="Y577" t="s">
        <v>156</v>
      </c>
      <c r="Z577" t="s">
        <v>50</v>
      </c>
      <c r="AA577" s="10">
        <f>IF(O577&lt;=1,7,7+0.8*ROUNDUP(O577-1,0))</f>
        <v>7</v>
      </c>
      <c r="AB577" s="11">
        <v>0</v>
      </c>
      <c r="AC577" s="11">
        <v>0</v>
      </c>
      <c r="AD577" s="11">
        <v>0</v>
      </c>
      <c r="AE577" s="11">
        <v>0</v>
      </c>
      <c r="AF577" s="11">
        <f t="shared" si="24"/>
        <v>0.42</v>
      </c>
      <c r="AG577" s="11">
        <f t="shared" si="23"/>
        <v>7.42</v>
      </c>
      <c r="AH577" t="s">
        <v>51</v>
      </c>
    </row>
    <row r="578" spans="1:34" ht="15" customHeight="1" x14ac:dyDescent="0.35">
      <c r="A578">
        <v>7547676</v>
      </c>
      <c r="B578">
        <v>690929</v>
      </c>
      <c r="C578" t="s">
        <v>34</v>
      </c>
      <c r="D578" t="s">
        <v>35</v>
      </c>
      <c r="E578" s="6" t="s">
        <v>34</v>
      </c>
      <c r="F578" t="s">
        <v>1805</v>
      </c>
      <c r="G578" t="s">
        <v>37</v>
      </c>
      <c r="H578" t="s">
        <v>38</v>
      </c>
      <c r="I578" t="s">
        <v>1806</v>
      </c>
      <c r="J578" t="s">
        <v>40</v>
      </c>
      <c r="K578">
        <v>2</v>
      </c>
      <c r="L578" t="s">
        <v>41</v>
      </c>
      <c r="M578" t="s">
        <v>42</v>
      </c>
      <c r="N578" t="s">
        <v>43</v>
      </c>
      <c r="O578" s="7">
        <v>8</v>
      </c>
      <c r="P578" s="8">
        <v>45356.575069444443</v>
      </c>
      <c r="Q578" s="9">
        <v>45358</v>
      </c>
      <c r="R578" t="s">
        <v>44</v>
      </c>
      <c r="S578" t="s">
        <v>45</v>
      </c>
      <c r="T578" t="s">
        <v>46</v>
      </c>
      <c r="U578" t="s">
        <v>67</v>
      </c>
      <c r="V578" t="s">
        <v>1807</v>
      </c>
      <c r="W578">
        <v>56000</v>
      </c>
      <c r="X578" t="s">
        <v>45</v>
      </c>
      <c r="Y578" t="s">
        <v>1808</v>
      </c>
      <c r="Z578" t="s">
        <v>50</v>
      </c>
      <c r="AA578" s="10">
        <f>IF(O578&lt;=1,7,7+0.8*ROUNDUP(O578-1,0))</f>
        <v>12.600000000000001</v>
      </c>
      <c r="AB578" s="11">
        <v>0</v>
      </c>
      <c r="AC578" s="11">
        <v>0</v>
      </c>
      <c r="AD578" s="11">
        <v>0</v>
      </c>
      <c r="AE578" s="11">
        <v>0</v>
      </c>
      <c r="AF578" s="11">
        <f t="shared" si="24"/>
        <v>0.75600000000000001</v>
      </c>
      <c r="AG578" s="11">
        <f t="shared" si="23"/>
        <v>13.356000000000002</v>
      </c>
      <c r="AH578" t="s">
        <v>51</v>
      </c>
    </row>
    <row r="579" spans="1:34" ht="15" customHeight="1" x14ac:dyDescent="0.35">
      <c r="A579">
        <v>7547676</v>
      </c>
      <c r="B579">
        <v>690929</v>
      </c>
      <c r="C579" t="s">
        <v>34</v>
      </c>
      <c r="D579" t="s">
        <v>35</v>
      </c>
      <c r="E579" s="6" t="s">
        <v>34</v>
      </c>
      <c r="F579" t="s">
        <v>1809</v>
      </c>
      <c r="G579" t="s">
        <v>37</v>
      </c>
      <c r="H579" t="s">
        <v>38</v>
      </c>
      <c r="I579" t="s">
        <v>1810</v>
      </c>
      <c r="J579" t="s">
        <v>40</v>
      </c>
      <c r="K579">
        <v>2</v>
      </c>
      <c r="L579" t="s">
        <v>41</v>
      </c>
      <c r="M579" t="s">
        <v>42</v>
      </c>
      <c r="N579" t="s">
        <v>43</v>
      </c>
      <c r="O579" s="7">
        <v>1</v>
      </c>
      <c r="P579" s="8">
        <v>45356.736608796295</v>
      </c>
      <c r="Q579" s="9">
        <v>45358</v>
      </c>
      <c r="R579" t="s">
        <v>44</v>
      </c>
      <c r="S579" t="s">
        <v>45</v>
      </c>
      <c r="T579" t="s">
        <v>46</v>
      </c>
      <c r="U579" t="s">
        <v>54</v>
      </c>
      <c r="V579" t="s">
        <v>1811</v>
      </c>
      <c r="W579">
        <v>68000</v>
      </c>
      <c r="X579" t="s">
        <v>45</v>
      </c>
      <c r="Y579" t="s">
        <v>228</v>
      </c>
      <c r="Z579" t="s">
        <v>50</v>
      </c>
      <c r="AA579" s="10">
        <f>IF(O579&lt;=1,7,7+0.8*ROUNDUP(O579-1,0))</f>
        <v>7</v>
      </c>
      <c r="AB579" s="11">
        <v>0</v>
      </c>
      <c r="AC579" s="11">
        <v>0</v>
      </c>
      <c r="AD579" s="11">
        <v>0</v>
      </c>
      <c r="AE579" s="11">
        <v>0</v>
      </c>
      <c r="AF579" s="11">
        <f t="shared" si="24"/>
        <v>0.42</v>
      </c>
      <c r="AG579" s="11">
        <f t="shared" si="23"/>
        <v>7.42</v>
      </c>
      <c r="AH579" t="s">
        <v>51</v>
      </c>
    </row>
    <row r="580" spans="1:34" ht="15" customHeight="1" x14ac:dyDescent="0.35">
      <c r="A580">
        <v>7547676</v>
      </c>
      <c r="B580">
        <v>690929</v>
      </c>
      <c r="C580" t="s">
        <v>34</v>
      </c>
      <c r="D580" t="s">
        <v>35</v>
      </c>
      <c r="E580" s="6" t="s">
        <v>34</v>
      </c>
      <c r="F580" t="s">
        <v>1812</v>
      </c>
      <c r="G580" t="s">
        <v>37</v>
      </c>
      <c r="H580" t="s">
        <v>38</v>
      </c>
      <c r="I580" t="s">
        <v>1813</v>
      </c>
      <c r="J580" t="s">
        <v>40</v>
      </c>
      <c r="K580">
        <v>2</v>
      </c>
      <c r="L580" t="s">
        <v>41</v>
      </c>
      <c r="M580" t="s">
        <v>42</v>
      </c>
      <c r="N580" t="s">
        <v>43</v>
      </c>
      <c r="O580" s="7">
        <v>2</v>
      </c>
      <c r="P580" s="8">
        <v>45356.643657407411</v>
      </c>
      <c r="Q580" s="9">
        <v>45358</v>
      </c>
      <c r="R580" t="s">
        <v>44</v>
      </c>
      <c r="S580" t="s">
        <v>45</v>
      </c>
      <c r="T580" t="s">
        <v>46</v>
      </c>
      <c r="U580" t="s">
        <v>54</v>
      </c>
      <c r="V580" t="s">
        <v>1814</v>
      </c>
      <c r="W580">
        <v>47830</v>
      </c>
      <c r="X580" t="s">
        <v>45</v>
      </c>
      <c r="Y580" t="s">
        <v>1408</v>
      </c>
      <c r="Z580" t="s">
        <v>50</v>
      </c>
      <c r="AA580" s="10">
        <f>IF(O580&lt;=1,7,7+0.8*ROUNDUP(O580-1,0))</f>
        <v>7.8</v>
      </c>
      <c r="AB580" s="11">
        <v>0</v>
      </c>
      <c r="AC580" s="11">
        <v>0</v>
      </c>
      <c r="AD580" s="11">
        <v>0</v>
      </c>
      <c r="AE580" s="11">
        <v>0</v>
      </c>
      <c r="AF580" s="11">
        <f t="shared" si="24"/>
        <v>0.46799999999999997</v>
      </c>
      <c r="AG580" s="11">
        <f t="shared" si="23"/>
        <v>8.2680000000000007</v>
      </c>
      <c r="AH580" t="s">
        <v>51</v>
      </c>
    </row>
    <row r="581" spans="1:34" ht="15" customHeight="1" x14ac:dyDescent="0.35">
      <c r="A581">
        <v>7547676</v>
      </c>
      <c r="B581">
        <v>690929</v>
      </c>
      <c r="C581" t="s">
        <v>34</v>
      </c>
      <c r="D581" t="s">
        <v>35</v>
      </c>
      <c r="E581" s="6" t="s">
        <v>34</v>
      </c>
      <c r="F581" t="s">
        <v>1815</v>
      </c>
      <c r="G581" t="s">
        <v>37</v>
      </c>
      <c r="H581" t="s">
        <v>38</v>
      </c>
      <c r="I581" t="s">
        <v>1816</v>
      </c>
      <c r="J581" t="s">
        <v>40</v>
      </c>
      <c r="K581">
        <v>2</v>
      </c>
      <c r="L581" t="s">
        <v>41</v>
      </c>
      <c r="M581" t="s">
        <v>42</v>
      </c>
      <c r="N581" t="s">
        <v>43</v>
      </c>
      <c r="O581" s="7">
        <v>1</v>
      </c>
      <c r="P581" s="8">
        <v>45356.629861111112</v>
      </c>
      <c r="Q581" s="9">
        <v>45358</v>
      </c>
      <c r="R581" t="s">
        <v>44</v>
      </c>
      <c r="S581" t="s">
        <v>45</v>
      </c>
      <c r="T581" t="s">
        <v>46</v>
      </c>
      <c r="U581" t="s">
        <v>54</v>
      </c>
      <c r="V581" t="s">
        <v>1817</v>
      </c>
      <c r="W581">
        <v>47100</v>
      </c>
      <c r="X581" t="s">
        <v>45</v>
      </c>
      <c r="Y581" t="s">
        <v>1346</v>
      </c>
      <c r="Z581" t="s">
        <v>50</v>
      </c>
      <c r="AA581" s="10">
        <f>IF(O581&lt;=1,7,7+0.8*ROUNDUP(O581-1,0))</f>
        <v>7</v>
      </c>
      <c r="AB581" s="11">
        <v>0</v>
      </c>
      <c r="AC581" s="11">
        <v>0</v>
      </c>
      <c r="AD581" s="11">
        <v>0</v>
      </c>
      <c r="AE581" s="11">
        <v>0</v>
      </c>
      <c r="AF581" s="11">
        <f t="shared" si="24"/>
        <v>0.42</v>
      </c>
      <c r="AG581" s="11">
        <f t="shared" si="23"/>
        <v>7.42</v>
      </c>
      <c r="AH581" t="s">
        <v>51</v>
      </c>
    </row>
    <row r="582" spans="1:34" ht="15" customHeight="1" x14ac:dyDescent="0.35">
      <c r="A582">
        <v>7547676</v>
      </c>
      <c r="B582">
        <v>690929</v>
      </c>
      <c r="C582" t="s">
        <v>34</v>
      </c>
      <c r="D582" t="s">
        <v>35</v>
      </c>
      <c r="E582" s="6" t="s">
        <v>34</v>
      </c>
      <c r="F582" t="s">
        <v>1818</v>
      </c>
      <c r="G582" t="s">
        <v>37</v>
      </c>
      <c r="H582" t="s">
        <v>38</v>
      </c>
      <c r="I582" t="s">
        <v>1819</v>
      </c>
      <c r="J582" t="s">
        <v>40</v>
      </c>
      <c r="K582">
        <v>2</v>
      </c>
      <c r="L582" t="s">
        <v>41</v>
      </c>
      <c r="M582" t="s">
        <v>42</v>
      </c>
      <c r="N582" t="s">
        <v>43</v>
      </c>
      <c r="O582" s="7">
        <v>1</v>
      </c>
      <c r="P582" s="8">
        <v>45355.739490740743</v>
      </c>
      <c r="Q582" s="9">
        <v>45358</v>
      </c>
      <c r="R582" t="s">
        <v>44</v>
      </c>
      <c r="S582" t="s">
        <v>45</v>
      </c>
      <c r="T582" t="s">
        <v>46</v>
      </c>
      <c r="U582" t="s">
        <v>172</v>
      </c>
      <c r="V582" t="s">
        <v>1820</v>
      </c>
      <c r="W582">
        <v>32610</v>
      </c>
      <c r="X582" t="s">
        <v>45</v>
      </c>
      <c r="Y582" t="s">
        <v>1005</v>
      </c>
      <c r="Z582" t="s">
        <v>50</v>
      </c>
      <c r="AA582" s="10">
        <f>IF(O582&lt;=1,7,7+0.8*ROUNDUP(O582-1,0))</f>
        <v>7</v>
      </c>
      <c r="AB582" s="11">
        <v>0</v>
      </c>
      <c r="AC582" s="11">
        <v>0</v>
      </c>
      <c r="AD582" s="11">
        <v>0</v>
      </c>
      <c r="AE582" s="11">
        <v>0</v>
      </c>
      <c r="AF582" s="11">
        <f t="shared" si="24"/>
        <v>0.42</v>
      </c>
      <c r="AG582" s="11">
        <f t="shared" si="23"/>
        <v>7.42</v>
      </c>
      <c r="AH582" t="s">
        <v>51</v>
      </c>
    </row>
    <row r="583" spans="1:34" ht="15" customHeight="1" x14ac:dyDescent="0.35">
      <c r="A583">
        <v>7547676</v>
      </c>
      <c r="B583">
        <v>690929</v>
      </c>
      <c r="C583" t="s">
        <v>34</v>
      </c>
      <c r="D583" t="s">
        <v>35</v>
      </c>
      <c r="E583" s="6" t="s">
        <v>34</v>
      </c>
      <c r="F583" t="s">
        <v>1821</v>
      </c>
      <c r="G583" t="s">
        <v>37</v>
      </c>
      <c r="H583" t="s">
        <v>38</v>
      </c>
      <c r="I583" t="s">
        <v>1822</v>
      </c>
      <c r="J583" t="s">
        <v>40</v>
      </c>
      <c r="K583">
        <v>2</v>
      </c>
      <c r="L583" t="s">
        <v>41</v>
      </c>
      <c r="M583" t="s">
        <v>42</v>
      </c>
      <c r="N583" t="s">
        <v>43</v>
      </c>
      <c r="O583" s="7">
        <v>1</v>
      </c>
      <c r="P583" s="8">
        <v>45356.674212962964</v>
      </c>
      <c r="Q583" s="9">
        <v>45358</v>
      </c>
      <c r="R583" t="s">
        <v>44</v>
      </c>
      <c r="S583" t="s">
        <v>45</v>
      </c>
      <c r="T583" t="s">
        <v>46</v>
      </c>
      <c r="U583" t="s">
        <v>86</v>
      </c>
      <c r="V583" t="s">
        <v>1823</v>
      </c>
      <c r="W583">
        <v>71900</v>
      </c>
      <c r="X583" t="s">
        <v>45</v>
      </c>
      <c r="Y583" t="s">
        <v>92</v>
      </c>
      <c r="Z583" t="s">
        <v>50</v>
      </c>
      <c r="AA583" s="10">
        <f>IF(O583&lt;=1,7,7+0.8*ROUNDUP(O583-1,0))</f>
        <v>7</v>
      </c>
      <c r="AB583" s="11">
        <v>0</v>
      </c>
      <c r="AC583" s="11">
        <v>0</v>
      </c>
      <c r="AD583" s="11">
        <v>0</v>
      </c>
      <c r="AE583" s="11">
        <v>0</v>
      </c>
      <c r="AF583" s="11">
        <f t="shared" si="24"/>
        <v>0.42</v>
      </c>
      <c r="AG583" s="11">
        <f t="shared" si="23"/>
        <v>7.42</v>
      </c>
      <c r="AH583" t="s">
        <v>51</v>
      </c>
    </row>
    <row r="584" spans="1:34" ht="15" customHeight="1" x14ac:dyDescent="0.35">
      <c r="A584">
        <v>7547676</v>
      </c>
      <c r="B584">
        <v>690929</v>
      </c>
      <c r="C584" t="s">
        <v>34</v>
      </c>
      <c r="D584" t="s">
        <v>35</v>
      </c>
      <c r="E584" s="6" t="s">
        <v>34</v>
      </c>
      <c r="F584" t="s">
        <v>1824</v>
      </c>
      <c r="G584" t="s">
        <v>37</v>
      </c>
      <c r="H584" t="s">
        <v>38</v>
      </c>
      <c r="I584" t="s">
        <v>1825</v>
      </c>
      <c r="J584" t="s">
        <v>40</v>
      </c>
      <c r="K584">
        <v>2</v>
      </c>
      <c r="L584" t="s">
        <v>41</v>
      </c>
      <c r="M584" t="s">
        <v>42</v>
      </c>
      <c r="N584" t="s">
        <v>43</v>
      </c>
      <c r="O584" s="7">
        <v>1</v>
      </c>
      <c r="P584" s="8">
        <v>45356.629861111112</v>
      </c>
      <c r="Q584" s="9">
        <v>45358</v>
      </c>
      <c r="R584" t="s">
        <v>44</v>
      </c>
      <c r="S584" t="s">
        <v>45</v>
      </c>
      <c r="T584" t="s">
        <v>46</v>
      </c>
      <c r="U584" t="s">
        <v>134</v>
      </c>
      <c r="V584" t="s">
        <v>1826</v>
      </c>
      <c r="W584">
        <v>6400</v>
      </c>
      <c r="X584" t="s">
        <v>45</v>
      </c>
      <c r="Y584" t="s">
        <v>1827</v>
      </c>
      <c r="Z584" t="s">
        <v>50</v>
      </c>
      <c r="AA584" s="10">
        <f>IF(O584&lt;=1,7,7+0.8*ROUNDUP(O584-1,0))</f>
        <v>7</v>
      </c>
      <c r="AB584" s="11">
        <v>0</v>
      </c>
      <c r="AC584" s="11">
        <v>0</v>
      </c>
      <c r="AD584" s="11">
        <v>0</v>
      </c>
      <c r="AE584" s="11">
        <v>0</v>
      </c>
      <c r="AF584" s="11">
        <f t="shared" si="24"/>
        <v>0.42</v>
      </c>
      <c r="AG584" s="11">
        <f t="shared" si="23"/>
        <v>7.42</v>
      </c>
      <c r="AH584" t="s">
        <v>51</v>
      </c>
    </row>
    <row r="585" spans="1:34" ht="15" customHeight="1" x14ac:dyDescent="0.35">
      <c r="A585">
        <v>7547676</v>
      </c>
      <c r="B585">
        <v>690929</v>
      </c>
      <c r="C585" t="s">
        <v>34</v>
      </c>
      <c r="D585" t="s">
        <v>35</v>
      </c>
      <c r="E585" s="6" t="s">
        <v>34</v>
      </c>
      <c r="F585" t="s">
        <v>1828</v>
      </c>
      <c r="G585" t="s">
        <v>37</v>
      </c>
      <c r="H585" t="s">
        <v>38</v>
      </c>
      <c r="I585" t="s">
        <v>1829</v>
      </c>
      <c r="J585" t="s">
        <v>40</v>
      </c>
      <c r="K585">
        <v>2</v>
      </c>
      <c r="L585" t="s">
        <v>41</v>
      </c>
      <c r="M585" t="s">
        <v>42</v>
      </c>
      <c r="N585" t="s">
        <v>43</v>
      </c>
      <c r="O585" s="7">
        <v>2</v>
      </c>
      <c r="P585" s="8">
        <v>45356.629861111112</v>
      </c>
      <c r="Q585" s="9">
        <v>45358</v>
      </c>
      <c r="R585" t="s">
        <v>44</v>
      </c>
      <c r="S585" t="s">
        <v>45</v>
      </c>
      <c r="T585" t="s">
        <v>46</v>
      </c>
      <c r="U585" t="s">
        <v>278</v>
      </c>
      <c r="V585" t="s">
        <v>1830</v>
      </c>
      <c r="W585">
        <v>11600</v>
      </c>
      <c r="X585" t="s">
        <v>45</v>
      </c>
      <c r="Y585" t="s">
        <v>1831</v>
      </c>
      <c r="Z585" t="s">
        <v>50</v>
      </c>
      <c r="AA585" s="10">
        <f>IF(O585&lt;=1,7,7+0.8*ROUNDUP(O585-1,0))</f>
        <v>7.8</v>
      </c>
      <c r="AB585" s="11">
        <v>0</v>
      </c>
      <c r="AC585" s="11">
        <v>0</v>
      </c>
      <c r="AD585" s="11">
        <v>0</v>
      </c>
      <c r="AE585" s="11">
        <v>0</v>
      </c>
      <c r="AF585" s="11">
        <f t="shared" si="24"/>
        <v>0.46799999999999997</v>
      </c>
      <c r="AG585" s="11">
        <f t="shared" si="23"/>
        <v>8.2680000000000007</v>
      </c>
      <c r="AH585" t="s">
        <v>51</v>
      </c>
    </row>
    <row r="586" spans="1:34" ht="15" customHeight="1" x14ac:dyDescent="0.35">
      <c r="A586">
        <v>7547676</v>
      </c>
      <c r="B586">
        <v>690929</v>
      </c>
      <c r="C586" t="s">
        <v>34</v>
      </c>
      <c r="D586" t="s">
        <v>35</v>
      </c>
      <c r="E586" s="6" t="s">
        <v>34</v>
      </c>
      <c r="F586" t="s">
        <v>1832</v>
      </c>
      <c r="G586" t="s">
        <v>37</v>
      </c>
      <c r="H586" t="s">
        <v>38</v>
      </c>
      <c r="I586" t="s">
        <v>1833</v>
      </c>
      <c r="J586" t="s">
        <v>40</v>
      </c>
      <c r="K586">
        <v>2</v>
      </c>
      <c r="L586" t="s">
        <v>41</v>
      </c>
      <c r="M586" t="s">
        <v>42</v>
      </c>
      <c r="N586" t="s">
        <v>43</v>
      </c>
      <c r="O586" s="7">
        <v>3</v>
      </c>
      <c r="P586" s="8">
        <v>45355.696585648147</v>
      </c>
      <c r="Q586" s="9">
        <v>45358</v>
      </c>
      <c r="R586" t="s">
        <v>44</v>
      </c>
      <c r="S586" t="s">
        <v>45</v>
      </c>
      <c r="T586" t="s">
        <v>46</v>
      </c>
      <c r="U586" t="s">
        <v>130</v>
      </c>
      <c r="V586" t="s">
        <v>1834</v>
      </c>
      <c r="W586">
        <v>96400</v>
      </c>
      <c r="X586" t="s">
        <v>114</v>
      </c>
      <c r="Y586" t="s">
        <v>206</v>
      </c>
      <c r="Z586" t="s">
        <v>50</v>
      </c>
      <c r="AA586" s="12">
        <f>IF(O586&lt;=1,13,IF(O586&lt;=2,23,IF(O586&lt;=3,35,IF(O586&lt;=4,43,IF(O586&lt;=5,53,IF(O586&lt;=6,63,IF(O586&lt;=7,71,IF(O586&lt;=8,79,IF(O586&lt;=9,87,IF(O586&lt;=10,95,IF(O586&lt;=11,105,IF(O586&lt;=12,114,IF(O586&lt;=13,119,IF(O586&lt;=14,127,IF(O586&lt;=15,135,IF(O586&lt;=16,143,IF(O586&lt;=17,153,IF(O586&lt;=18,163,IF(O586&lt;=19,171,IF(O586&lt;=20,185,IF(O586&lt;=21,193,IF(O586&lt;=22,201,IF(O586&lt;=23,210,IF(O586&lt;=24,220,IF(O586&lt;=25,230,IF(O586&lt;=26,240,IF(O586&lt;=27,250,IF(O586&lt;=28,260,IF(O586&lt;=29,270,IF(O586&lt;=30,280,280+10*ROUNDUP(O586-30,0)))))))))))))))))))))))))))))))</f>
        <v>35</v>
      </c>
      <c r="AB586" s="11">
        <v>0</v>
      </c>
      <c r="AC586" s="11">
        <v>0</v>
      </c>
      <c r="AD586" s="11">
        <v>0</v>
      </c>
      <c r="AE586" s="11">
        <v>0</v>
      </c>
      <c r="AF586" s="11">
        <f t="shared" si="24"/>
        <v>2.1</v>
      </c>
      <c r="AG586" s="11">
        <f t="shared" si="23"/>
        <v>37.1</v>
      </c>
      <c r="AH586" t="s">
        <v>116</v>
      </c>
    </row>
    <row r="587" spans="1:34" ht="15" customHeight="1" x14ac:dyDescent="0.35">
      <c r="A587">
        <v>7547676</v>
      </c>
      <c r="B587">
        <v>690929</v>
      </c>
      <c r="C587" t="s">
        <v>34</v>
      </c>
      <c r="D587" t="s">
        <v>35</v>
      </c>
      <c r="E587" s="6" t="s">
        <v>34</v>
      </c>
      <c r="F587" t="s">
        <v>1835</v>
      </c>
      <c r="G587" t="s">
        <v>37</v>
      </c>
      <c r="H587" t="s">
        <v>38</v>
      </c>
      <c r="I587" t="s">
        <v>1836</v>
      </c>
      <c r="J587" t="s">
        <v>40</v>
      </c>
      <c r="K587">
        <v>2</v>
      </c>
      <c r="L587" t="s">
        <v>41</v>
      </c>
      <c r="M587" t="s">
        <v>42</v>
      </c>
      <c r="N587" t="s">
        <v>43</v>
      </c>
      <c r="O587" s="7">
        <v>1</v>
      </c>
      <c r="P587" s="8">
        <v>45357.425520833334</v>
      </c>
      <c r="Q587" s="9">
        <v>45359</v>
      </c>
      <c r="R587" t="s">
        <v>287</v>
      </c>
      <c r="S587" t="s">
        <v>45</v>
      </c>
      <c r="T587" t="s">
        <v>46</v>
      </c>
      <c r="U587" t="s">
        <v>54</v>
      </c>
      <c r="V587" t="s">
        <v>1837</v>
      </c>
      <c r="W587">
        <v>40000</v>
      </c>
      <c r="X587" t="s">
        <v>45</v>
      </c>
      <c r="Y587" t="s">
        <v>140</v>
      </c>
      <c r="Z587" t="s">
        <v>50</v>
      </c>
      <c r="AA587" s="10">
        <f>IF(O587&lt;=1,7,7+0.8*ROUNDUP(O587-1,0))</f>
        <v>7</v>
      </c>
      <c r="AB587" s="11">
        <v>0</v>
      </c>
      <c r="AC587" s="11">
        <v>0</v>
      </c>
      <c r="AD587" s="11">
        <v>0</v>
      </c>
      <c r="AE587" s="11">
        <v>0</v>
      </c>
      <c r="AF587" s="11">
        <f t="shared" si="24"/>
        <v>0.42</v>
      </c>
      <c r="AG587" s="11">
        <f t="shared" si="23"/>
        <v>7.42</v>
      </c>
      <c r="AH587" t="s">
        <v>51</v>
      </c>
    </row>
    <row r="588" spans="1:34" ht="15" customHeight="1" x14ac:dyDescent="0.35">
      <c r="A588">
        <v>7547676</v>
      </c>
      <c r="B588">
        <v>690929</v>
      </c>
      <c r="C588" t="s">
        <v>34</v>
      </c>
      <c r="D588" t="s">
        <v>35</v>
      </c>
      <c r="E588" s="6" t="s">
        <v>34</v>
      </c>
      <c r="F588" t="s">
        <v>1838</v>
      </c>
      <c r="G588" t="s">
        <v>37</v>
      </c>
      <c r="H588" t="s">
        <v>38</v>
      </c>
      <c r="I588" t="s">
        <v>1839</v>
      </c>
      <c r="J588" t="s">
        <v>40</v>
      </c>
      <c r="K588">
        <v>2</v>
      </c>
      <c r="L588" t="s">
        <v>41</v>
      </c>
      <c r="M588" t="s">
        <v>42</v>
      </c>
      <c r="N588" t="s">
        <v>43</v>
      </c>
      <c r="O588" s="7">
        <v>1</v>
      </c>
      <c r="P588" s="8">
        <v>45356.588541666664</v>
      </c>
      <c r="Q588" s="9">
        <v>45359</v>
      </c>
      <c r="R588" t="s">
        <v>44</v>
      </c>
      <c r="S588" t="s">
        <v>45</v>
      </c>
      <c r="T588" t="s">
        <v>46</v>
      </c>
      <c r="U588" t="s">
        <v>54</v>
      </c>
      <c r="V588" t="s">
        <v>1840</v>
      </c>
      <c r="W588">
        <v>43650</v>
      </c>
      <c r="X588" t="s">
        <v>45</v>
      </c>
      <c r="Y588" t="s">
        <v>1500</v>
      </c>
      <c r="Z588" t="s">
        <v>50</v>
      </c>
      <c r="AA588" s="10">
        <f>IF(O588&lt;=1,7,7+0.8*ROUNDUP(O588-1,0))</f>
        <v>7</v>
      </c>
      <c r="AB588" s="11">
        <v>0</v>
      </c>
      <c r="AC588" s="11">
        <v>0</v>
      </c>
      <c r="AD588" s="11">
        <v>0</v>
      </c>
      <c r="AE588" s="11">
        <v>0</v>
      </c>
      <c r="AF588" s="11">
        <f t="shared" si="24"/>
        <v>0.42</v>
      </c>
      <c r="AG588" s="11">
        <f t="shared" si="23"/>
        <v>7.42</v>
      </c>
      <c r="AH588" t="s">
        <v>51</v>
      </c>
    </row>
    <row r="589" spans="1:34" ht="15" customHeight="1" x14ac:dyDescent="0.35">
      <c r="A589">
        <v>7547676</v>
      </c>
      <c r="B589">
        <v>690929</v>
      </c>
      <c r="C589" t="s">
        <v>34</v>
      </c>
      <c r="D589" t="s">
        <v>35</v>
      </c>
      <c r="E589" s="6" t="s">
        <v>34</v>
      </c>
      <c r="F589" t="s">
        <v>1841</v>
      </c>
      <c r="G589" t="s">
        <v>37</v>
      </c>
      <c r="H589" t="s">
        <v>38</v>
      </c>
      <c r="I589" t="s">
        <v>1842</v>
      </c>
      <c r="J589" t="s">
        <v>40</v>
      </c>
      <c r="K589">
        <v>2</v>
      </c>
      <c r="L589" t="s">
        <v>41</v>
      </c>
      <c r="M589" t="s">
        <v>42</v>
      </c>
      <c r="N589" t="s">
        <v>43</v>
      </c>
      <c r="O589" s="7">
        <v>1</v>
      </c>
      <c r="P589" s="8">
        <v>45357.700173611112</v>
      </c>
      <c r="Q589" s="9">
        <v>45359</v>
      </c>
      <c r="R589" t="s">
        <v>287</v>
      </c>
      <c r="S589" t="s">
        <v>45</v>
      </c>
      <c r="T589" t="s">
        <v>46</v>
      </c>
      <c r="U589" t="s">
        <v>54</v>
      </c>
      <c r="V589" t="s">
        <v>1843</v>
      </c>
      <c r="W589">
        <v>52200</v>
      </c>
      <c r="X589" t="s">
        <v>45</v>
      </c>
      <c r="Y589" t="s">
        <v>1408</v>
      </c>
      <c r="Z589" t="s">
        <v>50</v>
      </c>
      <c r="AA589" s="10">
        <f>IF(O589&lt;=1,7,7+0.8*ROUNDUP(O589-1,0))</f>
        <v>7</v>
      </c>
      <c r="AB589" s="11">
        <v>0</v>
      </c>
      <c r="AC589" s="11">
        <v>0</v>
      </c>
      <c r="AD589" s="11">
        <v>0</v>
      </c>
      <c r="AE589" s="11">
        <v>0</v>
      </c>
      <c r="AF589" s="11">
        <f t="shared" si="24"/>
        <v>0.42</v>
      </c>
      <c r="AG589" s="11">
        <f t="shared" si="23"/>
        <v>7.42</v>
      </c>
      <c r="AH589" t="s">
        <v>51</v>
      </c>
    </row>
    <row r="590" spans="1:34" ht="15" customHeight="1" x14ac:dyDescent="0.35">
      <c r="A590">
        <v>7547676</v>
      </c>
      <c r="B590">
        <v>690929</v>
      </c>
      <c r="C590" t="s">
        <v>34</v>
      </c>
      <c r="D590" t="s">
        <v>35</v>
      </c>
      <c r="E590" s="6" t="s">
        <v>34</v>
      </c>
      <c r="F590" t="s">
        <v>1844</v>
      </c>
      <c r="G590" t="s">
        <v>37</v>
      </c>
      <c r="H590" t="s">
        <v>38</v>
      </c>
      <c r="I590" t="s">
        <v>1845</v>
      </c>
      <c r="J590" t="s">
        <v>40</v>
      </c>
      <c r="K590">
        <v>2</v>
      </c>
      <c r="L590" t="s">
        <v>41</v>
      </c>
      <c r="M590" t="s">
        <v>42</v>
      </c>
      <c r="N590" t="s">
        <v>43</v>
      </c>
      <c r="O590" s="7">
        <v>1</v>
      </c>
      <c r="P590" s="8">
        <v>45356.563333333332</v>
      </c>
      <c r="Q590" s="9">
        <v>45359</v>
      </c>
      <c r="R590" t="s">
        <v>44</v>
      </c>
      <c r="S590" t="s">
        <v>45</v>
      </c>
      <c r="T590" t="s">
        <v>46</v>
      </c>
      <c r="U590" t="s">
        <v>172</v>
      </c>
      <c r="V590" t="s">
        <v>1846</v>
      </c>
      <c r="W590">
        <v>35600</v>
      </c>
      <c r="X590" t="s">
        <v>45</v>
      </c>
      <c r="Y590" t="s">
        <v>79</v>
      </c>
      <c r="Z590" t="s">
        <v>50</v>
      </c>
      <c r="AA590" s="10">
        <f>IF(O590&lt;=1,7,7+0.8*ROUNDUP(O590-1,0))</f>
        <v>7</v>
      </c>
      <c r="AB590" s="11">
        <v>0</v>
      </c>
      <c r="AC590" s="11">
        <v>0</v>
      </c>
      <c r="AD590" s="11">
        <v>0</v>
      </c>
      <c r="AE590" s="11">
        <v>0</v>
      </c>
      <c r="AF590" s="11">
        <f t="shared" si="24"/>
        <v>0.42</v>
      </c>
      <c r="AG590" s="11">
        <f t="shared" si="23"/>
        <v>7.42</v>
      </c>
      <c r="AH590" t="s">
        <v>51</v>
      </c>
    </row>
    <row r="591" spans="1:34" ht="15" customHeight="1" x14ac:dyDescent="0.35">
      <c r="A591">
        <v>7547676</v>
      </c>
      <c r="B591">
        <v>690929</v>
      </c>
      <c r="C591" t="s">
        <v>34</v>
      </c>
      <c r="D591" t="s">
        <v>35</v>
      </c>
      <c r="E591" s="6" t="s">
        <v>34</v>
      </c>
      <c r="F591" t="s">
        <v>1847</v>
      </c>
      <c r="G591" t="s">
        <v>37</v>
      </c>
      <c r="H591" t="s">
        <v>38</v>
      </c>
      <c r="I591" t="s">
        <v>1848</v>
      </c>
      <c r="J591" t="s">
        <v>40</v>
      </c>
      <c r="K591">
        <v>2</v>
      </c>
      <c r="L591" t="s">
        <v>41</v>
      </c>
      <c r="M591" t="s">
        <v>42</v>
      </c>
      <c r="N591" t="s">
        <v>43</v>
      </c>
      <c r="O591" s="7">
        <v>1</v>
      </c>
      <c r="P591" s="8">
        <v>45358.688750000001</v>
      </c>
      <c r="Q591" s="9">
        <v>45359</v>
      </c>
      <c r="R591" t="s">
        <v>44</v>
      </c>
      <c r="S591" t="s">
        <v>45</v>
      </c>
      <c r="T591" t="s">
        <v>46</v>
      </c>
      <c r="U591" t="s">
        <v>190</v>
      </c>
      <c r="V591" t="s">
        <v>1849</v>
      </c>
      <c r="W591">
        <v>25150</v>
      </c>
      <c r="X591" t="s">
        <v>45</v>
      </c>
      <c r="Y591" t="s">
        <v>362</v>
      </c>
      <c r="Z591" t="s">
        <v>50</v>
      </c>
      <c r="AA591" s="10">
        <f>IF(O591&lt;=1,7,7+0.8*ROUNDUP(O591-1,0))</f>
        <v>7</v>
      </c>
      <c r="AB591" s="11">
        <v>0</v>
      </c>
      <c r="AC591" s="11">
        <v>0</v>
      </c>
      <c r="AD591" s="11">
        <v>0</v>
      </c>
      <c r="AE591" s="11">
        <v>0</v>
      </c>
      <c r="AF591" s="11">
        <f t="shared" si="24"/>
        <v>0.42</v>
      </c>
      <c r="AG591" s="11">
        <f t="shared" si="23"/>
        <v>7.42</v>
      </c>
      <c r="AH591" t="s">
        <v>51</v>
      </c>
    </row>
    <row r="592" spans="1:34" ht="15" customHeight="1" x14ac:dyDescent="0.35">
      <c r="A592">
        <v>7547676</v>
      </c>
      <c r="B592">
        <v>690929</v>
      </c>
      <c r="C592" t="s">
        <v>34</v>
      </c>
      <c r="D592" t="s">
        <v>35</v>
      </c>
      <c r="E592" s="6" t="s">
        <v>34</v>
      </c>
      <c r="F592" t="s">
        <v>1850</v>
      </c>
      <c r="G592" t="s">
        <v>37</v>
      </c>
      <c r="H592" t="s">
        <v>38</v>
      </c>
      <c r="I592" t="s">
        <v>1851</v>
      </c>
      <c r="J592" t="s">
        <v>40</v>
      </c>
      <c r="K592">
        <v>2</v>
      </c>
      <c r="L592" t="s">
        <v>41</v>
      </c>
      <c r="M592" t="s">
        <v>42</v>
      </c>
      <c r="N592" t="s">
        <v>43</v>
      </c>
      <c r="O592" s="7">
        <v>1</v>
      </c>
      <c r="P592" s="8">
        <v>45354.836400462962</v>
      </c>
      <c r="Q592" s="9">
        <v>45359</v>
      </c>
      <c r="R592" t="s">
        <v>44</v>
      </c>
      <c r="S592" t="s">
        <v>45</v>
      </c>
      <c r="T592" t="s">
        <v>46</v>
      </c>
      <c r="U592" t="s">
        <v>82</v>
      </c>
      <c r="V592" t="s">
        <v>1852</v>
      </c>
      <c r="W592">
        <v>81000</v>
      </c>
      <c r="X592" t="s">
        <v>45</v>
      </c>
      <c r="Y592" t="s">
        <v>184</v>
      </c>
      <c r="Z592" t="s">
        <v>50</v>
      </c>
      <c r="AA592" s="10">
        <f>IF(O592&lt;=1,7,7+0.8*ROUNDUP(O592-1,0))</f>
        <v>7</v>
      </c>
      <c r="AB592" s="11">
        <v>0</v>
      </c>
      <c r="AC592" s="11">
        <v>0</v>
      </c>
      <c r="AD592" s="11">
        <v>0</v>
      </c>
      <c r="AE592" s="11">
        <v>0</v>
      </c>
      <c r="AF592" s="11">
        <f t="shared" si="24"/>
        <v>0.42</v>
      </c>
      <c r="AG592" s="11">
        <f t="shared" si="23"/>
        <v>7.42</v>
      </c>
      <c r="AH592" t="s">
        <v>51</v>
      </c>
    </row>
    <row r="593" spans="1:34" ht="15" customHeight="1" x14ac:dyDescent="0.35">
      <c r="A593">
        <v>7547676</v>
      </c>
      <c r="B593">
        <v>690929</v>
      </c>
      <c r="C593" t="s">
        <v>34</v>
      </c>
      <c r="D593" t="s">
        <v>35</v>
      </c>
      <c r="E593" s="6" t="s">
        <v>34</v>
      </c>
      <c r="F593" t="s">
        <v>1853</v>
      </c>
      <c r="G593" t="s">
        <v>37</v>
      </c>
      <c r="H593" t="s">
        <v>38</v>
      </c>
      <c r="I593" t="s">
        <v>138</v>
      </c>
      <c r="J593" t="s">
        <v>40</v>
      </c>
      <c r="K593">
        <v>2</v>
      </c>
      <c r="L593" t="s">
        <v>41</v>
      </c>
      <c r="M593" t="s">
        <v>42</v>
      </c>
      <c r="N593" t="s">
        <v>43</v>
      </c>
      <c r="O593" s="7">
        <v>1</v>
      </c>
      <c r="P593" s="8">
        <v>45358.645497685182</v>
      </c>
      <c r="Q593" s="9">
        <v>45359</v>
      </c>
      <c r="R593" t="s">
        <v>44</v>
      </c>
      <c r="S593" t="s">
        <v>45</v>
      </c>
      <c r="T593" t="s">
        <v>46</v>
      </c>
      <c r="U593" t="s">
        <v>54</v>
      </c>
      <c r="V593" t="s">
        <v>139</v>
      </c>
      <c r="W593">
        <v>40000</v>
      </c>
      <c r="X593" t="s">
        <v>45</v>
      </c>
      <c r="Y593" t="s">
        <v>140</v>
      </c>
      <c r="Z593" t="s">
        <v>50</v>
      </c>
      <c r="AA593" s="10">
        <f>IF(O593&lt;=1,7,7+0.8*ROUNDUP(O593-1,0))</f>
        <v>7</v>
      </c>
      <c r="AB593" s="11">
        <v>0</v>
      </c>
      <c r="AC593" s="11">
        <v>0</v>
      </c>
      <c r="AD593" s="11">
        <v>0</v>
      </c>
      <c r="AE593" s="11">
        <v>0</v>
      </c>
      <c r="AF593" s="11">
        <f t="shared" si="24"/>
        <v>0.42</v>
      </c>
      <c r="AG593" s="11">
        <f t="shared" si="23"/>
        <v>7.42</v>
      </c>
      <c r="AH593" t="s">
        <v>51</v>
      </c>
    </row>
    <row r="594" spans="1:34" ht="15" customHeight="1" x14ac:dyDescent="0.35">
      <c r="A594">
        <v>7547676</v>
      </c>
      <c r="B594">
        <v>690929</v>
      </c>
      <c r="C594" t="s">
        <v>34</v>
      </c>
      <c r="D594" t="s">
        <v>35</v>
      </c>
      <c r="E594" s="6" t="s">
        <v>34</v>
      </c>
      <c r="F594" t="s">
        <v>1854</v>
      </c>
      <c r="G594" t="s">
        <v>37</v>
      </c>
      <c r="H594" t="s">
        <v>38</v>
      </c>
      <c r="I594" t="s">
        <v>1855</v>
      </c>
      <c r="J594" t="s">
        <v>40</v>
      </c>
      <c r="K594">
        <v>2</v>
      </c>
      <c r="L594" t="s">
        <v>41</v>
      </c>
      <c r="M594" t="s">
        <v>42</v>
      </c>
      <c r="N594" t="s">
        <v>43</v>
      </c>
      <c r="O594" s="7">
        <v>1</v>
      </c>
      <c r="P594" s="8">
        <v>45357.629675925928</v>
      </c>
      <c r="Q594" s="9">
        <v>45359</v>
      </c>
      <c r="R594" t="s">
        <v>287</v>
      </c>
      <c r="S594" t="s">
        <v>45</v>
      </c>
      <c r="T594" t="s">
        <v>46</v>
      </c>
      <c r="U594" t="s">
        <v>67</v>
      </c>
      <c r="V594" t="s">
        <v>1856</v>
      </c>
      <c r="W594">
        <v>51200</v>
      </c>
      <c r="X594" t="s">
        <v>45</v>
      </c>
      <c r="Y594" t="s">
        <v>275</v>
      </c>
      <c r="Z594" t="s">
        <v>50</v>
      </c>
      <c r="AA594" s="10">
        <f>IF(O594&lt;=1,7,7+0.8*ROUNDUP(O594-1,0))</f>
        <v>7</v>
      </c>
      <c r="AB594" s="11">
        <v>0</v>
      </c>
      <c r="AC594" s="11">
        <v>0</v>
      </c>
      <c r="AD594" s="11">
        <v>0</v>
      </c>
      <c r="AE594" s="11">
        <v>0</v>
      </c>
      <c r="AF594" s="11">
        <f t="shared" si="24"/>
        <v>0.42</v>
      </c>
      <c r="AG594" s="11">
        <f t="shared" si="23"/>
        <v>7.42</v>
      </c>
      <c r="AH594" t="s">
        <v>51</v>
      </c>
    </row>
    <row r="595" spans="1:34" ht="15" customHeight="1" x14ac:dyDescent="0.35">
      <c r="A595">
        <v>7547676</v>
      </c>
      <c r="B595">
        <v>690929</v>
      </c>
      <c r="C595" t="s">
        <v>34</v>
      </c>
      <c r="D595" t="s">
        <v>35</v>
      </c>
      <c r="E595" s="6" t="s">
        <v>34</v>
      </c>
      <c r="F595" t="s">
        <v>1857</v>
      </c>
      <c r="G595" t="s">
        <v>37</v>
      </c>
      <c r="H595" t="s">
        <v>38</v>
      </c>
      <c r="I595" t="s">
        <v>138</v>
      </c>
      <c r="J595" t="s">
        <v>40</v>
      </c>
      <c r="K595">
        <v>2</v>
      </c>
      <c r="L595" t="s">
        <v>41</v>
      </c>
      <c r="M595" t="s">
        <v>42</v>
      </c>
      <c r="N595" t="s">
        <v>43</v>
      </c>
      <c r="O595" s="7">
        <v>3</v>
      </c>
      <c r="P595" s="8">
        <v>45357.647361111114</v>
      </c>
      <c r="Q595" s="9">
        <v>45359</v>
      </c>
      <c r="R595" t="s">
        <v>287</v>
      </c>
      <c r="S595" t="s">
        <v>45</v>
      </c>
      <c r="T595" t="s">
        <v>46</v>
      </c>
      <c r="U595" t="s">
        <v>54</v>
      </c>
      <c r="V595" t="s">
        <v>139</v>
      </c>
      <c r="W595">
        <v>40000</v>
      </c>
      <c r="X595" t="s">
        <v>45</v>
      </c>
      <c r="Y595" t="s">
        <v>140</v>
      </c>
      <c r="Z595" t="s">
        <v>50</v>
      </c>
      <c r="AA595" s="10">
        <f>IF(O595&lt;=1,7,7+0.8*ROUNDUP(O595-1,0))</f>
        <v>8.6</v>
      </c>
      <c r="AB595" s="11">
        <v>0</v>
      </c>
      <c r="AC595" s="11">
        <v>0</v>
      </c>
      <c r="AD595" s="11">
        <v>0</v>
      </c>
      <c r="AE595" s="11">
        <v>0</v>
      </c>
      <c r="AF595" s="11">
        <f t="shared" si="24"/>
        <v>0.51600000000000001</v>
      </c>
      <c r="AG595" s="11">
        <f t="shared" si="23"/>
        <v>9.1159999999999997</v>
      </c>
      <c r="AH595" t="s">
        <v>51</v>
      </c>
    </row>
    <row r="596" spans="1:34" ht="15" customHeight="1" x14ac:dyDescent="0.35">
      <c r="A596">
        <v>7547676</v>
      </c>
      <c r="B596">
        <v>690929</v>
      </c>
      <c r="C596" t="s">
        <v>34</v>
      </c>
      <c r="D596" t="s">
        <v>35</v>
      </c>
      <c r="E596" s="6" t="s">
        <v>34</v>
      </c>
      <c r="F596" t="s">
        <v>1858</v>
      </c>
      <c r="G596" t="s">
        <v>37</v>
      </c>
      <c r="H596" t="s">
        <v>38</v>
      </c>
      <c r="I596" t="s">
        <v>1859</v>
      </c>
      <c r="J596" t="s">
        <v>40</v>
      </c>
      <c r="K596">
        <v>2</v>
      </c>
      <c r="L596" t="s">
        <v>41</v>
      </c>
      <c r="M596" t="s">
        <v>42</v>
      </c>
      <c r="N596" t="s">
        <v>43</v>
      </c>
      <c r="O596" s="7">
        <v>1</v>
      </c>
      <c r="P596" s="8">
        <v>45354.778113425928</v>
      </c>
      <c r="Q596" s="9">
        <v>45359</v>
      </c>
      <c r="R596" t="s">
        <v>44</v>
      </c>
      <c r="S596" t="s">
        <v>45</v>
      </c>
      <c r="T596" t="s">
        <v>46</v>
      </c>
      <c r="U596" t="s">
        <v>86</v>
      </c>
      <c r="V596" t="s">
        <v>1860</v>
      </c>
      <c r="W596">
        <v>71050</v>
      </c>
      <c r="X596" t="s">
        <v>45</v>
      </c>
      <c r="Y596" t="s">
        <v>79</v>
      </c>
      <c r="Z596" t="s">
        <v>50</v>
      </c>
      <c r="AA596" s="10">
        <f>IF(O596&lt;=1,7,7+0.8*ROUNDUP(O596-1,0))</f>
        <v>7</v>
      </c>
      <c r="AB596" s="11">
        <v>0</v>
      </c>
      <c r="AC596" s="11">
        <v>0</v>
      </c>
      <c r="AD596" s="11">
        <v>0</v>
      </c>
      <c r="AE596" s="11">
        <v>0</v>
      </c>
      <c r="AF596" s="11">
        <f t="shared" si="24"/>
        <v>0.42</v>
      </c>
      <c r="AG596" s="11">
        <f t="shared" si="23"/>
        <v>7.42</v>
      </c>
      <c r="AH596" t="s">
        <v>51</v>
      </c>
    </row>
    <row r="597" spans="1:34" ht="15" customHeight="1" x14ac:dyDescent="0.35">
      <c r="A597">
        <v>7547676</v>
      </c>
      <c r="B597">
        <v>690929</v>
      </c>
      <c r="C597" t="s">
        <v>34</v>
      </c>
      <c r="D597" t="s">
        <v>35</v>
      </c>
      <c r="E597" s="6" t="s">
        <v>34</v>
      </c>
      <c r="F597" t="s">
        <v>1861</v>
      </c>
      <c r="G597" t="s">
        <v>37</v>
      </c>
      <c r="H597" t="s">
        <v>38</v>
      </c>
      <c r="I597" t="s">
        <v>1862</v>
      </c>
      <c r="J597" t="s">
        <v>40</v>
      </c>
      <c r="K597">
        <v>2</v>
      </c>
      <c r="L597" t="s">
        <v>41</v>
      </c>
      <c r="M597" t="s">
        <v>42</v>
      </c>
      <c r="N597" t="s">
        <v>43</v>
      </c>
      <c r="O597" s="7">
        <v>1</v>
      </c>
      <c r="P597" s="8">
        <v>45358.453819444447</v>
      </c>
      <c r="Q597" s="9">
        <v>45359</v>
      </c>
      <c r="R597" t="s">
        <v>44</v>
      </c>
      <c r="S597" t="s">
        <v>45</v>
      </c>
      <c r="T597" t="s">
        <v>46</v>
      </c>
      <c r="U597" t="s">
        <v>47</v>
      </c>
      <c r="V597" t="s">
        <v>1863</v>
      </c>
      <c r="W597">
        <v>24000</v>
      </c>
      <c r="X597" t="s">
        <v>45</v>
      </c>
      <c r="Y597" t="s">
        <v>362</v>
      </c>
      <c r="Z597" t="s">
        <v>50</v>
      </c>
      <c r="AA597" s="10">
        <f>IF(O597&lt;=1,7,7+0.8*ROUNDUP(O597-1,0))</f>
        <v>7</v>
      </c>
      <c r="AB597" s="11">
        <v>0</v>
      </c>
      <c r="AC597" s="11">
        <v>0</v>
      </c>
      <c r="AD597" s="11">
        <v>0</v>
      </c>
      <c r="AE597" s="11">
        <v>0</v>
      </c>
      <c r="AF597" s="11">
        <f t="shared" si="24"/>
        <v>0.42</v>
      </c>
      <c r="AG597" s="11">
        <f t="shared" si="23"/>
        <v>7.42</v>
      </c>
      <c r="AH597" t="s">
        <v>51</v>
      </c>
    </row>
    <row r="598" spans="1:34" ht="15" customHeight="1" x14ac:dyDescent="0.35">
      <c r="A598">
        <v>7547676</v>
      </c>
      <c r="B598">
        <v>690929</v>
      </c>
      <c r="C598" t="s">
        <v>34</v>
      </c>
      <c r="D598" t="s">
        <v>35</v>
      </c>
      <c r="E598" s="6" t="s">
        <v>34</v>
      </c>
      <c r="F598" t="s">
        <v>1864</v>
      </c>
      <c r="G598" t="s">
        <v>37</v>
      </c>
      <c r="H598" t="s">
        <v>38</v>
      </c>
      <c r="I598" t="s">
        <v>208</v>
      </c>
      <c r="J598" t="s">
        <v>40</v>
      </c>
      <c r="K598">
        <v>2</v>
      </c>
      <c r="L598" t="s">
        <v>41</v>
      </c>
      <c r="M598" t="s">
        <v>42</v>
      </c>
      <c r="N598" t="s">
        <v>43</v>
      </c>
      <c r="O598" s="7">
        <v>1</v>
      </c>
      <c r="P598" s="8">
        <v>45356.755243055559</v>
      </c>
      <c r="Q598" s="9">
        <v>45359</v>
      </c>
      <c r="R598" t="s">
        <v>287</v>
      </c>
      <c r="S598" t="s">
        <v>45</v>
      </c>
      <c r="T598" t="s">
        <v>46</v>
      </c>
      <c r="U598" t="s">
        <v>54</v>
      </c>
      <c r="V598" t="s">
        <v>1865</v>
      </c>
      <c r="W598">
        <v>40000</v>
      </c>
      <c r="X598" t="s">
        <v>45</v>
      </c>
      <c r="Y598" t="s">
        <v>140</v>
      </c>
      <c r="Z598" t="s">
        <v>50</v>
      </c>
      <c r="AA598" s="10">
        <f>IF(O598&lt;=1,7,7+0.8*ROUNDUP(O598-1,0))</f>
        <v>7</v>
      </c>
      <c r="AB598" s="11">
        <v>0</v>
      </c>
      <c r="AC598" s="11">
        <v>0</v>
      </c>
      <c r="AD598" s="11">
        <v>0</v>
      </c>
      <c r="AE598" s="11">
        <v>0</v>
      </c>
      <c r="AF598" s="11">
        <f t="shared" si="24"/>
        <v>0.42</v>
      </c>
      <c r="AG598" s="11">
        <f t="shared" si="23"/>
        <v>7.42</v>
      </c>
      <c r="AH598" t="s">
        <v>51</v>
      </c>
    </row>
    <row r="599" spans="1:34" ht="15" customHeight="1" x14ac:dyDescent="0.35">
      <c r="A599">
        <v>7547676</v>
      </c>
      <c r="B599">
        <v>690929</v>
      </c>
      <c r="C599" t="s">
        <v>34</v>
      </c>
      <c r="D599" t="s">
        <v>35</v>
      </c>
      <c r="E599" s="6" t="s">
        <v>34</v>
      </c>
      <c r="F599" t="s">
        <v>1866</v>
      </c>
      <c r="G599" t="s">
        <v>37</v>
      </c>
      <c r="H599" t="s">
        <v>38</v>
      </c>
      <c r="I599" t="s">
        <v>1867</v>
      </c>
      <c r="J599" t="s">
        <v>40</v>
      </c>
      <c r="K599">
        <v>2</v>
      </c>
      <c r="L599" t="s">
        <v>41</v>
      </c>
      <c r="M599" t="s">
        <v>42</v>
      </c>
      <c r="N599" t="s">
        <v>43</v>
      </c>
      <c r="O599" s="7">
        <v>2</v>
      </c>
      <c r="P599" s="8">
        <v>45357.87059027778</v>
      </c>
      <c r="Q599" s="9">
        <v>45359</v>
      </c>
      <c r="R599" t="s">
        <v>44</v>
      </c>
      <c r="S599" t="s">
        <v>45</v>
      </c>
      <c r="T599" t="s">
        <v>46</v>
      </c>
      <c r="U599" t="s">
        <v>47</v>
      </c>
      <c r="V599" t="s">
        <v>1868</v>
      </c>
      <c r="W599">
        <v>22200</v>
      </c>
      <c r="X599" t="s">
        <v>45</v>
      </c>
      <c r="Y599" t="s">
        <v>156</v>
      </c>
      <c r="Z599" t="s">
        <v>50</v>
      </c>
      <c r="AA599" s="10">
        <f>IF(O599&lt;=1,7,7+0.8*ROUNDUP(O599-1,0))</f>
        <v>7.8</v>
      </c>
      <c r="AB599" s="11">
        <v>0</v>
      </c>
      <c r="AC599" s="11">
        <v>0</v>
      </c>
      <c r="AD599" s="11">
        <v>0</v>
      </c>
      <c r="AE599" s="11">
        <v>0</v>
      </c>
      <c r="AF599" s="11">
        <f t="shared" si="24"/>
        <v>0.46799999999999997</v>
      </c>
      <c r="AG599" s="11">
        <f t="shared" si="23"/>
        <v>8.2680000000000007</v>
      </c>
      <c r="AH599" t="s">
        <v>51</v>
      </c>
    </row>
    <row r="600" spans="1:34" ht="15" customHeight="1" x14ac:dyDescent="0.35">
      <c r="A600">
        <v>7547676</v>
      </c>
      <c r="B600">
        <v>690929</v>
      </c>
      <c r="C600" t="s">
        <v>34</v>
      </c>
      <c r="D600" t="s">
        <v>35</v>
      </c>
      <c r="E600" s="6" t="s">
        <v>34</v>
      </c>
      <c r="F600" t="s">
        <v>1869</v>
      </c>
      <c r="G600" t="s">
        <v>37</v>
      </c>
      <c r="H600" t="s">
        <v>38</v>
      </c>
      <c r="I600" t="s">
        <v>1035</v>
      </c>
      <c r="J600" t="s">
        <v>40</v>
      </c>
      <c r="K600">
        <v>2</v>
      </c>
      <c r="L600" t="s">
        <v>41</v>
      </c>
      <c r="M600" t="s">
        <v>42</v>
      </c>
      <c r="N600" t="s">
        <v>43</v>
      </c>
      <c r="O600" s="7">
        <v>3</v>
      </c>
      <c r="P600" s="8">
        <v>45355.67759259259</v>
      </c>
      <c r="Q600" s="9">
        <v>45359</v>
      </c>
      <c r="R600" t="s">
        <v>44</v>
      </c>
      <c r="S600" t="s">
        <v>45</v>
      </c>
      <c r="T600" t="s">
        <v>46</v>
      </c>
      <c r="U600" t="s">
        <v>54</v>
      </c>
      <c r="V600" t="s">
        <v>1036</v>
      </c>
      <c r="W600">
        <v>53100</v>
      </c>
      <c r="X600" t="s">
        <v>45</v>
      </c>
      <c r="Y600" t="s">
        <v>126</v>
      </c>
      <c r="Z600" t="s">
        <v>50</v>
      </c>
      <c r="AA600" s="10">
        <f>IF(O600&lt;=1,7,7+0.8*ROUNDUP(O600-1,0))</f>
        <v>8.6</v>
      </c>
      <c r="AB600" s="11">
        <v>0</v>
      </c>
      <c r="AC600" s="11">
        <v>0</v>
      </c>
      <c r="AD600" s="11">
        <v>0</v>
      </c>
      <c r="AE600" s="11">
        <v>0</v>
      </c>
      <c r="AF600" s="11">
        <f t="shared" si="24"/>
        <v>0.51600000000000001</v>
      </c>
      <c r="AG600" s="11">
        <f t="shared" si="23"/>
        <v>9.1159999999999997</v>
      </c>
      <c r="AH600" t="s">
        <v>51</v>
      </c>
    </row>
    <row r="601" spans="1:34" ht="15" customHeight="1" x14ac:dyDescent="0.35">
      <c r="A601">
        <v>7547676</v>
      </c>
      <c r="B601">
        <v>690929</v>
      </c>
      <c r="C601" t="s">
        <v>34</v>
      </c>
      <c r="D601" t="s">
        <v>35</v>
      </c>
      <c r="E601" s="6" t="s">
        <v>34</v>
      </c>
      <c r="F601" t="s">
        <v>1870</v>
      </c>
      <c r="G601" t="s">
        <v>37</v>
      </c>
      <c r="H601" t="s">
        <v>38</v>
      </c>
      <c r="I601" t="s">
        <v>1871</v>
      </c>
      <c r="J601" t="s">
        <v>40</v>
      </c>
      <c r="K601">
        <v>2</v>
      </c>
      <c r="L601" t="s">
        <v>41</v>
      </c>
      <c r="M601" t="s">
        <v>42</v>
      </c>
      <c r="N601" t="s">
        <v>43</v>
      </c>
      <c r="O601" s="7">
        <v>1</v>
      </c>
      <c r="P601" s="8">
        <v>45357.746979166666</v>
      </c>
      <c r="Q601" s="9">
        <v>45359</v>
      </c>
      <c r="R601" t="s">
        <v>287</v>
      </c>
      <c r="S601" t="s">
        <v>45</v>
      </c>
      <c r="T601" t="s">
        <v>46</v>
      </c>
      <c r="U601" t="s">
        <v>54</v>
      </c>
      <c r="V601" t="s">
        <v>1872</v>
      </c>
      <c r="W601">
        <v>41000</v>
      </c>
      <c r="X601" t="s">
        <v>45</v>
      </c>
      <c r="Y601" t="s">
        <v>79</v>
      </c>
      <c r="Z601" t="s">
        <v>50</v>
      </c>
      <c r="AA601" s="10">
        <f>IF(O601&lt;=1,7,7+0.8*ROUNDUP(O601-1,0))</f>
        <v>7</v>
      </c>
      <c r="AB601" s="11">
        <v>0</v>
      </c>
      <c r="AC601" s="11">
        <v>0</v>
      </c>
      <c r="AD601" s="11">
        <v>0</v>
      </c>
      <c r="AE601" s="11">
        <v>0</v>
      </c>
      <c r="AF601" s="11">
        <f t="shared" si="24"/>
        <v>0.42</v>
      </c>
      <c r="AG601" s="11">
        <f t="shared" si="23"/>
        <v>7.42</v>
      </c>
      <c r="AH601" t="s">
        <v>51</v>
      </c>
    </row>
    <row r="602" spans="1:34" ht="15" customHeight="1" x14ac:dyDescent="0.35">
      <c r="A602">
        <v>7547676</v>
      </c>
      <c r="B602">
        <v>690929</v>
      </c>
      <c r="C602" t="s">
        <v>34</v>
      </c>
      <c r="D602" t="s">
        <v>35</v>
      </c>
      <c r="E602" s="6" t="s">
        <v>34</v>
      </c>
      <c r="F602" t="s">
        <v>1873</v>
      </c>
      <c r="G602" t="s">
        <v>37</v>
      </c>
      <c r="H602" t="s">
        <v>38</v>
      </c>
      <c r="I602" t="s">
        <v>1874</v>
      </c>
      <c r="J602" t="s">
        <v>40</v>
      </c>
      <c r="K602">
        <v>2</v>
      </c>
      <c r="L602" t="s">
        <v>41</v>
      </c>
      <c r="M602" t="s">
        <v>42</v>
      </c>
      <c r="N602" t="s">
        <v>43</v>
      </c>
      <c r="O602" s="7">
        <v>1</v>
      </c>
      <c r="P602" s="8">
        <v>45356.629861111112</v>
      </c>
      <c r="Q602" s="9">
        <v>45359</v>
      </c>
      <c r="R602" t="s">
        <v>44</v>
      </c>
      <c r="S602" t="s">
        <v>45</v>
      </c>
      <c r="T602" t="s">
        <v>46</v>
      </c>
      <c r="U602" t="s">
        <v>112</v>
      </c>
      <c r="V602" t="s">
        <v>1875</v>
      </c>
      <c r="W602">
        <v>89600</v>
      </c>
      <c r="X602" t="s">
        <v>114</v>
      </c>
      <c r="Y602" t="s">
        <v>79</v>
      </c>
      <c r="Z602" t="s">
        <v>50</v>
      </c>
      <c r="AA602" s="12">
        <f>IF(O602&lt;=1,13,IF(O602&lt;=2,23,IF(O602&lt;=3,35,IF(O602&lt;=4,43,IF(O602&lt;=5,53,IF(O602&lt;=6,63,IF(O602&lt;=7,71,IF(O602&lt;=8,79,IF(O602&lt;=9,87,IF(O602&lt;=10,95,IF(O602&lt;=11,105,IF(O602&lt;=12,114,IF(O602&lt;=13,119,IF(O602&lt;=14,127,IF(O602&lt;=15,135,IF(O602&lt;=16,143,IF(O602&lt;=17,153,IF(O602&lt;=18,163,IF(O602&lt;=19,171,IF(O602&lt;=20,185,IF(O602&lt;=21,193,IF(O602&lt;=22,201,IF(O602&lt;=23,210,IF(O602&lt;=24,220,IF(O602&lt;=25,230,IF(O602&lt;=26,240,IF(O602&lt;=27,250,IF(O602&lt;=28,260,IF(O602&lt;=29,270,IF(O602&lt;=30,280,280+10*ROUNDUP(O602-30,0)))))))))))))))))))))))))))))))</f>
        <v>13</v>
      </c>
      <c r="AB602" s="11">
        <v>0</v>
      </c>
      <c r="AC602" s="11">
        <v>0</v>
      </c>
      <c r="AD602" s="11">
        <v>0</v>
      </c>
      <c r="AE602" s="11">
        <v>0</v>
      </c>
      <c r="AF602" s="11">
        <f t="shared" si="24"/>
        <v>0.78</v>
      </c>
      <c r="AG602" s="11">
        <f t="shared" ref="AG602:AG665" si="25">AA602+AC602+AE602+AF602</f>
        <v>13.78</v>
      </c>
      <c r="AH602" t="s">
        <v>116</v>
      </c>
    </row>
    <row r="603" spans="1:34" ht="15" customHeight="1" x14ac:dyDescent="0.35">
      <c r="A603">
        <v>7547676</v>
      </c>
      <c r="B603">
        <v>690929</v>
      </c>
      <c r="C603" t="s">
        <v>34</v>
      </c>
      <c r="D603" t="s">
        <v>35</v>
      </c>
      <c r="E603" s="6" t="s">
        <v>34</v>
      </c>
      <c r="F603" t="s">
        <v>1876</v>
      </c>
      <c r="G603" t="s">
        <v>37</v>
      </c>
      <c r="H603" t="s">
        <v>38</v>
      </c>
      <c r="I603" t="s">
        <v>1877</v>
      </c>
      <c r="J603" t="s">
        <v>40</v>
      </c>
      <c r="K603">
        <v>2</v>
      </c>
      <c r="L603" t="s">
        <v>41</v>
      </c>
      <c r="M603" t="s">
        <v>42</v>
      </c>
      <c r="N603" t="s">
        <v>43</v>
      </c>
      <c r="O603" s="7">
        <v>1</v>
      </c>
      <c r="P603" s="8">
        <v>45355.495740740742</v>
      </c>
      <c r="Q603" s="9">
        <v>45359</v>
      </c>
      <c r="R603" t="s">
        <v>44</v>
      </c>
      <c r="S603" t="s">
        <v>45</v>
      </c>
      <c r="T603" t="s">
        <v>46</v>
      </c>
      <c r="U603" t="s">
        <v>278</v>
      </c>
      <c r="V603" t="s">
        <v>1878</v>
      </c>
      <c r="W603">
        <v>13200</v>
      </c>
      <c r="X603" t="s">
        <v>45</v>
      </c>
      <c r="Y603" t="s">
        <v>280</v>
      </c>
      <c r="Z603" t="s">
        <v>50</v>
      </c>
      <c r="AA603" s="10">
        <f>IF(O603&lt;=1,7,7+0.8*ROUNDUP(O603-1,0))</f>
        <v>7</v>
      </c>
      <c r="AB603" s="11">
        <v>0</v>
      </c>
      <c r="AC603" s="11">
        <v>0</v>
      </c>
      <c r="AD603" s="11">
        <v>0</v>
      </c>
      <c r="AE603" s="11">
        <v>0</v>
      </c>
      <c r="AF603" s="11">
        <f t="shared" si="24"/>
        <v>0.42</v>
      </c>
      <c r="AG603" s="11">
        <f t="shared" si="25"/>
        <v>7.42</v>
      </c>
      <c r="AH603" t="s">
        <v>51</v>
      </c>
    </row>
    <row r="604" spans="1:34" ht="15" customHeight="1" x14ac:dyDescent="0.35">
      <c r="A604">
        <v>7547676</v>
      </c>
      <c r="B604">
        <v>690929</v>
      </c>
      <c r="C604" t="s">
        <v>34</v>
      </c>
      <c r="D604" t="s">
        <v>35</v>
      </c>
      <c r="E604" s="6" t="s">
        <v>34</v>
      </c>
      <c r="F604" t="s">
        <v>1879</v>
      </c>
      <c r="G604" t="s">
        <v>37</v>
      </c>
      <c r="H604" t="s">
        <v>38</v>
      </c>
      <c r="I604" t="s">
        <v>1880</v>
      </c>
      <c r="J604" t="s">
        <v>40</v>
      </c>
      <c r="K604">
        <v>2</v>
      </c>
      <c r="L604" t="s">
        <v>41</v>
      </c>
      <c r="M604" t="s">
        <v>42</v>
      </c>
      <c r="N604" t="s">
        <v>43</v>
      </c>
      <c r="O604" s="7">
        <v>1</v>
      </c>
      <c r="P604" s="8">
        <v>45356.629861111112</v>
      </c>
      <c r="Q604" s="9">
        <v>45360</v>
      </c>
      <c r="R604" t="s">
        <v>44</v>
      </c>
      <c r="S604" t="s">
        <v>45</v>
      </c>
      <c r="T604" t="s">
        <v>46</v>
      </c>
      <c r="U604" t="s">
        <v>130</v>
      </c>
      <c r="V604" t="s">
        <v>1881</v>
      </c>
      <c r="W604">
        <v>97000</v>
      </c>
      <c r="X604" t="s">
        <v>114</v>
      </c>
      <c r="Y604" t="s">
        <v>79</v>
      </c>
      <c r="Z604" t="s">
        <v>50</v>
      </c>
      <c r="AA604" s="12">
        <f>IF(O604&lt;=1,13,IF(O604&lt;=2,23,IF(O604&lt;=3,35,IF(O604&lt;=4,43,IF(O604&lt;=5,53,IF(O604&lt;=6,63,IF(O604&lt;=7,71,IF(O604&lt;=8,79,IF(O604&lt;=9,87,IF(O604&lt;=10,95,IF(O604&lt;=11,105,IF(O604&lt;=12,114,IF(O604&lt;=13,119,IF(O604&lt;=14,127,IF(O604&lt;=15,135,IF(O604&lt;=16,143,IF(O604&lt;=17,153,IF(O604&lt;=18,163,IF(O604&lt;=19,171,IF(O604&lt;=20,185,IF(O604&lt;=21,193,IF(O604&lt;=22,201,IF(O604&lt;=23,210,IF(O604&lt;=24,220,IF(O604&lt;=25,230,IF(O604&lt;=26,240,IF(O604&lt;=27,250,IF(O604&lt;=28,260,IF(O604&lt;=29,270,IF(O604&lt;=30,280,280+10*ROUNDUP(O604-30,0)))))))))))))))))))))))))))))))</f>
        <v>13</v>
      </c>
      <c r="AB604" s="11">
        <v>0</v>
      </c>
      <c r="AC604" s="11">
        <v>0</v>
      </c>
      <c r="AD604" s="11">
        <v>0</v>
      </c>
      <c r="AE604" s="11">
        <v>0</v>
      </c>
      <c r="AF604" s="11">
        <f t="shared" si="24"/>
        <v>0.78</v>
      </c>
      <c r="AG604" s="11">
        <f t="shared" si="25"/>
        <v>13.78</v>
      </c>
      <c r="AH604" t="s">
        <v>116</v>
      </c>
    </row>
    <row r="605" spans="1:34" ht="15" customHeight="1" x14ac:dyDescent="0.35">
      <c r="A605">
        <v>7547676</v>
      </c>
      <c r="B605">
        <v>690929</v>
      </c>
      <c r="C605" t="s">
        <v>34</v>
      </c>
      <c r="D605" t="s">
        <v>35</v>
      </c>
      <c r="E605" s="6" t="s">
        <v>34</v>
      </c>
      <c r="F605" t="s">
        <v>1882</v>
      </c>
      <c r="G605" t="s">
        <v>37</v>
      </c>
      <c r="H605" t="s">
        <v>38</v>
      </c>
      <c r="I605" t="s">
        <v>1883</v>
      </c>
      <c r="J605" t="s">
        <v>40</v>
      </c>
      <c r="K605">
        <v>2</v>
      </c>
      <c r="L605" t="s">
        <v>41</v>
      </c>
      <c r="M605" t="s">
        <v>42</v>
      </c>
      <c r="N605" t="s">
        <v>43</v>
      </c>
      <c r="O605" s="7">
        <v>1</v>
      </c>
      <c r="P605" s="8">
        <v>45359.472511574073</v>
      </c>
      <c r="Q605" s="9">
        <v>45360</v>
      </c>
      <c r="R605" t="s">
        <v>287</v>
      </c>
      <c r="S605" t="s">
        <v>45</v>
      </c>
      <c r="T605" t="s">
        <v>46</v>
      </c>
      <c r="U605" t="s">
        <v>47</v>
      </c>
      <c r="V605" t="s">
        <v>1884</v>
      </c>
      <c r="W605">
        <v>21040</v>
      </c>
      <c r="X605" t="s">
        <v>45</v>
      </c>
      <c r="Y605" t="s">
        <v>156</v>
      </c>
      <c r="Z605" t="s">
        <v>50</v>
      </c>
      <c r="AA605" s="10">
        <f>IF(O605&lt;=1,7,7+0.8*ROUNDUP(O605-1,0))</f>
        <v>7</v>
      </c>
      <c r="AB605" s="11">
        <v>0</v>
      </c>
      <c r="AC605" s="11">
        <v>0</v>
      </c>
      <c r="AD605" s="11">
        <v>0</v>
      </c>
      <c r="AE605" s="11">
        <v>0</v>
      </c>
      <c r="AF605" s="11">
        <f t="shared" si="24"/>
        <v>0.42</v>
      </c>
      <c r="AG605" s="11">
        <f t="shared" si="25"/>
        <v>7.42</v>
      </c>
      <c r="AH605" t="s">
        <v>51</v>
      </c>
    </row>
    <row r="606" spans="1:34" ht="15" customHeight="1" x14ac:dyDescent="0.35">
      <c r="A606">
        <v>7547676</v>
      </c>
      <c r="B606">
        <v>690929</v>
      </c>
      <c r="C606" t="s">
        <v>34</v>
      </c>
      <c r="D606" t="s">
        <v>35</v>
      </c>
      <c r="E606" s="6" t="s">
        <v>34</v>
      </c>
      <c r="F606" t="s">
        <v>1885</v>
      </c>
      <c r="G606" t="s">
        <v>37</v>
      </c>
      <c r="H606" t="s">
        <v>38</v>
      </c>
      <c r="I606" t="s">
        <v>1886</v>
      </c>
      <c r="J606" t="s">
        <v>40</v>
      </c>
      <c r="K606">
        <v>2</v>
      </c>
      <c r="L606" t="s">
        <v>41</v>
      </c>
      <c r="M606" t="s">
        <v>42</v>
      </c>
      <c r="N606" t="s">
        <v>43</v>
      </c>
      <c r="O606" s="7">
        <v>1</v>
      </c>
      <c r="P606" s="8">
        <v>45359.617777777778</v>
      </c>
      <c r="Q606" s="9">
        <v>45360</v>
      </c>
      <c r="R606" t="s">
        <v>287</v>
      </c>
      <c r="S606" t="s">
        <v>45</v>
      </c>
      <c r="T606" t="s">
        <v>46</v>
      </c>
      <c r="U606" t="s">
        <v>86</v>
      </c>
      <c r="V606" t="s">
        <v>1887</v>
      </c>
      <c r="W606">
        <v>71800</v>
      </c>
      <c r="X606" t="s">
        <v>45</v>
      </c>
      <c r="Y606" t="s">
        <v>88</v>
      </c>
      <c r="Z606" t="s">
        <v>50</v>
      </c>
      <c r="AA606" s="10">
        <f>IF(O606&lt;=1,7,7+0.8*ROUNDUP(O606-1,0))</f>
        <v>7</v>
      </c>
      <c r="AB606" s="11">
        <v>0</v>
      </c>
      <c r="AC606" s="11">
        <v>0</v>
      </c>
      <c r="AD606" s="11">
        <v>0</v>
      </c>
      <c r="AE606" s="11">
        <v>0</v>
      </c>
      <c r="AF606" s="11">
        <f t="shared" ref="AF606:AF669" si="26">(AA606+AC606+AE606)*6%</f>
        <v>0.42</v>
      </c>
      <c r="AG606" s="11">
        <f t="shared" si="25"/>
        <v>7.42</v>
      </c>
      <c r="AH606" t="s">
        <v>51</v>
      </c>
    </row>
    <row r="607" spans="1:34" ht="15" customHeight="1" x14ac:dyDescent="0.35">
      <c r="A607">
        <v>7547676</v>
      </c>
      <c r="B607">
        <v>690929</v>
      </c>
      <c r="C607" t="s">
        <v>34</v>
      </c>
      <c r="D607" t="s">
        <v>35</v>
      </c>
      <c r="E607" s="6" t="s">
        <v>34</v>
      </c>
      <c r="F607" t="s">
        <v>1888</v>
      </c>
      <c r="G607" t="s">
        <v>37</v>
      </c>
      <c r="H607" t="s">
        <v>38</v>
      </c>
      <c r="I607" t="s">
        <v>1889</v>
      </c>
      <c r="J607" t="s">
        <v>40</v>
      </c>
      <c r="K607">
        <v>2</v>
      </c>
      <c r="L607" t="s">
        <v>41</v>
      </c>
      <c r="M607" t="s">
        <v>42</v>
      </c>
      <c r="N607" t="s">
        <v>43</v>
      </c>
      <c r="O607" s="7">
        <v>9</v>
      </c>
      <c r="P607" s="8">
        <v>45358.645497685182</v>
      </c>
      <c r="Q607" s="9">
        <v>45360</v>
      </c>
      <c r="R607" t="s">
        <v>44</v>
      </c>
      <c r="S607" t="s">
        <v>45</v>
      </c>
      <c r="T607" t="s">
        <v>46</v>
      </c>
      <c r="U607" t="s">
        <v>54</v>
      </c>
      <c r="V607" t="s">
        <v>1890</v>
      </c>
      <c r="W607">
        <v>47190</v>
      </c>
      <c r="X607" t="s">
        <v>45</v>
      </c>
      <c r="Y607" t="s">
        <v>79</v>
      </c>
      <c r="Z607" t="s">
        <v>50</v>
      </c>
      <c r="AA607" s="10">
        <f>IF(O607&lt;=1,7,7+0.8*ROUNDUP(O607-1,0))</f>
        <v>13.4</v>
      </c>
      <c r="AB607" s="11">
        <v>0</v>
      </c>
      <c r="AC607" s="11">
        <v>0</v>
      </c>
      <c r="AD607" s="11">
        <v>0</v>
      </c>
      <c r="AE607" s="11">
        <v>0</v>
      </c>
      <c r="AF607" s="11">
        <f t="shared" si="26"/>
        <v>0.80399999999999994</v>
      </c>
      <c r="AG607" s="11">
        <f t="shared" si="25"/>
        <v>14.204000000000001</v>
      </c>
      <c r="AH607" t="s">
        <v>51</v>
      </c>
    </row>
    <row r="608" spans="1:34" ht="15" customHeight="1" x14ac:dyDescent="0.35">
      <c r="A608">
        <v>7547676</v>
      </c>
      <c r="B608">
        <v>690929</v>
      </c>
      <c r="C608" t="s">
        <v>34</v>
      </c>
      <c r="D608" t="s">
        <v>35</v>
      </c>
      <c r="E608" s="6" t="s">
        <v>34</v>
      </c>
      <c r="F608" t="s">
        <v>1891</v>
      </c>
      <c r="G608" t="s">
        <v>37</v>
      </c>
      <c r="H608" t="s">
        <v>38</v>
      </c>
      <c r="I608" t="s">
        <v>1892</v>
      </c>
      <c r="J608" t="s">
        <v>40</v>
      </c>
      <c r="K608">
        <v>2</v>
      </c>
      <c r="L608" t="s">
        <v>41</v>
      </c>
      <c r="M608" t="s">
        <v>42</v>
      </c>
      <c r="N608" t="s">
        <v>43</v>
      </c>
      <c r="O608" s="7">
        <v>1</v>
      </c>
      <c r="P608" s="8">
        <v>45357.760358796295</v>
      </c>
      <c r="Q608" s="9">
        <v>45360</v>
      </c>
      <c r="R608" t="s">
        <v>287</v>
      </c>
      <c r="S608" t="s">
        <v>45</v>
      </c>
      <c r="T608" t="s">
        <v>46</v>
      </c>
      <c r="U608" t="s">
        <v>54</v>
      </c>
      <c r="V608" t="s">
        <v>1893</v>
      </c>
      <c r="W608">
        <v>42700</v>
      </c>
      <c r="X608" t="s">
        <v>45</v>
      </c>
      <c r="Y608" t="s">
        <v>268</v>
      </c>
      <c r="Z608" t="s">
        <v>50</v>
      </c>
      <c r="AA608" s="10">
        <f>IF(O608&lt;=1,7,7+0.8*ROUNDUP(O608-1,0))</f>
        <v>7</v>
      </c>
      <c r="AB608" s="11">
        <v>0</v>
      </c>
      <c r="AC608" s="11">
        <v>0</v>
      </c>
      <c r="AD608" s="11">
        <v>0</v>
      </c>
      <c r="AE608" s="11">
        <v>0</v>
      </c>
      <c r="AF608" s="11">
        <f t="shared" si="26"/>
        <v>0.42</v>
      </c>
      <c r="AG608" s="11">
        <f t="shared" si="25"/>
        <v>7.42</v>
      </c>
      <c r="AH608" t="s">
        <v>51</v>
      </c>
    </row>
    <row r="609" spans="1:34" ht="15" customHeight="1" x14ac:dyDescent="0.35">
      <c r="A609">
        <v>7547676</v>
      </c>
      <c r="B609">
        <v>690929</v>
      </c>
      <c r="C609" t="s">
        <v>34</v>
      </c>
      <c r="D609" t="s">
        <v>35</v>
      </c>
      <c r="E609" s="6" t="s">
        <v>34</v>
      </c>
      <c r="F609" t="s">
        <v>1894</v>
      </c>
      <c r="G609" t="s">
        <v>37</v>
      </c>
      <c r="H609" t="s">
        <v>38</v>
      </c>
      <c r="I609" t="s">
        <v>1895</v>
      </c>
      <c r="J609" t="s">
        <v>40</v>
      </c>
      <c r="K609">
        <v>2</v>
      </c>
      <c r="L609" t="s">
        <v>41</v>
      </c>
      <c r="M609" t="s">
        <v>42</v>
      </c>
      <c r="N609" t="s">
        <v>43</v>
      </c>
      <c r="O609" s="7">
        <v>1</v>
      </c>
      <c r="P609" s="8">
        <v>45357.449837962966</v>
      </c>
      <c r="Q609" s="9">
        <v>45360</v>
      </c>
      <c r="R609" t="s">
        <v>287</v>
      </c>
      <c r="S609" t="s">
        <v>45</v>
      </c>
      <c r="T609" t="s">
        <v>46</v>
      </c>
      <c r="U609" t="s">
        <v>278</v>
      </c>
      <c r="V609" t="s">
        <v>1896</v>
      </c>
      <c r="W609">
        <v>13600</v>
      </c>
      <c r="X609" t="s">
        <v>45</v>
      </c>
      <c r="Y609" t="s">
        <v>79</v>
      </c>
      <c r="Z609" t="s">
        <v>50</v>
      </c>
      <c r="AA609" s="10">
        <f>IF(O609&lt;=1,7,7+0.8*ROUNDUP(O609-1,0))</f>
        <v>7</v>
      </c>
      <c r="AB609" s="11">
        <v>0</v>
      </c>
      <c r="AC609" s="11">
        <v>0</v>
      </c>
      <c r="AD609" s="11">
        <v>0</v>
      </c>
      <c r="AE609" s="11">
        <v>0</v>
      </c>
      <c r="AF609" s="11">
        <f t="shared" si="26"/>
        <v>0.42</v>
      </c>
      <c r="AG609" s="11">
        <f t="shared" si="25"/>
        <v>7.42</v>
      </c>
      <c r="AH609" t="s">
        <v>51</v>
      </c>
    </row>
    <row r="610" spans="1:34" ht="15" customHeight="1" x14ac:dyDescent="0.35">
      <c r="A610">
        <v>7547676</v>
      </c>
      <c r="B610">
        <v>690929</v>
      </c>
      <c r="C610" t="s">
        <v>34</v>
      </c>
      <c r="D610" t="s">
        <v>35</v>
      </c>
      <c r="E610" s="6" t="s">
        <v>34</v>
      </c>
      <c r="F610" t="s">
        <v>1897</v>
      </c>
      <c r="G610" t="s">
        <v>37</v>
      </c>
      <c r="H610" t="s">
        <v>38</v>
      </c>
      <c r="I610" t="s">
        <v>1898</v>
      </c>
      <c r="J610" t="s">
        <v>40</v>
      </c>
      <c r="K610">
        <v>2</v>
      </c>
      <c r="L610" t="s">
        <v>41</v>
      </c>
      <c r="M610" t="s">
        <v>42</v>
      </c>
      <c r="N610" t="s">
        <v>43</v>
      </c>
      <c r="O610" s="7">
        <v>2</v>
      </c>
      <c r="P610" s="8">
        <v>45358.672523148147</v>
      </c>
      <c r="Q610" s="9">
        <v>45360</v>
      </c>
      <c r="R610" t="s">
        <v>44</v>
      </c>
      <c r="S610" t="s">
        <v>45</v>
      </c>
      <c r="T610" t="s">
        <v>46</v>
      </c>
      <c r="U610" t="s">
        <v>134</v>
      </c>
      <c r="V610" t="s">
        <v>1899</v>
      </c>
      <c r="W610">
        <v>5050</v>
      </c>
      <c r="X610" t="s">
        <v>45</v>
      </c>
      <c r="Y610" t="s">
        <v>136</v>
      </c>
      <c r="Z610" t="s">
        <v>50</v>
      </c>
      <c r="AA610" s="10">
        <f>IF(O610&lt;=1,7,7+0.8*ROUNDUP(O610-1,0))</f>
        <v>7.8</v>
      </c>
      <c r="AB610" s="11">
        <v>0</v>
      </c>
      <c r="AC610" s="11">
        <v>0</v>
      </c>
      <c r="AD610" s="11">
        <v>0</v>
      </c>
      <c r="AE610" s="11">
        <v>0</v>
      </c>
      <c r="AF610" s="11">
        <f t="shared" si="26"/>
        <v>0.46799999999999997</v>
      </c>
      <c r="AG610" s="11">
        <f t="shared" si="25"/>
        <v>8.2680000000000007</v>
      </c>
      <c r="AH610" t="s">
        <v>51</v>
      </c>
    </row>
    <row r="611" spans="1:34" ht="15" customHeight="1" x14ac:dyDescent="0.35">
      <c r="A611">
        <v>7547676</v>
      </c>
      <c r="B611">
        <v>690929</v>
      </c>
      <c r="C611" t="s">
        <v>34</v>
      </c>
      <c r="D611" t="s">
        <v>35</v>
      </c>
      <c r="E611" s="6" t="s">
        <v>34</v>
      </c>
      <c r="F611" t="s">
        <v>1900</v>
      </c>
      <c r="G611" t="s">
        <v>37</v>
      </c>
      <c r="H611" t="s">
        <v>38</v>
      </c>
      <c r="I611" t="s">
        <v>1901</v>
      </c>
      <c r="J611" t="s">
        <v>40</v>
      </c>
      <c r="K611">
        <v>2</v>
      </c>
      <c r="L611" t="s">
        <v>41</v>
      </c>
      <c r="M611" t="s">
        <v>42</v>
      </c>
      <c r="N611" t="s">
        <v>43</v>
      </c>
      <c r="O611" s="7">
        <v>2</v>
      </c>
      <c r="P611" s="8">
        <v>45358.507534722223</v>
      </c>
      <c r="Q611" s="9">
        <v>45360</v>
      </c>
      <c r="R611" t="s">
        <v>44</v>
      </c>
      <c r="S611" t="s">
        <v>45</v>
      </c>
      <c r="T611" t="s">
        <v>46</v>
      </c>
      <c r="U611" t="s">
        <v>278</v>
      </c>
      <c r="V611" t="s">
        <v>1902</v>
      </c>
      <c r="W611">
        <v>13200</v>
      </c>
      <c r="X611" t="s">
        <v>45</v>
      </c>
      <c r="Y611" t="s">
        <v>280</v>
      </c>
      <c r="Z611" t="s">
        <v>50</v>
      </c>
      <c r="AA611" s="10">
        <f>IF(O611&lt;=1,7,7+0.8*ROUNDUP(O611-1,0))</f>
        <v>7.8</v>
      </c>
      <c r="AB611" s="11">
        <v>0</v>
      </c>
      <c r="AC611" s="11">
        <v>0</v>
      </c>
      <c r="AD611" s="11">
        <v>0</v>
      </c>
      <c r="AE611" s="11">
        <v>0</v>
      </c>
      <c r="AF611" s="11">
        <f t="shared" si="26"/>
        <v>0.46799999999999997</v>
      </c>
      <c r="AG611" s="11">
        <f t="shared" si="25"/>
        <v>8.2680000000000007</v>
      </c>
      <c r="AH611" t="s">
        <v>51</v>
      </c>
    </row>
    <row r="612" spans="1:34" ht="15" customHeight="1" x14ac:dyDescent="0.35">
      <c r="A612">
        <v>7547676</v>
      </c>
      <c r="B612">
        <v>690929</v>
      </c>
      <c r="C612" t="s">
        <v>34</v>
      </c>
      <c r="D612" t="s">
        <v>35</v>
      </c>
      <c r="E612" s="6" t="s">
        <v>34</v>
      </c>
      <c r="F612" t="s">
        <v>1903</v>
      </c>
      <c r="G612" t="s">
        <v>37</v>
      </c>
      <c r="H612" t="s">
        <v>38</v>
      </c>
      <c r="I612" t="s">
        <v>1904</v>
      </c>
      <c r="J612" t="s">
        <v>40</v>
      </c>
      <c r="K612">
        <v>2</v>
      </c>
      <c r="L612" t="s">
        <v>41</v>
      </c>
      <c r="M612" t="s">
        <v>42</v>
      </c>
      <c r="N612" t="s">
        <v>43</v>
      </c>
      <c r="O612" s="7">
        <v>1</v>
      </c>
      <c r="P612" s="8">
        <v>45356.836898148147</v>
      </c>
      <c r="Q612" s="9">
        <v>45360</v>
      </c>
      <c r="R612" t="s">
        <v>287</v>
      </c>
      <c r="S612" t="s">
        <v>45</v>
      </c>
      <c r="T612" t="s">
        <v>46</v>
      </c>
      <c r="U612" t="s">
        <v>54</v>
      </c>
      <c r="V612" t="s">
        <v>1905</v>
      </c>
      <c r="W612">
        <v>45000</v>
      </c>
      <c r="X612" t="s">
        <v>45</v>
      </c>
      <c r="Y612" t="s">
        <v>79</v>
      </c>
      <c r="Z612" t="s">
        <v>50</v>
      </c>
      <c r="AA612" s="10">
        <f>IF(O612&lt;=1,7,7+0.8*ROUNDUP(O612-1,0))</f>
        <v>7</v>
      </c>
      <c r="AB612" s="11">
        <v>0</v>
      </c>
      <c r="AC612" s="11">
        <v>0</v>
      </c>
      <c r="AD612" s="11">
        <v>0</v>
      </c>
      <c r="AE612" s="11">
        <v>0</v>
      </c>
      <c r="AF612" s="11">
        <f t="shared" si="26"/>
        <v>0.42</v>
      </c>
      <c r="AG612" s="11">
        <f t="shared" si="25"/>
        <v>7.42</v>
      </c>
      <c r="AH612" t="s">
        <v>51</v>
      </c>
    </row>
    <row r="613" spans="1:34" ht="15" customHeight="1" x14ac:dyDescent="0.35">
      <c r="A613">
        <v>7547676</v>
      </c>
      <c r="B613">
        <v>690929</v>
      </c>
      <c r="C613" t="s">
        <v>34</v>
      </c>
      <c r="D613" t="s">
        <v>35</v>
      </c>
      <c r="E613" s="6" t="s">
        <v>34</v>
      </c>
      <c r="F613" t="s">
        <v>1906</v>
      </c>
      <c r="G613" t="s">
        <v>37</v>
      </c>
      <c r="H613" t="s">
        <v>38</v>
      </c>
      <c r="I613" t="s">
        <v>1907</v>
      </c>
      <c r="J613" t="s">
        <v>40</v>
      </c>
      <c r="K613">
        <v>2</v>
      </c>
      <c r="L613" t="s">
        <v>41</v>
      </c>
      <c r="M613" t="s">
        <v>42</v>
      </c>
      <c r="N613" t="s">
        <v>43</v>
      </c>
      <c r="O613" s="7">
        <v>1</v>
      </c>
      <c r="P613" s="8">
        <v>45358.710543981484</v>
      </c>
      <c r="Q613" s="9">
        <v>45360</v>
      </c>
      <c r="R613" t="s">
        <v>44</v>
      </c>
      <c r="S613" t="s">
        <v>45</v>
      </c>
      <c r="T613" t="s">
        <v>46</v>
      </c>
      <c r="U613" t="s">
        <v>134</v>
      </c>
      <c r="V613" t="s">
        <v>1908</v>
      </c>
      <c r="W613">
        <v>6700</v>
      </c>
      <c r="X613" t="s">
        <v>45</v>
      </c>
      <c r="Y613" t="s">
        <v>1909</v>
      </c>
      <c r="Z613" t="s">
        <v>50</v>
      </c>
      <c r="AA613" s="10">
        <f>IF(O613&lt;=1,7,7+0.8*ROUNDUP(O613-1,0))</f>
        <v>7</v>
      </c>
      <c r="AB613" s="11">
        <v>0</v>
      </c>
      <c r="AC613" s="11">
        <v>0</v>
      </c>
      <c r="AD613" s="11">
        <v>0</v>
      </c>
      <c r="AE613" s="11">
        <v>0</v>
      </c>
      <c r="AF613" s="11">
        <f t="shared" si="26"/>
        <v>0.42</v>
      </c>
      <c r="AG613" s="11">
        <f t="shared" si="25"/>
        <v>7.42</v>
      </c>
      <c r="AH613" t="s">
        <v>51</v>
      </c>
    </row>
    <row r="614" spans="1:34" ht="15" customHeight="1" x14ac:dyDescent="0.35">
      <c r="A614">
        <v>7547676</v>
      </c>
      <c r="B614">
        <v>690929</v>
      </c>
      <c r="C614" t="s">
        <v>34</v>
      </c>
      <c r="D614" t="s">
        <v>35</v>
      </c>
      <c r="E614" s="6" t="s">
        <v>34</v>
      </c>
      <c r="F614" t="s">
        <v>1910</v>
      </c>
      <c r="G614" t="s">
        <v>37</v>
      </c>
      <c r="H614" t="s">
        <v>38</v>
      </c>
      <c r="I614" t="s">
        <v>1911</v>
      </c>
      <c r="J614" t="s">
        <v>40</v>
      </c>
      <c r="K614">
        <v>2</v>
      </c>
      <c r="L614" t="s">
        <v>41</v>
      </c>
      <c r="M614" t="s">
        <v>42</v>
      </c>
      <c r="N614" t="s">
        <v>43</v>
      </c>
      <c r="O614" s="7">
        <v>3</v>
      </c>
      <c r="P614" s="8">
        <v>45357.569363425922</v>
      </c>
      <c r="Q614" s="9">
        <v>45360</v>
      </c>
      <c r="R614" t="s">
        <v>287</v>
      </c>
      <c r="S614" t="s">
        <v>45</v>
      </c>
      <c r="T614" t="s">
        <v>46</v>
      </c>
      <c r="U614" t="s">
        <v>54</v>
      </c>
      <c r="V614" t="s">
        <v>1912</v>
      </c>
      <c r="W614">
        <v>48000</v>
      </c>
      <c r="X614" t="s">
        <v>45</v>
      </c>
      <c r="Y614" t="s">
        <v>79</v>
      </c>
      <c r="Z614" t="s">
        <v>50</v>
      </c>
      <c r="AA614" s="10">
        <f>IF(O614&lt;=1,7,7+0.8*ROUNDUP(O614-1,0))</f>
        <v>8.6</v>
      </c>
      <c r="AB614" s="11">
        <v>0</v>
      </c>
      <c r="AC614" s="11">
        <v>0</v>
      </c>
      <c r="AD614" s="11">
        <v>0</v>
      </c>
      <c r="AE614" s="11">
        <v>0</v>
      </c>
      <c r="AF614" s="11">
        <f t="shared" si="26"/>
        <v>0.51600000000000001</v>
      </c>
      <c r="AG614" s="11">
        <f t="shared" si="25"/>
        <v>9.1159999999999997</v>
      </c>
      <c r="AH614" t="s">
        <v>51</v>
      </c>
    </row>
    <row r="615" spans="1:34" ht="15" customHeight="1" x14ac:dyDescent="0.35">
      <c r="A615">
        <v>7547676</v>
      </c>
      <c r="B615">
        <v>690929</v>
      </c>
      <c r="C615" t="s">
        <v>34</v>
      </c>
      <c r="D615" t="s">
        <v>35</v>
      </c>
      <c r="E615" s="6" t="s">
        <v>34</v>
      </c>
      <c r="F615" t="s">
        <v>1913</v>
      </c>
      <c r="G615" t="s">
        <v>37</v>
      </c>
      <c r="H615" t="s">
        <v>38</v>
      </c>
      <c r="I615" t="s">
        <v>1914</v>
      </c>
      <c r="J615" t="s">
        <v>40</v>
      </c>
      <c r="K615">
        <v>2</v>
      </c>
      <c r="L615" t="s">
        <v>41</v>
      </c>
      <c r="M615" t="s">
        <v>42</v>
      </c>
      <c r="N615" t="s">
        <v>43</v>
      </c>
      <c r="O615" s="7">
        <v>1</v>
      </c>
      <c r="P615" s="8">
        <v>45356.836898148147</v>
      </c>
      <c r="Q615" s="9">
        <v>45360</v>
      </c>
      <c r="R615" t="s">
        <v>287</v>
      </c>
      <c r="S615" t="s">
        <v>45</v>
      </c>
      <c r="T615" t="s">
        <v>46</v>
      </c>
      <c r="U615" t="s">
        <v>190</v>
      </c>
      <c r="V615" t="s">
        <v>1915</v>
      </c>
      <c r="W615">
        <v>28600</v>
      </c>
      <c r="X615" t="s">
        <v>45</v>
      </c>
      <c r="Y615" t="s">
        <v>79</v>
      </c>
      <c r="Z615" t="s">
        <v>50</v>
      </c>
      <c r="AA615" s="10">
        <f>IF(O615&lt;=1,7,7+0.8*ROUNDUP(O615-1,0))</f>
        <v>7</v>
      </c>
      <c r="AB615" s="11">
        <v>0</v>
      </c>
      <c r="AC615" s="11">
        <v>0</v>
      </c>
      <c r="AD615" s="11">
        <v>0</v>
      </c>
      <c r="AE615" s="11">
        <v>0</v>
      </c>
      <c r="AF615" s="11">
        <f t="shared" si="26"/>
        <v>0.42</v>
      </c>
      <c r="AG615" s="11">
        <f t="shared" si="25"/>
        <v>7.42</v>
      </c>
      <c r="AH615" t="s">
        <v>51</v>
      </c>
    </row>
    <row r="616" spans="1:34" ht="15" customHeight="1" x14ac:dyDescent="0.35">
      <c r="A616">
        <v>7547676</v>
      </c>
      <c r="B616">
        <v>690929</v>
      </c>
      <c r="C616" t="s">
        <v>34</v>
      </c>
      <c r="D616" t="s">
        <v>35</v>
      </c>
      <c r="E616" s="6" t="s">
        <v>34</v>
      </c>
      <c r="F616" t="s">
        <v>1916</v>
      </c>
      <c r="G616" t="s">
        <v>37</v>
      </c>
      <c r="H616" t="s">
        <v>38</v>
      </c>
      <c r="I616" t="s">
        <v>1917</v>
      </c>
      <c r="J616" t="s">
        <v>40</v>
      </c>
      <c r="K616">
        <v>2</v>
      </c>
      <c r="L616" t="s">
        <v>41</v>
      </c>
      <c r="M616" t="s">
        <v>42</v>
      </c>
      <c r="N616" t="s">
        <v>43</v>
      </c>
      <c r="O616" s="7">
        <v>2</v>
      </c>
      <c r="P616" s="8">
        <v>45358.505185185182</v>
      </c>
      <c r="Q616" s="9">
        <v>45361</v>
      </c>
      <c r="R616" t="s">
        <v>44</v>
      </c>
      <c r="S616" t="s">
        <v>45</v>
      </c>
      <c r="T616" t="s">
        <v>46</v>
      </c>
      <c r="U616" t="s">
        <v>82</v>
      </c>
      <c r="V616" t="s">
        <v>1918</v>
      </c>
      <c r="W616">
        <v>84200</v>
      </c>
      <c r="X616" t="s">
        <v>45</v>
      </c>
      <c r="Y616" t="s">
        <v>1919</v>
      </c>
      <c r="Z616" t="s">
        <v>50</v>
      </c>
      <c r="AA616" s="10">
        <f>IF(O616&lt;=1,7,7+0.8*ROUNDUP(O616-1,0))</f>
        <v>7.8</v>
      </c>
      <c r="AB616" s="11">
        <v>0</v>
      </c>
      <c r="AC616" s="11">
        <v>0</v>
      </c>
      <c r="AD616" s="11">
        <v>0</v>
      </c>
      <c r="AE616" s="11">
        <v>0</v>
      </c>
      <c r="AF616" s="11">
        <f t="shared" si="26"/>
        <v>0.46799999999999997</v>
      </c>
      <c r="AG616" s="11">
        <f t="shared" si="25"/>
        <v>8.2680000000000007</v>
      </c>
      <c r="AH616" t="s">
        <v>51</v>
      </c>
    </row>
    <row r="617" spans="1:34" ht="15" customHeight="1" x14ac:dyDescent="0.35">
      <c r="A617">
        <v>7547676</v>
      </c>
      <c r="B617">
        <v>690929</v>
      </c>
      <c r="C617" t="s">
        <v>34</v>
      </c>
      <c r="D617" t="s">
        <v>35</v>
      </c>
      <c r="E617" s="6" t="s">
        <v>34</v>
      </c>
      <c r="F617" t="s">
        <v>1920</v>
      </c>
      <c r="G617" t="s">
        <v>37</v>
      </c>
      <c r="H617" t="s">
        <v>38</v>
      </c>
      <c r="I617" t="s">
        <v>1921</v>
      </c>
      <c r="J617" t="s">
        <v>40</v>
      </c>
      <c r="K617">
        <v>2</v>
      </c>
      <c r="L617" t="s">
        <v>41</v>
      </c>
      <c r="M617" t="s">
        <v>42</v>
      </c>
      <c r="N617" t="s">
        <v>43</v>
      </c>
      <c r="O617" s="7">
        <v>7</v>
      </c>
      <c r="P617" s="8">
        <v>45356.612962962965</v>
      </c>
      <c r="Q617" s="9">
        <v>45361</v>
      </c>
      <c r="R617" t="s">
        <v>44</v>
      </c>
      <c r="S617" t="s">
        <v>45</v>
      </c>
      <c r="T617" t="s">
        <v>46</v>
      </c>
      <c r="U617" t="s">
        <v>112</v>
      </c>
      <c r="V617" t="s">
        <v>1922</v>
      </c>
      <c r="W617">
        <v>91000</v>
      </c>
      <c r="X617" t="s">
        <v>114</v>
      </c>
      <c r="Y617" t="s">
        <v>1923</v>
      </c>
      <c r="Z617" t="s">
        <v>50</v>
      </c>
      <c r="AA617" s="12">
        <f>IF(O617&lt;=1,13,IF(O617&lt;=2,23,IF(O617&lt;=3,35,IF(O617&lt;=4,43,IF(O617&lt;=5,53,IF(O617&lt;=6,63,IF(O617&lt;=7,71,IF(O617&lt;=8,79,IF(O617&lt;=9,87,IF(O617&lt;=10,95,IF(O617&lt;=11,105,IF(O617&lt;=12,114,IF(O617&lt;=13,119,IF(O617&lt;=14,127,IF(O617&lt;=15,135,IF(O617&lt;=16,143,IF(O617&lt;=17,153,IF(O617&lt;=18,163,IF(O617&lt;=19,171,IF(O617&lt;=20,185,IF(O617&lt;=21,193,IF(O617&lt;=22,201,IF(O617&lt;=23,210,IF(O617&lt;=24,220,IF(O617&lt;=25,230,IF(O617&lt;=26,240,IF(O617&lt;=27,250,IF(O617&lt;=28,260,IF(O617&lt;=29,270,IF(O617&lt;=30,280,280+10*ROUNDUP(O617-30,0)))))))))))))))))))))))))))))))</f>
        <v>71</v>
      </c>
      <c r="AB617" s="11">
        <v>0</v>
      </c>
      <c r="AC617" s="11">
        <v>0</v>
      </c>
      <c r="AD617" s="11">
        <v>0</v>
      </c>
      <c r="AE617" s="11">
        <v>0</v>
      </c>
      <c r="AF617" s="11">
        <f t="shared" si="26"/>
        <v>4.26</v>
      </c>
      <c r="AG617" s="11">
        <f t="shared" si="25"/>
        <v>75.260000000000005</v>
      </c>
      <c r="AH617" t="s">
        <v>116</v>
      </c>
    </row>
    <row r="618" spans="1:34" ht="15" customHeight="1" x14ac:dyDescent="0.35">
      <c r="A618">
        <v>7547676</v>
      </c>
      <c r="B618">
        <v>690929</v>
      </c>
      <c r="C618" t="s">
        <v>34</v>
      </c>
      <c r="D618" t="s">
        <v>35</v>
      </c>
      <c r="E618" s="6" t="s">
        <v>34</v>
      </c>
      <c r="F618" t="s">
        <v>1924</v>
      </c>
      <c r="G618" t="s">
        <v>37</v>
      </c>
      <c r="H618" t="s">
        <v>38</v>
      </c>
      <c r="I618" t="s">
        <v>1925</v>
      </c>
      <c r="J618" t="s">
        <v>40</v>
      </c>
      <c r="K618">
        <v>2</v>
      </c>
      <c r="L618" t="s">
        <v>41</v>
      </c>
      <c r="M618" t="s">
        <v>42</v>
      </c>
      <c r="N618" t="s">
        <v>43</v>
      </c>
      <c r="O618" s="7">
        <v>1</v>
      </c>
      <c r="P618" s="8">
        <v>45357.539282407408</v>
      </c>
      <c r="Q618" s="9">
        <v>45361</v>
      </c>
      <c r="R618" t="s">
        <v>287</v>
      </c>
      <c r="S618" t="s">
        <v>45</v>
      </c>
      <c r="T618" t="s">
        <v>46</v>
      </c>
      <c r="U618" t="s">
        <v>134</v>
      </c>
      <c r="V618" t="s">
        <v>1926</v>
      </c>
      <c r="W618">
        <v>5200</v>
      </c>
      <c r="X618" t="s">
        <v>45</v>
      </c>
      <c r="Y618" t="s">
        <v>79</v>
      </c>
      <c r="Z618" t="s">
        <v>50</v>
      </c>
      <c r="AA618" s="10">
        <f>IF(O618&lt;=1,7,7+0.8*ROUNDUP(O618-1,0))</f>
        <v>7</v>
      </c>
      <c r="AB618" s="11">
        <v>0</v>
      </c>
      <c r="AC618" s="11">
        <v>0</v>
      </c>
      <c r="AD618" s="11">
        <v>0</v>
      </c>
      <c r="AE618" s="11">
        <v>0</v>
      </c>
      <c r="AF618" s="11">
        <f t="shared" si="26"/>
        <v>0.42</v>
      </c>
      <c r="AG618" s="11">
        <f t="shared" si="25"/>
        <v>7.42</v>
      </c>
      <c r="AH618" t="s">
        <v>51</v>
      </c>
    </row>
    <row r="619" spans="1:34" ht="15" customHeight="1" x14ac:dyDescent="0.35">
      <c r="A619">
        <v>7547676</v>
      </c>
      <c r="B619">
        <v>690929</v>
      </c>
      <c r="C619" t="s">
        <v>34</v>
      </c>
      <c r="D619" t="s">
        <v>35</v>
      </c>
      <c r="E619" s="6" t="s">
        <v>34</v>
      </c>
      <c r="F619" t="s">
        <v>1927</v>
      </c>
      <c r="G619" t="s">
        <v>37</v>
      </c>
      <c r="H619" t="s">
        <v>38</v>
      </c>
      <c r="I619" t="s">
        <v>1928</v>
      </c>
      <c r="J619" t="s">
        <v>40</v>
      </c>
      <c r="K619">
        <v>2</v>
      </c>
      <c r="L619" t="s">
        <v>41</v>
      </c>
      <c r="M619" t="s">
        <v>42</v>
      </c>
      <c r="N619" t="s">
        <v>43</v>
      </c>
      <c r="O619" s="7">
        <v>1</v>
      </c>
      <c r="P619" s="8">
        <v>45360.651805555557</v>
      </c>
      <c r="Q619" s="9">
        <v>45361</v>
      </c>
      <c r="R619" t="s">
        <v>287</v>
      </c>
      <c r="S619" t="s">
        <v>45</v>
      </c>
      <c r="T619" t="s">
        <v>46</v>
      </c>
      <c r="U619" t="s">
        <v>99</v>
      </c>
      <c r="V619" t="s">
        <v>1929</v>
      </c>
      <c r="W619">
        <v>17050</v>
      </c>
      <c r="X619" t="s">
        <v>45</v>
      </c>
      <c r="Y619" t="s">
        <v>156</v>
      </c>
      <c r="Z619" t="s">
        <v>50</v>
      </c>
      <c r="AA619" s="10">
        <f>IF(O619&lt;=1,7,7+0.8*ROUNDUP(O619-1,0))</f>
        <v>7</v>
      </c>
      <c r="AB619" s="11">
        <v>0</v>
      </c>
      <c r="AC619" s="11">
        <v>0</v>
      </c>
      <c r="AD619" s="11">
        <v>0</v>
      </c>
      <c r="AE619" s="11">
        <v>0</v>
      </c>
      <c r="AF619" s="11">
        <f t="shared" si="26"/>
        <v>0.42</v>
      </c>
      <c r="AG619" s="11">
        <f t="shared" si="25"/>
        <v>7.42</v>
      </c>
      <c r="AH619" t="s">
        <v>51</v>
      </c>
    </row>
    <row r="620" spans="1:34" ht="15" customHeight="1" x14ac:dyDescent="0.35">
      <c r="A620">
        <v>7547676</v>
      </c>
      <c r="B620">
        <v>690929</v>
      </c>
      <c r="C620" t="s">
        <v>34</v>
      </c>
      <c r="D620" t="s">
        <v>35</v>
      </c>
      <c r="E620" s="6" t="s">
        <v>34</v>
      </c>
      <c r="F620" t="s">
        <v>1930</v>
      </c>
      <c r="G620" t="s">
        <v>37</v>
      </c>
      <c r="H620" t="s">
        <v>38</v>
      </c>
      <c r="I620" t="s">
        <v>1931</v>
      </c>
      <c r="J620" t="s">
        <v>40</v>
      </c>
      <c r="K620">
        <v>2</v>
      </c>
      <c r="L620" t="s">
        <v>41</v>
      </c>
      <c r="M620" t="s">
        <v>42</v>
      </c>
      <c r="N620" t="s">
        <v>43</v>
      </c>
      <c r="O620" s="7">
        <v>3</v>
      </c>
      <c r="P620" s="8">
        <v>45358.706458333334</v>
      </c>
      <c r="Q620" s="9">
        <v>45361</v>
      </c>
      <c r="R620" t="s">
        <v>44</v>
      </c>
      <c r="S620" t="s">
        <v>45</v>
      </c>
      <c r="T620" t="s">
        <v>46</v>
      </c>
      <c r="U620" t="s">
        <v>82</v>
      </c>
      <c r="V620" t="s">
        <v>1932</v>
      </c>
      <c r="W620">
        <v>86810</v>
      </c>
      <c r="X620" t="s">
        <v>45</v>
      </c>
      <c r="Y620" t="s">
        <v>627</v>
      </c>
      <c r="Z620" t="s">
        <v>50</v>
      </c>
      <c r="AA620" s="10">
        <f>IF(O620&lt;=1,7,7+0.8*ROUNDUP(O620-1,0))</f>
        <v>8.6</v>
      </c>
      <c r="AB620" s="11">
        <v>0</v>
      </c>
      <c r="AC620" s="11">
        <v>0</v>
      </c>
      <c r="AD620" s="11">
        <v>0</v>
      </c>
      <c r="AE620" s="11">
        <v>0</v>
      </c>
      <c r="AF620" s="11">
        <f t="shared" si="26"/>
        <v>0.51600000000000001</v>
      </c>
      <c r="AG620" s="11">
        <f t="shared" si="25"/>
        <v>9.1159999999999997</v>
      </c>
      <c r="AH620" t="s">
        <v>51</v>
      </c>
    </row>
    <row r="621" spans="1:34" ht="15" customHeight="1" x14ac:dyDescent="0.35">
      <c r="A621">
        <v>7547676</v>
      </c>
      <c r="B621">
        <v>690929</v>
      </c>
      <c r="C621" t="s">
        <v>34</v>
      </c>
      <c r="D621" t="s">
        <v>35</v>
      </c>
      <c r="E621" s="6" t="s">
        <v>34</v>
      </c>
      <c r="F621" t="s">
        <v>1933</v>
      </c>
      <c r="G621" t="s">
        <v>37</v>
      </c>
      <c r="H621" t="s">
        <v>38</v>
      </c>
      <c r="I621" t="s">
        <v>1934</v>
      </c>
      <c r="J621" t="s">
        <v>40</v>
      </c>
      <c r="K621">
        <v>2</v>
      </c>
      <c r="L621" t="s">
        <v>41</v>
      </c>
      <c r="M621" t="s">
        <v>42</v>
      </c>
      <c r="N621" t="s">
        <v>43</v>
      </c>
      <c r="O621" s="7">
        <v>9</v>
      </c>
      <c r="P621" s="8">
        <v>45358.768703703703</v>
      </c>
      <c r="Q621" s="9">
        <v>45361</v>
      </c>
      <c r="R621" t="s">
        <v>287</v>
      </c>
      <c r="S621" t="s">
        <v>45</v>
      </c>
      <c r="T621" t="s">
        <v>46</v>
      </c>
      <c r="U621" t="s">
        <v>103</v>
      </c>
      <c r="V621" t="s">
        <v>1935</v>
      </c>
      <c r="W621">
        <v>2400</v>
      </c>
      <c r="X621" t="s">
        <v>45</v>
      </c>
      <c r="Y621" t="s">
        <v>1128</v>
      </c>
      <c r="Z621" t="s">
        <v>50</v>
      </c>
      <c r="AA621" s="10">
        <f>IF(O621&lt;=1,7,7+0.8*ROUNDUP(O621-1,0))</f>
        <v>13.4</v>
      </c>
      <c r="AB621" s="11">
        <v>0</v>
      </c>
      <c r="AC621" s="11">
        <v>0</v>
      </c>
      <c r="AD621" s="11">
        <v>0</v>
      </c>
      <c r="AE621" s="11">
        <v>0</v>
      </c>
      <c r="AF621" s="11">
        <f t="shared" si="26"/>
        <v>0.80399999999999994</v>
      </c>
      <c r="AG621" s="11">
        <f t="shared" si="25"/>
        <v>14.204000000000001</v>
      </c>
      <c r="AH621" t="s">
        <v>51</v>
      </c>
    </row>
    <row r="622" spans="1:34" ht="15" customHeight="1" x14ac:dyDescent="0.35">
      <c r="A622">
        <v>7547676</v>
      </c>
      <c r="B622">
        <v>690929</v>
      </c>
      <c r="C622" t="s">
        <v>34</v>
      </c>
      <c r="D622" t="s">
        <v>35</v>
      </c>
      <c r="E622" s="6" t="s">
        <v>34</v>
      </c>
      <c r="F622" t="s">
        <v>1936</v>
      </c>
      <c r="G622" t="s">
        <v>37</v>
      </c>
      <c r="H622" t="s">
        <v>38</v>
      </c>
      <c r="I622" t="s">
        <v>1937</v>
      </c>
      <c r="J622" t="s">
        <v>40</v>
      </c>
      <c r="K622">
        <v>2</v>
      </c>
      <c r="L622" t="s">
        <v>41</v>
      </c>
      <c r="M622" t="s">
        <v>42</v>
      </c>
      <c r="N622" t="s">
        <v>43</v>
      </c>
      <c r="O622" s="7">
        <v>2</v>
      </c>
      <c r="P622" s="8">
        <v>45357.874131944445</v>
      </c>
      <c r="Q622" s="9">
        <v>45361</v>
      </c>
      <c r="R622" t="s">
        <v>44</v>
      </c>
      <c r="S622" t="s">
        <v>45</v>
      </c>
      <c r="T622" t="s">
        <v>46</v>
      </c>
      <c r="U622" t="s">
        <v>172</v>
      </c>
      <c r="V622" t="s">
        <v>1938</v>
      </c>
      <c r="W622">
        <v>31200</v>
      </c>
      <c r="X622" t="s">
        <v>45</v>
      </c>
      <c r="Y622" t="s">
        <v>79</v>
      </c>
      <c r="Z622" t="s">
        <v>50</v>
      </c>
      <c r="AA622" s="10">
        <f>IF(O622&lt;=1,7,7+0.8*ROUNDUP(O622-1,0))</f>
        <v>7.8</v>
      </c>
      <c r="AB622" s="11">
        <v>0</v>
      </c>
      <c r="AC622" s="11">
        <v>0</v>
      </c>
      <c r="AD622" s="11">
        <v>0</v>
      </c>
      <c r="AE622" s="11">
        <v>0</v>
      </c>
      <c r="AF622" s="11">
        <f t="shared" si="26"/>
        <v>0.46799999999999997</v>
      </c>
      <c r="AG622" s="11">
        <f t="shared" si="25"/>
        <v>8.2680000000000007</v>
      </c>
      <c r="AH622" t="s">
        <v>51</v>
      </c>
    </row>
    <row r="623" spans="1:34" ht="15" customHeight="1" x14ac:dyDescent="0.35">
      <c r="A623">
        <v>7547676</v>
      </c>
      <c r="B623">
        <v>690929</v>
      </c>
      <c r="C623" t="s">
        <v>34</v>
      </c>
      <c r="D623" t="s">
        <v>35</v>
      </c>
      <c r="E623" s="6" t="s">
        <v>34</v>
      </c>
      <c r="F623" t="s">
        <v>1939</v>
      </c>
      <c r="G623" t="s">
        <v>37</v>
      </c>
      <c r="H623" t="s">
        <v>38</v>
      </c>
      <c r="I623" t="s">
        <v>1940</v>
      </c>
      <c r="J623" t="s">
        <v>40</v>
      </c>
      <c r="K623">
        <v>2</v>
      </c>
      <c r="L623" t="s">
        <v>41</v>
      </c>
      <c r="M623" t="s">
        <v>42</v>
      </c>
      <c r="N623" t="s">
        <v>43</v>
      </c>
      <c r="O623" s="7">
        <v>1</v>
      </c>
      <c r="P623" s="8">
        <v>45358.423935185187</v>
      </c>
      <c r="Q623" s="9">
        <v>45361</v>
      </c>
      <c r="R623" t="s">
        <v>44</v>
      </c>
      <c r="S623" t="s">
        <v>45</v>
      </c>
      <c r="T623" t="s">
        <v>46</v>
      </c>
      <c r="U623" t="s">
        <v>172</v>
      </c>
      <c r="V623" t="s">
        <v>1941</v>
      </c>
      <c r="W623">
        <v>35500</v>
      </c>
      <c r="X623" t="s">
        <v>45</v>
      </c>
      <c r="Y623" t="s">
        <v>956</v>
      </c>
      <c r="Z623" t="s">
        <v>50</v>
      </c>
      <c r="AA623" s="10">
        <f>IF(O623&lt;=1,7,7+0.8*ROUNDUP(O623-1,0))</f>
        <v>7</v>
      </c>
      <c r="AB623" s="11">
        <v>0</v>
      </c>
      <c r="AC623" s="11">
        <v>0</v>
      </c>
      <c r="AD623" s="11">
        <v>0</v>
      </c>
      <c r="AE623" s="11">
        <v>0</v>
      </c>
      <c r="AF623" s="11">
        <f t="shared" si="26"/>
        <v>0.42</v>
      </c>
      <c r="AG623" s="11">
        <f t="shared" si="25"/>
        <v>7.42</v>
      </c>
      <c r="AH623" t="s">
        <v>51</v>
      </c>
    </row>
    <row r="624" spans="1:34" ht="15" customHeight="1" x14ac:dyDescent="0.35">
      <c r="A624">
        <v>7547676</v>
      </c>
      <c r="B624">
        <v>690929</v>
      </c>
      <c r="C624" t="s">
        <v>34</v>
      </c>
      <c r="D624" t="s">
        <v>35</v>
      </c>
      <c r="E624" s="6" t="s">
        <v>34</v>
      </c>
      <c r="F624" t="s">
        <v>1942</v>
      </c>
      <c r="G624" t="s">
        <v>37</v>
      </c>
      <c r="H624" t="s">
        <v>38</v>
      </c>
      <c r="I624" t="s">
        <v>1943</v>
      </c>
      <c r="J624" t="s">
        <v>40</v>
      </c>
      <c r="K624">
        <v>2</v>
      </c>
      <c r="L624" t="s">
        <v>41</v>
      </c>
      <c r="M624" t="s">
        <v>42</v>
      </c>
      <c r="N624" t="s">
        <v>43</v>
      </c>
      <c r="O624" s="7">
        <v>1</v>
      </c>
      <c r="P624" s="8">
        <v>45360.651805555557</v>
      </c>
      <c r="Q624" s="9">
        <v>45361</v>
      </c>
      <c r="R624" t="s">
        <v>287</v>
      </c>
      <c r="S624" t="s">
        <v>45</v>
      </c>
      <c r="T624" t="s">
        <v>46</v>
      </c>
      <c r="U624" t="s">
        <v>99</v>
      </c>
      <c r="V624" t="s">
        <v>1944</v>
      </c>
      <c r="W624">
        <v>15200</v>
      </c>
      <c r="X624" t="s">
        <v>45</v>
      </c>
      <c r="Y624" t="s">
        <v>156</v>
      </c>
      <c r="Z624" t="s">
        <v>50</v>
      </c>
      <c r="AA624" s="10">
        <f>IF(O624&lt;=1,7,7+0.8*ROUNDUP(O624-1,0))</f>
        <v>7</v>
      </c>
      <c r="AB624" s="11">
        <v>0</v>
      </c>
      <c r="AC624" s="11">
        <v>0</v>
      </c>
      <c r="AD624" s="11">
        <v>0</v>
      </c>
      <c r="AE624" s="11">
        <v>0</v>
      </c>
      <c r="AF624" s="11">
        <f t="shared" si="26"/>
        <v>0.42</v>
      </c>
      <c r="AG624" s="11">
        <f t="shared" si="25"/>
        <v>7.42</v>
      </c>
      <c r="AH624" t="s">
        <v>51</v>
      </c>
    </row>
    <row r="625" spans="1:34" ht="15" customHeight="1" x14ac:dyDescent="0.35">
      <c r="A625">
        <v>7547676</v>
      </c>
      <c r="B625">
        <v>690929</v>
      </c>
      <c r="C625" t="s">
        <v>34</v>
      </c>
      <c r="D625" t="s">
        <v>35</v>
      </c>
      <c r="E625" s="6" t="s">
        <v>34</v>
      </c>
      <c r="F625" t="s">
        <v>1945</v>
      </c>
      <c r="G625" t="s">
        <v>37</v>
      </c>
      <c r="H625" t="s">
        <v>38</v>
      </c>
      <c r="I625" t="s">
        <v>1946</v>
      </c>
      <c r="J625" t="s">
        <v>40</v>
      </c>
      <c r="K625">
        <v>2</v>
      </c>
      <c r="L625" t="s">
        <v>41</v>
      </c>
      <c r="M625" t="s">
        <v>42</v>
      </c>
      <c r="N625" t="s">
        <v>43</v>
      </c>
      <c r="O625" s="7">
        <v>1</v>
      </c>
      <c r="P625" s="8">
        <v>45360.696932870371</v>
      </c>
      <c r="Q625" s="9">
        <v>45361</v>
      </c>
      <c r="R625" t="s">
        <v>287</v>
      </c>
      <c r="S625" t="s">
        <v>45</v>
      </c>
      <c r="T625" t="s">
        <v>46</v>
      </c>
      <c r="U625" t="s">
        <v>99</v>
      </c>
      <c r="V625" t="s">
        <v>1947</v>
      </c>
      <c r="W625">
        <v>16450</v>
      </c>
      <c r="X625" t="s">
        <v>45</v>
      </c>
      <c r="Y625" t="s">
        <v>156</v>
      </c>
      <c r="Z625" t="s">
        <v>50</v>
      </c>
      <c r="AA625" s="10">
        <f>IF(O625&lt;=1,7,7+0.8*ROUNDUP(O625-1,0))</f>
        <v>7</v>
      </c>
      <c r="AB625" s="11">
        <v>0</v>
      </c>
      <c r="AC625" s="11">
        <v>0</v>
      </c>
      <c r="AD625" s="11">
        <v>0</v>
      </c>
      <c r="AE625" s="11">
        <v>0</v>
      </c>
      <c r="AF625" s="11">
        <f t="shared" si="26"/>
        <v>0.42</v>
      </c>
      <c r="AG625" s="11">
        <f t="shared" si="25"/>
        <v>7.42</v>
      </c>
      <c r="AH625" t="s">
        <v>51</v>
      </c>
    </row>
    <row r="626" spans="1:34" ht="15" customHeight="1" x14ac:dyDescent="0.35">
      <c r="A626">
        <v>7547676</v>
      </c>
      <c r="B626">
        <v>690929</v>
      </c>
      <c r="C626" t="s">
        <v>34</v>
      </c>
      <c r="D626" t="s">
        <v>35</v>
      </c>
      <c r="E626" s="6" t="s">
        <v>34</v>
      </c>
      <c r="F626" t="s">
        <v>1948</v>
      </c>
      <c r="G626" t="s">
        <v>37</v>
      </c>
      <c r="H626" t="s">
        <v>38</v>
      </c>
      <c r="I626" t="s">
        <v>1949</v>
      </c>
      <c r="J626" t="s">
        <v>40</v>
      </c>
      <c r="K626">
        <v>2</v>
      </c>
      <c r="L626" t="s">
        <v>41</v>
      </c>
      <c r="M626" t="s">
        <v>42</v>
      </c>
      <c r="N626" t="s">
        <v>43</v>
      </c>
      <c r="O626" s="7">
        <v>4</v>
      </c>
      <c r="P626" s="8">
        <v>45360.696932870371</v>
      </c>
      <c r="Q626" s="9">
        <v>45361</v>
      </c>
      <c r="R626" t="s">
        <v>44</v>
      </c>
      <c r="S626" t="s">
        <v>45</v>
      </c>
      <c r="T626" t="s">
        <v>46</v>
      </c>
      <c r="U626" t="s">
        <v>47</v>
      </c>
      <c r="V626" t="s">
        <v>1950</v>
      </c>
      <c r="W626">
        <v>23100</v>
      </c>
      <c r="X626" t="s">
        <v>45</v>
      </c>
      <c r="Y626" t="s">
        <v>547</v>
      </c>
      <c r="Z626" t="s">
        <v>50</v>
      </c>
      <c r="AA626" s="10">
        <f>IF(O626&lt;=1,7,7+0.8*ROUNDUP(O626-1,0))</f>
        <v>9.4</v>
      </c>
      <c r="AB626" s="11">
        <v>0</v>
      </c>
      <c r="AC626" s="11">
        <v>0</v>
      </c>
      <c r="AD626" s="11">
        <v>0</v>
      </c>
      <c r="AE626" s="11">
        <v>0</v>
      </c>
      <c r="AF626" s="11">
        <f t="shared" si="26"/>
        <v>0.56399999999999995</v>
      </c>
      <c r="AG626" s="11">
        <f t="shared" si="25"/>
        <v>9.9640000000000004</v>
      </c>
      <c r="AH626" t="s">
        <v>51</v>
      </c>
    </row>
    <row r="627" spans="1:34" ht="15" customHeight="1" x14ac:dyDescent="0.35">
      <c r="A627">
        <v>7547676</v>
      </c>
      <c r="B627">
        <v>690929</v>
      </c>
      <c r="C627" t="s">
        <v>34</v>
      </c>
      <c r="D627" t="s">
        <v>35</v>
      </c>
      <c r="E627" s="6" t="s">
        <v>34</v>
      </c>
      <c r="F627" t="s">
        <v>1951</v>
      </c>
      <c r="G627" t="s">
        <v>37</v>
      </c>
      <c r="H627" t="s">
        <v>38</v>
      </c>
      <c r="I627" t="s">
        <v>1952</v>
      </c>
      <c r="J627" t="s">
        <v>40</v>
      </c>
      <c r="K627">
        <v>2</v>
      </c>
      <c r="L627" t="s">
        <v>41</v>
      </c>
      <c r="M627" t="s">
        <v>42</v>
      </c>
      <c r="N627" t="s">
        <v>43</v>
      </c>
      <c r="O627" s="7">
        <v>1</v>
      </c>
      <c r="P627" s="8">
        <v>45360.651805555557</v>
      </c>
      <c r="Q627" s="9">
        <v>45361</v>
      </c>
      <c r="R627" t="s">
        <v>287</v>
      </c>
      <c r="S627" t="s">
        <v>45</v>
      </c>
      <c r="T627" t="s">
        <v>46</v>
      </c>
      <c r="U627" t="s">
        <v>47</v>
      </c>
      <c r="V627" t="s">
        <v>1953</v>
      </c>
      <c r="W627">
        <v>23000</v>
      </c>
      <c r="X627" t="s">
        <v>45</v>
      </c>
      <c r="Y627" t="s">
        <v>49</v>
      </c>
      <c r="Z627" t="s">
        <v>50</v>
      </c>
      <c r="AA627" s="10">
        <f>IF(O627&lt;=1,7,7+0.8*ROUNDUP(O627-1,0))</f>
        <v>7</v>
      </c>
      <c r="AB627" s="11">
        <v>0</v>
      </c>
      <c r="AC627" s="11">
        <v>0</v>
      </c>
      <c r="AD627" s="11">
        <v>0</v>
      </c>
      <c r="AE627" s="11">
        <v>0</v>
      </c>
      <c r="AF627" s="11">
        <f t="shared" si="26"/>
        <v>0.42</v>
      </c>
      <c r="AG627" s="11">
        <f t="shared" si="25"/>
        <v>7.42</v>
      </c>
      <c r="AH627" t="s">
        <v>51</v>
      </c>
    </row>
    <row r="628" spans="1:34" ht="15" customHeight="1" x14ac:dyDescent="0.35">
      <c r="A628">
        <v>7547676</v>
      </c>
      <c r="B628">
        <v>690929</v>
      </c>
      <c r="C628" t="s">
        <v>34</v>
      </c>
      <c r="D628" t="s">
        <v>35</v>
      </c>
      <c r="E628" s="6" t="s">
        <v>34</v>
      </c>
      <c r="F628" t="s">
        <v>1954</v>
      </c>
      <c r="G628" t="s">
        <v>37</v>
      </c>
      <c r="H628" t="s">
        <v>38</v>
      </c>
      <c r="I628" t="s">
        <v>1955</v>
      </c>
      <c r="J628" t="s">
        <v>40</v>
      </c>
      <c r="K628">
        <v>2</v>
      </c>
      <c r="L628" t="s">
        <v>41</v>
      </c>
      <c r="M628" t="s">
        <v>42</v>
      </c>
      <c r="N628" t="s">
        <v>43</v>
      </c>
      <c r="O628" s="7">
        <v>1</v>
      </c>
      <c r="P628" s="8">
        <v>45356.836898148147</v>
      </c>
      <c r="Q628" s="9">
        <v>45361</v>
      </c>
      <c r="R628" t="s">
        <v>287</v>
      </c>
      <c r="S628" t="s">
        <v>45</v>
      </c>
      <c r="T628" t="s">
        <v>46</v>
      </c>
      <c r="U628" t="s">
        <v>54</v>
      </c>
      <c r="V628" t="s">
        <v>1956</v>
      </c>
      <c r="W628">
        <v>53100</v>
      </c>
      <c r="X628" t="s">
        <v>45</v>
      </c>
      <c r="Y628" t="s">
        <v>79</v>
      </c>
      <c r="Z628" t="s">
        <v>50</v>
      </c>
      <c r="AA628" s="10">
        <f>IF(O628&lt;=1,7,7+0.8*ROUNDUP(O628-1,0))</f>
        <v>7</v>
      </c>
      <c r="AB628" s="11">
        <v>0</v>
      </c>
      <c r="AC628" s="11">
        <v>0</v>
      </c>
      <c r="AD628" s="11">
        <v>0</v>
      </c>
      <c r="AE628" s="11">
        <v>0</v>
      </c>
      <c r="AF628" s="11">
        <f t="shared" si="26"/>
        <v>0.42</v>
      </c>
      <c r="AG628" s="11">
        <f t="shared" si="25"/>
        <v>7.42</v>
      </c>
      <c r="AH628" t="s">
        <v>51</v>
      </c>
    </row>
    <row r="629" spans="1:34" ht="15" customHeight="1" x14ac:dyDescent="0.35">
      <c r="A629">
        <v>7547676</v>
      </c>
      <c r="B629">
        <v>690929</v>
      </c>
      <c r="C629" t="s">
        <v>34</v>
      </c>
      <c r="D629" t="s">
        <v>35</v>
      </c>
      <c r="E629" s="6" t="s">
        <v>34</v>
      </c>
      <c r="F629" t="s">
        <v>1957</v>
      </c>
      <c r="G629" t="s">
        <v>37</v>
      </c>
      <c r="H629" t="s">
        <v>38</v>
      </c>
      <c r="I629" t="s">
        <v>1416</v>
      </c>
      <c r="J629" t="s">
        <v>40</v>
      </c>
      <c r="K629">
        <v>2</v>
      </c>
      <c r="L629" t="s">
        <v>41</v>
      </c>
      <c r="M629" t="s">
        <v>42</v>
      </c>
      <c r="N629" t="s">
        <v>43</v>
      </c>
      <c r="O629" s="7">
        <v>4</v>
      </c>
      <c r="P629" s="8">
        <v>45360.601967592593</v>
      </c>
      <c r="Q629" s="9">
        <v>45362</v>
      </c>
      <c r="R629" t="s">
        <v>44</v>
      </c>
      <c r="S629" t="s">
        <v>45</v>
      </c>
      <c r="T629" t="s">
        <v>46</v>
      </c>
      <c r="U629" t="s">
        <v>82</v>
      </c>
      <c r="V629" t="s">
        <v>1417</v>
      </c>
      <c r="W629">
        <v>81000</v>
      </c>
      <c r="X629" t="s">
        <v>45</v>
      </c>
      <c r="Y629" t="s">
        <v>970</v>
      </c>
      <c r="Z629" t="s">
        <v>50</v>
      </c>
      <c r="AA629" s="10">
        <f>IF(O629&lt;=1,7,7+0.8*ROUNDUP(O629-1,0))</f>
        <v>9.4</v>
      </c>
      <c r="AB629" s="11">
        <v>0</v>
      </c>
      <c r="AC629" s="11">
        <v>0</v>
      </c>
      <c r="AD629" s="11">
        <v>0</v>
      </c>
      <c r="AE629" s="11">
        <v>0</v>
      </c>
      <c r="AF629" s="11">
        <f t="shared" si="26"/>
        <v>0.56399999999999995</v>
      </c>
      <c r="AG629" s="11">
        <f t="shared" si="25"/>
        <v>9.9640000000000004</v>
      </c>
      <c r="AH629" t="s">
        <v>51</v>
      </c>
    </row>
    <row r="630" spans="1:34" ht="15" customHeight="1" x14ac:dyDescent="0.35">
      <c r="A630">
        <v>7547676</v>
      </c>
      <c r="B630">
        <v>690929</v>
      </c>
      <c r="C630" t="s">
        <v>34</v>
      </c>
      <c r="D630" t="s">
        <v>35</v>
      </c>
      <c r="E630" s="6" t="s">
        <v>34</v>
      </c>
      <c r="F630" t="s">
        <v>1958</v>
      </c>
      <c r="G630" t="s">
        <v>37</v>
      </c>
      <c r="H630" t="s">
        <v>38</v>
      </c>
      <c r="I630" t="s">
        <v>1959</v>
      </c>
      <c r="J630" t="s">
        <v>40</v>
      </c>
      <c r="K630">
        <v>2</v>
      </c>
      <c r="L630" t="s">
        <v>41</v>
      </c>
      <c r="M630" t="s">
        <v>42</v>
      </c>
      <c r="N630" t="s">
        <v>43</v>
      </c>
      <c r="O630" s="7">
        <v>1</v>
      </c>
      <c r="P630" s="8">
        <v>45359.409895833334</v>
      </c>
      <c r="Q630" s="9">
        <v>45362</v>
      </c>
      <c r="R630" t="s">
        <v>287</v>
      </c>
      <c r="S630" t="s">
        <v>45</v>
      </c>
      <c r="T630" t="s">
        <v>46</v>
      </c>
      <c r="U630" t="s">
        <v>172</v>
      </c>
      <c r="V630" t="s">
        <v>1960</v>
      </c>
      <c r="W630">
        <v>34700</v>
      </c>
      <c r="X630" t="s">
        <v>45</v>
      </c>
      <c r="Y630" t="s">
        <v>79</v>
      </c>
      <c r="Z630" t="s">
        <v>50</v>
      </c>
      <c r="AA630" s="10">
        <f>IF(O630&lt;=1,7,7+0.8*ROUNDUP(O630-1,0))</f>
        <v>7</v>
      </c>
      <c r="AB630" s="11">
        <v>0</v>
      </c>
      <c r="AC630" s="11">
        <v>0</v>
      </c>
      <c r="AD630" s="11">
        <v>0</v>
      </c>
      <c r="AE630" s="11">
        <v>0</v>
      </c>
      <c r="AF630" s="11">
        <f t="shared" si="26"/>
        <v>0.42</v>
      </c>
      <c r="AG630" s="11">
        <f t="shared" si="25"/>
        <v>7.42</v>
      </c>
      <c r="AH630" t="s">
        <v>51</v>
      </c>
    </row>
    <row r="631" spans="1:34" ht="15" customHeight="1" x14ac:dyDescent="0.35">
      <c r="A631">
        <v>7547676</v>
      </c>
      <c r="B631">
        <v>690929</v>
      </c>
      <c r="C631" t="s">
        <v>34</v>
      </c>
      <c r="D631" t="s">
        <v>35</v>
      </c>
      <c r="E631" s="6" t="s">
        <v>34</v>
      </c>
      <c r="F631" t="s">
        <v>1961</v>
      </c>
      <c r="G631" t="s">
        <v>37</v>
      </c>
      <c r="H631" t="s">
        <v>38</v>
      </c>
      <c r="I631" t="s">
        <v>222</v>
      </c>
      <c r="J631" t="s">
        <v>40</v>
      </c>
      <c r="K631">
        <v>2</v>
      </c>
      <c r="L631" t="s">
        <v>41</v>
      </c>
      <c r="M631" t="s">
        <v>42</v>
      </c>
      <c r="N631" t="s">
        <v>43</v>
      </c>
      <c r="O631" s="7">
        <v>3</v>
      </c>
      <c r="P631" s="8">
        <v>45361.490381944444</v>
      </c>
      <c r="Q631" s="9">
        <v>45362</v>
      </c>
      <c r="R631" t="s">
        <v>44</v>
      </c>
      <c r="S631" t="s">
        <v>45</v>
      </c>
      <c r="T631" t="s">
        <v>46</v>
      </c>
      <c r="U631" t="s">
        <v>190</v>
      </c>
      <c r="V631" t="s">
        <v>223</v>
      </c>
      <c r="W631">
        <v>28000</v>
      </c>
      <c r="X631" t="s">
        <v>45</v>
      </c>
      <c r="Y631" t="s">
        <v>224</v>
      </c>
      <c r="Z631" t="s">
        <v>50</v>
      </c>
      <c r="AA631" s="10">
        <f>IF(O631&lt;=1,7,7+0.8*ROUNDUP(O631-1,0))</f>
        <v>8.6</v>
      </c>
      <c r="AB631" s="11">
        <v>0</v>
      </c>
      <c r="AC631" s="11">
        <v>0</v>
      </c>
      <c r="AD631" s="11">
        <v>0</v>
      </c>
      <c r="AE631" s="11">
        <v>0</v>
      </c>
      <c r="AF631" s="11">
        <f t="shared" si="26"/>
        <v>0.51600000000000001</v>
      </c>
      <c r="AG631" s="11">
        <f t="shared" si="25"/>
        <v>9.1159999999999997</v>
      </c>
      <c r="AH631" t="s">
        <v>51</v>
      </c>
    </row>
    <row r="632" spans="1:34" ht="15" customHeight="1" x14ac:dyDescent="0.35">
      <c r="A632">
        <v>7547676</v>
      </c>
      <c r="B632">
        <v>690929</v>
      </c>
      <c r="C632" t="s">
        <v>34</v>
      </c>
      <c r="D632" t="s">
        <v>35</v>
      </c>
      <c r="E632" s="6" t="s">
        <v>34</v>
      </c>
      <c r="F632" t="s">
        <v>1962</v>
      </c>
      <c r="G632" t="s">
        <v>37</v>
      </c>
      <c r="H632" t="s">
        <v>38</v>
      </c>
      <c r="I632" t="s">
        <v>1963</v>
      </c>
      <c r="J632" t="s">
        <v>40</v>
      </c>
      <c r="K632">
        <v>2</v>
      </c>
      <c r="L632" t="s">
        <v>41</v>
      </c>
      <c r="M632" t="s">
        <v>42</v>
      </c>
      <c r="N632" t="s">
        <v>43</v>
      </c>
      <c r="O632" s="7">
        <v>1</v>
      </c>
      <c r="P632" s="8">
        <v>45360.651805555557</v>
      </c>
      <c r="Q632" s="9">
        <v>45362</v>
      </c>
      <c r="R632" t="s">
        <v>287</v>
      </c>
      <c r="S632" t="s">
        <v>45</v>
      </c>
      <c r="T632" t="s">
        <v>46</v>
      </c>
      <c r="U632" t="s">
        <v>67</v>
      </c>
      <c r="V632" t="s">
        <v>1964</v>
      </c>
      <c r="W632">
        <v>56000</v>
      </c>
      <c r="X632" t="s">
        <v>45</v>
      </c>
      <c r="Y632" t="s">
        <v>1808</v>
      </c>
      <c r="Z632" t="s">
        <v>50</v>
      </c>
      <c r="AA632" s="10">
        <f>IF(O632&lt;=1,7,7+0.8*ROUNDUP(O632-1,0))</f>
        <v>7</v>
      </c>
      <c r="AB632" s="11">
        <v>0</v>
      </c>
      <c r="AC632" s="11">
        <v>0</v>
      </c>
      <c r="AD632" s="11">
        <v>0</v>
      </c>
      <c r="AE632" s="11">
        <v>0</v>
      </c>
      <c r="AF632" s="11">
        <f t="shared" si="26"/>
        <v>0.42</v>
      </c>
      <c r="AG632" s="11">
        <f t="shared" si="25"/>
        <v>7.42</v>
      </c>
      <c r="AH632" t="s">
        <v>51</v>
      </c>
    </row>
    <row r="633" spans="1:34" ht="15" customHeight="1" x14ac:dyDescent="0.35">
      <c r="A633">
        <v>7547676</v>
      </c>
      <c r="B633">
        <v>690929</v>
      </c>
      <c r="C633" t="s">
        <v>34</v>
      </c>
      <c r="D633" t="s">
        <v>35</v>
      </c>
      <c r="E633" s="6" t="s">
        <v>34</v>
      </c>
      <c r="F633" t="s">
        <v>1965</v>
      </c>
      <c r="G633" t="s">
        <v>37</v>
      </c>
      <c r="H633" t="s">
        <v>38</v>
      </c>
      <c r="I633" t="s">
        <v>1966</v>
      </c>
      <c r="J633" t="s">
        <v>40</v>
      </c>
      <c r="K633">
        <v>2</v>
      </c>
      <c r="L633" t="s">
        <v>41</v>
      </c>
      <c r="M633" t="s">
        <v>42</v>
      </c>
      <c r="N633" t="s">
        <v>43</v>
      </c>
      <c r="O633" s="7">
        <v>4</v>
      </c>
      <c r="P633" s="8">
        <v>45361.703067129631</v>
      </c>
      <c r="Q633" s="9">
        <v>45362</v>
      </c>
      <c r="R633" t="s">
        <v>44</v>
      </c>
      <c r="S633" t="s">
        <v>45</v>
      </c>
      <c r="T633" t="s">
        <v>46</v>
      </c>
      <c r="U633" t="s">
        <v>54</v>
      </c>
      <c r="V633" t="s">
        <v>1967</v>
      </c>
      <c r="W633">
        <v>41100</v>
      </c>
      <c r="X633" t="s">
        <v>45</v>
      </c>
      <c r="Y633" t="s">
        <v>316</v>
      </c>
      <c r="Z633" t="s">
        <v>50</v>
      </c>
      <c r="AA633" s="10">
        <f>IF(O633&lt;=1,7,7+0.8*ROUNDUP(O633-1,0))</f>
        <v>9.4</v>
      </c>
      <c r="AB633" s="11">
        <v>0</v>
      </c>
      <c r="AC633" s="11">
        <v>0</v>
      </c>
      <c r="AD633" s="11">
        <v>0</v>
      </c>
      <c r="AE633" s="11">
        <v>0</v>
      </c>
      <c r="AF633" s="11">
        <f t="shared" si="26"/>
        <v>0.56399999999999995</v>
      </c>
      <c r="AG633" s="11">
        <f t="shared" si="25"/>
        <v>9.9640000000000004</v>
      </c>
      <c r="AH633" t="s">
        <v>51</v>
      </c>
    </row>
    <row r="634" spans="1:34" ht="15" customHeight="1" x14ac:dyDescent="0.35">
      <c r="A634">
        <v>7547676</v>
      </c>
      <c r="B634">
        <v>690929</v>
      </c>
      <c r="C634" t="s">
        <v>34</v>
      </c>
      <c r="D634" t="s">
        <v>35</v>
      </c>
      <c r="E634" s="6" t="s">
        <v>34</v>
      </c>
      <c r="F634" t="s">
        <v>1968</v>
      </c>
      <c r="G634" t="s">
        <v>37</v>
      </c>
      <c r="H634" t="s">
        <v>38</v>
      </c>
      <c r="I634" t="s">
        <v>1969</v>
      </c>
      <c r="J634" t="s">
        <v>40</v>
      </c>
      <c r="K634">
        <v>2</v>
      </c>
      <c r="L634" t="s">
        <v>41</v>
      </c>
      <c r="M634" t="s">
        <v>42</v>
      </c>
      <c r="N634" t="s">
        <v>43</v>
      </c>
      <c r="O634" s="7">
        <v>1</v>
      </c>
      <c r="P634" s="8">
        <v>45360.651805555557</v>
      </c>
      <c r="Q634" s="9">
        <v>45362</v>
      </c>
      <c r="R634" t="s">
        <v>287</v>
      </c>
      <c r="S634" t="s">
        <v>45</v>
      </c>
      <c r="T634" t="s">
        <v>46</v>
      </c>
      <c r="U634" t="s">
        <v>134</v>
      </c>
      <c r="V634" t="s">
        <v>1970</v>
      </c>
      <c r="W634">
        <v>6100</v>
      </c>
      <c r="X634" t="s">
        <v>45</v>
      </c>
      <c r="Y634" t="s">
        <v>152</v>
      </c>
      <c r="Z634" t="s">
        <v>50</v>
      </c>
      <c r="AA634" s="10">
        <f>IF(O634&lt;=1,7,7+0.8*ROUNDUP(O634-1,0))</f>
        <v>7</v>
      </c>
      <c r="AB634" s="11">
        <v>0</v>
      </c>
      <c r="AC634" s="11">
        <v>0</v>
      </c>
      <c r="AD634" s="11">
        <v>0</v>
      </c>
      <c r="AE634" s="11">
        <v>0</v>
      </c>
      <c r="AF634" s="11">
        <f t="shared" si="26"/>
        <v>0.42</v>
      </c>
      <c r="AG634" s="11">
        <f t="shared" si="25"/>
        <v>7.42</v>
      </c>
      <c r="AH634" t="s">
        <v>51</v>
      </c>
    </row>
    <row r="635" spans="1:34" ht="15" customHeight="1" x14ac:dyDescent="0.35">
      <c r="A635">
        <v>7547676</v>
      </c>
      <c r="B635">
        <v>690929</v>
      </c>
      <c r="C635" t="s">
        <v>34</v>
      </c>
      <c r="D635" t="s">
        <v>35</v>
      </c>
      <c r="E635" s="6" t="s">
        <v>34</v>
      </c>
      <c r="F635" t="s">
        <v>1971</v>
      </c>
      <c r="G635" t="s">
        <v>37</v>
      </c>
      <c r="H635" t="s">
        <v>38</v>
      </c>
      <c r="I635" t="s">
        <v>1972</v>
      </c>
      <c r="J635" t="s">
        <v>40</v>
      </c>
      <c r="K635">
        <v>2</v>
      </c>
      <c r="L635" t="s">
        <v>41</v>
      </c>
      <c r="M635" t="s">
        <v>42</v>
      </c>
      <c r="N635" t="s">
        <v>43</v>
      </c>
      <c r="O635" s="7">
        <v>1</v>
      </c>
      <c r="P635" s="8">
        <v>45360.860914351855</v>
      </c>
      <c r="Q635" s="9">
        <v>45362</v>
      </c>
      <c r="R635" t="s">
        <v>44</v>
      </c>
      <c r="S635" t="s">
        <v>45</v>
      </c>
      <c r="T635" t="s">
        <v>46</v>
      </c>
      <c r="U635" t="s">
        <v>99</v>
      </c>
      <c r="V635" t="s">
        <v>1973</v>
      </c>
      <c r="W635">
        <v>16070</v>
      </c>
      <c r="X635" t="s">
        <v>45</v>
      </c>
      <c r="Y635" t="s">
        <v>156</v>
      </c>
      <c r="Z635" t="s">
        <v>50</v>
      </c>
      <c r="AA635" s="10">
        <f>IF(O635&lt;=1,7,7+0.8*ROUNDUP(O635-1,0))</f>
        <v>7</v>
      </c>
      <c r="AB635" s="11">
        <v>0</v>
      </c>
      <c r="AC635" s="11">
        <v>0</v>
      </c>
      <c r="AD635" s="11">
        <v>0</v>
      </c>
      <c r="AE635" s="11">
        <v>0</v>
      </c>
      <c r="AF635" s="11">
        <f t="shared" si="26"/>
        <v>0.42</v>
      </c>
      <c r="AG635" s="11">
        <f t="shared" si="25"/>
        <v>7.42</v>
      </c>
      <c r="AH635" t="s">
        <v>51</v>
      </c>
    </row>
    <row r="636" spans="1:34" ht="15" customHeight="1" x14ac:dyDescent="0.35">
      <c r="A636">
        <v>7547676</v>
      </c>
      <c r="B636">
        <v>690929</v>
      </c>
      <c r="C636" t="s">
        <v>34</v>
      </c>
      <c r="D636" t="s">
        <v>35</v>
      </c>
      <c r="E636" s="6" t="s">
        <v>34</v>
      </c>
      <c r="F636" t="s">
        <v>1974</v>
      </c>
      <c r="G636" t="s">
        <v>37</v>
      </c>
      <c r="H636" t="s">
        <v>38</v>
      </c>
      <c r="I636" t="s">
        <v>1975</v>
      </c>
      <c r="J636" t="s">
        <v>40</v>
      </c>
      <c r="K636">
        <v>2</v>
      </c>
      <c r="L636" t="s">
        <v>41</v>
      </c>
      <c r="M636" t="s">
        <v>42</v>
      </c>
      <c r="N636" t="s">
        <v>43</v>
      </c>
      <c r="O636" s="7">
        <v>1</v>
      </c>
      <c r="P636" s="8">
        <v>45360.651805555557</v>
      </c>
      <c r="Q636" s="9">
        <v>45362</v>
      </c>
      <c r="R636" t="s">
        <v>287</v>
      </c>
      <c r="S636" t="s">
        <v>45</v>
      </c>
      <c r="T636" t="s">
        <v>46</v>
      </c>
      <c r="U636" t="s">
        <v>67</v>
      </c>
      <c r="V636" t="s">
        <v>1976</v>
      </c>
      <c r="W636">
        <v>56000</v>
      </c>
      <c r="X636" t="s">
        <v>45</v>
      </c>
      <c r="Y636" t="s">
        <v>1808</v>
      </c>
      <c r="Z636" t="s">
        <v>50</v>
      </c>
      <c r="AA636" s="10">
        <f>IF(O636&lt;=1,7,7+0.8*ROUNDUP(O636-1,0))</f>
        <v>7</v>
      </c>
      <c r="AB636" s="11">
        <v>0</v>
      </c>
      <c r="AC636" s="11">
        <v>0</v>
      </c>
      <c r="AD636" s="11">
        <v>0</v>
      </c>
      <c r="AE636" s="11">
        <v>0</v>
      </c>
      <c r="AF636" s="11">
        <f t="shared" si="26"/>
        <v>0.42</v>
      </c>
      <c r="AG636" s="11">
        <f t="shared" si="25"/>
        <v>7.42</v>
      </c>
      <c r="AH636" t="s">
        <v>51</v>
      </c>
    </row>
    <row r="637" spans="1:34" ht="15" customHeight="1" x14ac:dyDescent="0.35">
      <c r="A637">
        <v>7547676</v>
      </c>
      <c r="B637">
        <v>690929</v>
      </c>
      <c r="C637" t="s">
        <v>34</v>
      </c>
      <c r="D637" t="s">
        <v>35</v>
      </c>
      <c r="E637" s="6" t="s">
        <v>34</v>
      </c>
      <c r="F637" t="s">
        <v>1977</v>
      </c>
      <c r="G637" t="s">
        <v>37</v>
      </c>
      <c r="H637" t="s">
        <v>38</v>
      </c>
      <c r="I637" t="s">
        <v>1978</v>
      </c>
      <c r="J637" t="s">
        <v>40</v>
      </c>
      <c r="K637">
        <v>2</v>
      </c>
      <c r="L637" t="s">
        <v>41</v>
      </c>
      <c r="M637" t="s">
        <v>42</v>
      </c>
      <c r="N637" t="s">
        <v>43</v>
      </c>
      <c r="O637" s="7">
        <v>1</v>
      </c>
      <c r="P637" s="8">
        <v>45358.60796296296</v>
      </c>
      <c r="Q637" s="9">
        <v>45362</v>
      </c>
      <c r="R637" t="s">
        <v>44</v>
      </c>
      <c r="S637" t="s">
        <v>45</v>
      </c>
      <c r="T637" t="s">
        <v>46</v>
      </c>
      <c r="U637" t="s">
        <v>54</v>
      </c>
      <c r="V637" t="s">
        <v>1979</v>
      </c>
      <c r="W637">
        <v>62590</v>
      </c>
      <c r="X637" t="s">
        <v>45</v>
      </c>
      <c r="Y637" t="s">
        <v>966</v>
      </c>
      <c r="Z637" t="s">
        <v>50</v>
      </c>
      <c r="AA637" s="10">
        <f>IF(O637&lt;=1,7,7+0.8*ROUNDUP(O637-1,0))</f>
        <v>7</v>
      </c>
      <c r="AB637" s="11">
        <v>0</v>
      </c>
      <c r="AC637" s="11">
        <v>0</v>
      </c>
      <c r="AD637" s="11">
        <v>0</v>
      </c>
      <c r="AE637" s="11">
        <v>0</v>
      </c>
      <c r="AF637" s="11">
        <f t="shared" si="26"/>
        <v>0.42</v>
      </c>
      <c r="AG637" s="11">
        <f t="shared" si="25"/>
        <v>7.42</v>
      </c>
      <c r="AH637" t="s">
        <v>51</v>
      </c>
    </row>
    <row r="638" spans="1:34" ht="15" customHeight="1" x14ac:dyDescent="0.35">
      <c r="A638">
        <v>7547676</v>
      </c>
      <c r="B638">
        <v>690929</v>
      </c>
      <c r="C638" t="s">
        <v>34</v>
      </c>
      <c r="D638" t="s">
        <v>35</v>
      </c>
      <c r="E638" s="6" t="s">
        <v>34</v>
      </c>
      <c r="F638" t="s">
        <v>1980</v>
      </c>
      <c r="G638" t="s">
        <v>37</v>
      </c>
      <c r="H638" t="s">
        <v>38</v>
      </c>
      <c r="I638" t="s">
        <v>1981</v>
      </c>
      <c r="J638" t="s">
        <v>40</v>
      </c>
      <c r="K638">
        <v>2</v>
      </c>
      <c r="L638" t="s">
        <v>41</v>
      </c>
      <c r="M638" t="s">
        <v>42</v>
      </c>
      <c r="N638" t="s">
        <v>43</v>
      </c>
      <c r="O638" s="7">
        <v>1</v>
      </c>
      <c r="P638" s="8">
        <v>45360.705671296295</v>
      </c>
      <c r="Q638" s="9">
        <v>45362</v>
      </c>
      <c r="R638" t="s">
        <v>287</v>
      </c>
      <c r="S638" t="s">
        <v>45</v>
      </c>
      <c r="T638" t="s">
        <v>46</v>
      </c>
      <c r="U638" t="s">
        <v>345</v>
      </c>
      <c r="V638" t="s">
        <v>1982</v>
      </c>
      <c r="W638">
        <v>62150</v>
      </c>
      <c r="X638" t="s">
        <v>45</v>
      </c>
      <c r="Y638" t="s">
        <v>966</v>
      </c>
      <c r="Z638" t="s">
        <v>50</v>
      </c>
      <c r="AA638" s="10">
        <f>IF(O638&lt;=1,7,7+0.8*ROUNDUP(O638-1,0))</f>
        <v>7</v>
      </c>
      <c r="AB638" s="11">
        <v>0</v>
      </c>
      <c r="AC638" s="11">
        <v>0</v>
      </c>
      <c r="AD638" s="11">
        <v>0</v>
      </c>
      <c r="AE638" s="11">
        <v>0</v>
      </c>
      <c r="AF638" s="11">
        <f t="shared" si="26"/>
        <v>0.42</v>
      </c>
      <c r="AG638" s="11">
        <f t="shared" si="25"/>
        <v>7.42</v>
      </c>
      <c r="AH638" t="s">
        <v>51</v>
      </c>
    </row>
    <row r="639" spans="1:34" ht="15" customHeight="1" x14ac:dyDescent="0.35">
      <c r="A639">
        <v>7547676</v>
      </c>
      <c r="B639">
        <v>690929</v>
      </c>
      <c r="C639" t="s">
        <v>34</v>
      </c>
      <c r="D639" t="s">
        <v>35</v>
      </c>
      <c r="E639" s="6" t="s">
        <v>34</v>
      </c>
      <c r="F639" t="s">
        <v>1983</v>
      </c>
      <c r="G639" t="s">
        <v>37</v>
      </c>
      <c r="H639" t="s">
        <v>38</v>
      </c>
      <c r="I639" t="s">
        <v>642</v>
      </c>
      <c r="J639" t="s">
        <v>40</v>
      </c>
      <c r="K639">
        <v>2</v>
      </c>
      <c r="L639" t="s">
        <v>41</v>
      </c>
      <c r="M639" t="s">
        <v>42</v>
      </c>
      <c r="N639" t="s">
        <v>43</v>
      </c>
      <c r="O639" s="7">
        <v>2</v>
      </c>
      <c r="P639" s="8">
        <v>45361.642118055555</v>
      </c>
      <c r="Q639" s="9">
        <v>45362</v>
      </c>
      <c r="R639" t="s">
        <v>44</v>
      </c>
      <c r="S639" t="s">
        <v>45</v>
      </c>
      <c r="T639" t="s">
        <v>46</v>
      </c>
      <c r="U639" t="s">
        <v>54</v>
      </c>
      <c r="V639" t="s">
        <v>643</v>
      </c>
      <c r="W639">
        <v>42700</v>
      </c>
      <c r="X639" t="s">
        <v>45</v>
      </c>
      <c r="Y639" t="s">
        <v>347</v>
      </c>
      <c r="Z639" t="s">
        <v>50</v>
      </c>
      <c r="AA639" s="10">
        <f>IF(O639&lt;=1,7,7+0.8*ROUNDUP(O639-1,0))</f>
        <v>7.8</v>
      </c>
      <c r="AB639" s="11">
        <v>0</v>
      </c>
      <c r="AC639" s="11">
        <v>0</v>
      </c>
      <c r="AD639" s="11">
        <v>0</v>
      </c>
      <c r="AE639" s="11">
        <v>0</v>
      </c>
      <c r="AF639" s="11">
        <f t="shared" si="26"/>
        <v>0.46799999999999997</v>
      </c>
      <c r="AG639" s="11">
        <f t="shared" si="25"/>
        <v>8.2680000000000007</v>
      </c>
      <c r="AH639" t="s">
        <v>51</v>
      </c>
    </row>
    <row r="640" spans="1:34" ht="15" customHeight="1" x14ac:dyDescent="0.35">
      <c r="A640">
        <v>7547676</v>
      </c>
      <c r="B640">
        <v>690929</v>
      </c>
      <c r="C640" t="s">
        <v>34</v>
      </c>
      <c r="D640" t="s">
        <v>35</v>
      </c>
      <c r="E640" s="6" t="s">
        <v>34</v>
      </c>
      <c r="F640" t="s">
        <v>1984</v>
      </c>
      <c r="G640" t="s">
        <v>37</v>
      </c>
      <c r="H640" t="s">
        <v>38</v>
      </c>
      <c r="I640" t="s">
        <v>1985</v>
      </c>
      <c r="J640" t="s">
        <v>40</v>
      </c>
      <c r="K640">
        <v>2</v>
      </c>
      <c r="L640" t="s">
        <v>41</v>
      </c>
      <c r="M640" t="s">
        <v>42</v>
      </c>
      <c r="N640" t="s">
        <v>43</v>
      </c>
      <c r="O640" s="7">
        <v>3</v>
      </c>
      <c r="P640" s="8">
        <v>45361.530243055553</v>
      </c>
      <c r="Q640" s="9">
        <v>45362</v>
      </c>
      <c r="R640" t="s">
        <v>44</v>
      </c>
      <c r="S640" t="s">
        <v>45</v>
      </c>
      <c r="T640" t="s">
        <v>46</v>
      </c>
      <c r="U640" t="s">
        <v>54</v>
      </c>
      <c r="V640" t="s">
        <v>1986</v>
      </c>
      <c r="W640">
        <v>55100</v>
      </c>
      <c r="X640" t="s">
        <v>45</v>
      </c>
      <c r="Y640" t="s">
        <v>331</v>
      </c>
      <c r="Z640" t="s">
        <v>50</v>
      </c>
      <c r="AA640" s="10">
        <f>IF(O640&lt;=1,7,7+0.8*ROUNDUP(O640-1,0))</f>
        <v>8.6</v>
      </c>
      <c r="AB640" s="11">
        <v>0</v>
      </c>
      <c r="AC640" s="11">
        <v>0</v>
      </c>
      <c r="AD640" s="11">
        <v>0</v>
      </c>
      <c r="AE640" s="11">
        <v>0</v>
      </c>
      <c r="AF640" s="11">
        <f t="shared" si="26"/>
        <v>0.51600000000000001</v>
      </c>
      <c r="AG640" s="11">
        <f t="shared" si="25"/>
        <v>9.1159999999999997</v>
      </c>
      <c r="AH640" t="s">
        <v>51</v>
      </c>
    </row>
    <row r="641" spans="1:34" ht="15" customHeight="1" x14ac:dyDescent="0.35">
      <c r="A641">
        <v>7547676</v>
      </c>
      <c r="B641">
        <v>690929</v>
      </c>
      <c r="C641" t="s">
        <v>34</v>
      </c>
      <c r="D641" t="s">
        <v>35</v>
      </c>
      <c r="E641" s="6" t="s">
        <v>34</v>
      </c>
      <c r="F641" t="s">
        <v>1987</v>
      </c>
      <c r="G641" t="s">
        <v>37</v>
      </c>
      <c r="H641" t="s">
        <v>38</v>
      </c>
      <c r="I641" t="s">
        <v>1988</v>
      </c>
      <c r="J641" t="s">
        <v>40</v>
      </c>
      <c r="K641">
        <v>2</v>
      </c>
      <c r="L641" t="s">
        <v>41</v>
      </c>
      <c r="M641" t="s">
        <v>42</v>
      </c>
      <c r="N641" t="s">
        <v>43</v>
      </c>
      <c r="O641" s="7">
        <v>4</v>
      </c>
      <c r="P641" s="8">
        <v>45360.664317129631</v>
      </c>
      <c r="Q641" s="9">
        <v>45362</v>
      </c>
      <c r="R641" t="s">
        <v>44</v>
      </c>
      <c r="S641" t="s">
        <v>45</v>
      </c>
      <c r="T641" t="s">
        <v>46</v>
      </c>
      <c r="U641" t="s">
        <v>134</v>
      </c>
      <c r="V641" t="s">
        <v>1989</v>
      </c>
      <c r="W641">
        <v>6000</v>
      </c>
      <c r="X641" t="s">
        <v>45</v>
      </c>
      <c r="Y641" t="s">
        <v>79</v>
      </c>
      <c r="Z641" t="s">
        <v>50</v>
      </c>
      <c r="AA641" s="10">
        <f>IF(O641&lt;=1,7,7+0.8*ROUNDUP(O641-1,0))</f>
        <v>9.4</v>
      </c>
      <c r="AB641" s="11">
        <v>0</v>
      </c>
      <c r="AC641" s="11">
        <v>0</v>
      </c>
      <c r="AD641" s="11">
        <v>0</v>
      </c>
      <c r="AE641" s="11">
        <v>0</v>
      </c>
      <c r="AF641" s="11">
        <f t="shared" si="26"/>
        <v>0.56399999999999995</v>
      </c>
      <c r="AG641" s="11">
        <f t="shared" si="25"/>
        <v>9.9640000000000004</v>
      </c>
      <c r="AH641" t="s">
        <v>51</v>
      </c>
    </row>
    <row r="642" spans="1:34" ht="15" customHeight="1" x14ac:dyDescent="0.35">
      <c r="A642">
        <v>7547676</v>
      </c>
      <c r="B642">
        <v>690929</v>
      </c>
      <c r="C642" t="s">
        <v>34</v>
      </c>
      <c r="D642" t="s">
        <v>35</v>
      </c>
      <c r="E642" s="6" t="s">
        <v>34</v>
      </c>
      <c r="F642" t="s">
        <v>1990</v>
      </c>
      <c r="G642" t="s">
        <v>37</v>
      </c>
      <c r="H642" t="s">
        <v>38</v>
      </c>
      <c r="I642" t="s">
        <v>1991</v>
      </c>
      <c r="J642" t="s">
        <v>40</v>
      </c>
      <c r="K642">
        <v>2</v>
      </c>
      <c r="L642" t="s">
        <v>41</v>
      </c>
      <c r="M642" t="s">
        <v>42</v>
      </c>
      <c r="N642" t="s">
        <v>43</v>
      </c>
      <c r="O642" s="7">
        <v>1</v>
      </c>
      <c r="P642" s="8">
        <v>45359.734942129631</v>
      </c>
      <c r="Q642" s="9">
        <v>45362</v>
      </c>
      <c r="R642" t="s">
        <v>287</v>
      </c>
      <c r="S642" t="s">
        <v>45</v>
      </c>
      <c r="T642" t="s">
        <v>46</v>
      </c>
      <c r="U642" t="s">
        <v>67</v>
      </c>
      <c r="V642" t="s">
        <v>1992</v>
      </c>
      <c r="W642">
        <v>56000</v>
      </c>
      <c r="X642" t="s">
        <v>45</v>
      </c>
      <c r="Y642" t="s">
        <v>1993</v>
      </c>
      <c r="Z642" t="s">
        <v>50</v>
      </c>
      <c r="AA642" s="10">
        <f>IF(O642&lt;=1,7,7+0.8*ROUNDUP(O642-1,0))</f>
        <v>7</v>
      </c>
      <c r="AB642" s="11">
        <v>0</v>
      </c>
      <c r="AC642" s="11">
        <v>0</v>
      </c>
      <c r="AD642" s="11">
        <v>0</v>
      </c>
      <c r="AE642" s="11">
        <v>0</v>
      </c>
      <c r="AF642" s="11">
        <f t="shared" si="26"/>
        <v>0.42</v>
      </c>
      <c r="AG642" s="11">
        <f t="shared" si="25"/>
        <v>7.42</v>
      </c>
      <c r="AH642" t="s">
        <v>51</v>
      </c>
    </row>
    <row r="643" spans="1:34" ht="15" customHeight="1" x14ac:dyDescent="0.35">
      <c r="A643">
        <v>7547676</v>
      </c>
      <c r="B643">
        <v>690929</v>
      </c>
      <c r="C643" t="s">
        <v>34</v>
      </c>
      <c r="D643" t="s">
        <v>35</v>
      </c>
      <c r="E643" s="6" t="s">
        <v>34</v>
      </c>
      <c r="F643" t="s">
        <v>1994</v>
      </c>
      <c r="G643" t="s">
        <v>37</v>
      </c>
      <c r="H643" t="s">
        <v>38</v>
      </c>
      <c r="I643" t="s">
        <v>1995</v>
      </c>
      <c r="J643" t="s">
        <v>40</v>
      </c>
      <c r="K643">
        <v>2</v>
      </c>
      <c r="L643" t="s">
        <v>41</v>
      </c>
      <c r="M643" t="s">
        <v>42</v>
      </c>
      <c r="N643" t="s">
        <v>43</v>
      </c>
      <c r="O643" s="7">
        <v>11</v>
      </c>
      <c r="P643" s="8">
        <v>45359.540312500001</v>
      </c>
      <c r="Q643" s="9">
        <v>45362</v>
      </c>
      <c r="R643" t="s">
        <v>287</v>
      </c>
      <c r="S643" t="s">
        <v>45</v>
      </c>
      <c r="T643" t="s">
        <v>46</v>
      </c>
      <c r="U643" t="s">
        <v>190</v>
      </c>
      <c r="V643" t="s">
        <v>1996</v>
      </c>
      <c r="W643">
        <v>39100</v>
      </c>
      <c r="X643" t="s">
        <v>45</v>
      </c>
      <c r="Y643" t="s">
        <v>1105</v>
      </c>
      <c r="Z643" t="s">
        <v>50</v>
      </c>
      <c r="AA643" s="10">
        <f>IF(O643&lt;=1,7,7+0.8*ROUNDUP(O643-1,0))</f>
        <v>15</v>
      </c>
      <c r="AB643" s="11">
        <v>0</v>
      </c>
      <c r="AC643" s="11">
        <v>0</v>
      </c>
      <c r="AD643" s="11">
        <v>0</v>
      </c>
      <c r="AE643" s="11">
        <v>0</v>
      </c>
      <c r="AF643" s="11">
        <f t="shared" si="26"/>
        <v>0.89999999999999991</v>
      </c>
      <c r="AG643" s="11">
        <f t="shared" si="25"/>
        <v>15.9</v>
      </c>
      <c r="AH643" t="s">
        <v>51</v>
      </c>
    </row>
    <row r="644" spans="1:34" ht="15" customHeight="1" x14ac:dyDescent="0.35">
      <c r="A644">
        <v>7547676</v>
      </c>
      <c r="B644">
        <v>690929</v>
      </c>
      <c r="C644" t="s">
        <v>34</v>
      </c>
      <c r="D644" t="s">
        <v>35</v>
      </c>
      <c r="E644" s="6" t="s">
        <v>34</v>
      </c>
      <c r="F644" t="s">
        <v>1997</v>
      </c>
      <c r="G644" t="s">
        <v>37</v>
      </c>
      <c r="H644" t="s">
        <v>38</v>
      </c>
      <c r="I644" t="s">
        <v>1998</v>
      </c>
      <c r="J644" t="s">
        <v>40</v>
      </c>
      <c r="K644">
        <v>2</v>
      </c>
      <c r="L644" t="s">
        <v>41</v>
      </c>
      <c r="M644" t="s">
        <v>42</v>
      </c>
      <c r="N644" t="s">
        <v>43</v>
      </c>
      <c r="O644" s="7">
        <v>4</v>
      </c>
      <c r="P644" s="8">
        <v>45361.633229166669</v>
      </c>
      <c r="Q644" s="9">
        <v>45362</v>
      </c>
      <c r="R644" t="s">
        <v>44</v>
      </c>
      <c r="S644" t="s">
        <v>45</v>
      </c>
      <c r="T644" t="s">
        <v>46</v>
      </c>
      <c r="U644" t="s">
        <v>99</v>
      </c>
      <c r="V644" t="s">
        <v>1999</v>
      </c>
      <c r="W644">
        <v>17500</v>
      </c>
      <c r="X644" t="s">
        <v>45</v>
      </c>
      <c r="Y644" t="s">
        <v>733</v>
      </c>
      <c r="Z644" t="s">
        <v>50</v>
      </c>
      <c r="AA644" s="10">
        <f>IF(O644&lt;=1,7,7+0.8*ROUNDUP(O644-1,0))</f>
        <v>9.4</v>
      </c>
      <c r="AB644" s="11">
        <v>0</v>
      </c>
      <c r="AC644" s="11">
        <v>0</v>
      </c>
      <c r="AD644" s="11">
        <v>0</v>
      </c>
      <c r="AE644" s="11">
        <v>0</v>
      </c>
      <c r="AF644" s="11">
        <f t="shared" si="26"/>
        <v>0.56399999999999995</v>
      </c>
      <c r="AG644" s="11">
        <f t="shared" si="25"/>
        <v>9.9640000000000004</v>
      </c>
      <c r="AH644" t="s">
        <v>51</v>
      </c>
    </row>
    <row r="645" spans="1:34" ht="15" customHeight="1" x14ac:dyDescent="0.35">
      <c r="A645">
        <v>7547676</v>
      </c>
      <c r="B645">
        <v>690929</v>
      </c>
      <c r="C645" t="s">
        <v>34</v>
      </c>
      <c r="D645" t="s">
        <v>35</v>
      </c>
      <c r="E645" s="6" t="s">
        <v>34</v>
      </c>
      <c r="F645" t="s">
        <v>2000</v>
      </c>
      <c r="G645" t="s">
        <v>37</v>
      </c>
      <c r="H645" t="s">
        <v>38</v>
      </c>
      <c r="I645" t="s">
        <v>2001</v>
      </c>
      <c r="J645" t="s">
        <v>40</v>
      </c>
      <c r="K645">
        <v>2</v>
      </c>
      <c r="L645" t="s">
        <v>41</v>
      </c>
      <c r="M645" t="s">
        <v>42</v>
      </c>
      <c r="N645" t="s">
        <v>43</v>
      </c>
      <c r="O645" s="7">
        <v>1</v>
      </c>
      <c r="P645" s="8">
        <v>45359.665231481478</v>
      </c>
      <c r="Q645" s="9">
        <v>45362</v>
      </c>
      <c r="R645" t="s">
        <v>287</v>
      </c>
      <c r="S645" t="s">
        <v>45</v>
      </c>
      <c r="T645" t="s">
        <v>46</v>
      </c>
      <c r="U645" t="s">
        <v>190</v>
      </c>
      <c r="V645" t="s">
        <v>2002</v>
      </c>
      <c r="W645">
        <v>26600</v>
      </c>
      <c r="X645" t="s">
        <v>45</v>
      </c>
      <c r="Y645" t="s">
        <v>362</v>
      </c>
      <c r="Z645" t="s">
        <v>50</v>
      </c>
      <c r="AA645" s="10">
        <f>IF(O645&lt;=1,7,7+0.8*ROUNDUP(O645-1,0))</f>
        <v>7</v>
      </c>
      <c r="AB645" s="11">
        <v>0</v>
      </c>
      <c r="AC645" s="11">
        <v>0</v>
      </c>
      <c r="AD645" s="11">
        <v>0</v>
      </c>
      <c r="AE645" s="11">
        <v>0</v>
      </c>
      <c r="AF645" s="11">
        <f t="shared" si="26"/>
        <v>0.42</v>
      </c>
      <c r="AG645" s="11">
        <f t="shared" si="25"/>
        <v>7.42</v>
      </c>
      <c r="AH645" t="s">
        <v>51</v>
      </c>
    </row>
    <row r="646" spans="1:34" ht="15" customHeight="1" x14ac:dyDescent="0.35">
      <c r="A646">
        <v>7547676</v>
      </c>
      <c r="B646">
        <v>690929</v>
      </c>
      <c r="C646" t="s">
        <v>34</v>
      </c>
      <c r="D646" t="s">
        <v>35</v>
      </c>
      <c r="E646" s="6" t="s">
        <v>34</v>
      </c>
      <c r="F646" t="s">
        <v>2003</v>
      </c>
      <c r="G646" t="s">
        <v>37</v>
      </c>
      <c r="H646" t="s">
        <v>38</v>
      </c>
      <c r="I646" t="s">
        <v>2004</v>
      </c>
      <c r="J646" t="s">
        <v>40</v>
      </c>
      <c r="K646">
        <v>2</v>
      </c>
      <c r="L646" t="s">
        <v>41</v>
      </c>
      <c r="M646" t="s">
        <v>42</v>
      </c>
      <c r="N646" t="s">
        <v>43</v>
      </c>
      <c r="O646" s="7">
        <v>4</v>
      </c>
      <c r="P646" s="8">
        <v>45360.69939814815</v>
      </c>
      <c r="Q646" s="9">
        <v>45362</v>
      </c>
      <c r="R646" t="s">
        <v>44</v>
      </c>
      <c r="S646" t="s">
        <v>45</v>
      </c>
      <c r="T646" t="s">
        <v>46</v>
      </c>
      <c r="U646" t="s">
        <v>82</v>
      </c>
      <c r="V646" t="s">
        <v>2005</v>
      </c>
      <c r="W646">
        <v>80350</v>
      </c>
      <c r="X646" t="s">
        <v>45</v>
      </c>
      <c r="Y646" t="s">
        <v>372</v>
      </c>
      <c r="Z646" t="s">
        <v>50</v>
      </c>
      <c r="AA646" s="10">
        <f>IF(O646&lt;=1,7,7+0.8*ROUNDUP(O646-1,0))</f>
        <v>9.4</v>
      </c>
      <c r="AB646" s="11">
        <v>0</v>
      </c>
      <c r="AC646" s="11">
        <v>0</v>
      </c>
      <c r="AD646" s="11">
        <v>0</v>
      </c>
      <c r="AE646" s="11">
        <v>0</v>
      </c>
      <c r="AF646" s="11">
        <f t="shared" si="26"/>
        <v>0.56399999999999995</v>
      </c>
      <c r="AG646" s="11">
        <f t="shared" si="25"/>
        <v>9.9640000000000004</v>
      </c>
      <c r="AH646" t="s">
        <v>51</v>
      </c>
    </row>
    <row r="647" spans="1:34" ht="15" customHeight="1" x14ac:dyDescent="0.35">
      <c r="A647">
        <v>7547676</v>
      </c>
      <c r="B647">
        <v>690929</v>
      </c>
      <c r="C647" t="s">
        <v>34</v>
      </c>
      <c r="D647" t="s">
        <v>35</v>
      </c>
      <c r="E647" s="6" t="s">
        <v>34</v>
      </c>
      <c r="F647" t="s">
        <v>2006</v>
      </c>
      <c r="G647" t="s">
        <v>37</v>
      </c>
      <c r="H647" t="s">
        <v>38</v>
      </c>
      <c r="I647" t="s">
        <v>2007</v>
      </c>
      <c r="J647" t="s">
        <v>40</v>
      </c>
      <c r="K647">
        <v>2</v>
      </c>
      <c r="L647" t="s">
        <v>41</v>
      </c>
      <c r="M647" t="s">
        <v>42</v>
      </c>
      <c r="N647" t="s">
        <v>43</v>
      </c>
      <c r="O647" s="7">
        <v>1</v>
      </c>
      <c r="P647" s="8">
        <v>45361.719930555555</v>
      </c>
      <c r="Q647" s="9">
        <v>45362</v>
      </c>
      <c r="R647" t="s">
        <v>44</v>
      </c>
      <c r="S647" t="s">
        <v>45</v>
      </c>
      <c r="T647" t="s">
        <v>46</v>
      </c>
      <c r="U647" t="s">
        <v>47</v>
      </c>
      <c r="V647" t="s">
        <v>2008</v>
      </c>
      <c r="W647">
        <v>21080</v>
      </c>
      <c r="X647" t="s">
        <v>45</v>
      </c>
      <c r="Y647" t="s">
        <v>49</v>
      </c>
      <c r="Z647" t="s">
        <v>50</v>
      </c>
      <c r="AA647" s="10">
        <f>IF(O647&lt;=1,7,7+0.8*ROUNDUP(O647-1,0))</f>
        <v>7</v>
      </c>
      <c r="AB647" s="11">
        <v>0</v>
      </c>
      <c r="AC647" s="11">
        <v>0</v>
      </c>
      <c r="AD647" s="11">
        <v>0</v>
      </c>
      <c r="AE647" s="11">
        <v>0</v>
      </c>
      <c r="AF647" s="11">
        <f t="shared" si="26"/>
        <v>0.42</v>
      </c>
      <c r="AG647" s="11">
        <f t="shared" si="25"/>
        <v>7.42</v>
      </c>
      <c r="AH647" t="s">
        <v>51</v>
      </c>
    </row>
    <row r="648" spans="1:34" ht="15" customHeight="1" x14ac:dyDescent="0.35">
      <c r="A648">
        <v>7547676</v>
      </c>
      <c r="B648">
        <v>690929</v>
      </c>
      <c r="C648" t="s">
        <v>34</v>
      </c>
      <c r="D648" t="s">
        <v>35</v>
      </c>
      <c r="E648" s="6" t="s">
        <v>34</v>
      </c>
      <c r="F648" t="s">
        <v>2009</v>
      </c>
      <c r="G648" t="s">
        <v>37</v>
      </c>
      <c r="H648" t="s">
        <v>38</v>
      </c>
      <c r="I648" t="s">
        <v>494</v>
      </c>
      <c r="J648" t="s">
        <v>40</v>
      </c>
      <c r="K648">
        <v>2</v>
      </c>
      <c r="L648" t="s">
        <v>41</v>
      </c>
      <c r="M648" t="s">
        <v>42</v>
      </c>
      <c r="N648" t="s">
        <v>43</v>
      </c>
      <c r="O648" s="7">
        <v>1</v>
      </c>
      <c r="P648" s="8">
        <v>45361.505694444444</v>
      </c>
      <c r="Q648" s="9">
        <v>45362</v>
      </c>
      <c r="R648" t="s">
        <v>44</v>
      </c>
      <c r="S648" t="s">
        <v>45</v>
      </c>
      <c r="T648" t="s">
        <v>46</v>
      </c>
      <c r="U648" t="s">
        <v>67</v>
      </c>
      <c r="V648" t="s">
        <v>2010</v>
      </c>
      <c r="W648">
        <v>54200</v>
      </c>
      <c r="X648" t="s">
        <v>45</v>
      </c>
      <c r="Y648" t="s">
        <v>73</v>
      </c>
      <c r="Z648" t="s">
        <v>50</v>
      </c>
      <c r="AA648" s="10">
        <f>IF(O648&lt;=1,7,7+0.8*ROUNDUP(O648-1,0))</f>
        <v>7</v>
      </c>
      <c r="AB648" s="11">
        <v>0</v>
      </c>
      <c r="AC648" s="11">
        <v>0</v>
      </c>
      <c r="AD648" s="11">
        <v>0</v>
      </c>
      <c r="AE648" s="11">
        <v>0</v>
      </c>
      <c r="AF648" s="11">
        <f t="shared" si="26"/>
        <v>0.42</v>
      </c>
      <c r="AG648" s="11">
        <f t="shared" si="25"/>
        <v>7.42</v>
      </c>
      <c r="AH648" t="s">
        <v>51</v>
      </c>
    </row>
    <row r="649" spans="1:34" ht="15" customHeight="1" x14ac:dyDescent="0.35">
      <c r="A649">
        <v>7547676</v>
      </c>
      <c r="B649">
        <v>690929</v>
      </c>
      <c r="C649" t="s">
        <v>34</v>
      </c>
      <c r="D649" t="s">
        <v>35</v>
      </c>
      <c r="E649" s="6" t="s">
        <v>34</v>
      </c>
      <c r="F649" t="s">
        <v>2011</v>
      </c>
      <c r="G649" t="s">
        <v>37</v>
      </c>
      <c r="H649" t="s">
        <v>38</v>
      </c>
      <c r="I649" t="s">
        <v>2012</v>
      </c>
      <c r="J649" t="s">
        <v>40</v>
      </c>
      <c r="K649">
        <v>2</v>
      </c>
      <c r="L649" t="s">
        <v>41</v>
      </c>
      <c r="M649" t="s">
        <v>42</v>
      </c>
      <c r="N649" t="s">
        <v>43</v>
      </c>
      <c r="O649" s="7">
        <v>1</v>
      </c>
      <c r="P649" s="8">
        <v>45360.860914351855</v>
      </c>
      <c r="Q649" s="9">
        <v>45362</v>
      </c>
      <c r="R649" t="s">
        <v>44</v>
      </c>
      <c r="S649" t="s">
        <v>45</v>
      </c>
      <c r="T649" t="s">
        <v>46</v>
      </c>
      <c r="U649" t="s">
        <v>67</v>
      </c>
      <c r="V649" t="s">
        <v>2013</v>
      </c>
      <c r="W649">
        <v>51000</v>
      </c>
      <c r="X649" t="s">
        <v>45</v>
      </c>
      <c r="Y649" t="s">
        <v>275</v>
      </c>
      <c r="Z649" t="s">
        <v>50</v>
      </c>
      <c r="AA649" s="10">
        <f>IF(O649&lt;=1,7,7+0.8*ROUNDUP(O649-1,0))</f>
        <v>7</v>
      </c>
      <c r="AB649" s="11">
        <v>0</v>
      </c>
      <c r="AC649" s="11">
        <v>0</v>
      </c>
      <c r="AD649" s="11">
        <v>0</v>
      </c>
      <c r="AE649" s="11">
        <v>0</v>
      </c>
      <c r="AF649" s="11">
        <f t="shared" si="26"/>
        <v>0.42</v>
      </c>
      <c r="AG649" s="11">
        <f t="shared" si="25"/>
        <v>7.42</v>
      </c>
      <c r="AH649" t="s">
        <v>51</v>
      </c>
    </row>
    <row r="650" spans="1:34" ht="15" customHeight="1" x14ac:dyDescent="0.35">
      <c r="A650">
        <v>7547676</v>
      </c>
      <c r="B650">
        <v>690929</v>
      </c>
      <c r="C650" t="s">
        <v>34</v>
      </c>
      <c r="D650" t="s">
        <v>35</v>
      </c>
      <c r="E650" s="6" t="s">
        <v>34</v>
      </c>
      <c r="F650" t="s">
        <v>2014</v>
      </c>
      <c r="G650" t="s">
        <v>37</v>
      </c>
      <c r="H650" t="s">
        <v>38</v>
      </c>
      <c r="I650" t="s">
        <v>2015</v>
      </c>
      <c r="J650" t="s">
        <v>40</v>
      </c>
      <c r="K650">
        <v>2</v>
      </c>
      <c r="L650" t="s">
        <v>41</v>
      </c>
      <c r="M650" t="s">
        <v>42</v>
      </c>
      <c r="N650" t="s">
        <v>43</v>
      </c>
      <c r="O650" s="7">
        <v>2</v>
      </c>
      <c r="P650" s="8">
        <v>45361.642129629632</v>
      </c>
      <c r="Q650" s="9">
        <v>45362</v>
      </c>
      <c r="R650" t="s">
        <v>44</v>
      </c>
      <c r="S650" t="s">
        <v>45</v>
      </c>
      <c r="T650" t="s">
        <v>46</v>
      </c>
      <c r="U650" t="s">
        <v>99</v>
      </c>
      <c r="V650" t="s">
        <v>2016</v>
      </c>
      <c r="W650">
        <v>17000</v>
      </c>
      <c r="X650" t="s">
        <v>45</v>
      </c>
      <c r="Y650" t="s">
        <v>1045</v>
      </c>
      <c r="Z650" t="s">
        <v>50</v>
      </c>
      <c r="AA650" s="10">
        <f>IF(O650&lt;=1,7,7+0.8*ROUNDUP(O650-1,0))</f>
        <v>7.8</v>
      </c>
      <c r="AB650" s="11">
        <v>0</v>
      </c>
      <c r="AC650" s="11">
        <v>0</v>
      </c>
      <c r="AD650" s="11">
        <v>0</v>
      </c>
      <c r="AE650" s="11">
        <v>0</v>
      </c>
      <c r="AF650" s="11">
        <f t="shared" si="26"/>
        <v>0.46799999999999997</v>
      </c>
      <c r="AG650" s="11">
        <f t="shared" si="25"/>
        <v>8.2680000000000007</v>
      </c>
      <c r="AH650" t="s">
        <v>51</v>
      </c>
    </row>
    <row r="651" spans="1:34" ht="15" customHeight="1" x14ac:dyDescent="0.35">
      <c r="A651">
        <v>7547676</v>
      </c>
      <c r="B651">
        <v>690929</v>
      </c>
      <c r="C651" t="s">
        <v>34</v>
      </c>
      <c r="D651" t="s">
        <v>35</v>
      </c>
      <c r="E651" s="6" t="s">
        <v>34</v>
      </c>
      <c r="F651" t="s">
        <v>2017</v>
      </c>
      <c r="G651" t="s">
        <v>37</v>
      </c>
      <c r="H651" t="s">
        <v>38</v>
      </c>
      <c r="I651" t="s">
        <v>2018</v>
      </c>
      <c r="J651" t="s">
        <v>40</v>
      </c>
      <c r="K651">
        <v>2</v>
      </c>
      <c r="L651" t="s">
        <v>41</v>
      </c>
      <c r="M651" t="s">
        <v>42</v>
      </c>
      <c r="N651" t="s">
        <v>43</v>
      </c>
      <c r="O651" s="7">
        <v>1</v>
      </c>
      <c r="P651" s="8">
        <v>45360.733981481484</v>
      </c>
      <c r="Q651" s="9">
        <v>45363</v>
      </c>
      <c r="R651" t="s">
        <v>287</v>
      </c>
      <c r="S651" t="s">
        <v>45</v>
      </c>
      <c r="T651" t="s">
        <v>46</v>
      </c>
      <c r="U651" t="s">
        <v>112</v>
      </c>
      <c r="V651" t="s">
        <v>2019</v>
      </c>
      <c r="W651">
        <v>88100</v>
      </c>
      <c r="X651" t="s">
        <v>114</v>
      </c>
      <c r="Y651" t="s">
        <v>79</v>
      </c>
      <c r="Z651" t="s">
        <v>50</v>
      </c>
      <c r="AA651" s="12">
        <f>IF(O651&lt;=1,13,IF(O651&lt;=2,23,IF(O651&lt;=3,35,IF(O651&lt;=4,43,IF(O651&lt;=5,53,IF(O651&lt;=6,63,IF(O651&lt;=7,71,IF(O651&lt;=8,79,IF(O651&lt;=9,87,IF(O651&lt;=10,95,IF(O651&lt;=11,105,IF(O651&lt;=12,114,IF(O651&lt;=13,119,IF(O651&lt;=14,127,IF(O651&lt;=15,135,IF(O651&lt;=16,143,IF(O651&lt;=17,153,IF(O651&lt;=18,163,IF(O651&lt;=19,171,IF(O651&lt;=20,185,IF(O651&lt;=21,193,IF(O651&lt;=22,201,IF(O651&lt;=23,210,IF(O651&lt;=24,220,IF(O651&lt;=25,230,IF(O651&lt;=26,240,IF(O651&lt;=27,250,IF(O651&lt;=28,260,IF(O651&lt;=29,270,IF(O651&lt;=30,280,280+10*ROUNDUP(O651-30,0)))))))))))))))))))))))))))))))</f>
        <v>13</v>
      </c>
      <c r="AB651" s="11">
        <v>0</v>
      </c>
      <c r="AC651" s="11">
        <v>0</v>
      </c>
      <c r="AD651" s="11">
        <v>0</v>
      </c>
      <c r="AE651" s="11">
        <v>0</v>
      </c>
      <c r="AF651" s="11">
        <f t="shared" si="26"/>
        <v>0.78</v>
      </c>
      <c r="AG651" s="11">
        <f t="shared" si="25"/>
        <v>13.78</v>
      </c>
      <c r="AH651" t="s">
        <v>116</v>
      </c>
    </row>
    <row r="652" spans="1:34" ht="15" customHeight="1" x14ac:dyDescent="0.35">
      <c r="A652">
        <v>7547676</v>
      </c>
      <c r="B652">
        <v>690929</v>
      </c>
      <c r="C652" t="s">
        <v>34</v>
      </c>
      <c r="D652" t="s">
        <v>35</v>
      </c>
      <c r="E652" s="6" t="s">
        <v>34</v>
      </c>
      <c r="F652" t="s">
        <v>2020</v>
      </c>
      <c r="G652" t="s">
        <v>37</v>
      </c>
      <c r="H652" t="s">
        <v>38</v>
      </c>
      <c r="I652" t="s">
        <v>1754</v>
      </c>
      <c r="J652" t="s">
        <v>40</v>
      </c>
      <c r="K652">
        <v>2</v>
      </c>
      <c r="L652" t="s">
        <v>41</v>
      </c>
      <c r="M652" t="s">
        <v>42</v>
      </c>
      <c r="N652" t="s">
        <v>43</v>
      </c>
      <c r="O652" s="7">
        <v>1</v>
      </c>
      <c r="P652" s="8">
        <v>45361.714699074073</v>
      </c>
      <c r="Q652" s="9">
        <v>45363</v>
      </c>
      <c r="R652" t="s">
        <v>44</v>
      </c>
      <c r="S652" t="s">
        <v>45</v>
      </c>
      <c r="T652" t="s">
        <v>46</v>
      </c>
      <c r="U652" t="s">
        <v>47</v>
      </c>
      <c r="V652" t="s">
        <v>1755</v>
      </c>
      <c r="W652">
        <v>24000</v>
      </c>
      <c r="X652" t="s">
        <v>45</v>
      </c>
      <c r="Y652" t="s">
        <v>362</v>
      </c>
      <c r="Z652" t="s">
        <v>50</v>
      </c>
      <c r="AA652" s="10">
        <f>IF(O652&lt;=1,7,7+0.8*ROUNDUP(O652-1,0))</f>
        <v>7</v>
      </c>
      <c r="AB652" s="11">
        <v>0</v>
      </c>
      <c r="AC652" s="11">
        <v>0</v>
      </c>
      <c r="AD652" s="11">
        <v>0</v>
      </c>
      <c r="AE652" s="11">
        <v>0</v>
      </c>
      <c r="AF652" s="11">
        <f t="shared" si="26"/>
        <v>0.42</v>
      </c>
      <c r="AG652" s="11">
        <f t="shared" si="25"/>
        <v>7.42</v>
      </c>
      <c r="AH652" t="s">
        <v>51</v>
      </c>
    </row>
    <row r="653" spans="1:34" ht="15" customHeight="1" x14ac:dyDescent="0.35">
      <c r="A653">
        <v>7547676</v>
      </c>
      <c r="B653">
        <v>690929</v>
      </c>
      <c r="C653" t="s">
        <v>34</v>
      </c>
      <c r="D653" t="s">
        <v>35</v>
      </c>
      <c r="E653" s="6" t="s">
        <v>34</v>
      </c>
      <c r="F653" t="s">
        <v>2021</v>
      </c>
      <c r="G653" t="s">
        <v>37</v>
      </c>
      <c r="H653" t="s">
        <v>38</v>
      </c>
      <c r="I653" t="s">
        <v>2022</v>
      </c>
      <c r="J653" t="s">
        <v>40</v>
      </c>
      <c r="K653">
        <v>2</v>
      </c>
      <c r="L653" t="s">
        <v>41</v>
      </c>
      <c r="M653" t="s">
        <v>42</v>
      </c>
      <c r="N653" t="s">
        <v>43</v>
      </c>
      <c r="O653" s="7">
        <v>1</v>
      </c>
      <c r="P653" s="8">
        <v>45354.834236111114</v>
      </c>
      <c r="Q653" s="9">
        <v>45363</v>
      </c>
      <c r="R653" t="s">
        <v>44</v>
      </c>
      <c r="S653" t="s">
        <v>45</v>
      </c>
      <c r="T653" t="s">
        <v>46</v>
      </c>
      <c r="U653" t="s">
        <v>130</v>
      </c>
      <c r="V653" t="s">
        <v>2023</v>
      </c>
      <c r="W653">
        <v>98700</v>
      </c>
      <c r="X653" t="s">
        <v>114</v>
      </c>
      <c r="Y653" t="s">
        <v>79</v>
      </c>
      <c r="Z653" t="s">
        <v>50</v>
      </c>
      <c r="AA653" s="12">
        <f>IF(O653&lt;=1,13,IF(O653&lt;=2,23,IF(O653&lt;=3,35,IF(O653&lt;=4,43,IF(O653&lt;=5,53,IF(O653&lt;=6,63,IF(O653&lt;=7,71,IF(O653&lt;=8,79,IF(O653&lt;=9,87,IF(O653&lt;=10,95,IF(O653&lt;=11,105,IF(O653&lt;=12,114,IF(O653&lt;=13,119,IF(O653&lt;=14,127,IF(O653&lt;=15,135,IF(O653&lt;=16,143,IF(O653&lt;=17,153,IF(O653&lt;=18,163,IF(O653&lt;=19,171,IF(O653&lt;=20,185,IF(O653&lt;=21,193,IF(O653&lt;=22,201,IF(O653&lt;=23,210,IF(O653&lt;=24,220,IF(O653&lt;=25,230,IF(O653&lt;=26,240,IF(O653&lt;=27,250,IF(O653&lt;=28,260,IF(O653&lt;=29,270,IF(O653&lt;=30,280,280+10*ROUNDUP(O653-30,0)))))))))))))))))))))))))))))))</f>
        <v>13</v>
      </c>
      <c r="AB653" s="11">
        <v>0</v>
      </c>
      <c r="AC653" s="11">
        <v>0</v>
      </c>
      <c r="AD653" s="11">
        <v>0</v>
      </c>
      <c r="AE653" s="11">
        <v>0</v>
      </c>
      <c r="AF653" s="11">
        <f t="shared" si="26"/>
        <v>0.78</v>
      </c>
      <c r="AG653" s="11">
        <f t="shared" si="25"/>
        <v>13.78</v>
      </c>
      <c r="AH653" t="s">
        <v>116</v>
      </c>
    </row>
    <row r="654" spans="1:34" ht="15" customHeight="1" x14ac:dyDescent="0.35">
      <c r="A654">
        <v>7547676</v>
      </c>
      <c r="B654">
        <v>690929</v>
      </c>
      <c r="C654" t="s">
        <v>34</v>
      </c>
      <c r="D654" t="s">
        <v>35</v>
      </c>
      <c r="E654" s="6" t="s">
        <v>34</v>
      </c>
      <c r="F654" t="s">
        <v>2024</v>
      </c>
      <c r="G654" t="s">
        <v>37</v>
      </c>
      <c r="H654" t="s">
        <v>38</v>
      </c>
      <c r="I654" t="s">
        <v>2025</v>
      </c>
      <c r="J654" t="s">
        <v>40</v>
      </c>
      <c r="K654">
        <v>2</v>
      </c>
      <c r="L654" t="s">
        <v>41</v>
      </c>
      <c r="M654" t="s">
        <v>42</v>
      </c>
      <c r="N654" t="s">
        <v>43</v>
      </c>
      <c r="O654" s="7">
        <v>8</v>
      </c>
      <c r="P654" s="8">
        <v>45362.55395833333</v>
      </c>
      <c r="Q654" s="9">
        <v>45363</v>
      </c>
      <c r="R654" t="s">
        <v>44</v>
      </c>
      <c r="S654" t="s">
        <v>45</v>
      </c>
      <c r="T654" t="s">
        <v>46</v>
      </c>
      <c r="U654" t="s">
        <v>47</v>
      </c>
      <c r="V654" t="s">
        <v>2026</v>
      </c>
      <c r="W654">
        <v>21100</v>
      </c>
      <c r="X654" t="s">
        <v>45</v>
      </c>
      <c r="Y654" t="s">
        <v>560</v>
      </c>
      <c r="Z654" t="s">
        <v>50</v>
      </c>
      <c r="AA654" s="10">
        <f>IF(O654&lt;=1,7,7+0.8*ROUNDUP(O654-1,0))</f>
        <v>12.600000000000001</v>
      </c>
      <c r="AB654" s="11">
        <v>0</v>
      </c>
      <c r="AC654" s="11">
        <v>0</v>
      </c>
      <c r="AD654" s="11">
        <v>0</v>
      </c>
      <c r="AE654" s="11">
        <v>0</v>
      </c>
      <c r="AF654" s="11">
        <f t="shared" si="26"/>
        <v>0.75600000000000001</v>
      </c>
      <c r="AG654" s="11">
        <f t="shared" si="25"/>
        <v>13.356000000000002</v>
      </c>
      <c r="AH654" t="s">
        <v>51</v>
      </c>
    </row>
    <row r="655" spans="1:34" ht="15" customHeight="1" x14ac:dyDescent="0.35">
      <c r="A655">
        <v>7547676</v>
      </c>
      <c r="B655">
        <v>690929</v>
      </c>
      <c r="C655" t="s">
        <v>34</v>
      </c>
      <c r="D655" t="s">
        <v>35</v>
      </c>
      <c r="E655" s="6" t="s">
        <v>34</v>
      </c>
      <c r="F655" t="s">
        <v>2027</v>
      </c>
      <c r="G655" t="s">
        <v>37</v>
      </c>
      <c r="H655" t="s">
        <v>38</v>
      </c>
      <c r="I655" t="s">
        <v>2028</v>
      </c>
      <c r="J655" t="s">
        <v>40</v>
      </c>
      <c r="K655">
        <v>2</v>
      </c>
      <c r="L655" t="s">
        <v>41</v>
      </c>
      <c r="M655" t="s">
        <v>42</v>
      </c>
      <c r="N655" t="s">
        <v>43</v>
      </c>
      <c r="O655" s="7">
        <v>1</v>
      </c>
      <c r="P655" s="8">
        <v>45361.851585648146</v>
      </c>
      <c r="Q655" s="9">
        <v>45363</v>
      </c>
      <c r="R655" t="s">
        <v>44</v>
      </c>
      <c r="S655" t="s">
        <v>45</v>
      </c>
      <c r="T655" t="s">
        <v>46</v>
      </c>
      <c r="U655" t="s">
        <v>99</v>
      </c>
      <c r="V655" t="s">
        <v>2029</v>
      </c>
      <c r="W655">
        <v>18300</v>
      </c>
      <c r="X655" t="s">
        <v>45</v>
      </c>
      <c r="Y655" t="s">
        <v>156</v>
      </c>
      <c r="Z655" t="s">
        <v>50</v>
      </c>
      <c r="AA655" s="10">
        <f>IF(O655&lt;=1,7,7+0.8*ROUNDUP(O655-1,0))</f>
        <v>7</v>
      </c>
      <c r="AB655" s="11">
        <v>0</v>
      </c>
      <c r="AC655" s="11">
        <v>0</v>
      </c>
      <c r="AD655" s="11">
        <v>0</v>
      </c>
      <c r="AE655" s="11">
        <v>0</v>
      </c>
      <c r="AF655" s="11">
        <f t="shared" si="26"/>
        <v>0.42</v>
      </c>
      <c r="AG655" s="11">
        <f t="shared" si="25"/>
        <v>7.42</v>
      </c>
      <c r="AH655" t="s">
        <v>51</v>
      </c>
    </row>
    <row r="656" spans="1:34" ht="15" customHeight="1" x14ac:dyDescent="0.35">
      <c r="A656">
        <v>7547676</v>
      </c>
      <c r="B656">
        <v>690929</v>
      </c>
      <c r="C656" t="s">
        <v>34</v>
      </c>
      <c r="D656" t="s">
        <v>35</v>
      </c>
      <c r="E656" s="6" t="s">
        <v>34</v>
      </c>
      <c r="F656" t="s">
        <v>2030</v>
      </c>
      <c r="G656" t="s">
        <v>37</v>
      </c>
      <c r="H656" t="s">
        <v>38</v>
      </c>
      <c r="I656" t="s">
        <v>2031</v>
      </c>
      <c r="J656" t="s">
        <v>40</v>
      </c>
      <c r="K656">
        <v>2</v>
      </c>
      <c r="L656" t="s">
        <v>41</v>
      </c>
      <c r="M656" t="s">
        <v>42</v>
      </c>
      <c r="N656" t="s">
        <v>43</v>
      </c>
      <c r="O656" s="7">
        <v>1</v>
      </c>
      <c r="P656" s="8">
        <v>45362.421481481484</v>
      </c>
      <c r="Q656" s="9">
        <v>45363</v>
      </c>
      <c r="R656" t="s">
        <v>44</v>
      </c>
      <c r="S656" t="s">
        <v>45</v>
      </c>
      <c r="T656" t="s">
        <v>46</v>
      </c>
      <c r="U656" t="s">
        <v>47</v>
      </c>
      <c r="V656" t="s">
        <v>2032</v>
      </c>
      <c r="W656">
        <v>21040</v>
      </c>
      <c r="X656" t="s">
        <v>45</v>
      </c>
      <c r="Y656" t="s">
        <v>49</v>
      </c>
      <c r="Z656" t="s">
        <v>50</v>
      </c>
      <c r="AA656" s="10">
        <f>IF(O656&lt;=1,7,7+0.8*ROUNDUP(O656-1,0))</f>
        <v>7</v>
      </c>
      <c r="AB656" s="11">
        <v>0</v>
      </c>
      <c r="AC656" s="11">
        <v>0</v>
      </c>
      <c r="AD656" s="11">
        <v>0</v>
      </c>
      <c r="AE656" s="11">
        <v>0</v>
      </c>
      <c r="AF656" s="11">
        <f t="shared" si="26"/>
        <v>0.42</v>
      </c>
      <c r="AG656" s="11">
        <f t="shared" si="25"/>
        <v>7.42</v>
      </c>
      <c r="AH656" t="s">
        <v>51</v>
      </c>
    </row>
    <row r="657" spans="1:34" ht="15" customHeight="1" x14ac:dyDescent="0.35">
      <c r="A657">
        <v>7547676</v>
      </c>
      <c r="B657">
        <v>690929</v>
      </c>
      <c r="C657" t="s">
        <v>34</v>
      </c>
      <c r="D657" t="s">
        <v>35</v>
      </c>
      <c r="E657" s="6" t="s">
        <v>34</v>
      </c>
      <c r="F657" t="s">
        <v>2033</v>
      </c>
      <c r="G657" t="s">
        <v>37</v>
      </c>
      <c r="H657" t="s">
        <v>38</v>
      </c>
      <c r="I657" t="s">
        <v>2025</v>
      </c>
      <c r="J657" t="s">
        <v>40</v>
      </c>
      <c r="K657">
        <v>2</v>
      </c>
      <c r="L657" t="s">
        <v>41</v>
      </c>
      <c r="M657" t="s">
        <v>42</v>
      </c>
      <c r="N657" t="s">
        <v>43</v>
      </c>
      <c r="O657" s="7">
        <v>3</v>
      </c>
      <c r="P657" s="8">
        <v>45362.55395833333</v>
      </c>
      <c r="Q657" s="9">
        <v>45363</v>
      </c>
      <c r="R657" t="s">
        <v>44</v>
      </c>
      <c r="S657" t="s">
        <v>45</v>
      </c>
      <c r="T657" t="s">
        <v>46</v>
      </c>
      <c r="U657" t="s">
        <v>47</v>
      </c>
      <c r="V657" t="s">
        <v>2026</v>
      </c>
      <c r="W657">
        <v>21100</v>
      </c>
      <c r="X657" t="s">
        <v>45</v>
      </c>
      <c r="Y657" t="s">
        <v>560</v>
      </c>
      <c r="Z657" t="s">
        <v>50</v>
      </c>
      <c r="AA657" s="10">
        <f>IF(O657&lt;=1,7,7+0.8*ROUNDUP(O657-1,0))</f>
        <v>8.6</v>
      </c>
      <c r="AB657" s="11">
        <v>0</v>
      </c>
      <c r="AC657" s="11">
        <v>0</v>
      </c>
      <c r="AD657" s="11">
        <v>0</v>
      </c>
      <c r="AE657" s="11">
        <v>0</v>
      </c>
      <c r="AF657" s="11">
        <f t="shared" si="26"/>
        <v>0.51600000000000001</v>
      </c>
      <c r="AG657" s="11">
        <f t="shared" si="25"/>
        <v>9.1159999999999997</v>
      </c>
      <c r="AH657" t="s">
        <v>51</v>
      </c>
    </row>
    <row r="658" spans="1:34" ht="15" customHeight="1" x14ac:dyDescent="0.35">
      <c r="A658">
        <v>7547676</v>
      </c>
      <c r="B658">
        <v>690929</v>
      </c>
      <c r="C658" t="s">
        <v>34</v>
      </c>
      <c r="D658" t="s">
        <v>35</v>
      </c>
      <c r="E658" s="6" t="s">
        <v>34</v>
      </c>
      <c r="F658" t="s">
        <v>2034</v>
      </c>
      <c r="G658" t="s">
        <v>37</v>
      </c>
      <c r="H658" t="s">
        <v>38</v>
      </c>
      <c r="I658" t="s">
        <v>2035</v>
      </c>
      <c r="J658" t="s">
        <v>40</v>
      </c>
      <c r="K658">
        <v>2</v>
      </c>
      <c r="L658" t="s">
        <v>41</v>
      </c>
      <c r="M658" t="s">
        <v>42</v>
      </c>
      <c r="N658" t="s">
        <v>43</v>
      </c>
      <c r="O658" s="7">
        <v>2</v>
      </c>
      <c r="P658" s="8">
        <v>45362.728148148148</v>
      </c>
      <c r="Q658" s="9">
        <v>45363</v>
      </c>
      <c r="R658" t="s">
        <v>44</v>
      </c>
      <c r="S658" t="s">
        <v>45</v>
      </c>
      <c r="T658" t="s">
        <v>46</v>
      </c>
      <c r="U658" t="s">
        <v>67</v>
      </c>
      <c r="V658" t="s">
        <v>2036</v>
      </c>
      <c r="W658">
        <v>50450</v>
      </c>
      <c r="X658" t="s">
        <v>45</v>
      </c>
      <c r="Y658" t="s">
        <v>69</v>
      </c>
      <c r="Z658" t="s">
        <v>50</v>
      </c>
      <c r="AA658" s="10">
        <f>IF(O658&lt;=1,7,7+0.8*ROUNDUP(O658-1,0))</f>
        <v>7.8</v>
      </c>
      <c r="AB658" s="11">
        <v>0</v>
      </c>
      <c r="AC658" s="11">
        <v>0</v>
      </c>
      <c r="AD658" s="11">
        <v>0</v>
      </c>
      <c r="AE658" s="11">
        <v>0</v>
      </c>
      <c r="AF658" s="11">
        <f t="shared" si="26"/>
        <v>0.46799999999999997</v>
      </c>
      <c r="AG658" s="11">
        <f t="shared" si="25"/>
        <v>8.2680000000000007</v>
      </c>
      <c r="AH658" t="s">
        <v>51</v>
      </c>
    </row>
    <row r="659" spans="1:34" ht="15" customHeight="1" x14ac:dyDescent="0.35">
      <c r="A659">
        <v>7547676</v>
      </c>
      <c r="B659">
        <v>690929</v>
      </c>
      <c r="C659" t="s">
        <v>34</v>
      </c>
      <c r="D659" t="s">
        <v>35</v>
      </c>
      <c r="E659" s="6" t="s">
        <v>34</v>
      </c>
      <c r="F659" t="s">
        <v>2037</v>
      </c>
      <c r="G659" t="s">
        <v>37</v>
      </c>
      <c r="H659" t="s">
        <v>38</v>
      </c>
      <c r="I659" t="s">
        <v>1972</v>
      </c>
      <c r="J659" t="s">
        <v>40</v>
      </c>
      <c r="K659">
        <v>2</v>
      </c>
      <c r="L659" t="s">
        <v>41</v>
      </c>
      <c r="M659" t="s">
        <v>42</v>
      </c>
      <c r="N659" t="s">
        <v>43</v>
      </c>
      <c r="O659" s="7">
        <v>1</v>
      </c>
      <c r="P659" s="8">
        <v>45361.851585648146</v>
      </c>
      <c r="Q659" s="9">
        <v>45363</v>
      </c>
      <c r="R659" t="s">
        <v>44</v>
      </c>
      <c r="S659" t="s">
        <v>45</v>
      </c>
      <c r="T659" t="s">
        <v>46</v>
      </c>
      <c r="U659" t="s">
        <v>99</v>
      </c>
      <c r="V659" t="s">
        <v>1973</v>
      </c>
      <c r="W659">
        <v>16070</v>
      </c>
      <c r="X659" t="s">
        <v>45</v>
      </c>
      <c r="Y659" t="s">
        <v>156</v>
      </c>
      <c r="Z659" t="s">
        <v>50</v>
      </c>
      <c r="AA659" s="10">
        <f>IF(O659&lt;=1,7,7+0.8*ROUNDUP(O659-1,0))</f>
        <v>7</v>
      </c>
      <c r="AB659" s="11">
        <v>0</v>
      </c>
      <c r="AC659" s="11">
        <v>0</v>
      </c>
      <c r="AD659" s="11">
        <v>0</v>
      </c>
      <c r="AE659" s="11">
        <v>0</v>
      </c>
      <c r="AF659" s="11">
        <f t="shared" si="26"/>
        <v>0.42</v>
      </c>
      <c r="AG659" s="11">
        <f t="shared" si="25"/>
        <v>7.42</v>
      </c>
      <c r="AH659" t="s">
        <v>51</v>
      </c>
    </row>
    <row r="660" spans="1:34" ht="15" customHeight="1" x14ac:dyDescent="0.35">
      <c r="A660">
        <v>7547676</v>
      </c>
      <c r="B660">
        <v>690929</v>
      </c>
      <c r="C660" t="s">
        <v>34</v>
      </c>
      <c r="D660" t="s">
        <v>35</v>
      </c>
      <c r="E660" s="6" t="s">
        <v>34</v>
      </c>
      <c r="F660" t="s">
        <v>2038</v>
      </c>
      <c r="G660" t="s">
        <v>37</v>
      </c>
      <c r="H660" t="s">
        <v>38</v>
      </c>
      <c r="I660" t="s">
        <v>2039</v>
      </c>
      <c r="J660" t="s">
        <v>40</v>
      </c>
      <c r="K660">
        <v>2</v>
      </c>
      <c r="L660" t="s">
        <v>41</v>
      </c>
      <c r="M660" t="s">
        <v>42</v>
      </c>
      <c r="N660" t="s">
        <v>43</v>
      </c>
      <c r="O660" s="7">
        <v>1</v>
      </c>
      <c r="P660" s="8">
        <v>45362.726886574077</v>
      </c>
      <c r="Q660" s="9">
        <v>45363</v>
      </c>
      <c r="R660" t="s">
        <v>44</v>
      </c>
      <c r="S660" t="s">
        <v>45</v>
      </c>
      <c r="T660" t="s">
        <v>46</v>
      </c>
      <c r="U660" t="s">
        <v>99</v>
      </c>
      <c r="V660" t="s">
        <v>2040</v>
      </c>
      <c r="W660">
        <v>17500</v>
      </c>
      <c r="X660" t="s">
        <v>45</v>
      </c>
      <c r="Y660" t="s">
        <v>156</v>
      </c>
      <c r="Z660" t="s">
        <v>50</v>
      </c>
      <c r="AA660" s="10">
        <f>IF(O660&lt;=1,7,7+0.8*ROUNDUP(O660-1,0))</f>
        <v>7</v>
      </c>
      <c r="AB660" s="11">
        <v>0</v>
      </c>
      <c r="AC660" s="11">
        <v>0</v>
      </c>
      <c r="AD660" s="11">
        <v>0</v>
      </c>
      <c r="AE660" s="11">
        <v>0</v>
      </c>
      <c r="AF660" s="11">
        <f t="shared" si="26"/>
        <v>0.42</v>
      </c>
      <c r="AG660" s="11">
        <f t="shared" si="25"/>
        <v>7.42</v>
      </c>
      <c r="AH660" t="s">
        <v>51</v>
      </c>
    </row>
    <row r="661" spans="1:34" ht="15" customHeight="1" x14ac:dyDescent="0.35">
      <c r="A661">
        <v>7547676</v>
      </c>
      <c r="B661">
        <v>690929</v>
      </c>
      <c r="C661" t="s">
        <v>34</v>
      </c>
      <c r="D661" t="s">
        <v>35</v>
      </c>
      <c r="E661" s="6" t="s">
        <v>34</v>
      </c>
      <c r="F661" t="s">
        <v>2041</v>
      </c>
      <c r="G661" t="s">
        <v>37</v>
      </c>
      <c r="H661" t="s">
        <v>38</v>
      </c>
      <c r="I661" t="s">
        <v>2042</v>
      </c>
      <c r="J661" t="s">
        <v>40</v>
      </c>
      <c r="K661">
        <v>2</v>
      </c>
      <c r="L661" t="s">
        <v>41</v>
      </c>
      <c r="M661" t="s">
        <v>42</v>
      </c>
      <c r="N661" t="s">
        <v>43</v>
      </c>
      <c r="O661" s="7">
        <v>1</v>
      </c>
      <c r="P661" s="8">
        <v>45358.706458333334</v>
      </c>
      <c r="Q661" s="9">
        <v>45363</v>
      </c>
      <c r="R661" t="s">
        <v>44</v>
      </c>
      <c r="S661" t="s">
        <v>45</v>
      </c>
      <c r="T661" t="s">
        <v>46</v>
      </c>
      <c r="U661" t="s">
        <v>82</v>
      </c>
      <c r="V661" t="s">
        <v>2043</v>
      </c>
      <c r="W661">
        <v>81750</v>
      </c>
      <c r="X661" t="s">
        <v>45</v>
      </c>
      <c r="Y661" t="s">
        <v>859</v>
      </c>
      <c r="Z661" t="s">
        <v>50</v>
      </c>
      <c r="AA661" s="10">
        <f>IF(O661&lt;=1,7,7+0.8*ROUNDUP(O661-1,0))</f>
        <v>7</v>
      </c>
      <c r="AB661" s="11">
        <v>0</v>
      </c>
      <c r="AC661" s="11">
        <v>0</v>
      </c>
      <c r="AD661" s="11">
        <v>0</v>
      </c>
      <c r="AE661" s="11">
        <v>0</v>
      </c>
      <c r="AF661" s="11">
        <f t="shared" si="26"/>
        <v>0.42</v>
      </c>
      <c r="AG661" s="11">
        <f t="shared" si="25"/>
        <v>7.42</v>
      </c>
      <c r="AH661" t="s">
        <v>51</v>
      </c>
    </row>
    <row r="662" spans="1:34" ht="15" customHeight="1" x14ac:dyDescent="0.35">
      <c r="A662">
        <v>7547676</v>
      </c>
      <c r="B662">
        <v>690929</v>
      </c>
      <c r="C662" t="s">
        <v>34</v>
      </c>
      <c r="D662" t="s">
        <v>35</v>
      </c>
      <c r="E662" s="6" t="s">
        <v>34</v>
      </c>
      <c r="F662" t="s">
        <v>2044</v>
      </c>
      <c r="G662" t="s">
        <v>37</v>
      </c>
      <c r="H662" t="s">
        <v>38</v>
      </c>
      <c r="I662" t="s">
        <v>2045</v>
      </c>
      <c r="J662" t="s">
        <v>40</v>
      </c>
      <c r="K662">
        <v>2</v>
      </c>
      <c r="L662" t="s">
        <v>41</v>
      </c>
      <c r="M662" t="s">
        <v>42</v>
      </c>
      <c r="N662" t="s">
        <v>43</v>
      </c>
      <c r="O662" s="7">
        <v>1</v>
      </c>
      <c r="P662" s="8">
        <v>45357.874131944445</v>
      </c>
      <c r="Q662" s="9">
        <v>45363</v>
      </c>
      <c r="R662" t="s">
        <v>44</v>
      </c>
      <c r="S662" t="s">
        <v>45</v>
      </c>
      <c r="T662" t="s">
        <v>46</v>
      </c>
      <c r="U662" t="s">
        <v>54</v>
      </c>
      <c r="V662" t="s">
        <v>2046</v>
      </c>
      <c r="W662">
        <v>43200</v>
      </c>
      <c r="X662" t="s">
        <v>45</v>
      </c>
      <c r="Y662" t="s">
        <v>79</v>
      </c>
      <c r="Z662" t="s">
        <v>50</v>
      </c>
      <c r="AA662" s="10">
        <f>IF(O662&lt;=1,7,7+0.8*ROUNDUP(O662-1,0))</f>
        <v>7</v>
      </c>
      <c r="AB662" s="11">
        <v>0</v>
      </c>
      <c r="AC662" s="11">
        <v>0</v>
      </c>
      <c r="AD662" s="11">
        <v>0</v>
      </c>
      <c r="AE662" s="11">
        <v>0</v>
      </c>
      <c r="AF662" s="11">
        <f t="shared" si="26"/>
        <v>0.42</v>
      </c>
      <c r="AG662" s="11">
        <f t="shared" si="25"/>
        <v>7.42</v>
      </c>
      <c r="AH662" t="s">
        <v>51</v>
      </c>
    </row>
    <row r="663" spans="1:34" ht="15" customHeight="1" x14ac:dyDescent="0.35">
      <c r="A663">
        <v>7547676</v>
      </c>
      <c r="B663">
        <v>690929</v>
      </c>
      <c r="C663" t="s">
        <v>34</v>
      </c>
      <c r="D663" t="s">
        <v>35</v>
      </c>
      <c r="E663" s="6" t="s">
        <v>34</v>
      </c>
      <c r="F663" t="s">
        <v>2047</v>
      </c>
      <c r="G663" t="s">
        <v>37</v>
      </c>
      <c r="H663" t="s">
        <v>38</v>
      </c>
      <c r="I663" t="s">
        <v>2048</v>
      </c>
      <c r="J663" t="s">
        <v>40</v>
      </c>
      <c r="K663">
        <v>2</v>
      </c>
      <c r="L663" t="s">
        <v>41</v>
      </c>
      <c r="M663" t="s">
        <v>42</v>
      </c>
      <c r="N663" t="s">
        <v>43</v>
      </c>
      <c r="O663" s="7">
        <v>1</v>
      </c>
      <c r="P663" s="8">
        <v>45361.644745370373</v>
      </c>
      <c r="Q663" s="9">
        <v>45363</v>
      </c>
      <c r="R663" t="s">
        <v>44</v>
      </c>
      <c r="S663" t="s">
        <v>45</v>
      </c>
      <c r="T663" t="s">
        <v>46</v>
      </c>
      <c r="U663" t="s">
        <v>77</v>
      </c>
      <c r="V663" t="s">
        <v>2049</v>
      </c>
      <c r="W663">
        <v>75450</v>
      </c>
      <c r="X663" t="s">
        <v>45</v>
      </c>
      <c r="Y663" t="s">
        <v>79</v>
      </c>
      <c r="Z663" t="s">
        <v>50</v>
      </c>
      <c r="AA663" s="10">
        <f>IF(O663&lt;=1,7,7+0.8*ROUNDUP(O663-1,0))</f>
        <v>7</v>
      </c>
      <c r="AB663" s="11">
        <v>0</v>
      </c>
      <c r="AC663" s="11">
        <v>0</v>
      </c>
      <c r="AD663" s="11">
        <v>0</v>
      </c>
      <c r="AE663" s="11">
        <v>0</v>
      </c>
      <c r="AF663" s="11">
        <f t="shared" si="26"/>
        <v>0.42</v>
      </c>
      <c r="AG663" s="11">
        <f t="shared" si="25"/>
        <v>7.42</v>
      </c>
      <c r="AH663" t="s">
        <v>51</v>
      </c>
    </row>
    <row r="664" spans="1:34" ht="15" customHeight="1" x14ac:dyDescent="0.35">
      <c r="A664">
        <v>7547676</v>
      </c>
      <c r="B664">
        <v>690929</v>
      </c>
      <c r="C664" t="s">
        <v>34</v>
      </c>
      <c r="D664" t="s">
        <v>35</v>
      </c>
      <c r="E664" s="6" t="s">
        <v>34</v>
      </c>
      <c r="F664" t="s">
        <v>2050</v>
      </c>
      <c r="G664" t="s">
        <v>37</v>
      </c>
      <c r="H664" t="s">
        <v>38</v>
      </c>
      <c r="I664" t="s">
        <v>2051</v>
      </c>
      <c r="J664" t="s">
        <v>40</v>
      </c>
      <c r="K664">
        <v>2</v>
      </c>
      <c r="L664" t="s">
        <v>41</v>
      </c>
      <c r="M664" t="s">
        <v>42</v>
      </c>
      <c r="N664" t="s">
        <v>43</v>
      </c>
      <c r="O664" s="7">
        <v>1</v>
      </c>
      <c r="P664" s="8">
        <v>45361.734212962961</v>
      </c>
      <c r="Q664" s="9">
        <v>45363</v>
      </c>
      <c r="R664" t="s">
        <v>44</v>
      </c>
      <c r="S664" t="s">
        <v>45</v>
      </c>
      <c r="T664" t="s">
        <v>46</v>
      </c>
      <c r="U664" t="s">
        <v>278</v>
      </c>
      <c r="V664" t="s">
        <v>2052</v>
      </c>
      <c r="W664">
        <v>11600</v>
      </c>
      <c r="X664" t="s">
        <v>45</v>
      </c>
      <c r="Y664" t="s">
        <v>1831</v>
      </c>
      <c r="Z664" t="s">
        <v>50</v>
      </c>
      <c r="AA664" s="10">
        <f>IF(O664&lt;=1,7,7+0.8*ROUNDUP(O664-1,0))</f>
        <v>7</v>
      </c>
      <c r="AB664" s="11">
        <v>0</v>
      </c>
      <c r="AC664" s="11">
        <v>0</v>
      </c>
      <c r="AD664" s="11">
        <v>0</v>
      </c>
      <c r="AE664" s="11">
        <v>0</v>
      </c>
      <c r="AF664" s="11">
        <f t="shared" si="26"/>
        <v>0.42</v>
      </c>
      <c r="AG664" s="11">
        <f t="shared" si="25"/>
        <v>7.42</v>
      </c>
      <c r="AH664" t="s">
        <v>51</v>
      </c>
    </row>
    <row r="665" spans="1:34" ht="15" customHeight="1" x14ac:dyDescent="0.35">
      <c r="A665">
        <v>7547676</v>
      </c>
      <c r="B665">
        <v>690929</v>
      </c>
      <c r="C665" t="s">
        <v>34</v>
      </c>
      <c r="D665" t="s">
        <v>35</v>
      </c>
      <c r="E665" s="6" t="s">
        <v>34</v>
      </c>
      <c r="F665" t="s">
        <v>2053</v>
      </c>
      <c r="G665" t="s">
        <v>37</v>
      </c>
      <c r="H665" t="s">
        <v>38</v>
      </c>
      <c r="I665" t="s">
        <v>2054</v>
      </c>
      <c r="J665" t="s">
        <v>40</v>
      </c>
      <c r="K665">
        <v>2</v>
      </c>
      <c r="L665" t="s">
        <v>41</v>
      </c>
      <c r="M665" t="s">
        <v>42</v>
      </c>
      <c r="N665" t="s">
        <v>43</v>
      </c>
      <c r="O665" s="7">
        <v>1</v>
      </c>
      <c r="P665" s="8">
        <v>45362.528009259258</v>
      </c>
      <c r="Q665" s="9">
        <v>45363</v>
      </c>
      <c r="R665" t="s">
        <v>44</v>
      </c>
      <c r="S665" t="s">
        <v>45</v>
      </c>
      <c r="T665" t="s">
        <v>46</v>
      </c>
      <c r="U665" t="s">
        <v>190</v>
      </c>
      <c r="V665" t="s">
        <v>2055</v>
      </c>
      <c r="W665">
        <v>25150</v>
      </c>
      <c r="X665" t="s">
        <v>45</v>
      </c>
      <c r="Y665" t="s">
        <v>362</v>
      </c>
      <c r="Z665" t="s">
        <v>50</v>
      </c>
      <c r="AA665" s="10">
        <f>IF(O665&lt;=1,7,7+0.8*ROUNDUP(O665-1,0))</f>
        <v>7</v>
      </c>
      <c r="AB665" s="11">
        <v>0</v>
      </c>
      <c r="AC665" s="11">
        <v>0</v>
      </c>
      <c r="AD665" s="11">
        <v>0</v>
      </c>
      <c r="AE665" s="11">
        <v>0</v>
      </c>
      <c r="AF665" s="11">
        <f t="shared" si="26"/>
        <v>0.42</v>
      </c>
      <c r="AG665" s="11">
        <f t="shared" si="25"/>
        <v>7.42</v>
      </c>
      <c r="AH665" t="s">
        <v>51</v>
      </c>
    </row>
    <row r="666" spans="1:34" ht="15" customHeight="1" x14ac:dyDescent="0.35">
      <c r="A666">
        <v>7547676</v>
      </c>
      <c r="B666">
        <v>690929</v>
      </c>
      <c r="C666" t="s">
        <v>34</v>
      </c>
      <c r="D666" t="s">
        <v>35</v>
      </c>
      <c r="E666" s="6" t="s">
        <v>34</v>
      </c>
      <c r="F666" t="s">
        <v>2056</v>
      </c>
      <c r="G666" t="s">
        <v>37</v>
      </c>
      <c r="H666" t="s">
        <v>38</v>
      </c>
      <c r="I666" t="s">
        <v>947</v>
      </c>
      <c r="J666" t="s">
        <v>40</v>
      </c>
      <c r="K666">
        <v>2</v>
      </c>
      <c r="L666" t="s">
        <v>41</v>
      </c>
      <c r="M666" t="s">
        <v>42</v>
      </c>
      <c r="N666" t="s">
        <v>43</v>
      </c>
      <c r="O666" s="7">
        <v>1</v>
      </c>
      <c r="P666" s="8">
        <v>45361.673587962963</v>
      </c>
      <c r="Q666" s="9">
        <v>45363</v>
      </c>
      <c r="R666" t="s">
        <v>44</v>
      </c>
      <c r="S666" t="s">
        <v>45</v>
      </c>
      <c r="T666" t="s">
        <v>46</v>
      </c>
      <c r="U666" t="s">
        <v>278</v>
      </c>
      <c r="V666" t="s">
        <v>948</v>
      </c>
      <c r="W666">
        <v>11000</v>
      </c>
      <c r="X666" t="s">
        <v>45</v>
      </c>
      <c r="Y666" t="s">
        <v>342</v>
      </c>
      <c r="Z666" t="s">
        <v>50</v>
      </c>
      <c r="AA666" s="10">
        <f>IF(O666&lt;=1,7,7+0.8*ROUNDUP(O666-1,0))</f>
        <v>7</v>
      </c>
      <c r="AB666" s="11">
        <v>0</v>
      </c>
      <c r="AC666" s="11">
        <v>0</v>
      </c>
      <c r="AD666" s="11">
        <v>0</v>
      </c>
      <c r="AE666" s="11">
        <v>0</v>
      </c>
      <c r="AF666" s="11">
        <f t="shared" si="26"/>
        <v>0.42</v>
      </c>
      <c r="AG666" s="11">
        <f t="shared" ref="AG666:AG729" si="27">AA666+AC666+AE666+AF666</f>
        <v>7.42</v>
      </c>
      <c r="AH666" t="s">
        <v>51</v>
      </c>
    </row>
    <row r="667" spans="1:34" ht="15" customHeight="1" x14ac:dyDescent="0.35">
      <c r="A667">
        <v>7547676</v>
      </c>
      <c r="B667">
        <v>690929</v>
      </c>
      <c r="C667" t="s">
        <v>34</v>
      </c>
      <c r="D667" t="s">
        <v>35</v>
      </c>
      <c r="E667" s="6" t="s">
        <v>34</v>
      </c>
      <c r="F667" t="s">
        <v>2057</v>
      </c>
      <c r="G667" t="s">
        <v>37</v>
      </c>
      <c r="H667" t="s">
        <v>38</v>
      </c>
      <c r="I667" t="s">
        <v>2058</v>
      </c>
      <c r="J667" t="s">
        <v>40</v>
      </c>
      <c r="K667">
        <v>2</v>
      </c>
      <c r="L667" t="s">
        <v>41</v>
      </c>
      <c r="M667" t="s">
        <v>42</v>
      </c>
      <c r="N667" t="s">
        <v>43</v>
      </c>
      <c r="O667" s="7">
        <v>2</v>
      </c>
      <c r="P667" s="8">
        <v>45361.665219907409</v>
      </c>
      <c r="Q667" s="9">
        <v>45363</v>
      </c>
      <c r="R667" t="s">
        <v>44</v>
      </c>
      <c r="S667" t="s">
        <v>45</v>
      </c>
      <c r="T667" t="s">
        <v>46</v>
      </c>
      <c r="U667" t="s">
        <v>54</v>
      </c>
      <c r="V667" t="s">
        <v>2059</v>
      </c>
      <c r="W667">
        <v>43500</v>
      </c>
      <c r="X667" t="s">
        <v>45</v>
      </c>
      <c r="Y667" t="s">
        <v>983</v>
      </c>
      <c r="Z667" t="s">
        <v>50</v>
      </c>
      <c r="AA667" s="10">
        <f>IF(O667&lt;=1,7,7+0.8*ROUNDUP(O667-1,0))</f>
        <v>7.8</v>
      </c>
      <c r="AB667" s="11">
        <v>0</v>
      </c>
      <c r="AC667" s="11">
        <v>0</v>
      </c>
      <c r="AD667" s="11">
        <v>0</v>
      </c>
      <c r="AE667" s="11">
        <v>0</v>
      </c>
      <c r="AF667" s="11">
        <f t="shared" si="26"/>
        <v>0.46799999999999997</v>
      </c>
      <c r="AG667" s="11">
        <f t="shared" si="27"/>
        <v>8.2680000000000007</v>
      </c>
      <c r="AH667" t="s">
        <v>51</v>
      </c>
    </row>
    <row r="668" spans="1:34" ht="15" customHeight="1" x14ac:dyDescent="0.35">
      <c r="A668">
        <v>7547676</v>
      </c>
      <c r="B668">
        <v>690929</v>
      </c>
      <c r="C668" t="s">
        <v>34</v>
      </c>
      <c r="D668" t="s">
        <v>35</v>
      </c>
      <c r="E668" s="6" t="s">
        <v>34</v>
      </c>
      <c r="F668" t="s">
        <v>2060</v>
      </c>
      <c r="G668" t="s">
        <v>37</v>
      </c>
      <c r="H668" t="s">
        <v>38</v>
      </c>
      <c r="I668" t="s">
        <v>2061</v>
      </c>
      <c r="J668" t="s">
        <v>40</v>
      </c>
      <c r="K668">
        <v>2</v>
      </c>
      <c r="L668" t="s">
        <v>41</v>
      </c>
      <c r="M668" t="s">
        <v>42</v>
      </c>
      <c r="N668" t="s">
        <v>43</v>
      </c>
      <c r="O668" s="7">
        <v>1</v>
      </c>
      <c r="P668" s="8">
        <v>45361.673587962963</v>
      </c>
      <c r="Q668" s="9">
        <v>45363</v>
      </c>
      <c r="R668" t="s">
        <v>44</v>
      </c>
      <c r="S668" t="s">
        <v>45</v>
      </c>
      <c r="T668" t="s">
        <v>46</v>
      </c>
      <c r="U668" t="s">
        <v>54</v>
      </c>
      <c r="V668" t="s">
        <v>2062</v>
      </c>
      <c r="W668">
        <v>43500</v>
      </c>
      <c r="X668" t="s">
        <v>45</v>
      </c>
      <c r="Y668" t="s">
        <v>983</v>
      </c>
      <c r="Z668" t="s">
        <v>50</v>
      </c>
      <c r="AA668" s="10">
        <f>IF(O668&lt;=1,7,7+0.8*ROUNDUP(O668-1,0))</f>
        <v>7</v>
      </c>
      <c r="AB668" s="11">
        <v>0</v>
      </c>
      <c r="AC668" s="11">
        <v>0</v>
      </c>
      <c r="AD668" s="11">
        <v>0</v>
      </c>
      <c r="AE668" s="11">
        <v>0</v>
      </c>
      <c r="AF668" s="11">
        <f t="shared" si="26"/>
        <v>0.42</v>
      </c>
      <c r="AG668" s="11">
        <f t="shared" si="27"/>
        <v>7.42</v>
      </c>
      <c r="AH668" t="s">
        <v>51</v>
      </c>
    </row>
    <row r="669" spans="1:34" ht="15" customHeight="1" x14ac:dyDescent="0.35">
      <c r="A669">
        <v>7547676</v>
      </c>
      <c r="B669">
        <v>690929</v>
      </c>
      <c r="C669" t="s">
        <v>34</v>
      </c>
      <c r="D669" t="s">
        <v>35</v>
      </c>
      <c r="E669" s="6" t="s">
        <v>34</v>
      </c>
      <c r="F669" t="s">
        <v>2063</v>
      </c>
      <c r="G669" t="s">
        <v>37</v>
      </c>
      <c r="H669" t="s">
        <v>38</v>
      </c>
      <c r="I669" t="s">
        <v>2064</v>
      </c>
      <c r="J669" t="s">
        <v>40</v>
      </c>
      <c r="K669">
        <v>2</v>
      </c>
      <c r="L669" t="s">
        <v>41</v>
      </c>
      <c r="M669" t="s">
        <v>42</v>
      </c>
      <c r="N669" t="s">
        <v>43</v>
      </c>
      <c r="O669" s="7">
        <v>1</v>
      </c>
      <c r="P669" s="8">
        <v>45362.744421296295</v>
      </c>
      <c r="Q669" s="9">
        <v>45363</v>
      </c>
      <c r="R669" t="s">
        <v>44</v>
      </c>
      <c r="S669" t="s">
        <v>45</v>
      </c>
      <c r="T669" t="s">
        <v>46</v>
      </c>
      <c r="U669" t="s">
        <v>67</v>
      </c>
      <c r="V669" t="s">
        <v>2065</v>
      </c>
      <c r="W669">
        <v>56000</v>
      </c>
      <c r="X669" t="s">
        <v>45</v>
      </c>
      <c r="Y669" t="s">
        <v>1808</v>
      </c>
      <c r="Z669" t="s">
        <v>50</v>
      </c>
      <c r="AA669" s="10">
        <f>IF(O669&lt;=1,7,7+0.8*ROUNDUP(O669-1,0))</f>
        <v>7</v>
      </c>
      <c r="AB669" s="11">
        <v>0</v>
      </c>
      <c r="AC669" s="11">
        <v>0</v>
      </c>
      <c r="AD669" s="11">
        <v>0</v>
      </c>
      <c r="AE669" s="11">
        <v>0</v>
      </c>
      <c r="AF669" s="11">
        <f t="shared" si="26"/>
        <v>0.42</v>
      </c>
      <c r="AG669" s="11">
        <f t="shared" si="27"/>
        <v>7.42</v>
      </c>
      <c r="AH669" t="s">
        <v>51</v>
      </c>
    </row>
    <row r="670" spans="1:34" ht="15" customHeight="1" x14ac:dyDescent="0.35">
      <c r="A670">
        <v>7547676</v>
      </c>
      <c r="B670">
        <v>690929</v>
      </c>
      <c r="C670" t="s">
        <v>34</v>
      </c>
      <c r="D670" t="s">
        <v>35</v>
      </c>
      <c r="E670" s="6" t="s">
        <v>34</v>
      </c>
      <c r="F670" t="s">
        <v>2066</v>
      </c>
      <c r="G670" t="s">
        <v>37</v>
      </c>
      <c r="H670" t="s">
        <v>38</v>
      </c>
      <c r="I670" t="s">
        <v>2067</v>
      </c>
      <c r="J670" t="s">
        <v>40</v>
      </c>
      <c r="K670">
        <v>2</v>
      </c>
      <c r="L670" t="s">
        <v>41</v>
      </c>
      <c r="M670" t="s">
        <v>42</v>
      </c>
      <c r="N670" t="s">
        <v>43</v>
      </c>
      <c r="O670" s="7">
        <v>4</v>
      </c>
      <c r="P670" s="8">
        <v>45358.457199074073</v>
      </c>
      <c r="Q670" s="9">
        <v>45363</v>
      </c>
      <c r="R670" t="s">
        <v>44</v>
      </c>
      <c r="S670" t="s">
        <v>45</v>
      </c>
      <c r="T670" t="s">
        <v>46</v>
      </c>
      <c r="U670" t="s">
        <v>190</v>
      </c>
      <c r="V670" t="s">
        <v>2068</v>
      </c>
      <c r="W670">
        <v>69000</v>
      </c>
      <c r="X670" t="s">
        <v>45</v>
      </c>
      <c r="Y670" t="s">
        <v>79</v>
      </c>
      <c r="Z670" t="s">
        <v>50</v>
      </c>
      <c r="AA670" s="10">
        <f>IF(O670&lt;=1,7,7+0.8*ROUNDUP(O670-1,0))</f>
        <v>9.4</v>
      </c>
      <c r="AB670" s="11">
        <v>0</v>
      </c>
      <c r="AC670" s="11">
        <v>0</v>
      </c>
      <c r="AD670" s="11">
        <v>0</v>
      </c>
      <c r="AE670" s="11">
        <v>0</v>
      </c>
      <c r="AF670" s="11">
        <f t="shared" ref="AF670:AF674" si="28">(AA670+AC670+AE670)*6%</f>
        <v>0.56399999999999995</v>
      </c>
      <c r="AG670" s="11">
        <f t="shared" si="27"/>
        <v>9.9640000000000004</v>
      </c>
      <c r="AH670" t="s">
        <v>51</v>
      </c>
    </row>
    <row r="671" spans="1:34" ht="15" customHeight="1" x14ac:dyDescent="0.35">
      <c r="A671">
        <v>7547676</v>
      </c>
      <c r="B671">
        <v>690929</v>
      </c>
      <c r="C671" t="s">
        <v>34</v>
      </c>
      <c r="D671" t="s">
        <v>35</v>
      </c>
      <c r="E671" s="6" t="s">
        <v>34</v>
      </c>
      <c r="F671" t="s">
        <v>2069</v>
      </c>
      <c r="G671" t="s">
        <v>37</v>
      </c>
      <c r="H671" t="s">
        <v>38</v>
      </c>
      <c r="I671" t="s">
        <v>2070</v>
      </c>
      <c r="J671" t="s">
        <v>40</v>
      </c>
      <c r="K671">
        <v>2</v>
      </c>
      <c r="L671" t="s">
        <v>41</v>
      </c>
      <c r="M671" t="s">
        <v>42</v>
      </c>
      <c r="N671" t="s">
        <v>43</v>
      </c>
      <c r="O671" s="7">
        <v>1</v>
      </c>
      <c r="P671" s="8">
        <v>45363.532962962963</v>
      </c>
      <c r="Q671" s="9">
        <v>45364</v>
      </c>
      <c r="R671" t="s">
        <v>44</v>
      </c>
      <c r="S671" t="s">
        <v>45</v>
      </c>
      <c r="T671" t="s">
        <v>46</v>
      </c>
      <c r="U671" t="s">
        <v>54</v>
      </c>
      <c r="V671" t="s">
        <v>2071</v>
      </c>
      <c r="W671">
        <v>43500</v>
      </c>
      <c r="X671" t="s">
        <v>45</v>
      </c>
      <c r="Y671" t="s">
        <v>983</v>
      </c>
      <c r="Z671" t="s">
        <v>50</v>
      </c>
      <c r="AA671" s="10">
        <f>IF(O671&lt;=1,7,7+0.8*ROUNDUP(O671-1,0))</f>
        <v>7</v>
      </c>
      <c r="AB671" s="11">
        <v>0</v>
      </c>
      <c r="AC671" s="11">
        <v>0</v>
      </c>
      <c r="AD671" s="11">
        <v>0</v>
      </c>
      <c r="AE671" s="11">
        <v>0</v>
      </c>
      <c r="AF671" s="11">
        <f t="shared" si="28"/>
        <v>0.42</v>
      </c>
      <c r="AG671" s="11">
        <f t="shared" si="27"/>
        <v>7.42</v>
      </c>
      <c r="AH671" t="s">
        <v>51</v>
      </c>
    </row>
    <row r="672" spans="1:34" ht="15" customHeight="1" x14ac:dyDescent="0.35">
      <c r="A672">
        <v>7547676</v>
      </c>
      <c r="B672">
        <v>690929</v>
      </c>
      <c r="C672" t="s">
        <v>34</v>
      </c>
      <c r="D672" t="s">
        <v>35</v>
      </c>
      <c r="E672" s="6" t="s">
        <v>34</v>
      </c>
      <c r="F672" t="s">
        <v>2072</v>
      </c>
      <c r="G672" t="s">
        <v>37</v>
      </c>
      <c r="H672" t="s">
        <v>38</v>
      </c>
      <c r="I672" t="s">
        <v>2073</v>
      </c>
      <c r="J672" t="s">
        <v>40</v>
      </c>
      <c r="K672">
        <v>2</v>
      </c>
      <c r="L672" t="s">
        <v>41</v>
      </c>
      <c r="M672" t="s">
        <v>42</v>
      </c>
      <c r="N672" t="s">
        <v>43</v>
      </c>
      <c r="O672" s="7">
        <v>1</v>
      </c>
      <c r="P672" s="8">
        <v>45362.744421296295</v>
      </c>
      <c r="Q672" s="9">
        <v>45364</v>
      </c>
      <c r="R672" t="s">
        <v>44</v>
      </c>
      <c r="S672" t="s">
        <v>45</v>
      </c>
      <c r="T672" t="s">
        <v>46</v>
      </c>
      <c r="U672" t="s">
        <v>172</v>
      </c>
      <c r="V672" t="s">
        <v>2074</v>
      </c>
      <c r="W672">
        <v>30020</v>
      </c>
      <c r="X672" t="s">
        <v>45</v>
      </c>
      <c r="Y672" t="s">
        <v>1707</v>
      </c>
      <c r="Z672" t="s">
        <v>50</v>
      </c>
      <c r="AA672" s="10">
        <f>IF(O672&lt;=1,7,7+0.8*ROUNDUP(O672-1,0))</f>
        <v>7</v>
      </c>
      <c r="AB672" s="11">
        <v>0</v>
      </c>
      <c r="AC672" s="11">
        <v>0</v>
      </c>
      <c r="AD672" s="11">
        <v>0</v>
      </c>
      <c r="AE672" s="11">
        <v>0</v>
      </c>
      <c r="AF672" s="11">
        <f t="shared" si="28"/>
        <v>0.42</v>
      </c>
      <c r="AG672" s="11">
        <f t="shared" si="27"/>
        <v>7.42</v>
      </c>
      <c r="AH672" t="s">
        <v>51</v>
      </c>
    </row>
    <row r="673" spans="1:34" ht="15" customHeight="1" x14ac:dyDescent="0.35">
      <c r="A673">
        <v>7547676</v>
      </c>
      <c r="B673">
        <v>690929</v>
      </c>
      <c r="C673" t="s">
        <v>34</v>
      </c>
      <c r="D673" t="s">
        <v>35</v>
      </c>
      <c r="E673" s="6" t="s">
        <v>34</v>
      </c>
      <c r="F673" t="s">
        <v>2075</v>
      </c>
      <c r="G673" t="s">
        <v>37</v>
      </c>
      <c r="H673" t="s">
        <v>38</v>
      </c>
      <c r="I673" t="s">
        <v>2076</v>
      </c>
      <c r="J673" t="s">
        <v>40</v>
      </c>
      <c r="K673">
        <v>2</v>
      </c>
      <c r="L673" t="s">
        <v>41</v>
      </c>
      <c r="M673" t="s">
        <v>42</v>
      </c>
      <c r="N673" t="s">
        <v>43</v>
      </c>
      <c r="O673" s="7">
        <v>3</v>
      </c>
      <c r="P673" s="8">
        <v>45363.668865740743</v>
      </c>
      <c r="Q673" s="9">
        <v>45364</v>
      </c>
      <c r="R673" t="s">
        <v>44</v>
      </c>
      <c r="S673" t="s">
        <v>45</v>
      </c>
      <c r="T673" t="s">
        <v>46</v>
      </c>
      <c r="U673" t="s">
        <v>67</v>
      </c>
      <c r="V673" t="s">
        <v>2077</v>
      </c>
      <c r="W673">
        <v>52100</v>
      </c>
      <c r="X673" t="s">
        <v>45</v>
      </c>
      <c r="Y673" t="s">
        <v>1408</v>
      </c>
      <c r="Z673" t="s">
        <v>50</v>
      </c>
      <c r="AA673" s="10">
        <f>IF(O673&lt;=1,7,7+0.8*ROUNDUP(O673-1,0))</f>
        <v>8.6</v>
      </c>
      <c r="AB673" s="11">
        <v>0</v>
      </c>
      <c r="AC673" s="11">
        <v>0</v>
      </c>
      <c r="AD673" s="11">
        <v>0</v>
      </c>
      <c r="AE673" s="11">
        <v>0</v>
      </c>
      <c r="AF673" s="11">
        <f t="shared" si="28"/>
        <v>0.51600000000000001</v>
      </c>
      <c r="AG673" s="11">
        <f t="shared" si="27"/>
        <v>9.1159999999999997</v>
      </c>
      <c r="AH673" t="s">
        <v>51</v>
      </c>
    </row>
    <row r="674" spans="1:34" ht="15" customHeight="1" x14ac:dyDescent="0.35">
      <c r="A674">
        <v>7547676</v>
      </c>
      <c r="B674">
        <v>690929</v>
      </c>
      <c r="C674" t="s">
        <v>34</v>
      </c>
      <c r="D674" t="s">
        <v>35</v>
      </c>
      <c r="E674" s="6" t="s">
        <v>34</v>
      </c>
      <c r="F674" t="s">
        <v>2078</v>
      </c>
      <c r="G674" t="s">
        <v>37</v>
      </c>
      <c r="H674" t="s">
        <v>38</v>
      </c>
      <c r="I674" t="s">
        <v>2079</v>
      </c>
      <c r="J674" t="s">
        <v>40</v>
      </c>
      <c r="K674">
        <v>2</v>
      </c>
      <c r="L674" t="s">
        <v>41</v>
      </c>
      <c r="M674" t="s">
        <v>42</v>
      </c>
      <c r="N674" t="s">
        <v>43</v>
      </c>
      <c r="O674" s="7">
        <v>1</v>
      </c>
      <c r="P674" s="8">
        <v>45361.719930555555</v>
      </c>
      <c r="Q674" s="9">
        <v>45364</v>
      </c>
      <c r="R674" t="s">
        <v>44</v>
      </c>
      <c r="S674" t="s">
        <v>45</v>
      </c>
      <c r="T674" t="s">
        <v>46</v>
      </c>
      <c r="U674" t="s">
        <v>54</v>
      </c>
      <c r="V674" t="s">
        <v>2080</v>
      </c>
      <c r="W674">
        <v>40400</v>
      </c>
      <c r="X674" t="s">
        <v>45</v>
      </c>
      <c r="Y674" t="s">
        <v>79</v>
      </c>
      <c r="Z674" t="s">
        <v>50</v>
      </c>
      <c r="AA674" s="10">
        <f>IF(O674&lt;=1,7,7+0.8*ROUNDUP(O674-1,0))</f>
        <v>7</v>
      </c>
      <c r="AB674" s="11">
        <v>0</v>
      </c>
      <c r="AC674" s="11">
        <v>0</v>
      </c>
      <c r="AD674" s="11">
        <v>0</v>
      </c>
      <c r="AE674" s="11">
        <v>0</v>
      </c>
      <c r="AF674" s="11">
        <f t="shared" si="28"/>
        <v>0.42</v>
      </c>
      <c r="AG674" s="11">
        <f t="shared" si="27"/>
        <v>7.42</v>
      </c>
      <c r="AH674" t="s">
        <v>51</v>
      </c>
    </row>
    <row r="675" spans="1:34" ht="15" customHeight="1" x14ac:dyDescent="0.35">
      <c r="A675">
        <v>7547676</v>
      </c>
      <c r="B675">
        <v>690929</v>
      </c>
      <c r="C675" t="s">
        <v>34</v>
      </c>
      <c r="D675" t="s">
        <v>35</v>
      </c>
      <c r="E675" s="6" t="s">
        <v>34</v>
      </c>
      <c r="F675" t="s">
        <v>2081</v>
      </c>
      <c r="G675" t="s">
        <v>37</v>
      </c>
      <c r="H675" t="s">
        <v>38</v>
      </c>
      <c r="I675" t="s">
        <v>512</v>
      </c>
      <c r="J675" t="s">
        <v>40</v>
      </c>
      <c r="K675">
        <v>2</v>
      </c>
      <c r="L675" t="s">
        <v>41</v>
      </c>
      <c r="M675" t="s">
        <v>42</v>
      </c>
      <c r="N675" t="s">
        <v>43</v>
      </c>
      <c r="O675" s="7">
        <v>5</v>
      </c>
      <c r="P675" s="8">
        <v>45363.668865740743</v>
      </c>
      <c r="Q675" s="9">
        <v>45364</v>
      </c>
      <c r="R675" t="s">
        <v>44</v>
      </c>
      <c r="S675" t="s">
        <v>45</v>
      </c>
      <c r="T675" t="s">
        <v>46</v>
      </c>
      <c r="U675" t="s">
        <v>99</v>
      </c>
      <c r="V675" t="s">
        <v>513</v>
      </c>
      <c r="W675">
        <v>17020</v>
      </c>
      <c r="X675" t="s">
        <v>45</v>
      </c>
      <c r="Y675" t="s">
        <v>1045</v>
      </c>
      <c r="Z675" t="s">
        <v>50</v>
      </c>
      <c r="AA675" s="10">
        <f>IF(O675&lt;=1,7,7+0.8*ROUNDUP(O675-1,0))</f>
        <v>10.199999999999999</v>
      </c>
      <c r="AB675" s="11">
        <v>0</v>
      </c>
      <c r="AC675" s="11">
        <v>0</v>
      </c>
      <c r="AD675" s="11">
        <v>0</v>
      </c>
      <c r="AE675" s="11">
        <v>0</v>
      </c>
      <c r="AF675" s="11">
        <f>(AA675+AC675+AE675)*6%</f>
        <v>0.61199999999999999</v>
      </c>
      <c r="AG675" s="11">
        <f t="shared" si="27"/>
        <v>10.811999999999999</v>
      </c>
      <c r="AH675" t="s">
        <v>51</v>
      </c>
    </row>
    <row r="676" spans="1:34" ht="15" customHeight="1" x14ac:dyDescent="0.35">
      <c r="A676">
        <v>7547676</v>
      </c>
      <c r="B676">
        <v>690929</v>
      </c>
      <c r="C676" t="s">
        <v>34</v>
      </c>
      <c r="D676" t="s">
        <v>35</v>
      </c>
      <c r="E676" s="6" t="s">
        <v>34</v>
      </c>
      <c r="F676" t="s">
        <v>2082</v>
      </c>
      <c r="G676" t="s">
        <v>37</v>
      </c>
      <c r="H676" t="s">
        <v>38</v>
      </c>
      <c r="I676" t="s">
        <v>2083</v>
      </c>
      <c r="J676" t="s">
        <v>40</v>
      </c>
      <c r="K676">
        <v>2</v>
      </c>
      <c r="L676" t="s">
        <v>41</v>
      </c>
      <c r="M676" t="s">
        <v>42</v>
      </c>
      <c r="N676" t="s">
        <v>43</v>
      </c>
      <c r="O676" s="7">
        <v>5</v>
      </c>
      <c r="P676" s="8">
        <v>45362.764247685183</v>
      </c>
      <c r="Q676" s="9">
        <v>45364</v>
      </c>
      <c r="R676" t="s">
        <v>44</v>
      </c>
      <c r="S676" t="s">
        <v>45</v>
      </c>
      <c r="T676" t="s">
        <v>46</v>
      </c>
      <c r="U676" t="s">
        <v>54</v>
      </c>
      <c r="V676" t="s">
        <v>2084</v>
      </c>
      <c r="W676">
        <v>43900</v>
      </c>
      <c r="X676" t="s">
        <v>45</v>
      </c>
      <c r="Y676" t="s">
        <v>347</v>
      </c>
      <c r="Z676" t="s">
        <v>50</v>
      </c>
      <c r="AA676" s="10">
        <f>IF(O676&lt;=1,7,7+0.8*ROUNDUP(O676-1,0))</f>
        <v>10.199999999999999</v>
      </c>
      <c r="AB676" s="11">
        <v>0</v>
      </c>
      <c r="AC676" s="11">
        <v>0</v>
      </c>
      <c r="AD676" s="11">
        <v>0</v>
      </c>
      <c r="AE676" s="11">
        <v>0</v>
      </c>
      <c r="AF676" s="11">
        <f t="shared" ref="AF676:AF724" si="29">(AA676+AC676+AE676)*6%</f>
        <v>0.61199999999999999</v>
      </c>
      <c r="AG676" s="11">
        <f t="shared" si="27"/>
        <v>10.811999999999999</v>
      </c>
      <c r="AH676" t="s">
        <v>51</v>
      </c>
    </row>
    <row r="677" spans="1:34" ht="15" customHeight="1" x14ac:dyDescent="0.35">
      <c r="A677">
        <v>7547676</v>
      </c>
      <c r="B677">
        <v>690929</v>
      </c>
      <c r="C677" t="s">
        <v>34</v>
      </c>
      <c r="D677" t="s">
        <v>35</v>
      </c>
      <c r="E677" s="6" t="s">
        <v>34</v>
      </c>
      <c r="F677" t="s">
        <v>2085</v>
      </c>
      <c r="G677" t="s">
        <v>37</v>
      </c>
      <c r="H677" t="s">
        <v>38</v>
      </c>
      <c r="I677" t="s">
        <v>2086</v>
      </c>
      <c r="J677" t="s">
        <v>40</v>
      </c>
      <c r="K677">
        <v>2</v>
      </c>
      <c r="L677" t="s">
        <v>41</v>
      </c>
      <c r="M677" t="s">
        <v>42</v>
      </c>
      <c r="N677" t="s">
        <v>43</v>
      </c>
      <c r="O677" s="7">
        <v>1</v>
      </c>
      <c r="P677" s="8">
        <v>45360.652118055557</v>
      </c>
      <c r="Q677" s="9">
        <v>45364</v>
      </c>
      <c r="R677" t="s">
        <v>287</v>
      </c>
      <c r="S677" t="s">
        <v>45</v>
      </c>
      <c r="T677" t="s">
        <v>46</v>
      </c>
      <c r="U677" t="s">
        <v>134</v>
      </c>
      <c r="V677" t="s">
        <v>2087</v>
      </c>
      <c r="W677">
        <v>6000</v>
      </c>
      <c r="X677" t="s">
        <v>45</v>
      </c>
      <c r="Y677" t="s">
        <v>152</v>
      </c>
      <c r="Z677" t="s">
        <v>50</v>
      </c>
      <c r="AA677" s="10">
        <f>IF(O677&lt;=1,7,7+0.8*ROUNDUP(O677-1,0))</f>
        <v>7</v>
      </c>
      <c r="AB677" s="11">
        <v>0</v>
      </c>
      <c r="AC677" s="11">
        <v>0</v>
      </c>
      <c r="AD677" s="11">
        <v>0</v>
      </c>
      <c r="AE677" s="11">
        <v>0</v>
      </c>
      <c r="AF677" s="11">
        <f t="shared" si="29"/>
        <v>0.42</v>
      </c>
      <c r="AG677" s="11">
        <f t="shared" si="27"/>
        <v>7.42</v>
      </c>
      <c r="AH677" t="s">
        <v>51</v>
      </c>
    </row>
    <row r="678" spans="1:34" ht="15" customHeight="1" x14ac:dyDescent="0.35">
      <c r="A678">
        <v>7547676</v>
      </c>
      <c r="B678">
        <v>690929</v>
      </c>
      <c r="C678" t="s">
        <v>34</v>
      </c>
      <c r="D678" t="s">
        <v>35</v>
      </c>
      <c r="E678" s="6" t="s">
        <v>34</v>
      </c>
      <c r="F678" t="s">
        <v>2088</v>
      </c>
      <c r="G678" t="s">
        <v>37</v>
      </c>
      <c r="H678" t="s">
        <v>38</v>
      </c>
      <c r="I678" t="s">
        <v>2089</v>
      </c>
      <c r="J678" t="s">
        <v>40</v>
      </c>
      <c r="K678">
        <v>2</v>
      </c>
      <c r="L678" t="s">
        <v>41</v>
      </c>
      <c r="M678" t="s">
        <v>42</v>
      </c>
      <c r="N678" t="s">
        <v>43</v>
      </c>
      <c r="O678" s="7">
        <v>1</v>
      </c>
      <c r="P678" s="8">
        <v>45363.688148148147</v>
      </c>
      <c r="Q678" s="9">
        <v>45364</v>
      </c>
      <c r="R678" t="s">
        <v>44</v>
      </c>
      <c r="S678" t="s">
        <v>45</v>
      </c>
      <c r="T678" t="s">
        <v>46</v>
      </c>
      <c r="U678" t="s">
        <v>99</v>
      </c>
      <c r="V678" t="s">
        <v>2090</v>
      </c>
      <c r="W678">
        <v>18500</v>
      </c>
      <c r="X678" t="s">
        <v>45</v>
      </c>
      <c r="Y678" t="s">
        <v>49</v>
      </c>
      <c r="Z678" t="s">
        <v>50</v>
      </c>
      <c r="AA678" s="10">
        <f>IF(O678&lt;=1,7,7+0.8*ROUNDUP(O678-1,0))</f>
        <v>7</v>
      </c>
      <c r="AB678" s="11">
        <v>0</v>
      </c>
      <c r="AC678" s="11">
        <v>0</v>
      </c>
      <c r="AD678" s="11">
        <v>0</v>
      </c>
      <c r="AE678" s="11">
        <v>0</v>
      </c>
      <c r="AF678" s="11">
        <f t="shared" si="29"/>
        <v>0.42</v>
      </c>
      <c r="AG678" s="11">
        <f t="shared" si="27"/>
        <v>7.42</v>
      </c>
      <c r="AH678" t="s">
        <v>51</v>
      </c>
    </row>
    <row r="679" spans="1:34" ht="15" customHeight="1" x14ac:dyDescent="0.35">
      <c r="A679">
        <v>7547676</v>
      </c>
      <c r="B679">
        <v>690929</v>
      </c>
      <c r="C679" t="s">
        <v>34</v>
      </c>
      <c r="D679" t="s">
        <v>35</v>
      </c>
      <c r="E679" s="6" t="s">
        <v>34</v>
      </c>
      <c r="F679" t="s">
        <v>2091</v>
      </c>
      <c r="G679" t="s">
        <v>37</v>
      </c>
      <c r="H679" t="s">
        <v>38</v>
      </c>
      <c r="I679" t="s">
        <v>2092</v>
      </c>
      <c r="J679" t="s">
        <v>40</v>
      </c>
      <c r="K679">
        <v>2</v>
      </c>
      <c r="L679" t="s">
        <v>41</v>
      </c>
      <c r="M679" t="s">
        <v>42</v>
      </c>
      <c r="N679" t="s">
        <v>43</v>
      </c>
      <c r="O679" s="7">
        <v>2</v>
      </c>
      <c r="P679" s="8">
        <v>45363.546770833331</v>
      </c>
      <c r="Q679" s="9">
        <v>45364</v>
      </c>
      <c r="R679" t="s">
        <v>44</v>
      </c>
      <c r="S679" t="s">
        <v>45</v>
      </c>
      <c r="T679" t="s">
        <v>46</v>
      </c>
      <c r="U679" t="s">
        <v>54</v>
      </c>
      <c r="V679" t="s">
        <v>2093</v>
      </c>
      <c r="W679">
        <v>62300</v>
      </c>
      <c r="X679" t="s">
        <v>45</v>
      </c>
      <c r="Y679" t="s">
        <v>966</v>
      </c>
      <c r="Z679" t="s">
        <v>50</v>
      </c>
      <c r="AA679" s="10">
        <f>IF(O679&lt;=1,7,7+0.8*ROUNDUP(O679-1,0))</f>
        <v>7.8</v>
      </c>
      <c r="AB679" s="11">
        <v>0</v>
      </c>
      <c r="AC679" s="11">
        <v>0</v>
      </c>
      <c r="AD679" s="11">
        <v>0</v>
      </c>
      <c r="AE679" s="11">
        <v>0</v>
      </c>
      <c r="AF679" s="11">
        <f t="shared" si="29"/>
        <v>0.46799999999999997</v>
      </c>
      <c r="AG679" s="11">
        <f t="shared" si="27"/>
        <v>8.2680000000000007</v>
      </c>
      <c r="AH679" t="s">
        <v>51</v>
      </c>
    </row>
    <row r="680" spans="1:34" ht="15" customHeight="1" x14ac:dyDescent="0.35">
      <c r="A680">
        <v>7547676</v>
      </c>
      <c r="B680">
        <v>690929</v>
      </c>
      <c r="C680" t="s">
        <v>34</v>
      </c>
      <c r="D680" t="s">
        <v>35</v>
      </c>
      <c r="E680" s="6" t="s">
        <v>34</v>
      </c>
      <c r="F680" t="s">
        <v>2094</v>
      </c>
      <c r="G680" t="s">
        <v>37</v>
      </c>
      <c r="H680" t="s">
        <v>38</v>
      </c>
      <c r="I680" t="s">
        <v>2095</v>
      </c>
      <c r="J680" t="s">
        <v>40</v>
      </c>
      <c r="K680">
        <v>2</v>
      </c>
      <c r="L680" t="s">
        <v>41</v>
      </c>
      <c r="M680" t="s">
        <v>42</v>
      </c>
      <c r="N680" t="s">
        <v>43</v>
      </c>
      <c r="O680" s="7">
        <v>4</v>
      </c>
      <c r="P680" s="8">
        <v>45363.532962962963</v>
      </c>
      <c r="Q680" s="9">
        <v>45364</v>
      </c>
      <c r="R680" t="s">
        <v>44</v>
      </c>
      <c r="S680" t="s">
        <v>45</v>
      </c>
      <c r="T680" t="s">
        <v>46</v>
      </c>
      <c r="U680" t="s">
        <v>54</v>
      </c>
      <c r="V680" t="s">
        <v>2096</v>
      </c>
      <c r="W680">
        <v>42200</v>
      </c>
      <c r="X680" t="s">
        <v>45</v>
      </c>
      <c r="Y680" t="s">
        <v>1427</v>
      </c>
      <c r="Z680" t="s">
        <v>50</v>
      </c>
      <c r="AA680" s="10">
        <f>IF(O680&lt;=1,7,7+0.8*ROUNDUP(O680-1,0))</f>
        <v>9.4</v>
      </c>
      <c r="AB680" s="11">
        <v>0</v>
      </c>
      <c r="AC680" s="11">
        <v>0</v>
      </c>
      <c r="AD680" s="11">
        <v>0</v>
      </c>
      <c r="AE680" s="11">
        <v>0</v>
      </c>
      <c r="AF680" s="11">
        <f t="shared" si="29"/>
        <v>0.56399999999999995</v>
      </c>
      <c r="AG680" s="11">
        <f t="shared" si="27"/>
        <v>9.9640000000000004</v>
      </c>
      <c r="AH680" t="s">
        <v>51</v>
      </c>
    </row>
    <row r="681" spans="1:34" ht="15" customHeight="1" x14ac:dyDescent="0.35">
      <c r="A681">
        <v>7547676</v>
      </c>
      <c r="B681">
        <v>690929</v>
      </c>
      <c r="C681" t="s">
        <v>34</v>
      </c>
      <c r="D681" t="s">
        <v>35</v>
      </c>
      <c r="E681" s="6" t="s">
        <v>34</v>
      </c>
      <c r="F681" t="s">
        <v>2097</v>
      </c>
      <c r="G681" t="s">
        <v>37</v>
      </c>
      <c r="H681" t="s">
        <v>38</v>
      </c>
      <c r="I681" t="s">
        <v>1692</v>
      </c>
      <c r="J681" t="s">
        <v>40</v>
      </c>
      <c r="K681">
        <v>2</v>
      </c>
      <c r="L681" t="s">
        <v>41</v>
      </c>
      <c r="M681" t="s">
        <v>42</v>
      </c>
      <c r="N681" t="s">
        <v>43</v>
      </c>
      <c r="O681" s="7">
        <v>6</v>
      </c>
      <c r="P681" s="8">
        <v>45363.532962962963</v>
      </c>
      <c r="Q681" s="9">
        <v>45364</v>
      </c>
      <c r="R681" t="s">
        <v>44</v>
      </c>
      <c r="S681" t="s">
        <v>45</v>
      </c>
      <c r="T681" t="s">
        <v>46</v>
      </c>
      <c r="U681" t="s">
        <v>99</v>
      </c>
      <c r="V681" t="s">
        <v>1693</v>
      </c>
      <c r="W681">
        <v>18300</v>
      </c>
      <c r="X681" t="s">
        <v>45</v>
      </c>
      <c r="Y681" t="s">
        <v>848</v>
      </c>
      <c r="Z681" t="s">
        <v>50</v>
      </c>
      <c r="AA681" s="10">
        <f>IF(O681&lt;=1,7,7+0.8*ROUNDUP(O681-1,0))</f>
        <v>11</v>
      </c>
      <c r="AB681" s="11">
        <v>0</v>
      </c>
      <c r="AC681" s="11">
        <v>0</v>
      </c>
      <c r="AD681" s="11">
        <v>0</v>
      </c>
      <c r="AE681" s="11">
        <v>0</v>
      </c>
      <c r="AF681" s="11">
        <f t="shared" si="29"/>
        <v>0.65999999999999992</v>
      </c>
      <c r="AG681" s="11">
        <f t="shared" si="27"/>
        <v>11.66</v>
      </c>
      <c r="AH681" t="s">
        <v>51</v>
      </c>
    </row>
    <row r="682" spans="1:34" ht="15" customHeight="1" x14ac:dyDescent="0.35">
      <c r="A682">
        <v>7547676</v>
      </c>
      <c r="B682">
        <v>690929</v>
      </c>
      <c r="C682" t="s">
        <v>34</v>
      </c>
      <c r="D682" t="s">
        <v>35</v>
      </c>
      <c r="E682" s="6" t="s">
        <v>34</v>
      </c>
      <c r="F682" t="s">
        <v>2098</v>
      </c>
      <c r="G682" t="s">
        <v>37</v>
      </c>
      <c r="H682" t="s">
        <v>38</v>
      </c>
      <c r="I682" t="s">
        <v>2099</v>
      </c>
      <c r="J682" t="s">
        <v>40</v>
      </c>
      <c r="K682">
        <v>2</v>
      </c>
      <c r="L682" t="s">
        <v>41</v>
      </c>
      <c r="M682" t="s">
        <v>42</v>
      </c>
      <c r="N682" t="s">
        <v>43</v>
      </c>
      <c r="O682" s="7">
        <v>8</v>
      </c>
      <c r="P682" s="8">
        <v>45363.684050925927</v>
      </c>
      <c r="Q682" s="9">
        <v>45364</v>
      </c>
      <c r="R682" t="s">
        <v>44</v>
      </c>
      <c r="S682" t="s">
        <v>45</v>
      </c>
      <c r="T682" t="s">
        <v>46</v>
      </c>
      <c r="U682" t="s">
        <v>47</v>
      </c>
      <c r="V682" t="s">
        <v>2100</v>
      </c>
      <c r="W682">
        <v>22000</v>
      </c>
      <c r="X682" t="s">
        <v>45</v>
      </c>
      <c r="Y682" t="s">
        <v>761</v>
      </c>
      <c r="Z682" t="s">
        <v>50</v>
      </c>
      <c r="AA682" s="10">
        <f>IF(O682&lt;=1,7,7+0.8*ROUNDUP(O682-1,0))</f>
        <v>12.600000000000001</v>
      </c>
      <c r="AB682" s="11">
        <v>0</v>
      </c>
      <c r="AC682" s="11">
        <v>0</v>
      </c>
      <c r="AD682" s="11">
        <v>0</v>
      </c>
      <c r="AE682" s="11">
        <v>0</v>
      </c>
      <c r="AF682" s="11">
        <f t="shared" si="29"/>
        <v>0.75600000000000001</v>
      </c>
      <c r="AG682" s="11">
        <f t="shared" si="27"/>
        <v>13.356000000000002</v>
      </c>
      <c r="AH682" t="s">
        <v>51</v>
      </c>
    </row>
    <row r="683" spans="1:34" ht="15" customHeight="1" x14ac:dyDescent="0.35">
      <c r="A683">
        <v>7547676</v>
      </c>
      <c r="B683">
        <v>690929</v>
      </c>
      <c r="C683" t="s">
        <v>34</v>
      </c>
      <c r="D683" t="s">
        <v>35</v>
      </c>
      <c r="E683" s="6" t="s">
        <v>34</v>
      </c>
      <c r="F683" t="s">
        <v>2101</v>
      </c>
      <c r="G683" t="s">
        <v>37</v>
      </c>
      <c r="H683" t="s">
        <v>38</v>
      </c>
      <c r="I683" t="s">
        <v>226</v>
      </c>
      <c r="J683" t="s">
        <v>40</v>
      </c>
      <c r="K683">
        <v>2</v>
      </c>
      <c r="L683" t="s">
        <v>41</v>
      </c>
      <c r="M683" t="s">
        <v>42</v>
      </c>
      <c r="N683" t="s">
        <v>43</v>
      </c>
      <c r="O683" s="7">
        <v>3</v>
      </c>
      <c r="P683" s="8">
        <v>45363.717800925922</v>
      </c>
      <c r="Q683" s="9">
        <v>45364</v>
      </c>
      <c r="R683" t="s">
        <v>44</v>
      </c>
      <c r="S683" t="s">
        <v>45</v>
      </c>
      <c r="T683" t="s">
        <v>46</v>
      </c>
      <c r="U683" t="s">
        <v>54</v>
      </c>
      <c r="V683" t="s">
        <v>227</v>
      </c>
      <c r="W683">
        <v>68000</v>
      </c>
      <c r="X683" t="s">
        <v>45</v>
      </c>
      <c r="Y683" t="s">
        <v>228</v>
      </c>
      <c r="Z683" t="s">
        <v>50</v>
      </c>
      <c r="AA683" s="10">
        <f>IF(O683&lt;=1,7,7+0.8*ROUNDUP(O683-1,0))</f>
        <v>8.6</v>
      </c>
      <c r="AB683" s="11">
        <v>0</v>
      </c>
      <c r="AC683" s="11">
        <v>0</v>
      </c>
      <c r="AD683" s="11">
        <v>0</v>
      </c>
      <c r="AE683" s="11">
        <v>0</v>
      </c>
      <c r="AF683" s="11">
        <f t="shared" si="29"/>
        <v>0.51600000000000001</v>
      </c>
      <c r="AG683" s="11">
        <f t="shared" si="27"/>
        <v>9.1159999999999997</v>
      </c>
      <c r="AH683" t="s">
        <v>51</v>
      </c>
    </row>
    <row r="684" spans="1:34" ht="15" customHeight="1" x14ac:dyDescent="0.35">
      <c r="A684">
        <v>7547676</v>
      </c>
      <c r="B684">
        <v>690929</v>
      </c>
      <c r="C684" t="s">
        <v>34</v>
      </c>
      <c r="D684" t="s">
        <v>35</v>
      </c>
      <c r="E684" s="6" t="s">
        <v>34</v>
      </c>
      <c r="F684" t="s">
        <v>2102</v>
      </c>
      <c r="G684" t="s">
        <v>37</v>
      </c>
      <c r="H684" t="s">
        <v>38</v>
      </c>
      <c r="I684" t="s">
        <v>2103</v>
      </c>
      <c r="J684" t="s">
        <v>40</v>
      </c>
      <c r="K684">
        <v>2</v>
      </c>
      <c r="L684" t="s">
        <v>41</v>
      </c>
      <c r="M684" t="s">
        <v>42</v>
      </c>
      <c r="N684" t="s">
        <v>43</v>
      </c>
      <c r="O684" s="7">
        <v>3</v>
      </c>
      <c r="P684" s="8">
        <v>45363.546770833331</v>
      </c>
      <c r="Q684" s="9">
        <v>45364</v>
      </c>
      <c r="R684" t="s">
        <v>44</v>
      </c>
      <c r="S684" t="s">
        <v>45</v>
      </c>
      <c r="T684" t="s">
        <v>46</v>
      </c>
      <c r="U684" t="s">
        <v>54</v>
      </c>
      <c r="V684" t="s">
        <v>2104</v>
      </c>
      <c r="W684">
        <v>41050</v>
      </c>
      <c r="X684" t="s">
        <v>45</v>
      </c>
      <c r="Y684" t="s">
        <v>1427</v>
      </c>
      <c r="Z684" t="s">
        <v>50</v>
      </c>
      <c r="AA684" s="10">
        <f>IF(O684&lt;=1,7,7+0.8*ROUNDUP(O684-1,0))</f>
        <v>8.6</v>
      </c>
      <c r="AB684" s="11">
        <v>0</v>
      </c>
      <c r="AC684" s="11">
        <v>0</v>
      </c>
      <c r="AD684" s="11">
        <v>0</v>
      </c>
      <c r="AE684" s="11">
        <v>0</v>
      </c>
      <c r="AF684" s="11">
        <f t="shared" si="29"/>
        <v>0.51600000000000001</v>
      </c>
      <c r="AG684" s="11">
        <f t="shared" si="27"/>
        <v>9.1159999999999997</v>
      </c>
      <c r="AH684" t="s">
        <v>51</v>
      </c>
    </row>
    <row r="685" spans="1:34" ht="15" customHeight="1" x14ac:dyDescent="0.35">
      <c r="A685">
        <v>7547676</v>
      </c>
      <c r="B685">
        <v>690929</v>
      </c>
      <c r="C685" t="s">
        <v>34</v>
      </c>
      <c r="D685" t="s">
        <v>35</v>
      </c>
      <c r="E685" s="6" t="s">
        <v>34</v>
      </c>
      <c r="F685" t="s">
        <v>2105</v>
      </c>
      <c r="G685" t="s">
        <v>37</v>
      </c>
      <c r="H685" t="s">
        <v>38</v>
      </c>
      <c r="I685" t="s">
        <v>2106</v>
      </c>
      <c r="J685" t="s">
        <v>40</v>
      </c>
      <c r="K685">
        <v>2</v>
      </c>
      <c r="L685" t="s">
        <v>41</v>
      </c>
      <c r="M685" t="s">
        <v>42</v>
      </c>
      <c r="N685" t="s">
        <v>43</v>
      </c>
      <c r="O685" s="7">
        <v>2</v>
      </c>
      <c r="P685" s="8">
        <v>45362.615254629629</v>
      </c>
      <c r="Q685" s="9">
        <v>45364</v>
      </c>
      <c r="R685" t="s">
        <v>44</v>
      </c>
      <c r="S685" t="s">
        <v>45</v>
      </c>
      <c r="T685" t="s">
        <v>46</v>
      </c>
      <c r="U685" t="s">
        <v>134</v>
      </c>
      <c r="V685" t="s">
        <v>2107</v>
      </c>
      <c r="W685">
        <v>9410</v>
      </c>
      <c r="X685" t="s">
        <v>45</v>
      </c>
      <c r="Y685" t="s">
        <v>855</v>
      </c>
      <c r="Z685" t="s">
        <v>50</v>
      </c>
      <c r="AA685" s="10">
        <f>IF(O685&lt;=1,7,7+0.8*ROUNDUP(O685-1,0))</f>
        <v>7.8</v>
      </c>
      <c r="AB685" s="11">
        <v>0</v>
      </c>
      <c r="AC685" s="11">
        <v>0</v>
      </c>
      <c r="AD685" s="11">
        <v>0</v>
      </c>
      <c r="AE685" s="11">
        <v>0</v>
      </c>
      <c r="AF685" s="11">
        <f t="shared" si="29"/>
        <v>0.46799999999999997</v>
      </c>
      <c r="AG685" s="11">
        <f t="shared" si="27"/>
        <v>8.2680000000000007</v>
      </c>
      <c r="AH685" t="s">
        <v>51</v>
      </c>
    </row>
    <row r="686" spans="1:34" ht="15" customHeight="1" x14ac:dyDescent="0.35">
      <c r="A686">
        <v>7547676</v>
      </c>
      <c r="B686">
        <v>690929</v>
      </c>
      <c r="C686" t="s">
        <v>34</v>
      </c>
      <c r="D686" t="s">
        <v>35</v>
      </c>
      <c r="E686" s="6" t="s">
        <v>34</v>
      </c>
      <c r="F686" t="s">
        <v>2108</v>
      </c>
      <c r="G686" t="s">
        <v>37</v>
      </c>
      <c r="H686" t="s">
        <v>38</v>
      </c>
      <c r="I686" t="s">
        <v>785</v>
      </c>
      <c r="J686" t="s">
        <v>40</v>
      </c>
      <c r="K686">
        <v>2</v>
      </c>
      <c r="L686" t="s">
        <v>41</v>
      </c>
      <c r="M686" t="s">
        <v>42</v>
      </c>
      <c r="N686" t="s">
        <v>43</v>
      </c>
      <c r="O686" s="7">
        <v>5</v>
      </c>
      <c r="P686" s="8">
        <v>45363.668865740743</v>
      </c>
      <c r="Q686" s="9">
        <v>45364</v>
      </c>
      <c r="R686" t="s">
        <v>44</v>
      </c>
      <c r="S686" t="s">
        <v>45</v>
      </c>
      <c r="T686" t="s">
        <v>46</v>
      </c>
      <c r="U686" t="s">
        <v>54</v>
      </c>
      <c r="V686" t="s">
        <v>786</v>
      </c>
      <c r="W686">
        <v>55100</v>
      </c>
      <c r="X686" t="s">
        <v>45</v>
      </c>
      <c r="Y686" t="s">
        <v>228</v>
      </c>
      <c r="Z686" t="s">
        <v>50</v>
      </c>
      <c r="AA686" s="10">
        <f>IF(O686&lt;=1,7,7+0.8*ROUNDUP(O686-1,0))</f>
        <v>10.199999999999999</v>
      </c>
      <c r="AB686" s="11">
        <v>0</v>
      </c>
      <c r="AC686" s="11">
        <v>0</v>
      </c>
      <c r="AD686" s="11">
        <v>0</v>
      </c>
      <c r="AE686" s="11">
        <v>0</v>
      </c>
      <c r="AF686" s="11">
        <f t="shared" si="29"/>
        <v>0.61199999999999999</v>
      </c>
      <c r="AG686" s="11">
        <f t="shared" si="27"/>
        <v>10.811999999999999</v>
      </c>
      <c r="AH686" t="s">
        <v>51</v>
      </c>
    </row>
    <row r="687" spans="1:34" ht="15" customHeight="1" x14ac:dyDescent="0.35">
      <c r="A687">
        <v>7547676</v>
      </c>
      <c r="B687">
        <v>690929</v>
      </c>
      <c r="C687" t="s">
        <v>34</v>
      </c>
      <c r="D687" t="s">
        <v>35</v>
      </c>
      <c r="E687" s="6" t="s">
        <v>34</v>
      </c>
      <c r="F687" t="s">
        <v>2109</v>
      </c>
      <c r="G687" t="s">
        <v>37</v>
      </c>
      <c r="H687" t="s">
        <v>38</v>
      </c>
      <c r="I687" t="s">
        <v>2110</v>
      </c>
      <c r="J687" t="s">
        <v>40</v>
      </c>
      <c r="K687">
        <v>2</v>
      </c>
      <c r="L687" t="s">
        <v>41</v>
      </c>
      <c r="M687" t="s">
        <v>42</v>
      </c>
      <c r="N687" t="s">
        <v>43</v>
      </c>
      <c r="O687" s="7">
        <v>2</v>
      </c>
      <c r="P687" s="8">
        <v>45363.668865740743</v>
      </c>
      <c r="Q687" s="9">
        <v>45364</v>
      </c>
      <c r="R687" t="s">
        <v>44</v>
      </c>
      <c r="S687" t="s">
        <v>45</v>
      </c>
      <c r="T687" t="s">
        <v>46</v>
      </c>
      <c r="U687" t="s">
        <v>67</v>
      </c>
      <c r="V687" t="s">
        <v>2111</v>
      </c>
      <c r="W687">
        <v>52100</v>
      </c>
      <c r="X687" t="s">
        <v>45</v>
      </c>
      <c r="Y687" t="s">
        <v>1408</v>
      </c>
      <c r="Z687" t="s">
        <v>50</v>
      </c>
      <c r="AA687" s="10">
        <f>IF(O687&lt;=1,7,7+0.8*ROUNDUP(O687-1,0))</f>
        <v>7.8</v>
      </c>
      <c r="AB687" s="11">
        <v>0</v>
      </c>
      <c r="AC687" s="11">
        <v>0</v>
      </c>
      <c r="AD687" s="11">
        <v>0</v>
      </c>
      <c r="AE687" s="11">
        <v>0</v>
      </c>
      <c r="AF687" s="11">
        <f t="shared" si="29"/>
        <v>0.46799999999999997</v>
      </c>
      <c r="AG687" s="11">
        <f t="shared" si="27"/>
        <v>8.2680000000000007</v>
      </c>
      <c r="AH687" t="s">
        <v>51</v>
      </c>
    </row>
    <row r="688" spans="1:34" ht="15" customHeight="1" x14ac:dyDescent="0.35">
      <c r="A688">
        <v>7547676</v>
      </c>
      <c r="B688">
        <v>690929</v>
      </c>
      <c r="C688" t="s">
        <v>34</v>
      </c>
      <c r="D688" t="s">
        <v>35</v>
      </c>
      <c r="E688" s="6" t="s">
        <v>34</v>
      </c>
      <c r="F688" t="s">
        <v>2112</v>
      </c>
      <c r="H688" t="s">
        <v>38</v>
      </c>
      <c r="I688" t="s">
        <v>2113</v>
      </c>
      <c r="J688" t="s">
        <v>40</v>
      </c>
      <c r="K688">
        <v>2</v>
      </c>
      <c r="L688" t="s">
        <v>41</v>
      </c>
      <c r="M688" t="s">
        <v>42</v>
      </c>
      <c r="N688" t="s">
        <v>43</v>
      </c>
      <c r="O688" s="7">
        <v>1</v>
      </c>
      <c r="P688" s="8">
        <v>45379.51222222222</v>
      </c>
      <c r="Q688" s="9">
        <v>45380</v>
      </c>
      <c r="R688" t="s">
        <v>44</v>
      </c>
      <c r="S688" t="s">
        <v>45</v>
      </c>
      <c r="T688" t="s">
        <v>46</v>
      </c>
      <c r="U688" t="s">
        <v>99</v>
      </c>
      <c r="V688" t="s">
        <v>2114</v>
      </c>
      <c r="W688">
        <v>17500</v>
      </c>
      <c r="X688" t="s">
        <v>45</v>
      </c>
      <c r="Y688" t="s">
        <v>156</v>
      </c>
      <c r="Z688" t="s">
        <v>50</v>
      </c>
      <c r="AA688" s="10">
        <f>IF(O688&lt;=1,7,7+0.8*ROUNDUP(O688-1,0))</f>
        <v>7</v>
      </c>
      <c r="AB688" s="11">
        <v>0</v>
      </c>
      <c r="AC688" s="11">
        <v>0</v>
      </c>
      <c r="AD688" s="11">
        <v>0</v>
      </c>
      <c r="AE688" s="11">
        <v>0</v>
      </c>
      <c r="AF688" s="11">
        <f t="shared" si="29"/>
        <v>0.42</v>
      </c>
      <c r="AG688" s="11">
        <f t="shared" si="27"/>
        <v>7.42</v>
      </c>
      <c r="AH688" t="s">
        <v>51</v>
      </c>
    </row>
    <row r="689" spans="1:34" ht="15" customHeight="1" x14ac:dyDescent="0.35">
      <c r="A689">
        <v>7547676</v>
      </c>
      <c r="B689">
        <v>690929</v>
      </c>
      <c r="C689" t="s">
        <v>34</v>
      </c>
      <c r="D689" t="s">
        <v>35</v>
      </c>
      <c r="E689" s="6" t="s">
        <v>34</v>
      </c>
      <c r="F689" t="s">
        <v>2115</v>
      </c>
      <c r="H689" t="s">
        <v>38</v>
      </c>
      <c r="I689" t="s">
        <v>645</v>
      </c>
      <c r="J689" t="s">
        <v>40</v>
      </c>
      <c r="K689">
        <v>2</v>
      </c>
      <c r="L689" t="s">
        <v>41</v>
      </c>
      <c r="M689" t="s">
        <v>42</v>
      </c>
      <c r="N689" t="s">
        <v>43</v>
      </c>
      <c r="O689" s="7">
        <v>9</v>
      </c>
      <c r="P689" s="8">
        <v>45377.634733796294</v>
      </c>
      <c r="Q689" s="9">
        <v>45380</v>
      </c>
      <c r="R689" t="s">
        <v>44</v>
      </c>
      <c r="S689" t="s">
        <v>45</v>
      </c>
      <c r="T689" t="s">
        <v>46</v>
      </c>
      <c r="U689" t="s">
        <v>54</v>
      </c>
      <c r="V689" t="s">
        <v>646</v>
      </c>
      <c r="W689">
        <v>40000</v>
      </c>
      <c r="X689" t="s">
        <v>45</v>
      </c>
      <c r="Y689" t="s">
        <v>441</v>
      </c>
      <c r="Z689" t="s">
        <v>50</v>
      </c>
      <c r="AA689" s="10">
        <f>IF(O689&lt;=1,7,7+0.8*ROUNDUP(O689-1,0))</f>
        <v>13.4</v>
      </c>
      <c r="AB689" s="11">
        <v>0</v>
      </c>
      <c r="AC689" s="11">
        <v>0</v>
      </c>
      <c r="AD689" s="11">
        <v>0</v>
      </c>
      <c r="AE689" s="11">
        <v>0</v>
      </c>
      <c r="AF689" s="11">
        <f t="shared" si="29"/>
        <v>0.80399999999999994</v>
      </c>
      <c r="AG689" s="11">
        <f t="shared" si="27"/>
        <v>14.204000000000001</v>
      </c>
      <c r="AH689" t="s">
        <v>51</v>
      </c>
    </row>
    <row r="690" spans="1:34" ht="15" customHeight="1" x14ac:dyDescent="0.35">
      <c r="A690">
        <v>7547676</v>
      </c>
      <c r="B690">
        <v>690929</v>
      </c>
      <c r="C690" t="s">
        <v>34</v>
      </c>
      <c r="D690" t="s">
        <v>35</v>
      </c>
      <c r="E690" s="6" t="s">
        <v>34</v>
      </c>
      <c r="F690" t="s">
        <v>2116</v>
      </c>
      <c r="H690" t="s">
        <v>38</v>
      </c>
      <c r="I690" t="s">
        <v>2117</v>
      </c>
      <c r="J690" t="s">
        <v>40</v>
      </c>
      <c r="K690">
        <v>2</v>
      </c>
      <c r="L690" t="s">
        <v>41</v>
      </c>
      <c r="M690" t="s">
        <v>42</v>
      </c>
      <c r="N690" t="s">
        <v>43</v>
      </c>
      <c r="O690" s="7">
        <v>1</v>
      </c>
      <c r="P690" s="8">
        <v>45378.588275462964</v>
      </c>
      <c r="Q690" s="9">
        <v>45380</v>
      </c>
      <c r="R690" t="s">
        <v>44</v>
      </c>
      <c r="S690" t="s">
        <v>45</v>
      </c>
      <c r="T690" t="s">
        <v>46</v>
      </c>
      <c r="U690" t="s">
        <v>86</v>
      </c>
      <c r="V690" t="s">
        <v>2118</v>
      </c>
      <c r="W690">
        <v>72000</v>
      </c>
      <c r="X690" t="s">
        <v>45</v>
      </c>
      <c r="Y690" t="s">
        <v>640</v>
      </c>
      <c r="Z690" t="s">
        <v>50</v>
      </c>
      <c r="AA690" s="10">
        <f>IF(O690&lt;=1,7,7+0.8*ROUNDUP(O690-1,0))</f>
        <v>7</v>
      </c>
      <c r="AB690" s="11">
        <v>0</v>
      </c>
      <c r="AC690" s="11">
        <v>0</v>
      </c>
      <c r="AD690" s="11">
        <v>0</v>
      </c>
      <c r="AE690" s="11">
        <v>0</v>
      </c>
      <c r="AF690" s="11">
        <f t="shared" si="29"/>
        <v>0.42</v>
      </c>
      <c r="AG690" s="11">
        <f t="shared" si="27"/>
        <v>7.42</v>
      </c>
      <c r="AH690" t="s">
        <v>51</v>
      </c>
    </row>
    <row r="691" spans="1:34" ht="15" customHeight="1" x14ac:dyDescent="0.35">
      <c r="A691">
        <v>7547676</v>
      </c>
      <c r="B691">
        <v>690929</v>
      </c>
      <c r="C691" t="s">
        <v>34</v>
      </c>
      <c r="D691" t="s">
        <v>35</v>
      </c>
      <c r="E691" s="6" t="s">
        <v>34</v>
      </c>
      <c r="F691" t="s">
        <v>2119</v>
      </c>
      <c r="H691" t="s">
        <v>38</v>
      </c>
      <c r="I691" t="s">
        <v>2120</v>
      </c>
      <c r="J691" t="s">
        <v>40</v>
      </c>
      <c r="K691">
        <v>2</v>
      </c>
      <c r="L691" t="s">
        <v>41</v>
      </c>
      <c r="M691" t="s">
        <v>42</v>
      </c>
      <c r="N691" t="s">
        <v>43</v>
      </c>
      <c r="O691" s="7">
        <v>2</v>
      </c>
      <c r="P691" s="8">
        <v>45378.631238425929</v>
      </c>
      <c r="Q691" s="9">
        <v>45380</v>
      </c>
      <c r="R691" t="s">
        <v>44</v>
      </c>
      <c r="S691" t="s">
        <v>45</v>
      </c>
      <c r="T691" t="s">
        <v>46</v>
      </c>
      <c r="U691" t="s">
        <v>190</v>
      </c>
      <c r="V691" t="s">
        <v>2121</v>
      </c>
      <c r="W691">
        <v>28700</v>
      </c>
      <c r="X691" t="s">
        <v>45</v>
      </c>
      <c r="Y691" t="s">
        <v>192</v>
      </c>
      <c r="Z691" t="s">
        <v>50</v>
      </c>
      <c r="AA691" s="10">
        <f>IF(O691&lt;=1,7,7+0.8*ROUNDUP(O691-1,0))</f>
        <v>7.8</v>
      </c>
      <c r="AB691" s="11">
        <v>0</v>
      </c>
      <c r="AC691" s="11">
        <v>0</v>
      </c>
      <c r="AD691" s="11">
        <v>0</v>
      </c>
      <c r="AE691" s="11">
        <v>0</v>
      </c>
      <c r="AF691" s="11">
        <f t="shared" si="29"/>
        <v>0.46799999999999997</v>
      </c>
      <c r="AG691" s="11">
        <f t="shared" si="27"/>
        <v>8.2680000000000007</v>
      </c>
      <c r="AH691" t="s">
        <v>51</v>
      </c>
    </row>
    <row r="692" spans="1:34" ht="15" customHeight="1" x14ac:dyDescent="0.35">
      <c r="A692">
        <v>7547676</v>
      </c>
      <c r="B692">
        <v>690929</v>
      </c>
      <c r="C692" t="s">
        <v>34</v>
      </c>
      <c r="D692" t="s">
        <v>35</v>
      </c>
      <c r="E692" s="6" t="s">
        <v>34</v>
      </c>
      <c r="F692" t="s">
        <v>2122</v>
      </c>
      <c r="H692" t="s">
        <v>38</v>
      </c>
      <c r="I692" t="s">
        <v>2123</v>
      </c>
      <c r="J692" t="s">
        <v>40</v>
      </c>
      <c r="K692">
        <v>2</v>
      </c>
      <c r="L692" t="s">
        <v>41</v>
      </c>
      <c r="M692" t="s">
        <v>42</v>
      </c>
      <c r="N692" t="s">
        <v>43</v>
      </c>
      <c r="O692" s="7">
        <v>1</v>
      </c>
      <c r="P692" s="8">
        <v>45378.626192129632</v>
      </c>
      <c r="Q692" s="9">
        <v>45380</v>
      </c>
      <c r="R692" t="s">
        <v>789</v>
      </c>
      <c r="S692" t="s">
        <v>45</v>
      </c>
      <c r="T692" t="s">
        <v>46</v>
      </c>
      <c r="U692" t="s">
        <v>172</v>
      </c>
      <c r="V692" t="s">
        <v>2124</v>
      </c>
      <c r="W692">
        <v>31650</v>
      </c>
      <c r="X692" t="s">
        <v>45</v>
      </c>
      <c r="Y692" t="s">
        <v>79</v>
      </c>
      <c r="Z692" t="s">
        <v>50</v>
      </c>
      <c r="AA692" s="10">
        <f>IF(O692&lt;=1,7,7+0.8*ROUNDUP(O692-1,0))</f>
        <v>7</v>
      </c>
      <c r="AB692" s="11">
        <v>0</v>
      </c>
      <c r="AC692" s="11">
        <v>0</v>
      </c>
      <c r="AD692" s="11">
        <v>0</v>
      </c>
      <c r="AE692" s="11">
        <v>0</v>
      </c>
      <c r="AF692" s="11">
        <f t="shared" si="29"/>
        <v>0.42</v>
      </c>
      <c r="AG692" s="11">
        <f t="shared" si="27"/>
        <v>7.42</v>
      </c>
      <c r="AH692" t="s">
        <v>51</v>
      </c>
    </row>
    <row r="693" spans="1:34" ht="15" customHeight="1" x14ac:dyDescent="0.35">
      <c r="A693">
        <v>7547676</v>
      </c>
      <c r="B693">
        <v>690929</v>
      </c>
      <c r="C693" t="s">
        <v>34</v>
      </c>
      <c r="D693" t="s">
        <v>35</v>
      </c>
      <c r="E693" s="6" t="s">
        <v>34</v>
      </c>
      <c r="F693" t="s">
        <v>2125</v>
      </c>
      <c r="H693" t="s">
        <v>38</v>
      </c>
      <c r="I693" t="s">
        <v>2126</v>
      </c>
      <c r="J693" t="s">
        <v>40</v>
      </c>
      <c r="K693">
        <v>2</v>
      </c>
      <c r="L693" t="s">
        <v>41</v>
      </c>
      <c r="M693" t="s">
        <v>42</v>
      </c>
      <c r="N693" t="s">
        <v>43</v>
      </c>
      <c r="O693" s="7">
        <v>1</v>
      </c>
      <c r="P693" s="8">
        <v>45379.654340277775</v>
      </c>
      <c r="Q693" s="9">
        <v>45380</v>
      </c>
      <c r="R693" t="s">
        <v>44</v>
      </c>
      <c r="S693" t="s">
        <v>45</v>
      </c>
      <c r="T693" t="s">
        <v>46</v>
      </c>
      <c r="U693" t="s">
        <v>47</v>
      </c>
      <c r="V693" t="s">
        <v>2127</v>
      </c>
      <c r="W693">
        <v>21300</v>
      </c>
      <c r="X693" t="s">
        <v>45</v>
      </c>
      <c r="Y693" t="s">
        <v>49</v>
      </c>
      <c r="Z693" t="s">
        <v>50</v>
      </c>
      <c r="AA693" s="10">
        <f>IF(O693&lt;=1,7,7+0.8*ROUNDUP(O693-1,0))</f>
        <v>7</v>
      </c>
      <c r="AB693" s="11">
        <v>0</v>
      </c>
      <c r="AC693" s="11">
        <v>0</v>
      </c>
      <c r="AD693" s="11">
        <v>0</v>
      </c>
      <c r="AE693" s="11">
        <v>0</v>
      </c>
      <c r="AF693" s="11">
        <f t="shared" si="29"/>
        <v>0.42</v>
      </c>
      <c r="AG693" s="11">
        <f t="shared" si="27"/>
        <v>7.42</v>
      </c>
      <c r="AH693" t="s">
        <v>51</v>
      </c>
    </row>
    <row r="694" spans="1:34" ht="15" customHeight="1" x14ac:dyDescent="0.35">
      <c r="A694">
        <v>7547676</v>
      </c>
      <c r="B694">
        <v>690929</v>
      </c>
      <c r="C694" t="s">
        <v>34</v>
      </c>
      <c r="D694" t="s">
        <v>35</v>
      </c>
      <c r="E694" s="6" t="s">
        <v>34</v>
      </c>
      <c r="F694" t="s">
        <v>2128</v>
      </c>
      <c r="H694" t="s">
        <v>38</v>
      </c>
      <c r="I694" t="s">
        <v>2129</v>
      </c>
      <c r="J694" t="s">
        <v>40</v>
      </c>
      <c r="K694">
        <v>2</v>
      </c>
      <c r="L694" t="s">
        <v>41</v>
      </c>
      <c r="M694" t="s">
        <v>42</v>
      </c>
      <c r="N694" t="s">
        <v>43</v>
      </c>
      <c r="O694" s="7">
        <v>1</v>
      </c>
      <c r="P694" s="8">
        <v>45378.67</v>
      </c>
      <c r="Q694" s="9">
        <v>45380</v>
      </c>
      <c r="R694" t="s">
        <v>44</v>
      </c>
      <c r="S694" t="s">
        <v>45</v>
      </c>
      <c r="T694" t="s">
        <v>46</v>
      </c>
      <c r="U694" t="s">
        <v>86</v>
      </c>
      <c r="V694" t="s">
        <v>2130</v>
      </c>
      <c r="W694">
        <v>70450</v>
      </c>
      <c r="X694" t="s">
        <v>45</v>
      </c>
      <c r="Y694" t="s">
        <v>589</v>
      </c>
      <c r="Z694" t="s">
        <v>50</v>
      </c>
      <c r="AA694" s="10">
        <f>IF(O694&lt;=1,7,7+0.8*ROUNDUP(O694-1,0))</f>
        <v>7</v>
      </c>
      <c r="AB694" s="11">
        <v>0</v>
      </c>
      <c r="AC694" s="11">
        <v>0</v>
      </c>
      <c r="AD694" s="11">
        <v>0</v>
      </c>
      <c r="AE694" s="11">
        <v>0</v>
      </c>
      <c r="AF694" s="11">
        <f t="shared" si="29"/>
        <v>0.42</v>
      </c>
      <c r="AG694" s="11">
        <f t="shared" si="27"/>
        <v>7.42</v>
      </c>
      <c r="AH694" t="s">
        <v>51</v>
      </c>
    </row>
    <row r="695" spans="1:34" ht="15" customHeight="1" x14ac:dyDescent="0.35">
      <c r="A695">
        <v>7547676</v>
      </c>
      <c r="B695">
        <v>690929</v>
      </c>
      <c r="C695" t="s">
        <v>34</v>
      </c>
      <c r="D695" t="s">
        <v>35</v>
      </c>
      <c r="E695" s="6" t="s">
        <v>34</v>
      </c>
      <c r="F695" t="s">
        <v>2131</v>
      </c>
      <c r="H695" t="s">
        <v>38</v>
      </c>
      <c r="I695" t="s">
        <v>2132</v>
      </c>
      <c r="J695" t="s">
        <v>40</v>
      </c>
      <c r="K695">
        <v>2</v>
      </c>
      <c r="L695" t="s">
        <v>41</v>
      </c>
      <c r="M695" t="s">
        <v>42</v>
      </c>
      <c r="N695" t="s">
        <v>43</v>
      </c>
      <c r="O695" s="7">
        <v>1</v>
      </c>
      <c r="P695" s="8">
        <v>45379.486655092594</v>
      </c>
      <c r="Q695" s="9">
        <v>45380</v>
      </c>
      <c r="R695" t="s">
        <v>44</v>
      </c>
      <c r="S695" t="s">
        <v>45</v>
      </c>
      <c r="T695" t="s">
        <v>46</v>
      </c>
      <c r="U695" t="s">
        <v>54</v>
      </c>
      <c r="V695" t="s">
        <v>2133</v>
      </c>
      <c r="W695">
        <v>40150</v>
      </c>
      <c r="X695" t="s">
        <v>45</v>
      </c>
      <c r="Y695" t="s">
        <v>325</v>
      </c>
      <c r="Z695" t="s">
        <v>50</v>
      </c>
      <c r="AA695" s="10">
        <f>IF(O695&lt;=1,7,7+0.8*ROUNDUP(O695-1,0))</f>
        <v>7</v>
      </c>
      <c r="AB695" s="11">
        <v>0</v>
      </c>
      <c r="AC695" s="11">
        <v>0</v>
      </c>
      <c r="AD695" s="11">
        <v>0</v>
      </c>
      <c r="AE695" s="11">
        <v>0</v>
      </c>
      <c r="AF695" s="11">
        <f t="shared" si="29"/>
        <v>0.42</v>
      </c>
      <c r="AG695" s="11">
        <f t="shared" si="27"/>
        <v>7.42</v>
      </c>
      <c r="AH695" t="s">
        <v>51</v>
      </c>
    </row>
    <row r="696" spans="1:34" ht="15" customHeight="1" x14ac:dyDescent="0.35">
      <c r="A696">
        <v>7547676</v>
      </c>
      <c r="B696">
        <v>690929</v>
      </c>
      <c r="C696" t="s">
        <v>34</v>
      </c>
      <c r="D696" t="s">
        <v>35</v>
      </c>
      <c r="E696" s="6" t="s">
        <v>34</v>
      </c>
      <c r="F696" t="s">
        <v>2134</v>
      </c>
      <c r="H696" t="s">
        <v>38</v>
      </c>
      <c r="I696" t="s">
        <v>2135</v>
      </c>
      <c r="J696" t="s">
        <v>40</v>
      </c>
      <c r="K696">
        <v>2</v>
      </c>
      <c r="L696" t="s">
        <v>41</v>
      </c>
      <c r="M696" t="s">
        <v>42</v>
      </c>
      <c r="N696" t="s">
        <v>43</v>
      </c>
      <c r="O696" s="7">
        <v>1</v>
      </c>
      <c r="P696" s="8">
        <v>45379.494976851849</v>
      </c>
      <c r="Q696" s="9">
        <v>45380</v>
      </c>
      <c r="R696" t="s">
        <v>44</v>
      </c>
      <c r="S696" t="s">
        <v>45</v>
      </c>
      <c r="T696" t="s">
        <v>46</v>
      </c>
      <c r="U696" t="s">
        <v>47</v>
      </c>
      <c r="V696" t="s">
        <v>2136</v>
      </c>
      <c r="W696">
        <v>22300</v>
      </c>
      <c r="X696" t="s">
        <v>45</v>
      </c>
      <c r="Y696" t="s">
        <v>156</v>
      </c>
      <c r="Z696" t="s">
        <v>50</v>
      </c>
      <c r="AA696" s="10">
        <f>IF(O696&lt;=1,7,7+0.8*ROUNDUP(O696-1,0))</f>
        <v>7</v>
      </c>
      <c r="AB696" s="11">
        <v>0</v>
      </c>
      <c r="AC696" s="11">
        <v>0</v>
      </c>
      <c r="AD696" s="11">
        <v>0</v>
      </c>
      <c r="AE696" s="11">
        <v>0</v>
      </c>
      <c r="AF696" s="11">
        <f t="shared" si="29"/>
        <v>0.42</v>
      </c>
      <c r="AG696" s="11">
        <f t="shared" si="27"/>
        <v>7.42</v>
      </c>
      <c r="AH696" t="s">
        <v>51</v>
      </c>
    </row>
    <row r="697" spans="1:34" ht="15" customHeight="1" x14ac:dyDescent="0.35">
      <c r="A697">
        <v>7547676</v>
      </c>
      <c r="B697">
        <v>690929</v>
      </c>
      <c r="C697" t="s">
        <v>34</v>
      </c>
      <c r="D697" t="s">
        <v>35</v>
      </c>
      <c r="E697" s="6" t="s">
        <v>34</v>
      </c>
      <c r="F697" t="s">
        <v>2137</v>
      </c>
      <c r="H697" t="s">
        <v>38</v>
      </c>
      <c r="I697" t="s">
        <v>2138</v>
      </c>
      <c r="J697" t="s">
        <v>40</v>
      </c>
      <c r="K697">
        <v>2</v>
      </c>
      <c r="L697" t="s">
        <v>41</v>
      </c>
      <c r="M697" t="s">
        <v>42</v>
      </c>
      <c r="N697" t="s">
        <v>43</v>
      </c>
      <c r="O697" s="7">
        <v>1</v>
      </c>
      <c r="P697" s="8">
        <v>45379.51221064815</v>
      </c>
      <c r="Q697" s="9">
        <v>45380</v>
      </c>
      <c r="R697" t="s">
        <v>44</v>
      </c>
      <c r="S697" t="s">
        <v>45</v>
      </c>
      <c r="T697" t="s">
        <v>46</v>
      </c>
      <c r="U697" t="s">
        <v>54</v>
      </c>
      <c r="V697" t="s">
        <v>2139</v>
      </c>
      <c r="W697">
        <v>40470</v>
      </c>
      <c r="X697" t="s">
        <v>45</v>
      </c>
      <c r="Y697" t="s">
        <v>526</v>
      </c>
      <c r="Z697" t="s">
        <v>50</v>
      </c>
      <c r="AA697" s="10">
        <f>IF(O697&lt;=1,7,7+0.8*ROUNDUP(O697-1,0))</f>
        <v>7</v>
      </c>
      <c r="AB697" s="11">
        <v>0</v>
      </c>
      <c r="AC697" s="11">
        <v>0</v>
      </c>
      <c r="AD697" s="11">
        <v>0</v>
      </c>
      <c r="AE697" s="11">
        <v>0</v>
      </c>
      <c r="AF697" s="11">
        <f t="shared" si="29"/>
        <v>0.42</v>
      </c>
      <c r="AG697" s="11">
        <f t="shared" si="27"/>
        <v>7.42</v>
      </c>
      <c r="AH697" t="s">
        <v>51</v>
      </c>
    </row>
    <row r="698" spans="1:34" ht="15" customHeight="1" x14ac:dyDescent="0.35">
      <c r="A698">
        <v>7547676</v>
      </c>
      <c r="B698">
        <v>690929</v>
      </c>
      <c r="C698" t="s">
        <v>34</v>
      </c>
      <c r="D698" t="s">
        <v>35</v>
      </c>
      <c r="E698" s="6" t="s">
        <v>34</v>
      </c>
      <c r="F698" t="s">
        <v>2140</v>
      </c>
      <c r="H698" t="s">
        <v>38</v>
      </c>
      <c r="I698" t="s">
        <v>2141</v>
      </c>
      <c r="J698" t="s">
        <v>40</v>
      </c>
      <c r="K698">
        <v>2</v>
      </c>
      <c r="L698" t="s">
        <v>41</v>
      </c>
      <c r="M698" t="s">
        <v>42</v>
      </c>
      <c r="N698" t="s">
        <v>43</v>
      </c>
      <c r="O698" s="7">
        <v>2</v>
      </c>
      <c r="P698" s="8">
        <v>45379.643275462964</v>
      </c>
      <c r="Q698" s="9">
        <v>45380</v>
      </c>
      <c r="R698" t="s">
        <v>44</v>
      </c>
      <c r="S698" t="s">
        <v>45</v>
      </c>
      <c r="T698" t="s">
        <v>46</v>
      </c>
      <c r="U698" t="s">
        <v>190</v>
      </c>
      <c r="V698" t="s">
        <v>2142</v>
      </c>
      <c r="W698">
        <v>28000</v>
      </c>
      <c r="X698" t="s">
        <v>45</v>
      </c>
      <c r="Y698" t="s">
        <v>362</v>
      </c>
      <c r="Z698" t="s">
        <v>50</v>
      </c>
      <c r="AA698" s="10">
        <f>IF(O698&lt;=1,7,7+0.8*ROUNDUP(O698-1,0))</f>
        <v>7.8</v>
      </c>
      <c r="AB698" s="11">
        <v>0</v>
      </c>
      <c r="AC698" s="11">
        <v>0</v>
      </c>
      <c r="AD698" s="11">
        <v>0</v>
      </c>
      <c r="AE698" s="11">
        <v>0</v>
      </c>
      <c r="AF698" s="11">
        <f t="shared" si="29"/>
        <v>0.46799999999999997</v>
      </c>
      <c r="AG698" s="11">
        <f t="shared" si="27"/>
        <v>8.2680000000000007</v>
      </c>
      <c r="AH698" t="s">
        <v>51</v>
      </c>
    </row>
    <row r="699" spans="1:34" ht="15" customHeight="1" x14ac:dyDescent="0.35">
      <c r="A699">
        <v>7547676</v>
      </c>
      <c r="B699">
        <v>690929</v>
      </c>
      <c r="C699" t="s">
        <v>34</v>
      </c>
      <c r="D699" t="s">
        <v>35</v>
      </c>
      <c r="E699" s="6" t="s">
        <v>34</v>
      </c>
      <c r="F699" t="s">
        <v>2143</v>
      </c>
      <c r="H699" t="s">
        <v>38</v>
      </c>
      <c r="I699" t="s">
        <v>1238</v>
      </c>
      <c r="J699" t="s">
        <v>40</v>
      </c>
      <c r="K699">
        <v>2</v>
      </c>
      <c r="L699" t="s">
        <v>41</v>
      </c>
      <c r="M699" t="s">
        <v>42</v>
      </c>
      <c r="N699" t="s">
        <v>43</v>
      </c>
      <c r="O699" s="7">
        <v>1</v>
      </c>
      <c r="P699" s="8">
        <v>45378.588275462964</v>
      </c>
      <c r="Q699" s="9">
        <v>45380</v>
      </c>
      <c r="R699" t="s">
        <v>44</v>
      </c>
      <c r="S699" t="s">
        <v>45</v>
      </c>
      <c r="T699" t="s">
        <v>46</v>
      </c>
      <c r="U699" t="s">
        <v>134</v>
      </c>
      <c r="V699" t="s">
        <v>1239</v>
      </c>
      <c r="W699">
        <v>6550</v>
      </c>
      <c r="X699" t="s">
        <v>45</v>
      </c>
      <c r="Y699" t="s">
        <v>136</v>
      </c>
      <c r="Z699" t="s">
        <v>50</v>
      </c>
      <c r="AA699" s="10">
        <f>IF(O699&lt;=1,7,7+0.8*ROUNDUP(O699-1,0))</f>
        <v>7</v>
      </c>
      <c r="AB699" s="11">
        <v>0</v>
      </c>
      <c r="AC699" s="11">
        <v>0</v>
      </c>
      <c r="AD699" s="11">
        <v>0</v>
      </c>
      <c r="AE699" s="11">
        <v>0</v>
      </c>
      <c r="AF699" s="11">
        <f t="shared" si="29"/>
        <v>0.42</v>
      </c>
      <c r="AG699" s="11">
        <f t="shared" si="27"/>
        <v>7.42</v>
      </c>
      <c r="AH699" t="s">
        <v>51</v>
      </c>
    </row>
    <row r="700" spans="1:34" ht="15" customHeight="1" x14ac:dyDescent="0.35">
      <c r="A700">
        <v>7547676</v>
      </c>
      <c r="B700">
        <v>690929</v>
      </c>
      <c r="C700" t="s">
        <v>34</v>
      </c>
      <c r="D700" t="s">
        <v>35</v>
      </c>
      <c r="E700" s="6" t="s">
        <v>34</v>
      </c>
      <c r="F700" t="s">
        <v>2144</v>
      </c>
      <c r="H700" t="s">
        <v>38</v>
      </c>
      <c r="I700" t="s">
        <v>2145</v>
      </c>
      <c r="J700" t="s">
        <v>40</v>
      </c>
      <c r="K700">
        <v>2</v>
      </c>
      <c r="L700" t="s">
        <v>41</v>
      </c>
      <c r="M700" t="s">
        <v>42</v>
      </c>
      <c r="N700" t="s">
        <v>43</v>
      </c>
      <c r="O700" s="7">
        <v>1</v>
      </c>
      <c r="P700" s="8">
        <v>45379.699097222219</v>
      </c>
      <c r="Q700" s="9">
        <v>45380</v>
      </c>
      <c r="R700" t="s">
        <v>44</v>
      </c>
      <c r="S700" t="s">
        <v>45</v>
      </c>
      <c r="T700" t="s">
        <v>46</v>
      </c>
      <c r="U700" t="s">
        <v>99</v>
      </c>
      <c r="V700" t="s">
        <v>2146</v>
      </c>
      <c r="W700">
        <v>17500</v>
      </c>
      <c r="X700" t="s">
        <v>45</v>
      </c>
      <c r="Y700" t="s">
        <v>156</v>
      </c>
      <c r="Z700" t="s">
        <v>50</v>
      </c>
      <c r="AA700" s="10">
        <f>IF(O700&lt;=1,7,7+0.8*ROUNDUP(O700-1,0))</f>
        <v>7</v>
      </c>
      <c r="AB700" s="11">
        <v>0</v>
      </c>
      <c r="AC700" s="11">
        <v>0</v>
      </c>
      <c r="AD700" s="11">
        <v>0</v>
      </c>
      <c r="AE700" s="11">
        <v>0</v>
      </c>
      <c r="AF700" s="11">
        <f t="shared" si="29"/>
        <v>0.42</v>
      </c>
      <c r="AG700" s="11">
        <f t="shared" si="27"/>
        <v>7.42</v>
      </c>
      <c r="AH700" t="s">
        <v>51</v>
      </c>
    </row>
    <row r="701" spans="1:34" ht="15" customHeight="1" x14ac:dyDescent="0.35">
      <c r="A701">
        <v>7547676</v>
      </c>
      <c r="B701">
        <v>690929</v>
      </c>
      <c r="C701" t="s">
        <v>34</v>
      </c>
      <c r="D701" t="s">
        <v>35</v>
      </c>
      <c r="E701" s="6" t="s">
        <v>34</v>
      </c>
      <c r="F701" t="s">
        <v>2147</v>
      </c>
      <c r="H701" t="s">
        <v>38</v>
      </c>
      <c r="I701" t="s">
        <v>2148</v>
      </c>
      <c r="J701" t="s">
        <v>40</v>
      </c>
      <c r="K701">
        <v>2</v>
      </c>
      <c r="L701" t="s">
        <v>41</v>
      </c>
      <c r="M701" t="s">
        <v>42</v>
      </c>
      <c r="N701" t="s">
        <v>43</v>
      </c>
      <c r="O701" s="7">
        <v>3</v>
      </c>
      <c r="P701" s="8">
        <v>45379.654340277775</v>
      </c>
      <c r="Q701" s="9">
        <v>45380</v>
      </c>
      <c r="R701" t="s">
        <v>44</v>
      </c>
      <c r="S701" t="s">
        <v>45</v>
      </c>
      <c r="T701" t="s">
        <v>46</v>
      </c>
      <c r="U701" t="s">
        <v>54</v>
      </c>
      <c r="V701" t="s">
        <v>2149</v>
      </c>
      <c r="W701">
        <v>68100</v>
      </c>
      <c r="X701" t="s">
        <v>45</v>
      </c>
      <c r="Y701" t="s">
        <v>126</v>
      </c>
      <c r="Z701" t="s">
        <v>50</v>
      </c>
      <c r="AA701" s="10">
        <f>IF(O701&lt;=1,7,7+0.8*ROUNDUP(O701-1,0))</f>
        <v>8.6</v>
      </c>
      <c r="AB701" s="11">
        <v>0</v>
      </c>
      <c r="AC701" s="11">
        <v>0</v>
      </c>
      <c r="AD701" s="11">
        <v>0</v>
      </c>
      <c r="AE701" s="11">
        <v>0</v>
      </c>
      <c r="AF701" s="11">
        <f t="shared" si="29"/>
        <v>0.51600000000000001</v>
      </c>
      <c r="AG701" s="11">
        <f t="shared" si="27"/>
        <v>9.1159999999999997</v>
      </c>
      <c r="AH701" t="s">
        <v>51</v>
      </c>
    </row>
    <row r="702" spans="1:34" ht="15" customHeight="1" x14ac:dyDescent="0.35">
      <c r="A702">
        <v>7547676</v>
      </c>
      <c r="B702">
        <v>690929</v>
      </c>
      <c r="C702" t="s">
        <v>34</v>
      </c>
      <c r="D702" t="s">
        <v>35</v>
      </c>
      <c r="E702" s="6" t="s">
        <v>34</v>
      </c>
      <c r="F702" t="s">
        <v>2150</v>
      </c>
      <c r="H702" t="s">
        <v>38</v>
      </c>
      <c r="I702" t="s">
        <v>2151</v>
      </c>
      <c r="J702" t="s">
        <v>40</v>
      </c>
      <c r="K702">
        <v>2</v>
      </c>
      <c r="L702" t="s">
        <v>41</v>
      </c>
      <c r="M702" t="s">
        <v>42</v>
      </c>
      <c r="N702" t="s">
        <v>43</v>
      </c>
      <c r="O702" s="7">
        <v>1</v>
      </c>
      <c r="P702" s="8">
        <v>45379.578414351854</v>
      </c>
      <c r="Q702" s="9">
        <v>45380</v>
      </c>
      <c r="R702" t="s">
        <v>44</v>
      </c>
      <c r="S702" t="s">
        <v>45</v>
      </c>
      <c r="T702" t="s">
        <v>46</v>
      </c>
      <c r="U702" t="s">
        <v>54</v>
      </c>
      <c r="V702" t="s">
        <v>2152</v>
      </c>
      <c r="W702">
        <v>47830</v>
      </c>
      <c r="X702" t="s">
        <v>45</v>
      </c>
      <c r="Y702" t="s">
        <v>1408</v>
      </c>
      <c r="Z702" t="s">
        <v>50</v>
      </c>
      <c r="AA702" s="10">
        <f>IF(O702&lt;=1,7,7+0.8*ROUNDUP(O702-1,0))</f>
        <v>7</v>
      </c>
      <c r="AB702" s="11">
        <v>0</v>
      </c>
      <c r="AC702" s="11">
        <v>0</v>
      </c>
      <c r="AD702" s="11">
        <v>0</v>
      </c>
      <c r="AE702" s="11">
        <v>0</v>
      </c>
      <c r="AF702" s="11">
        <f t="shared" si="29"/>
        <v>0.42</v>
      </c>
      <c r="AG702" s="11">
        <f t="shared" si="27"/>
        <v>7.42</v>
      </c>
      <c r="AH702" t="s">
        <v>51</v>
      </c>
    </row>
    <row r="703" spans="1:34" ht="15" customHeight="1" x14ac:dyDescent="0.35">
      <c r="A703">
        <v>7547676</v>
      </c>
      <c r="B703">
        <v>690929</v>
      </c>
      <c r="C703" t="s">
        <v>34</v>
      </c>
      <c r="D703" t="s">
        <v>35</v>
      </c>
      <c r="E703" s="6" t="s">
        <v>34</v>
      </c>
      <c r="F703" t="s">
        <v>2153</v>
      </c>
      <c r="H703" t="s">
        <v>38</v>
      </c>
      <c r="I703" t="s">
        <v>2154</v>
      </c>
      <c r="J703" t="s">
        <v>40</v>
      </c>
      <c r="K703">
        <v>2</v>
      </c>
      <c r="L703" t="s">
        <v>41</v>
      </c>
      <c r="M703" t="s">
        <v>42</v>
      </c>
      <c r="N703" t="s">
        <v>43</v>
      </c>
      <c r="O703" s="7">
        <v>6</v>
      </c>
      <c r="P703" s="8">
        <v>45377.475729166668</v>
      </c>
      <c r="Q703" s="9">
        <v>45380</v>
      </c>
      <c r="R703" t="s">
        <v>44</v>
      </c>
      <c r="S703" t="s">
        <v>45</v>
      </c>
      <c r="T703" t="s">
        <v>46</v>
      </c>
      <c r="U703" t="s">
        <v>172</v>
      </c>
      <c r="V703" t="s">
        <v>2155</v>
      </c>
      <c r="W703">
        <v>34800</v>
      </c>
      <c r="X703" t="s">
        <v>45</v>
      </c>
      <c r="Y703" t="s">
        <v>79</v>
      </c>
      <c r="Z703" t="s">
        <v>50</v>
      </c>
      <c r="AA703" s="10">
        <f>IF(O703&lt;=1,7,7+0.8*ROUNDUP(O703-1,0))</f>
        <v>11</v>
      </c>
      <c r="AB703" s="11">
        <v>0</v>
      </c>
      <c r="AC703" s="11">
        <v>0</v>
      </c>
      <c r="AD703" s="11">
        <v>0</v>
      </c>
      <c r="AE703" s="11">
        <v>0</v>
      </c>
      <c r="AF703" s="11">
        <f t="shared" si="29"/>
        <v>0.65999999999999992</v>
      </c>
      <c r="AG703" s="11">
        <f t="shared" si="27"/>
        <v>11.66</v>
      </c>
      <c r="AH703" t="s">
        <v>51</v>
      </c>
    </row>
    <row r="704" spans="1:34" ht="15" customHeight="1" x14ac:dyDescent="0.35">
      <c r="A704">
        <v>7547676</v>
      </c>
      <c r="B704">
        <v>690929</v>
      </c>
      <c r="C704" t="s">
        <v>34</v>
      </c>
      <c r="D704" t="s">
        <v>35</v>
      </c>
      <c r="E704" s="6" t="s">
        <v>34</v>
      </c>
      <c r="F704" t="s">
        <v>2156</v>
      </c>
      <c r="H704" t="s">
        <v>38</v>
      </c>
      <c r="I704" t="s">
        <v>2157</v>
      </c>
      <c r="J704" t="s">
        <v>40</v>
      </c>
      <c r="K704">
        <v>2</v>
      </c>
      <c r="L704" t="s">
        <v>41</v>
      </c>
      <c r="M704" t="s">
        <v>42</v>
      </c>
      <c r="N704" t="s">
        <v>43</v>
      </c>
      <c r="O704" s="7">
        <v>1</v>
      </c>
      <c r="P704" s="8">
        <v>45379.659513888888</v>
      </c>
      <c r="Q704" s="9">
        <v>45380</v>
      </c>
      <c r="R704" t="s">
        <v>44</v>
      </c>
      <c r="S704" t="s">
        <v>45</v>
      </c>
      <c r="T704" t="s">
        <v>46</v>
      </c>
      <c r="U704" t="s">
        <v>47</v>
      </c>
      <c r="V704" t="s">
        <v>2158</v>
      </c>
      <c r="W704">
        <v>23000</v>
      </c>
      <c r="X704" t="s">
        <v>45</v>
      </c>
      <c r="Y704" t="s">
        <v>49</v>
      </c>
      <c r="Z704" t="s">
        <v>50</v>
      </c>
      <c r="AA704" s="10">
        <f>IF(O704&lt;=1,7,7+0.8*ROUNDUP(O704-1,0))</f>
        <v>7</v>
      </c>
      <c r="AB704" s="11">
        <v>0</v>
      </c>
      <c r="AC704" s="11">
        <v>0</v>
      </c>
      <c r="AD704" s="11">
        <v>0</v>
      </c>
      <c r="AE704" s="11">
        <v>0</v>
      </c>
      <c r="AF704" s="11">
        <f t="shared" si="29"/>
        <v>0.42</v>
      </c>
      <c r="AG704" s="11">
        <f t="shared" si="27"/>
        <v>7.42</v>
      </c>
      <c r="AH704" t="s">
        <v>51</v>
      </c>
    </row>
    <row r="705" spans="1:34" ht="15" customHeight="1" x14ac:dyDescent="0.35">
      <c r="A705">
        <v>7547676</v>
      </c>
      <c r="B705">
        <v>690929</v>
      </c>
      <c r="C705" t="s">
        <v>34</v>
      </c>
      <c r="D705" t="s">
        <v>35</v>
      </c>
      <c r="E705" s="6" t="s">
        <v>34</v>
      </c>
      <c r="F705" t="s">
        <v>2159</v>
      </c>
      <c r="H705" t="s">
        <v>38</v>
      </c>
      <c r="I705" t="s">
        <v>2160</v>
      </c>
      <c r="J705" t="s">
        <v>40</v>
      </c>
      <c r="K705">
        <v>2</v>
      </c>
      <c r="L705" t="s">
        <v>41</v>
      </c>
      <c r="M705" t="s">
        <v>42</v>
      </c>
      <c r="N705" t="s">
        <v>43</v>
      </c>
      <c r="O705" s="7">
        <v>1</v>
      </c>
      <c r="P705" s="8">
        <v>45377.614571759259</v>
      </c>
      <c r="Q705" s="9">
        <v>45380</v>
      </c>
      <c r="R705" t="s">
        <v>44</v>
      </c>
      <c r="S705" t="s">
        <v>45</v>
      </c>
      <c r="T705" t="s">
        <v>46</v>
      </c>
      <c r="U705" t="s">
        <v>54</v>
      </c>
      <c r="V705" t="s">
        <v>2161</v>
      </c>
      <c r="W705">
        <v>43800</v>
      </c>
      <c r="X705" t="s">
        <v>45</v>
      </c>
      <c r="Y705" t="s">
        <v>79</v>
      </c>
      <c r="Z705" t="s">
        <v>50</v>
      </c>
      <c r="AA705" s="10">
        <f>IF(O705&lt;=1,7,7+0.8*ROUNDUP(O705-1,0))</f>
        <v>7</v>
      </c>
      <c r="AB705" s="11">
        <v>0</v>
      </c>
      <c r="AC705" s="11">
        <v>0</v>
      </c>
      <c r="AD705" s="11">
        <v>0</v>
      </c>
      <c r="AE705" s="11">
        <v>0</v>
      </c>
      <c r="AF705" s="11">
        <f t="shared" si="29"/>
        <v>0.42</v>
      </c>
      <c r="AG705" s="11">
        <f t="shared" si="27"/>
        <v>7.42</v>
      </c>
      <c r="AH705" t="s">
        <v>51</v>
      </c>
    </row>
    <row r="706" spans="1:34" ht="15" customHeight="1" x14ac:dyDescent="0.35">
      <c r="A706">
        <v>7547676</v>
      </c>
      <c r="B706">
        <v>690929</v>
      </c>
      <c r="C706" t="s">
        <v>34</v>
      </c>
      <c r="D706" t="s">
        <v>35</v>
      </c>
      <c r="E706" s="6" t="s">
        <v>34</v>
      </c>
      <c r="F706" t="s">
        <v>2162</v>
      </c>
      <c r="H706" t="s">
        <v>38</v>
      </c>
      <c r="I706" t="s">
        <v>2163</v>
      </c>
      <c r="J706" t="s">
        <v>40</v>
      </c>
      <c r="K706">
        <v>2</v>
      </c>
      <c r="L706" t="s">
        <v>41</v>
      </c>
      <c r="M706" t="s">
        <v>42</v>
      </c>
      <c r="N706" t="s">
        <v>43</v>
      </c>
      <c r="O706" s="7">
        <v>1</v>
      </c>
      <c r="P706" s="8">
        <v>45378.67</v>
      </c>
      <c r="Q706" s="9">
        <v>45380</v>
      </c>
      <c r="R706" t="s">
        <v>44</v>
      </c>
      <c r="S706" t="s">
        <v>45</v>
      </c>
      <c r="T706" t="s">
        <v>46</v>
      </c>
      <c r="U706" t="s">
        <v>134</v>
      </c>
      <c r="V706" t="s">
        <v>2164</v>
      </c>
      <c r="W706">
        <v>6000</v>
      </c>
      <c r="X706" t="s">
        <v>45</v>
      </c>
      <c r="Y706" t="s">
        <v>152</v>
      </c>
      <c r="Z706" t="s">
        <v>50</v>
      </c>
      <c r="AA706" s="10">
        <f>IF(O706&lt;=1,7,7+0.8*ROUNDUP(O706-1,0))</f>
        <v>7</v>
      </c>
      <c r="AB706" s="11">
        <v>0</v>
      </c>
      <c r="AC706" s="11">
        <v>0</v>
      </c>
      <c r="AD706" s="11">
        <v>0</v>
      </c>
      <c r="AE706" s="11">
        <v>0</v>
      </c>
      <c r="AF706" s="11">
        <f t="shared" si="29"/>
        <v>0.42</v>
      </c>
      <c r="AG706" s="11">
        <f t="shared" si="27"/>
        <v>7.42</v>
      </c>
      <c r="AH706" t="s">
        <v>51</v>
      </c>
    </row>
    <row r="707" spans="1:34" ht="15" customHeight="1" x14ac:dyDescent="0.35">
      <c r="A707">
        <v>7547676</v>
      </c>
      <c r="B707">
        <v>690929</v>
      </c>
      <c r="C707" t="s">
        <v>34</v>
      </c>
      <c r="D707" t="s">
        <v>35</v>
      </c>
      <c r="E707" s="6" t="s">
        <v>34</v>
      </c>
      <c r="F707" t="s">
        <v>2165</v>
      </c>
      <c r="H707" t="s">
        <v>38</v>
      </c>
      <c r="I707" t="s">
        <v>2166</v>
      </c>
      <c r="J707" t="s">
        <v>40</v>
      </c>
      <c r="K707">
        <v>2</v>
      </c>
      <c r="L707" t="s">
        <v>41</v>
      </c>
      <c r="M707" t="s">
        <v>42</v>
      </c>
      <c r="N707" t="s">
        <v>43</v>
      </c>
      <c r="O707" s="7">
        <v>1</v>
      </c>
      <c r="P707" s="8">
        <v>45379.518541666665</v>
      </c>
      <c r="Q707" s="9">
        <v>45380</v>
      </c>
      <c r="R707" t="s">
        <v>44</v>
      </c>
      <c r="S707" t="s">
        <v>45</v>
      </c>
      <c r="T707" t="s">
        <v>46</v>
      </c>
      <c r="U707" t="s">
        <v>99</v>
      </c>
      <c r="V707" t="s">
        <v>2167</v>
      </c>
      <c r="W707">
        <v>18400</v>
      </c>
      <c r="X707" t="s">
        <v>45</v>
      </c>
      <c r="Y707" t="s">
        <v>156</v>
      </c>
      <c r="Z707" t="s">
        <v>50</v>
      </c>
      <c r="AA707" s="10">
        <f>IF(O707&lt;=1,7,7+0.8*ROUNDUP(O707-1,0))</f>
        <v>7</v>
      </c>
      <c r="AB707" s="11">
        <v>0</v>
      </c>
      <c r="AC707" s="11">
        <v>0</v>
      </c>
      <c r="AD707" s="11">
        <v>0</v>
      </c>
      <c r="AE707" s="11">
        <v>0</v>
      </c>
      <c r="AF707" s="11">
        <f t="shared" si="29"/>
        <v>0.42</v>
      </c>
      <c r="AG707" s="11">
        <f t="shared" si="27"/>
        <v>7.42</v>
      </c>
      <c r="AH707" t="s">
        <v>51</v>
      </c>
    </row>
    <row r="708" spans="1:34" ht="15" customHeight="1" x14ac:dyDescent="0.35">
      <c r="A708">
        <v>7547676</v>
      </c>
      <c r="B708">
        <v>690929</v>
      </c>
      <c r="C708" t="s">
        <v>34</v>
      </c>
      <c r="D708" t="s">
        <v>35</v>
      </c>
      <c r="E708" s="6" t="s">
        <v>34</v>
      </c>
      <c r="F708" t="s">
        <v>2168</v>
      </c>
      <c r="H708" t="s">
        <v>38</v>
      </c>
      <c r="I708" t="s">
        <v>2169</v>
      </c>
      <c r="J708" t="s">
        <v>40</v>
      </c>
      <c r="K708">
        <v>2</v>
      </c>
      <c r="L708" t="s">
        <v>41</v>
      </c>
      <c r="M708" t="s">
        <v>42</v>
      </c>
      <c r="N708" t="s">
        <v>43</v>
      </c>
      <c r="O708" s="7">
        <v>1</v>
      </c>
      <c r="P708" s="8">
        <v>45379.659513888888</v>
      </c>
      <c r="Q708" s="9">
        <v>45380</v>
      </c>
      <c r="R708" t="s">
        <v>44</v>
      </c>
      <c r="S708" t="s">
        <v>45</v>
      </c>
      <c r="T708" t="s">
        <v>46</v>
      </c>
      <c r="U708" t="s">
        <v>99</v>
      </c>
      <c r="V708" t="s">
        <v>2170</v>
      </c>
      <c r="W708">
        <v>16450</v>
      </c>
      <c r="X708" t="s">
        <v>45</v>
      </c>
      <c r="Y708" t="s">
        <v>156</v>
      </c>
      <c r="Z708" t="s">
        <v>50</v>
      </c>
      <c r="AA708" s="10">
        <f>IF(O708&lt;=1,7,7+0.8*ROUNDUP(O708-1,0))</f>
        <v>7</v>
      </c>
      <c r="AB708" s="11">
        <v>0</v>
      </c>
      <c r="AC708" s="11">
        <v>0</v>
      </c>
      <c r="AD708" s="11">
        <v>0</v>
      </c>
      <c r="AE708" s="11">
        <v>0</v>
      </c>
      <c r="AF708" s="11">
        <f t="shared" si="29"/>
        <v>0.42</v>
      </c>
      <c r="AG708" s="11">
        <f t="shared" si="27"/>
        <v>7.42</v>
      </c>
      <c r="AH708" t="s">
        <v>51</v>
      </c>
    </row>
    <row r="709" spans="1:34" ht="15" customHeight="1" x14ac:dyDescent="0.35">
      <c r="A709">
        <v>7547676</v>
      </c>
      <c r="B709">
        <v>690929</v>
      </c>
      <c r="C709" t="s">
        <v>34</v>
      </c>
      <c r="D709" t="s">
        <v>35</v>
      </c>
      <c r="E709" s="6" t="s">
        <v>34</v>
      </c>
      <c r="F709" t="s">
        <v>2171</v>
      </c>
      <c r="H709" t="s">
        <v>38</v>
      </c>
      <c r="I709" t="s">
        <v>2172</v>
      </c>
      <c r="J709" t="s">
        <v>40</v>
      </c>
      <c r="K709">
        <v>2</v>
      </c>
      <c r="L709" t="s">
        <v>41</v>
      </c>
      <c r="M709" t="s">
        <v>42</v>
      </c>
      <c r="N709" t="s">
        <v>43</v>
      </c>
      <c r="O709" s="7">
        <v>1</v>
      </c>
      <c r="P709" s="8">
        <v>45378.61204861111</v>
      </c>
      <c r="Q709" s="9">
        <v>45380</v>
      </c>
      <c r="R709" t="s">
        <v>789</v>
      </c>
      <c r="S709" t="s">
        <v>45</v>
      </c>
      <c r="T709" t="s">
        <v>46</v>
      </c>
      <c r="U709" t="s">
        <v>278</v>
      </c>
      <c r="V709" t="s">
        <v>2173</v>
      </c>
      <c r="W709">
        <v>11700</v>
      </c>
      <c r="X709" t="s">
        <v>45</v>
      </c>
      <c r="Y709" t="s">
        <v>1431</v>
      </c>
      <c r="Z709" t="s">
        <v>50</v>
      </c>
      <c r="AA709" s="10">
        <f>IF(O709&lt;=1,7,7+0.8*ROUNDUP(O709-1,0))</f>
        <v>7</v>
      </c>
      <c r="AB709" s="11">
        <v>0</v>
      </c>
      <c r="AC709" s="11">
        <v>0</v>
      </c>
      <c r="AD709" s="11">
        <v>0</v>
      </c>
      <c r="AE709" s="11">
        <v>0</v>
      </c>
      <c r="AF709" s="11">
        <f t="shared" si="29"/>
        <v>0.42</v>
      </c>
      <c r="AG709" s="11">
        <f t="shared" si="27"/>
        <v>7.42</v>
      </c>
      <c r="AH709" t="s">
        <v>51</v>
      </c>
    </row>
    <row r="710" spans="1:34" ht="15" customHeight="1" x14ac:dyDescent="0.35">
      <c r="A710">
        <v>7547676</v>
      </c>
      <c r="B710">
        <v>690929</v>
      </c>
      <c r="C710" t="s">
        <v>34</v>
      </c>
      <c r="D710" t="s">
        <v>35</v>
      </c>
      <c r="E710" s="6" t="s">
        <v>34</v>
      </c>
      <c r="F710" t="s">
        <v>2174</v>
      </c>
      <c r="H710" t="s">
        <v>38</v>
      </c>
      <c r="I710" t="s">
        <v>2175</v>
      </c>
      <c r="J710" t="s">
        <v>40</v>
      </c>
      <c r="K710">
        <v>2</v>
      </c>
      <c r="L710" t="s">
        <v>41</v>
      </c>
      <c r="M710" t="s">
        <v>42</v>
      </c>
      <c r="N710" t="s">
        <v>43</v>
      </c>
      <c r="O710" s="7">
        <v>1</v>
      </c>
      <c r="P710" s="8">
        <v>45379.518541666665</v>
      </c>
      <c r="Q710" s="9">
        <v>45380</v>
      </c>
      <c r="R710" t="s">
        <v>44</v>
      </c>
      <c r="S710" t="s">
        <v>45</v>
      </c>
      <c r="T710" t="s">
        <v>46</v>
      </c>
      <c r="U710" t="s">
        <v>67</v>
      </c>
      <c r="V710" t="s">
        <v>2176</v>
      </c>
      <c r="W710">
        <v>53300</v>
      </c>
      <c r="X710" t="s">
        <v>45</v>
      </c>
      <c r="Y710" t="s">
        <v>887</v>
      </c>
      <c r="Z710" t="s">
        <v>50</v>
      </c>
      <c r="AA710" s="10">
        <f>IF(O710&lt;=1,7,7+0.8*ROUNDUP(O710-1,0))</f>
        <v>7</v>
      </c>
      <c r="AB710" s="11">
        <v>0</v>
      </c>
      <c r="AC710" s="11">
        <v>0</v>
      </c>
      <c r="AD710" s="11">
        <v>0</v>
      </c>
      <c r="AE710" s="11">
        <v>0</v>
      </c>
      <c r="AF710" s="11">
        <f t="shared" si="29"/>
        <v>0.42</v>
      </c>
      <c r="AG710" s="11">
        <f t="shared" si="27"/>
        <v>7.42</v>
      </c>
      <c r="AH710" t="s">
        <v>51</v>
      </c>
    </row>
    <row r="711" spans="1:34" ht="15" customHeight="1" x14ac:dyDescent="0.35">
      <c r="A711">
        <v>7547676</v>
      </c>
      <c r="B711">
        <v>690929</v>
      </c>
      <c r="C711" t="s">
        <v>34</v>
      </c>
      <c r="D711" t="s">
        <v>35</v>
      </c>
      <c r="E711" s="6" t="s">
        <v>34</v>
      </c>
      <c r="F711" t="s">
        <v>2177</v>
      </c>
      <c r="H711" t="s">
        <v>38</v>
      </c>
      <c r="I711" t="s">
        <v>2178</v>
      </c>
      <c r="J711" t="s">
        <v>40</v>
      </c>
      <c r="K711">
        <v>2</v>
      </c>
      <c r="L711" t="s">
        <v>41</v>
      </c>
      <c r="M711" t="s">
        <v>42</v>
      </c>
      <c r="N711" t="s">
        <v>43</v>
      </c>
      <c r="O711" s="7">
        <v>1</v>
      </c>
      <c r="P711" s="8">
        <v>45378.588275462964</v>
      </c>
      <c r="Q711" s="9">
        <v>45380</v>
      </c>
      <c r="R711" t="s">
        <v>44</v>
      </c>
      <c r="S711" t="s">
        <v>45</v>
      </c>
      <c r="T711" t="s">
        <v>46</v>
      </c>
      <c r="U711" t="s">
        <v>345</v>
      </c>
      <c r="V711" t="s">
        <v>2179</v>
      </c>
      <c r="W711">
        <v>62250</v>
      </c>
      <c r="X711" t="s">
        <v>45</v>
      </c>
      <c r="Y711" t="s">
        <v>966</v>
      </c>
      <c r="Z711" t="s">
        <v>50</v>
      </c>
      <c r="AA711" s="10">
        <f>IF(O711&lt;=1,7,7+0.8*ROUNDUP(O711-1,0))</f>
        <v>7</v>
      </c>
      <c r="AB711" s="11">
        <v>0</v>
      </c>
      <c r="AC711" s="11">
        <v>0</v>
      </c>
      <c r="AD711" s="11">
        <v>0</v>
      </c>
      <c r="AE711" s="11">
        <v>0</v>
      </c>
      <c r="AF711" s="11">
        <f t="shared" si="29"/>
        <v>0.42</v>
      </c>
      <c r="AG711" s="11">
        <f t="shared" si="27"/>
        <v>7.42</v>
      </c>
      <c r="AH711" t="s">
        <v>51</v>
      </c>
    </row>
    <row r="712" spans="1:34" ht="15" customHeight="1" x14ac:dyDescent="0.35">
      <c r="A712">
        <v>7547676</v>
      </c>
      <c r="B712">
        <v>690929</v>
      </c>
      <c r="C712" t="s">
        <v>34</v>
      </c>
      <c r="D712" t="s">
        <v>35</v>
      </c>
      <c r="E712" s="6" t="s">
        <v>34</v>
      </c>
      <c r="F712" t="s">
        <v>2180</v>
      </c>
      <c r="H712" t="s">
        <v>38</v>
      </c>
      <c r="I712" t="s">
        <v>2181</v>
      </c>
      <c r="J712" t="s">
        <v>40</v>
      </c>
      <c r="K712">
        <v>2</v>
      </c>
      <c r="L712" t="s">
        <v>41</v>
      </c>
      <c r="M712" t="s">
        <v>42</v>
      </c>
      <c r="N712" t="s">
        <v>43</v>
      </c>
      <c r="O712" s="7">
        <v>3</v>
      </c>
      <c r="P712" s="8">
        <v>45378.679074074076</v>
      </c>
      <c r="Q712" s="9">
        <v>45380</v>
      </c>
      <c r="R712" t="s">
        <v>44</v>
      </c>
      <c r="S712" t="s">
        <v>45</v>
      </c>
      <c r="T712" t="s">
        <v>46</v>
      </c>
      <c r="U712" t="s">
        <v>47</v>
      </c>
      <c r="V712" t="s">
        <v>2182</v>
      </c>
      <c r="W712">
        <v>21600</v>
      </c>
      <c r="X712" t="s">
        <v>45</v>
      </c>
      <c r="Y712" t="s">
        <v>49</v>
      </c>
      <c r="Z712" t="s">
        <v>50</v>
      </c>
      <c r="AA712" s="10">
        <f>IF(O712&lt;=1,7,7+0.8*ROUNDUP(O712-1,0))</f>
        <v>8.6</v>
      </c>
      <c r="AB712" s="11">
        <v>0</v>
      </c>
      <c r="AC712" s="11">
        <v>0</v>
      </c>
      <c r="AD712" s="11">
        <v>0</v>
      </c>
      <c r="AE712" s="11">
        <v>0</v>
      </c>
      <c r="AF712" s="11">
        <f t="shared" si="29"/>
        <v>0.51600000000000001</v>
      </c>
      <c r="AG712" s="11">
        <f t="shared" si="27"/>
        <v>9.1159999999999997</v>
      </c>
      <c r="AH712" t="s">
        <v>51</v>
      </c>
    </row>
    <row r="713" spans="1:34" ht="15" customHeight="1" x14ac:dyDescent="0.35">
      <c r="A713">
        <v>7547676</v>
      </c>
      <c r="B713">
        <v>690929</v>
      </c>
      <c r="C713" t="s">
        <v>34</v>
      </c>
      <c r="D713" t="s">
        <v>35</v>
      </c>
      <c r="E713" s="6" t="s">
        <v>34</v>
      </c>
      <c r="F713" t="s">
        <v>2183</v>
      </c>
      <c r="H713" t="s">
        <v>38</v>
      </c>
      <c r="I713" t="s">
        <v>2184</v>
      </c>
      <c r="J713" t="s">
        <v>40</v>
      </c>
      <c r="K713">
        <v>2</v>
      </c>
      <c r="L713" t="s">
        <v>41</v>
      </c>
      <c r="M713" t="s">
        <v>42</v>
      </c>
      <c r="N713" t="s">
        <v>43</v>
      </c>
      <c r="O713" s="7">
        <v>1</v>
      </c>
      <c r="P713" s="8">
        <v>45378.631238425929</v>
      </c>
      <c r="Q713" s="9">
        <v>45380</v>
      </c>
      <c r="R713" t="s">
        <v>789</v>
      </c>
      <c r="S713" t="s">
        <v>45</v>
      </c>
      <c r="T713" t="s">
        <v>46</v>
      </c>
      <c r="U713" t="s">
        <v>54</v>
      </c>
      <c r="V713" t="s">
        <v>2185</v>
      </c>
      <c r="W713">
        <v>55100</v>
      </c>
      <c r="X713" t="s">
        <v>45</v>
      </c>
      <c r="Y713" t="s">
        <v>228</v>
      </c>
      <c r="Z713" t="s">
        <v>50</v>
      </c>
      <c r="AA713" s="10">
        <f>IF(O713&lt;=1,7,7+0.8*ROUNDUP(O713-1,0))</f>
        <v>7</v>
      </c>
      <c r="AB713" s="11">
        <v>0</v>
      </c>
      <c r="AC713" s="11">
        <v>0</v>
      </c>
      <c r="AD713" s="11">
        <v>0</v>
      </c>
      <c r="AE713" s="11">
        <v>0</v>
      </c>
      <c r="AF713" s="11">
        <f t="shared" si="29"/>
        <v>0.42</v>
      </c>
      <c r="AG713" s="11">
        <f t="shared" si="27"/>
        <v>7.42</v>
      </c>
      <c r="AH713" t="s">
        <v>51</v>
      </c>
    </row>
    <row r="714" spans="1:34" ht="15" customHeight="1" x14ac:dyDescent="0.35">
      <c r="A714">
        <v>7547676</v>
      </c>
      <c r="B714">
        <v>690929</v>
      </c>
      <c r="C714" t="s">
        <v>34</v>
      </c>
      <c r="D714" t="s">
        <v>35</v>
      </c>
      <c r="E714" s="6" t="s">
        <v>34</v>
      </c>
      <c r="F714" t="s">
        <v>2186</v>
      </c>
      <c r="H714" t="s">
        <v>38</v>
      </c>
      <c r="I714" t="s">
        <v>2187</v>
      </c>
      <c r="J714" t="s">
        <v>40</v>
      </c>
      <c r="K714">
        <v>2</v>
      </c>
      <c r="L714" t="s">
        <v>41</v>
      </c>
      <c r="M714" t="s">
        <v>42</v>
      </c>
      <c r="N714" t="s">
        <v>43</v>
      </c>
      <c r="O714" s="7">
        <v>1</v>
      </c>
      <c r="P714" s="8">
        <v>45378.588275462964</v>
      </c>
      <c r="Q714" s="9">
        <v>45380</v>
      </c>
      <c r="R714" t="s">
        <v>44</v>
      </c>
      <c r="S714" t="s">
        <v>45</v>
      </c>
      <c r="T714" t="s">
        <v>46</v>
      </c>
      <c r="U714" t="s">
        <v>54</v>
      </c>
      <c r="V714" t="s">
        <v>2188</v>
      </c>
      <c r="W714">
        <v>62300</v>
      </c>
      <c r="X714" t="s">
        <v>45</v>
      </c>
      <c r="Y714" t="s">
        <v>79</v>
      </c>
      <c r="Z714" t="s">
        <v>50</v>
      </c>
      <c r="AA714" s="10">
        <f>IF(O714&lt;=1,7,7+0.8*ROUNDUP(O714-1,0))</f>
        <v>7</v>
      </c>
      <c r="AB714" s="11">
        <v>0</v>
      </c>
      <c r="AC714" s="11">
        <v>0</v>
      </c>
      <c r="AD714" s="11">
        <v>0</v>
      </c>
      <c r="AE714" s="11">
        <v>0</v>
      </c>
      <c r="AF714" s="11">
        <f t="shared" si="29"/>
        <v>0.42</v>
      </c>
      <c r="AG714" s="11">
        <f t="shared" si="27"/>
        <v>7.42</v>
      </c>
      <c r="AH714" t="s">
        <v>51</v>
      </c>
    </row>
    <row r="715" spans="1:34" ht="15" customHeight="1" x14ac:dyDescent="0.35">
      <c r="A715">
        <v>7547676</v>
      </c>
      <c r="B715">
        <v>690929</v>
      </c>
      <c r="C715" t="s">
        <v>34</v>
      </c>
      <c r="D715" t="s">
        <v>35</v>
      </c>
      <c r="E715" s="6" t="s">
        <v>34</v>
      </c>
      <c r="F715" t="s">
        <v>2189</v>
      </c>
      <c r="H715" t="s">
        <v>38</v>
      </c>
      <c r="I715" t="s">
        <v>2190</v>
      </c>
      <c r="J715" t="s">
        <v>40</v>
      </c>
      <c r="K715">
        <v>2</v>
      </c>
      <c r="L715" t="s">
        <v>41</v>
      </c>
      <c r="M715" t="s">
        <v>42</v>
      </c>
      <c r="N715" t="s">
        <v>43</v>
      </c>
      <c r="O715" s="7">
        <v>1</v>
      </c>
      <c r="P715" s="8">
        <v>45379.659513888888</v>
      </c>
      <c r="Q715" s="9">
        <v>45380</v>
      </c>
      <c r="R715" t="s">
        <v>44</v>
      </c>
      <c r="S715" t="s">
        <v>45</v>
      </c>
      <c r="T715" t="s">
        <v>46</v>
      </c>
      <c r="U715" t="s">
        <v>67</v>
      </c>
      <c r="V715" t="s">
        <v>2191</v>
      </c>
      <c r="W715">
        <v>58200</v>
      </c>
      <c r="X715" t="s">
        <v>45</v>
      </c>
      <c r="Y715" t="s">
        <v>452</v>
      </c>
      <c r="Z715" t="s">
        <v>50</v>
      </c>
      <c r="AA715" s="10">
        <f>IF(O715&lt;=1,7,7+0.8*ROUNDUP(O715-1,0))</f>
        <v>7</v>
      </c>
      <c r="AB715" s="11">
        <v>0</v>
      </c>
      <c r="AC715" s="11">
        <v>0</v>
      </c>
      <c r="AD715" s="11">
        <v>0</v>
      </c>
      <c r="AE715" s="11">
        <v>0</v>
      </c>
      <c r="AF715" s="11">
        <f t="shared" si="29"/>
        <v>0.42</v>
      </c>
      <c r="AG715" s="11">
        <f t="shared" si="27"/>
        <v>7.42</v>
      </c>
      <c r="AH715" t="s">
        <v>51</v>
      </c>
    </row>
    <row r="716" spans="1:34" ht="15" customHeight="1" x14ac:dyDescent="0.35">
      <c r="A716">
        <v>7547676</v>
      </c>
      <c r="B716">
        <v>690929</v>
      </c>
      <c r="C716" t="s">
        <v>34</v>
      </c>
      <c r="D716" t="s">
        <v>35</v>
      </c>
      <c r="E716" s="6" t="s">
        <v>34</v>
      </c>
      <c r="F716" t="s">
        <v>2192</v>
      </c>
      <c r="H716" t="s">
        <v>38</v>
      </c>
      <c r="I716" t="s">
        <v>2193</v>
      </c>
      <c r="J716" t="s">
        <v>40</v>
      </c>
      <c r="K716">
        <v>2</v>
      </c>
      <c r="L716" t="s">
        <v>41</v>
      </c>
      <c r="M716" t="s">
        <v>42</v>
      </c>
      <c r="N716" t="s">
        <v>43</v>
      </c>
      <c r="O716" s="7">
        <v>1</v>
      </c>
      <c r="P716" s="8">
        <v>45378.525879629633</v>
      </c>
      <c r="Q716" s="9">
        <v>45380</v>
      </c>
      <c r="R716" t="s">
        <v>44</v>
      </c>
      <c r="S716" t="s">
        <v>45</v>
      </c>
      <c r="T716" t="s">
        <v>46</v>
      </c>
      <c r="U716" t="s">
        <v>54</v>
      </c>
      <c r="V716" t="s">
        <v>2194</v>
      </c>
      <c r="W716">
        <v>48020</v>
      </c>
      <c r="X716" t="s">
        <v>45</v>
      </c>
      <c r="Y716" t="s">
        <v>214</v>
      </c>
      <c r="Z716" t="s">
        <v>50</v>
      </c>
      <c r="AA716" s="10">
        <f>IF(O716&lt;=1,7,7+0.8*ROUNDUP(O716-1,0))</f>
        <v>7</v>
      </c>
      <c r="AB716" s="11">
        <v>0</v>
      </c>
      <c r="AC716" s="11">
        <v>0</v>
      </c>
      <c r="AD716" s="11">
        <v>0</v>
      </c>
      <c r="AE716" s="11">
        <v>0</v>
      </c>
      <c r="AF716" s="11">
        <f t="shared" si="29"/>
        <v>0.42</v>
      </c>
      <c r="AG716" s="11">
        <f t="shared" si="27"/>
        <v>7.42</v>
      </c>
      <c r="AH716" t="s">
        <v>51</v>
      </c>
    </row>
    <row r="717" spans="1:34" ht="15" customHeight="1" x14ac:dyDescent="0.35">
      <c r="A717">
        <v>7547676</v>
      </c>
      <c r="B717">
        <v>690929</v>
      </c>
      <c r="C717" t="s">
        <v>34</v>
      </c>
      <c r="D717" t="s">
        <v>35</v>
      </c>
      <c r="E717" s="6" t="s">
        <v>34</v>
      </c>
      <c r="F717" t="s">
        <v>2195</v>
      </c>
      <c r="H717" t="s">
        <v>38</v>
      </c>
      <c r="I717" t="s">
        <v>2196</v>
      </c>
      <c r="J717" t="s">
        <v>40</v>
      </c>
      <c r="K717">
        <v>2</v>
      </c>
      <c r="L717" t="s">
        <v>41</v>
      </c>
      <c r="M717" t="s">
        <v>42</v>
      </c>
      <c r="N717" t="s">
        <v>43</v>
      </c>
      <c r="O717" s="7">
        <v>1</v>
      </c>
      <c r="P717" s="8">
        <v>45379.486655092594</v>
      </c>
      <c r="Q717" s="9">
        <v>45380</v>
      </c>
      <c r="R717" t="s">
        <v>44</v>
      </c>
      <c r="S717" t="s">
        <v>45</v>
      </c>
      <c r="T717" t="s">
        <v>46</v>
      </c>
      <c r="U717" t="s">
        <v>54</v>
      </c>
      <c r="V717" t="s">
        <v>2197</v>
      </c>
      <c r="W717">
        <v>43000</v>
      </c>
      <c r="X717" t="s">
        <v>45</v>
      </c>
      <c r="Y717" t="s">
        <v>1500</v>
      </c>
      <c r="Z717" t="s">
        <v>50</v>
      </c>
      <c r="AA717" s="10">
        <f>IF(O717&lt;=1,7,7+0.8*ROUNDUP(O717-1,0))</f>
        <v>7</v>
      </c>
      <c r="AB717" s="11">
        <v>0</v>
      </c>
      <c r="AC717" s="11">
        <v>0</v>
      </c>
      <c r="AD717" s="11">
        <v>0</v>
      </c>
      <c r="AE717" s="11">
        <v>0</v>
      </c>
      <c r="AF717" s="11">
        <f t="shared" si="29"/>
        <v>0.42</v>
      </c>
      <c r="AG717" s="11">
        <f t="shared" si="27"/>
        <v>7.42</v>
      </c>
      <c r="AH717" t="s">
        <v>51</v>
      </c>
    </row>
    <row r="718" spans="1:34" ht="15" customHeight="1" x14ac:dyDescent="0.35">
      <c r="A718">
        <v>7547676</v>
      </c>
      <c r="B718">
        <v>690929</v>
      </c>
      <c r="C718" t="s">
        <v>34</v>
      </c>
      <c r="D718" t="s">
        <v>35</v>
      </c>
      <c r="E718" s="6" t="s">
        <v>34</v>
      </c>
      <c r="F718" t="s">
        <v>2198</v>
      </c>
      <c r="H718" t="s">
        <v>38</v>
      </c>
      <c r="I718" t="s">
        <v>1403</v>
      </c>
      <c r="J718" t="s">
        <v>40</v>
      </c>
      <c r="K718">
        <v>2</v>
      </c>
      <c r="L718" t="s">
        <v>41</v>
      </c>
      <c r="M718" t="s">
        <v>42</v>
      </c>
      <c r="N718" t="s">
        <v>43</v>
      </c>
      <c r="O718" s="7">
        <v>1</v>
      </c>
      <c r="P718" s="8">
        <v>45378.518773148149</v>
      </c>
      <c r="Q718" s="9">
        <v>45380</v>
      </c>
      <c r="R718" t="s">
        <v>789</v>
      </c>
      <c r="S718" t="s">
        <v>45</v>
      </c>
      <c r="T718" t="s">
        <v>46</v>
      </c>
      <c r="U718" t="s">
        <v>278</v>
      </c>
      <c r="V718" t="s">
        <v>1404</v>
      </c>
      <c r="W718">
        <v>11900</v>
      </c>
      <c r="X718" t="s">
        <v>45</v>
      </c>
      <c r="Y718" t="s">
        <v>79</v>
      </c>
      <c r="Z718" t="s">
        <v>50</v>
      </c>
      <c r="AA718" s="10">
        <f>IF(O718&lt;=1,7,7+0.8*ROUNDUP(O718-1,0))</f>
        <v>7</v>
      </c>
      <c r="AB718" s="11">
        <v>0</v>
      </c>
      <c r="AC718" s="11">
        <v>0</v>
      </c>
      <c r="AD718" s="11">
        <v>0</v>
      </c>
      <c r="AE718" s="11">
        <v>0</v>
      </c>
      <c r="AF718" s="11">
        <f t="shared" si="29"/>
        <v>0.42</v>
      </c>
      <c r="AG718" s="11">
        <f t="shared" si="27"/>
        <v>7.42</v>
      </c>
      <c r="AH718" t="s">
        <v>51</v>
      </c>
    </row>
    <row r="719" spans="1:34" ht="15" customHeight="1" x14ac:dyDescent="0.35">
      <c r="A719">
        <v>7547676</v>
      </c>
      <c r="B719">
        <v>690929</v>
      </c>
      <c r="C719" t="s">
        <v>34</v>
      </c>
      <c r="D719" t="s">
        <v>35</v>
      </c>
      <c r="E719" s="6" t="s">
        <v>34</v>
      </c>
      <c r="F719" t="s">
        <v>2199</v>
      </c>
      <c r="H719" t="s">
        <v>38</v>
      </c>
      <c r="I719" t="s">
        <v>2200</v>
      </c>
      <c r="J719" t="s">
        <v>40</v>
      </c>
      <c r="K719">
        <v>2</v>
      </c>
      <c r="L719" t="s">
        <v>41</v>
      </c>
      <c r="M719" t="s">
        <v>42</v>
      </c>
      <c r="N719" t="s">
        <v>43</v>
      </c>
      <c r="O719" s="7">
        <v>1</v>
      </c>
      <c r="P719" s="8">
        <v>45378.576215277775</v>
      </c>
      <c r="Q719" s="9">
        <v>45380</v>
      </c>
      <c r="R719" t="s">
        <v>789</v>
      </c>
      <c r="S719" t="s">
        <v>45</v>
      </c>
      <c r="T719" t="s">
        <v>46</v>
      </c>
      <c r="U719" t="s">
        <v>54</v>
      </c>
      <c r="V719" t="s">
        <v>2201</v>
      </c>
      <c r="W719">
        <v>43200</v>
      </c>
      <c r="X719" t="s">
        <v>45</v>
      </c>
      <c r="Y719" t="s">
        <v>109</v>
      </c>
      <c r="Z719" t="s">
        <v>50</v>
      </c>
      <c r="AA719" s="10">
        <f>IF(O719&lt;=1,7,7+0.8*ROUNDUP(O719-1,0))</f>
        <v>7</v>
      </c>
      <c r="AB719" s="11">
        <v>0</v>
      </c>
      <c r="AC719" s="11">
        <v>0</v>
      </c>
      <c r="AD719" s="11">
        <v>0</v>
      </c>
      <c r="AE719" s="11">
        <v>0</v>
      </c>
      <c r="AF719" s="11">
        <f t="shared" si="29"/>
        <v>0.42</v>
      </c>
      <c r="AG719" s="11">
        <f t="shared" si="27"/>
        <v>7.42</v>
      </c>
      <c r="AH719" t="s">
        <v>51</v>
      </c>
    </row>
    <row r="720" spans="1:34" ht="15" customHeight="1" x14ac:dyDescent="0.35">
      <c r="A720">
        <v>7547676</v>
      </c>
      <c r="B720">
        <v>690929</v>
      </c>
      <c r="C720" t="s">
        <v>34</v>
      </c>
      <c r="D720" t="s">
        <v>35</v>
      </c>
      <c r="E720" s="6" t="s">
        <v>34</v>
      </c>
      <c r="F720" t="s">
        <v>2202</v>
      </c>
      <c r="H720" t="s">
        <v>38</v>
      </c>
      <c r="I720" t="s">
        <v>2203</v>
      </c>
      <c r="J720" t="s">
        <v>40</v>
      </c>
      <c r="K720">
        <v>2</v>
      </c>
      <c r="L720" t="s">
        <v>41</v>
      </c>
      <c r="M720" t="s">
        <v>42</v>
      </c>
      <c r="N720" t="s">
        <v>43</v>
      </c>
      <c r="O720" s="7">
        <v>1</v>
      </c>
      <c r="P720" s="8">
        <v>45378.527581018519</v>
      </c>
      <c r="Q720" s="9">
        <v>45380</v>
      </c>
      <c r="R720" t="s">
        <v>789</v>
      </c>
      <c r="S720" t="s">
        <v>45</v>
      </c>
      <c r="T720" t="s">
        <v>46</v>
      </c>
      <c r="U720" t="s">
        <v>47</v>
      </c>
      <c r="V720" t="s">
        <v>2204</v>
      </c>
      <c r="W720">
        <v>23000</v>
      </c>
      <c r="X720" t="s">
        <v>45</v>
      </c>
      <c r="Y720" t="s">
        <v>2205</v>
      </c>
      <c r="Z720" t="s">
        <v>50</v>
      </c>
      <c r="AA720" s="10">
        <f>IF(O720&lt;=1,7,7+0.8*ROUNDUP(O720-1,0))</f>
        <v>7</v>
      </c>
      <c r="AB720" s="11">
        <v>0</v>
      </c>
      <c r="AC720" s="11">
        <v>0</v>
      </c>
      <c r="AD720" s="11">
        <v>0</v>
      </c>
      <c r="AE720" s="11">
        <v>0</v>
      </c>
      <c r="AF720" s="11">
        <f t="shared" si="29"/>
        <v>0.42</v>
      </c>
      <c r="AG720" s="11">
        <f t="shared" si="27"/>
        <v>7.42</v>
      </c>
      <c r="AH720" t="s">
        <v>51</v>
      </c>
    </row>
    <row r="721" spans="1:34" ht="15" customHeight="1" x14ac:dyDescent="0.35">
      <c r="A721">
        <v>7547676</v>
      </c>
      <c r="B721">
        <v>690929</v>
      </c>
      <c r="C721" t="s">
        <v>34</v>
      </c>
      <c r="D721" t="s">
        <v>35</v>
      </c>
      <c r="E721" s="6" t="s">
        <v>34</v>
      </c>
      <c r="F721" t="s">
        <v>2206</v>
      </c>
      <c r="H721" t="s">
        <v>38</v>
      </c>
      <c r="I721" t="s">
        <v>2207</v>
      </c>
      <c r="J721" t="s">
        <v>40</v>
      </c>
      <c r="K721">
        <v>2</v>
      </c>
      <c r="L721" t="s">
        <v>41</v>
      </c>
      <c r="M721" t="s">
        <v>42</v>
      </c>
      <c r="N721" t="s">
        <v>43</v>
      </c>
      <c r="O721" s="7">
        <v>1</v>
      </c>
      <c r="P721" s="8">
        <v>45378.588275462964</v>
      </c>
      <c r="Q721" s="9">
        <v>45380</v>
      </c>
      <c r="R721" t="s">
        <v>44</v>
      </c>
      <c r="S721" t="s">
        <v>45</v>
      </c>
      <c r="T721" t="s">
        <v>46</v>
      </c>
      <c r="U721" t="s">
        <v>77</v>
      </c>
      <c r="V721" t="s">
        <v>2208</v>
      </c>
      <c r="W721">
        <v>76300</v>
      </c>
      <c r="X721" t="s">
        <v>45</v>
      </c>
      <c r="Y721" t="s">
        <v>79</v>
      </c>
      <c r="Z721" t="s">
        <v>50</v>
      </c>
      <c r="AA721" s="10">
        <f>IF(O721&lt;=1,7,7+0.8*ROUNDUP(O721-1,0))</f>
        <v>7</v>
      </c>
      <c r="AB721" s="11">
        <v>0</v>
      </c>
      <c r="AC721" s="11">
        <v>0</v>
      </c>
      <c r="AD721" s="11">
        <v>0</v>
      </c>
      <c r="AE721" s="11">
        <v>0</v>
      </c>
      <c r="AF721" s="11">
        <f t="shared" si="29"/>
        <v>0.42</v>
      </c>
      <c r="AG721" s="11">
        <f t="shared" si="27"/>
        <v>7.42</v>
      </c>
      <c r="AH721" t="s">
        <v>51</v>
      </c>
    </row>
    <row r="722" spans="1:34" ht="15" customHeight="1" x14ac:dyDescent="0.35">
      <c r="A722">
        <v>7547676</v>
      </c>
      <c r="B722">
        <v>690929</v>
      </c>
      <c r="C722" t="s">
        <v>34</v>
      </c>
      <c r="D722" t="s">
        <v>35</v>
      </c>
      <c r="E722" s="6" t="s">
        <v>34</v>
      </c>
      <c r="F722" t="s">
        <v>2209</v>
      </c>
      <c r="H722" t="s">
        <v>38</v>
      </c>
      <c r="I722" t="s">
        <v>2210</v>
      </c>
      <c r="J722" t="s">
        <v>40</v>
      </c>
      <c r="K722">
        <v>2</v>
      </c>
      <c r="L722" t="s">
        <v>41</v>
      </c>
      <c r="M722" t="s">
        <v>42</v>
      </c>
      <c r="N722" t="s">
        <v>43</v>
      </c>
      <c r="O722" s="7">
        <v>14</v>
      </c>
      <c r="P722" s="8">
        <v>45379.643263888887</v>
      </c>
      <c r="Q722" s="9">
        <v>45381</v>
      </c>
      <c r="R722" t="s">
        <v>44</v>
      </c>
      <c r="S722" t="s">
        <v>45</v>
      </c>
      <c r="T722" t="s">
        <v>46</v>
      </c>
      <c r="U722" t="s">
        <v>82</v>
      </c>
      <c r="V722" t="s">
        <v>2211</v>
      </c>
      <c r="W722">
        <v>86000</v>
      </c>
      <c r="X722" t="s">
        <v>45</v>
      </c>
      <c r="Y722" t="s">
        <v>1109</v>
      </c>
      <c r="Z722" t="s">
        <v>50</v>
      </c>
      <c r="AA722" s="10">
        <f>IF(O722&lt;=1,7,7+0.8*ROUNDUP(O722-1,0))</f>
        <v>17.399999999999999</v>
      </c>
      <c r="AB722" s="11">
        <v>0</v>
      </c>
      <c r="AC722" s="11">
        <v>0</v>
      </c>
      <c r="AD722" s="11">
        <v>0</v>
      </c>
      <c r="AE722" s="11">
        <v>0</v>
      </c>
      <c r="AF722" s="11">
        <f t="shared" si="29"/>
        <v>1.0439999999999998</v>
      </c>
      <c r="AG722" s="11">
        <f t="shared" si="27"/>
        <v>18.443999999999999</v>
      </c>
      <c r="AH722" t="s">
        <v>51</v>
      </c>
    </row>
    <row r="723" spans="1:34" ht="15" customHeight="1" x14ac:dyDescent="0.35">
      <c r="A723">
        <v>7547676</v>
      </c>
      <c r="B723">
        <v>690929</v>
      </c>
      <c r="C723" t="s">
        <v>34</v>
      </c>
      <c r="D723" t="s">
        <v>35</v>
      </c>
      <c r="E723" s="6" t="s">
        <v>34</v>
      </c>
      <c r="F723" t="s">
        <v>2212</v>
      </c>
      <c r="H723" t="s">
        <v>38</v>
      </c>
      <c r="I723" t="s">
        <v>2120</v>
      </c>
      <c r="J723" t="s">
        <v>40</v>
      </c>
      <c r="K723">
        <v>2</v>
      </c>
      <c r="L723" t="s">
        <v>41</v>
      </c>
      <c r="M723" t="s">
        <v>42</v>
      </c>
      <c r="N723" t="s">
        <v>43</v>
      </c>
      <c r="O723" s="7">
        <v>2</v>
      </c>
      <c r="P723" s="8">
        <v>45376.611377314817</v>
      </c>
      <c r="Q723" s="9">
        <v>45381</v>
      </c>
      <c r="R723" t="s">
        <v>44</v>
      </c>
      <c r="S723" t="s">
        <v>45</v>
      </c>
      <c r="T723" t="s">
        <v>46</v>
      </c>
      <c r="U723" t="s">
        <v>190</v>
      </c>
      <c r="V723" t="s">
        <v>2121</v>
      </c>
      <c r="W723">
        <v>28700</v>
      </c>
      <c r="X723" t="s">
        <v>45</v>
      </c>
      <c r="Y723" t="s">
        <v>79</v>
      </c>
      <c r="Z723" t="s">
        <v>50</v>
      </c>
      <c r="AA723" s="10">
        <f>IF(O723&lt;=1,7,7+0.8*ROUNDUP(O723-1,0))</f>
        <v>7.8</v>
      </c>
      <c r="AB723" s="11">
        <v>0</v>
      </c>
      <c r="AC723" s="11">
        <v>0</v>
      </c>
      <c r="AD723" s="11">
        <v>0</v>
      </c>
      <c r="AE723" s="11">
        <v>0</v>
      </c>
      <c r="AF723" s="11">
        <f t="shared" si="29"/>
        <v>0.46799999999999997</v>
      </c>
      <c r="AG723" s="11">
        <f t="shared" si="27"/>
        <v>8.2680000000000007</v>
      </c>
      <c r="AH723" t="s">
        <v>51</v>
      </c>
    </row>
    <row r="724" spans="1:34" ht="15" customHeight="1" x14ac:dyDescent="0.35">
      <c r="A724">
        <v>7547676</v>
      </c>
      <c r="B724">
        <v>690929</v>
      </c>
      <c r="C724" t="s">
        <v>34</v>
      </c>
      <c r="D724" t="s">
        <v>35</v>
      </c>
      <c r="E724" s="6" t="s">
        <v>34</v>
      </c>
      <c r="F724" t="s">
        <v>2213</v>
      </c>
      <c r="H724" t="s">
        <v>38</v>
      </c>
      <c r="I724" t="s">
        <v>2214</v>
      </c>
      <c r="J724" t="s">
        <v>40</v>
      </c>
      <c r="K724">
        <v>2</v>
      </c>
      <c r="L724" t="s">
        <v>41</v>
      </c>
      <c r="M724" t="s">
        <v>42</v>
      </c>
      <c r="N724" t="s">
        <v>43</v>
      </c>
      <c r="O724" s="7">
        <v>1</v>
      </c>
      <c r="P724" s="8">
        <v>45379.654328703706</v>
      </c>
      <c r="Q724" s="9">
        <v>45381</v>
      </c>
      <c r="R724" t="s">
        <v>44</v>
      </c>
      <c r="S724" t="s">
        <v>45</v>
      </c>
      <c r="T724" t="s">
        <v>46</v>
      </c>
      <c r="U724" t="s">
        <v>77</v>
      </c>
      <c r="V724" t="s">
        <v>2215</v>
      </c>
      <c r="W724">
        <v>76100</v>
      </c>
      <c r="X724" t="s">
        <v>45</v>
      </c>
      <c r="Y724" t="s">
        <v>96</v>
      </c>
      <c r="Z724" t="s">
        <v>50</v>
      </c>
      <c r="AA724" s="10">
        <f>IF(O724&lt;=1,7,7+0.8*ROUNDUP(O724-1,0))</f>
        <v>7</v>
      </c>
      <c r="AB724" s="11">
        <v>0</v>
      </c>
      <c r="AC724" s="11">
        <v>0</v>
      </c>
      <c r="AD724" s="11">
        <v>0</v>
      </c>
      <c r="AE724" s="11">
        <v>0</v>
      </c>
      <c r="AF724" s="11">
        <f t="shared" si="29"/>
        <v>0.42</v>
      </c>
      <c r="AG724" s="11">
        <f t="shared" si="27"/>
        <v>7.42</v>
      </c>
      <c r="AH724" t="s">
        <v>51</v>
      </c>
    </row>
    <row r="725" spans="1:34" ht="15" customHeight="1" x14ac:dyDescent="0.35">
      <c r="A725">
        <v>7547676</v>
      </c>
      <c r="B725">
        <v>690929</v>
      </c>
      <c r="C725" t="s">
        <v>34</v>
      </c>
      <c r="D725" t="s">
        <v>35</v>
      </c>
      <c r="E725" s="6" t="s">
        <v>34</v>
      </c>
      <c r="F725" t="s">
        <v>2216</v>
      </c>
      <c r="H725" t="s">
        <v>38</v>
      </c>
      <c r="I725" t="s">
        <v>2217</v>
      </c>
      <c r="J725" t="s">
        <v>40</v>
      </c>
      <c r="K725">
        <v>2</v>
      </c>
      <c r="L725" t="s">
        <v>41</v>
      </c>
      <c r="M725" t="s">
        <v>42</v>
      </c>
      <c r="N725" t="s">
        <v>43</v>
      </c>
      <c r="O725" s="7">
        <v>1</v>
      </c>
      <c r="P725" s="8">
        <v>45379.607083333336</v>
      </c>
      <c r="Q725" s="9">
        <v>45381</v>
      </c>
      <c r="R725" t="s">
        <v>44</v>
      </c>
      <c r="S725" t="s">
        <v>45</v>
      </c>
      <c r="T725" t="s">
        <v>46</v>
      </c>
      <c r="U725" t="s">
        <v>54</v>
      </c>
      <c r="V725" t="s">
        <v>2218</v>
      </c>
      <c r="W725">
        <v>40400</v>
      </c>
      <c r="X725" t="s">
        <v>45</v>
      </c>
      <c r="Y725" t="s">
        <v>79</v>
      </c>
      <c r="Z725" t="s">
        <v>50</v>
      </c>
      <c r="AA725" s="10">
        <f>IF(O725&lt;=1,7,7+0.8*ROUNDUP(O725-1,0))</f>
        <v>7</v>
      </c>
      <c r="AB725" s="11">
        <v>0</v>
      </c>
      <c r="AC725" s="11">
        <v>0</v>
      </c>
      <c r="AD725" s="11">
        <v>0</v>
      </c>
      <c r="AE725" s="11">
        <v>0</v>
      </c>
      <c r="AF725" s="11">
        <f>(AA725+AC725+AE725)*6%</f>
        <v>0.42</v>
      </c>
      <c r="AG725" s="11">
        <f t="shared" si="27"/>
        <v>7.42</v>
      </c>
      <c r="AH725" t="s">
        <v>51</v>
      </c>
    </row>
    <row r="726" spans="1:34" ht="15" customHeight="1" x14ac:dyDescent="0.35">
      <c r="A726">
        <v>7547676</v>
      </c>
      <c r="B726">
        <v>690929</v>
      </c>
      <c r="C726" t="s">
        <v>34</v>
      </c>
      <c r="D726" t="s">
        <v>35</v>
      </c>
      <c r="E726" s="6" t="s">
        <v>34</v>
      </c>
      <c r="F726" t="s">
        <v>2219</v>
      </c>
      <c r="H726" t="s">
        <v>38</v>
      </c>
      <c r="I726" t="s">
        <v>2220</v>
      </c>
      <c r="J726" t="s">
        <v>40</v>
      </c>
      <c r="K726">
        <v>2</v>
      </c>
      <c r="L726" t="s">
        <v>41</v>
      </c>
      <c r="M726" t="s">
        <v>42</v>
      </c>
      <c r="N726" t="s">
        <v>43</v>
      </c>
      <c r="O726" s="7">
        <v>1</v>
      </c>
      <c r="P726" s="8">
        <v>45379.643275462964</v>
      </c>
      <c r="Q726" s="9">
        <v>45381</v>
      </c>
      <c r="R726" t="s">
        <v>44</v>
      </c>
      <c r="S726" t="s">
        <v>45</v>
      </c>
      <c r="T726" t="s">
        <v>46</v>
      </c>
      <c r="U726" t="s">
        <v>278</v>
      </c>
      <c r="V726" t="s">
        <v>2221</v>
      </c>
      <c r="W726">
        <v>11600</v>
      </c>
      <c r="X726" t="s">
        <v>45</v>
      </c>
      <c r="Y726" t="s">
        <v>1831</v>
      </c>
      <c r="Z726" t="s">
        <v>50</v>
      </c>
      <c r="AA726" s="10">
        <f>IF(O726&lt;=1,7,7+0.8*ROUNDUP(O726-1,0))</f>
        <v>7</v>
      </c>
      <c r="AB726" s="11">
        <v>0</v>
      </c>
      <c r="AC726" s="11">
        <v>0</v>
      </c>
      <c r="AD726" s="11">
        <v>0</v>
      </c>
      <c r="AE726" s="11">
        <v>0</v>
      </c>
      <c r="AF726" s="11">
        <f t="shared" ref="AF726:AF732" si="30">(AA726+AC726+AE726)*6%</f>
        <v>0.42</v>
      </c>
      <c r="AG726" s="11">
        <f t="shared" si="27"/>
        <v>7.42</v>
      </c>
      <c r="AH726" t="s">
        <v>51</v>
      </c>
    </row>
    <row r="727" spans="1:34" ht="15" customHeight="1" x14ac:dyDescent="0.35">
      <c r="A727">
        <v>7547676</v>
      </c>
      <c r="B727">
        <v>690929</v>
      </c>
      <c r="C727" t="s">
        <v>34</v>
      </c>
      <c r="D727" t="s">
        <v>35</v>
      </c>
      <c r="E727" s="6" t="s">
        <v>34</v>
      </c>
      <c r="F727" t="s">
        <v>2222</v>
      </c>
      <c r="H727" t="s">
        <v>38</v>
      </c>
      <c r="I727" t="s">
        <v>2223</v>
      </c>
      <c r="J727" t="s">
        <v>40</v>
      </c>
      <c r="K727">
        <v>2</v>
      </c>
      <c r="L727" t="s">
        <v>41</v>
      </c>
      <c r="M727" t="s">
        <v>42</v>
      </c>
      <c r="N727" t="s">
        <v>43</v>
      </c>
      <c r="O727" s="7">
        <v>1</v>
      </c>
      <c r="P727" s="8">
        <v>45378.721145833333</v>
      </c>
      <c r="Q727" s="9">
        <v>45381</v>
      </c>
      <c r="R727" t="s">
        <v>44</v>
      </c>
      <c r="S727" t="s">
        <v>45</v>
      </c>
      <c r="T727" t="s">
        <v>46</v>
      </c>
      <c r="U727" t="s">
        <v>77</v>
      </c>
      <c r="V727" t="s">
        <v>2224</v>
      </c>
      <c r="W727">
        <v>78300</v>
      </c>
      <c r="X727" t="s">
        <v>45</v>
      </c>
      <c r="Y727" t="s">
        <v>335</v>
      </c>
      <c r="Z727" t="s">
        <v>50</v>
      </c>
      <c r="AA727" s="10">
        <f>IF(O727&lt;=1,7,7+0.8*ROUNDUP(O727-1,0))</f>
        <v>7</v>
      </c>
      <c r="AB727" s="11">
        <v>0</v>
      </c>
      <c r="AC727" s="11">
        <v>0</v>
      </c>
      <c r="AD727" s="11">
        <v>0</v>
      </c>
      <c r="AE727" s="11">
        <v>0</v>
      </c>
      <c r="AF727" s="11">
        <f t="shared" si="30"/>
        <v>0.42</v>
      </c>
      <c r="AG727" s="11">
        <f t="shared" si="27"/>
        <v>7.42</v>
      </c>
      <c r="AH727" t="s">
        <v>51</v>
      </c>
    </row>
    <row r="728" spans="1:34" ht="15" customHeight="1" x14ac:dyDescent="0.35">
      <c r="A728">
        <v>7547676</v>
      </c>
      <c r="B728">
        <v>690929</v>
      </c>
      <c r="C728" t="s">
        <v>34</v>
      </c>
      <c r="D728" t="s">
        <v>35</v>
      </c>
      <c r="E728" s="6" t="s">
        <v>34</v>
      </c>
      <c r="F728" t="s">
        <v>2225</v>
      </c>
      <c r="H728" t="s">
        <v>38</v>
      </c>
      <c r="I728" t="s">
        <v>2226</v>
      </c>
      <c r="J728" t="s">
        <v>40</v>
      </c>
      <c r="K728">
        <v>2</v>
      </c>
      <c r="L728" t="s">
        <v>41</v>
      </c>
      <c r="M728" t="s">
        <v>42</v>
      </c>
      <c r="N728" t="s">
        <v>43</v>
      </c>
      <c r="O728" s="7">
        <v>10</v>
      </c>
      <c r="P728" s="8">
        <v>45379.54184027778</v>
      </c>
      <c r="Q728" s="9">
        <v>45381</v>
      </c>
      <c r="R728" t="s">
        <v>44</v>
      </c>
      <c r="S728" t="s">
        <v>45</v>
      </c>
      <c r="T728" t="s">
        <v>46</v>
      </c>
      <c r="U728" t="s">
        <v>172</v>
      </c>
      <c r="V728" t="s">
        <v>2227</v>
      </c>
      <c r="W728">
        <v>36000</v>
      </c>
      <c r="X728" t="s">
        <v>45</v>
      </c>
      <c r="Y728" t="s">
        <v>79</v>
      </c>
      <c r="Z728" t="s">
        <v>50</v>
      </c>
      <c r="AA728" s="10">
        <f>IF(O728&lt;=1,7,7+0.8*ROUNDUP(O728-1,0))</f>
        <v>14.2</v>
      </c>
      <c r="AB728" s="11">
        <v>0</v>
      </c>
      <c r="AC728" s="11">
        <v>0</v>
      </c>
      <c r="AD728" s="11">
        <v>0</v>
      </c>
      <c r="AE728" s="11">
        <v>0</v>
      </c>
      <c r="AF728" s="11">
        <f t="shared" si="30"/>
        <v>0.85199999999999998</v>
      </c>
      <c r="AG728" s="11">
        <f t="shared" si="27"/>
        <v>15.052</v>
      </c>
      <c r="AH728" t="s">
        <v>51</v>
      </c>
    </row>
    <row r="729" spans="1:34" ht="15" customHeight="1" x14ac:dyDescent="0.35">
      <c r="A729">
        <v>7547676</v>
      </c>
      <c r="B729">
        <v>690929</v>
      </c>
      <c r="C729" t="s">
        <v>34</v>
      </c>
      <c r="D729" t="s">
        <v>35</v>
      </c>
      <c r="E729" s="6" t="s">
        <v>34</v>
      </c>
      <c r="F729" t="s">
        <v>2228</v>
      </c>
      <c r="H729" t="s">
        <v>38</v>
      </c>
      <c r="I729" t="s">
        <v>2229</v>
      </c>
      <c r="J729" t="s">
        <v>40</v>
      </c>
      <c r="K729">
        <v>2</v>
      </c>
      <c r="L729" t="s">
        <v>41</v>
      </c>
      <c r="M729" t="s">
        <v>42</v>
      </c>
      <c r="N729" t="s">
        <v>43</v>
      </c>
      <c r="O729" s="7">
        <v>1</v>
      </c>
      <c r="P729" s="8">
        <v>45379.666990740741</v>
      </c>
      <c r="Q729" s="9">
        <v>45381</v>
      </c>
      <c r="R729" t="s">
        <v>44</v>
      </c>
      <c r="S729" t="s">
        <v>45</v>
      </c>
      <c r="T729" t="s">
        <v>46</v>
      </c>
      <c r="U729" t="s">
        <v>82</v>
      </c>
      <c r="V729" t="s">
        <v>2230</v>
      </c>
      <c r="W729">
        <v>81100</v>
      </c>
      <c r="X729" t="s">
        <v>45</v>
      </c>
      <c r="Y729" t="s">
        <v>327</v>
      </c>
      <c r="Z729" t="s">
        <v>50</v>
      </c>
      <c r="AA729" s="10">
        <f>IF(O729&lt;=1,7,7+0.8*ROUNDUP(O729-1,0))</f>
        <v>7</v>
      </c>
      <c r="AB729" s="11">
        <v>0</v>
      </c>
      <c r="AC729" s="11">
        <v>0</v>
      </c>
      <c r="AD729" s="11">
        <v>0</v>
      </c>
      <c r="AE729" s="11">
        <v>0</v>
      </c>
      <c r="AF729" s="11">
        <f t="shared" si="30"/>
        <v>0.42</v>
      </c>
      <c r="AG729" s="11">
        <f t="shared" si="27"/>
        <v>7.42</v>
      </c>
      <c r="AH729" t="s">
        <v>51</v>
      </c>
    </row>
    <row r="730" spans="1:34" ht="15" customHeight="1" x14ac:dyDescent="0.35">
      <c r="A730">
        <v>7547676</v>
      </c>
      <c r="B730">
        <v>690929</v>
      </c>
      <c r="C730" t="s">
        <v>34</v>
      </c>
      <c r="D730" t="s">
        <v>35</v>
      </c>
      <c r="E730" s="6" t="s">
        <v>34</v>
      </c>
      <c r="F730" t="s">
        <v>2231</v>
      </c>
      <c r="H730" t="s">
        <v>38</v>
      </c>
      <c r="I730" t="s">
        <v>2232</v>
      </c>
      <c r="J730" t="s">
        <v>40</v>
      </c>
      <c r="K730">
        <v>2</v>
      </c>
      <c r="L730" t="s">
        <v>41</v>
      </c>
      <c r="M730" t="s">
        <v>42</v>
      </c>
      <c r="N730" t="s">
        <v>43</v>
      </c>
      <c r="O730" s="7">
        <v>1</v>
      </c>
      <c r="P730" s="8">
        <v>45379.643275462964</v>
      </c>
      <c r="Q730" s="9">
        <v>45381</v>
      </c>
      <c r="R730" t="s">
        <v>44</v>
      </c>
      <c r="S730" t="s">
        <v>45</v>
      </c>
      <c r="T730" t="s">
        <v>46</v>
      </c>
      <c r="U730" t="s">
        <v>278</v>
      </c>
      <c r="V730" t="s">
        <v>2233</v>
      </c>
      <c r="W730">
        <v>14120</v>
      </c>
      <c r="X730" t="s">
        <v>45</v>
      </c>
      <c r="Y730" t="s">
        <v>79</v>
      </c>
      <c r="Z730" t="s">
        <v>50</v>
      </c>
      <c r="AA730" s="10">
        <f>IF(O730&lt;=1,7,7+0.8*ROUNDUP(O730-1,0))</f>
        <v>7</v>
      </c>
      <c r="AB730" s="11">
        <v>0</v>
      </c>
      <c r="AC730" s="11">
        <v>0</v>
      </c>
      <c r="AD730" s="11">
        <v>0</v>
      </c>
      <c r="AE730" s="11">
        <v>0</v>
      </c>
      <c r="AF730" s="11">
        <f t="shared" si="30"/>
        <v>0.42</v>
      </c>
      <c r="AG730" s="11">
        <f t="shared" ref="AG730:AG769" si="31">AA730+AC730+AE730+AF730</f>
        <v>7.42</v>
      </c>
      <c r="AH730" t="s">
        <v>51</v>
      </c>
    </row>
    <row r="731" spans="1:34" ht="15" customHeight="1" x14ac:dyDescent="0.35">
      <c r="A731">
        <v>7547676</v>
      </c>
      <c r="B731">
        <v>690929</v>
      </c>
      <c r="C731" t="s">
        <v>34</v>
      </c>
      <c r="D731" t="s">
        <v>35</v>
      </c>
      <c r="E731" s="6" t="s">
        <v>34</v>
      </c>
      <c r="F731" t="s">
        <v>2234</v>
      </c>
      <c r="H731" t="s">
        <v>38</v>
      </c>
      <c r="I731" t="s">
        <v>2235</v>
      </c>
      <c r="J731" t="s">
        <v>40</v>
      </c>
      <c r="K731">
        <v>2</v>
      </c>
      <c r="L731" t="s">
        <v>41</v>
      </c>
      <c r="M731" t="s">
        <v>42</v>
      </c>
      <c r="N731" t="s">
        <v>43</v>
      </c>
      <c r="O731" s="7">
        <v>2</v>
      </c>
      <c r="P731" s="8">
        <v>45379.643263888887</v>
      </c>
      <c r="Q731" s="9">
        <v>45381</v>
      </c>
      <c r="R731" t="s">
        <v>44</v>
      </c>
      <c r="S731" t="s">
        <v>45</v>
      </c>
      <c r="T731" t="s">
        <v>46</v>
      </c>
      <c r="U731" t="s">
        <v>82</v>
      </c>
      <c r="V731" t="s">
        <v>2236</v>
      </c>
      <c r="W731">
        <v>81930</v>
      </c>
      <c r="X731" t="s">
        <v>45</v>
      </c>
      <c r="Y731" t="s">
        <v>2237</v>
      </c>
      <c r="Z731" t="s">
        <v>50</v>
      </c>
      <c r="AA731" s="10">
        <f>IF(O731&lt;=1,7,7+0.8*ROUNDUP(O731-1,0))</f>
        <v>7.8</v>
      </c>
      <c r="AB731" s="11">
        <v>0</v>
      </c>
      <c r="AC731" s="11">
        <v>0</v>
      </c>
      <c r="AD731" s="11">
        <v>0</v>
      </c>
      <c r="AE731" s="11">
        <v>0</v>
      </c>
      <c r="AF731" s="11">
        <f t="shared" si="30"/>
        <v>0.46799999999999997</v>
      </c>
      <c r="AG731" s="11">
        <f t="shared" si="31"/>
        <v>8.2680000000000007</v>
      </c>
      <c r="AH731" t="s">
        <v>51</v>
      </c>
    </row>
    <row r="732" spans="1:34" ht="15" customHeight="1" x14ac:dyDescent="0.35">
      <c r="A732">
        <v>7547676</v>
      </c>
      <c r="B732">
        <v>690929</v>
      </c>
      <c r="C732" t="s">
        <v>34</v>
      </c>
      <c r="D732" t="s">
        <v>35</v>
      </c>
      <c r="E732" s="6" t="s">
        <v>34</v>
      </c>
      <c r="F732" t="s">
        <v>2238</v>
      </c>
      <c r="H732" t="s">
        <v>38</v>
      </c>
      <c r="I732" t="s">
        <v>2239</v>
      </c>
      <c r="J732" t="s">
        <v>40</v>
      </c>
      <c r="K732">
        <v>2</v>
      </c>
      <c r="L732" t="s">
        <v>41</v>
      </c>
      <c r="M732" t="s">
        <v>42</v>
      </c>
      <c r="N732" t="s">
        <v>43</v>
      </c>
      <c r="O732" s="7">
        <v>1</v>
      </c>
      <c r="P732" s="8">
        <v>45379.671817129631</v>
      </c>
      <c r="Q732" s="9">
        <v>45381</v>
      </c>
      <c r="R732" t="s">
        <v>44</v>
      </c>
      <c r="S732" t="s">
        <v>45</v>
      </c>
      <c r="T732" t="s">
        <v>46</v>
      </c>
      <c r="U732" t="s">
        <v>278</v>
      </c>
      <c r="V732" t="s">
        <v>2240</v>
      </c>
      <c r="W732">
        <v>14300</v>
      </c>
      <c r="X732" t="s">
        <v>45</v>
      </c>
      <c r="Y732" t="s">
        <v>79</v>
      </c>
      <c r="Z732" t="s">
        <v>50</v>
      </c>
      <c r="AA732" s="10">
        <f>IF(O732&lt;=1,7,7+0.8*ROUNDUP(O732-1,0))</f>
        <v>7</v>
      </c>
      <c r="AB732" s="11">
        <v>0</v>
      </c>
      <c r="AC732" s="11">
        <v>0</v>
      </c>
      <c r="AD732" s="11">
        <v>0</v>
      </c>
      <c r="AE732" s="11">
        <v>0</v>
      </c>
      <c r="AF732" s="11">
        <f t="shared" si="30"/>
        <v>0.42</v>
      </c>
      <c r="AG732" s="11">
        <f t="shared" si="31"/>
        <v>7.42</v>
      </c>
      <c r="AH732" t="s">
        <v>51</v>
      </c>
    </row>
    <row r="733" spans="1:34" ht="15" customHeight="1" x14ac:dyDescent="0.35">
      <c r="A733">
        <v>7547676</v>
      </c>
      <c r="B733">
        <v>690929</v>
      </c>
      <c r="C733" t="s">
        <v>34</v>
      </c>
      <c r="D733" t="s">
        <v>35</v>
      </c>
      <c r="E733" s="6" t="s">
        <v>34</v>
      </c>
      <c r="F733" t="s">
        <v>2241</v>
      </c>
      <c r="H733" t="s">
        <v>38</v>
      </c>
      <c r="I733" t="s">
        <v>2242</v>
      </c>
      <c r="J733" t="s">
        <v>40</v>
      </c>
      <c r="K733">
        <v>2</v>
      </c>
      <c r="L733" t="s">
        <v>41</v>
      </c>
      <c r="M733" t="s">
        <v>42</v>
      </c>
      <c r="N733" t="s">
        <v>43</v>
      </c>
      <c r="O733" s="7">
        <v>1</v>
      </c>
      <c r="P733" s="8">
        <v>45379.654340277775</v>
      </c>
      <c r="Q733" s="9">
        <v>45381</v>
      </c>
      <c r="R733" t="s">
        <v>44</v>
      </c>
      <c r="S733" t="s">
        <v>45</v>
      </c>
      <c r="T733" t="s">
        <v>46</v>
      </c>
      <c r="U733" t="s">
        <v>54</v>
      </c>
      <c r="V733" t="s">
        <v>2243</v>
      </c>
      <c r="W733">
        <v>42200</v>
      </c>
      <c r="X733" t="s">
        <v>45</v>
      </c>
      <c r="Y733" t="s">
        <v>79</v>
      </c>
      <c r="Z733" t="s">
        <v>50</v>
      </c>
      <c r="AA733" s="10">
        <f>IF(O733&lt;=1,7,7+0.8*ROUNDUP(O733-1,0))</f>
        <v>7</v>
      </c>
      <c r="AB733" s="11">
        <v>0</v>
      </c>
      <c r="AC733" s="11">
        <v>0</v>
      </c>
      <c r="AD733" s="11">
        <v>0</v>
      </c>
      <c r="AE733" s="11">
        <v>0</v>
      </c>
      <c r="AF733" s="11">
        <f>(AA733+AC733+AE733)*6%</f>
        <v>0.42</v>
      </c>
      <c r="AG733" s="11">
        <f t="shared" si="31"/>
        <v>7.42</v>
      </c>
      <c r="AH733" t="s">
        <v>51</v>
      </c>
    </row>
    <row r="734" spans="1:34" ht="15" customHeight="1" x14ac:dyDescent="0.35">
      <c r="A734">
        <v>7547676</v>
      </c>
      <c r="B734">
        <v>690929</v>
      </c>
      <c r="C734" t="s">
        <v>34</v>
      </c>
      <c r="D734" t="s">
        <v>35</v>
      </c>
      <c r="E734" s="6" t="s">
        <v>34</v>
      </c>
      <c r="F734" t="s">
        <v>2244</v>
      </c>
      <c r="H734" t="s">
        <v>38</v>
      </c>
      <c r="I734" t="s">
        <v>2245</v>
      </c>
      <c r="J734" t="s">
        <v>40</v>
      </c>
      <c r="K734">
        <v>2</v>
      </c>
      <c r="L734" t="s">
        <v>41</v>
      </c>
      <c r="M734" t="s">
        <v>42</v>
      </c>
      <c r="N734" t="s">
        <v>43</v>
      </c>
      <c r="O734" s="7">
        <v>1</v>
      </c>
      <c r="P734" s="8">
        <v>45379.654328703706</v>
      </c>
      <c r="Q734" s="9">
        <v>45381</v>
      </c>
      <c r="R734" t="s">
        <v>44</v>
      </c>
      <c r="S734" t="s">
        <v>45</v>
      </c>
      <c r="T734" t="s">
        <v>46</v>
      </c>
      <c r="U734" t="s">
        <v>82</v>
      </c>
      <c r="V734" t="s">
        <v>2246</v>
      </c>
      <c r="W734">
        <v>81000</v>
      </c>
      <c r="X734" t="s">
        <v>45</v>
      </c>
      <c r="Y734" t="s">
        <v>184</v>
      </c>
      <c r="Z734" t="s">
        <v>50</v>
      </c>
      <c r="AA734" s="10">
        <f>IF(O734&lt;=1,7,7+0.8*ROUNDUP(O734-1,0))</f>
        <v>7</v>
      </c>
      <c r="AB734" s="11">
        <v>0</v>
      </c>
      <c r="AC734" s="11">
        <v>0</v>
      </c>
      <c r="AD734" s="11">
        <v>0</v>
      </c>
      <c r="AE734" s="11">
        <v>0</v>
      </c>
      <c r="AF734" s="11">
        <f t="shared" ref="AF734:AF769" si="32">(AA734+AC734+AE734)*6%</f>
        <v>0.42</v>
      </c>
      <c r="AG734" s="11">
        <f t="shared" si="31"/>
        <v>7.42</v>
      </c>
      <c r="AH734" t="s">
        <v>51</v>
      </c>
    </row>
    <row r="735" spans="1:34" ht="15" customHeight="1" x14ac:dyDescent="0.35">
      <c r="A735">
        <v>7547676</v>
      </c>
      <c r="B735">
        <v>690929</v>
      </c>
      <c r="C735" t="s">
        <v>34</v>
      </c>
      <c r="D735" t="s">
        <v>35</v>
      </c>
      <c r="E735" s="6" t="s">
        <v>34</v>
      </c>
      <c r="F735" t="s">
        <v>2247</v>
      </c>
      <c r="H735" t="s">
        <v>38</v>
      </c>
      <c r="I735" t="s">
        <v>2248</v>
      </c>
      <c r="J735" t="s">
        <v>40</v>
      </c>
      <c r="K735">
        <v>2</v>
      </c>
      <c r="L735" t="s">
        <v>41</v>
      </c>
      <c r="M735" t="s">
        <v>42</v>
      </c>
      <c r="N735" t="s">
        <v>43</v>
      </c>
      <c r="O735" s="7">
        <v>1</v>
      </c>
      <c r="P735" s="8">
        <v>45379.506747685184</v>
      </c>
      <c r="Q735" s="9">
        <v>45381</v>
      </c>
      <c r="R735" t="s">
        <v>44</v>
      </c>
      <c r="S735" t="s">
        <v>45</v>
      </c>
      <c r="T735" t="s">
        <v>46</v>
      </c>
      <c r="U735" t="s">
        <v>172</v>
      </c>
      <c r="V735" t="s">
        <v>2249</v>
      </c>
      <c r="W735">
        <v>33400</v>
      </c>
      <c r="X735" t="s">
        <v>45</v>
      </c>
      <c r="Y735" t="s">
        <v>666</v>
      </c>
      <c r="Z735" t="s">
        <v>50</v>
      </c>
      <c r="AA735" s="10">
        <f>IF(O735&lt;=1,7,7+0.8*ROUNDUP(O735-1,0))</f>
        <v>7</v>
      </c>
      <c r="AB735" s="11">
        <v>0</v>
      </c>
      <c r="AC735" s="11">
        <v>0</v>
      </c>
      <c r="AD735" s="11">
        <v>0</v>
      </c>
      <c r="AE735" s="11">
        <v>0</v>
      </c>
      <c r="AF735" s="11">
        <f t="shared" si="32"/>
        <v>0.42</v>
      </c>
      <c r="AG735" s="11">
        <f t="shared" si="31"/>
        <v>7.42</v>
      </c>
      <c r="AH735" t="s">
        <v>51</v>
      </c>
    </row>
    <row r="736" spans="1:34" ht="15" customHeight="1" x14ac:dyDescent="0.35">
      <c r="A736">
        <v>7547676</v>
      </c>
      <c r="B736">
        <v>690929</v>
      </c>
      <c r="C736" t="s">
        <v>34</v>
      </c>
      <c r="D736" t="s">
        <v>35</v>
      </c>
      <c r="E736" s="6" t="s">
        <v>34</v>
      </c>
      <c r="F736" t="s">
        <v>2250</v>
      </c>
      <c r="H736" t="s">
        <v>38</v>
      </c>
      <c r="I736" t="s">
        <v>2251</v>
      </c>
      <c r="J736" t="s">
        <v>40</v>
      </c>
      <c r="K736">
        <v>2</v>
      </c>
      <c r="L736" t="s">
        <v>41</v>
      </c>
      <c r="M736" t="s">
        <v>42</v>
      </c>
      <c r="N736" t="s">
        <v>43</v>
      </c>
      <c r="O736" s="7">
        <v>5</v>
      </c>
      <c r="P736" s="8">
        <v>45379.54184027778</v>
      </c>
      <c r="Q736" s="9">
        <v>45381</v>
      </c>
      <c r="R736" t="s">
        <v>44</v>
      </c>
      <c r="S736" t="s">
        <v>45</v>
      </c>
      <c r="T736" t="s">
        <v>46</v>
      </c>
      <c r="U736" t="s">
        <v>134</v>
      </c>
      <c r="V736" t="s">
        <v>2252</v>
      </c>
      <c r="W736">
        <v>9000</v>
      </c>
      <c r="X736" t="s">
        <v>45</v>
      </c>
      <c r="Y736" t="s">
        <v>855</v>
      </c>
      <c r="Z736" t="s">
        <v>50</v>
      </c>
      <c r="AA736" s="10">
        <f>IF(O736&lt;=1,7,7+0.8*ROUNDUP(O736-1,0))</f>
        <v>10.199999999999999</v>
      </c>
      <c r="AB736" s="11">
        <v>0</v>
      </c>
      <c r="AC736" s="11">
        <v>0</v>
      </c>
      <c r="AD736" s="11">
        <v>0</v>
      </c>
      <c r="AE736" s="11">
        <v>0</v>
      </c>
      <c r="AF736" s="11">
        <f t="shared" si="32"/>
        <v>0.61199999999999999</v>
      </c>
      <c r="AG736" s="11">
        <f t="shared" si="31"/>
        <v>10.811999999999999</v>
      </c>
      <c r="AH736" t="s">
        <v>51</v>
      </c>
    </row>
    <row r="737" spans="1:34" ht="15" customHeight="1" x14ac:dyDescent="0.35">
      <c r="A737">
        <v>7547676</v>
      </c>
      <c r="B737">
        <v>690929</v>
      </c>
      <c r="C737" t="s">
        <v>34</v>
      </c>
      <c r="D737" t="s">
        <v>35</v>
      </c>
      <c r="E737" s="6" t="s">
        <v>34</v>
      </c>
      <c r="F737" t="s">
        <v>2253</v>
      </c>
      <c r="H737" t="s">
        <v>38</v>
      </c>
      <c r="I737" t="s">
        <v>2254</v>
      </c>
      <c r="J737" t="s">
        <v>40</v>
      </c>
      <c r="K737">
        <v>2</v>
      </c>
      <c r="L737" t="s">
        <v>41</v>
      </c>
      <c r="M737" t="s">
        <v>42</v>
      </c>
      <c r="N737" t="s">
        <v>43</v>
      </c>
      <c r="O737" s="7">
        <v>3</v>
      </c>
      <c r="P737" s="8">
        <v>45379.477870370371</v>
      </c>
      <c r="Q737" s="9">
        <v>45381</v>
      </c>
      <c r="R737" t="s">
        <v>44</v>
      </c>
      <c r="S737" t="s">
        <v>45</v>
      </c>
      <c r="T737" t="s">
        <v>46</v>
      </c>
      <c r="U737" t="s">
        <v>54</v>
      </c>
      <c r="V737" t="s">
        <v>2255</v>
      </c>
      <c r="W737">
        <v>62050</v>
      </c>
      <c r="X737" t="s">
        <v>45</v>
      </c>
      <c r="Y737" t="s">
        <v>1500</v>
      </c>
      <c r="Z737" t="s">
        <v>50</v>
      </c>
      <c r="AA737" s="10">
        <f>IF(O737&lt;=1,7,7+0.8*ROUNDUP(O737-1,0))</f>
        <v>8.6</v>
      </c>
      <c r="AB737" s="11">
        <v>0</v>
      </c>
      <c r="AC737" s="11">
        <v>0</v>
      </c>
      <c r="AD737" s="11">
        <v>0</v>
      </c>
      <c r="AE737" s="11">
        <v>0</v>
      </c>
      <c r="AF737" s="11">
        <f t="shared" si="32"/>
        <v>0.51600000000000001</v>
      </c>
      <c r="AG737" s="11">
        <f t="shared" si="31"/>
        <v>9.1159999999999997</v>
      </c>
      <c r="AH737" t="s">
        <v>51</v>
      </c>
    </row>
    <row r="738" spans="1:34" ht="15" customHeight="1" x14ac:dyDescent="0.35">
      <c r="A738">
        <v>7547676</v>
      </c>
      <c r="B738">
        <v>690929</v>
      </c>
      <c r="C738" t="s">
        <v>34</v>
      </c>
      <c r="D738" t="s">
        <v>35</v>
      </c>
      <c r="E738" s="6" t="s">
        <v>34</v>
      </c>
      <c r="F738" t="s">
        <v>2256</v>
      </c>
      <c r="H738" t="s">
        <v>38</v>
      </c>
      <c r="I738" t="s">
        <v>2257</v>
      </c>
      <c r="J738" t="s">
        <v>40</v>
      </c>
      <c r="K738">
        <v>2</v>
      </c>
      <c r="L738" t="s">
        <v>41</v>
      </c>
      <c r="M738" t="s">
        <v>42</v>
      </c>
      <c r="N738" t="s">
        <v>43</v>
      </c>
      <c r="O738" s="7">
        <v>1</v>
      </c>
      <c r="P738" s="8">
        <v>45379.54446759259</v>
      </c>
      <c r="Q738" s="9">
        <v>45381</v>
      </c>
      <c r="R738" t="s">
        <v>44</v>
      </c>
      <c r="S738" t="s">
        <v>45</v>
      </c>
      <c r="T738" t="s">
        <v>46</v>
      </c>
      <c r="U738" t="s">
        <v>278</v>
      </c>
      <c r="V738" t="s">
        <v>2258</v>
      </c>
      <c r="W738">
        <v>14400</v>
      </c>
      <c r="X738" t="s">
        <v>45</v>
      </c>
      <c r="Y738" t="s">
        <v>880</v>
      </c>
      <c r="Z738" t="s">
        <v>50</v>
      </c>
      <c r="AA738" s="10">
        <f>IF(O738&lt;=1,7,7+0.8*ROUNDUP(O738-1,0))</f>
        <v>7</v>
      </c>
      <c r="AB738" s="11">
        <v>0</v>
      </c>
      <c r="AC738" s="11">
        <v>0</v>
      </c>
      <c r="AD738" s="11">
        <v>0</v>
      </c>
      <c r="AE738" s="11">
        <v>0</v>
      </c>
      <c r="AF738" s="11">
        <f t="shared" si="32"/>
        <v>0.42</v>
      </c>
      <c r="AG738" s="11">
        <f t="shared" si="31"/>
        <v>7.42</v>
      </c>
      <c r="AH738" t="s">
        <v>51</v>
      </c>
    </row>
    <row r="739" spans="1:34" ht="15" customHeight="1" x14ac:dyDescent="0.35">
      <c r="A739">
        <v>7547676</v>
      </c>
      <c r="B739">
        <v>690929</v>
      </c>
      <c r="C739" t="s">
        <v>34</v>
      </c>
      <c r="D739" t="s">
        <v>35</v>
      </c>
      <c r="E739" s="6" t="s">
        <v>34</v>
      </c>
      <c r="F739" t="s">
        <v>2259</v>
      </c>
      <c r="H739" t="s">
        <v>38</v>
      </c>
      <c r="I739" t="s">
        <v>2260</v>
      </c>
      <c r="J739" t="s">
        <v>40</v>
      </c>
      <c r="K739">
        <v>2</v>
      </c>
      <c r="L739" t="s">
        <v>41</v>
      </c>
      <c r="M739" t="s">
        <v>42</v>
      </c>
      <c r="N739" t="s">
        <v>43</v>
      </c>
      <c r="O739" s="7">
        <v>1</v>
      </c>
      <c r="P739" s="8">
        <v>45379.68513888889</v>
      </c>
      <c r="Q739" s="9">
        <v>45381</v>
      </c>
      <c r="R739" t="s">
        <v>44</v>
      </c>
      <c r="S739" t="s">
        <v>45</v>
      </c>
      <c r="T739" t="s">
        <v>46</v>
      </c>
      <c r="U739" t="s">
        <v>99</v>
      </c>
      <c r="V739" t="s">
        <v>2261</v>
      </c>
      <c r="W739">
        <v>17070</v>
      </c>
      <c r="X739" t="s">
        <v>45</v>
      </c>
      <c r="Y739" t="s">
        <v>156</v>
      </c>
      <c r="Z739" t="s">
        <v>50</v>
      </c>
      <c r="AA739" s="10">
        <f>IF(O739&lt;=1,7,7+0.8*ROUNDUP(O739-1,0))</f>
        <v>7</v>
      </c>
      <c r="AB739" s="11">
        <v>0</v>
      </c>
      <c r="AC739" s="11">
        <v>0</v>
      </c>
      <c r="AD739" s="11">
        <v>0</v>
      </c>
      <c r="AE739" s="11">
        <v>0</v>
      </c>
      <c r="AF739" s="11">
        <f t="shared" si="32"/>
        <v>0.42</v>
      </c>
      <c r="AG739" s="11">
        <f t="shared" si="31"/>
        <v>7.42</v>
      </c>
      <c r="AH739" t="s">
        <v>51</v>
      </c>
    </row>
    <row r="740" spans="1:34" ht="15" customHeight="1" x14ac:dyDescent="0.35">
      <c r="A740">
        <v>7547676</v>
      </c>
      <c r="B740">
        <v>690929</v>
      </c>
      <c r="C740" t="s">
        <v>34</v>
      </c>
      <c r="D740" t="s">
        <v>35</v>
      </c>
      <c r="E740" s="6" t="s">
        <v>34</v>
      </c>
      <c r="F740" t="s">
        <v>2262</v>
      </c>
      <c r="H740" t="s">
        <v>38</v>
      </c>
      <c r="I740" t="s">
        <v>2263</v>
      </c>
      <c r="J740" t="s">
        <v>40</v>
      </c>
      <c r="K740">
        <v>2</v>
      </c>
      <c r="L740" t="s">
        <v>41</v>
      </c>
      <c r="M740" t="s">
        <v>42</v>
      </c>
      <c r="N740" t="s">
        <v>43</v>
      </c>
      <c r="O740" s="7">
        <v>1</v>
      </c>
      <c r="P740" s="8">
        <v>45379.654328703706</v>
      </c>
      <c r="Q740" s="9">
        <v>45381</v>
      </c>
      <c r="R740" t="s">
        <v>44</v>
      </c>
      <c r="S740" t="s">
        <v>45</v>
      </c>
      <c r="T740" t="s">
        <v>46</v>
      </c>
      <c r="U740" t="s">
        <v>278</v>
      </c>
      <c r="V740" t="s">
        <v>2264</v>
      </c>
      <c r="W740">
        <v>13200</v>
      </c>
      <c r="X740" t="s">
        <v>45</v>
      </c>
      <c r="Y740" t="s">
        <v>280</v>
      </c>
      <c r="Z740" t="s">
        <v>50</v>
      </c>
      <c r="AA740" s="10">
        <f>IF(O740&lt;=1,7,7+0.8*ROUNDUP(O740-1,0))</f>
        <v>7</v>
      </c>
      <c r="AB740" s="11">
        <v>0</v>
      </c>
      <c r="AC740" s="11">
        <v>0</v>
      </c>
      <c r="AD740" s="11">
        <v>0</v>
      </c>
      <c r="AE740" s="11">
        <v>0</v>
      </c>
      <c r="AF740" s="11">
        <f t="shared" si="32"/>
        <v>0.42</v>
      </c>
      <c r="AG740" s="11">
        <f t="shared" si="31"/>
        <v>7.42</v>
      </c>
      <c r="AH740" t="s">
        <v>51</v>
      </c>
    </row>
    <row r="741" spans="1:34" ht="15" customHeight="1" x14ac:dyDescent="0.35">
      <c r="A741">
        <v>7547676</v>
      </c>
      <c r="B741">
        <v>690929</v>
      </c>
      <c r="C741" t="s">
        <v>34</v>
      </c>
      <c r="D741" t="s">
        <v>35</v>
      </c>
      <c r="E741" s="6" t="s">
        <v>34</v>
      </c>
      <c r="F741" t="s">
        <v>2265</v>
      </c>
      <c r="H741" t="s">
        <v>38</v>
      </c>
      <c r="I741" t="s">
        <v>2266</v>
      </c>
      <c r="J741" t="s">
        <v>40</v>
      </c>
      <c r="K741">
        <v>2</v>
      </c>
      <c r="L741" t="s">
        <v>41</v>
      </c>
      <c r="M741" t="s">
        <v>42</v>
      </c>
      <c r="N741" t="s">
        <v>43</v>
      </c>
      <c r="O741" s="7">
        <v>1</v>
      </c>
      <c r="P741" s="8">
        <v>45379.486655092594</v>
      </c>
      <c r="Q741" s="9">
        <v>45381</v>
      </c>
      <c r="R741" t="s">
        <v>44</v>
      </c>
      <c r="S741" t="s">
        <v>45</v>
      </c>
      <c r="T741" t="s">
        <v>46</v>
      </c>
      <c r="U741" t="s">
        <v>278</v>
      </c>
      <c r="V741" t="s">
        <v>2267</v>
      </c>
      <c r="W741">
        <v>11000</v>
      </c>
      <c r="X741" t="s">
        <v>45</v>
      </c>
      <c r="Y741" t="s">
        <v>342</v>
      </c>
      <c r="Z741" t="s">
        <v>50</v>
      </c>
      <c r="AA741" s="10">
        <f>IF(O741&lt;=1,7,7+0.8*ROUNDUP(O741-1,0))</f>
        <v>7</v>
      </c>
      <c r="AB741" s="11">
        <v>0</v>
      </c>
      <c r="AC741" s="11">
        <v>0</v>
      </c>
      <c r="AD741" s="11">
        <v>0</v>
      </c>
      <c r="AE741" s="11">
        <v>0</v>
      </c>
      <c r="AF741" s="11">
        <f t="shared" si="32"/>
        <v>0.42</v>
      </c>
      <c r="AG741" s="11">
        <f t="shared" si="31"/>
        <v>7.42</v>
      </c>
      <c r="AH741" t="s">
        <v>51</v>
      </c>
    </row>
    <row r="742" spans="1:34" ht="15" customHeight="1" x14ac:dyDescent="0.35">
      <c r="A742">
        <v>7547676</v>
      </c>
      <c r="B742">
        <v>690929</v>
      </c>
      <c r="C742" t="s">
        <v>34</v>
      </c>
      <c r="D742" t="s">
        <v>35</v>
      </c>
      <c r="E742" s="6" t="s">
        <v>34</v>
      </c>
      <c r="F742" t="s">
        <v>2268</v>
      </c>
      <c r="H742" t="s">
        <v>38</v>
      </c>
      <c r="I742" t="s">
        <v>2269</v>
      </c>
      <c r="J742" t="s">
        <v>40</v>
      </c>
      <c r="K742">
        <v>2</v>
      </c>
      <c r="L742" t="s">
        <v>41</v>
      </c>
      <c r="M742" t="s">
        <v>42</v>
      </c>
      <c r="N742" t="s">
        <v>43</v>
      </c>
      <c r="O742" s="7">
        <v>1</v>
      </c>
      <c r="P742" s="8">
        <v>45379.643263888887</v>
      </c>
      <c r="Q742" s="9">
        <v>45381</v>
      </c>
      <c r="R742" t="s">
        <v>44</v>
      </c>
      <c r="S742" t="s">
        <v>45</v>
      </c>
      <c r="T742" t="s">
        <v>46</v>
      </c>
      <c r="U742" t="s">
        <v>82</v>
      </c>
      <c r="V742" t="s">
        <v>2270</v>
      </c>
      <c r="W742">
        <v>81930</v>
      </c>
      <c r="X742" t="s">
        <v>45</v>
      </c>
      <c r="Y742" t="s">
        <v>2237</v>
      </c>
      <c r="Z742" t="s">
        <v>50</v>
      </c>
      <c r="AA742" s="10">
        <f>IF(O742&lt;=1,7,7+0.8*ROUNDUP(O742-1,0))</f>
        <v>7</v>
      </c>
      <c r="AB742" s="11">
        <v>0</v>
      </c>
      <c r="AC742" s="11">
        <v>0</v>
      </c>
      <c r="AD742" s="11">
        <v>0</v>
      </c>
      <c r="AE742" s="11">
        <v>0</v>
      </c>
      <c r="AF742" s="11">
        <f t="shared" si="32"/>
        <v>0.42</v>
      </c>
      <c r="AG742" s="11">
        <f t="shared" si="31"/>
        <v>7.42</v>
      </c>
      <c r="AH742" t="s">
        <v>51</v>
      </c>
    </row>
    <row r="743" spans="1:34" ht="15" customHeight="1" x14ac:dyDescent="0.35">
      <c r="A743">
        <v>7547676</v>
      </c>
      <c r="B743">
        <v>690929</v>
      </c>
      <c r="C743" t="s">
        <v>34</v>
      </c>
      <c r="D743" t="s">
        <v>35</v>
      </c>
      <c r="E743" s="6" t="s">
        <v>34</v>
      </c>
      <c r="F743" t="s">
        <v>2271</v>
      </c>
      <c r="H743" t="s">
        <v>38</v>
      </c>
      <c r="I743" t="s">
        <v>2272</v>
      </c>
      <c r="J743" t="s">
        <v>40</v>
      </c>
      <c r="K743">
        <v>2</v>
      </c>
      <c r="L743" t="s">
        <v>41</v>
      </c>
      <c r="M743" t="s">
        <v>42</v>
      </c>
      <c r="N743" t="s">
        <v>43</v>
      </c>
      <c r="O743" s="7">
        <v>2</v>
      </c>
      <c r="P743" s="8">
        <v>45379.671817129631</v>
      </c>
      <c r="Q743" s="9">
        <v>45381</v>
      </c>
      <c r="R743" t="s">
        <v>44</v>
      </c>
      <c r="S743" t="s">
        <v>45</v>
      </c>
      <c r="T743" t="s">
        <v>46</v>
      </c>
      <c r="U743" t="s">
        <v>278</v>
      </c>
      <c r="V743" t="s">
        <v>2273</v>
      </c>
      <c r="W743">
        <v>11500</v>
      </c>
      <c r="X743" t="s">
        <v>45</v>
      </c>
      <c r="Y743" t="s">
        <v>1431</v>
      </c>
      <c r="Z743" t="s">
        <v>50</v>
      </c>
      <c r="AA743" s="10">
        <f>IF(O743&lt;=1,7,7+0.8*ROUNDUP(O743-1,0))</f>
        <v>7.8</v>
      </c>
      <c r="AB743" s="11">
        <v>0</v>
      </c>
      <c r="AC743" s="11">
        <v>0</v>
      </c>
      <c r="AD743" s="11">
        <v>0</v>
      </c>
      <c r="AE743" s="11">
        <v>0</v>
      </c>
      <c r="AF743" s="11">
        <f t="shared" si="32"/>
        <v>0.46799999999999997</v>
      </c>
      <c r="AG743" s="11">
        <f t="shared" si="31"/>
        <v>8.2680000000000007</v>
      </c>
      <c r="AH743" t="s">
        <v>51</v>
      </c>
    </row>
    <row r="744" spans="1:34" ht="15" customHeight="1" x14ac:dyDescent="0.35">
      <c r="A744">
        <v>7547676</v>
      </c>
      <c r="B744">
        <v>690929</v>
      </c>
      <c r="C744" t="s">
        <v>34</v>
      </c>
      <c r="D744" t="s">
        <v>35</v>
      </c>
      <c r="E744" s="6" t="s">
        <v>34</v>
      </c>
      <c r="F744" t="s">
        <v>2274</v>
      </c>
      <c r="H744" t="s">
        <v>38</v>
      </c>
      <c r="I744" t="s">
        <v>2275</v>
      </c>
      <c r="J744" t="s">
        <v>40</v>
      </c>
      <c r="K744">
        <v>2</v>
      </c>
      <c r="L744" t="s">
        <v>41</v>
      </c>
      <c r="M744" t="s">
        <v>42</v>
      </c>
      <c r="N744" t="s">
        <v>43</v>
      </c>
      <c r="O744" s="7">
        <v>5</v>
      </c>
      <c r="P744" s="8">
        <v>45379.671817129631</v>
      </c>
      <c r="Q744" s="9">
        <v>45381</v>
      </c>
      <c r="R744" t="s">
        <v>44</v>
      </c>
      <c r="S744" t="s">
        <v>45</v>
      </c>
      <c r="T744" t="s">
        <v>46</v>
      </c>
      <c r="U744" t="s">
        <v>54</v>
      </c>
      <c r="V744" t="s">
        <v>2276</v>
      </c>
      <c r="W744">
        <v>43800</v>
      </c>
      <c r="X744" t="s">
        <v>45</v>
      </c>
      <c r="Y744" t="s">
        <v>2277</v>
      </c>
      <c r="Z744" t="s">
        <v>50</v>
      </c>
      <c r="AA744" s="10">
        <f>IF(O744&lt;=1,7,7+0.8*ROUNDUP(O744-1,0))</f>
        <v>10.199999999999999</v>
      </c>
      <c r="AB744" s="11">
        <v>0</v>
      </c>
      <c r="AC744" s="11">
        <v>0</v>
      </c>
      <c r="AD744" s="11">
        <v>0</v>
      </c>
      <c r="AE744" s="11">
        <v>0</v>
      </c>
      <c r="AF744" s="11">
        <f t="shared" si="32"/>
        <v>0.61199999999999999</v>
      </c>
      <c r="AG744" s="11">
        <f t="shared" si="31"/>
        <v>10.811999999999999</v>
      </c>
      <c r="AH744" t="s">
        <v>51</v>
      </c>
    </row>
    <row r="745" spans="1:34" ht="15" customHeight="1" x14ac:dyDescent="0.35">
      <c r="A745">
        <v>7547676</v>
      </c>
      <c r="B745">
        <v>690929</v>
      </c>
      <c r="C745" t="s">
        <v>34</v>
      </c>
      <c r="D745" t="s">
        <v>35</v>
      </c>
      <c r="E745" s="6" t="s">
        <v>34</v>
      </c>
      <c r="F745" t="s">
        <v>2278</v>
      </c>
      <c r="H745" t="s">
        <v>38</v>
      </c>
      <c r="I745" t="s">
        <v>2279</v>
      </c>
      <c r="J745" t="s">
        <v>40</v>
      </c>
      <c r="K745">
        <v>2</v>
      </c>
      <c r="L745" t="s">
        <v>41</v>
      </c>
      <c r="M745" t="s">
        <v>42</v>
      </c>
      <c r="N745" t="s">
        <v>43</v>
      </c>
      <c r="O745" s="7">
        <v>1</v>
      </c>
      <c r="P745" s="8">
        <v>45377.518333333333</v>
      </c>
      <c r="Q745" s="9">
        <v>45381</v>
      </c>
      <c r="R745" t="s">
        <v>44</v>
      </c>
      <c r="S745" t="s">
        <v>45</v>
      </c>
      <c r="T745" t="s">
        <v>46</v>
      </c>
      <c r="U745" t="s">
        <v>172</v>
      </c>
      <c r="V745" t="s">
        <v>2280</v>
      </c>
      <c r="W745">
        <v>31250</v>
      </c>
      <c r="X745" t="s">
        <v>45</v>
      </c>
      <c r="Y745" t="s">
        <v>1005</v>
      </c>
      <c r="Z745" t="s">
        <v>50</v>
      </c>
      <c r="AA745" s="10">
        <f>IF(O745&lt;=1,7,7+0.8*ROUNDUP(O745-1,0))</f>
        <v>7</v>
      </c>
      <c r="AB745" s="11">
        <v>0</v>
      </c>
      <c r="AC745" s="11">
        <v>0</v>
      </c>
      <c r="AD745" s="11">
        <v>0</v>
      </c>
      <c r="AE745" s="11">
        <v>0</v>
      </c>
      <c r="AF745" s="11">
        <f t="shared" si="32"/>
        <v>0.42</v>
      </c>
      <c r="AG745" s="11">
        <f t="shared" si="31"/>
        <v>7.42</v>
      </c>
      <c r="AH745" t="s">
        <v>51</v>
      </c>
    </row>
    <row r="746" spans="1:34" ht="15" customHeight="1" x14ac:dyDescent="0.35">
      <c r="A746">
        <v>7547676</v>
      </c>
      <c r="B746">
        <v>690929</v>
      </c>
      <c r="C746" t="s">
        <v>34</v>
      </c>
      <c r="D746" t="s">
        <v>35</v>
      </c>
      <c r="E746" s="6" t="s">
        <v>34</v>
      </c>
      <c r="F746" t="s">
        <v>2281</v>
      </c>
      <c r="H746" t="s">
        <v>38</v>
      </c>
      <c r="I746" t="s">
        <v>1511</v>
      </c>
      <c r="J746" t="s">
        <v>40</v>
      </c>
      <c r="K746">
        <v>2</v>
      </c>
      <c r="L746" t="s">
        <v>41</v>
      </c>
      <c r="M746" t="s">
        <v>42</v>
      </c>
      <c r="N746" t="s">
        <v>43</v>
      </c>
      <c r="O746" s="7">
        <v>3</v>
      </c>
      <c r="P746" s="8">
        <v>45379.643275462964</v>
      </c>
      <c r="Q746" s="9">
        <v>45381</v>
      </c>
      <c r="R746" t="s">
        <v>44</v>
      </c>
      <c r="S746" t="s">
        <v>45</v>
      </c>
      <c r="T746" t="s">
        <v>46</v>
      </c>
      <c r="U746" t="s">
        <v>77</v>
      </c>
      <c r="V746" t="s">
        <v>1512</v>
      </c>
      <c r="W746">
        <v>75460</v>
      </c>
      <c r="X746" t="s">
        <v>45</v>
      </c>
      <c r="Y746" t="s">
        <v>1768</v>
      </c>
      <c r="Z746" t="s">
        <v>50</v>
      </c>
      <c r="AA746" s="10">
        <f>IF(O746&lt;=1,7,7+0.8*ROUNDUP(O746-1,0))</f>
        <v>8.6</v>
      </c>
      <c r="AB746" s="11">
        <v>0</v>
      </c>
      <c r="AC746" s="11">
        <v>0</v>
      </c>
      <c r="AD746" s="11">
        <v>0</v>
      </c>
      <c r="AE746" s="11">
        <v>0</v>
      </c>
      <c r="AF746" s="11">
        <f t="shared" si="32"/>
        <v>0.51600000000000001</v>
      </c>
      <c r="AG746" s="11">
        <f t="shared" si="31"/>
        <v>9.1159999999999997</v>
      </c>
      <c r="AH746" t="s">
        <v>51</v>
      </c>
    </row>
    <row r="747" spans="1:34" ht="15" customHeight="1" x14ac:dyDescent="0.35">
      <c r="A747">
        <v>7547676</v>
      </c>
      <c r="B747">
        <v>690929</v>
      </c>
      <c r="C747" t="s">
        <v>34</v>
      </c>
      <c r="D747" t="s">
        <v>35</v>
      </c>
      <c r="E747" s="6" t="s">
        <v>34</v>
      </c>
      <c r="F747" t="s">
        <v>2282</v>
      </c>
      <c r="H747" t="s">
        <v>38</v>
      </c>
      <c r="I747" t="s">
        <v>2283</v>
      </c>
      <c r="J747" t="s">
        <v>40</v>
      </c>
      <c r="K747">
        <v>2</v>
      </c>
      <c r="L747" t="s">
        <v>41</v>
      </c>
      <c r="M747" t="s">
        <v>42</v>
      </c>
      <c r="N747" t="s">
        <v>43</v>
      </c>
      <c r="O747" s="7">
        <v>3</v>
      </c>
      <c r="P747" s="8">
        <v>45379.560787037037</v>
      </c>
      <c r="Q747" s="9">
        <v>45381</v>
      </c>
      <c r="R747" t="s">
        <v>44</v>
      </c>
      <c r="S747" t="s">
        <v>45</v>
      </c>
      <c r="T747" t="s">
        <v>46</v>
      </c>
      <c r="U747" t="s">
        <v>54</v>
      </c>
      <c r="V747" t="s">
        <v>2284</v>
      </c>
      <c r="W747">
        <v>42700</v>
      </c>
      <c r="X747" t="s">
        <v>45</v>
      </c>
      <c r="Y747" t="s">
        <v>268</v>
      </c>
      <c r="Z747" t="s">
        <v>50</v>
      </c>
      <c r="AA747" s="10">
        <f>IF(O747&lt;=1,7,7+0.8*ROUNDUP(O747-1,0))</f>
        <v>8.6</v>
      </c>
      <c r="AB747" s="11">
        <v>0</v>
      </c>
      <c r="AC747" s="11">
        <v>0</v>
      </c>
      <c r="AD747" s="11">
        <v>0</v>
      </c>
      <c r="AE747" s="11">
        <v>0</v>
      </c>
      <c r="AF747" s="11">
        <f t="shared" si="32"/>
        <v>0.51600000000000001</v>
      </c>
      <c r="AG747" s="11">
        <f t="shared" si="31"/>
        <v>9.1159999999999997</v>
      </c>
      <c r="AH747" t="s">
        <v>51</v>
      </c>
    </row>
    <row r="748" spans="1:34" ht="15" customHeight="1" x14ac:dyDescent="0.35">
      <c r="A748">
        <v>7547676</v>
      </c>
      <c r="B748">
        <v>690929</v>
      </c>
      <c r="C748" t="s">
        <v>34</v>
      </c>
      <c r="D748" t="s">
        <v>35</v>
      </c>
      <c r="E748" s="6" t="s">
        <v>34</v>
      </c>
      <c r="F748" t="s">
        <v>2285</v>
      </c>
      <c r="H748" t="s">
        <v>38</v>
      </c>
      <c r="I748" t="s">
        <v>2286</v>
      </c>
      <c r="J748" t="s">
        <v>40</v>
      </c>
      <c r="K748">
        <v>2</v>
      </c>
      <c r="L748" t="s">
        <v>41</v>
      </c>
      <c r="M748" t="s">
        <v>42</v>
      </c>
      <c r="N748" t="s">
        <v>43</v>
      </c>
      <c r="O748" s="7">
        <v>1</v>
      </c>
      <c r="P748" s="8">
        <v>45379.659513888888</v>
      </c>
      <c r="Q748" s="9">
        <v>45381</v>
      </c>
      <c r="R748" t="s">
        <v>44</v>
      </c>
      <c r="S748" t="s">
        <v>45</v>
      </c>
      <c r="T748" t="s">
        <v>46</v>
      </c>
      <c r="U748" t="s">
        <v>82</v>
      </c>
      <c r="V748" t="s">
        <v>2287</v>
      </c>
      <c r="W748">
        <v>83000</v>
      </c>
      <c r="X748" t="s">
        <v>45</v>
      </c>
      <c r="Y748" t="s">
        <v>321</v>
      </c>
      <c r="Z748" t="s">
        <v>50</v>
      </c>
      <c r="AA748" s="10">
        <f>IF(O748&lt;=1,7,7+0.8*ROUNDUP(O748-1,0))</f>
        <v>7</v>
      </c>
      <c r="AB748" s="11">
        <v>0</v>
      </c>
      <c r="AC748" s="11">
        <v>0</v>
      </c>
      <c r="AD748" s="11">
        <v>0</v>
      </c>
      <c r="AE748" s="11">
        <v>0</v>
      </c>
      <c r="AF748" s="11">
        <f t="shared" si="32"/>
        <v>0.42</v>
      </c>
      <c r="AG748" s="11">
        <f t="shared" si="31"/>
        <v>7.42</v>
      </c>
      <c r="AH748" t="s">
        <v>51</v>
      </c>
    </row>
    <row r="749" spans="1:34" ht="15" customHeight="1" x14ac:dyDescent="0.35">
      <c r="A749">
        <v>7547676</v>
      </c>
      <c r="B749">
        <v>690929</v>
      </c>
      <c r="C749" t="s">
        <v>34</v>
      </c>
      <c r="D749" t="s">
        <v>35</v>
      </c>
      <c r="E749" s="6" t="s">
        <v>34</v>
      </c>
      <c r="F749" t="s">
        <v>2288</v>
      </c>
      <c r="H749" t="s">
        <v>38</v>
      </c>
      <c r="I749" t="s">
        <v>2289</v>
      </c>
      <c r="J749" t="s">
        <v>40</v>
      </c>
      <c r="K749">
        <v>2</v>
      </c>
      <c r="L749" t="s">
        <v>41</v>
      </c>
      <c r="M749" t="s">
        <v>42</v>
      </c>
      <c r="N749" t="s">
        <v>43</v>
      </c>
      <c r="O749" s="7">
        <v>1</v>
      </c>
      <c r="P749" s="8">
        <v>45379.686828703707</v>
      </c>
      <c r="Q749" s="9">
        <v>45381</v>
      </c>
      <c r="R749" t="s">
        <v>44</v>
      </c>
      <c r="S749" t="s">
        <v>45</v>
      </c>
      <c r="T749" t="s">
        <v>46</v>
      </c>
      <c r="U749" t="s">
        <v>278</v>
      </c>
      <c r="V749" t="s">
        <v>2290</v>
      </c>
      <c r="W749">
        <v>14000</v>
      </c>
      <c r="X749" t="s">
        <v>45</v>
      </c>
      <c r="Y749" t="s">
        <v>305</v>
      </c>
      <c r="Z749" t="s">
        <v>50</v>
      </c>
      <c r="AA749" s="10">
        <f>IF(O749&lt;=1,7,7+0.8*ROUNDUP(O749-1,0))</f>
        <v>7</v>
      </c>
      <c r="AB749" s="11">
        <v>0</v>
      </c>
      <c r="AC749" s="11">
        <v>0</v>
      </c>
      <c r="AD749" s="11">
        <v>0</v>
      </c>
      <c r="AE749" s="11">
        <v>0</v>
      </c>
      <c r="AF749" s="11">
        <f t="shared" si="32"/>
        <v>0.42</v>
      </c>
      <c r="AG749" s="11">
        <f t="shared" si="31"/>
        <v>7.42</v>
      </c>
      <c r="AH749" t="s">
        <v>51</v>
      </c>
    </row>
    <row r="750" spans="1:34" ht="15" customHeight="1" x14ac:dyDescent="0.35">
      <c r="A750">
        <v>7547676</v>
      </c>
      <c r="B750">
        <v>690929</v>
      </c>
      <c r="C750" t="s">
        <v>34</v>
      </c>
      <c r="D750" t="s">
        <v>35</v>
      </c>
      <c r="E750" s="6" t="s">
        <v>34</v>
      </c>
      <c r="F750" t="s">
        <v>2291</v>
      </c>
      <c r="H750" t="s">
        <v>38</v>
      </c>
      <c r="I750" t="s">
        <v>2292</v>
      </c>
      <c r="J750" t="s">
        <v>40</v>
      </c>
      <c r="K750">
        <v>2</v>
      </c>
      <c r="L750" t="s">
        <v>41</v>
      </c>
      <c r="M750" t="s">
        <v>42</v>
      </c>
      <c r="N750" t="s">
        <v>43</v>
      </c>
      <c r="O750" s="7">
        <v>2</v>
      </c>
      <c r="P750" s="8">
        <v>45379.654340277775</v>
      </c>
      <c r="Q750" s="9">
        <v>45381</v>
      </c>
      <c r="R750" t="s">
        <v>44</v>
      </c>
      <c r="S750" t="s">
        <v>45</v>
      </c>
      <c r="T750" t="s">
        <v>46</v>
      </c>
      <c r="U750" t="s">
        <v>172</v>
      </c>
      <c r="V750" t="s">
        <v>2293</v>
      </c>
      <c r="W750">
        <v>33000</v>
      </c>
      <c r="X750" t="s">
        <v>45</v>
      </c>
      <c r="Y750" t="s">
        <v>260</v>
      </c>
      <c r="Z750" t="s">
        <v>50</v>
      </c>
      <c r="AA750" s="10">
        <f>IF(O750&lt;=1,7,7+0.8*ROUNDUP(O750-1,0))</f>
        <v>7.8</v>
      </c>
      <c r="AB750" s="11">
        <v>0</v>
      </c>
      <c r="AC750" s="11">
        <v>0</v>
      </c>
      <c r="AD750" s="11">
        <v>0</v>
      </c>
      <c r="AE750" s="11">
        <v>0</v>
      </c>
      <c r="AF750" s="11">
        <f t="shared" si="32"/>
        <v>0.46799999999999997</v>
      </c>
      <c r="AG750" s="11">
        <f t="shared" si="31"/>
        <v>8.2680000000000007</v>
      </c>
      <c r="AH750" t="s">
        <v>51</v>
      </c>
    </row>
    <row r="751" spans="1:34" ht="15" customHeight="1" x14ac:dyDescent="0.35">
      <c r="A751">
        <v>7547676</v>
      </c>
      <c r="B751">
        <v>690929</v>
      </c>
      <c r="C751" t="s">
        <v>34</v>
      </c>
      <c r="D751" t="s">
        <v>35</v>
      </c>
      <c r="E751" s="6" t="s">
        <v>34</v>
      </c>
      <c r="F751" t="s">
        <v>2294</v>
      </c>
      <c r="H751" t="s">
        <v>38</v>
      </c>
      <c r="I751" t="s">
        <v>2295</v>
      </c>
      <c r="J751" t="s">
        <v>40</v>
      </c>
      <c r="K751">
        <v>2</v>
      </c>
      <c r="L751" t="s">
        <v>41</v>
      </c>
      <c r="M751" t="s">
        <v>42</v>
      </c>
      <c r="N751" t="s">
        <v>43</v>
      </c>
      <c r="O751" s="7">
        <v>3</v>
      </c>
      <c r="P751" s="8">
        <v>45379.498530092591</v>
      </c>
      <c r="Q751" s="9">
        <v>45381</v>
      </c>
      <c r="R751" t="s">
        <v>44</v>
      </c>
      <c r="S751" t="s">
        <v>45</v>
      </c>
      <c r="T751" t="s">
        <v>46</v>
      </c>
      <c r="U751" t="s">
        <v>278</v>
      </c>
      <c r="V751" t="s">
        <v>2296</v>
      </c>
      <c r="W751">
        <v>13400</v>
      </c>
      <c r="X751" t="s">
        <v>45</v>
      </c>
      <c r="Y751" t="s">
        <v>305</v>
      </c>
      <c r="Z751" t="s">
        <v>50</v>
      </c>
      <c r="AA751" s="10">
        <f>IF(O751&lt;=1,7,7+0.8*ROUNDUP(O751-1,0))</f>
        <v>8.6</v>
      </c>
      <c r="AB751" s="11">
        <v>0</v>
      </c>
      <c r="AC751" s="11">
        <v>0</v>
      </c>
      <c r="AD751" s="11">
        <v>0</v>
      </c>
      <c r="AE751" s="11">
        <v>0</v>
      </c>
      <c r="AF751" s="11">
        <f t="shared" si="32"/>
        <v>0.51600000000000001</v>
      </c>
      <c r="AG751" s="11">
        <f t="shared" si="31"/>
        <v>9.1159999999999997</v>
      </c>
      <c r="AH751" t="s">
        <v>51</v>
      </c>
    </row>
    <row r="752" spans="1:34" ht="15" customHeight="1" x14ac:dyDescent="0.35">
      <c r="A752">
        <v>7547676</v>
      </c>
      <c r="B752">
        <v>690929</v>
      </c>
      <c r="C752" t="s">
        <v>34</v>
      </c>
      <c r="D752" t="s">
        <v>35</v>
      </c>
      <c r="E752" s="6" t="s">
        <v>34</v>
      </c>
      <c r="F752" t="s">
        <v>2297</v>
      </c>
      <c r="H752" t="s">
        <v>38</v>
      </c>
      <c r="I752" t="s">
        <v>2298</v>
      </c>
      <c r="J752" t="s">
        <v>40</v>
      </c>
      <c r="K752">
        <v>2</v>
      </c>
      <c r="L752" t="s">
        <v>41</v>
      </c>
      <c r="M752" t="s">
        <v>42</v>
      </c>
      <c r="N752" t="s">
        <v>43</v>
      </c>
      <c r="O752" s="7">
        <v>1</v>
      </c>
      <c r="P752" s="8">
        <v>45379.410393518519</v>
      </c>
      <c r="Q752" s="9">
        <v>45381</v>
      </c>
      <c r="R752" t="s">
        <v>44</v>
      </c>
      <c r="S752" t="s">
        <v>45</v>
      </c>
      <c r="T752" t="s">
        <v>46</v>
      </c>
      <c r="U752" t="s">
        <v>86</v>
      </c>
      <c r="V752" t="s">
        <v>2299</v>
      </c>
      <c r="W752">
        <v>70450</v>
      </c>
      <c r="X752" t="s">
        <v>45</v>
      </c>
      <c r="Y752" t="s">
        <v>589</v>
      </c>
      <c r="Z752" t="s">
        <v>50</v>
      </c>
      <c r="AA752" s="10">
        <f>IF(O752&lt;=1,7,7+0.8*ROUNDUP(O752-1,0))</f>
        <v>7</v>
      </c>
      <c r="AB752" s="11">
        <v>0</v>
      </c>
      <c r="AC752" s="11">
        <v>0</v>
      </c>
      <c r="AD752" s="11">
        <v>0</v>
      </c>
      <c r="AE752" s="11">
        <v>0</v>
      </c>
      <c r="AF752" s="11">
        <f t="shared" si="32"/>
        <v>0.42</v>
      </c>
      <c r="AG752" s="11">
        <f t="shared" si="31"/>
        <v>7.42</v>
      </c>
      <c r="AH752" t="s">
        <v>51</v>
      </c>
    </row>
    <row r="753" spans="1:34" ht="15" customHeight="1" x14ac:dyDescent="0.35">
      <c r="A753">
        <v>7547676</v>
      </c>
      <c r="B753">
        <v>690929</v>
      </c>
      <c r="C753" t="s">
        <v>34</v>
      </c>
      <c r="D753" t="s">
        <v>35</v>
      </c>
      <c r="E753" s="6" t="s">
        <v>34</v>
      </c>
      <c r="F753" t="s">
        <v>2300</v>
      </c>
      <c r="H753" t="s">
        <v>38</v>
      </c>
      <c r="I753" t="s">
        <v>738</v>
      </c>
      <c r="J753" t="s">
        <v>40</v>
      </c>
      <c r="K753">
        <v>2</v>
      </c>
      <c r="L753" t="s">
        <v>41</v>
      </c>
      <c r="M753" t="s">
        <v>42</v>
      </c>
      <c r="N753" t="s">
        <v>43</v>
      </c>
      <c r="O753" s="7">
        <v>2</v>
      </c>
      <c r="P753" s="8">
        <v>45379.654328703706</v>
      </c>
      <c r="Q753" s="9">
        <v>45381</v>
      </c>
      <c r="R753" t="s">
        <v>44</v>
      </c>
      <c r="S753" t="s">
        <v>45</v>
      </c>
      <c r="T753" t="s">
        <v>46</v>
      </c>
      <c r="U753" t="s">
        <v>67</v>
      </c>
      <c r="V753" t="s">
        <v>2301</v>
      </c>
      <c r="W753">
        <v>50300</v>
      </c>
      <c r="X753" t="s">
        <v>45</v>
      </c>
      <c r="Y753" t="s">
        <v>69</v>
      </c>
      <c r="Z753" t="s">
        <v>50</v>
      </c>
      <c r="AA753" s="10">
        <f>IF(O753&lt;=1,7,7+0.8*ROUNDUP(O753-1,0))</f>
        <v>7.8</v>
      </c>
      <c r="AB753" s="11">
        <v>0</v>
      </c>
      <c r="AC753" s="11">
        <v>0</v>
      </c>
      <c r="AD753" s="11">
        <v>0</v>
      </c>
      <c r="AE753" s="11">
        <v>0</v>
      </c>
      <c r="AF753" s="11">
        <f t="shared" si="32"/>
        <v>0.46799999999999997</v>
      </c>
      <c r="AG753" s="11">
        <f t="shared" si="31"/>
        <v>8.2680000000000007</v>
      </c>
      <c r="AH753" t="s">
        <v>51</v>
      </c>
    </row>
    <row r="754" spans="1:34" ht="15" customHeight="1" x14ac:dyDescent="0.35">
      <c r="A754">
        <v>7547676</v>
      </c>
      <c r="B754">
        <v>690929</v>
      </c>
      <c r="C754" t="s">
        <v>34</v>
      </c>
      <c r="D754" t="s">
        <v>35</v>
      </c>
      <c r="E754" s="6" t="s">
        <v>34</v>
      </c>
      <c r="F754" t="s">
        <v>2302</v>
      </c>
      <c r="H754" t="s">
        <v>38</v>
      </c>
      <c r="I754" t="s">
        <v>2303</v>
      </c>
      <c r="J754" t="s">
        <v>40</v>
      </c>
      <c r="K754">
        <v>2</v>
      </c>
      <c r="L754" t="s">
        <v>41</v>
      </c>
      <c r="M754" t="s">
        <v>42</v>
      </c>
      <c r="N754" t="s">
        <v>43</v>
      </c>
      <c r="O754" s="7">
        <v>1</v>
      </c>
      <c r="P754" s="8">
        <v>45379.447870370372</v>
      </c>
      <c r="Q754" s="9">
        <v>45381</v>
      </c>
      <c r="R754" t="s">
        <v>44</v>
      </c>
      <c r="S754" t="s">
        <v>45</v>
      </c>
      <c r="T754" t="s">
        <v>46</v>
      </c>
      <c r="U754" t="s">
        <v>54</v>
      </c>
      <c r="V754" t="s">
        <v>2304</v>
      </c>
      <c r="W754">
        <v>42700</v>
      </c>
      <c r="X754" t="s">
        <v>45</v>
      </c>
      <c r="Y754" t="s">
        <v>79</v>
      </c>
      <c r="Z754" t="s">
        <v>50</v>
      </c>
      <c r="AA754" s="10">
        <f>IF(O754&lt;=1,7,7+0.8*ROUNDUP(O754-1,0))</f>
        <v>7</v>
      </c>
      <c r="AB754" s="11">
        <v>0</v>
      </c>
      <c r="AC754" s="11">
        <v>0</v>
      </c>
      <c r="AD754" s="11">
        <v>0</v>
      </c>
      <c r="AE754" s="11">
        <v>0</v>
      </c>
      <c r="AF754" s="11">
        <f t="shared" si="32"/>
        <v>0.42</v>
      </c>
      <c r="AG754" s="11">
        <f t="shared" si="31"/>
        <v>7.42</v>
      </c>
      <c r="AH754" t="s">
        <v>51</v>
      </c>
    </row>
    <row r="755" spans="1:34" ht="15" customHeight="1" x14ac:dyDescent="0.35">
      <c r="A755">
        <v>7547676</v>
      </c>
      <c r="B755">
        <v>690929</v>
      </c>
      <c r="C755" t="s">
        <v>34</v>
      </c>
      <c r="D755" t="s">
        <v>35</v>
      </c>
      <c r="E755" s="6" t="s">
        <v>34</v>
      </c>
      <c r="F755" t="s">
        <v>2305</v>
      </c>
      <c r="H755" t="s">
        <v>38</v>
      </c>
      <c r="I755" t="s">
        <v>2306</v>
      </c>
      <c r="J755" t="s">
        <v>40</v>
      </c>
      <c r="K755">
        <v>2</v>
      </c>
      <c r="L755" t="s">
        <v>41</v>
      </c>
      <c r="M755" t="s">
        <v>42</v>
      </c>
      <c r="N755" t="s">
        <v>43</v>
      </c>
      <c r="O755" s="7">
        <v>6</v>
      </c>
      <c r="P755" s="8">
        <v>45379.54184027778</v>
      </c>
      <c r="Q755" s="9">
        <v>45382</v>
      </c>
      <c r="R755" t="s">
        <v>44</v>
      </c>
      <c r="S755" t="s">
        <v>45</v>
      </c>
      <c r="T755" t="s">
        <v>46</v>
      </c>
      <c r="U755" t="s">
        <v>54</v>
      </c>
      <c r="V755" t="s">
        <v>2307</v>
      </c>
      <c r="W755">
        <v>40470</v>
      </c>
      <c r="X755" t="s">
        <v>45</v>
      </c>
      <c r="Y755" t="s">
        <v>526</v>
      </c>
      <c r="Z755" t="s">
        <v>50</v>
      </c>
      <c r="AA755" s="10">
        <f>IF(O755&lt;=1,7,7+0.8*ROUNDUP(O755-1,0))</f>
        <v>11</v>
      </c>
      <c r="AB755" s="11">
        <v>0</v>
      </c>
      <c r="AC755" s="11">
        <v>0</v>
      </c>
      <c r="AD755" s="11">
        <v>0</v>
      </c>
      <c r="AE755" s="11">
        <v>0</v>
      </c>
      <c r="AF755" s="11">
        <f t="shared" si="32"/>
        <v>0.65999999999999992</v>
      </c>
      <c r="AG755" s="11">
        <f t="shared" si="31"/>
        <v>11.66</v>
      </c>
      <c r="AH755" t="s">
        <v>51</v>
      </c>
    </row>
    <row r="756" spans="1:34" ht="15" customHeight="1" x14ac:dyDescent="0.35">
      <c r="A756">
        <v>7547676</v>
      </c>
      <c r="B756">
        <v>690929</v>
      </c>
      <c r="C756" t="s">
        <v>34</v>
      </c>
      <c r="D756" t="s">
        <v>35</v>
      </c>
      <c r="E756" s="6" t="s">
        <v>34</v>
      </c>
      <c r="F756" t="s">
        <v>2308</v>
      </c>
      <c r="H756" t="s">
        <v>38</v>
      </c>
      <c r="I756" t="s">
        <v>2309</v>
      </c>
      <c r="J756" t="s">
        <v>40</v>
      </c>
      <c r="K756">
        <v>2</v>
      </c>
      <c r="L756" t="s">
        <v>41</v>
      </c>
      <c r="M756" t="s">
        <v>42</v>
      </c>
      <c r="N756" t="s">
        <v>43</v>
      </c>
      <c r="O756" s="7">
        <v>16</v>
      </c>
      <c r="P756" s="8">
        <v>45378.703715277778</v>
      </c>
      <c r="Q756" s="9">
        <v>45382</v>
      </c>
      <c r="R756" t="s">
        <v>44</v>
      </c>
      <c r="S756" t="s">
        <v>45</v>
      </c>
      <c r="T756" t="s">
        <v>46</v>
      </c>
      <c r="U756" t="s">
        <v>54</v>
      </c>
      <c r="V756" t="s">
        <v>2310</v>
      </c>
      <c r="W756">
        <v>47630</v>
      </c>
      <c r="X756" t="s">
        <v>45</v>
      </c>
      <c r="Y756" t="s">
        <v>441</v>
      </c>
      <c r="Z756" t="s">
        <v>50</v>
      </c>
      <c r="AA756" s="10">
        <f>IF(O756&lt;=1,7,7+0.8*ROUNDUP(O756-1,0))</f>
        <v>19</v>
      </c>
      <c r="AB756" s="11">
        <v>0</v>
      </c>
      <c r="AC756" s="11">
        <v>0</v>
      </c>
      <c r="AD756" s="11">
        <v>0</v>
      </c>
      <c r="AE756" s="11">
        <v>0</v>
      </c>
      <c r="AF756" s="11">
        <f t="shared" si="32"/>
        <v>1.1399999999999999</v>
      </c>
      <c r="AG756" s="11">
        <f t="shared" si="31"/>
        <v>20.14</v>
      </c>
      <c r="AH756" t="s">
        <v>51</v>
      </c>
    </row>
    <row r="757" spans="1:34" ht="15" customHeight="1" x14ac:dyDescent="0.35">
      <c r="A757">
        <v>7547676</v>
      </c>
      <c r="B757">
        <v>690929</v>
      </c>
      <c r="C757" t="s">
        <v>34</v>
      </c>
      <c r="D757" t="s">
        <v>35</v>
      </c>
      <c r="E757" s="6" t="s">
        <v>34</v>
      </c>
      <c r="F757" t="s">
        <v>2311</v>
      </c>
      <c r="H757" t="s">
        <v>38</v>
      </c>
      <c r="I757" t="s">
        <v>2312</v>
      </c>
      <c r="J757" t="s">
        <v>40</v>
      </c>
      <c r="K757">
        <v>2</v>
      </c>
      <c r="L757" t="s">
        <v>41</v>
      </c>
      <c r="M757" t="s">
        <v>42</v>
      </c>
      <c r="N757" t="s">
        <v>43</v>
      </c>
      <c r="O757" s="7">
        <v>1</v>
      </c>
      <c r="P757" s="8">
        <v>45381.646493055552</v>
      </c>
      <c r="Q757" s="9">
        <v>45382</v>
      </c>
      <c r="R757" t="s">
        <v>789</v>
      </c>
      <c r="S757" t="s">
        <v>45</v>
      </c>
      <c r="T757" t="s">
        <v>46</v>
      </c>
      <c r="U757" t="s">
        <v>67</v>
      </c>
      <c r="V757" t="s">
        <v>2313</v>
      </c>
      <c r="W757">
        <v>43300</v>
      </c>
      <c r="X757" t="s">
        <v>45</v>
      </c>
      <c r="Y757" t="s">
        <v>60</v>
      </c>
      <c r="Z757" t="s">
        <v>50</v>
      </c>
      <c r="AA757" s="10">
        <f>IF(O757&lt;=1,7,7+0.8*ROUNDUP(O757-1,0))</f>
        <v>7</v>
      </c>
      <c r="AB757" s="11">
        <v>0</v>
      </c>
      <c r="AC757" s="11">
        <v>0</v>
      </c>
      <c r="AD757" s="11">
        <v>0</v>
      </c>
      <c r="AE757" s="11">
        <v>0</v>
      </c>
      <c r="AF757" s="11">
        <f t="shared" si="32"/>
        <v>0.42</v>
      </c>
      <c r="AG757" s="11">
        <f t="shared" si="31"/>
        <v>7.42</v>
      </c>
      <c r="AH757" t="s">
        <v>51</v>
      </c>
    </row>
    <row r="758" spans="1:34" ht="15" customHeight="1" x14ac:dyDescent="0.35">
      <c r="A758">
        <v>7547676</v>
      </c>
      <c r="B758">
        <v>690929</v>
      </c>
      <c r="C758" t="s">
        <v>34</v>
      </c>
      <c r="D758" t="s">
        <v>35</v>
      </c>
      <c r="E758" s="6" t="s">
        <v>34</v>
      </c>
      <c r="F758" t="s">
        <v>2314</v>
      </c>
      <c r="H758" t="s">
        <v>38</v>
      </c>
      <c r="I758" t="s">
        <v>2315</v>
      </c>
      <c r="J758" t="s">
        <v>40</v>
      </c>
      <c r="K758">
        <v>2</v>
      </c>
      <c r="L758" t="s">
        <v>41</v>
      </c>
      <c r="M758" t="s">
        <v>42</v>
      </c>
      <c r="N758" t="s">
        <v>43</v>
      </c>
      <c r="O758" s="7">
        <v>1</v>
      </c>
      <c r="P758" s="8">
        <v>45379.643275462964</v>
      </c>
      <c r="Q758" s="9">
        <v>45382</v>
      </c>
      <c r="R758" t="s">
        <v>44</v>
      </c>
      <c r="S758" t="s">
        <v>45</v>
      </c>
      <c r="T758" t="s">
        <v>46</v>
      </c>
      <c r="U758" t="s">
        <v>134</v>
      </c>
      <c r="V758" t="s">
        <v>2316</v>
      </c>
      <c r="W758">
        <v>6400</v>
      </c>
      <c r="X758" t="s">
        <v>45</v>
      </c>
      <c r="Y758" t="s">
        <v>79</v>
      </c>
      <c r="Z758" t="s">
        <v>50</v>
      </c>
      <c r="AA758" s="10">
        <f>IF(O758&lt;=1,7,7+0.8*ROUNDUP(O758-1,0))</f>
        <v>7</v>
      </c>
      <c r="AB758" s="11">
        <v>0</v>
      </c>
      <c r="AC758" s="11">
        <v>0</v>
      </c>
      <c r="AD758" s="11">
        <v>0</v>
      </c>
      <c r="AE758" s="11">
        <v>0</v>
      </c>
      <c r="AF758" s="11">
        <f t="shared" si="32"/>
        <v>0.42</v>
      </c>
      <c r="AG758" s="11">
        <f t="shared" si="31"/>
        <v>7.42</v>
      </c>
      <c r="AH758" t="s">
        <v>51</v>
      </c>
    </row>
    <row r="759" spans="1:34" ht="15" customHeight="1" x14ac:dyDescent="0.35">
      <c r="A759">
        <v>7547676</v>
      </c>
      <c r="B759">
        <v>690929</v>
      </c>
      <c r="C759" t="s">
        <v>34</v>
      </c>
      <c r="D759" t="s">
        <v>35</v>
      </c>
      <c r="E759" s="6" t="s">
        <v>34</v>
      </c>
      <c r="F759" t="s">
        <v>2317</v>
      </c>
      <c r="H759" t="s">
        <v>38</v>
      </c>
      <c r="I759" t="s">
        <v>222</v>
      </c>
      <c r="J759" t="s">
        <v>40</v>
      </c>
      <c r="K759">
        <v>2</v>
      </c>
      <c r="L759" t="s">
        <v>41</v>
      </c>
      <c r="M759" t="s">
        <v>42</v>
      </c>
      <c r="N759" t="s">
        <v>43</v>
      </c>
      <c r="O759" s="7">
        <v>5</v>
      </c>
      <c r="P759" s="8">
        <v>45381.482245370367</v>
      </c>
      <c r="Q759" s="9">
        <v>45382</v>
      </c>
      <c r="R759" t="s">
        <v>44</v>
      </c>
      <c r="S759" t="s">
        <v>45</v>
      </c>
      <c r="T759" t="s">
        <v>46</v>
      </c>
      <c r="U759" t="s">
        <v>190</v>
      </c>
      <c r="V759" t="s">
        <v>223</v>
      </c>
      <c r="W759">
        <v>28000</v>
      </c>
      <c r="X759" t="s">
        <v>45</v>
      </c>
      <c r="Y759" t="s">
        <v>224</v>
      </c>
      <c r="Z759" t="s">
        <v>50</v>
      </c>
      <c r="AA759" s="10">
        <f>IF(O759&lt;=1,7,7+0.8*ROUNDUP(O759-1,0))</f>
        <v>10.199999999999999</v>
      </c>
      <c r="AB759" s="11">
        <v>0</v>
      </c>
      <c r="AC759" s="11">
        <v>0</v>
      </c>
      <c r="AD759" s="11">
        <v>0</v>
      </c>
      <c r="AE759" s="11">
        <v>0</v>
      </c>
      <c r="AF759" s="11">
        <f t="shared" si="32"/>
        <v>0.61199999999999999</v>
      </c>
      <c r="AG759" s="11">
        <f t="shared" si="31"/>
        <v>10.811999999999999</v>
      </c>
      <c r="AH759" t="s">
        <v>51</v>
      </c>
    </row>
    <row r="760" spans="1:34" ht="15" customHeight="1" x14ac:dyDescent="0.35">
      <c r="A760">
        <v>7547676</v>
      </c>
      <c r="B760">
        <v>690929</v>
      </c>
      <c r="C760" t="s">
        <v>34</v>
      </c>
      <c r="D760" t="s">
        <v>35</v>
      </c>
      <c r="E760" s="6" t="s">
        <v>34</v>
      </c>
      <c r="F760" t="s">
        <v>2318</v>
      </c>
      <c r="H760" t="s">
        <v>38</v>
      </c>
      <c r="I760" t="s">
        <v>2319</v>
      </c>
      <c r="J760" t="s">
        <v>40</v>
      </c>
      <c r="K760">
        <v>2</v>
      </c>
      <c r="L760" t="s">
        <v>41</v>
      </c>
      <c r="M760" t="s">
        <v>42</v>
      </c>
      <c r="N760" t="s">
        <v>43</v>
      </c>
      <c r="O760" s="7">
        <v>1</v>
      </c>
      <c r="P760" s="8">
        <v>45379.68513888889</v>
      </c>
      <c r="Q760" s="9">
        <v>45382</v>
      </c>
      <c r="R760" t="s">
        <v>44</v>
      </c>
      <c r="S760" t="s">
        <v>45</v>
      </c>
      <c r="T760" t="s">
        <v>46</v>
      </c>
      <c r="U760" t="s">
        <v>82</v>
      </c>
      <c r="V760" t="s">
        <v>2320</v>
      </c>
      <c r="W760">
        <v>84600</v>
      </c>
      <c r="X760" t="s">
        <v>45</v>
      </c>
      <c r="Y760" t="s">
        <v>79</v>
      </c>
      <c r="Z760" t="s">
        <v>50</v>
      </c>
      <c r="AA760" s="10">
        <f>IF(O760&lt;=1,7,7+0.8*ROUNDUP(O760-1,0))</f>
        <v>7</v>
      </c>
      <c r="AB760" s="11">
        <v>0</v>
      </c>
      <c r="AC760" s="11">
        <v>0</v>
      </c>
      <c r="AD760" s="11">
        <v>0</v>
      </c>
      <c r="AE760" s="11">
        <v>0</v>
      </c>
      <c r="AF760" s="11">
        <f t="shared" si="32"/>
        <v>0.42</v>
      </c>
      <c r="AG760" s="11">
        <f t="shared" si="31"/>
        <v>7.42</v>
      </c>
      <c r="AH760" t="s">
        <v>51</v>
      </c>
    </row>
    <row r="761" spans="1:34" ht="15" customHeight="1" x14ac:dyDescent="0.35">
      <c r="A761">
        <v>7547676</v>
      </c>
      <c r="B761">
        <v>690929</v>
      </c>
      <c r="C761" t="s">
        <v>34</v>
      </c>
      <c r="D761" t="s">
        <v>35</v>
      </c>
      <c r="E761" s="6" t="s">
        <v>34</v>
      </c>
      <c r="F761" t="s">
        <v>2321</v>
      </c>
      <c r="H761" t="s">
        <v>38</v>
      </c>
      <c r="I761" t="s">
        <v>2322</v>
      </c>
      <c r="J761" t="s">
        <v>40</v>
      </c>
      <c r="K761">
        <v>2</v>
      </c>
      <c r="L761" t="s">
        <v>41</v>
      </c>
      <c r="M761" t="s">
        <v>42</v>
      </c>
      <c r="N761" t="s">
        <v>43</v>
      </c>
      <c r="O761" s="7">
        <v>3</v>
      </c>
      <c r="P761" s="8">
        <v>45381.722222222219</v>
      </c>
      <c r="Q761" s="9">
        <v>45382</v>
      </c>
      <c r="R761" t="s">
        <v>44</v>
      </c>
      <c r="S761" t="s">
        <v>45</v>
      </c>
      <c r="T761" t="s">
        <v>46</v>
      </c>
      <c r="U761" t="s">
        <v>190</v>
      </c>
      <c r="V761" t="s">
        <v>2323</v>
      </c>
      <c r="W761">
        <v>27030</v>
      </c>
      <c r="X761" t="s">
        <v>45</v>
      </c>
      <c r="Y761" t="s">
        <v>2324</v>
      </c>
      <c r="Z761" t="s">
        <v>50</v>
      </c>
      <c r="AA761" s="10">
        <f>IF(O761&lt;=1,7,7+0.8*ROUNDUP(O761-1,0))</f>
        <v>8.6</v>
      </c>
      <c r="AB761" s="11">
        <v>0</v>
      </c>
      <c r="AC761" s="11">
        <v>0</v>
      </c>
      <c r="AD761" s="11">
        <v>0</v>
      </c>
      <c r="AE761" s="11">
        <v>0</v>
      </c>
      <c r="AF761" s="11">
        <f t="shared" si="32"/>
        <v>0.51600000000000001</v>
      </c>
      <c r="AG761" s="11">
        <f t="shared" si="31"/>
        <v>9.1159999999999997</v>
      </c>
      <c r="AH761" t="s">
        <v>51</v>
      </c>
    </row>
    <row r="762" spans="1:34" ht="15" customHeight="1" x14ac:dyDescent="0.35">
      <c r="A762">
        <v>7547676</v>
      </c>
      <c r="B762">
        <v>690929</v>
      </c>
      <c r="C762" t="s">
        <v>34</v>
      </c>
      <c r="D762" t="s">
        <v>35</v>
      </c>
      <c r="E762" s="6" t="s">
        <v>34</v>
      </c>
      <c r="F762" t="s">
        <v>2325</v>
      </c>
      <c r="H762" t="s">
        <v>38</v>
      </c>
      <c r="I762" t="s">
        <v>2326</v>
      </c>
      <c r="J762" t="s">
        <v>40</v>
      </c>
      <c r="K762">
        <v>2</v>
      </c>
      <c r="L762" t="s">
        <v>41</v>
      </c>
      <c r="M762" t="s">
        <v>42</v>
      </c>
      <c r="N762" t="s">
        <v>43</v>
      </c>
      <c r="O762" s="7">
        <v>2</v>
      </c>
      <c r="P762" s="8">
        <v>45379.54184027778</v>
      </c>
      <c r="Q762" s="9">
        <v>45382</v>
      </c>
      <c r="R762" t="s">
        <v>44</v>
      </c>
      <c r="S762" t="s">
        <v>45</v>
      </c>
      <c r="T762" t="s">
        <v>46</v>
      </c>
      <c r="U762" t="s">
        <v>172</v>
      </c>
      <c r="V762" t="s">
        <v>2327</v>
      </c>
      <c r="W762">
        <v>33400</v>
      </c>
      <c r="X762" t="s">
        <v>45</v>
      </c>
      <c r="Y762" t="s">
        <v>666</v>
      </c>
      <c r="Z762" t="s">
        <v>50</v>
      </c>
      <c r="AA762" s="10">
        <f>IF(O762&lt;=1,7,7+0.8*ROUNDUP(O762-1,0))</f>
        <v>7.8</v>
      </c>
      <c r="AB762" s="11">
        <v>0</v>
      </c>
      <c r="AC762" s="11">
        <v>0</v>
      </c>
      <c r="AD762" s="11">
        <v>0</v>
      </c>
      <c r="AE762" s="11">
        <v>0</v>
      </c>
      <c r="AF762" s="11">
        <f t="shared" si="32"/>
        <v>0.46799999999999997</v>
      </c>
      <c r="AG762" s="11">
        <f t="shared" si="31"/>
        <v>8.2680000000000007</v>
      </c>
      <c r="AH762" t="s">
        <v>51</v>
      </c>
    </row>
    <row r="763" spans="1:34" ht="15" customHeight="1" x14ac:dyDescent="0.35">
      <c r="A763">
        <v>7547676</v>
      </c>
      <c r="B763">
        <v>690929</v>
      </c>
      <c r="C763" t="s">
        <v>34</v>
      </c>
      <c r="D763" t="s">
        <v>35</v>
      </c>
      <c r="E763" s="6" t="s">
        <v>34</v>
      </c>
      <c r="F763" t="s">
        <v>2328</v>
      </c>
      <c r="H763" t="s">
        <v>38</v>
      </c>
      <c r="I763" t="s">
        <v>2329</v>
      </c>
      <c r="J763" t="s">
        <v>40</v>
      </c>
      <c r="K763">
        <v>2</v>
      </c>
      <c r="L763" t="s">
        <v>41</v>
      </c>
      <c r="M763" t="s">
        <v>42</v>
      </c>
      <c r="N763" t="s">
        <v>43</v>
      </c>
      <c r="O763" s="7">
        <v>1</v>
      </c>
      <c r="P763" s="8">
        <v>45379.654328703706</v>
      </c>
      <c r="Q763" s="9">
        <v>45382</v>
      </c>
      <c r="R763" t="s">
        <v>44</v>
      </c>
      <c r="S763" t="s">
        <v>45</v>
      </c>
      <c r="T763" t="s">
        <v>46</v>
      </c>
      <c r="U763" t="s">
        <v>82</v>
      </c>
      <c r="V763" t="s">
        <v>2330</v>
      </c>
      <c r="W763">
        <v>81200</v>
      </c>
      <c r="X763" t="s">
        <v>45</v>
      </c>
      <c r="Y763" t="s">
        <v>79</v>
      </c>
      <c r="Z763" t="s">
        <v>50</v>
      </c>
      <c r="AA763" s="10">
        <f>IF(O763&lt;=1,7,7+0.8*ROUNDUP(O763-1,0))</f>
        <v>7</v>
      </c>
      <c r="AB763" s="11">
        <v>0</v>
      </c>
      <c r="AC763" s="11">
        <v>0</v>
      </c>
      <c r="AD763" s="11">
        <v>0</v>
      </c>
      <c r="AE763" s="11">
        <v>0</v>
      </c>
      <c r="AF763" s="11">
        <f t="shared" si="32"/>
        <v>0.42</v>
      </c>
      <c r="AG763" s="11">
        <f t="shared" si="31"/>
        <v>7.42</v>
      </c>
      <c r="AH763" t="s">
        <v>51</v>
      </c>
    </row>
    <row r="764" spans="1:34" ht="15" customHeight="1" x14ac:dyDescent="0.35">
      <c r="A764">
        <v>7547676</v>
      </c>
      <c r="B764">
        <v>690929</v>
      </c>
      <c r="C764" t="s">
        <v>34</v>
      </c>
      <c r="D764" t="s">
        <v>35</v>
      </c>
      <c r="E764" s="6" t="s">
        <v>34</v>
      </c>
      <c r="F764" t="s">
        <v>2331</v>
      </c>
      <c r="H764" t="s">
        <v>38</v>
      </c>
      <c r="I764" t="s">
        <v>2332</v>
      </c>
      <c r="J764" t="s">
        <v>40</v>
      </c>
      <c r="K764">
        <v>2</v>
      </c>
      <c r="L764" t="s">
        <v>41</v>
      </c>
      <c r="M764" t="s">
        <v>42</v>
      </c>
      <c r="N764" t="s">
        <v>43</v>
      </c>
      <c r="O764" s="7">
        <v>2</v>
      </c>
      <c r="P764" s="8">
        <v>45379.755243055559</v>
      </c>
      <c r="Q764" s="9">
        <v>45382</v>
      </c>
      <c r="R764" t="s">
        <v>44</v>
      </c>
      <c r="S764" t="s">
        <v>45</v>
      </c>
      <c r="T764" t="s">
        <v>46</v>
      </c>
      <c r="U764" t="s">
        <v>134</v>
      </c>
      <c r="V764" t="s">
        <v>2333</v>
      </c>
      <c r="W764">
        <v>9400</v>
      </c>
      <c r="X764" t="s">
        <v>45</v>
      </c>
      <c r="Y764" t="s">
        <v>855</v>
      </c>
      <c r="Z764" t="s">
        <v>50</v>
      </c>
      <c r="AA764" s="10">
        <f>IF(O764&lt;=1,7,7+0.8*ROUNDUP(O764-1,0))</f>
        <v>7.8</v>
      </c>
      <c r="AB764" s="11">
        <v>0</v>
      </c>
      <c r="AC764" s="11">
        <v>0</v>
      </c>
      <c r="AD764" s="11">
        <v>0</v>
      </c>
      <c r="AE764" s="11">
        <v>0</v>
      </c>
      <c r="AF764" s="11">
        <f t="shared" si="32"/>
        <v>0.46799999999999997</v>
      </c>
      <c r="AG764" s="11">
        <f t="shared" si="31"/>
        <v>8.2680000000000007</v>
      </c>
      <c r="AH764" t="s">
        <v>51</v>
      </c>
    </row>
    <row r="765" spans="1:34" ht="15" customHeight="1" x14ac:dyDescent="0.35">
      <c r="A765">
        <v>7547676</v>
      </c>
      <c r="B765">
        <v>690929</v>
      </c>
      <c r="C765" t="s">
        <v>34</v>
      </c>
      <c r="D765" t="s">
        <v>35</v>
      </c>
      <c r="E765" s="6" t="s">
        <v>34</v>
      </c>
      <c r="F765" t="s">
        <v>2334</v>
      </c>
      <c r="H765" t="s">
        <v>38</v>
      </c>
      <c r="I765" t="s">
        <v>2335</v>
      </c>
      <c r="J765" t="s">
        <v>40</v>
      </c>
      <c r="K765">
        <v>2</v>
      </c>
      <c r="L765" t="s">
        <v>41</v>
      </c>
      <c r="M765" t="s">
        <v>42</v>
      </c>
      <c r="N765" t="s">
        <v>43</v>
      </c>
      <c r="O765" s="7">
        <v>1</v>
      </c>
      <c r="P765" s="8">
        <v>45380.508171296293</v>
      </c>
      <c r="Q765" s="9">
        <v>45382</v>
      </c>
      <c r="R765" t="s">
        <v>44</v>
      </c>
      <c r="S765" t="s">
        <v>45</v>
      </c>
      <c r="T765" t="s">
        <v>46</v>
      </c>
      <c r="U765" t="s">
        <v>82</v>
      </c>
      <c r="V765" t="s">
        <v>2336</v>
      </c>
      <c r="W765">
        <v>81200</v>
      </c>
      <c r="X765" t="s">
        <v>45</v>
      </c>
      <c r="Y765" t="s">
        <v>2337</v>
      </c>
      <c r="Z765" t="s">
        <v>50</v>
      </c>
      <c r="AA765" s="10">
        <f>IF(O765&lt;=1,7,7+0.8*ROUNDUP(O765-1,0))</f>
        <v>7</v>
      </c>
      <c r="AB765" s="11">
        <v>0</v>
      </c>
      <c r="AC765" s="11">
        <v>0</v>
      </c>
      <c r="AD765" s="11">
        <v>0</v>
      </c>
      <c r="AE765" s="11">
        <v>0</v>
      </c>
      <c r="AF765" s="11">
        <f t="shared" si="32"/>
        <v>0.42</v>
      </c>
      <c r="AG765" s="11">
        <f t="shared" si="31"/>
        <v>7.42</v>
      </c>
      <c r="AH765" t="s">
        <v>51</v>
      </c>
    </row>
    <row r="766" spans="1:34" ht="15" customHeight="1" x14ac:dyDescent="0.35">
      <c r="A766">
        <v>7547676</v>
      </c>
      <c r="B766">
        <v>690929</v>
      </c>
      <c r="C766" t="s">
        <v>34</v>
      </c>
      <c r="D766" t="s">
        <v>35</v>
      </c>
      <c r="E766" s="6" t="s">
        <v>34</v>
      </c>
      <c r="F766" t="s">
        <v>2338</v>
      </c>
      <c r="H766" t="s">
        <v>38</v>
      </c>
      <c r="I766" t="s">
        <v>2339</v>
      </c>
      <c r="J766" t="s">
        <v>40</v>
      </c>
      <c r="K766">
        <v>2</v>
      </c>
      <c r="L766" t="s">
        <v>41</v>
      </c>
      <c r="M766" t="s">
        <v>42</v>
      </c>
      <c r="N766" t="s">
        <v>43</v>
      </c>
      <c r="O766" s="7">
        <v>3</v>
      </c>
      <c r="P766" s="8">
        <v>45379.68513888889</v>
      </c>
      <c r="Q766" s="9">
        <v>45382</v>
      </c>
      <c r="R766" t="s">
        <v>44</v>
      </c>
      <c r="S766" t="s">
        <v>45</v>
      </c>
      <c r="T766" t="s">
        <v>46</v>
      </c>
      <c r="U766" t="s">
        <v>67</v>
      </c>
      <c r="V766" t="s">
        <v>2340</v>
      </c>
      <c r="W766">
        <v>55300</v>
      </c>
      <c r="X766" t="s">
        <v>45</v>
      </c>
      <c r="Y766" t="s">
        <v>1547</v>
      </c>
      <c r="Z766" t="s">
        <v>50</v>
      </c>
      <c r="AA766" s="10">
        <f>IF(O766&lt;=1,7,7+0.8*ROUNDUP(O766-1,0))</f>
        <v>8.6</v>
      </c>
      <c r="AB766" s="11">
        <v>0</v>
      </c>
      <c r="AC766" s="11">
        <v>0</v>
      </c>
      <c r="AD766" s="11">
        <v>0</v>
      </c>
      <c r="AE766" s="11">
        <v>0</v>
      </c>
      <c r="AF766" s="11">
        <f t="shared" si="32"/>
        <v>0.51600000000000001</v>
      </c>
      <c r="AG766" s="11">
        <f t="shared" si="31"/>
        <v>9.1159999999999997</v>
      </c>
      <c r="AH766" t="s">
        <v>51</v>
      </c>
    </row>
    <row r="767" spans="1:34" ht="15" customHeight="1" x14ac:dyDescent="0.35">
      <c r="A767">
        <v>7547676</v>
      </c>
      <c r="B767">
        <v>690929</v>
      </c>
      <c r="C767" t="s">
        <v>34</v>
      </c>
      <c r="D767" t="s">
        <v>35</v>
      </c>
      <c r="E767" s="6" t="s">
        <v>34</v>
      </c>
      <c r="F767" t="s">
        <v>2341</v>
      </c>
      <c r="H767" t="s">
        <v>38</v>
      </c>
      <c r="I767" t="s">
        <v>2342</v>
      </c>
      <c r="J767" t="s">
        <v>40</v>
      </c>
      <c r="K767">
        <v>2</v>
      </c>
      <c r="L767" t="s">
        <v>41</v>
      </c>
      <c r="M767" t="s">
        <v>42</v>
      </c>
      <c r="N767" t="s">
        <v>43</v>
      </c>
      <c r="O767" s="7">
        <v>1</v>
      </c>
      <c r="P767" s="8">
        <v>45381.662118055552</v>
      </c>
      <c r="Q767" s="9">
        <v>45382</v>
      </c>
      <c r="R767" t="s">
        <v>789</v>
      </c>
      <c r="S767" t="s">
        <v>45</v>
      </c>
      <c r="T767" t="s">
        <v>46</v>
      </c>
      <c r="U767" t="s">
        <v>67</v>
      </c>
      <c r="V767" t="s">
        <v>2343</v>
      </c>
      <c r="W767">
        <v>59200</v>
      </c>
      <c r="X767" t="s">
        <v>45</v>
      </c>
      <c r="Y767" t="s">
        <v>452</v>
      </c>
      <c r="Z767" t="s">
        <v>50</v>
      </c>
      <c r="AA767" s="10">
        <f>IF(O767&lt;=1,7,7+0.8*ROUNDUP(O767-1,0))</f>
        <v>7</v>
      </c>
      <c r="AB767" s="11">
        <v>0</v>
      </c>
      <c r="AC767" s="11">
        <v>0</v>
      </c>
      <c r="AD767" s="11">
        <v>0</v>
      </c>
      <c r="AE767" s="11">
        <v>0</v>
      </c>
      <c r="AF767" s="11">
        <f t="shared" si="32"/>
        <v>0.42</v>
      </c>
      <c r="AG767" s="11">
        <f t="shared" si="31"/>
        <v>7.42</v>
      </c>
      <c r="AH767" t="s">
        <v>51</v>
      </c>
    </row>
    <row r="768" spans="1:34" ht="15" customHeight="1" x14ac:dyDescent="0.35">
      <c r="A768">
        <v>7547676</v>
      </c>
      <c r="B768">
        <v>690929</v>
      </c>
      <c r="C768" t="s">
        <v>34</v>
      </c>
      <c r="D768" t="s">
        <v>35</v>
      </c>
      <c r="E768" s="6" t="s">
        <v>34</v>
      </c>
      <c r="F768" t="s">
        <v>2344</v>
      </c>
      <c r="H768" t="s">
        <v>38</v>
      </c>
      <c r="I768" t="s">
        <v>2345</v>
      </c>
      <c r="J768" t="s">
        <v>40</v>
      </c>
      <c r="K768">
        <v>2</v>
      </c>
      <c r="L768" t="s">
        <v>41</v>
      </c>
      <c r="M768" t="s">
        <v>42</v>
      </c>
      <c r="N768" t="s">
        <v>43</v>
      </c>
      <c r="O768" s="7">
        <v>3</v>
      </c>
      <c r="P768" s="8">
        <v>45379.671817129631</v>
      </c>
      <c r="Q768" s="9">
        <v>45382</v>
      </c>
      <c r="R768" t="s">
        <v>44</v>
      </c>
      <c r="S768" t="s">
        <v>45</v>
      </c>
      <c r="T768" t="s">
        <v>46</v>
      </c>
      <c r="U768" t="s">
        <v>54</v>
      </c>
      <c r="V768" t="s">
        <v>2346</v>
      </c>
      <c r="W768">
        <v>42700</v>
      </c>
      <c r="X768" t="s">
        <v>45</v>
      </c>
      <c r="Y768" t="s">
        <v>268</v>
      </c>
      <c r="Z768" t="s">
        <v>50</v>
      </c>
      <c r="AA768" s="10">
        <f>IF(O768&lt;=1,7,7+0.8*ROUNDUP(O768-1,0))</f>
        <v>8.6</v>
      </c>
      <c r="AB768" s="11">
        <v>0</v>
      </c>
      <c r="AC768" s="11">
        <v>0</v>
      </c>
      <c r="AD768" s="11">
        <v>0</v>
      </c>
      <c r="AE768" s="11">
        <v>0</v>
      </c>
      <c r="AF768" s="11">
        <f t="shared" si="32"/>
        <v>0.51600000000000001</v>
      </c>
      <c r="AG768" s="11">
        <f t="shared" si="31"/>
        <v>9.1159999999999997</v>
      </c>
      <c r="AH768" t="s">
        <v>51</v>
      </c>
    </row>
    <row r="769" spans="1:34" ht="15" customHeight="1" x14ac:dyDescent="0.35">
      <c r="A769">
        <v>7547676</v>
      </c>
      <c r="B769">
        <v>690929</v>
      </c>
      <c r="C769" t="s">
        <v>34</v>
      </c>
      <c r="D769" t="s">
        <v>35</v>
      </c>
      <c r="E769" s="6" t="s">
        <v>34</v>
      </c>
      <c r="F769" t="s">
        <v>2347</v>
      </c>
      <c r="H769" t="s">
        <v>38</v>
      </c>
      <c r="I769" t="s">
        <v>2348</v>
      </c>
      <c r="J769" t="s">
        <v>40</v>
      </c>
      <c r="K769">
        <v>2</v>
      </c>
      <c r="L769" t="s">
        <v>41</v>
      </c>
      <c r="M769" t="s">
        <v>42</v>
      </c>
      <c r="N769" t="s">
        <v>43</v>
      </c>
      <c r="O769" s="7">
        <v>1</v>
      </c>
      <c r="P769" s="8">
        <v>45379.68513888889</v>
      </c>
      <c r="Q769" s="9">
        <v>45382</v>
      </c>
      <c r="R769" t="s">
        <v>44</v>
      </c>
      <c r="S769" t="s">
        <v>45</v>
      </c>
      <c r="T769" t="s">
        <v>46</v>
      </c>
      <c r="U769" t="s">
        <v>67</v>
      </c>
      <c r="V769" t="s">
        <v>2349</v>
      </c>
      <c r="W769">
        <v>55100</v>
      </c>
      <c r="X769" t="s">
        <v>45</v>
      </c>
      <c r="Y769" t="s">
        <v>1547</v>
      </c>
      <c r="Z769" t="s">
        <v>50</v>
      </c>
      <c r="AA769" s="10">
        <f>IF(O769&lt;=1,7,7+0.8*ROUNDUP(O769-1,0))</f>
        <v>7</v>
      </c>
      <c r="AB769" s="11">
        <v>0</v>
      </c>
      <c r="AC769" s="11">
        <v>0</v>
      </c>
      <c r="AD769" s="11">
        <v>0</v>
      </c>
      <c r="AE769" s="11">
        <v>0</v>
      </c>
      <c r="AF769" s="11">
        <f t="shared" si="32"/>
        <v>0.42</v>
      </c>
      <c r="AG769" s="11">
        <f t="shared" si="31"/>
        <v>7.42</v>
      </c>
      <c r="AH769" t="s">
        <v>51</v>
      </c>
    </row>
    <row r="771" spans="1:34" x14ac:dyDescent="0.35">
      <c r="AA771" s="13">
        <f>SUM(AA2:AA769)</f>
        <v>6819.6000000000176</v>
      </c>
      <c r="AB771" s="13">
        <f>SUM(AB2:AB769)</f>
        <v>0</v>
      </c>
      <c r="AC771" s="13">
        <f>SUM(AC2:AC769)</f>
        <v>0</v>
      </c>
      <c r="AD771" s="13">
        <f>SUM(AD2:AD769)</f>
        <v>0</v>
      </c>
      <c r="AE771" s="13">
        <f>SUM(AE2:AE769)</f>
        <v>0</v>
      </c>
      <c r="AF771" s="13">
        <f>SUM(AF2:AF769)</f>
        <v>409.17600000000181</v>
      </c>
      <c r="AG771" s="13">
        <f>SUM(AG2:AG769)</f>
        <v>7228.7760000000253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Ahmad Bukhari</cp:lastModifiedBy>
  <dcterms:created xsi:type="dcterms:W3CDTF">2024-04-03T01:23:39Z</dcterms:created>
  <dcterms:modified xsi:type="dcterms:W3CDTF">2024-04-03T01:23:40Z</dcterms:modified>
</cp:coreProperties>
</file>