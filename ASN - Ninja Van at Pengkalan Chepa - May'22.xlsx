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JAVAN\BILLING 2022\May'22\Billing\ASN\Individual Partner\"/>
    </mc:Choice>
  </mc:AlternateContent>
  <xr:revisionPtr revIDLastSave="0" documentId="8_{D1615E15-23D8-4055-8AB6-3F596208608D}" xr6:coauthVersionLast="47" xr6:coauthVersionMax="47" xr10:uidLastSave="{00000000-0000-0000-0000-000000000000}"/>
  <bookViews>
    <workbookView xWindow="-110" yWindow="-110" windowWidth="19420" windowHeight="10420" xr2:uid="{170DBA51-7515-45DB-A763-2E8178503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J412" i="1" l="1"/>
  <c r="AI412" i="1"/>
  <c r="AH412" i="1"/>
  <c r="AG412" i="1"/>
  <c r="AF412" i="1"/>
  <c r="AE412" i="1"/>
  <c r="AD412" i="1"/>
  <c r="AD410" i="1"/>
  <c r="AJ409" i="1"/>
  <c r="AI409" i="1"/>
  <c r="AD409" i="1"/>
  <c r="AI408" i="1"/>
  <c r="AJ408" i="1" s="1"/>
  <c r="AD408" i="1"/>
  <c r="AD407" i="1"/>
  <c r="AD406" i="1"/>
  <c r="AD405" i="1"/>
  <c r="AI405" i="1" s="1"/>
  <c r="AD404" i="1"/>
  <c r="AD403" i="1"/>
  <c r="AI403" i="1" s="1"/>
  <c r="AI402" i="1"/>
  <c r="AD402" i="1"/>
  <c r="AD401" i="1"/>
  <c r="AJ400" i="1"/>
  <c r="AI400" i="1"/>
  <c r="AD400" i="1"/>
  <c r="AI399" i="1"/>
  <c r="AJ399" i="1" s="1"/>
  <c r="AD399" i="1"/>
  <c r="AD398" i="1"/>
  <c r="AD397" i="1"/>
  <c r="AI396" i="1"/>
  <c r="AJ396" i="1" s="1"/>
  <c r="AD396" i="1"/>
  <c r="AI395" i="1"/>
  <c r="AD395" i="1"/>
  <c r="AD394" i="1"/>
  <c r="AJ393" i="1"/>
  <c r="AI393" i="1"/>
  <c r="AD393" i="1"/>
  <c r="AI392" i="1"/>
  <c r="AJ392" i="1" s="1"/>
  <c r="AD392" i="1"/>
  <c r="AI391" i="1"/>
  <c r="AD391" i="1"/>
  <c r="AD390" i="1"/>
  <c r="AI390" i="1" s="1"/>
  <c r="AJ390" i="1" s="1"/>
  <c r="AD389" i="1"/>
  <c r="AI389" i="1" s="1"/>
  <c r="AD388" i="1"/>
  <c r="AD387" i="1"/>
  <c r="AI387" i="1" s="1"/>
  <c r="AJ387" i="1" s="1"/>
  <c r="AD386" i="1"/>
  <c r="AD385" i="1"/>
  <c r="AJ384" i="1"/>
  <c r="AI384" i="1"/>
  <c r="AD384" i="1"/>
  <c r="AJ383" i="1"/>
  <c r="AI383" i="1"/>
  <c r="AD383" i="1"/>
  <c r="AD382" i="1"/>
  <c r="AD381" i="1"/>
  <c r="AI381" i="1" s="1"/>
  <c r="AI380" i="1"/>
  <c r="AJ380" i="1" s="1"/>
  <c r="AD380" i="1"/>
  <c r="AJ379" i="1"/>
  <c r="AD379" i="1"/>
  <c r="AI379" i="1" s="1"/>
  <c r="AD378" i="1"/>
  <c r="AI377" i="1"/>
  <c r="AJ377" i="1" s="1"/>
  <c r="AD377" i="1"/>
  <c r="AI376" i="1"/>
  <c r="AJ376" i="1" s="1"/>
  <c r="AD376" i="1"/>
  <c r="AD375" i="1"/>
  <c r="AD374" i="1"/>
  <c r="AJ373" i="1"/>
  <c r="AD373" i="1"/>
  <c r="AI373" i="1" s="1"/>
  <c r="AD372" i="1"/>
  <c r="AJ371" i="1"/>
  <c r="AD371" i="1"/>
  <c r="AI371" i="1" s="1"/>
  <c r="AD370" i="1"/>
  <c r="AD369" i="1"/>
  <c r="AJ368" i="1"/>
  <c r="AI368" i="1"/>
  <c r="AD368" i="1"/>
  <c r="AJ367" i="1"/>
  <c r="AI367" i="1"/>
  <c r="AD367" i="1"/>
  <c r="AD366" i="1"/>
  <c r="AD365" i="1"/>
  <c r="AJ364" i="1"/>
  <c r="AI364" i="1"/>
  <c r="AD364" i="1"/>
  <c r="AD363" i="1"/>
  <c r="AD362" i="1"/>
  <c r="AI361" i="1"/>
  <c r="AJ361" i="1" s="1"/>
  <c r="AD361" i="1"/>
  <c r="AI360" i="1"/>
  <c r="AJ360" i="1" s="1"/>
  <c r="AD360" i="1"/>
  <c r="AD359" i="1"/>
  <c r="AD358" i="1"/>
  <c r="AI358" i="1" s="1"/>
  <c r="AJ358" i="1" s="1"/>
  <c r="AD357" i="1"/>
  <c r="AI357" i="1" s="1"/>
  <c r="AD356" i="1"/>
  <c r="AD355" i="1"/>
  <c r="AI355" i="1" s="1"/>
  <c r="AJ355" i="1" s="1"/>
  <c r="AD354" i="1"/>
  <c r="AI353" i="1"/>
  <c r="AD353" i="1"/>
  <c r="AJ352" i="1"/>
  <c r="AI352" i="1"/>
  <c r="AD352" i="1"/>
  <c r="AI351" i="1"/>
  <c r="AJ351" i="1" s="1"/>
  <c r="AD351" i="1"/>
  <c r="AI350" i="1"/>
  <c r="AJ350" i="1" s="1"/>
  <c r="AD350" i="1"/>
  <c r="AD349" i="1"/>
  <c r="AI349" i="1" s="1"/>
  <c r="AI348" i="1"/>
  <c r="AJ348" i="1" s="1"/>
  <c r="AD348" i="1"/>
  <c r="AI347" i="1"/>
  <c r="AD347" i="1"/>
  <c r="AJ347" i="1" s="1"/>
  <c r="AD346" i="1"/>
  <c r="AJ345" i="1"/>
  <c r="AI345" i="1"/>
  <c r="AD345" i="1"/>
  <c r="AI344" i="1"/>
  <c r="AJ344" i="1" s="1"/>
  <c r="AD344" i="1"/>
  <c r="AD343" i="1"/>
  <c r="AD342" i="1"/>
  <c r="AD341" i="1"/>
  <c r="AI341" i="1" s="1"/>
  <c r="AD340" i="1"/>
  <c r="AJ339" i="1"/>
  <c r="AD339" i="1"/>
  <c r="AI339" i="1" s="1"/>
  <c r="AI338" i="1"/>
  <c r="AD338" i="1"/>
  <c r="AD337" i="1"/>
  <c r="AJ336" i="1"/>
  <c r="AI336" i="1"/>
  <c r="AD336" i="1"/>
  <c r="AJ335" i="1"/>
  <c r="AI335" i="1"/>
  <c r="AD335" i="1"/>
  <c r="AD334" i="1"/>
  <c r="AD333" i="1"/>
  <c r="AI332" i="1"/>
  <c r="AJ332" i="1" s="1"/>
  <c r="AD332" i="1"/>
  <c r="AD331" i="1"/>
  <c r="AD330" i="1"/>
  <c r="AJ329" i="1"/>
  <c r="AI329" i="1"/>
  <c r="AD329" i="1"/>
  <c r="AI328" i="1"/>
  <c r="AJ328" i="1" s="1"/>
  <c r="AD328" i="1"/>
  <c r="AD327" i="1"/>
  <c r="AD326" i="1"/>
  <c r="AI326" i="1" s="1"/>
  <c r="AJ326" i="1" s="1"/>
  <c r="AD325" i="1"/>
  <c r="AI325" i="1" s="1"/>
  <c r="AD324" i="1"/>
  <c r="AJ323" i="1"/>
  <c r="AD323" i="1"/>
  <c r="AI323" i="1" s="1"/>
  <c r="AD322" i="1"/>
  <c r="AD321" i="1"/>
  <c r="AJ320" i="1"/>
  <c r="AI320" i="1"/>
  <c r="AD320" i="1"/>
  <c r="AJ319" i="1"/>
  <c r="AI319" i="1"/>
  <c r="AD319" i="1"/>
  <c r="AD318" i="1"/>
  <c r="AD317" i="1"/>
  <c r="AI317" i="1" s="1"/>
  <c r="AJ316" i="1"/>
  <c r="AI316" i="1"/>
  <c r="AD316" i="1"/>
  <c r="AD315" i="1"/>
  <c r="AI315" i="1" s="1"/>
  <c r="AJ315" i="1" s="1"/>
  <c r="AD314" i="1"/>
  <c r="AJ313" i="1"/>
  <c r="AI313" i="1"/>
  <c r="AD313" i="1"/>
  <c r="AI312" i="1"/>
  <c r="AJ312" i="1" s="1"/>
  <c r="AD312" i="1"/>
  <c r="AD311" i="1"/>
  <c r="AD310" i="1"/>
  <c r="AD309" i="1"/>
  <c r="AI309" i="1" s="1"/>
  <c r="AD308" i="1"/>
  <c r="AJ307" i="1"/>
  <c r="AD307" i="1"/>
  <c r="AI307" i="1" s="1"/>
  <c r="AD306" i="1"/>
  <c r="AD305" i="1"/>
  <c r="AJ304" i="1"/>
  <c r="AI304" i="1"/>
  <c r="AD304" i="1"/>
  <c r="AJ303" i="1"/>
  <c r="AI303" i="1"/>
  <c r="AD303" i="1"/>
  <c r="AD302" i="1"/>
  <c r="AD301" i="1"/>
  <c r="AJ300" i="1"/>
  <c r="AI300" i="1"/>
  <c r="AD300" i="1"/>
  <c r="AD299" i="1"/>
  <c r="AD298" i="1"/>
  <c r="AI297" i="1"/>
  <c r="AJ297" i="1" s="1"/>
  <c r="AD297" i="1"/>
  <c r="AI296" i="1"/>
  <c r="AJ296" i="1" s="1"/>
  <c r="AD296" i="1"/>
  <c r="AD295" i="1"/>
  <c r="AD294" i="1"/>
  <c r="AI294" i="1" s="1"/>
  <c r="AJ294" i="1" s="1"/>
  <c r="AJ293" i="1"/>
  <c r="AD293" i="1"/>
  <c r="AI293" i="1" s="1"/>
  <c r="AD292" i="1"/>
  <c r="AD291" i="1"/>
  <c r="AI291" i="1" s="1"/>
  <c r="AJ291" i="1" s="1"/>
  <c r="AD290" i="1"/>
  <c r="AD289" i="1"/>
  <c r="AI289" i="1" s="1"/>
  <c r="AJ288" i="1"/>
  <c r="AI288" i="1"/>
  <c r="AD288" i="1"/>
  <c r="AI287" i="1"/>
  <c r="AJ287" i="1" s="1"/>
  <c r="AD287" i="1"/>
  <c r="AJ286" i="1"/>
  <c r="AI286" i="1"/>
  <c r="AD286" i="1"/>
  <c r="AD285" i="1"/>
  <c r="AI285" i="1" s="1"/>
  <c r="AI284" i="1"/>
  <c r="AJ284" i="1" s="1"/>
  <c r="AD284" i="1"/>
  <c r="AD283" i="1"/>
  <c r="AI283" i="1" s="1"/>
  <c r="AD282" i="1"/>
  <c r="AJ281" i="1"/>
  <c r="AI281" i="1"/>
  <c r="AD281" i="1"/>
  <c r="AI280" i="1"/>
  <c r="AJ280" i="1" s="1"/>
  <c r="AD280" i="1"/>
  <c r="AD279" i="1"/>
  <c r="AD278" i="1"/>
  <c r="AD277" i="1"/>
  <c r="AI277" i="1" s="1"/>
  <c r="AD276" i="1"/>
  <c r="AD275" i="1"/>
  <c r="AI275" i="1" s="1"/>
  <c r="AI274" i="1"/>
  <c r="AD274" i="1"/>
  <c r="AD273" i="1"/>
  <c r="AJ272" i="1"/>
  <c r="AI272" i="1"/>
  <c r="AD272" i="1"/>
  <c r="AI271" i="1"/>
  <c r="AJ271" i="1" s="1"/>
  <c r="AD271" i="1"/>
  <c r="AD270" i="1"/>
  <c r="AD269" i="1"/>
  <c r="AI268" i="1"/>
  <c r="AJ268" i="1" s="1"/>
  <c r="AD268" i="1"/>
  <c r="AI267" i="1"/>
  <c r="AD267" i="1"/>
  <c r="AD266" i="1"/>
  <c r="AJ265" i="1"/>
  <c r="AI265" i="1"/>
  <c r="AD265" i="1"/>
  <c r="AI264" i="1"/>
  <c r="AJ264" i="1" s="1"/>
  <c r="AD264" i="1"/>
  <c r="AI263" i="1"/>
  <c r="AD263" i="1"/>
  <c r="AD262" i="1"/>
  <c r="AI262" i="1" s="1"/>
  <c r="AJ262" i="1" s="1"/>
  <c r="AD261" i="1"/>
  <c r="AI261" i="1" s="1"/>
  <c r="AD260" i="1"/>
  <c r="AD259" i="1"/>
  <c r="AI259" i="1" s="1"/>
  <c r="AJ259" i="1" s="1"/>
  <c r="AD258" i="1"/>
  <c r="AD257" i="1"/>
  <c r="AJ256" i="1"/>
  <c r="AI256" i="1"/>
  <c r="AD256" i="1"/>
  <c r="AJ255" i="1"/>
  <c r="AI255" i="1"/>
  <c r="AD255" i="1"/>
  <c r="AD254" i="1"/>
  <c r="AD253" i="1"/>
  <c r="AI253" i="1" s="1"/>
  <c r="AI252" i="1"/>
  <c r="AJ252" i="1" s="1"/>
  <c r="AD252" i="1"/>
  <c r="AD251" i="1"/>
  <c r="AI251" i="1" s="1"/>
  <c r="AJ251" i="1" s="1"/>
  <c r="AD250" i="1"/>
  <c r="AI249" i="1"/>
  <c r="AJ249" i="1" s="1"/>
  <c r="AD249" i="1"/>
  <c r="AI248" i="1"/>
  <c r="AJ248" i="1" s="1"/>
  <c r="AD248" i="1"/>
  <c r="AD247" i="1"/>
  <c r="AD246" i="1"/>
  <c r="AJ245" i="1"/>
  <c r="AD245" i="1"/>
  <c r="AI245" i="1" s="1"/>
  <c r="AD244" i="1"/>
  <c r="AJ243" i="1"/>
  <c r="AD243" i="1"/>
  <c r="AI243" i="1" s="1"/>
  <c r="AD242" i="1"/>
  <c r="AD241" i="1"/>
  <c r="AJ240" i="1"/>
  <c r="AI240" i="1"/>
  <c r="AD240" i="1"/>
  <c r="AJ239" i="1"/>
  <c r="AI239" i="1"/>
  <c r="AD239" i="1"/>
  <c r="AD238" i="1"/>
  <c r="AD237" i="1"/>
  <c r="AJ236" i="1"/>
  <c r="AI236" i="1"/>
  <c r="AD236" i="1"/>
  <c r="AD235" i="1"/>
  <c r="AD234" i="1"/>
  <c r="AJ233" i="1"/>
  <c r="AI233" i="1"/>
  <c r="AD233" i="1"/>
  <c r="AI232" i="1"/>
  <c r="AJ232" i="1" s="1"/>
  <c r="AD232" i="1"/>
  <c r="AD231" i="1"/>
  <c r="AD230" i="1"/>
  <c r="AI230" i="1" s="1"/>
  <c r="AJ230" i="1" s="1"/>
  <c r="AD229" i="1"/>
  <c r="AI229" i="1" s="1"/>
  <c r="AD228" i="1"/>
  <c r="AD227" i="1"/>
  <c r="AI227" i="1" s="1"/>
  <c r="AJ227" i="1" s="1"/>
  <c r="AD226" i="1"/>
  <c r="AI225" i="1"/>
  <c r="AD225" i="1"/>
  <c r="AJ224" i="1"/>
  <c r="AI224" i="1"/>
  <c r="AD224" i="1"/>
  <c r="AI223" i="1"/>
  <c r="AJ223" i="1" s="1"/>
  <c r="AD223" i="1"/>
  <c r="AI222" i="1"/>
  <c r="AJ222" i="1" s="1"/>
  <c r="AD222" i="1"/>
  <c r="AD221" i="1"/>
  <c r="AI221" i="1" s="1"/>
  <c r="AI220" i="1"/>
  <c r="AJ220" i="1" s="1"/>
  <c r="AD220" i="1"/>
  <c r="AD219" i="1"/>
  <c r="AD218" i="1"/>
  <c r="AJ217" i="1"/>
  <c r="AI217" i="1"/>
  <c r="AD217" i="1"/>
  <c r="AI216" i="1"/>
  <c r="AJ216" i="1" s="1"/>
  <c r="AD216" i="1"/>
  <c r="AD215" i="1"/>
  <c r="AD214" i="1"/>
  <c r="AD213" i="1"/>
  <c r="AI213" i="1" s="1"/>
  <c r="AD212" i="1"/>
  <c r="AJ211" i="1"/>
  <c r="AD211" i="1"/>
  <c r="AI211" i="1" s="1"/>
  <c r="AI210" i="1"/>
  <c r="AD210" i="1"/>
  <c r="AD209" i="1"/>
  <c r="AJ208" i="1"/>
  <c r="AI208" i="1"/>
  <c r="AD208" i="1"/>
  <c r="AJ207" i="1"/>
  <c r="AI207" i="1"/>
  <c r="AD207" i="1"/>
  <c r="AD206" i="1"/>
  <c r="AD205" i="1"/>
  <c r="AI204" i="1"/>
  <c r="AJ204" i="1" s="1"/>
  <c r="AD204" i="1"/>
  <c r="AD203" i="1"/>
  <c r="AI203" i="1" s="1"/>
  <c r="AD202" i="1"/>
  <c r="AJ201" i="1"/>
  <c r="AI201" i="1"/>
  <c r="AD201" i="1"/>
  <c r="AI200" i="1"/>
  <c r="AJ200" i="1" s="1"/>
  <c r="AD200" i="1"/>
  <c r="AD199" i="1"/>
  <c r="AI199" i="1" s="1"/>
  <c r="AD198" i="1"/>
  <c r="AI198" i="1" s="1"/>
  <c r="AJ198" i="1" s="1"/>
  <c r="AD197" i="1"/>
  <c r="AI197" i="1" s="1"/>
  <c r="AD196" i="1"/>
  <c r="AD195" i="1"/>
  <c r="AI195" i="1" s="1"/>
  <c r="AJ195" i="1" s="1"/>
  <c r="AD194" i="1"/>
  <c r="AD193" i="1"/>
  <c r="AJ192" i="1"/>
  <c r="AI192" i="1"/>
  <c r="AD192" i="1"/>
  <c r="AJ191" i="1"/>
  <c r="AI191" i="1"/>
  <c r="AD191" i="1"/>
  <c r="AD190" i="1"/>
  <c r="AD189" i="1"/>
  <c r="AI189" i="1" s="1"/>
  <c r="AJ188" i="1"/>
  <c r="AI188" i="1"/>
  <c r="AD188" i="1"/>
  <c r="AD187" i="1"/>
  <c r="AI187" i="1" s="1"/>
  <c r="AJ187" i="1" s="1"/>
  <c r="AD186" i="1"/>
  <c r="AJ185" i="1"/>
  <c r="AI185" i="1"/>
  <c r="AD185" i="1"/>
  <c r="AI184" i="1"/>
  <c r="AJ184" i="1" s="1"/>
  <c r="AD184" i="1"/>
  <c r="AD183" i="1"/>
  <c r="AD182" i="1"/>
  <c r="AD181" i="1"/>
  <c r="AI181" i="1" s="1"/>
  <c r="AD180" i="1"/>
  <c r="AJ179" i="1"/>
  <c r="AD179" i="1"/>
  <c r="AI179" i="1" s="1"/>
  <c r="AD178" i="1"/>
  <c r="AD177" i="1"/>
  <c r="AJ176" i="1"/>
  <c r="AI176" i="1"/>
  <c r="AD176" i="1"/>
  <c r="AJ175" i="1"/>
  <c r="AI175" i="1"/>
  <c r="AD175" i="1"/>
  <c r="AD174" i="1"/>
  <c r="AD173" i="1"/>
  <c r="AJ172" i="1"/>
  <c r="AI172" i="1"/>
  <c r="AD172" i="1"/>
  <c r="AD171" i="1"/>
  <c r="AD170" i="1"/>
  <c r="AI169" i="1"/>
  <c r="AJ169" i="1" s="1"/>
  <c r="AD169" i="1"/>
  <c r="AI168" i="1"/>
  <c r="AJ168" i="1" s="1"/>
  <c r="AD168" i="1"/>
  <c r="AD167" i="1"/>
  <c r="AD166" i="1"/>
  <c r="AI166" i="1" s="1"/>
  <c r="AJ166" i="1" s="1"/>
  <c r="AJ165" i="1"/>
  <c r="AD165" i="1"/>
  <c r="AI165" i="1" s="1"/>
  <c r="AD164" i="1"/>
  <c r="AD163" i="1"/>
  <c r="AI163" i="1" s="1"/>
  <c r="AJ163" i="1" s="1"/>
  <c r="AD162" i="1"/>
  <c r="AD161" i="1"/>
  <c r="AJ160" i="1"/>
  <c r="AI160" i="1"/>
  <c r="AD160" i="1"/>
  <c r="AI159" i="1"/>
  <c r="AJ159" i="1" s="1"/>
  <c r="AD159" i="1"/>
  <c r="AI158" i="1"/>
  <c r="AJ158" i="1" s="1"/>
  <c r="AD158" i="1"/>
  <c r="AD157" i="1"/>
  <c r="AI157" i="1" s="1"/>
  <c r="AI156" i="1"/>
  <c r="AJ156" i="1" s="1"/>
  <c r="AD156" i="1"/>
  <c r="AD155" i="1"/>
  <c r="AI155" i="1" s="1"/>
  <c r="AJ155" i="1" s="1"/>
  <c r="AD154" i="1"/>
  <c r="AJ153" i="1"/>
  <c r="AI153" i="1"/>
  <c r="AD153" i="1"/>
  <c r="AI152" i="1"/>
  <c r="AJ152" i="1" s="1"/>
  <c r="AD152" i="1"/>
  <c r="AD151" i="1"/>
  <c r="AD150" i="1"/>
  <c r="AD149" i="1"/>
  <c r="AI149" i="1" s="1"/>
  <c r="AD148" i="1"/>
  <c r="AD147" i="1"/>
  <c r="AI147" i="1" s="1"/>
  <c r="AI146" i="1"/>
  <c r="AD146" i="1"/>
  <c r="AD145" i="1"/>
  <c r="AJ144" i="1"/>
  <c r="AI144" i="1"/>
  <c r="AD144" i="1"/>
  <c r="AI143" i="1"/>
  <c r="AJ143" i="1" s="1"/>
  <c r="AD143" i="1"/>
  <c r="AD142" i="1"/>
  <c r="AD141" i="1"/>
  <c r="AI140" i="1"/>
  <c r="AJ140" i="1" s="1"/>
  <c r="AD140" i="1"/>
  <c r="AI139" i="1"/>
  <c r="AD139" i="1"/>
  <c r="AD138" i="1"/>
  <c r="AJ137" i="1"/>
  <c r="AI137" i="1"/>
  <c r="AD137" i="1"/>
  <c r="AI136" i="1"/>
  <c r="AJ136" i="1" s="1"/>
  <c r="AD136" i="1"/>
  <c r="AI135" i="1"/>
  <c r="AD135" i="1"/>
  <c r="AD134" i="1"/>
  <c r="AI134" i="1" s="1"/>
  <c r="AJ134" i="1" s="1"/>
  <c r="AD133" i="1"/>
  <c r="AI133" i="1" s="1"/>
  <c r="AD132" i="1"/>
  <c r="AD131" i="1"/>
  <c r="AI131" i="1" s="1"/>
  <c r="AJ131" i="1" s="1"/>
  <c r="AD130" i="1"/>
  <c r="AD129" i="1"/>
  <c r="AJ128" i="1"/>
  <c r="AI128" i="1"/>
  <c r="AD128" i="1"/>
  <c r="AJ127" i="1"/>
  <c r="AI127" i="1"/>
  <c r="AD127" i="1"/>
  <c r="AD126" i="1"/>
  <c r="AD125" i="1"/>
  <c r="AI125" i="1" s="1"/>
  <c r="AI124" i="1"/>
  <c r="AJ124" i="1" s="1"/>
  <c r="AD124" i="1"/>
  <c r="AJ123" i="1"/>
  <c r="AD123" i="1"/>
  <c r="AI123" i="1" s="1"/>
  <c r="AD122" i="1"/>
  <c r="AI121" i="1"/>
  <c r="AD121" i="1"/>
  <c r="AJ121" i="1" s="1"/>
  <c r="AI120" i="1"/>
  <c r="AJ120" i="1" s="1"/>
  <c r="AD120" i="1"/>
  <c r="AD119" i="1"/>
  <c r="AD118" i="1"/>
  <c r="AJ117" i="1"/>
  <c r="AD117" i="1"/>
  <c r="AI117" i="1" s="1"/>
  <c r="AD116" i="1"/>
  <c r="AD115" i="1"/>
  <c r="AI114" i="1"/>
  <c r="AD114" i="1"/>
  <c r="AD113" i="1"/>
  <c r="AI112" i="1"/>
  <c r="AJ112" i="1" s="1"/>
  <c r="AD112" i="1"/>
  <c r="AI111" i="1"/>
  <c r="AJ111" i="1" s="1"/>
  <c r="AD111" i="1"/>
  <c r="AD110" i="1"/>
  <c r="AD109" i="1"/>
  <c r="AI108" i="1"/>
  <c r="AJ108" i="1" s="1"/>
  <c r="AD108" i="1"/>
  <c r="AI107" i="1"/>
  <c r="AD107" i="1"/>
  <c r="AI106" i="1"/>
  <c r="AD106" i="1"/>
  <c r="AJ105" i="1"/>
  <c r="AI105" i="1"/>
  <c r="AD105" i="1"/>
  <c r="AI104" i="1"/>
  <c r="AJ104" i="1" s="1"/>
  <c r="AD104" i="1"/>
  <c r="AI103" i="1"/>
  <c r="AJ103" i="1" s="1"/>
  <c r="AD103" i="1"/>
  <c r="AJ102" i="1"/>
  <c r="AD102" i="1"/>
  <c r="AI102" i="1" s="1"/>
  <c r="AD101" i="1"/>
  <c r="AI100" i="1"/>
  <c r="AD100" i="1"/>
  <c r="AJ100" i="1" s="1"/>
  <c r="AD99" i="1"/>
  <c r="AI99" i="1" s="1"/>
  <c r="AJ99" i="1" s="1"/>
  <c r="AD98" i="1"/>
  <c r="AD97" i="1"/>
  <c r="AI97" i="1" s="1"/>
  <c r="AJ97" i="1" s="1"/>
  <c r="AJ96" i="1"/>
  <c r="AI96" i="1"/>
  <c r="AD96" i="1"/>
  <c r="AD95" i="1"/>
  <c r="AI94" i="1"/>
  <c r="AJ94" i="1" s="1"/>
  <c r="AD94" i="1"/>
  <c r="AD93" i="1"/>
  <c r="AI93" i="1" s="1"/>
  <c r="AD92" i="1"/>
  <c r="AI92" i="1" s="1"/>
  <c r="AJ92" i="1" s="1"/>
  <c r="AI91" i="1"/>
  <c r="AJ91" i="1" s="1"/>
  <c r="AD91" i="1"/>
  <c r="AD90" i="1"/>
  <c r="AI89" i="1"/>
  <c r="AJ89" i="1" s="1"/>
  <c r="AD89" i="1"/>
  <c r="AI88" i="1"/>
  <c r="AJ88" i="1" s="1"/>
  <c r="AD88" i="1"/>
  <c r="AD87" i="1"/>
  <c r="AJ86" i="1"/>
  <c r="AD86" i="1"/>
  <c r="AI86" i="1" s="1"/>
  <c r="AD85" i="1"/>
  <c r="AI85" i="1" s="1"/>
  <c r="AD84" i="1"/>
  <c r="AD83" i="1"/>
  <c r="AI83" i="1" s="1"/>
  <c r="AD82" i="1"/>
  <c r="AD81" i="1"/>
  <c r="AI80" i="1"/>
  <c r="AJ80" i="1" s="1"/>
  <c r="AD80" i="1"/>
  <c r="AI79" i="1"/>
  <c r="AJ79" i="1" s="1"/>
  <c r="AD79" i="1"/>
  <c r="AI78" i="1"/>
  <c r="AD78" i="1"/>
  <c r="AD77" i="1"/>
  <c r="AI76" i="1"/>
  <c r="AJ76" i="1" s="1"/>
  <c r="AD76" i="1"/>
  <c r="AD75" i="1"/>
  <c r="AD74" i="1"/>
  <c r="AJ73" i="1"/>
  <c r="AI73" i="1"/>
  <c r="AD73" i="1"/>
  <c r="AI72" i="1"/>
  <c r="AD72" i="1"/>
  <c r="AD71" i="1"/>
  <c r="AI71" i="1" s="1"/>
  <c r="AJ71" i="1" s="1"/>
  <c r="AD70" i="1"/>
  <c r="AI70" i="1" s="1"/>
  <c r="AJ70" i="1" s="1"/>
  <c r="AI69" i="1"/>
  <c r="AJ69" i="1" s="1"/>
  <c r="AD69" i="1"/>
  <c r="AJ68" i="1"/>
  <c r="AD68" i="1"/>
  <c r="AI68" i="1" s="1"/>
  <c r="AD67" i="1"/>
  <c r="AI66" i="1"/>
  <c r="AD66" i="1"/>
  <c r="AJ66" i="1" s="1"/>
  <c r="AI65" i="1"/>
  <c r="AJ65" i="1" s="1"/>
  <c r="AD65" i="1"/>
  <c r="AD64" i="1"/>
  <c r="AD63" i="1"/>
  <c r="AD62" i="1"/>
  <c r="AI62" i="1" s="1"/>
  <c r="AJ62" i="1" s="1"/>
  <c r="AD61" i="1"/>
  <c r="AD60" i="1"/>
  <c r="AI60" i="1" s="1"/>
  <c r="AJ60" i="1" s="1"/>
  <c r="AD59" i="1"/>
  <c r="AD58" i="1"/>
  <c r="AI58" i="1" s="1"/>
  <c r="AJ58" i="1" s="1"/>
  <c r="AJ57" i="1"/>
  <c r="AI57" i="1"/>
  <c r="AD57" i="1"/>
  <c r="AI56" i="1"/>
  <c r="AD56" i="1"/>
  <c r="AD55" i="1"/>
  <c r="AI55" i="1" s="1"/>
  <c r="AJ55" i="1" s="1"/>
  <c r="AD54" i="1"/>
  <c r="AI54" i="1" s="1"/>
  <c r="AJ54" i="1" s="1"/>
  <c r="AI53" i="1"/>
  <c r="AJ53" i="1" s="1"/>
  <c r="AD53" i="1"/>
  <c r="AJ52" i="1"/>
  <c r="AD52" i="1"/>
  <c r="AI52" i="1" s="1"/>
  <c r="AD51" i="1"/>
  <c r="AI50" i="1"/>
  <c r="AD50" i="1"/>
  <c r="AJ50" i="1" s="1"/>
  <c r="AI49" i="1"/>
  <c r="AJ49" i="1" s="1"/>
  <c r="AD49" i="1"/>
  <c r="AD48" i="1"/>
  <c r="AD47" i="1"/>
  <c r="AD46" i="1"/>
  <c r="AI46" i="1" s="1"/>
  <c r="AJ46" i="1" s="1"/>
  <c r="AD45" i="1"/>
  <c r="AD44" i="1"/>
  <c r="AI44" i="1" s="1"/>
  <c r="AJ44" i="1" s="1"/>
  <c r="AD43" i="1"/>
  <c r="AD42" i="1"/>
  <c r="AI42" i="1" s="1"/>
  <c r="AJ42" i="1" s="1"/>
  <c r="AJ41" i="1"/>
  <c r="AI41" i="1"/>
  <c r="AD41" i="1"/>
  <c r="AI40" i="1"/>
  <c r="AD40" i="1"/>
  <c r="AD39" i="1"/>
  <c r="AI39" i="1" s="1"/>
  <c r="AJ39" i="1" s="1"/>
  <c r="AD38" i="1"/>
  <c r="AI38" i="1" s="1"/>
  <c r="AI37" i="1"/>
  <c r="AJ37" i="1" s="1"/>
  <c r="AD37" i="1"/>
  <c r="AJ36" i="1"/>
  <c r="AD36" i="1"/>
  <c r="AI36" i="1" s="1"/>
  <c r="AD35" i="1"/>
  <c r="AI35" i="1" s="1"/>
  <c r="AJ34" i="1"/>
  <c r="AI34" i="1"/>
  <c r="AD34" i="1"/>
  <c r="AJ33" i="1"/>
  <c r="AI33" i="1"/>
  <c r="AD33" i="1"/>
  <c r="AD32" i="1"/>
  <c r="AI32" i="1" s="1"/>
  <c r="AD31" i="1"/>
  <c r="AI31" i="1" s="1"/>
  <c r="AD30" i="1"/>
  <c r="AI30" i="1" s="1"/>
  <c r="AD29" i="1"/>
  <c r="AI29" i="1" s="1"/>
  <c r="AJ29" i="1" s="1"/>
  <c r="AD28" i="1"/>
  <c r="AI28" i="1" s="1"/>
  <c r="AD27" i="1"/>
  <c r="AD26" i="1"/>
  <c r="AI26" i="1" s="1"/>
  <c r="AJ26" i="1" s="1"/>
  <c r="AJ25" i="1"/>
  <c r="AI25" i="1"/>
  <c r="AD25" i="1"/>
  <c r="AD24" i="1"/>
  <c r="AI23" i="1"/>
  <c r="AJ23" i="1" s="1"/>
  <c r="AD23" i="1"/>
  <c r="AD22" i="1"/>
  <c r="AD21" i="1"/>
  <c r="AD20" i="1"/>
  <c r="AI20" i="1" s="1"/>
  <c r="AD19" i="1"/>
  <c r="AD18" i="1"/>
  <c r="AI17" i="1"/>
  <c r="AJ17" i="1" s="1"/>
  <c r="AD17" i="1"/>
  <c r="AI16" i="1"/>
  <c r="AJ16" i="1" s="1"/>
  <c r="AD16" i="1"/>
  <c r="AI15" i="1"/>
  <c r="AD15" i="1"/>
  <c r="AJ14" i="1"/>
  <c r="AD14" i="1"/>
  <c r="AI14" i="1" s="1"/>
  <c r="AI13" i="1"/>
  <c r="AJ13" i="1" s="1"/>
  <c r="AD13" i="1"/>
  <c r="AD12" i="1"/>
  <c r="AI12" i="1" s="1"/>
  <c r="AI11" i="1"/>
  <c r="AD11" i="1"/>
  <c r="AI10" i="1"/>
  <c r="AJ10" i="1" s="1"/>
  <c r="AD10" i="1"/>
  <c r="AI9" i="1"/>
  <c r="AJ9" i="1" s="1"/>
  <c r="AD9" i="1"/>
  <c r="AI8" i="1"/>
  <c r="AJ8" i="1" s="1"/>
  <c r="AD8" i="1"/>
  <c r="AD7" i="1"/>
  <c r="AI7" i="1" s="1"/>
  <c r="AJ7" i="1" s="1"/>
  <c r="AD6" i="1"/>
  <c r="AI6" i="1" s="1"/>
  <c r="AI5" i="1"/>
  <c r="AJ5" i="1" s="1"/>
  <c r="AD5" i="1"/>
  <c r="AJ4" i="1"/>
  <c r="AD4" i="1"/>
  <c r="AI4" i="1" s="1"/>
  <c r="AI3" i="1"/>
  <c r="AD3" i="1"/>
  <c r="AJ2" i="1"/>
  <c r="AI2" i="1"/>
  <c r="AD2" i="1"/>
  <c r="AI95" i="1" l="1"/>
  <c r="AJ95" i="1" s="1"/>
  <c r="AI322" i="1"/>
  <c r="AJ322" i="1" s="1"/>
  <c r="AJ11" i="1"/>
  <c r="AJ15" i="1"/>
  <c r="AI19" i="1"/>
  <c r="AJ19" i="1" s="1"/>
  <c r="AJ31" i="1"/>
  <c r="AJ45" i="1"/>
  <c r="AI45" i="1"/>
  <c r="AI61" i="1"/>
  <c r="AJ61" i="1" s="1"/>
  <c r="AJ82" i="1"/>
  <c r="AI82" i="1"/>
  <c r="AI87" i="1"/>
  <c r="AJ87" i="1" s="1"/>
  <c r="AJ107" i="1"/>
  <c r="AJ135" i="1"/>
  <c r="AJ139" i="1"/>
  <c r="AJ147" i="1"/>
  <c r="AJ225" i="1"/>
  <c r="AI258" i="1"/>
  <c r="AJ258" i="1" s="1"/>
  <c r="AJ309" i="1"/>
  <c r="AI342" i="1"/>
  <c r="AJ342" i="1" s="1"/>
  <c r="AJ354" i="1"/>
  <c r="AI354" i="1"/>
  <c r="AI374" i="1"/>
  <c r="AJ374" i="1" s="1"/>
  <c r="AI401" i="1"/>
  <c r="AJ401" i="1" s="1"/>
  <c r="AI407" i="1"/>
  <c r="AJ407" i="1" s="1"/>
  <c r="AI77" i="1"/>
  <c r="AJ77" i="1" s="1"/>
  <c r="AI18" i="1"/>
  <c r="AJ18" i="1" s="1"/>
  <c r="AJ199" i="1"/>
  <c r="AI369" i="1"/>
  <c r="AJ369" i="1" s="1"/>
  <c r="AJ38" i="1"/>
  <c r="AI126" i="1"/>
  <c r="AJ126" i="1" s="1"/>
  <c r="AJ181" i="1"/>
  <c r="AI305" i="1"/>
  <c r="AJ305" i="1" s="1"/>
  <c r="AI324" i="1"/>
  <c r="AJ324" i="1" s="1"/>
  <c r="AJ20" i="1"/>
  <c r="AJ32" i="1"/>
  <c r="AI47" i="1"/>
  <c r="AJ47" i="1" s="1"/>
  <c r="AI51" i="1"/>
  <c r="AJ51" i="1" s="1"/>
  <c r="AI63" i="1"/>
  <c r="AJ63" i="1" s="1"/>
  <c r="AI67" i="1"/>
  <c r="AJ67" i="1" s="1"/>
  <c r="AI75" i="1"/>
  <c r="AJ75" i="1" s="1"/>
  <c r="AJ83" i="1"/>
  <c r="AI101" i="1"/>
  <c r="AJ101" i="1" s="1"/>
  <c r="AI113" i="1"/>
  <c r="AJ113" i="1" s="1"/>
  <c r="AI118" i="1"/>
  <c r="AJ118" i="1" s="1"/>
  <c r="AI150" i="1"/>
  <c r="AJ150" i="1" s="1"/>
  <c r="AI162" i="1"/>
  <c r="AJ162" i="1" s="1"/>
  <c r="AI182" i="1"/>
  <c r="AJ182" i="1" s="1"/>
  <c r="AI209" i="1"/>
  <c r="AJ209" i="1" s="1"/>
  <c r="AI215" i="1"/>
  <c r="AJ215" i="1" s="1"/>
  <c r="AI219" i="1"/>
  <c r="AJ219" i="1" s="1"/>
  <c r="AI237" i="1"/>
  <c r="AJ237" i="1" s="1"/>
  <c r="AI241" i="1"/>
  <c r="AJ241" i="1" s="1"/>
  <c r="AI260" i="1"/>
  <c r="AJ260" i="1" s="1"/>
  <c r="AI270" i="1"/>
  <c r="AJ270" i="1" s="1"/>
  <c r="AJ283" i="1"/>
  <c r="AI292" i="1"/>
  <c r="AJ292" i="1" s="1"/>
  <c r="AI302" i="1"/>
  <c r="AJ302" i="1" s="1"/>
  <c r="AI116" i="1"/>
  <c r="AJ116" i="1" s="1"/>
  <c r="AJ289" i="1"/>
  <c r="AI406" i="1"/>
  <c r="AJ406" i="1" s="1"/>
  <c r="AI194" i="1"/>
  <c r="AJ194" i="1" s="1"/>
  <c r="AI310" i="1"/>
  <c r="AJ310" i="1" s="1"/>
  <c r="AI388" i="1"/>
  <c r="AJ388" i="1" s="1"/>
  <c r="AJ35" i="1"/>
  <c r="AI214" i="1"/>
  <c r="AJ214" i="1" s="1"/>
  <c r="AI273" i="1"/>
  <c r="AJ273" i="1" s="1"/>
  <c r="AI301" i="1"/>
  <c r="AJ301" i="1" s="1"/>
  <c r="AI21" i="1"/>
  <c r="AJ21" i="1" s="1"/>
  <c r="AI84" i="1"/>
  <c r="AJ84" i="1" s="1"/>
  <c r="AI109" i="1"/>
  <c r="AJ109" i="1"/>
  <c r="AJ114" i="1"/>
  <c r="AI145" i="1"/>
  <c r="AJ145" i="1" s="1"/>
  <c r="AI151" i="1"/>
  <c r="AJ151" i="1" s="1"/>
  <c r="AI173" i="1"/>
  <c r="AJ173" i="1" s="1"/>
  <c r="AI177" i="1"/>
  <c r="AJ177" i="1" s="1"/>
  <c r="AI196" i="1"/>
  <c r="AJ196" i="1" s="1"/>
  <c r="AI206" i="1"/>
  <c r="AJ206" i="1" s="1"/>
  <c r="AI228" i="1"/>
  <c r="AJ228" i="1" s="1"/>
  <c r="AI238" i="1"/>
  <c r="AJ238" i="1" s="1"/>
  <c r="AJ357" i="1"/>
  <c r="AJ391" i="1"/>
  <c r="AJ395" i="1"/>
  <c r="AJ403" i="1"/>
  <c r="AJ203" i="1"/>
  <c r="AI24" i="1"/>
  <c r="AJ24" i="1" s="1"/>
  <c r="AI290" i="1"/>
  <c r="AJ290" i="1" s="1"/>
  <c r="AI343" i="1"/>
  <c r="AJ343" i="1" s="1"/>
  <c r="AI365" i="1"/>
  <c r="AJ365" i="1" s="1"/>
  <c r="AJ12" i="1"/>
  <c r="AI161" i="1"/>
  <c r="AJ161" i="1" s="1"/>
  <c r="AI246" i="1"/>
  <c r="AJ246" i="1" s="1"/>
  <c r="AI279" i="1"/>
  <c r="AJ279" i="1" s="1"/>
  <c r="AI366" i="1"/>
  <c r="AJ366" i="1" s="1"/>
  <c r="AI22" i="1"/>
  <c r="AJ22" i="1" s="1"/>
  <c r="AI48" i="1"/>
  <c r="AJ48" i="1" s="1"/>
  <c r="AI64" i="1"/>
  <c r="AJ64" i="1" s="1"/>
  <c r="AI132" i="1"/>
  <c r="AJ132" i="1" s="1"/>
  <c r="AI142" i="1"/>
  <c r="AJ142" i="1" s="1"/>
  <c r="AJ164" i="1"/>
  <c r="AI164" i="1"/>
  <c r="AI174" i="1"/>
  <c r="AJ174" i="1" s="1"/>
  <c r="AI404" i="1"/>
  <c r="AJ404" i="1" s="1"/>
  <c r="AI278" i="1"/>
  <c r="AJ278" i="1" s="1"/>
  <c r="AI337" i="1"/>
  <c r="AJ337" i="1" s="1"/>
  <c r="AI398" i="1"/>
  <c r="AJ398" i="1" s="1"/>
  <c r="AJ28" i="1"/>
  <c r="AJ130" i="1"/>
  <c r="AI130" i="1"/>
  <c r="AI226" i="1"/>
  <c r="AJ226" i="1" s="1"/>
  <c r="AI334" i="1"/>
  <c r="AJ334" i="1" s="1"/>
  <c r="AI356" i="1"/>
  <c r="AJ356" i="1" s="1"/>
  <c r="AJ3" i="1"/>
  <c r="AJ6" i="1"/>
  <c r="AI110" i="1"/>
  <c r="AJ110" i="1" s="1"/>
  <c r="AI115" i="1"/>
  <c r="AJ115" i="1" s="1"/>
  <c r="AJ229" i="1"/>
  <c r="AJ263" i="1"/>
  <c r="AJ267" i="1"/>
  <c r="AJ275" i="1"/>
  <c r="AI327" i="1"/>
  <c r="AJ327" i="1" s="1"/>
  <c r="AI331" i="1"/>
  <c r="AJ331" i="1" s="1"/>
  <c r="AJ353" i="1"/>
  <c r="AI386" i="1"/>
  <c r="AJ386" i="1" s="1"/>
  <c r="AI148" i="1"/>
  <c r="AJ148" i="1" s="1"/>
  <c r="AI170" i="1"/>
  <c r="AJ170" i="1" s="1"/>
  <c r="AI212" i="1"/>
  <c r="AJ212" i="1" s="1"/>
  <c r="AI234" i="1"/>
  <c r="AJ234" i="1" s="1"/>
  <c r="AJ242" i="1"/>
  <c r="AI276" i="1"/>
  <c r="AJ276" i="1" s="1"/>
  <c r="AI298" i="1"/>
  <c r="AJ298" i="1" s="1"/>
  <c r="AI340" i="1"/>
  <c r="AJ340" i="1" s="1"/>
  <c r="AJ362" i="1"/>
  <c r="AI362" i="1"/>
  <c r="AI119" i="1"/>
  <c r="AJ119" i="1" s="1"/>
  <c r="AJ129" i="1"/>
  <c r="AI178" i="1"/>
  <c r="AJ178" i="1" s="1"/>
  <c r="AI183" i="1"/>
  <c r="AJ183" i="1" s="1"/>
  <c r="AI190" i="1"/>
  <c r="AJ190" i="1" s="1"/>
  <c r="AJ231" i="1"/>
  <c r="AI242" i="1"/>
  <c r="AI247" i="1"/>
  <c r="AJ247" i="1" s="1"/>
  <c r="AI254" i="1"/>
  <c r="AJ254" i="1" s="1"/>
  <c r="AI306" i="1"/>
  <c r="AJ306" i="1" s="1"/>
  <c r="AI311" i="1"/>
  <c r="AJ311" i="1" s="1"/>
  <c r="AI318" i="1"/>
  <c r="AJ318" i="1" s="1"/>
  <c r="AI370" i="1"/>
  <c r="AJ370" i="1" s="1"/>
  <c r="AI375" i="1"/>
  <c r="AJ375" i="1" s="1"/>
  <c r="AI382" i="1"/>
  <c r="AJ382" i="1" s="1"/>
  <c r="AI27" i="1"/>
  <c r="AJ27" i="1" s="1"/>
  <c r="AJ30" i="1"/>
  <c r="AI74" i="1"/>
  <c r="AJ74" i="1" s="1"/>
  <c r="AJ78" i="1"/>
  <c r="AI81" i="1"/>
  <c r="AJ81" i="1" s="1"/>
  <c r="AJ85" i="1"/>
  <c r="AI98" i="1"/>
  <c r="AJ98" i="1" s="1"/>
  <c r="AI129" i="1"/>
  <c r="AJ133" i="1"/>
  <c r="AI141" i="1"/>
  <c r="AJ141" i="1"/>
  <c r="AJ149" i="1"/>
  <c r="AI167" i="1"/>
  <c r="AJ167" i="1" s="1"/>
  <c r="AI171" i="1"/>
  <c r="AJ171" i="1" s="1"/>
  <c r="AI193" i="1"/>
  <c r="AJ193" i="1" s="1"/>
  <c r="AJ197" i="1"/>
  <c r="AI205" i="1"/>
  <c r="AJ205" i="1" s="1"/>
  <c r="AJ213" i="1"/>
  <c r="AI231" i="1"/>
  <c r="AI235" i="1"/>
  <c r="AJ235" i="1" s="1"/>
  <c r="AI257" i="1"/>
  <c r="AJ257" i="1" s="1"/>
  <c r="AJ261" i="1"/>
  <c r="AI269" i="1"/>
  <c r="AJ269" i="1" s="1"/>
  <c r="AJ277" i="1"/>
  <c r="AI295" i="1"/>
  <c r="AJ295" i="1" s="1"/>
  <c r="AI299" i="1"/>
  <c r="AJ299" i="1" s="1"/>
  <c r="AI321" i="1"/>
  <c r="AJ321" i="1" s="1"/>
  <c r="AJ325" i="1"/>
  <c r="AI333" i="1"/>
  <c r="AJ333" i="1" s="1"/>
  <c r="AJ341" i="1"/>
  <c r="AI359" i="1"/>
  <c r="AJ359" i="1" s="1"/>
  <c r="AI363" i="1"/>
  <c r="AJ363" i="1" s="1"/>
  <c r="AI385" i="1"/>
  <c r="AJ385" i="1" s="1"/>
  <c r="AJ389" i="1"/>
  <c r="AI397" i="1"/>
  <c r="AJ397" i="1"/>
  <c r="AJ405" i="1"/>
  <c r="AJ40" i="1"/>
  <c r="AI43" i="1"/>
  <c r="AJ43" i="1" s="1"/>
  <c r="AJ56" i="1"/>
  <c r="AI59" i="1"/>
  <c r="AJ59" i="1" s="1"/>
  <c r="AJ72" i="1"/>
  <c r="AJ106" i="1"/>
  <c r="AI138" i="1"/>
  <c r="AJ138" i="1" s="1"/>
  <c r="AJ146" i="1"/>
  <c r="AJ180" i="1"/>
  <c r="AI180" i="1"/>
  <c r="AI202" i="1"/>
  <c r="AJ202" i="1" s="1"/>
  <c r="AJ210" i="1"/>
  <c r="AI244" i="1"/>
  <c r="AJ244" i="1" s="1"/>
  <c r="AJ266" i="1"/>
  <c r="AI266" i="1"/>
  <c r="AJ274" i="1"/>
  <c r="AI308" i="1"/>
  <c r="AJ308" i="1" s="1"/>
  <c r="AI330" i="1"/>
  <c r="AJ330" i="1" s="1"/>
  <c r="AJ338" i="1"/>
  <c r="AJ372" i="1"/>
  <c r="AI372" i="1"/>
  <c r="AI394" i="1"/>
  <c r="AJ394" i="1" s="1"/>
  <c r="AJ402" i="1"/>
  <c r="AJ186" i="1"/>
  <c r="AI90" i="1"/>
  <c r="AJ90" i="1" s="1"/>
  <c r="AJ93" i="1"/>
  <c r="AI122" i="1"/>
  <c r="AJ122" i="1" s="1"/>
  <c r="AJ125" i="1"/>
  <c r="AI154" i="1"/>
  <c r="AJ154" i="1" s="1"/>
  <c r="AJ157" i="1"/>
  <c r="AI186" i="1"/>
  <c r="AJ189" i="1"/>
  <c r="AI218" i="1"/>
  <c r="AJ218" i="1" s="1"/>
  <c r="AJ221" i="1"/>
  <c r="AI250" i="1"/>
  <c r="AJ250" i="1" s="1"/>
  <c r="AJ253" i="1"/>
  <c r="AI282" i="1"/>
  <c r="AJ282" i="1" s="1"/>
  <c r="AJ285" i="1"/>
  <c r="AI314" i="1"/>
  <c r="AJ314" i="1" s="1"/>
  <c r="AJ317" i="1"/>
  <c r="AI346" i="1"/>
  <c r="AJ346" i="1" s="1"/>
  <c r="AJ349" i="1"/>
  <c r="AI378" i="1"/>
  <c r="AJ378" i="1" s="1"/>
  <c r="AJ381" i="1"/>
  <c r="AI410" i="1"/>
  <c r="AJ410" i="1" s="1"/>
</calcChain>
</file>

<file path=xl/sharedStrings.xml><?xml version="1.0" encoding="utf-8"?>
<sst xmlns="http://schemas.openxmlformats.org/spreadsheetml/2006/main" count="7808" uniqueCount="1303">
  <si>
    <t>Shipper ID</t>
  </si>
  <si>
    <t>Shipper Name</t>
  </si>
  <si>
    <t>Billing Name</t>
  </si>
  <si>
    <t>TYPE</t>
  </si>
  <si>
    <t>MAIN AGENT</t>
  </si>
  <si>
    <t>ASN AGENT FOR PREPAID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</si>
  <si>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</si>
  <si>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</si>
  <si>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</si>
  <si>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</si>
  <si>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</si>
  <si>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</si>
  <si>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</si>
  <si>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</si>
  <si>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</si>
  <si>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Original Weight</t>
  </si>
  <si>
    <t>Create Time</t>
  </si>
  <si>
    <t>Delivery Date</t>
  </si>
  <si>
    <t>From City</t>
  </si>
  <si>
    <t>From Billing Zone</t>
  </si>
  <si>
    <t>Origin Hub</t>
  </si>
  <si>
    <t>L1 Name</t>
  </si>
  <si>
    <t>L2 Name</t>
  </si>
  <si>
    <t>L3 Name</t>
  </si>
  <si>
    <t>To Address</t>
  </si>
  <si>
    <t>To Postcode</t>
  </si>
  <si>
    <t>To Billing Zone</t>
  </si>
  <si>
    <t>Destination Hub</t>
  </si>
  <si>
    <t>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</si>
  <si>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</si>
  <si>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</si>
  <si>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</si>
  <si>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</si>
  <si>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</si>
  <si>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</si>
  <si>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</si>
  <si>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</si>
  <si>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</si>
  <si>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</si>
  <si>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Partner</t>
  </si>
  <si>
    <t>NVMY34535000000129</t>
  </si>
  <si>
    <t>Completed</t>
  </si>
  <si>
    <t>HERLINA BT ROSMEN</t>
  </si>
  <si>
    <t>DELIVERY_THREE_DAYS_ANYTIME</t>
  </si>
  <si>
    <t>Parcel</t>
  </si>
  <si>
    <t>STANDARD</t>
  </si>
  <si>
    <t>SMALL</t>
  </si>
  <si>
    <t>WMSIA</t>
  </si>
  <si>
    <t>KBR1-KBR1</t>
  </si>
  <si>
    <t>Sabah</t>
  </si>
  <si>
    <t>PETI SURAT 504   Sabah  91207</t>
  </si>
  <si>
    <t>EMSIA</t>
  </si>
  <si>
    <t>MM-MM</t>
  </si>
  <si>
    <t>AHMAD ASN</t>
  </si>
  <si>
    <t>NVMY34535000000185</t>
  </si>
  <si>
    <t>HASRULNAIM MHD SAAD</t>
  </si>
  <si>
    <t>Pahang</t>
  </si>
  <si>
    <t>612 KAMPUNG LAMA, FELDA LURAH BILUT, BENTONG   Pahang  28800</t>
  </si>
  <si>
    <t>KEL-KEL</t>
  </si>
  <si>
    <t>NVMY34535000000192</t>
  </si>
  <si>
    <t>PUTRI NURHANI BALQIES</t>
  </si>
  <si>
    <t>Kelantan</t>
  </si>
  <si>
    <t>LOT 824, MASJID NILAM PURI   Kelantan  16010</t>
  </si>
  <si>
    <t>1-KET-141</t>
  </si>
  <si>
    <t>NVMY34535000000191</t>
  </si>
  <si>
    <t>W. MOHD YUSUR W. DOLLAH</t>
  </si>
  <si>
    <t>KG TELOKBAYU, 17600 JELI, KELANTAN   Kelantan  17600</t>
  </si>
  <si>
    <t>1-MAC-3</t>
  </si>
  <si>
    <t>NVMY34535000000177</t>
  </si>
  <si>
    <t>WAN ABDUL SYUKUR</t>
  </si>
  <si>
    <t>Selangor</t>
  </si>
  <si>
    <t>LOT 5G-4, JALAN CENDERAWASIH 6/7 PUSAT DAERAH SEKSYE 6   Selangor  40000</t>
  </si>
  <si>
    <t>NVMY34535000000176</t>
  </si>
  <si>
    <t>AZAMI &amp; CO SDN BHD</t>
  </si>
  <si>
    <t>NVMY34535000000190</t>
  </si>
  <si>
    <t>INNURUL MARDIAH BINTI MOHAMAD</t>
  </si>
  <si>
    <t>Melaka</t>
  </si>
  <si>
    <t>KURSUS PARAMEDIC KELAS 1, SIRI 90/22 INSTITUT LATIHAN KESIHATAN ANGKATAN TENTERA, KEM TERENDAK    Melaka  my 76200</t>
  </si>
  <si>
    <t>9A-MYK-63</t>
  </si>
  <si>
    <t>NVMY34535000000173</t>
  </si>
  <si>
    <t>QAMARUL ISLAM</t>
  </si>
  <si>
    <t>NO22, BATU 8 1/2, JALAN KUALA KRAI   Kelantan  16010</t>
  </si>
  <si>
    <t>NVMY34535000000106</t>
  </si>
  <si>
    <t>NUR AMIRA HUDA</t>
  </si>
  <si>
    <t>NO 103 FELDAA TEMBANGAU 02 KEMAYAN PAHANG   Pahang  28380</t>
  </si>
  <si>
    <t>YPG-YPG</t>
  </si>
  <si>
    <t>NVMY34535000000179</t>
  </si>
  <si>
    <t>TUAN SUHAILA</t>
  </si>
  <si>
    <t>Kuala Lumpur</t>
  </si>
  <si>
    <t>A-2-4, SHAMELIN BESTARI CONDOMINIUM, JALAN 2/91A, TAMAN SHAMELIN   Kuala Lumpur  56100</t>
  </si>
  <si>
    <t>NVMY34535000000139</t>
  </si>
  <si>
    <t>FARAH ADILLA</t>
  </si>
  <si>
    <t>LARGE</t>
  </si>
  <si>
    <t>Johor</t>
  </si>
  <si>
    <t>BLOK J2, 01-07 JALAN SERI SETANGGI, TAMAN SERI SETANGGI   Johor  80250</t>
  </si>
  <si>
    <t>4-KEM-22</t>
  </si>
  <si>
    <t>NVMY34535000000140</t>
  </si>
  <si>
    <t>NVMY34535000000137</t>
  </si>
  <si>
    <t>NVMY34535000000138</t>
  </si>
  <si>
    <t>NVMY34535000000141</t>
  </si>
  <si>
    <t>NVMY34535000000143</t>
  </si>
  <si>
    <t>NVMY34535000000194</t>
  </si>
  <si>
    <t>ROHANA</t>
  </si>
  <si>
    <t>NO 62 JLN SAGA 1/6 TAMAN SAGA INDAH, MENTAKAB    Pahang  28400</t>
  </si>
  <si>
    <t>6-TMH-35</t>
  </si>
  <si>
    <t>NVMY34535000000193</t>
  </si>
  <si>
    <t>SITI KHADIJAH NURAIN BT JOHAN</t>
  </si>
  <si>
    <t>UNIVERSITI MALAYSIA KELANTAN, BEG BERKUNCI NO.100  Kelantan  Kelantan  17600</t>
  </si>
  <si>
    <t>NVMY34535000000205</t>
  </si>
  <si>
    <t>ROHANA BT NGAH</t>
  </si>
  <si>
    <t>Terengganu</t>
  </si>
  <si>
    <t>3149, TAMAN GELIGA INTAN, 24000 KEMAMAN    Terengganu  24000</t>
  </si>
  <si>
    <t>NVMY34535000000163</t>
  </si>
  <si>
    <t>WAN AZLINA</t>
  </si>
  <si>
    <t>Pulau Pinang</t>
  </si>
  <si>
    <t>KLINIK DESA THEAN TEIK JLN RU.1   Pulau Pinang  11500</t>
  </si>
  <si>
    <t>PEN-PEN</t>
  </si>
  <si>
    <t>NVMY34535000000198</t>
  </si>
  <si>
    <t>ZULKARNAIN SAHAR</t>
  </si>
  <si>
    <t>LOT 2448-5, JLN SEPAKAT, LORONG BERKAT, KPG PARIT MAHANG   Selangor  45800</t>
  </si>
  <si>
    <t>NVMY34535000000206</t>
  </si>
  <si>
    <t>NADIA SUKIRAN</t>
  </si>
  <si>
    <t>Kedah</t>
  </si>
  <si>
    <t>PERUMAHAN LADANG BATU HITAM BLOK AMB1, DIVISION BUKIT TAMPOI, BATU 16, KUALA NERANG   Kedah  06300</t>
  </si>
  <si>
    <t>NVMY34535000000212</t>
  </si>
  <si>
    <t>HALIMAH BT JAAFAR</t>
  </si>
  <si>
    <t>LOT 24566 LORONG KURNIA 5, KAMPUNG KURNIA BATU 8 JLN AIR HITAM   Johor  86000</t>
  </si>
  <si>
    <t>NVMY34535000000210</t>
  </si>
  <si>
    <t>NORSHANIZAN BINTI ALI</t>
  </si>
  <si>
    <t>NO.27 JALAN BENTARA 6, TAMAN UNGKU TUN AMINAH,   Johor  81300</t>
  </si>
  <si>
    <t>NVMY34535000000208</t>
  </si>
  <si>
    <t>NABILA</t>
  </si>
  <si>
    <t>DT 725 LORONG 15 TAMAN BUKIT TAMBUN PERDANA DURIAN TUNGGAL    Melaka  76100</t>
  </si>
  <si>
    <t>NVMY34535000000202</t>
  </si>
  <si>
    <t>NUR AFIQAH BINTI ZAKARIA</t>
  </si>
  <si>
    <t>NO.39 JLN ANGGERIK 3C/1 SEKSYEN BS7, BUKIT SENTOSA   Selangor  48300</t>
  </si>
  <si>
    <t>NVMY34535000000142</t>
  </si>
  <si>
    <t>NVMY34535000000200</t>
  </si>
  <si>
    <t>ABDUL JALIL BIN YEOP MAJLIS</t>
  </si>
  <si>
    <t>NO 63, JLN SUADAMAI 2/3, BDR TUN HUSSEIN ONN,    Selangor  43200</t>
  </si>
  <si>
    <t>NVMY34535000000227</t>
  </si>
  <si>
    <t>NURUL AZMI BIN SULAIMAN</t>
  </si>
  <si>
    <t>LOT 348 KG SEBERANG PASIR MAS SALOR  KOTA BHARU   Kelantan  15100</t>
  </si>
  <si>
    <t>NVMY34535000000218</t>
  </si>
  <si>
    <t>SITI ZARINAH BT HUSAIN</t>
  </si>
  <si>
    <t>LOT 9288, BATU 8 1/2 KAMPUNG PEREPAT, JALAN PEREPAT 16   Selangor  42200</t>
  </si>
  <si>
    <t>NVMY34535000000209</t>
  </si>
  <si>
    <t>HJH. MARIAM BT ABD GHANI</t>
  </si>
  <si>
    <t>NO.5001, RUMAH AWAM, BUKIT BERINGIN, MASJID TANAH   Melaka  78300</t>
  </si>
  <si>
    <t>NVMY34535000000186</t>
  </si>
  <si>
    <t>NOR AFIZAN ABU BAKAR</t>
  </si>
  <si>
    <t>BLOK 03-17-02, KONDO RAKYAT DESA PANTAI, PANTAI HILIPARK   Kuala Lumpur  59200</t>
  </si>
  <si>
    <t>NVMY34535000000211</t>
  </si>
  <si>
    <t>NORIDA AWANG</t>
  </si>
  <si>
    <t>NO 27 BLOK N TAMAN DATO AHMAD RAZALI   Selangor  68000</t>
  </si>
  <si>
    <t>NVMY34535000000216</t>
  </si>
  <si>
    <t>SITI HAJAR BINTI AMIR</t>
  </si>
  <si>
    <t>RHB BANK BERHAD, TANGKAK BRANCH, 351 &amp;  352 JALAN MUAR   Johor  84900</t>
  </si>
  <si>
    <t>NVMY34535000000213</t>
  </si>
  <si>
    <t>NUR AINI BT JOHARI</t>
  </si>
  <si>
    <t>222 KAMPUNG MASJID HAJI KADIR PASIR PANJANG   Terengganu  21100</t>
  </si>
  <si>
    <t>2-MRG-150</t>
  </si>
  <si>
    <t>NVMY34535000000197</t>
  </si>
  <si>
    <t>SAKINAH</t>
  </si>
  <si>
    <t>Perak</t>
  </si>
  <si>
    <t>18, HALA TASEK TIMUR 21, ANJUNG BERCHAM ELIT   Perak  31400</t>
  </si>
  <si>
    <t>NVMY34535000000214</t>
  </si>
  <si>
    <t>NUR ATIQAH BT ABDUL HADI</t>
  </si>
  <si>
    <t>SMJ TERATAI SDN BHD NO 42 JALAN NIAGA 2    Johor  81900</t>
  </si>
  <si>
    <t>NVMY34535000000225</t>
  </si>
  <si>
    <t>NOR ARNIDA BT NIZAZUDIN</t>
  </si>
  <si>
    <t>NO 8 JALAN SENTOSA 20 TAMAN DESA SENTOSA HULU LANGAT   Selangor  43100</t>
  </si>
  <si>
    <t>NVMY34535000000203</t>
  </si>
  <si>
    <t>ROZARINA GANI</t>
  </si>
  <si>
    <t>KFC EMPIRE BUILDING, EMPIRE BUILDING, JALAN HABIB HUSSEIN   Sabah  91000</t>
  </si>
  <si>
    <t>MM-XDK</t>
  </si>
  <si>
    <t>NVMY34535000000204</t>
  </si>
  <si>
    <t>ECHA RAHESSA</t>
  </si>
  <si>
    <t>LOT 1426 D LORONG SRL 3, KAMPUNG SUNGAI RAMAL LUAR, 43000 KAJANG SELANGOR   Selangor  43000</t>
  </si>
  <si>
    <t>NVMY34535000000223</t>
  </si>
  <si>
    <t>ZULHAFIZAH BT HAJI ABDUL RAHMAN</t>
  </si>
  <si>
    <t>LOT LG 69, LOWER GROUND FLOOR ALAMANDA PUTRAJAYA SHOPPING CENTRE, JLN ALAMANDA , PRESINT 1   Putrajaya  62000</t>
  </si>
  <si>
    <t>NVMY34535000000226</t>
  </si>
  <si>
    <t>NAIMAN</t>
  </si>
  <si>
    <t>NO 37, LORONG SUTERA 7, TAMAN SUTERA   Pulau Pinang  13700</t>
  </si>
  <si>
    <t>NVMY34535000000215</t>
  </si>
  <si>
    <t>NUR ASYIKIN BT ROZI</t>
  </si>
  <si>
    <t>2B-2-1, SELASIH COURT, JALAN SERI TANJUNG PINANG   Pulau Pinang  10470</t>
  </si>
  <si>
    <t>NVMY34535000000237</t>
  </si>
  <si>
    <t>AHMAD BUKHARI BIN ISMAIL</t>
  </si>
  <si>
    <t>NO 85 JALAN TJ 6/3 TAMAN TEMERLOH JAYA    Pahang  28000</t>
  </si>
  <si>
    <t>NVMY34535000000199</t>
  </si>
  <si>
    <t>MUHD RAHMAT BIN MOHD ALI LIM</t>
  </si>
  <si>
    <t>DEMISED PREMISES PLATINO A17-12 JALAN SEGENTING, TAMAN MUNSYIL IBRAHIM   Johor  81200</t>
  </si>
  <si>
    <t>NVMY34535000000235</t>
  </si>
  <si>
    <t>NVMY34535000000242</t>
  </si>
  <si>
    <t>RAJA NOR KAMILAH</t>
  </si>
  <si>
    <t>PRINTING &amp; PERCETAKAN LOT 2689 (NO.2) JLN BY PASS, PASIR PUTEH   Kelantan  16800</t>
  </si>
  <si>
    <t>NVMY34535000000233</t>
  </si>
  <si>
    <t>MUSTAQIM</t>
  </si>
  <si>
    <t>NO 23 JALAN BB 2/2 TAMAN BANTING BARU, BANTING   Selangor  42700</t>
  </si>
  <si>
    <t>NVMY34535000000241</t>
  </si>
  <si>
    <t>LIJA LASHIRA</t>
  </si>
  <si>
    <t>NO.216 BLOK 9 KERATONG 3, BANDAR TUN RAZAK   Pahang  26900</t>
  </si>
  <si>
    <t>6-MSH-41</t>
  </si>
  <si>
    <t>NVMY34535000000231</t>
  </si>
  <si>
    <t>NUR SYAFIQAH NAQIBAH</t>
  </si>
  <si>
    <t>NO7, JALAN PARANG SARI TAMAN CEMPAKA PUTIH, BATU PAHAT   Johor  83000</t>
  </si>
  <si>
    <t>NVMY34535000000232</t>
  </si>
  <si>
    <t>NOOR ANIS ADILA BINTI MOHD YUSUFF</t>
  </si>
  <si>
    <t>NO 13/110 KAMPUNG LANEH, LUBUK MERBAU, KUALA KANGSAR   Perak  33010</t>
  </si>
  <si>
    <t>PRK-PRK</t>
  </si>
  <si>
    <t>NVMY34535000000221</t>
  </si>
  <si>
    <t>SOFI SAKINAH</t>
  </si>
  <si>
    <t>LOT 2312-D JALAN RATAPAN, KG SIJANGKANG, TELOK PANGLIMA GARANG   Selangor  42500</t>
  </si>
  <si>
    <t>NVMY34535000000196</t>
  </si>
  <si>
    <t>NORHASLINDA HASSAN</t>
  </si>
  <si>
    <t>E53-1 BANGSAR INDAH, LORONG MAAROF, BANGSAR  Kuala Lumpur  Kuala Lumpur  59000</t>
  </si>
  <si>
    <t>NVMY34535000000236</t>
  </si>
  <si>
    <t>MUHAMAD AIZUDDIN BIN AZMI</t>
  </si>
  <si>
    <t>122 LORONG SALVIA 4, SALVIA BUKIT BANYAN, SUNGAI PETANI   Kedah  08000</t>
  </si>
  <si>
    <t>NVMY34535000000240</t>
  </si>
  <si>
    <t>HAMIDAH KONG PEK HWA</t>
  </si>
  <si>
    <t>KAMPUNG DUSUN, JALAN LOJI AIR, CHINI, PEKAN   Pahang  26690</t>
  </si>
  <si>
    <t>NVMY34535000000239</t>
  </si>
  <si>
    <t>LILY RAHMAN</t>
  </si>
  <si>
    <t>98 KAMPUNG SALOR BATU MELINTANG, JELI   Kelantan  17600</t>
  </si>
  <si>
    <t>NVMY34535000000244</t>
  </si>
  <si>
    <t>MUNIRA BINTI AHMAD</t>
  </si>
  <si>
    <t>73-3-7 DESA MUTIARA INDAH LBHRAYA BATU MAUNG, BATU MAUNG    Pulau Pinang  11960</t>
  </si>
  <si>
    <t>5-BAY-32</t>
  </si>
  <si>
    <t>NVMY34535000000262</t>
  </si>
  <si>
    <t>ROSALINDA LINDA</t>
  </si>
  <si>
    <t>NO 10 KG KERUNTUNG LEBU, BENTONG   Pahang  28800</t>
  </si>
  <si>
    <t>NVMY34535000000254</t>
  </si>
  <si>
    <t>NVMY34535000000260</t>
  </si>
  <si>
    <t>MOHD AZUWAN B ZYAINAL</t>
  </si>
  <si>
    <t>NO 5 JALAN AU4/6 TAMAN SRI KERAMAT TENGAH    Kuala Lumpur  54200</t>
  </si>
  <si>
    <t>NVMY34535000000257</t>
  </si>
  <si>
    <t>NURHAFIZA BT SULAIMAN</t>
  </si>
  <si>
    <t>NO 121 JALAN NO2 KAMPUNG MELAYU RAYA   Johor  85000</t>
  </si>
  <si>
    <t>NVMY34535000000263</t>
  </si>
  <si>
    <t>MUNIRA BT AHMAD</t>
  </si>
  <si>
    <t>73-7-3 DESA MUTIARA INDAH LBHRAYA BATU MAUNG   Pulau Pinang  11960</t>
  </si>
  <si>
    <t>NVMY34535000000252</t>
  </si>
  <si>
    <t>SITI FATIMAH BT AWANG ABDULLAH</t>
  </si>
  <si>
    <t>775(B) N/TO JALAN PERMATANG SG2 BUTTERWORTH   Pulau Pinang  13800</t>
  </si>
  <si>
    <t>NVMY34535000000256</t>
  </si>
  <si>
    <t>FAUZIAH CHE YA</t>
  </si>
  <si>
    <t>2-3-4 LEBUH SUNGAI ARA 1, TAMAN SRI ACRESS, BAYAN LEPAS    Pulau Pinang  11900</t>
  </si>
  <si>
    <t>NVMY34535000000255</t>
  </si>
  <si>
    <t>SHAHIRAH AZIZAN</t>
  </si>
  <si>
    <t>Perlis</t>
  </si>
  <si>
    <t>NO 4 TAMAN SEMPURNA JAYA, JALAN KAKI BUKIT BESERI   Perlis  02400</t>
  </si>
  <si>
    <t>NVMY34535000000219</t>
  </si>
  <si>
    <t>MUHAMAD FARIZ IMAM</t>
  </si>
  <si>
    <t>NO 3 TINGKAT 5 BLOK 10, PANGSAPURI TERATAI, TAMAN BUKIT SUBANG   Selangor  40160</t>
  </si>
  <si>
    <t>NVMY34535000000270</t>
  </si>
  <si>
    <t>AMIN</t>
  </si>
  <si>
    <t>KAMPUNG BUKIT SAJI, RANTAU PANJANG   Kelantan  17200</t>
  </si>
  <si>
    <t>NVMY34535000000259</t>
  </si>
  <si>
    <t>FIEYZA OSHIN</t>
  </si>
  <si>
    <t>NO 56 JLN 6 TMN PUTRA IMPIANA, PUCHONG   Selangor  47130</t>
  </si>
  <si>
    <t>NVMY34535000000288</t>
  </si>
  <si>
    <t>NOR HAMIAH BT ABDUL HAMID</t>
  </si>
  <si>
    <t>95 LORONG KETAPANG MUALIM 6, TAMAN KETAPANG MUALIM, PEKAN   Pahang  26600</t>
  </si>
  <si>
    <t>6-PKN-40</t>
  </si>
  <si>
    <t>NVMY34535000000305</t>
  </si>
  <si>
    <t>SITI ZALEHA BT RAZALI</t>
  </si>
  <si>
    <t>LOT 1315 KAMPUNG BELUKAR KUBUR, JALAN DEWAN BATU 23, MACHANG   Kelantan  18500</t>
  </si>
  <si>
    <t>NVMY34535000000291</t>
  </si>
  <si>
    <t>LOY 1315 KAMPUNG BELUKAR KUBUR JALAN DEWAN BATU 23, MACHANG   Kelantan  18500</t>
  </si>
  <si>
    <t>NVMY34535000000279</t>
  </si>
  <si>
    <t>ALIA MUSA</t>
  </si>
  <si>
    <t>NO 3 LORONG 1 KUARTERS IPD, BERA   Pahang  28300</t>
  </si>
  <si>
    <t>PHG-PHG</t>
  </si>
  <si>
    <t>NVMY34535000000300</t>
  </si>
  <si>
    <t>ZUNAIDAH MAT YASIM</t>
  </si>
  <si>
    <t>236 KAMPUNG LUBUK PERAH, WAKAF TAPAI, MARANG   Terengganu  21040</t>
  </si>
  <si>
    <t>2-AJL-9</t>
  </si>
  <si>
    <t>NVMY34535000000314</t>
  </si>
  <si>
    <t>MAZNINAA MAZLAN</t>
  </si>
  <si>
    <t>NO 4 LORONG GD 22, TAMAN GAMBANG DAMAI, GAMBANG   Pahang  26300</t>
  </si>
  <si>
    <t>6-GBG-39</t>
  </si>
  <si>
    <t>NVMY34535000000301</t>
  </si>
  <si>
    <t>SITI NORJULAIHA</t>
  </si>
  <si>
    <t>NO 14 LORONG CHENDOR BARU 1/6, PUSAT PERKHID.BANDAR BARU CHENDOR, KUANTAN   Pahang  26080</t>
  </si>
  <si>
    <t>NVMY34535000000250</t>
  </si>
  <si>
    <t>NURUL IMAN KAMARUDIN</t>
  </si>
  <si>
    <t>NO 28 LORONG PK/6 TAMAN PALMA 4   Perak  34600</t>
  </si>
  <si>
    <t>NVMY34535000000268</t>
  </si>
  <si>
    <t>FATIN JULIANA</t>
  </si>
  <si>
    <t>713 MUKIM D JALAN BHARU, BALIK PULAU   Pulau Pinang  11000</t>
  </si>
  <si>
    <t>NVMY34535000000207</t>
  </si>
  <si>
    <t>FATIN AMIRAH HASNEE</t>
  </si>
  <si>
    <t>DATARAN MAYBANK, LVL 13 TOWER A, SME BANKING, JALAN MAAROF, BANGSAR   Kuala Lumpur  59000</t>
  </si>
  <si>
    <t>NVMY34535000000308</t>
  </si>
  <si>
    <t>ROHAYA BT ABU</t>
  </si>
  <si>
    <t>PT 671, KAMPUNG SEMERTING, SIMPANG PELANGAI, BENTONG   Pahang  28740</t>
  </si>
  <si>
    <t>6-TRI-36</t>
  </si>
  <si>
    <t>NVMY34535000000274</t>
  </si>
  <si>
    <t>NURUL NAJIHAH BT JAAFAR</t>
  </si>
  <si>
    <t>1164 KAMPUNG TANJUNG GELANG MENGAMBANG TELIPOT, KUALA NERUS   Terengganu  21030</t>
  </si>
  <si>
    <t>2-KTR-8</t>
  </si>
  <si>
    <t>NVMY34535000000230</t>
  </si>
  <si>
    <t>ASYATUL MUNA BIN ZAIRI</t>
  </si>
  <si>
    <t>NO 20 KAMPUNG PASIR HITAM, MUKIM AIR HANGAT, LANGKAWI   Kedah  07000</t>
  </si>
  <si>
    <t>NVMY34535000000285</t>
  </si>
  <si>
    <t>NOR ASMA MASLIZA BT MAMAT</t>
  </si>
  <si>
    <t>A-579 KAMPUNG BARU, SEBERANG TAKIR   Terengganu  21300</t>
  </si>
  <si>
    <t>NVMY34535000000266</t>
  </si>
  <si>
    <t>NUR IZZAH ATHIRAH BT MOHD NIZAM (279482)</t>
  </si>
  <si>
    <t>UUM PARCEL CENTRE (UPC) INASIS BSN (LALUAN B) UNIVERSITI UTARA MALAYSIA, SINTOK   Kedah  06010</t>
  </si>
  <si>
    <t>NVMY34535000000264</t>
  </si>
  <si>
    <t>AMRY WAN CHIK</t>
  </si>
  <si>
    <t>NIK JAI ASSOCIATES SDN BHD SITE OFFICE TRC, JLN P8H, AYER 8   Putrajaya  62250</t>
  </si>
  <si>
    <t>NVMY34535000000267</t>
  </si>
  <si>
    <t>ANIS ADILAH LIA</t>
  </si>
  <si>
    <t>UNIVERSITI SULTAN AZLAN SHAH, PEJABAT MAJLIS PERWAKILAN MAHASISWA, BANGUNAN PENTADBIRAN, KUALA KANGSAR   Perak  33000</t>
  </si>
  <si>
    <t>NVMY34535000000312</t>
  </si>
  <si>
    <t>NORLIZAWATI BT ABDUL LATIF</t>
  </si>
  <si>
    <t>27 JALAN BAHAGIA 43, TAMAN BAHAGIA, TEMERLOH   Pahang  28000</t>
  </si>
  <si>
    <t>NVMY34535000000269</t>
  </si>
  <si>
    <t>ROZANA BT NAZARDIN</t>
  </si>
  <si>
    <t>NO 85 FELDA PAPULUT LAWIN, GERIK   Perak  33300</t>
  </si>
  <si>
    <t>NVMY34535000000318</t>
  </si>
  <si>
    <t>AYDEN ZAFRIL</t>
  </si>
  <si>
    <t>LOT 1697-B, SIMPANG 3 BELIMBING, KEDAI MULONG, KOTA BHARU   Kelantan  16010</t>
  </si>
  <si>
    <t>NVMY34535000000234</t>
  </si>
  <si>
    <t>RABIAH ADAWIYAH ISMAIL</t>
  </si>
  <si>
    <t>22(10), PANGSAPURI PERMAI PUTERA, PERMAI PUTRA, JALAN 13D, TMN DATO AHMAD RAZLI, HULU LANGAT   Selangor  68000</t>
  </si>
  <si>
    <t>NVMY34535000000258</t>
  </si>
  <si>
    <t>CHIK EJA PAKARCOWAY</t>
  </si>
  <si>
    <t>483 (SEBELAH SURAU) BLOM H MK 12 JALAN BARU BATU MAUNG, BAYAN LEPAS   Pulau Pinang  11960</t>
  </si>
  <si>
    <t>NVMY34535000000248</t>
  </si>
  <si>
    <t>HELEN HERRY</t>
  </si>
  <si>
    <t>K-9-1, PPR DESA REJANG PSRN REJANG, TMN SETAPAK JAYA   Kuala Lumpur  53300</t>
  </si>
  <si>
    <t>10-WMJ-73</t>
  </si>
  <si>
    <t>NVMY34535000000277</t>
  </si>
  <si>
    <t>EMMA BT IBRAHIM</t>
  </si>
  <si>
    <t>16 LORONG TOK SUBOH 8 TAMAN PERUMAHAN RAKYAT (PPR) TOK SUBOH, SIMPANG AMPAT   Pulau Pinang  14100</t>
  </si>
  <si>
    <t>NVMY34535000000299</t>
  </si>
  <si>
    <t>NURRUL ZAFIRAH BT MOHAMAD SAFRI</t>
  </si>
  <si>
    <t>4734 JALAN SEMPADAN 1 KG TERSUSUN BATU 6, ULU KINTA   Perak  31150</t>
  </si>
  <si>
    <t>NVMY34535000000275</t>
  </si>
  <si>
    <t>HOMESTAY ANIKA JUNAINI KOSNAN</t>
  </si>
  <si>
    <t>NO 3 JALAN MANIS 6, PARIT RAJA, BATU PAHAT   Johor  86400</t>
  </si>
  <si>
    <t>NVMY34535000000317</t>
  </si>
  <si>
    <t>ANEEZA HANIS</t>
  </si>
  <si>
    <t>F335 KG HJ MUSA, TITI SERONG, PARIT BUNTAR   Perak  34200</t>
  </si>
  <si>
    <t>NVMY34535000000303</t>
  </si>
  <si>
    <t>AFIDA HARRIS</t>
  </si>
  <si>
    <t>17 JALAN LIMAU NIPIS, TAMAN JPN, YONG PENG   Johor  83700</t>
  </si>
  <si>
    <t>NVMY34535000000245</t>
  </si>
  <si>
    <t>WANISRI</t>
  </si>
  <si>
    <t>NO 8 JALAN PUTRA INDAH 9/23 PUTRA HEIGHTS, SUBANG JAYA   Selangor  47650</t>
  </si>
  <si>
    <t>10-HGT-168</t>
  </si>
  <si>
    <t>NVMY34535000000282</t>
  </si>
  <si>
    <t>ROHANA BT HARON</t>
  </si>
  <si>
    <t>NO11 KG ALOR IBUS TEPI LAUT MUKIM TEBENGAU, KUALA KEDAH   Kedah  06600</t>
  </si>
  <si>
    <t>NVMY34535000000310</t>
  </si>
  <si>
    <t>SITI ARPAH BT SAROJI</t>
  </si>
  <si>
    <t>NO 39 JALAN WM 3A/2, BANDAR BEHRANG 2020, TANJONG MALIM   Perak  35900</t>
  </si>
  <si>
    <t>NVMY34535000000281</t>
  </si>
  <si>
    <t>SITI FARHANA BT AZMI</t>
  </si>
  <si>
    <t>A-G-03 BLOK A, PPR TEHEL, BEMBAN   Melaka  77200</t>
  </si>
  <si>
    <t>NVMY34535000000272</t>
  </si>
  <si>
    <t>AZNILAH AWANG MAHARUM</t>
  </si>
  <si>
    <t>SEK.KEB SERI KEPAYANG, FAIR PARK, IPOH   Perak  31400</t>
  </si>
  <si>
    <t>NVMY34535000000229</t>
  </si>
  <si>
    <t>FRANCA</t>
  </si>
  <si>
    <t>UNITED POINT RESIDENCE BLOCK A, WP KUALA LUMPUR   Kuala Lumpur  52100</t>
  </si>
  <si>
    <t>NVMY34535000000271</t>
  </si>
  <si>
    <t>ARNIZA TARMIZI</t>
  </si>
  <si>
    <t>BATU 10 JALAN BAGAN TENGKORAK LORONG SIANTAN 1, TANJUNG KARANA    Selangor  45500</t>
  </si>
  <si>
    <t>NVMY34535000000316</t>
  </si>
  <si>
    <t>NURLIYANA BT MD SALLEH</t>
  </si>
  <si>
    <t>LOT 1637 JLN PARIT 3 BATU 8 JLN RAJA MUSA   Selangor  45000</t>
  </si>
  <si>
    <t>NVMY34535000000280</t>
  </si>
  <si>
    <t>FATIN NABILA</t>
  </si>
  <si>
    <t>109 LORONG JUSOH JALAN BAKARIAH, MUAR   Johor  84000</t>
  </si>
  <si>
    <t>NVMY34535000000304</t>
  </si>
  <si>
    <t>NORIZAH BT YUSOFF</t>
  </si>
  <si>
    <t>202 BATU 16, AYER TAWAR   Perak  32400</t>
  </si>
  <si>
    <t>NVMY34535000000319</t>
  </si>
  <si>
    <t>NUR FATIHAH MOHD HAIZAN</t>
  </si>
  <si>
    <t>2935-D TAMAN MUHIBBAH, JALAN SULTANAH, ALOR SETAR   Kedah  05350</t>
  </si>
  <si>
    <t>NVMY34535000000265</t>
  </si>
  <si>
    <t>NURNADIA HANUM NORDIN</t>
  </si>
  <si>
    <t>JA 7363 JLN  ROS 14  TMN BUKIT TEMBAKAU, MERLIMAU   Melaka  77300</t>
  </si>
  <si>
    <t>MKZ-MKZ</t>
  </si>
  <si>
    <t>NVMY34535000000297</t>
  </si>
  <si>
    <t>NORSIAH BT AYOUB</t>
  </si>
  <si>
    <t>NO 28 JALAN DESA DUYONG 7, TAMAN DESA DUYONG, DUYONG   Melaka  75460</t>
  </si>
  <si>
    <t>NVMY34535000000249</t>
  </si>
  <si>
    <t>KHALED</t>
  </si>
  <si>
    <t>KWC FASHION MALL   Kuala Lumpur  55200</t>
  </si>
  <si>
    <t>14-SHM-119</t>
  </si>
  <si>
    <t>NVMY34535000000307</t>
  </si>
  <si>
    <t>MOHD YUSRI</t>
  </si>
  <si>
    <t>NO 15, JALAN HIJAU 6/6, PINGGIRAN LEMBAH HIJAU 6 (BLOK29) BANDAR TASIK PUTERI, RAWANG   Selangor  48020</t>
  </si>
  <si>
    <t>NVMY34535000000323</t>
  </si>
  <si>
    <t>BERKAT IDEA SERVIS</t>
  </si>
  <si>
    <t>LOT 1005 KAMPUNG BUKIT CHENDA, GUNONG, BACHOK   Kelantan  16090</t>
  </si>
  <si>
    <t>1-PTH-5</t>
  </si>
  <si>
    <t>NVMY34535000000278</t>
  </si>
  <si>
    <t>NOR SYAFIZAN BT YAHYA</t>
  </si>
  <si>
    <t>Negeri Sembilan</t>
  </si>
  <si>
    <t>NO 22 JALAN TTJS 3/6, TAMAN TUANKU JAAFAR SELATAN, SUNGAI GADUT, SEREMBAN   Negeri Sembilan  71450</t>
  </si>
  <si>
    <t>NVMY34535000000321</t>
  </si>
  <si>
    <t>ROSMARIA BT MOHD YUSOF</t>
  </si>
  <si>
    <t>42 FELDA GUNUNG BESOUT 5, SUNGKAI   Perak  35600</t>
  </si>
  <si>
    <t>NVMY34535000000306</t>
  </si>
  <si>
    <t>UMMU ATIAH</t>
  </si>
  <si>
    <t>NO 39 JLN GB 4 TMN GADONG BAHAGIA   Melaka  75250</t>
  </si>
  <si>
    <t>NVMY34535000000261</t>
  </si>
  <si>
    <t>MUHAMAD AZREE</t>
  </si>
  <si>
    <t>Sarawak</t>
  </si>
  <si>
    <t>NO 363E, LOT 6233 LORONG MATANG JAYA 14 TAMAN MATANG JAYA   Sarawak  93050</t>
  </si>
  <si>
    <t>NVMY34535000000302</t>
  </si>
  <si>
    <t>SITI MADIHAH</t>
  </si>
  <si>
    <t>B2-7-3 APT SRI SELAYANG JLN PS7, TAMAN PRIMA SELAYANG, BATU CAVES   Selangor  68100</t>
  </si>
  <si>
    <t>NVMY34535000000273</t>
  </si>
  <si>
    <t>NUR SYAMIMI BT MOHD RUDMI</t>
  </si>
  <si>
    <t>SMK JELAI (FELDA) GEMAS   Negeri Sembilan  73480</t>
  </si>
  <si>
    <t>NVMY34535000000309</t>
  </si>
  <si>
    <t>NURHAYA BT OMAR</t>
  </si>
  <si>
    <t>NO 59, PERSIARAN VENICE INTAN 13, DESA MANJUNG RAYA,SERI MANJUNG   Perak  32040</t>
  </si>
  <si>
    <t>NVMY34535000000313</t>
  </si>
  <si>
    <t>ASMAH BT HASHIM</t>
  </si>
  <si>
    <t>NO 41 TAMAN SEROJA, BENUS, BENTONG   Pahang  28700</t>
  </si>
  <si>
    <t>14A-BEN-104</t>
  </si>
  <si>
    <t>NVMY34535000000286</t>
  </si>
  <si>
    <t>ZACK AMIRZAH</t>
  </si>
  <si>
    <t>NO 1040 JALAN KEDIDI 3, TAMAN PAROI JAYA, SEREMBAN   Negeri Sembilan  70400</t>
  </si>
  <si>
    <t>NVMY34535000000296</t>
  </si>
  <si>
    <t>AFIFAH HALIM</t>
  </si>
  <si>
    <t>22 JALAN MELATI INDAH 4, TAMAN MELATI INDAH, SEREMBAN   Negeri Sembilan  70400</t>
  </si>
  <si>
    <t>NVMY34535000000294</t>
  </si>
  <si>
    <t>ASMIDAH IDRIS</t>
  </si>
  <si>
    <t>PT4434 JLN TS 1/4 TAMAN SEMARAK, NILAI   Negeri Sembilan  71800</t>
  </si>
  <si>
    <t>NVMY34535000000201</t>
  </si>
  <si>
    <t>MUHAMMAD IQMAL</t>
  </si>
  <si>
    <t>NO 26 JALAN TASEK 10 BANDAR SERI ALAM   Johor  81750</t>
  </si>
  <si>
    <t>NVMY34535000000251</t>
  </si>
  <si>
    <t>SITI FATIMAH MOHD SHAIDI</t>
  </si>
  <si>
    <t>RUMAH TERES NO 4 KAMPUNG SUANGAN OFF LORONG KINARUT JAYA 1, KINARUT, PAPAR   Sabah  89500</t>
  </si>
  <si>
    <t>15-PPR-122</t>
  </si>
  <si>
    <t>NVMY34535000000332</t>
  </si>
  <si>
    <t>NIEY</t>
  </si>
  <si>
    <t>LOT 1970 KG  TOOH, TUMPAT   Kelantan  16210</t>
  </si>
  <si>
    <t>1-WKB-7</t>
  </si>
  <si>
    <t>NVMY34535000000333</t>
  </si>
  <si>
    <t>TUAN SHAHLAWANI</t>
  </si>
  <si>
    <t>115 KAMPUNG PADANG LUAR, KUALA TERENGGANU   Terengganu  my 20400</t>
  </si>
  <si>
    <t>2-PYG-170</t>
  </si>
  <si>
    <t>NVMY34535000000238</t>
  </si>
  <si>
    <t>NOR ASHIKIN BT RAMLI</t>
  </si>
  <si>
    <t>NO4, JALAN MASJID SULTAN 40A/KS 13 PERIGINENAS, PULAU INDAH   Selangor  42920</t>
  </si>
  <si>
    <t>11-PKL-82</t>
  </si>
  <si>
    <t>NVMY34535000000326</t>
  </si>
  <si>
    <t>IZZA</t>
  </si>
  <si>
    <t>NO.22 JLN MELOR, TMN PERTAMA, SABAK BERNAM   Selangor  45200</t>
  </si>
  <si>
    <t>NVMY34535000000246</t>
  </si>
  <si>
    <t>NOOR ASYIKIN BT SALIHIN</t>
  </si>
  <si>
    <t>NO 5 LOT 9772 JALAN MERANTI 9 KAMPUNG SUNGAI RASAU PULAU MERANTI7120, PUCHONG   Selangor  47120</t>
  </si>
  <si>
    <t>11-PUC-80</t>
  </si>
  <si>
    <t>NVMY34535000000334</t>
  </si>
  <si>
    <t>NIK AMIRUL AFFENDI BIN SHARIFUDDIN</t>
  </si>
  <si>
    <t>NO 4 LOT 182 JLN PEJABAT, TANAH MERAH   Kelantan  my 17500</t>
  </si>
  <si>
    <t>NVMY34535000000287</t>
  </si>
  <si>
    <t>NORAINI ARIIFIN</t>
  </si>
  <si>
    <t>NO 8 JLN CEMPAKA 17, TMN ROS MEWAH, SEREMBAN   Negeri Sembilan  70450</t>
  </si>
  <si>
    <t>NVMY34535000000315</t>
  </si>
  <si>
    <t>MICHELE ANAK BENNY D/A JESICA ANAK SAMUEL</t>
  </si>
  <si>
    <t>SUBLOT 68, GROUND FLOOR, PREMIER 101 COMMERCIAL CENTRE, JALAN TUN JUGAH, KUCHING  Sarawak  Sarawak  93350</t>
  </si>
  <si>
    <t>NVMY34535000000341</t>
  </si>
  <si>
    <t>NURUL ADILAH AFIQAH BT MAZLAN</t>
  </si>
  <si>
    <t>B5 PERUMAHAN KILANG FELCRA PEKAN TAJAU, SIMPANG JENGKA, MARAN   Pahang  26500</t>
  </si>
  <si>
    <t>NVMY34535000000328</t>
  </si>
  <si>
    <t>NUR HIDAYAH</t>
  </si>
  <si>
    <t>NO 19 JALAN TANJUNG TENTERAM 30/21C, TAMAN IMPIAN SUTERA, SEKSYEN 30, SHAH ALAM   Selangor  40460</t>
  </si>
  <si>
    <t>NVMY34535000000336</t>
  </si>
  <si>
    <t>SITI SARAH HASAN</t>
  </si>
  <si>
    <t>NO 12 JALAN TJ 11 TAMAN TEKAH JAYA, TAIPING   Perak  my 34000</t>
  </si>
  <si>
    <t>NVMY34535000000329</t>
  </si>
  <si>
    <t>NUR HANAN</t>
  </si>
  <si>
    <t>NO 10 PT1129 JLN MOHAMED PERAK 4, TAMAN DESA KPMP KAMPONG GAJAH   Perak  36800</t>
  </si>
  <si>
    <t>NVMY34535000000331</t>
  </si>
  <si>
    <t>SITI NOORNI AMIRAH BT ZAKI</t>
  </si>
  <si>
    <t>KOPERASI UITM KEDAI NO 7 KOMPLET TOK GAJAH UITM CAWANGAN PAHANG KAMPUS JENGKA, BANDAR JENGKA   Pahang  26400</t>
  </si>
  <si>
    <t>NVMY34535000000357</t>
  </si>
  <si>
    <t>NORASMAWANI BT ABD AZIZ</t>
  </si>
  <si>
    <t>3139 KG TELUK PASU, KUALA TERENGGANU   Terengganu  21200</t>
  </si>
  <si>
    <t>NVMY34535000000243</t>
  </si>
  <si>
    <t>DIEYA ABDULLAH</t>
  </si>
  <si>
    <t>VEO CONDOMINIUM BLOCK B-6-6 JALAN KUARZA 1, KL EAST TAMAN MELATI SETAPAK   Kuala Lumpur  53100</t>
  </si>
  <si>
    <t>NVMY34535000000338</t>
  </si>
  <si>
    <t>HAFIZAH ABDUL SALAM</t>
  </si>
  <si>
    <t>LOT 1322 KG MAT KILAU 1, JERANTUT   Pahang  27000</t>
  </si>
  <si>
    <t>NVMY34535000000330</t>
  </si>
  <si>
    <t>YUSNI HARUN</t>
  </si>
  <si>
    <t>LORONG KG BABA LAH BATU 2 3/4 PASIR PUTEH, BACHANG   Melaka  75350</t>
  </si>
  <si>
    <t>NVMY34535000000322</t>
  </si>
  <si>
    <t>NURUL AFIQAH BT WAHID</t>
  </si>
  <si>
    <t>BRAVO FORCE RESOURCES SDN BHD NO 1 6-1A, JALAN PERDANA 6/6, PANDAN PERDANA   Kuala Lumpur  55300</t>
  </si>
  <si>
    <t>NVMY34535000000325</t>
  </si>
  <si>
    <t>SITI SHUHADA BT KAMALI</t>
  </si>
  <si>
    <t>LOT 1394 JALAN AMAN, KAMPUNG JAYA SETIA , BATANG BERJUNTAI   Selangor  45600</t>
  </si>
  <si>
    <t>NVMY34535000000320</t>
  </si>
  <si>
    <t>FILLISTINA JOUDI</t>
  </si>
  <si>
    <t>LOT 2. 58, 2nd Floor, Kompleks Karamunsing, Jalan Tunku Abdul Rahman, 88300,  Kota Kinabalu, Sabah   Sabah  88300</t>
  </si>
  <si>
    <t>NVMY34535000000342</t>
  </si>
  <si>
    <t>TISSOUNDRA</t>
  </si>
  <si>
    <t>NO 10 TAMAN INTAN, JALAN BAHAGIA 25, TEMERLOH   Pahang  28000</t>
  </si>
  <si>
    <t>NVMY34535000000195</t>
  </si>
  <si>
    <t>AZIE</t>
  </si>
  <si>
    <t>NUMBER 36 JALAN PJS 3/46 TAMAN SRI MANJA SQUARE ONE PETALING UTAMA    Selangor  46000</t>
  </si>
  <si>
    <t>10-SUN-77</t>
  </si>
  <si>
    <t>NVMY34535000000217</t>
  </si>
  <si>
    <t>AISHAH SUPIAN</t>
  </si>
  <si>
    <t>NO 5, LOT 33869 JALAN KEMBOJA BATU 13 1/2 KAMPUNG SUNGAI SERDANG, KAPAR KLANG   Selangor  42200</t>
  </si>
  <si>
    <t>12-MRU-90</t>
  </si>
  <si>
    <t>NVMY34535000000276</t>
  </si>
  <si>
    <t>NORAINI ATAN</t>
  </si>
  <si>
    <t>NO 12 LOT 7942 BT 18 KG SG TANGKAS JLN BANGI   Selangor  43000</t>
  </si>
  <si>
    <t>NVMY34535000000335</t>
  </si>
  <si>
    <t>ABD SAMAD BIN JAILANI</t>
  </si>
  <si>
    <t>SP 304, JLN DIMENSI 13, TMN DIMENSI, ALOR GAJAH    Melaka  78000</t>
  </si>
  <si>
    <t>NVMY34535000000295</t>
  </si>
  <si>
    <t>NINA ZAHARI</t>
  </si>
  <si>
    <t>MEDIUM</t>
  </si>
  <si>
    <t>10 JALAN PRIMA  7/18 AMANSARA, TAMAN PUCHONG PRIMA, PUCHONG   Selangor  47150</t>
  </si>
  <si>
    <t>NVMY34535000000362</t>
  </si>
  <si>
    <t>MOHD SYAHIDDAN BIN KHAIRIL ANWAR</t>
  </si>
  <si>
    <t>LOT 4200/A, KG, DARAT SEKOLAH BESERAH, KUANTAN   Pahang  26100</t>
  </si>
  <si>
    <t>NVMY34535000000346</t>
  </si>
  <si>
    <t>ADIK SYAMIMIE FAMIZ</t>
  </si>
  <si>
    <t>NO 25 B BLOK 2 JALAN HANG TUAH FELDA AIR TAWAR 5, KOTA TINGGI   Johor  81920</t>
  </si>
  <si>
    <t>NVMY34535000000353</t>
  </si>
  <si>
    <t>AINA SAFF CAYUNK</t>
  </si>
  <si>
    <t>LOT 1656 KG BATAS LINTANG, SPG AMPAT   Perlis  02700</t>
  </si>
  <si>
    <t>NVMY34535000000405</t>
  </si>
  <si>
    <t>AZMAN IBRAHIM</t>
  </si>
  <si>
    <t>JG 31 A, JLN ABD RAHMAN TALIB, KG JAYA GADING , 26070 KUANTAN, PAHANG   Pahang  26070</t>
  </si>
  <si>
    <t>NVMY34535000000401</t>
  </si>
  <si>
    <t>NOOR IWANI BT MAT YUSUFF</t>
  </si>
  <si>
    <t>NO 306 JALAN PANTAI, 22300 KUALA BESUT, TERENGGANU.   Terengganu  22300</t>
  </si>
  <si>
    <t>1-JTH-6</t>
  </si>
  <si>
    <t>NVMY34535000000385</t>
  </si>
  <si>
    <t>SALWA</t>
  </si>
  <si>
    <t>NO. 258 LORONG 4 TAMAN PERMAI, KERATONG 4, 26900 BANDAR TUN RAZAK, PAHANG   Pahang  26900</t>
  </si>
  <si>
    <t>NVMY34535000000351</t>
  </si>
  <si>
    <t>SYAZWANI GHAZALI</t>
  </si>
  <si>
    <t>C-3-18 RUMAH PANGSA KOS RENDAH, TAMAN BAYU MUTIARA, BUKIT MERTAJAM   Pulau Pinang  14000</t>
  </si>
  <si>
    <t>NVMY34535000000383</t>
  </si>
  <si>
    <t>NOR BINTI YUSOP</t>
  </si>
  <si>
    <t>NO 5 RE4, TAMAN RAMBAI EMAS, BUKIT RAMBAI 75250 MELAKA   Melaka  75250</t>
  </si>
  <si>
    <t>NVMY34535000000397</t>
  </si>
  <si>
    <t>NURUL AMANI FATIHAH BT SAIMI</t>
  </si>
  <si>
    <t>NO 259, PENEMPATAN SEMULA NELAYAN TOK BALI, 16700 PASIR PUTEH, KELANTAN   Kelantan  16700</t>
  </si>
  <si>
    <t>NVMY34535000000358</t>
  </si>
  <si>
    <t>ZAKIAH HANIM BT AZIZ</t>
  </si>
  <si>
    <t>LOT 114 BATU 29 PENGAKALAN RAJA, PEKAN NENAS   Johor  81500</t>
  </si>
  <si>
    <t>NVMY34535000000352</t>
  </si>
  <si>
    <t>QHYRA</t>
  </si>
  <si>
    <t>25 JALAN TAWAS MEWAH 9A, IPOH   Perak  31200</t>
  </si>
  <si>
    <t>NVMY34535000000368</t>
  </si>
  <si>
    <t>MUHAMMAD SHAHHAMIERUL</t>
  </si>
  <si>
    <t>NO 7E-00-04 JALAN WAWASAN 2/3 AKASIA APARTMENR PUSAT BANDAR PUCHONG, PUCHONG   Selangor  47160</t>
  </si>
  <si>
    <t>NVMY34535000000354</t>
  </si>
  <si>
    <t>FARAHAINA CAYUNK</t>
  </si>
  <si>
    <t>BLOK A16, NO B103, KOLEJ KEDIAMAN PELAJAR, UNIVERSITI TUN HUSSEIN ONN MALAYSIA, HUB PENDIDIKAN PAGOH, JALAN PANCHOR, PAGOH   Johor  84600</t>
  </si>
  <si>
    <t>NVMY34535000000350</t>
  </si>
  <si>
    <t>MOHD ZULKEPLI</t>
  </si>
  <si>
    <t>NO 171 JALAN KENANGA 6/8 PERSIARAN AMANJAYA 7 BANDAR AMANJAYA, SUNGAI PETANI   Kedah  08000</t>
  </si>
  <si>
    <t>NVMY34535000000365</t>
  </si>
  <si>
    <t>SUNITA BT ABDULLAH</t>
  </si>
  <si>
    <t>NO 10 LORONG 2, TAMAN MARAN JAYA, MARAN   Pahang  26500</t>
  </si>
  <si>
    <t>6-JKA-142</t>
  </si>
  <si>
    <t>NVMY34535000000345</t>
  </si>
  <si>
    <t>ATIKAH HUSNA</t>
  </si>
  <si>
    <t>NO 7 JLN PUTRA PERDANA 3/21 TAMAN PUTRA PERDANA, PUCHONG   Selangor  47130</t>
  </si>
  <si>
    <t>NVMY34535000000375</t>
  </si>
  <si>
    <t>MAKHTAR BIN TAHIR</t>
  </si>
  <si>
    <t>LOT 4575 KG BUKIT GREBAR, BINTANG , SETIU   Terengganu  22030</t>
  </si>
  <si>
    <t>NVMY34535000000292</t>
  </si>
  <si>
    <t>SHAHIRAN BIN OOM</t>
  </si>
  <si>
    <t>NO 4 JETY MARBLE, PEJABAT JALAN PANTAI DATO SYED OMAR KUAH, LANGKAWI   Kedah  07000</t>
  </si>
  <si>
    <t>NVMY34535000000390</t>
  </si>
  <si>
    <t>NORHAFIZAH BT SHAFIE</t>
  </si>
  <si>
    <t>NO 8 JALAN ENGGANG TIMUR 9, TAMAN SRI KERAMAT, 54200 WILAYAH KUALA LUMPUR   Kuala Lumpur  54200</t>
  </si>
  <si>
    <t>MM-Prio</t>
  </si>
  <si>
    <t>NVMY34535000000373</t>
  </si>
  <si>
    <t>HAIKAL AQASHA</t>
  </si>
  <si>
    <t>BLOCK- B 11B-10 SAVILLE KAJANG, JALAN REKO, KAJANG   Selangor  43000</t>
  </si>
  <si>
    <t>NVMY34535000000391</t>
  </si>
  <si>
    <t>NAJWATUL ATIRA SHUHAIMI</t>
  </si>
  <si>
    <t>NO 11 KAMPUNG KEPALA GAJAH 22020 JERTEH, TERENGGANU   Terengganu  22020</t>
  </si>
  <si>
    <t>NVMY34535000000380</t>
  </si>
  <si>
    <t>AHMAD ISMAIL ALIF BIN ABDUL MAJID</t>
  </si>
  <si>
    <t>NO 41 FELDA TENANG, JERTIH   Terengganu  22010</t>
  </si>
  <si>
    <t>NVMY34535000000376</t>
  </si>
  <si>
    <t>HAZIZI</t>
  </si>
  <si>
    <t>NO 86 JALAN FASA 1C, TAMAN MURNI PERDANA, PAKA   Terengganu  23100</t>
  </si>
  <si>
    <t>NVMY34535000000349</t>
  </si>
  <si>
    <t>IZLAN HELMI</t>
  </si>
  <si>
    <t>99 LOT 15411 KG JAYA, BATU 2, JLN AIR PUTIH, KEMAMAN   Terengganu  24000</t>
  </si>
  <si>
    <t>NVMY34535000000359</t>
  </si>
  <si>
    <t>PIRDAUS BT CHE GHANI</t>
  </si>
  <si>
    <t>NO 31 JALAN 9/144 A TAMAN BUKIR CHERAS   Kuala Lumpur  56000</t>
  </si>
  <si>
    <t>NVMY34535000000355</t>
  </si>
  <si>
    <t>FARIS SALMAN</t>
  </si>
  <si>
    <t>147 JLN BUNGA DAHLIA 10, TMN AMAN, SENAI   Johor  81400</t>
  </si>
  <si>
    <t>NVMY34535000000408</t>
  </si>
  <si>
    <t>RAMLAH YUSOF</t>
  </si>
  <si>
    <t>FARMASI AL FALAH, B28 JLN KG PADANG 3, KM 13 JLN SG LEMBING 25200 KUANTAN, PAHANG   Pahang  25200</t>
  </si>
  <si>
    <t>6-KUA-33</t>
  </si>
  <si>
    <t>NVMY34535000000386</t>
  </si>
  <si>
    <t>NOR ZALIFAH MAT ALI</t>
  </si>
  <si>
    <t>NO. 15 JALAN TEMBUSU 7, TAMAN JEJAWI, 02600 ARAU, PERLIS   Perlis  02600</t>
  </si>
  <si>
    <t>NVMY34535000000374</t>
  </si>
  <si>
    <t>MOHAMAD ZULHELMY BIN CHE FUAD</t>
  </si>
  <si>
    <t>NO 24B TAMAN SETIA FASA 1B, ALOR SETAR   Kedah  05050</t>
  </si>
  <si>
    <t>NVMY34535000000363</t>
  </si>
  <si>
    <t>MOHD WAHIYA BIN CHE GHANI</t>
  </si>
  <si>
    <t>NO 67 RKT KESEDAR SUNGAI ASAP 1B, GUA MUSANG   Kelantan  18300</t>
  </si>
  <si>
    <t>1A-GUA-106</t>
  </si>
  <si>
    <t>NVMY34535000000396</t>
  </si>
  <si>
    <t>SITI AISYAH AISYAH</t>
  </si>
  <si>
    <t>NO 8, KAMPUNG KELIAN BATU BESAR, SIK 08200 KEDAH   Kedah  08200</t>
  </si>
  <si>
    <t>NVMY34535000000387</t>
  </si>
  <si>
    <t>HARINY HERMAN</t>
  </si>
  <si>
    <t>817 PANGSAPURI SERI INDAH, JALAN TAMAN SUNGAI BESI INDAH, 43300 SERI KEMBANGAN, SELANGOR   Selangor  43300</t>
  </si>
  <si>
    <t>NVMY34535000000381</t>
  </si>
  <si>
    <t>SHAHILA</t>
  </si>
  <si>
    <t>NO 14, TAMAN SRI JENALIN, KG JAWA 85000 SEGAMAT, JOHOR   Johor  85000</t>
  </si>
  <si>
    <t>NVMY34535000000399</t>
  </si>
  <si>
    <t>Munira Binti Ahmad</t>
  </si>
  <si>
    <t>73-3-7 Desa Mutiara Indah Lbhraya Batu Maung 11960 Batu Maung Pulau Pinang   Pulau Pinang  11960</t>
  </si>
  <si>
    <t>NVMY34535000000395</t>
  </si>
  <si>
    <t>FADZLIANA BINTI ARIF</t>
  </si>
  <si>
    <t>114 TAMAN KELANA, JALAN KELANA 3/1, JALAN LANGGAR 05300 ALOR SETAR, KEDAH   Kedah  05300</t>
  </si>
  <si>
    <t>NVMY34535000000382</t>
  </si>
  <si>
    <t>NUR HIDAYAH BT IBRAHIM</t>
  </si>
  <si>
    <t>A-2-35, APT TERATAI JALAN BUNGA RAYA 1, TAMAN BUNGA RAYA, BUKIT BERUNTUNG, 48300 SELANGOR   Selangor  48300</t>
  </si>
  <si>
    <t>NVMY34535000000392</t>
  </si>
  <si>
    <t>NORMASITAH ABIDIN</t>
  </si>
  <si>
    <t>LOT 5678C JALAN SUNGAI BATU KAMPUNG, SUNGAI BATU 34900 PANTAI REMIS, PERAK   Perak  34900</t>
  </si>
  <si>
    <t>8-ATW-138</t>
  </si>
  <si>
    <t>NVMY34535000000389</t>
  </si>
  <si>
    <t>SITI NURSABRINA BT ZULKIFLI</t>
  </si>
  <si>
    <t>NO 250A, LORONG PEREMBA 3, TAMAN ANGGERIK 2, 05050 ALOR SETAR, KEDAH   Kedah  05050</t>
  </si>
  <si>
    <t>NVMY34535000000404</t>
  </si>
  <si>
    <t>Azaliza bt Ajit</t>
  </si>
  <si>
    <t>No 59,kuaters kesedar, RKT kesedar Paloh 01, 18300 gua musang, Kelantan   Kelantan  18300</t>
  </si>
  <si>
    <t>NVMY34535000000378</t>
  </si>
  <si>
    <t>SYAMIL</t>
  </si>
  <si>
    <t>MILLAHANA PULUT KEDAH NO 128A KAMPUNG BERAPIT TIKAM BATU, SUNGAI PETANI   Kedah  08600</t>
  </si>
  <si>
    <t>NVMY34535000000339</t>
  </si>
  <si>
    <t>SYED NOR</t>
  </si>
  <si>
    <t>NO 13 JALAN UP 3/1 JALAN UK PERDANA, TAMAN UK PERDANA, AMPANG   Selangor  68000</t>
  </si>
  <si>
    <t>NVMY34535000000364</t>
  </si>
  <si>
    <t>ABY</t>
  </si>
  <si>
    <t>C-06-01, EMERALD AVENUE, JALAN PS 11, PRIMA SELAYANG, BATU CAVES   Selangor  68100</t>
  </si>
  <si>
    <t>12-SLG-95</t>
  </si>
  <si>
    <t>NVMY34535000000398</t>
  </si>
  <si>
    <t>Suliza BT Shukri</t>
  </si>
  <si>
    <t>lorong 84 taman derdap Sik Kedah 08200   Kedah  08200</t>
  </si>
  <si>
    <t>NVMY34535000000253</t>
  </si>
  <si>
    <t>NORLIZA BT IBRAHIM</t>
  </si>
  <si>
    <t>NO 22 JALAN JAMBU 9 TAMAN KOTA MASAI, PASIR GUDANG   Johor  81700</t>
  </si>
  <si>
    <t>NVMY34535000000289</t>
  </si>
  <si>
    <t>AZILAH BT JOKARIAH</t>
  </si>
  <si>
    <t>NO 6 JALAN MUTIARA EMAS 10/7 AUSTIN RESIDENCE, JOHOR BAHRU   Johor  81100</t>
  </si>
  <si>
    <t>NVMY34535000000228</t>
  </si>
  <si>
    <t>ZURA NATALYA</t>
  </si>
  <si>
    <t>NO 36 JALAN PJS 4/10 TAMAN INDAH JAYA    Selangor  46000</t>
  </si>
  <si>
    <t>NVMY34535000000324</t>
  </si>
  <si>
    <t>FAIREEZAL EFFENDI BIN ZAINAL AZIAN</t>
  </si>
  <si>
    <t>55-72 JALAN MASJID, KG. SOEHARTO, 44010 KUALA KUBU BARU, SELANGOR   Selangor  44010</t>
  </si>
  <si>
    <t>NVMY34535000000372</t>
  </si>
  <si>
    <t>MUHAMAD ASYRAF</t>
  </si>
  <si>
    <t>NO 70 KAMPUNG TENGAH LESUNG TUJUH, PADANG SERAI   Kedah  09400</t>
  </si>
  <si>
    <t>NVMY34535000000393</t>
  </si>
  <si>
    <t>NOORMALINA BT SOBRI</t>
  </si>
  <si>
    <t>A22, KG TEBOK JLN KUALA SEPETANG   Perak  34750</t>
  </si>
  <si>
    <t>NVMY34535000000290</t>
  </si>
  <si>
    <t>IZZATI ABU BAKAR</t>
  </si>
  <si>
    <t>NO 8 KAW PERNIAGAAN BUKIT KEPAYANG, BERA   Pahang  28200</t>
  </si>
  <si>
    <t>NVMY34535000000435</t>
  </si>
  <si>
    <t>NOR ASMA MASLIZA BINTI MAMAT</t>
  </si>
  <si>
    <t>A-579 KAMPUNG BARU,  SEBERANG TAKIR,   Terengganu  21300</t>
  </si>
  <si>
    <t>NVMY34535000000410</t>
  </si>
  <si>
    <t>WAN MUHAMMAD ADNIN BIN WAN ISMAIL</t>
  </si>
  <si>
    <t>PEJABAT FELDA TECHNOPLANT BELARA, KUALA NERUS 21050 TERENGGANU   Terengganu  21050</t>
  </si>
  <si>
    <t>2-STU-11</t>
  </si>
  <si>
    <t>NVMY34535000000415</t>
  </si>
  <si>
    <t>FARZIANA BT ZAWAWI</t>
  </si>
  <si>
    <t>D 334 B KG PULAU RUSA 20050 KUALA TERENGGANU    Terengganu  20050</t>
  </si>
  <si>
    <t>NVMY34535000000412</t>
  </si>
  <si>
    <t>MOHD ASWADI BIN HUSSIN</t>
  </si>
  <si>
    <t>LOT 717 KAMPUNG TERSUSUN TALANG, KUALA KANGSAR 33000 PERAK   Perak  33000</t>
  </si>
  <si>
    <t>8-SAR-49</t>
  </si>
  <si>
    <t>NVMY34535000000409</t>
  </si>
  <si>
    <t>AZHAR BIN OTHMAN</t>
  </si>
  <si>
    <t>NO 15, JALAN 2 TAMAN BERNAM JAYA 45200 SABAK BERNAM SELANGOR DARUL EHSAN   Selangor  45200</t>
  </si>
  <si>
    <t>NVMY34535000000430</t>
  </si>
  <si>
    <t>MOHD RIZUAN BIN JAMALUDIN</t>
  </si>
  <si>
    <t>NO C03 FELDA LEPAR UTARA 1, BANDAR JENGKA   Pahang  26400</t>
  </si>
  <si>
    <t>NVMY34535000000360</t>
  </si>
  <si>
    <t>CHE ZAINAB BT CHE GHANI</t>
  </si>
  <si>
    <t>NO 1 JALAN 4/7M SEKSYEN 4, BANDAR BARU BANGI   Selangor  43650</t>
  </si>
  <si>
    <t>NVMY34535000000371</t>
  </si>
  <si>
    <t>NOOR BAIZURA</t>
  </si>
  <si>
    <t>799, LORONG PERINDUSTRIAN BUKIT MINYAK 7, KAWASAN PERINDUSTRIAN BUKIR MINYAK, SIMPANG AMPAT   Pulau Pinang  14100</t>
  </si>
  <si>
    <t>NVMY34535000000394</t>
  </si>
  <si>
    <t>SHIEDA JUHARI (INTAN)</t>
  </si>
  <si>
    <t>MRSM GEMENCHEH, KM37 JALAN TAMPIN GEMAS, KG SUNGAI DUA 73200 GEMENCHEH NEGERI SEMBILAN  Negeri Sembilan  Negeri Sembilan  73200</t>
  </si>
  <si>
    <t>NVMY34535000000418</t>
  </si>
  <si>
    <t>NVMY34535000000406</t>
  </si>
  <si>
    <t>Azurah binti Hashim</t>
  </si>
  <si>
    <t>Lot 370-4 solok bukit baru duyong  75460 melaka   Melaka  75460</t>
  </si>
  <si>
    <t>NVMY34535000000388</t>
  </si>
  <si>
    <t>ZAKIAH ABIDIN</t>
  </si>
  <si>
    <t>NO. C22-2 JALAN SUNGKAI KAMPUNG CEGAR, BIDOR BATANG PADANG, 35500 PERAK   Perak  35500</t>
  </si>
  <si>
    <t>NVMY34535000000220</t>
  </si>
  <si>
    <t>Returned to Sender</t>
  </si>
  <si>
    <t>ASN - Ninja Van at Pengkalan Chepa (RTS)</t>
  </si>
  <si>
    <t>JKR 2008 KUATERS MASJID AIR RAHIMIAH, KLANG  Selangor   41200</t>
  </si>
  <si>
    <t>NVMY34535000000298</t>
  </si>
  <si>
    <t>SADIAH BT ZAIDUL</t>
  </si>
  <si>
    <t>45 JLN BPP 1/1 PUSAT BANDAR PUTRA PERMAI, SERI KEMBANGAN   Selangor  43300</t>
  </si>
  <si>
    <t>NVMY34535000000347</t>
  </si>
  <si>
    <t>AQEELA AWFIEYA</t>
  </si>
  <si>
    <t>E-15-10 KL TRADERS SQUARE, 289 JLN GOMBAK KG KUANTAN, SETAPAK   Kuala Lumpur  53000</t>
  </si>
  <si>
    <t>NVMY34535000000416</t>
  </si>
  <si>
    <t>KAMARIAH DERIS</t>
  </si>
  <si>
    <t>DEPAN SEKOLAH KEBANGSAAN KAMPUNG BUKIT JERING, KUALA BALAH, JELI   Kelantan  17610</t>
  </si>
  <si>
    <t>NVMY34535000000379</t>
  </si>
  <si>
    <t>MUHAMMAD FAISZI</t>
  </si>
  <si>
    <t>MASJID BANDAR DIRAJA KLANG, JALAN PASAR, KLANG   Selangor  41400</t>
  </si>
  <si>
    <t>NVMY34535000000417</t>
  </si>
  <si>
    <t>NIK AIDA YUSNIZA</t>
  </si>
  <si>
    <t>81 JALAN TPP3/11 TAMAN PUTRA PERDANA, PUCHONG   Selangor  47130</t>
  </si>
  <si>
    <t>NVMY34535000000344</t>
  </si>
  <si>
    <t>NURUL NAZIHAH RASHID</t>
  </si>
  <si>
    <t>NO 21 JALAN TENAGA 7, TAMAN TENAGA, KAJANG   Selangor  43000</t>
  </si>
  <si>
    <t>NVMY34535000000402</t>
  </si>
  <si>
    <t>Nor Ziana Bt Aziz</t>
  </si>
  <si>
    <t>Kampung Tengah Relau 14200 Sungai Bakap Pulau Pinang   Pulau Pinang  14200</t>
  </si>
  <si>
    <t>5-SIM-30</t>
  </si>
  <si>
    <t>NVMY34535000000369</t>
  </si>
  <si>
    <t>AHMAD NAZRUL</t>
  </si>
  <si>
    <t>NO 1616-A2 KAMPUNG TEBING TINGGI BATU 9 JALAN LABU, LABU   Negeri Sembilan  71900</t>
  </si>
  <si>
    <t>9-SBN-145</t>
  </si>
  <si>
    <t>NVMY34535000000403</t>
  </si>
  <si>
    <t>NURULAIN ZULKEFLI</t>
  </si>
  <si>
    <t>No 62 B JALAN SUA BETONG LADANG ULU REMIS 81850 LAYANG-LAYANG KLUANG JOHOR   Johor  81850</t>
  </si>
  <si>
    <t>4-KLI-19</t>
  </si>
  <si>
    <t>NVMY34535000000384</t>
  </si>
  <si>
    <t>NUR HAMIZAH BINTI YAACOB</t>
  </si>
  <si>
    <t>JKR 864 QUARTERS KLINIK DESA KUBANG ULU, 14000 BUKIT MERTAJAM, PULAU PINANG   Pulau Pinang  14000</t>
  </si>
  <si>
    <t>NVMY34535000000411</t>
  </si>
  <si>
    <t>SITI AMIRA FITRAH</t>
  </si>
  <si>
    <t>KL TRADERS SQUARE, B-33A-11, BLOCK B, 99 JALAN GOMBAK, SETAPAK 53000 KUALA LUMPUR   Kuala Lumpur  53000</t>
  </si>
  <si>
    <t>NVMY34535000000413</t>
  </si>
  <si>
    <t>ANISA</t>
  </si>
  <si>
    <t>40B, JALAN LANDAK OF JLN PUDU 55100 KUALA LUMPUR   Kuala Lumpur  55100</t>
  </si>
  <si>
    <t>NVMY34535000000293</t>
  </si>
  <si>
    <t>SITI HAJAR BT ALI</t>
  </si>
  <si>
    <t>NO 5 &amp; 7 LORONG SS 13/6A, OFF JALAN SS 13/6, SUBANG JAYA INDUSTRIAL ESTATE, SUBANG JAYA   Selangor  47500</t>
  </si>
  <si>
    <t>NVMY34535000000247</t>
  </si>
  <si>
    <t>SARIMAH BT SAHARI</t>
  </si>
  <si>
    <t>HOSPITAL DAERAH DARO   Sarawak  96200</t>
  </si>
  <si>
    <t>NVMY34535000000465</t>
  </si>
  <si>
    <t>NURNISA FIRDAUS</t>
  </si>
  <si>
    <t>LOT 2367 KAMPUNG MAKAM, KEPONG   Terengganu  20050</t>
  </si>
  <si>
    <t>NVMY34535000000429</t>
  </si>
  <si>
    <t>ADY SIFU BAJU BAND 90S</t>
  </si>
  <si>
    <t>NO 17 KG PARIT JIDIN MK18, PARIT SULONG, BATU PAHAT   Johor  83500</t>
  </si>
  <si>
    <t>NVMY34535000000421</t>
  </si>
  <si>
    <t>SHERRYNA ARMANI</t>
  </si>
  <si>
    <t>BLOK D 10-5, QUARTERS KERAJAAN KLK, TANJUNG KUPANG, GELANG PATAH   Johor  81560</t>
  </si>
  <si>
    <t>NVMY34535000000467</t>
  </si>
  <si>
    <t>HAFIZAH NAZIHAH (MEKCHEKK)</t>
  </si>
  <si>
    <t>LOT 22338, TAMAN CHONANG JAYA, JALAN TENGKU OMAR   Terengganu  21300</t>
  </si>
  <si>
    <t>NVMY34535000000442</t>
  </si>
  <si>
    <t>QHAIRILFAIZIE</t>
  </si>
  <si>
    <t>30 BATU 14 1/2 JALAN PANTAI, KUALA KURAU   Perak  34350</t>
  </si>
  <si>
    <t>NVMY34535000000464</t>
  </si>
  <si>
    <t>NUR AIN BT MOHD SUBARDI</t>
  </si>
  <si>
    <t>KOLEJ KEDIAMAN 3 UNIVERSITI MALAYSIA PAHANG, LEBUHRAYA TUN RAZAK, GAMBANG, KUANTAN   Pahang  26300</t>
  </si>
  <si>
    <t>NVMY34535000000444</t>
  </si>
  <si>
    <t>MOHD SUKRI BIN MOHAMAD</t>
  </si>
  <si>
    <t>PT 29065 TAMAN DESA SOLEHAH, KAMPUNG PADANG AIR   Terengganu  21060</t>
  </si>
  <si>
    <t>NVMY34535000000434</t>
  </si>
  <si>
    <t>No11 KG ALOR IBUS TEPI LAUT MUKIM TEBENGAU, KUALA KEDAH   Kedah  06600</t>
  </si>
  <si>
    <t>NVMY34535000000463</t>
  </si>
  <si>
    <t>NINJA VAN TEMERLOH</t>
  </si>
  <si>
    <t>NO 1A, JALAN SEMANTAN 2, LURAH SEMANTAN, TEMERLOH   Pahang  28000</t>
  </si>
  <si>
    <t>NVMY34535000000432</t>
  </si>
  <si>
    <t>MIMI SUHANA KARIM</t>
  </si>
  <si>
    <t>61 JLN MATAHARI 2 TAMAN MATAHARI 2HEIGHT SENAWANG   Negeri Sembilan  70450</t>
  </si>
  <si>
    <t>NVMY34535000000436</t>
  </si>
  <si>
    <t>ATILAH BASYIRAH</t>
  </si>
  <si>
    <t>BATANG PADANG LOT 16525, JALAN BERLIAN  8/1, KG AATIN TAMBAHAN, SUNGKAI   Perak  35600</t>
  </si>
  <si>
    <t>NVMY34535000000425</t>
  </si>
  <si>
    <t>MONA MALAWATY AFZAN BT ABDUL GHANI</t>
  </si>
  <si>
    <t>NO 351 KG SENAWAR BUKIT CHANDAN, KUALA KANGSAR   Perak  33000</t>
  </si>
  <si>
    <t>NVMY34535000000433</t>
  </si>
  <si>
    <t>SHARIFAH SHAHWAL</t>
  </si>
  <si>
    <t>NO5 JALAN TEMBAGA MERAH 4 TAMAN SRI SKUDAI   Johor  81300</t>
  </si>
  <si>
    <t>4-NSJ-20</t>
  </si>
  <si>
    <t>NVMY34535000000423</t>
  </si>
  <si>
    <t>MISS ATY</t>
  </si>
  <si>
    <t xml:space="preserve"> MUTIARA FADASON BLK A-11-19 JLN 2/17 TMN FADASON    Kuala Lumpur  52000</t>
  </si>
  <si>
    <t>NVMY34535000000437</t>
  </si>
  <si>
    <t>WAN NOR DIANA</t>
  </si>
  <si>
    <t>LOT 429 JALAN SEKOLAH KAMPUNG BANDAR, BANTING, KUALA LANGAT   Selangor  42700</t>
  </si>
  <si>
    <t>NVMY34535000000422</t>
  </si>
  <si>
    <t>NVMY34535000000327</t>
  </si>
  <si>
    <t>HASBI</t>
  </si>
  <si>
    <t>NO 24 JALAN PANTAI MURNI 4 BUKIT KERINCI   Kuala Lumpur  59200</t>
  </si>
  <si>
    <t>NVMY34535000000428</t>
  </si>
  <si>
    <t>NVMY34535000000377</t>
  </si>
  <si>
    <t>MUHAMMAD SAZWAN BIN MOHD MOKSAN</t>
  </si>
  <si>
    <t>LOT 1791 LORONG HAJI MOHD AMIN KG BATU 4 1/2 JALAN KAPAR KLANG  Selangor  Selangor  42100</t>
  </si>
  <si>
    <t>NVMY34535000000443</t>
  </si>
  <si>
    <t>ZIHA</t>
  </si>
  <si>
    <t>KOLEJ MATRIKULASI JOHOR, JALAN PAYAMAS, TANGKAK   Johor  84900</t>
  </si>
  <si>
    <t>NVMY34535000000456</t>
  </si>
  <si>
    <t>MUHAMMAD ZAKIR</t>
  </si>
  <si>
    <t>A-4-4, BLK A, APT MEGAH VILLA JLN WARISAN MEGAH 1/6, KOTA WARISAN, SEPANG   Selangor  43900</t>
  </si>
  <si>
    <t>NVMY34535000000447</t>
  </si>
  <si>
    <t>MATLIFF</t>
  </si>
  <si>
    <t>2/11482 BATU TIGA JALAN GAMBANG, KUANTAN   Pahang  25150</t>
  </si>
  <si>
    <t>NVMY34535000000367</t>
  </si>
  <si>
    <t>ROSLAN BIN FAMRI</t>
  </si>
  <si>
    <t>NO 27 LOT 2105 LORONG 8, KG TENGAH TAMBAHAN KM10, GOMBAK   Selangor  53100</t>
  </si>
  <si>
    <t>NVMY34535000000424</t>
  </si>
  <si>
    <t>483 (SEBELAH SURAU) BLOK H MK 12 JALAN BARU BATU MAUNG, BAYAN LEPAS   Pulau Pinang  11960</t>
  </si>
  <si>
    <t>NVMY34535000000440</t>
  </si>
  <si>
    <t>NUN ISNORFIQAH BT ISMAIL</t>
  </si>
  <si>
    <t xml:space="preserve"> NO. AA004 GF, FLAT TAMAN KOTA CHERAS, JALAN TKC UTAMA 1, BATU 11 CHERAS   Selangor  43200</t>
  </si>
  <si>
    <t>NVMY34535000000426</t>
  </si>
  <si>
    <t>JAFERY BIN MAHLI</t>
  </si>
  <si>
    <t>NO 212 JALAN DATOK AJIBAH ABOL LORONG 26, KUCHING   Sarawak  93400</t>
  </si>
  <si>
    <t>NVMY34535000000431</t>
  </si>
  <si>
    <t>NOR AINI BT MD JUSOH</t>
  </si>
  <si>
    <t>NO 22 JALAN SERAI PERMAI 13, TAMAN SERAI PERMAI, BAGAN SERAI   Perak  34300</t>
  </si>
  <si>
    <t>8-BAG-50</t>
  </si>
  <si>
    <t>NVMY34535000000427</t>
  </si>
  <si>
    <t>ROBERT ANDAU</t>
  </si>
  <si>
    <t>BLOCK C4-0 BEVERLY HILLS APARTMENT FASA 3 JALAN BUNDUSAN PENAMPANG, KOTA KINABALU   Sabah  88300</t>
  </si>
  <si>
    <t>NVMY34535000000462</t>
  </si>
  <si>
    <t>SITI ROHANI MOHD ROSLAN</t>
  </si>
  <si>
    <t>LOT 113E KG BOHOR BATU 5 1/2 JLN HUTAN KAMPUNG, ALOR SETAR   Kedah  05350</t>
  </si>
  <si>
    <t>NVMY34535000000468</t>
  </si>
  <si>
    <t>MUHAMMAD HAZIM</t>
  </si>
  <si>
    <t>71C, JALAN LAYANG 4, TAMAN PERLING, JOHOR BAHRU   Johor  81200</t>
  </si>
  <si>
    <t>NVMY34535000000466</t>
  </si>
  <si>
    <t>MUHAMMAD IIMAN AFIQ BIN ZALALI</t>
  </si>
  <si>
    <t>MADRASAH DARUL ULUM AL-MUBARAKAH KG BATU BESAR, MUKIM TELOI, SIK KEDAH   Kedah  08200</t>
  </si>
  <si>
    <t>NVMY34535000000469</t>
  </si>
  <si>
    <t>MUHAMMAD FADHLIN BIN SAYUTI</t>
  </si>
  <si>
    <t>A-2-16 PANGSAPURI GOLDEN VILLA, JALAN TEMENGGONG  37/KS 07, TAMAN SEJAHTERA , KLANG   Selangor  41000</t>
  </si>
  <si>
    <t>NVMY34535000000460</t>
  </si>
  <si>
    <t>MOHAMAD AKEBAR BIN HASAN</t>
  </si>
  <si>
    <t>121 BLOK K MUKIM 12, TELUK TEMPOYAK, BAYAN LEPAS   Pulau Pinang  11960</t>
  </si>
  <si>
    <t>NVMY34535000000438</t>
  </si>
  <si>
    <t>FATIN NUR ATHIRAH BT BAKRI</t>
  </si>
  <si>
    <t>917-11, LORONG KAMPUNGKU SAYANG 9 BUKIT BARU   Melaka  Melaka  75150</t>
  </si>
  <si>
    <t>NVMY34535000000461</t>
  </si>
  <si>
    <t>NASHRIQ ASYRAF BIN KHAIRUDDIN</t>
  </si>
  <si>
    <t>NO 1718 LORONG LANGSAT JALAN MANGGIS, TELUK INTAN    Perak  36000</t>
  </si>
  <si>
    <t>8-TIN-53</t>
  </si>
  <si>
    <t>NVMY34535000000450</t>
  </si>
  <si>
    <t>SITIYANGKASSIM</t>
  </si>
  <si>
    <t>NO 17 JALAN KOPEMA 4, TAMAN KOPEMA ,TG KARAN   Selangor  45500</t>
  </si>
  <si>
    <t>NVMY34535000000452</t>
  </si>
  <si>
    <t>CIKOPI</t>
  </si>
  <si>
    <t>NO 45 KAMPUNG NELAYAN TELOK GONG, PELABUHAN KLANG   Selangor  42000</t>
  </si>
  <si>
    <t>NVMY34535000000458</t>
  </si>
  <si>
    <t>N.HAFIZI</t>
  </si>
  <si>
    <t>NO38 JALAN TAWAS BARU 19, TAMAN EHSAN, TASEK, IPOH   Perak  30010</t>
  </si>
  <si>
    <t>NVMY34535000000478</t>
  </si>
  <si>
    <t>TUAN SOFIA</t>
  </si>
  <si>
    <t>NO 40, LORONG 17 TAMAN MERBAU INDAH 28300 TRIANG, PAHANG   Pahang  28300</t>
  </si>
  <si>
    <t>NVMY34535000000457</t>
  </si>
  <si>
    <t>KISHEN</t>
  </si>
  <si>
    <t>NO 259 TAMAN BUKIT TEMBOK, SEREMBAN   Negeri Sembilan  70300</t>
  </si>
  <si>
    <t>NVMY34535000000454</t>
  </si>
  <si>
    <t>FATIN AMYRA LEE</t>
  </si>
  <si>
    <t>NO 19 MUTIARA VILLA, JALAN MUTIARA 7, MUTIARA HEIGHTS KAJANG   Selangor  43000</t>
  </si>
  <si>
    <t>NVMY34535000000441</t>
  </si>
  <si>
    <t>TYKHA ZULAIKHA</t>
  </si>
  <si>
    <t>508 JALAN B12, TAMAN MELAWATI   Kuala Lumpur  53100</t>
  </si>
  <si>
    <t>NVMY34535000000311</t>
  </si>
  <si>
    <t>NORMAZILA BT MOHD RATKI</t>
  </si>
  <si>
    <t>301-3-28 JALAN PLUMBUM 7/97, SHAH ALAM  Selangor  Selangor  40000</t>
  </si>
  <si>
    <t>11-KLG-83</t>
  </si>
  <si>
    <t>NVMY34535000000420</t>
  </si>
  <si>
    <t>RUMAH TERES NO 4 KAMPUNG SUANGAN OFF LORONG KINARUT JAYA 1, KINARUT    Sabah  89500</t>
  </si>
  <si>
    <t>NVMY34535000000477</t>
  </si>
  <si>
    <t>WAFA MALIK</t>
  </si>
  <si>
    <t>NO 7 JALAN BAYU, TAMAN SERI BAYU, SIMPANG RENGGAM   Johor  86200</t>
  </si>
  <si>
    <t>NVMY34535000000449</t>
  </si>
  <si>
    <t>M. FIRDAUS BIN HAJI ISMAIL</t>
  </si>
  <si>
    <t>LOT 23 (SEBELAH HONDA) KAWASAN MIEL PHASE 3, JALAN UTAS 15/7, SHAH ALAM   Selangor  40200</t>
  </si>
  <si>
    <t>NVMY34535000000470</t>
  </si>
  <si>
    <t>NURSALIZA BT MD ZIN</t>
  </si>
  <si>
    <t>NO 825, JALAN MELATI 18, TAMAN DUSUN SETIA, SEREMBAN   Negeri Sembilan  70100</t>
  </si>
  <si>
    <t>NVMY34535000000486</t>
  </si>
  <si>
    <t>NUR AZLINA KAMARUL ZAMAN</t>
  </si>
  <si>
    <t>PT 1811 LORONG 14, TAMAN SBJ PUTRA, WAKAF BHARU   Kelantan  16250</t>
  </si>
  <si>
    <t>NVMY34535000000471</t>
  </si>
  <si>
    <t>MUNIRAH</t>
  </si>
  <si>
    <t>565-3 JALAN GEDUNG LALANG 1, BUKIT RAMBAI   Melaka  75250</t>
  </si>
  <si>
    <t>NVMY34535000000337</t>
  </si>
  <si>
    <t>SHAZRINA SHAFIE</t>
  </si>
  <si>
    <t>WISMA PENYANYANG, TINGKAT 3, NO 6, JALAN EQUINE, TAMAN EQUINE, SERI KEMBANGAN   Selangor  my 43300</t>
  </si>
  <si>
    <t>NVMY34535000000473</t>
  </si>
  <si>
    <t>MUHAMAD FAIZ BIN MAT YAMME</t>
  </si>
  <si>
    <t>NO47 JLN LG3 1/45 TAMAN MURNI MAS, BUKIT CHANGGANG, BANTING   Selangor  42700</t>
  </si>
  <si>
    <t>NVMY34535000000475</t>
  </si>
  <si>
    <t>SITI AISHAH BT MOHD NORDIN</t>
  </si>
  <si>
    <t>NO 2 KG PARIT KASSAN LAPIS BUKIT GAMBIR, MUAR   Johor  84800</t>
  </si>
  <si>
    <t>NVMY34535000000445</t>
  </si>
  <si>
    <t>MAZIRA BT MAT SIN</t>
  </si>
  <si>
    <t>BLOK A-11-09 PANGSAPURI HOSPITAL AMPANG, JALAN MEWAH UTARA, AMPANG   Selangor  68000</t>
  </si>
  <si>
    <t>10-AMP-71</t>
  </si>
  <si>
    <t>NVMY34535000000476</t>
  </si>
  <si>
    <t>HADZMA HANIM</t>
  </si>
  <si>
    <t>STESEN BUROQ OIL, KAMPUNG BELANTIK (DEPAN MASJID) , SIK    Kedah  08210</t>
  </si>
  <si>
    <t>NVMY34535000000479</t>
  </si>
  <si>
    <t>ADNAN OMAR</t>
  </si>
  <si>
    <t>C-0-1 GROUND FLOOR BLOCK C MEGAN AVENUE 2, 12 JALAN YAP KWAN SENG    Kuala Lumpur  50450</t>
  </si>
  <si>
    <t>NVMY34535000000497</t>
  </si>
  <si>
    <t>NUR SHAHIDA BT ABDUL HAMID</t>
  </si>
  <si>
    <t>NO21 JALAN BI 8 TAMAN BERTAM IMPIAN    Melaka  76450</t>
  </si>
  <si>
    <t>NVMY34535000000481</t>
  </si>
  <si>
    <t>NUR FATHIA</t>
  </si>
  <si>
    <t>SU 371 JALAN INDAH 16 TAMAN INDAH, SUNGAI UDANG   Melaka  76300</t>
  </si>
  <si>
    <t>NVMY34535000000472</t>
  </si>
  <si>
    <t>MUHD AMIN SHAFIQ (MAMU)</t>
  </si>
  <si>
    <t>902-C KUARTERS PENJARA INSTITUSI PEMULIHAN DADAH JABATAN MALAYSIA, JELEBU   Negeri Sembilan  71650</t>
  </si>
  <si>
    <t>NVMY34535000000414</t>
  </si>
  <si>
    <t>SAIDANI BINTI MT SAID</t>
  </si>
  <si>
    <t>MAJLIS AGAMA ISLAM WILAYAH PERSEKUTUAN, ARAS 19 JALAN SULTAN AZLAN SHAH 51200 KUALA LUMPUR   Kuala Lumpur  52100</t>
  </si>
  <si>
    <t>NVMY34535000000482</t>
  </si>
  <si>
    <t>NORZURAIDA BT ABU BAKAR</t>
  </si>
  <si>
    <t>NO 42 JALAN JANA MULIA 5, TAMAN JANA SETIA, KAMUNTING, TAIPING   Perak  34600</t>
  </si>
  <si>
    <t>NVMY34535000000489</t>
  </si>
  <si>
    <t>KAMARIAH BINTI MUDA</t>
  </si>
  <si>
    <t>NO 35 JALAN PE 2/6 TAMAN PULAI EMAS, KANGKAR PULAI   Johor  81110</t>
  </si>
  <si>
    <t>NVMY34535000000222</t>
  </si>
  <si>
    <t>ZACK SEVEN</t>
  </si>
  <si>
    <t>A-3-301 APARTMENT SRI MENANTI JLN PJU 1A/5 ARA DAMANSARA, PETALING JAYA   Selangor  47301</t>
  </si>
  <si>
    <t>11-ARA-85</t>
  </si>
  <si>
    <t>NVMY34535000000487</t>
  </si>
  <si>
    <t>AZALIZA BT AJIT</t>
  </si>
  <si>
    <t>NO 59 KUATERS KESEDAR, RKT KESEDAR PALOH 01, GUA MUSANG   Kelantan  18300</t>
  </si>
  <si>
    <t>NVMY34535000000490</t>
  </si>
  <si>
    <t>LOT 5678C JALAN SUNGAI BATU KAMPUNG, SUNGAI BATU,  PANTAI REMIS   Perak  34900</t>
  </si>
  <si>
    <t>NVMY34535000000488</t>
  </si>
  <si>
    <t>NVMY34535000000370</t>
  </si>
  <si>
    <t>MAZLIANA  MAZLAN</t>
  </si>
  <si>
    <t>B-1-13, BLOK B, CEMPAKAPURI 4,  FASA 4, BDR BARU NILAI, NILAI   Negeri Sembilan  71800</t>
  </si>
  <si>
    <t>9-NIL-61</t>
  </si>
  <si>
    <t>NVMY34535000000366</t>
  </si>
  <si>
    <t>MOHAMAD RIDHWAN BIN MOHD ROSLI</t>
  </si>
  <si>
    <t>C-2-15 APPT MAWAR, TMN BUNGA RAYA, RAWANG   Selangor  48300</t>
  </si>
  <si>
    <t>MM-Bulky</t>
  </si>
  <si>
    <t>NVMY34535000000480</t>
  </si>
  <si>
    <t>FIZ</t>
  </si>
  <si>
    <t>SERI PUTERI KONDO, JALAN JELWAT 1, CHERAS, ROOM NUMBER 20/3   Kuala Lumpur  56000</t>
  </si>
  <si>
    <t>NVMY34535000000483</t>
  </si>
  <si>
    <t>ROZAINA BURHANUDIN</t>
  </si>
  <si>
    <t>3A-1-21, KOMPLEKS BUKIT JAMBUL JALAN RUMBIA, BAYAN LEPAS   Pulau Pinang  11900</t>
  </si>
  <si>
    <t>NVMY34535000000448</t>
  </si>
  <si>
    <t>DANIL</t>
  </si>
  <si>
    <t>BLOK B-07-13 PANGSAPURI SRI PENARA, BANDAR SRI PERMASURI, CHERAS   Kuala Lumpur  56100</t>
  </si>
  <si>
    <t>NVMY34535000000348</t>
  </si>
  <si>
    <t>ADELYN SOFIA YAZID</t>
  </si>
  <si>
    <t>INSTITUT PENDIDIKAN GURU, KAMPUS BAHASA MELAYU   Kuala Lumpur  59990</t>
  </si>
  <si>
    <t>NVMY34535000000500</t>
  </si>
  <si>
    <t>ADY SIFU BAJU BAND 80S</t>
  </si>
  <si>
    <t>NVMY34535000000524</t>
  </si>
  <si>
    <t>EMMA</t>
  </si>
  <si>
    <t>DIMAN TYRES SDN BHD 5704 GM 4939 JALAN DATOK AMAR MUKIM TANGGOL AJIL    Terengganu  21800</t>
  </si>
  <si>
    <t>NVMY34535000000517</t>
  </si>
  <si>
    <t>NUR HASWANI KAMARUDIN</t>
  </si>
  <si>
    <t xml:space="preserve"> 85 RUMAH AWAM KOS RENDAH KOTA PUTERA, BESUT   Terengganu  22200</t>
  </si>
  <si>
    <t>NVMY34535000000484</t>
  </si>
  <si>
    <t>PUAN LNDA</t>
  </si>
  <si>
    <t>MR2 06-08 SRI ACAPELLA SERVICE APARTMENT NO1 JALAN LOMPAT TINGGI 13/33 SEKSYEN 13   Selangor  40100</t>
  </si>
  <si>
    <t>NVMY34535000000537</t>
  </si>
  <si>
    <t>JUNAIDAH BINTI KAMRUDIN</t>
  </si>
  <si>
    <t>NO.5 LORONG PS 2/9 TAMAN PERMATANG SHAHBANDAR 2, BANDAR JENGKA   Pahang  26400</t>
  </si>
  <si>
    <t>NVMY34535000000546</t>
  </si>
  <si>
    <t>MUHAMMAD ZULFIKAR BIN NATA</t>
  </si>
  <si>
    <t>BATALION PERTAMA REJIMEN SEMPADAN KEM BATU 11,TANAH MERAH    Kelantan  17509</t>
  </si>
  <si>
    <t>NVMY34535000000520</t>
  </si>
  <si>
    <t>JG 31 A, JLN ABD RAHMAN TALIB, KG JAYA GADING, KUANTAN   Pahang  26070</t>
  </si>
  <si>
    <t>NVMY34535000000541</t>
  </si>
  <si>
    <t>MOHAMAD RIDZUAN BIN MUKHTAR</t>
  </si>
  <si>
    <t>LOT 4125-4136 PASARA RAYA PANTAI TIMOR JERTEH KAMPUNG TANDUK, BESUT   Terengganu  22000</t>
  </si>
  <si>
    <t>NVMY34535000000503</t>
  </si>
  <si>
    <t>FATIN SYAZWANI</t>
  </si>
  <si>
    <t>4115-14, JALAN IKHSAN, SEKSYEN 30, SHAH ALAM   Selangor  40460</t>
  </si>
  <si>
    <t>NVMY34535000000509</t>
  </si>
  <si>
    <t>FATIN AMALINA</t>
  </si>
  <si>
    <t>UNIT 505, BLK D17 JLN 4/27A SEK 2, WANGSA MAJU   Kuala Lumpur  53300</t>
  </si>
  <si>
    <t>NVMY34535000000521</t>
  </si>
  <si>
    <t>SITI MUNIRAH BT AB HALIM</t>
  </si>
  <si>
    <t>NO43 RUMAH MURAH ALOR LIINTANG 1, BESUT   Terengganu  22200</t>
  </si>
  <si>
    <t>NVMY34535000000511</t>
  </si>
  <si>
    <t>SULIZA BT SHUKRI</t>
  </si>
  <si>
    <t>LORONG 84 TAMAN DERDAP SIK   Kedah  08200</t>
  </si>
  <si>
    <t>NVMY34535000000505</t>
  </si>
  <si>
    <t>SURIA</t>
  </si>
  <si>
    <t>QRS NO 2 KUARTES PBA, MERBAU KUDUNG, SUNGAI DUA, BUTTERWORTH   Pulau Pinang  13800</t>
  </si>
  <si>
    <t>NVMY34535000000493</t>
  </si>
  <si>
    <t>NORSHAHILA BT RAHIMI</t>
  </si>
  <si>
    <t>NO 14 A LOT 2144 @ REMY 2 JALAN JASA KAMPUNG PARIT MAHANG, JERAM   Selangor  45800</t>
  </si>
  <si>
    <t>NVMY34535000000513</t>
  </si>
  <si>
    <t>NVMY34535000000564</t>
  </si>
  <si>
    <t>DEPAN SEKOLAH KEBANGSAAN KAMPUNG BUKIT JERING, 17610 KUALA BALAH, JELI   Kelantan  17610</t>
  </si>
  <si>
    <t>NVMY34535000000562</t>
  </si>
  <si>
    <t>NONIETA ZAKARIA</t>
  </si>
  <si>
    <t>LOT 002/1754, JALAN TOK MAT, KG. LUBUK PUYU LUAR, TAMAN TAS 25150 KUANTAN, PAHANG DARUL MAKMUR   Pahang  25150</t>
  </si>
  <si>
    <t>NVMY34535000000569</t>
  </si>
  <si>
    <t>MOHD SHAHRIEN AZLIZAM BIN SABUDIN</t>
  </si>
  <si>
    <t>KG DALING HILIR 27100 KUALA LIPIS, PAHANG   Pahang  27100</t>
  </si>
  <si>
    <t>NVMY34535000000504</t>
  </si>
  <si>
    <t>IKHAA</t>
  </si>
  <si>
    <t>125 TAMAN ARIF JAYA JALAN DATUK KUMBAR, ALOR SETAR   Kedah  05300</t>
  </si>
  <si>
    <t>NVMY34535000000492</t>
  </si>
  <si>
    <t>ANIZAH ALIAS</t>
  </si>
  <si>
    <t>DD2-14 BLOK DELIMA D LORONG PANGSA BAIDURI 2 CHERAS   Kuala Lumpur  56000</t>
  </si>
  <si>
    <t>NVMY34535000000494</t>
  </si>
  <si>
    <t>EIZA NORDIN</t>
  </si>
  <si>
    <t>NO.10B, TINGKAT 2, BLOK 3, FLAT IKAN, TAMAN SRI SERDANG, SERI KEMBANGAN, SERDANG   Selangor  43300</t>
  </si>
  <si>
    <t>NVMY34535000000512</t>
  </si>
  <si>
    <t>NIK DZULZILLAWATI SALLEH</t>
  </si>
  <si>
    <t>1191,KG SRI KULIM MELOR, KOTA BHARU   Kelantan  16400</t>
  </si>
  <si>
    <t>NVMY34535000000536</t>
  </si>
  <si>
    <t>ABDULLAH SYAUQI BIN BAHARUM SHAH</t>
  </si>
  <si>
    <t>PEJABAT KESIHATAN MARAN, ARAS 3 BANGUNAN PERSEKUTUAN, MARAN   Pahang  26500</t>
  </si>
  <si>
    <t>NVMY34535000000514</t>
  </si>
  <si>
    <t>SAZLINA ENA BINTI SAID</t>
  </si>
  <si>
    <t>1076 KAMPUNG SURAU LAMA PALEKBANGWAKAF BHARU, TUMPAT   Kelantan  16040</t>
  </si>
  <si>
    <t>NVMY34535000000530</t>
  </si>
  <si>
    <t>NIK NURUL ASYIRA BT AMIR</t>
  </si>
  <si>
    <t>NO 41, LORONG BUKIT RANGIN PERDANA 2/4, PERUMAHAN BUKIT RANGIN PERDANA 2, KUANTAN   Pahang  25150</t>
  </si>
  <si>
    <t>NVMY34535000000400</t>
  </si>
  <si>
    <t>AZIE-AZIE</t>
  </si>
  <si>
    <t>A-7-5,BLOK MAWAR JLN SM 1/1 SELAYANG MULIA OFF JALAN SG TUA BDR BARU SELAYANG FASA 2 68100 BATU CAVE SELANGOR  Selangor  Selangor  68100</t>
  </si>
  <si>
    <t>NVMY34535000000474</t>
  </si>
  <si>
    <t>NURUL HIDAYAH MOHD PADLI</t>
  </si>
  <si>
    <t>NO 10 JALAN PULASAN 32, TAMAN KOTA MASAI, PASIR GUDANG   Johor  81700</t>
  </si>
  <si>
    <t>NVMY34535000000554</t>
  </si>
  <si>
    <t>MOHD ALIFF</t>
  </si>
  <si>
    <t>16, JALAN SAHABAT 7, TAMAN EMAS, KLUANG   Johor  86000</t>
  </si>
  <si>
    <t>NVMY34535000000552</t>
  </si>
  <si>
    <t>TERRY ANG</t>
  </si>
  <si>
    <t>23, JALAN BACANG 25, TAMAN KOTA MASAI, PASIR GUDANG   Johor  81700</t>
  </si>
  <si>
    <t>NVMY34535000000566</t>
  </si>
  <si>
    <t>A22, KG TEBOK JLN KUALA SEPETANG 34750 MATANG TAIPING, PERAK   Perak  34750</t>
  </si>
  <si>
    <t>NVMY34535000000555</t>
  </si>
  <si>
    <t>MUHAMMAD AMRI BIN ZAKARIA</t>
  </si>
  <si>
    <t>PKU 72, LORONG NORHASHIM KAMPUNG SOLOK TANGKAK   Johor  84900</t>
  </si>
  <si>
    <t>NVMY34535000000557</t>
  </si>
  <si>
    <t>KHAIRUL ANUAR BIN ISMAIL</t>
  </si>
  <si>
    <t>NO 27 JALAN TM 6 TAMAN TANJUNG MINYAK   Melaka  75250</t>
  </si>
  <si>
    <t>NVMY34535000000526</t>
  </si>
  <si>
    <t>NO 5 RE4, TAMAN RAMBAI EMAS, BUKIT RAMBAI    Melaka  75250</t>
  </si>
  <si>
    <t>NVMY34535000000529</t>
  </si>
  <si>
    <t>MOHAMAD SYAZWAN BIN MOHAMAD</t>
  </si>
  <si>
    <t>NO.202 FASA 2C, SERI MANJUNG   Perak  32040</t>
  </si>
  <si>
    <t>NVMY34535000000525</t>
  </si>
  <si>
    <t>AZURAH BINTI HASHIM</t>
  </si>
  <si>
    <t>LOT 370-4 SOLOK BUKIT DUYONG   Melaka  75460</t>
  </si>
  <si>
    <t>NVMY34535000000508</t>
  </si>
  <si>
    <t>UNIT HEAD CREDIT RECOVERY CENTRE TERENGGANU/KELANTAN AGROBANK REGIONAL OFFICE TERENGGANU/KELANTAN (U/P: PUAN SUHAILA)</t>
  </si>
  <si>
    <t>NO. 106 JALAN SULTAN ISMAIL   Terengganu  20200</t>
  </si>
  <si>
    <t>NVMY34535000000515</t>
  </si>
  <si>
    <t>NORAZIZAH BT MOHD IDERIS</t>
  </si>
  <si>
    <t>LOT 72560 (RUMAH PANJANG 4 PINTU) PSRN KUALA PARI, KUALA PARI MENGLEMBU, IPOH   Perak  31450</t>
  </si>
  <si>
    <t>NVMY34535000000539</t>
  </si>
  <si>
    <t>NURUL NADIA</t>
  </si>
  <si>
    <t>NO.1 LALUAN UTUSAN 6, TAMAN PUSING UTUSAN, PUSING   Perak  31550</t>
  </si>
  <si>
    <t>NVMY34535000000519</t>
  </si>
  <si>
    <t>MUHAMAD ARUF BIN KUTIMIN u/p: MARLIANA BT BAKRI</t>
  </si>
  <si>
    <t>OK G7, TINGKAT 1, PINTU 3  BATALION 19,PASUKAN GERAKAN AM MARKAS BRIGED TENGAH, CHERAS   Selangor  43200</t>
  </si>
  <si>
    <t>NVMY34535000000548</t>
  </si>
  <si>
    <t>AISHAH BINTI MAHSAR</t>
  </si>
  <si>
    <t>NO 7 LORONG 3 PARIT HJ. MOHAMAD NOOR JALAN KLUANG, BATU PAHAT   Johor  83000</t>
  </si>
  <si>
    <t>NVMY34535000000573</t>
  </si>
  <si>
    <t>NURUL AFIQAH</t>
  </si>
  <si>
    <t>LOT 62320KG NASI DINGIN, KUALA BERANG, HULU TERENGGANU   Terengganu  21700</t>
  </si>
  <si>
    <t>NVMY34535000000545</t>
  </si>
  <si>
    <t>MOHAMAD SHAYRILL NIZAM BIN ABDUL SAMAD</t>
  </si>
  <si>
    <t>NO 1846 LORONG 2B/4 TAMAN SELASIH, KULIM   Kedah  09000</t>
  </si>
  <si>
    <t>5-KLM-27</t>
  </si>
  <si>
    <t>NVMY34535000000549</t>
  </si>
  <si>
    <t>SAIFUL NIZAM BIN WAHAB</t>
  </si>
  <si>
    <t>IOI BALAI BOMBA DAN PENYELAMAT BANDAR PUTRA, SEGAMAT   Johor  85000</t>
  </si>
  <si>
    <t>7-SGT-44</t>
  </si>
  <si>
    <t>NVMY34535000000561</t>
  </si>
  <si>
    <t>NVMY34535000000560</t>
  </si>
  <si>
    <t>NO 14, TAMAN SRI JENALIN, JLN SRI JENALIN, KG JAWA 85000 SEGAMAT, JOHOR   Johor  85000</t>
  </si>
  <si>
    <t>NVMY34535000000506</t>
  </si>
  <si>
    <t>NADIATUL SHIMA BT KAMARUDDIN</t>
  </si>
  <si>
    <t>2-07 BLOK K, JALAN CAMAR 13,TAMAN PERLING, JOHOR BAHRU   Johor  81200</t>
  </si>
  <si>
    <t>NVMY34535000000485</t>
  </si>
  <si>
    <t>SAHRIZAWATI BINTI MAHBAH</t>
  </si>
  <si>
    <t>PT 15281 JALAN CEMPAKA 30, TAMAN DESA CEMPAKA 2, BANDAR BARU NILAI, NILAI   Negeri Sembilan  71800</t>
  </si>
  <si>
    <t>NVMY34535000000565</t>
  </si>
  <si>
    <t>73-3-7 DESA MUTIARA INDAH, LBHRAYA BATU MAUNG, BATU MAUNG  11960 BATU MAUNG, PULAU PINANG   Pulau Pinang  11960</t>
  </si>
  <si>
    <t>NVMY34535000000542</t>
  </si>
  <si>
    <t>MOHD FUAD BIN OTHMAN</t>
  </si>
  <si>
    <t>NO22 KG BUKIT PUPOK, BATU 5, JLN MUAR, SEGAMAT   Johor  85000</t>
  </si>
  <si>
    <t>NVMY34535000000531</t>
  </si>
  <si>
    <t>ROSMIZI AB WAHAB</t>
  </si>
  <si>
    <t>NO 5 JLN KESUMA 5/1M BANDAR TASIK KESUMA, BERANANG   Selangor  43700</t>
  </si>
  <si>
    <t>NVMY34535000000538</t>
  </si>
  <si>
    <t>FAREES FIKRI ABDULLAH</t>
  </si>
  <si>
    <t>77A, JALAN UTAMA, KAMPUNG SERDANG, SITIAWAN PERAK, MANJUNG   Perak  32000</t>
  </si>
  <si>
    <t>NVMY34535000000419</t>
  </si>
  <si>
    <t>MUHAMAD SHAH BIN MD GHANI</t>
  </si>
  <si>
    <t>PONDOK PENGAWAL IPD MIRI, JALAN MIRI PUJUT, MIRI   Sarawak  98000</t>
  </si>
  <si>
    <t>NVMY34535000000516</t>
  </si>
  <si>
    <t>RASHIDAH BINTI OTHMAN</t>
  </si>
  <si>
    <t>NO.304 JALAN ANGGERIK 2/6 TAMAN ANGGERIK TENGGARA, BANDAR TENGGARA   Johor  81440</t>
  </si>
  <si>
    <t>NVMY34535000000284</t>
  </si>
  <si>
    <t>ROSLINDA ZAKARIA</t>
  </si>
  <si>
    <t>NO 9 JALAN SELASIH 6 TAMAN KEMAS, JOHOR BAHRU   Johor  81200</t>
  </si>
  <si>
    <t>NVMY34535000000533</t>
  </si>
  <si>
    <t>MOHD RASYID BIN MOHD NASIR</t>
  </si>
  <si>
    <t>NO 11 JALAN PLATINUM 7/59 SEKSYEN 7, SHAH ALAM   Selangor  40000</t>
  </si>
  <si>
    <t>NVMY34535000000522</t>
  </si>
  <si>
    <t>NORMALIZA BINTI MAAN</t>
  </si>
  <si>
    <t>NO 2 TAMAN DESA MAHKOTA RANTAU PANJANG, KULAI   Johor  81000</t>
  </si>
  <si>
    <t>NVMY34535000000527</t>
  </si>
  <si>
    <t>AZLINA MOHD SIKAS</t>
  </si>
  <si>
    <t>NO 57 JLN PULAI JAYA 3, BDR PULAI JAYA, JOHOR BHARU   Johor  81300</t>
  </si>
  <si>
    <t>NVMY34535000000568</t>
  </si>
  <si>
    <t>ABDUL HALIM B HASAN</t>
  </si>
  <si>
    <t>B9-2-2 KELUMPUK  NURI JALAN 25/56 TAMAN SETIAWANGSA    Kuala Lumpur  54200</t>
  </si>
  <si>
    <t>10-MLT-74</t>
  </si>
  <si>
    <t>NVMY34535000000567</t>
  </si>
  <si>
    <t>NVMY34535000000540</t>
  </si>
  <si>
    <t>FIKRY AKMAL</t>
  </si>
  <si>
    <t>70 MK 3 SUNGAI PINANG, BALIK PULAU   Pulau Pinang  11010</t>
  </si>
  <si>
    <t>NVMY34535000000572</t>
  </si>
  <si>
    <t>SULAIMAN BIN ABDULLAH</t>
  </si>
  <si>
    <t>NO 59, JALAN KUBUR, RPT SUNGAI TERAH, GUA MUSANG   Kelantan  18300</t>
  </si>
  <si>
    <t>NVMY34535000000575</t>
  </si>
  <si>
    <t>BALQIS HANISAH</t>
  </si>
  <si>
    <t>NO 2 LORONG SERI KENANGAN 1, TAMAN SERI KENANGAN, KUALA NERANG   Kedah  06300</t>
  </si>
  <si>
    <t>NVMY34535000000577</t>
  </si>
  <si>
    <t>SANNY IRWAN BIN MUHAMAD</t>
  </si>
  <si>
    <t>NO 66 PERSIARAN INDAH 2, TAMAN RAIA INDAH, KAMPUNG KEPAYANG   Perak  31300</t>
  </si>
  <si>
    <t>NVMY34535000000496</t>
  </si>
  <si>
    <t>AB. BOUTIQUE</t>
  </si>
  <si>
    <t>41B JALAN 3/23/A OFF JALAN GENTING KELANG TAMAN DANAU KOTA, SETAPAK   Kuala Lumpur  53000</t>
  </si>
  <si>
    <t>NVMY34535000000598</t>
  </si>
  <si>
    <t>MIRA NURAIN</t>
  </si>
  <si>
    <t>LOT 746 JLN SEK KEB BATANG MERBAU, TANAH MERAH   Kelantan  17500</t>
  </si>
  <si>
    <t>NVMY34535000000283</t>
  </si>
  <si>
    <t>NVMY34535000000553</t>
  </si>
  <si>
    <t>31, JALAN PUTRA PERDANA 5E, TAMAN PUTRA PERDANA, PUCHONG   Selangor  47130</t>
  </si>
  <si>
    <t>NVMY34535000000518</t>
  </si>
  <si>
    <t>ATIKAH AHMAD</t>
  </si>
  <si>
    <t>1507 JLN PONGSU SERIBU KEPALA BATAS   Pulau Pinang  13200</t>
  </si>
  <si>
    <t>NVMY34535000000563</t>
  </si>
  <si>
    <t>WAN NUR FAIRUZ WAN IDRIS</t>
  </si>
  <si>
    <t>NO 12 JALAN PP6/11, TAMAN PUTRA PERDANA 47130 PUCHONG, SELANGOR   Selangor  47130</t>
  </si>
  <si>
    <t>12-CJY-96</t>
  </si>
  <si>
    <t>NVMY34535000000498</t>
  </si>
  <si>
    <t>AB KADIR</t>
  </si>
  <si>
    <t>12-229 LORONG SEKOLAH KIRIJI DESA JATI 1    Pahang  26700</t>
  </si>
  <si>
    <t>NVMY34535000000571</t>
  </si>
  <si>
    <t>SURIATI BINTI KASIM</t>
  </si>
  <si>
    <t>PT 116166 HALA PEGOH 35 RPT PENGKALAN PEGOH SEBERANG LAHAT   Perak  31500</t>
  </si>
  <si>
    <t>NVMY34535000000559</t>
  </si>
  <si>
    <t>SYAHRUL AZHAR BIN MUHAMAD</t>
  </si>
  <si>
    <t>BLOK M4-407 JALAN PERSIARAN PANDAN 1, PANDAN JAYA   Kuala Lumpur  55100</t>
  </si>
  <si>
    <t>NVMY34535000000361</t>
  </si>
  <si>
    <t>SURIANNA</t>
  </si>
  <si>
    <t>3A-02 PANGSAPURI DAMAI MEWAH A, JALAN DAMAI MEWAH 2, TAMAN DAMAI MEWAH, KAJANG   Selangor  43000</t>
  </si>
  <si>
    <t>10-KAJ-68</t>
  </si>
  <si>
    <t>NVMY34535000000459</t>
  </si>
  <si>
    <t>MOHAMMAD HAFIZ BIN AZIS</t>
  </si>
  <si>
    <t>AMW SERVICES SDN BHD (NEW), NO2 JALAN ASTANA U8/88A BUKIT JELUTONG, SEKSYEN U 8 , SHAH ALAM   Selangor  40150</t>
  </si>
  <si>
    <t>NVMY34535000000558</t>
  </si>
  <si>
    <t>HAIREE</t>
  </si>
  <si>
    <t>NO.13 JLN ANGGERIK ARANDA 31/9 SEKSYEN 31 KOTA KEMUNING, SHAH ALAM   Selangor  40460</t>
  </si>
  <si>
    <t>NVMY34535000000600</t>
  </si>
  <si>
    <t>HIDAYATUL SHUHADA</t>
  </si>
  <si>
    <t>SYARIKAT SYGENTA, SRI ACAPELLA COMMERCIAL ANNEX, MR1-02-02, NO.1, JALAN LOMPAT TINGGI 13/33, SEKSYEN 13, SHAH ALAM   Selangor  40100</t>
  </si>
  <si>
    <t>NVMY34535000000532</t>
  </si>
  <si>
    <t>AZRAI</t>
  </si>
  <si>
    <t>BLOCK B-6-4, KUARTERS HOSPITAL SERDANG, JLN PUCHONG, KAJANG   Selangor  43000</t>
  </si>
  <si>
    <t>NVMY34535000000343</t>
  </si>
  <si>
    <t>NORLAILA AKMA BT MD NOOR</t>
  </si>
  <si>
    <t>LOT 6430 JLN SRI CAHAYA KG MELAYU SUBANG, SHAH ALAM   Selangor  40150</t>
  </si>
  <si>
    <t>NVMY34535000000535</t>
  </si>
  <si>
    <t>NUR FARIZAH</t>
  </si>
  <si>
    <t>A-30-16 PPAM METROPOLITAN KEPONG, JALAN LINGKARAN TENGAH 2   Kuala Lumpur  52100</t>
  </si>
  <si>
    <t>NVMY34535000000507</t>
  </si>
  <si>
    <t>ALEEYA ISKANDARIAH</t>
  </si>
  <si>
    <t>27 JALAN ANGGERIK 1D, BUKIT BERUNTUNG, RAWANG   Selangor  48300</t>
  </si>
  <si>
    <t>NVMY34535000000523</t>
  </si>
  <si>
    <t>ASMAWATI BT JUAHIR</t>
  </si>
  <si>
    <t>NO 67 RUMAH RAKYAT SELARU, KUALA POLAH   Negeri Sembilan  72000</t>
  </si>
  <si>
    <t>NVMY34535000000502</t>
  </si>
  <si>
    <t>CHE MOHAMAD SHAFIEE BIN CHE GHANI</t>
  </si>
  <si>
    <t>233 JALAN GOMBAK BATU 4 1/2, GOMBAK   Kuala Lumpur  53000</t>
  </si>
  <si>
    <t>NVMY34535000000550</t>
  </si>
  <si>
    <t>MOHD SAKRI ABDULLAH</t>
  </si>
  <si>
    <t>03-14 BLOK LM18, JLN NIBONG 48, TMN DAYA    Johor  81100</t>
  </si>
  <si>
    <t>NVMY34535000000501</t>
  </si>
  <si>
    <t>PIRDAUS BINTI CHE GHANI</t>
  </si>
  <si>
    <t>NO 31 JALAN 9/144 A TAMAN BUKIR CHERAS  Kuala Lumpur  Kuala Lumpur  56000</t>
  </si>
  <si>
    <t>NVMY34535000000579</t>
  </si>
  <si>
    <t>MOHD YUSOF BIN MOHD ARIS</t>
  </si>
  <si>
    <t>LOT53,JALAN KEMPAS KG TENGAH BT13 PUCHONG SELANGOR   Selangor  47150</t>
  </si>
  <si>
    <t>NVMY34535000000593</t>
  </si>
  <si>
    <t>JACKIE LAN</t>
  </si>
  <si>
    <t>IBU SAWAT TELEKOM MALAYSIA JALAN SAGA KAMPUNG MAK CHILI CHUKAI KEMAMAN    Terengganu  24000</t>
  </si>
  <si>
    <t>NVMY34535000000620</t>
  </si>
  <si>
    <t>MOHD HISHAMUDDIN</t>
  </si>
  <si>
    <t>NVMY34535000000588</t>
  </si>
  <si>
    <t>HASRUL NIZAM BIN AHMAD JAMIL</t>
  </si>
  <si>
    <t>NO 93 LOT 6821 KG BARU 2, BATU 7 JALAN KEBUN KLANG   Selangor  42450</t>
  </si>
  <si>
    <t>NVMY34535000000624</t>
  </si>
  <si>
    <t>ZAHIRAH</t>
  </si>
  <si>
    <t>NO 11 LORONG PELINDUNG PERDANA 2 TAMAN BESERAH BAYU    Pahang  26100</t>
  </si>
  <si>
    <t>6-BLK-169</t>
  </si>
  <si>
    <t>NVMY34535000000581</t>
  </si>
  <si>
    <t>ALIZAH BT RAJUDDIN</t>
  </si>
  <si>
    <t>BLOK F LEVEL 1/10 APARTMENT SRI NELAYAN PORT KLANG    Selangor  42000</t>
  </si>
  <si>
    <t>NVMY34535000000615</t>
  </si>
  <si>
    <t>MOHAMAD SHAFIQ BIN ALI</t>
  </si>
  <si>
    <t>D1/173 TAMAN MEDAN JAYA, RUSILA, MARANG   Terengganu  21080</t>
  </si>
  <si>
    <t>NVMY34535000000578</t>
  </si>
  <si>
    <t>RUZAINI BIN MOHAMAD</t>
  </si>
  <si>
    <t>NO 16 ,JALAN TMS5 , TAMAN TANJUNG MINYAK SETIA ,MELAKA TENGAH   Melaka  75250</t>
  </si>
  <si>
    <t>NVMY34535000000585</t>
  </si>
  <si>
    <t>MUHAMMAD FIRDAUS</t>
  </si>
  <si>
    <t>NO7 KG PADANG WAD MUKIM LEPAI ALOR SETAR    Kedah  05350</t>
  </si>
  <si>
    <t>NVMY34535000000605</t>
  </si>
  <si>
    <t>MUSTAQQIM ZAINUDDIN</t>
  </si>
  <si>
    <t>LOT 2071, KAMPUNG CHERANG TULI, PADANG PAK AMAT, PASIR PUTEH   Kelantan  16800</t>
  </si>
  <si>
    <t>NVMY34535000000602</t>
  </si>
  <si>
    <t>NORIZAN BINTI MOHD RAZALI</t>
  </si>
  <si>
    <t>159, KAMPUNG GONG TENGAH MERANG, SETIU   Terengganu  21010</t>
  </si>
  <si>
    <t>NVMY34535000000601</t>
  </si>
  <si>
    <t>MUHAMMAD ADAM CHWA BIN ABDULLAH</t>
  </si>
  <si>
    <t>1ST FLOOR, PLAZA MWE, 8, FARQUHAR STREET   Pulau Pinang  10200</t>
  </si>
  <si>
    <t>NVMY34535000000592</t>
  </si>
  <si>
    <t>NORAZLAN BIN MURSIDAN</t>
  </si>
  <si>
    <t>NO 10 JALAN INAI 04 TAMAN INTAN PEKAN NENAS PONTIAN   Johor  81500</t>
  </si>
  <si>
    <t>NVMY34535000000491</t>
  </si>
  <si>
    <t>A-2-35, APT TERATAI JALAN BUNGA RAYA 1, TAMAN BUNGA RAYA, BUKIT BERUNTUNG   Selangor  48300</t>
  </si>
  <si>
    <t>NVMY34535000000596</t>
  </si>
  <si>
    <t>NO.19 MUTIARA VILLA , JALAN MUTIARA 7,MUTIARA HEIGHTS KAJANG    Selangor  43000</t>
  </si>
  <si>
    <t>NVMY34535000000587</t>
  </si>
  <si>
    <t>MOHD EIZANUDIN BIN MASSRI</t>
  </si>
  <si>
    <t>257-2,LOT 111 KAMPUNG BATU BERENDAM    Melaka  75350</t>
  </si>
  <si>
    <t>NVMY34535000000594</t>
  </si>
  <si>
    <t>AIN NUR BATHRISYA BT CHE ROSLI</t>
  </si>
  <si>
    <t>MAHALLAH FATIMAH AZZAHRA,IIUM KUANTAN ,JALAN SULTAN AHMAD SHAH ,BANDAR INDERA MAHKOTA KUANTAN    Pahang  25200</t>
  </si>
  <si>
    <t>NVMY34535000000583</t>
  </si>
  <si>
    <t>KAMARUDIN BIN AMBAK</t>
  </si>
  <si>
    <t>NO 32 JALAN SUASANA 1/2 ,BANDAR TUN HUSSEIN ONN ,BATU 9 CHERAS    Selangor  43200</t>
  </si>
  <si>
    <t>NVMY34535000000599</t>
  </si>
  <si>
    <t>HANIS SHAYANGG</t>
  </si>
  <si>
    <t>LOT 5100 LORONG KLINIK, KG TENGAH, LAYANG-LAYANG,   Johor  81850</t>
  </si>
  <si>
    <t>NVMY34535000000499</t>
  </si>
  <si>
    <t>AZRINA LAURA</t>
  </si>
  <si>
    <t>NO.32 JALAN KENANGA 20 TAMAN SATRIA SENAWANG, SEREMBAN   Negeri Sembilan  70450</t>
  </si>
  <si>
    <t>NVMY34535000000595</t>
  </si>
  <si>
    <t>NUR HIDAYAH BT CHE KAMAN</t>
  </si>
  <si>
    <t>NO 300 JALAN TANJUNG 4/1 ZON TANJUNG SUNGAI PETANI   Kedah  08000</t>
  </si>
  <si>
    <t>NVMY34535000000584</t>
  </si>
  <si>
    <t>DAMIA</t>
  </si>
  <si>
    <t>LOT 624 JALAN TEGAS PANDANG JAWA SHAH ALAM   Selangor  40200</t>
  </si>
  <si>
    <t>NVMY34535000000495</t>
  </si>
  <si>
    <t>NINA ALI</t>
  </si>
  <si>
    <t>C-05-11 BLOK C, PANGSAPURI GAPURA BARU, JALAN PUNCAK UTAMA 2/7 JADE HILL, KAJANG   Selangor  43000</t>
  </si>
  <si>
    <t>NVMY34535000000586</t>
  </si>
  <si>
    <t>MOHAMAD FADHLI IKRAM BIN ZAKARIA</t>
  </si>
  <si>
    <t>NO 20 TINGKAT 1 JALAN SOLOK KAPAS PELABUHAN KLANG    Selangor  42000</t>
  </si>
  <si>
    <t>NVMY34535000000611</t>
  </si>
  <si>
    <t>HELMIE BIN JAMALUDIN</t>
  </si>
  <si>
    <t>6/4840 KAMPUNG SC BATU 4 1/2 JALAN GAMBANG, KUANTAN   Pahang  25150</t>
  </si>
  <si>
    <t>NVMY34535000000580</t>
  </si>
  <si>
    <t>RUDY</t>
  </si>
  <si>
    <t>NO53 JALAN LG3 1/22 TAMAN LANGAT UTAMA 3 BUKIT CHANGGANG BANTING    Selangor  42700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</si>
</sst>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1" fillId="4" borderId="0" xfId="0" applyFont="1" applyFill="1"/>
    <xf numFmtId="0" fontId="0" fillId="5" borderId="0" xfId="0" applyFill="1"/>
    <xf numFmtId="0" fontId="2" fillId="6" borderId="0" xfId="0" applyFont="1" applyFill="1"/>
    <xf numFmtId="164" fontId="3" fillId="7" borderId="0" xfId="0" applyNumberFormat="1" applyFont="1" applyFill="1" applyAlignment="1">
      <alignment horizontal="left"/>
    </xf>
    <xf numFmtId="0" fontId="3" fillId="8" borderId="0" xfId="0" applyFont="1" applyFill="1"/>
    <xf numFmtId="0" fontId="0" fillId="9" borderId="0" xfId="0" applyFill="1"/>
    <xf numFmtId="0" fontId="0" fillId="10" borderId="0" xfId="0" applyFill="1"/>
    <xf numFmtId="0" fontId="0" fillId="4" borderId="0" xfId="0" applyFill="1"/>
    <xf numFmtId="22" fontId="0" fillId="0" borderId="0" xfId="0" applyNumberFormat="1"/>
    <xf numFmtId="14" fontId="0" fillId="0" borderId="0" xfId="0" applyNumberFormat="1"/>
    <xf numFmtId="164" fontId="2" fillId="6" borderId="0" xfId="0" applyNumberFormat="1" applyFont="1" applyFill="1"/>
    <xf numFmtId="43" fontId="0" fillId="11" borderId="0" xfId="0" applyNumberFormat="1" applyFill="1"/>
    <xf numFmtId="43" fontId="2" fillId="7" borderId="0" xfId="0" applyNumberFormat="1" applyFont="1" applyFill="1"/>
    <xf numFmtId="164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8DF8-2A89-41B7-9F00-2CC232AACA0A}">
  <dimension ref="A1:AK412"/>
  <sheetViews>
    <sheetView tabSelected="1" workbookViewId="0">
      <selection sqref="A1:AK410"/>
    </sheetView>
  </sheetViews>
  <sheetFormatPr defaultRowHeight="14.5" x14ac:dyDescent="0.35"/>
  <cols>
    <col min="1" max="37" width="9.08984375" customWidth="1"/>
  </cols>
  <sheetData>
    <row r="1" spans="1:37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</row>
    <row r="2" spans="1:37" ht="15" customHeight="1" x14ac:dyDescent="0.35">
      <c r="A2">
        <v>690929</v>
      </c>
      <c r="B2" t="s">
        <v>37</v>
      </c>
      <c r="C2" t="s">
        <v>38</v>
      </c>
      <c r="D2" s="9" t="s">
        <v>39</v>
      </c>
      <c r="E2" s="10" t="s">
        <v>37</v>
      </c>
      <c r="F2" s="11"/>
      <c r="G2" t="s">
        <v>40</v>
      </c>
      <c r="I2" t="s">
        <v>41</v>
      </c>
      <c r="J2" t="s">
        <v>42</v>
      </c>
      <c r="K2" t="s">
        <v>43</v>
      </c>
      <c r="L2">
        <v>2</v>
      </c>
      <c r="M2" t="s">
        <v>44</v>
      </c>
      <c r="N2" t="s">
        <v>45</v>
      </c>
      <c r="O2" t="s">
        <v>46</v>
      </c>
      <c r="P2" s="5">
        <v>1</v>
      </c>
      <c r="Q2" s="12">
        <v>44675.738634259258</v>
      </c>
      <c r="R2" s="13">
        <v>44686</v>
      </c>
      <c r="T2" t="s">
        <v>47</v>
      </c>
      <c r="U2" t="s">
        <v>48</v>
      </c>
      <c r="V2" t="s">
        <v>49</v>
      </c>
      <c r="Y2" t="s">
        <v>50</v>
      </c>
      <c r="Z2">
        <v>91207</v>
      </c>
      <c r="AA2" t="s">
        <v>51</v>
      </c>
      <c r="AB2" t="s">
        <v>52</v>
      </c>
      <c r="AC2" t="s">
        <v>53</v>
      </c>
      <c r="AD2" s="14">
        <f>IF(P2&lt;=1,13,IF(P2&lt;=2,23,IF(P2&lt;=3,35,IF(P2&lt;=4,43,IF(P2&lt;=5,53,IF(P2&lt;=6,63,IF(P2&lt;=7,71,IF(P2&lt;=8,79,IF(P2&lt;=9,87,IF(P2&lt;=10,95,IF(P2&lt;=11,105,IF(P2&lt;=12,114,IF(P2&lt;=13,119,IF(P2&lt;=14,127,IF(P2&lt;=15,135,IF(P2&lt;=16,143,IF(P2&lt;=17,153,IF(P2&lt;=18,163,IF(P2&lt;=19,171,IF(P2&lt;=20,185,IF(P2&lt;=21,193,IF(P2&lt;=22,201,IF(P2&lt;=23,210,IF(P2&lt;=24,220,IF(P2&lt;=25,230,IF(P2&lt;=26,240,IF(P2&lt;=27,250,IF(P2&lt;=28,260,IF(P2&lt;=29,270,IF(P2&lt;=30,280,280))))))))))))))))))))))))))))))</f>
        <v>13</v>
      </c>
      <c r="AE2" s="15">
        <v>0</v>
      </c>
      <c r="AF2" s="15">
        <v>0</v>
      </c>
      <c r="AG2" s="15">
        <v>0</v>
      </c>
      <c r="AH2" s="15">
        <v>0</v>
      </c>
      <c r="AI2" s="15">
        <f t="shared" ref="AI2:AI65" si="0">(AD2+AF2+AH2)*6%</f>
        <v>0.78</v>
      </c>
      <c r="AJ2" s="15">
        <f t="shared" ref="AJ2:AJ65" si="1">AD2+AF2+AH2+AI2</f>
        <v>13.78</v>
      </c>
      <c r="AK2" t="s">
        <v>51</v>
      </c>
    </row>
    <row r="3" spans="1:37" ht="15" customHeight="1" x14ac:dyDescent="0.35">
      <c r="A3">
        <v>690929</v>
      </c>
      <c r="B3" t="s">
        <v>37</v>
      </c>
      <c r="C3" t="s">
        <v>38</v>
      </c>
      <c r="D3" s="9" t="s">
        <v>39</v>
      </c>
      <c r="E3" s="10" t="s">
        <v>37</v>
      </c>
      <c r="F3" s="11"/>
      <c r="G3" t="s">
        <v>54</v>
      </c>
      <c r="I3" t="s">
        <v>41</v>
      </c>
      <c r="J3" t="s">
        <v>55</v>
      </c>
      <c r="K3" t="s">
        <v>43</v>
      </c>
      <c r="L3">
        <v>2</v>
      </c>
      <c r="M3" t="s">
        <v>44</v>
      </c>
      <c r="N3" t="s">
        <v>45</v>
      </c>
      <c r="O3" t="s">
        <v>46</v>
      </c>
      <c r="P3" s="5">
        <v>1</v>
      </c>
      <c r="Q3" s="12">
        <v>44679.568472222221</v>
      </c>
      <c r="R3" s="13">
        <v>44686</v>
      </c>
      <c r="T3" t="s">
        <v>47</v>
      </c>
      <c r="U3" t="s">
        <v>48</v>
      </c>
      <c r="V3" t="s">
        <v>56</v>
      </c>
      <c r="Y3" t="s">
        <v>57</v>
      </c>
      <c r="Z3">
        <v>28800</v>
      </c>
      <c r="AA3" t="s">
        <v>47</v>
      </c>
      <c r="AB3" t="s">
        <v>58</v>
      </c>
      <c r="AC3" t="s">
        <v>53</v>
      </c>
      <c r="AD3" s="16">
        <f>IF(P3&lt;=1,4.9,4.9+0.8*ROUNDUP(P3-1,0))</f>
        <v>4.9000000000000004</v>
      </c>
      <c r="AE3" s="15">
        <v>0</v>
      </c>
      <c r="AF3" s="15">
        <v>0</v>
      </c>
      <c r="AG3" s="15">
        <v>0</v>
      </c>
      <c r="AH3" s="15">
        <v>0</v>
      </c>
      <c r="AI3" s="15">
        <f t="shared" si="0"/>
        <v>0.29399999999999998</v>
      </c>
      <c r="AJ3" s="15">
        <f t="shared" si="1"/>
        <v>5.194</v>
      </c>
      <c r="AK3" t="s">
        <v>47</v>
      </c>
    </row>
    <row r="4" spans="1:37" ht="15" customHeight="1" x14ac:dyDescent="0.35">
      <c r="A4">
        <v>690929</v>
      </c>
      <c r="B4" t="s">
        <v>37</v>
      </c>
      <c r="C4" t="s">
        <v>38</v>
      </c>
      <c r="D4" s="9" t="s">
        <v>39</v>
      </c>
      <c r="E4" s="10" t="s">
        <v>37</v>
      </c>
      <c r="F4" s="11"/>
      <c r="G4" t="s">
        <v>59</v>
      </c>
      <c r="I4" t="s">
        <v>41</v>
      </c>
      <c r="J4" t="s">
        <v>60</v>
      </c>
      <c r="K4" t="s">
        <v>43</v>
      </c>
      <c r="L4">
        <v>2</v>
      </c>
      <c r="M4" t="s">
        <v>44</v>
      </c>
      <c r="N4" t="s">
        <v>45</v>
      </c>
      <c r="O4" t="s">
        <v>46</v>
      </c>
      <c r="P4" s="5">
        <v>4</v>
      </c>
      <c r="Q4" s="12">
        <v>44681.608356481483</v>
      </c>
      <c r="R4" s="13">
        <v>44686</v>
      </c>
      <c r="T4" t="s">
        <v>47</v>
      </c>
      <c r="U4" t="s">
        <v>48</v>
      </c>
      <c r="V4" t="s">
        <v>61</v>
      </c>
      <c r="Y4" t="s">
        <v>62</v>
      </c>
      <c r="Z4">
        <v>16010</v>
      </c>
      <c r="AA4" t="s">
        <v>47</v>
      </c>
      <c r="AB4" t="s">
        <v>63</v>
      </c>
      <c r="AC4" t="s">
        <v>53</v>
      </c>
      <c r="AD4" s="16">
        <f>IF(P4&lt;=1,4.9,4.9+0.8*ROUNDUP(P4-1,0))</f>
        <v>7.3000000000000007</v>
      </c>
      <c r="AE4" s="15">
        <v>0</v>
      </c>
      <c r="AF4" s="15">
        <v>0</v>
      </c>
      <c r="AG4" s="15">
        <v>0</v>
      </c>
      <c r="AH4" s="15">
        <v>0</v>
      </c>
      <c r="AI4" s="15">
        <f t="shared" si="0"/>
        <v>0.438</v>
      </c>
      <c r="AJ4" s="15">
        <f t="shared" si="1"/>
        <v>7.7380000000000004</v>
      </c>
      <c r="AK4" t="s">
        <v>47</v>
      </c>
    </row>
    <row r="5" spans="1:37" ht="15" customHeight="1" x14ac:dyDescent="0.35">
      <c r="A5">
        <v>690929</v>
      </c>
      <c r="B5" t="s">
        <v>37</v>
      </c>
      <c r="C5" t="s">
        <v>38</v>
      </c>
      <c r="D5" s="9" t="s">
        <v>39</v>
      </c>
      <c r="E5" s="10" t="s">
        <v>37</v>
      </c>
      <c r="F5" s="11"/>
      <c r="G5" t="s">
        <v>64</v>
      </c>
      <c r="I5" t="s">
        <v>41</v>
      </c>
      <c r="J5" t="s">
        <v>65</v>
      </c>
      <c r="K5" t="s">
        <v>43</v>
      </c>
      <c r="L5">
        <v>2</v>
      </c>
      <c r="M5" t="s">
        <v>44</v>
      </c>
      <c r="N5" t="s">
        <v>45</v>
      </c>
      <c r="O5" t="s">
        <v>46</v>
      </c>
      <c r="P5" s="5">
        <v>8</v>
      </c>
      <c r="Q5" s="12">
        <v>44680.661909722221</v>
      </c>
      <c r="R5" s="13">
        <v>44686</v>
      </c>
      <c r="T5" t="s">
        <v>47</v>
      </c>
      <c r="U5" t="s">
        <v>48</v>
      </c>
      <c r="V5" t="s">
        <v>61</v>
      </c>
      <c r="Y5" t="s">
        <v>66</v>
      </c>
      <c r="Z5">
        <v>17600</v>
      </c>
      <c r="AA5" t="s">
        <v>47</v>
      </c>
      <c r="AB5" t="s">
        <v>67</v>
      </c>
      <c r="AC5" t="s">
        <v>53</v>
      </c>
      <c r="AD5" s="16">
        <f>IF(P5&lt;=1,4.9,4.9+0.8*ROUNDUP(P5-1,0))</f>
        <v>10.5</v>
      </c>
      <c r="AE5" s="15">
        <v>0</v>
      </c>
      <c r="AF5" s="15">
        <v>0</v>
      </c>
      <c r="AG5" s="15">
        <v>0</v>
      </c>
      <c r="AH5" s="15">
        <v>0</v>
      </c>
      <c r="AI5" s="15">
        <f t="shared" si="0"/>
        <v>0.63</v>
      </c>
      <c r="AJ5" s="15">
        <f t="shared" si="1"/>
        <v>11.13</v>
      </c>
      <c r="AK5" t="s">
        <v>47</v>
      </c>
    </row>
    <row r="6" spans="1:37" ht="15" customHeight="1" x14ac:dyDescent="0.35">
      <c r="A6">
        <v>690929</v>
      </c>
      <c r="B6" t="s">
        <v>37</v>
      </c>
      <c r="C6" t="s">
        <v>38</v>
      </c>
      <c r="D6" s="9" t="s">
        <v>39</v>
      </c>
      <c r="E6" s="10" t="s">
        <v>37</v>
      </c>
      <c r="F6" s="11"/>
      <c r="G6" t="s">
        <v>68</v>
      </c>
      <c r="I6" t="s">
        <v>41</v>
      </c>
      <c r="J6" t="s">
        <v>69</v>
      </c>
      <c r="K6" t="s">
        <v>43</v>
      </c>
      <c r="L6">
        <v>2</v>
      </c>
      <c r="M6" t="s">
        <v>44</v>
      </c>
      <c r="N6" t="s">
        <v>45</v>
      </c>
      <c r="O6" t="s">
        <v>46</v>
      </c>
      <c r="P6" s="5">
        <v>2</v>
      </c>
      <c r="Q6" s="12">
        <v>44678.663090277776</v>
      </c>
      <c r="R6" s="13">
        <v>44687</v>
      </c>
      <c r="T6" t="s">
        <v>47</v>
      </c>
      <c r="U6" t="s">
        <v>48</v>
      </c>
      <c r="V6" t="s">
        <v>70</v>
      </c>
      <c r="Y6" t="s">
        <v>71</v>
      </c>
      <c r="Z6">
        <v>40000</v>
      </c>
      <c r="AA6" t="s">
        <v>47</v>
      </c>
      <c r="AB6" t="s">
        <v>52</v>
      </c>
      <c r="AC6" t="s">
        <v>53</v>
      </c>
      <c r="AD6" s="16">
        <f>IF(P6&lt;=1,4.9,4.9+0.8*ROUNDUP(P6-1,0))</f>
        <v>5.7</v>
      </c>
      <c r="AE6" s="15">
        <v>0</v>
      </c>
      <c r="AF6" s="15">
        <v>0</v>
      </c>
      <c r="AG6" s="15">
        <v>0</v>
      </c>
      <c r="AH6" s="15">
        <v>0</v>
      </c>
      <c r="AI6" s="15">
        <f t="shared" si="0"/>
        <v>0.34199999999999997</v>
      </c>
      <c r="AJ6" s="15">
        <f t="shared" si="1"/>
        <v>6.0419999999999998</v>
      </c>
      <c r="AK6" t="s">
        <v>47</v>
      </c>
    </row>
    <row r="7" spans="1:37" ht="15" customHeight="1" x14ac:dyDescent="0.35">
      <c r="A7">
        <v>690929</v>
      </c>
      <c r="B7" t="s">
        <v>37</v>
      </c>
      <c r="C7" t="s">
        <v>38</v>
      </c>
      <c r="D7" s="9" t="s">
        <v>39</v>
      </c>
      <c r="E7" s="10" t="s">
        <v>37</v>
      </c>
      <c r="F7" s="11"/>
      <c r="G7" t="s">
        <v>72</v>
      </c>
      <c r="I7" t="s">
        <v>41</v>
      </c>
      <c r="J7" t="s">
        <v>73</v>
      </c>
      <c r="K7" t="s">
        <v>43</v>
      </c>
      <c r="L7">
        <v>2</v>
      </c>
      <c r="M7" t="s">
        <v>44</v>
      </c>
      <c r="N7" t="s">
        <v>45</v>
      </c>
      <c r="O7" t="s">
        <v>46</v>
      </c>
      <c r="P7" s="5">
        <v>2</v>
      </c>
      <c r="Q7" s="12">
        <v>44678.660150462965</v>
      </c>
      <c r="R7" s="13">
        <v>44687</v>
      </c>
      <c r="T7" t="s">
        <v>47</v>
      </c>
      <c r="U7" t="s">
        <v>48</v>
      </c>
      <c r="V7" t="s">
        <v>70</v>
      </c>
      <c r="Y7" t="s">
        <v>71</v>
      </c>
      <c r="Z7">
        <v>40000</v>
      </c>
      <c r="AA7" t="s">
        <v>47</v>
      </c>
      <c r="AB7" t="s">
        <v>52</v>
      </c>
      <c r="AC7" t="s">
        <v>53</v>
      </c>
      <c r="AD7" s="16">
        <f>IF(P7&lt;=1,4.9,4.9+0.8*ROUNDUP(P7-1,0))</f>
        <v>5.7</v>
      </c>
      <c r="AE7" s="15">
        <v>0</v>
      </c>
      <c r="AF7" s="15">
        <v>0</v>
      </c>
      <c r="AG7" s="15">
        <v>0</v>
      </c>
      <c r="AH7" s="15">
        <v>0</v>
      </c>
      <c r="AI7" s="15">
        <f t="shared" si="0"/>
        <v>0.34199999999999997</v>
      </c>
      <c r="AJ7" s="15">
        <f t="shared" si="1"/>
        <v>6.0419999999999998</v>
      </c>
      <c r="AK7" t="s">
        <v>47</v>
      </c>
    </row>
    <row r="8" spans="1:37" ht="15" customHeight="1" x14ac:dyDescent="0.35">
      <c r="A8">
        <v>690929</v>
      </c>
      <c r="B8" t="s">
        <v>37</v>
      </c>
      <c r="C8" t="s">
        <v>38</v>
      </c>
      <c r="D8" s="9" t="s">
        <v>39</v>
      </c>
      <c r="E8" s="10" t="s">
        <v>37</v>
      </c>
      <c r="F8" s="11"/>
      <c r="G8" t="s">
        <v>74</v>
      </c>
      <c r="I8" t="s">
        <v>41</v>
      </c>
      <c r="J8" t="s">
        <v>75</v>
      </c>
      <c r="K8" t="s">
        <v>43</v>
      </c>
      <c r="L8">
        <v>2</v>
      </c>
      <c r="M8" t="s">
        <v>44</v>
      </c>
      <c r="N8" t="s">
        <v>45</v>
      </c>
      <c r="O8" t="s">
        <v>46</v>
      </c>
      <c r="P8" s="5">
        <v>2</v>
      </c>
      <c r="Q8" s="12">
        <v>44680.430902777778</v>
      </c>
      <c r="R8" s="13">
        <v>44687</v>
      </c>
      <c r="T8" t="s">
        <v>47</v>
      </c>
      <c r="U8" t="s">
        <v>58</v>
      </c>
      <c r="V8" t="s">
        <v>76</v>
      </c>
      <c r="Y8" t="s">
        <v>77</v>
      </c>
      <c r="Z8">
        <v>76200</v>
      </c>
      <c r="AA8" t="s">
        <v>47</v>
      </c>
      <c r="AB8" t="s">
        <v>78</v>
      </c>
      <c r="AC8" t="s">
        <v>53</v>
      </c>
      <c r="AD8" s="16">
        <f>IF(P8&lt;=1,4.9,4.9+0.8*ROUNDUP(P8-1,0))</f>
        <v>5.7</v>
      </c>
      <c r="AE8" s="15">
        <v>0</v>
      </c>
      <c r="AF8" s="15">
        <v>0</v>
      </c>
      <c r="AG8" s="15">
        <v>0</v>
      </c>
      <c r="AH8" s="15">
        <v>0</v>
      </c>
      <c r="AI8" s="15">
        <f t="shared" si="0"/>
        <v>0.34199999999999997</v>
      </c>
      <c r="AJ8" s="15">
        <f t="shared" si="1"/>
        <v>6.0419999999999998</v>
      </c>
      <c r="AK8" t="s">
        <v>47</v>
      </c>
    </row>
    <row r="9" spans="1:37" ht="15" customHeight="1" x14ac:dyDescent="0.35">
      <c r="A9">
        <v>690929</v>
      </c>
      <c r="B9" t="s">
        <v>37</v>
      </c>
      <c r="C9" t="s">
        <v>38</v>
      </c>
      <c r="D9" s="9" t="s">
        <v>39</v>
      </c>
      <c r="E9" s="10" t="s">
        <v>37</v>
      </c>
      <c r="F9" s="11"/>
      <c r="G9" t="s">
        <v>79</v>
      </c>
      <c r="I9" t="s">
        <v>41</v>
      </c>
      <c r="J9" t="s">
        <v>80</v>
      </c>
      <c r="K9" t="s">
        <v>43</v>
      </c>
      <c r="L9">
        <v>2</v>
      </c>
      <c r="M9" t="s">
        <v>44</v>
      </c>
      <c r="N9" t="s">
        <v>45</v>
      </c>
      <c r="O9" t="s">
        <v>46</v>
      </c>
      <c r="P9" s="5">
        <v>1</v>
      </c>
      <c r="Q9" s="12">
        <v>44678.48033564815</v>
      </c>
      <c r="R9" s="13">
        <v>44687</v>
      </c>
      <c r="T9" t="s">
        <v>47</v>
      </c>
      <c r="U9" t="s">
        <v>48</v>
      </c>
      <c r="V9" t="s">
        <v>61</v>
      </c>
      <c r="Y9" t="s">
        <v>81</v>
      </c>
      <c r="Z9">
        <v>16010</v>
      </c>
      <c r="AA9" t="s">
        <v>47</v>
      </c>
      <c r="AB9" t="s">
        <v>58</v>
      </c>
      <c r="AC9" t="s">
        <v>53</v>
      </c>
      <c r="AD9" s="16">
        <f>IF(P9&lt;=1,4.9,4.9+0.8*ROUNDUP(P9-1,0))</f>
        <v>4.9000000000000004</v>
      </c>
      <c r="AE9" s="15">
        <v>0</v>
      </c>
      <c r="AF9" s="15">
        <v>0</v>
      </c>
      <c r="AG9" s="15">
        <v>0</v>
      </c>
      <c r="AH9" s="15">
        <v>0</v>
      </c>
      <c r="AI9" s="15">
        <f t="shared" si="0"/>
        <v>0.29399999999999998</v>
      </c>
      <c r="AJ9" s="15">
        <f t="shared" si="1"/>
        <v>5.194</v>
      </c>
      <c r="AK9" t="s">
        <v>47</v>
      </c>
    </row>
    <row r="10" spans="1:37" ht="15" customHeight="1" x14ac:dyDescent="0.35">
      <c r="A10">
        <v>690929</v>
      </c>
      <c r="B10" t="s">
        <v>37</v>
      </c>
      <c r="C10" t="s">
        <v>38</v>
      </c>
      <c r="D10" s="9" t="s">
        <v>39</v>
      </c>
      <c r="E10" s="10" t="s">
        <v>37</v>
      </c>
      <c r="F10" s="11"/>
      <c r="G10" t="s">
        <v>82</v>
      </c>
      <c r="I10" t="s">
        <v>41</v>
      </c>
      <c r="J10" t="s">
        <v>83</v>
      </c>
      <c r="K10" t="s">
        <v>43</v>
      </c>
      <c r="L10">
        <v>2</v>
      </c>
      <c r="M10" t="s">
        <v>44</v>
      </c>
      <c r="N10" t="s">
        <v>45</v>
      </c>
      <c r="O10" t="s">
        <v>46</v>
      </c>
      <c r="P10" s="5">
        <v>1</v>
      </c>
      <c r="Q10" s="12">
        <v>44674.725694444445</v>
      </c>
      <c r="R10" s="13">
        <v>44687</v>
      </c>
      <c r="T10" t="s">
        <v>47</v>
      </c>
      <c r="U10" t="s">
        <v>48</v>
      </c>
      <c r="V10" t="s">
        <v>56</v>
      </c>
      <c r="Y10" t="s">
        <v>84</v>
      </c>
      <c r="Z10">
        <v>28380</v>
      </c>
      <c r="AA10" t="s">
        <v>47</v>
      </c>
      <c r="AB10" t="s">
        <v>85</v>
      </c>
      <c r="AC10" t="s">
        <v>53</v>
      </c>
      <c r="AD10" s="16">
        <f>IF(P10&lt;=1,4.9,4.9+0.8*ROUNDUP(P10-1,0))</f>
        <v>4.9000000000000004</v>
      </c>
      <c r="AE10" s="15">
        <v>0</v>
      </c>
      <c r="AF10" s="15">
        <v>0</v>
      </c>
      <c r="AG10" s="15">
        <v>0</v>
      </c>
      <c r="AH10" s="15">
        <v>0</v>
      </c>
      <c r="AI10" s="15">
        <f t="shared" si="0"/>
        <v>0.29399999999999998</v>
      </c>
      <c r="AJ10" s="15">
        <f t="shared" si="1"/>
        <v>5.194</v>
      </c>
      <c r="AK10" t="s">
        <v>47</v>
      </c>
    </row>
    <row r="11" spans="1:37" ht="15" customHeight="1" x14ac:dyDescent="0.35">
      <c r="A11">
        <v>690929</v>
      </c>
      <c r="B11" t="s">
        <v>37</v>
      </c>
      <c r="C11" t="s">
        <v>38</v>
      </c>
      <c r="D11" s="9" t="s">
        <v>39</v>
      </c>
      <c r="E11" s="10" t="s">
        <v>37</v>
      </c>
      <c r="F11" s="11"/>
      <c r="G11" t="s">
        <v>86</v>
      </c>
      <c r="I11" t="s">
        <v>41</v>
      </c>
      <c r="J11" t="s">
        <v>87</v>
      </c>
      <c r="K11" t="s">
        <v>43</v>
      </c>
      <c r="L11">
        <v>2</v>
      </c>
      <c r="M11" t="s">
        <v>44</v>
      </c>
      <c r="N11" t="s">
        <v>45</v>
      </c>
      <c r="O11" t="s">
        <v>46</v>
      </c>
      <c r="P11" s="5">
        <v>1</v>
      </c>
      <c r="Q11" s="12">
        <v>44678.714618055557</v>
      </c>
      <c r="R11" s="13">
        <v>44687</v>
      </c>
      <c r="T11" t="s">
        <v>47</v>
      </c>
      <c r="U11" t="s">
        <v>48</v>
      </c>
      <c r="V11" t="s">
        <v>88</v>
      </c>
      <c r="Y11" t="s">
        <v>89</v>
      </c>
      <c r="Z11">
        <v>56100</v>
      </c>
      <c r="AA11" t="s">
        <v>47</v>
      </c>
      <c r="AB11" t="s">
        <v>58</v>
      </c>
      <c r="AC11" t="s">
        <v>53</v>
      </c>
      <c r="AD11" s="16">
        <f>IF(P11&lt;=1,4.9,4.9+0.8*ROUNDUP(P11-1,0))</f>
        <v>4.9000000000000004</v>
      </c>
      <c r="AE11" s="15">
        <v>0</v>
      </c>
      <c r="AF11" s="15">
        <v>0</v>
      </c>
      <c r="AG11" s="15">
        <v>0</v>
      </c>
      <c r="AH11" s="15">
        <v>0</v>
      </c>
      <c r="AI11" s="15">
        <f t="shared" si="0"/>
        <v>0.29399999999999998</v>
      </c>
      <c r="AJ11" s="15">
        <f t="shared" si="1"/>
        <v>5.194</v>
      </c>
      <c r="AK11" t="s">
        <v>47</v>
      </c>
    </row>
    <row r="12" spans="1:37" ht="15" customHeight="1" x14ac:dyDescent="0.35">
      <c r="A12">
        <v>690929</v>
      </c>
      <c r="B12" t="s">
        <v>37</v>
      </c>
      <c r="C12" t="s">
        <v>38</v>
      </c>
      <c r="D12" s="9" t="s">
        <v>39</v>
      </c>
      <c r="E12" s="10" t="s">
        <v>37</v>
      </c>
      <c r="F12" s="11"/>
      <c r="G12" t="s">
        <v>90</v>
      </c>
      <c r="I12" t="s">
        <v>41</v>
      </c>
      <c r="J12" t="s">
        <v>91</v>
      </c>
      <c r="K12" t="s">
        <v>43</v>
      </c>
      <c r="L12">
        <v>2</v>
      </c>
      <c r="M12" t="s">
        <v>44</v>
      </c>
      <c r="N12" t="s">
        <v>45</v>
      </c>
      <c r="O12" t="s">
        <v>92</v>
      </c>
      <c r="P12" s="5">
        <v>15</v>
      </c>
      <c r="Q12" s="12">
        <v>44675.772164351853</v>
      </c>
      <c r="R12" s="13">
        <v>44689</v>
      </c>
      <c r="T12" t="s">
        <v>47</v>
      </c>
      <c r="U12" t="s">
        <v>48</v>
      </c>
      <c r="V12" t="s">
        <v>93</v>
      </c>
      <c r="Y12" t="s">
        <v>94</v>
      </c>
      <c r="Z12">
        <v>80250</v>
      </c>
      <c r="AA12" t="s">
        <v>47</v>
      </c>
      <c r="AB12" t="s">
        <v>95</v>
      </c>
      <c r="AC12" t="s">
        <v>53</v>
      </c>
      <c r="AD12" s="16">
        <f>IF(P12&lt;=1,4.9,4.9+0.8*ROUNDUP(P12-1,0))</f>
        <v>16.100000000000001</v>
      </c>
      <c r="AE12" s="15">
        <v>0</v>
      </c>
      <c r="AF12" s="15">
        <v>0</v>
      </c>
      <c r="AG12" s="15">
        <v>0</v>
      </c>
      <c r="AH12" s="15">
        <v>0</v>
      </c>
      <c r="AI12" s="15">
        <f t="shared" si="0"/>
        <v>0.96600000000000008</v>
      </c>
      <c r="AJ12" s="15">
        <f t="shared" si="1"/>
        <v>17.066000000000003</v>
      </c>
      <c r="AK12" t="s">
        <v>47</v>
      </c>
    </row>
    <row r="13" spans="1:37" ht="15" customHeight="1" x14ac:dyDescent="0.35">
      <c r="A13">
        <v>690929</v>
      </c>
      <c r="B13" t="s">
        <v>37</v>
      </c>
      <c r="C13" t="s">
        <v>38</v>
      </c>
      <c r="D13" s="9" t="s">
        <v>39</v>
      </c>
      <c r="E13" s="10" t="s">
        <v>37</v>
      </c>
      <c r="F13" s="11"/>
      <c r="G13" t="s">
        <v>96</v>
      </c>
      <c r="I13" t="s">
        <v>41</v>
      </c>
      <c r="J13" t="s">
        <v>91</v>
      </c>
      <c r="K13" t="s">
        <v>43</v>
      </c>
      <c r="L13">
        <v>2</v>
      </c>
      <c r="M13" t="s">
        <v>44</v>
      </c>
      <c r="N13" t="s">
        <v>45</v>
      </c>
      <c r="O13" t="s">
        <v>92</v>
      </c>
      <c r="P13" s="5">
        <v>15</v>
      </c>
      <c r="Q13" s="12">
        <v>44675.773344907408</v>
      </c>
      <c r="R13" s="13">
        <v>44689</v>
      </c>
      <c r="T13" t="s">
        <v>47</v>
      </c>
      <c r="U13" t="s">
        <v>48</v>
      </c>
      <c r="V13" t="s">
        <v>93</v>
      </c>
      <c r="Y13" t="s">
        <v>94</v>
      </c>
      <c r="Z13">
        <v>80250</v>
      </c>
      <c r="AA13" t="s">
        <v>47</v>
      </c>
      <c r="AB13" t="s">
        <v>95</v>
      </c>
      <c r="AC13" t="s">
        <v>53</v>
      </c>
      <c r="AD13" s="16">
        <f>IF(P13&lt;=1,4.9,4.9+0.8*ROUNDUP(P13-1,0))</f>
        <v>16.100000000000001</v>
      </c>
      <c r="AE13" s="15">
        <v>0</v>
      </c>
      <c r="AF13" s="15">
        <v>0</v>
      </c>
      <c r="AG13" s="15">
        <v>0</v>
      </c>
      <c r="AH13" s="15">
        <v>0</v>
      </c>
      <c r="AI13" s="15">
        <f t="shared" si="0"/>
        <v>0.96600000000000008</v>
      </c>
      <c r="AJ13" s="15">
        <f t="shared" si="1"/>
        <v>17.066000000000003</v>
      </c>
      <c r="AK13" t="s">
        <v>47</v>
      </c>
    </row>
    <row r="14" spans="1:37" ht="15" customHeight="1" x14ac:dyDescent="0.35">
      <c r="A14">
        <v>690929</v>
      </c>
      <c r="B14" t="s">
        <v>37</v>
      </c>
      <c r="C14" t="s">
        <v>38</v>
      </c>
      <c r="D14" s="9" t="s">
        <v>39</v>
      </c>
      <c r="E14" s="10" t="s">
        <v>37</v>
      </c>
      <c r="F14" s="11"/>
      <c r="G14" t="s">
        <v>97</v>
      </c>
      <c r="I14" t="s">
        <v>41</v>
      </c>
      <c r="J14" t="s">
        <v>91</v>
      </c>
      <c r="K14" t="s">
        <v>43</v>
      </c>
      <c r="L14">
        <v>2</v>
      </c>
      <c r="M14" t="s">
        <v>44</v>
      </c>
      <c r="N14" t="s">
        <v>45</v>
      </c>
      <c r="O14" t="s">
        <v>92</v>
      </c>
      <c r="P14" s="5">
        <v>15</v>
      </c>
      <c r="Q14" s="12">
        <v>44675.770115740743</v>
      </c>
      <c r="R14" s="13">
        <v>44689</v>
      </c>
      <c r="T14" t="s">
        <v>47</v>
      </c>
      <c r="U14" t="s">
        <v>48</v>
      </c>
      <c r="V14" t="s">
        <v>93</v>
      </c>
      <c r="Y14" t="s">
        <v>94</v>
      </c>
      <c r="Z14">
        <v>80250</v>
      </c>
      <c r="AA14" t="s">
        <v>47</v>
      </c>
      <c r="AB14" t="s">
        <v>95</v>
      </c>
      <c r="AC14" t="s">
        <v>53</v>
      </c>
      <c r="AD14" s="16">
        <f>IF(P14&lt;=1,4.9,4.9+0.8*ROUNDUP(P14-1,0))</f>
        <v>16.100000000000001</v>
      </c>
      <c r="AE14" s="15">
        <v>0</v>
      </c>
      <c r="AF14" s="15">
        <v>0</v>
      </c>
      <c r="AG14" s="15">
        <v>0</v>
      </c>
      <c r="AH14" s="15">
        <v>0</v>
      </c>
      <c r="AI14" s="15">
        <f t="shared" si="0"/>
        <v>0.96600000000000008</v>
      </c>
      <c r="AJ14" s="15">
        <f t="shared" si="1"/>
        <v>17.066000000000003</v>
      </c>
      <c r="AK14" t="s">
        <v>47</v>
      </c>
    </row>
    <row r="15" spans="1:37" ht="15" customHeight="1" x14ac:dyDescent="0.35">
      <c r="A15">
        <v>690929</v>
      </c>
      <c r="B15" t="s">
        <v>37</v>
      </c>
      <c r="C15" t="s">
        <v>38</v>
      </c>
      <c r="D15" s="9" t="s">
        <v>39</v>
      </c>
      <c r="E15" s="10" t="s">
        <v>37</v>
      </c>
      <c r="F15" s="11"/>
      <c r="G15" t="s">
        <v>98</v>
      </c>
      <c r="I15" t="s">
        <v>41</v>
      </c>
      <c r="J15" t="s">
        <v>91</v>
      </c>
      <c r="K15" t="s">
        <v>43</v>
      </c>
      <c r="L15">
        <v>2</v>
      </c>
      <c r="M15" t="s">
        <v>44</v>
      </c>
      <c r="N15" t="s">
        <v>45</v>
      </c>
      <c r="O15" t="s">
        <v>92</v>
      </c>
      <c r="P15" s="5">
        <v>15</v>
      </c>
      <c r="Q15" s="12">
        <v>44675.771111111113</v>
      </c>
      <c r="R15" s="13">
        <v>44689</v>
      </c>
      <c r="T15" t="s">
        <v>47</v>
      </c>
      <c r="U15" t="s">
        <v>48</v>
      </c>
      <c r="V15" t="s">
        <v>93</v>
      </c>
      <c r="Y15" t="s">
        <v>94</v>
      </c>
      <c r="Z15">
        <v>80250</v>
      </c>
      <c r="AA15" t="s">
        <v>47</v>
      </c>
      <c r="AB15" t="s">
        <v>95</v>
      </c>
      <c r="AC15" t="s">
        <v>53</v>
      </c>
      <c r="AD15" s="16">
        <f>IF(P15&lt;=1,4.9,4.9+0.8*ROUNDUP(P15-1,0))</f>
        <v>16.100000000000001</v>
      </c>
      <c r="AE15" s="15">
        <v>0</v>
      </c>
      <c r="AF15" s="15">
        <v>0</v>
      </c>
      <c r="AG15" s="15">
        <v>0</v>
      </c>
      <c r="AH15" s="15">
        <v>0</v>
      </c>
      <c r="AI15" s="15">
        <f t="shared" si="0"/>
        <v>0.96600000000000008</v>
      </c>
      <c r="AJ15" s="15">
        <f t="shared" si="1"/>
        <v>17.066000000000003</v>
      </c>
      <c r="AK15" t="s">
        <v>47</v>
      </c>
    </row>
    <row r="16" spans="1:37" ht="15" customHeight="1" x14ac:dyDescent="0.35">
      <c r="A16">
        <v>690929</v>
      </c>
      <c r="B16" t="s">
        <v>37</v>
      </c>
      <c r="C16" t="s">
        <v>38</v>
      </c>
      <c r="D16" s="9" t="s">
        <v>39</v>
      </c>
      <c r="E16" s="10" t="s">
        <v>37</v>
      </c>
      <c r="F16" s="11"/>
      <c r="G16" t="s">
        <v>99</v>
      </c>
      <c r="I16" t="s">
        <v>41</v>
      </c>
      <c r="J16" t="s">
        <v>91</v>
      </c>
      <c r="K16" t="s">
        <v>43</v>
      </c>
      <c r="L16">
        <v>2</v>
      </c>
      <c r="M16" t="s">
        <v>44</v>
      </c>
      <c r="N16" t="s">
        <v>45</v>
      </c>
      <c r="O16" t="s">
        <v>92</v>
      </c>
      <c r="P16" s="5">
        <v>13.1</v>
      </c>
      <c r="Q16" s="12">
        <v>44675.774351851855</v>
      </c>
      <c r="R16" s="13">
        <v>44689</v>
      </c>
      <c r="T16" t="s">
        <v>47</v>
      </c>
      <c r="U16" t="s">
        <v>48</v>
      </c>
      <c r="V16" t="s">
        <v>93</v>
      </c>
      <c r="Y16" t="s">
        <v>94</v>
      </c>
      <c r="Z16">
        <v>80250</v>
      </c>
      <c r="AA16" t="s">
        <v>47</v>
      </c>
      <c r="AB16" t="s">
        <v>95</v>
      </c>
      <c r="AC16" t="s">
        <v>53</v>
      </c>
      <c r="AD16" s="16">
        <f>IF(P16&lt;=1,4.9,4.9+0.8*ROUNDUP(P16-1,0))</f>
        <v>15.3</v>
      </c>
      <c r="AE16" s="15">
        <v>0</v>
      </c>
      <c r="AF16" s="15">
        <v>0</v>
      </c>
      <c r="AG16" s="15">
        <v>0</v>
      </c>
      <c r="AH16" s="15">
        <v>0</v>
      </c>
      <c r="AI16" s="15">
        <f t="shared" si="0"/>
        <v>0.91800000000000004</v>
      </c>
      <c r="AJ16" s="15">
        <f t="shared" si="1"/>
        <v>16.218</v>
      </c>
      <c r="AK16" t="s">
        <v>47</v>
      </c>
    </row>
    <row r="17" spans="1:37" ht="15" customHeight="1" x14ac:dyDescent="0.35">
      <c r="A17">
        <v>690929</v>
      </c>
      <c r="B17" t="s">
        <v>37</v>
      </c>
      <c r="C17" t="s">
        <v>38</v>
      </c>
      <c r="D17" s="9" t="s">
        <v>39</v>
      </c>
      <c r="E17" s="10" t="s">
        <v>37</v>
      </c>
      <c r="F17" s="11"/>
      <c r="G17" t="s">
        <v>100</v>
      </c>
      <c r="I17" t="s">
        <v>41</v>
      </c>
      <c r="J17" t="s">
        <v>91</v>
      </c>
      <c r="K17" t="s">
        <v>43</v>
      </c>
      <c r="L17">
        <v>2</v>
      </c>
      <c r="M17" t="s">
        <v>44</v>
      </c>
      <c r="N17" t="s">
        <v>45</v>
      </c>
      <c r="O17" t="s">
        <v>92</v>
      </c>
      <c r="P17" s="5">
        <v>15</v>
      </c>
      <c r="Q17" s="12">
        <v>44675.776203703703</v>
      </c>
      <c r="R17" s="13">
        <v>44689</v>
      </c>
      <c r="T17" t="s">
        <v>47</v>
      </c>
      <c r="U17" t="s">
        <v>48</v>
      </c>
      <c r="V17" t="s">
        <v>93</v>
      </c>
      <c r="Y17" t="s">
        <v>94</v>
      </c>
      <c r="Z17">
        <v>80250</v>
      </c>
      <c r="AA17" t="s">
        <v>47</v>
      </c>
      <c r="AB17" t="s">
        <v>95</v>
      </c>
      <c r="AC17" t="s">
        <v>53</v>
      </c>
      <c r="AD17" s="16">
        <f>IF(P17&lt;=1,4.9,4.9+0.8*ROUNDUP(P17-1,0))</f>
        <v>16.100000000000001</v>
      </c>
      <c r="AE17" s="15">
        <v>0</v>
      </c>
      <c r="AF17" s="15">
        <v>0</v>
      </c>
      <c r="AG17" s="15">
        <v>0</v>
      </c>
      <c r="AH17" s="15">
        <v>0</v>
      </c>
      <c r="AI17" s="15">
        <f t="shared" si="0"/>
        <v>0.96600000000000008</v>
      </c>
      <c r="AJ17" s="15">
        <f t="shared" si="1"/>
        <v>17.066000000000003</v>
      </c>
      <c r="AK17" t="s">
        <v>47</v>
      </c>
    </row>
    <row r="18" spans="1:37" ht="15" customHeight="1" x14ac:dyDescent="0.35">
      <c r="A18">
        <v>690929</v>
      </c>
      <c r="B18" t="s">
        <v>37</v>
      </c>
      <c r="C18" t="s">
        <v>38</v>
      </c>
      <c r="D18" s="9" t="s">
        <v>39</v>
      </c>
      <c r="E18" s="10" t="s">
        <v>37</v>
      </c>
      <c r="F18" s="11"/>
      <c r="G18" t="s">
        <v>101</v>
      </c>
      <c r="I18" t="s">
        <v>41</v>
      </c>
      <c r="J18" t="s">
        <v>102</v>
      </c>
      <c r="K18" t="s">
        <v>43</v>
      </c>
      <c r="L18">
        <v>2</v>
      </c>
      <c r="M18" t="s">
        <v>44</v>
      </c>
      <c r="N18" t="s">
        <v>45</v>
      </c>
      <c r="O18" t="s">
        <v>46</v>
      </c>
      <c r="P18" s="5">
        <v>9</v>
      </c>
      <c r="Q18" s="12">
        <v>44686.515069444446</v>
      </c>
      <c r="R18" s="13">
        <v>44689</v>
      </c>
      <c r="T18" t="s">
        <v>47</v>
      </c>
      <c r="U18" t="s">
        <v>58</v>
      </c>
      <c r="V18" t="s">
        <v>56</v>
      </c>
      <c r="Y18" t="s">
        <v>103</v>
      </c>
      <c r="Z18">
        <v>28400</v>
      </c>
      <c r="AA18" t="s">
        <v>47</v>
      </c>
      <c r="AB18" t="s">
        <v>104</v>
      </c>
      <c r="AC18" t="s">
        <v>53</v>
      </c>
      <c r="AD18" s="16">
        <f>IF(P18&lt;=1,4.9,4.9+0.8*ROUNDUP(P18-1,0))</f>
        <v>11.3</v>
      </c>
      <c r="AE18" s="15">
        <v>0</v>
      </c>
      <c r="AF18" s="15">
        <v>0</v>
      </c>
      <c r="AG18" s="15">
        <v>0</v>
      </c>
      <c r="AH18" s="15">
        <v>0</v>
      </c>
      <c r="AI18" s="15">
        <f t="shared" si="0"/>
        <v>0.67800000000000005</v>
      </c>
      <c r="AJ18" s="15">
        <f t="shared" si="1"/>
        <v>11.978000000000002</v>
      </c>
      <c r="AK18" t="s">
        <v>47</v>
      </c>
    </row>
    <row r="19" spans="1:37" ht="15" customHeight="1" x14ac:dyDescent="0.35">
      <c r="A19">
        <v>690929</v>
      </c>
      <c r="B19" t="s">
        <v>37</v>
      </c>
      <c r="C19" t="s">
        <v>38</v>
      </c>
      <c r="D19" s="9" t="s">
        <v>39</v>
      </c>
      <c r="E19" s="10" t="s">
        <v>37</v>
      </c>
      <c r="F19" s="11"/>
      <c r="G19" t="s">
        <v>105</v>
      </c>
      <c r="I19" t="s">
        <v>41</v>
      </c>
      <c r="J19" t="s">
        <v>106</v>
      </c>
      <c r="K19" t="s">
        <v>43</v>
      </c>
      <c r="L19">
        <v>2</v>
      </c>
      <c r="M19" t="s">
        <v>44</v>
      </c>
      <c r="N19" t="s">
        <v>45</v>
      </c>
      <c r="O19" t="s">
        <v>46</v>
      </c>
      <c r="P19" s="5">
        <v>1</v>
      </c>
      <c r="Q19" s="12">
        <v>44686.42224537037</v>
      </c>
      <c r="R19" s="13">
        <v>44689</v>
      </c>
      <c r="T19" t="s">
        <v>47</v>
      </c>
      <c r="U19" t="s">
        <v>58</v>
      </c>
      <c r="V19" t="s">
        <v>61</v>
      </c>
      <c r="Y19" t="s">
        <v>107</v>
      </c>
      <c r="Z19">
        <v>17600</v>
      </c>
      <c r="AA19" t="s">
        <v>47</v>
      </c>
      <c r="AB19" t="s">
        <v>58</v>
      </c>
      <c r="AC19" t="s">
        <v>53</v>
      </c>
      <c r="AD19" s="16">
        <f>IF(P19&lt;=1,4.9,4.9+0.8*ROUNDUP(P19-1,0))</f>
        <v>4.9000000000000004</v>
      </c>
      <c r="AE19" s="15">
        <v>0</v>
      </c>
      <c r="AF19" s="15">
        <v>0</v>
      </c>
      <c r="AG19" s="15">
        <v>0</v>
      </c>
      <c r="AH19" s="15">
        <v>0</v>
      </c>
      <c r="AI19" s="15">
        <f t="shared" si="0"/>
        <v>0.29399999999999998</v>
      </c>
      <c r="AJ19" s="15">
        <f t="shared" si="1"/>
        <v>5.194</v>
      </c>
      <c r="AK19" t="s">
        <v>47</v>
      </c>
    </row>
    <row r="20" spans="1:37" ht="15" customHeight="1" x14ac:dyDescent="0.35">
      <c r="A20">
        <v>690929</v>
      </c>
      <c r="B20" t="s">
        <v>37</v>
      </c>
      <c r="C20" t="s">
        <v>38</v>
      </c>
      <c r="D20" s="9" t="s">
        <v>39</v>
      </c>
      <c r="E20" s="10" t="s">
        <v>37</v>
      </c>
      <c r="F20" s="11"/>
      <c r="G20" t="s">
        <v>108</v>
      </c>
      <c r="I20" t="s">
        <v>41</v>
      </c>
      <c r="J20" t="s">
        <v>109</v>
      </c>
      <c r="K20" t="s">
        <v>43</v>
      </c>
      <c r="L20">
        <v>2</v>
      </c>
      <c r="M20" t="s">
        <v>44</v>
      </c>
      <c r="N20" t="s">
        <v>45</v>
      </c>
      <c r="O20" t="s">
        <v>46</v>
      </c>
      <c r="P20" s="5">
        <v>1</v>
      </c>
      <c r="Q20" s="12">
        <v>44688.752187500002</v>
      </c>
      <c r="R20" s="13">
        <v>44690</v>
      </c>
      <c r="T20" t="s">
        <v>47</v>
      </c>
      <c r="U20" t="s">
        <v>48</v>
      </c>
      <c r="V20" t="s">
        <v>110</v>
      </c>
      <c r="Y20" t="s">
        <v>111</v>
      </c>
      <c r="Z20">
        <v>24000</v>
      </c>
      <c r="AA20" t="s">
        <v>47</v>
      </c>
      <c r="AB20" t="s">
        <v>58</v>
      </c>
      <c r="AC20" t="s">
        <v>53</v>
      </c>
      <c r="AD20" s="16">
        <f>IF(P20&lt;=1,4.9,4.9+0.8*ROUNDUP(P20-1,0))</f>
        <v>4.9000000000000004</v>
      </c>
      <c r="AE20" s="15">
        <v>0</v>
      </c>
      <c r="AF20" s="15">
        <v>0</v>
      </c>
      <c r="AG20" s="15">
        <v>0</v>
      </c>
      <c r="AH20" s="15">
        <v>0</v>
      </c>
      <c r="AI20" s="15">
        <f t="shared" si="0"/>
        <v>0.29399999999999998</v>
      </c>
      <c r="AJ20" s="15">
        <f t="shared" si="1"/>
        <v>5.194</v>
      </c>
      <c r="AK20" t="s">
        <v>47</v>
      </c>
    </row>
    <row r="21" spans="1:37" ht="15" customHeight="1" x14ac:dyDescent="0.35">
      <c r="A21">
        <v>690929</v>
      </c>
      <c r="B21" t="s">
        <v>37</v>
      </c>
      <c r="C21" t="s">
        <v>38</v>
      </c>
      <c r="D21" s="9" t="s">
        <v>39</v>
      </c>
      <c r="E21" s="10" t="s">
        <v>37</v>
      </c>
      <c r="F21" s="11"/>
      <c r="G21" t="s">
        <v>112</v>
      </c>
      <c r="I21" t="s">
        <v>41</v>
      </c>
      <c r="J21" t="s">
        <v>113</v>
      </c>
      <c r="K21" t="s">
        <v>43</v>
      </c>
      <c r="L21">
        <v>2</v>
      </c>
      <c r="M21" t="s">
        <v>44</v>
      </c>
      <c r="N21" t="s">
        <v>45</v>
      </c>
      <c r="O21" t="s">
        <v>46</v>
      </c>
      <c r="P21" s="5">
        <v>1</v>
      </c>
      <c r="Q21" s="12">
        <v>44677.682905092595</v>
      </c>
      <c r="R21" s="13">
        <v>44690</v>
      </c>
      <c r="T21" t="s">
        <v>47</v>
      </c>
      <c r="U21" t="s">
        <v>48</v>
      </c>
      <c r="V21" t="s">
        <v>114</v>
      </c>
      <c r="Y21" t="s">
        <v>115</v>
      </c>
      <c r="Z21">
        <v>11500</v>
      </c>
      <c r="AA21" t="s">
        <v>47</v>
      </c>
      <c r="AB21" t="s">
        <v>116</v>
      </c>
      <c r="AC21" t="s">
        <v>53</v>
      </c>
      <c r="AD21" s="16">
        <f>IF(P21&lt;=1,4.9,4.9+0.8*ROUNDUP(P21-1,0))</f>
        <v>4.9000000000000004</v>
      </c>
      <c r="AE21" s="15">
        <v>0</v>
      </c>
      <c r="AF21" s="15">
        <v>0</v>
      </c>
      <c r="AG21" s="15">
        <v>0</v>
      </c>
      <c r="AH21" s="15">
        <v>0</v>
      </c>
      <c r="AI21" s="15">
        <f t="shared" si="0"/>
        <v>0.29399999999999998</v>
      </c>
      <c r="AJ21" s="15">
        <f t="shared" si="1"/>
        <v>5.194</v>
      </c>
      <c r="AK21" t="s">
        <v>47</v>
      </c>
    </row>
    <row r="22" spans="1:37" ht="15" customHeight="1" x14ac:dyDescent="0.35">
      <c r="A22">
        <v>690929</v>
      </c>
      <c r="B22" t="s">
        <v>37</v>
      </c>
      <c r="C22" t="s">
        <v>38</v>
      </c>
      <c r="D22" s="9" t="s">
        <v>39</v>
      </c>
      <c r="E22" s="10" t="s">
        <v>37</v>
      </c>
      <c r="F22" s="11"/>
      <c r="G22" t="s">
        <v>117</v>
      </c>
      <c r="I22" t="s">
        <v>41</v>
      </c>
      <c r="J22" t="s">
        <v>118</v>
      </c>
      <c r="K22" t="s">
        <v>43</v>
      </c>
      <c r="L22">
        <v>2</v>
      </c>
      <c r="M22" t="s">
        <v>44</v>
      </c>
      <c r="N22" t="s">
        <v>45</v>
      </c>
      <c r="O22" t="s">
        <v>46</v>
      </c>
      <c r="P22" s="5">
        <v>2</v>
      </c>
      <c r="Q22" s="12">
        <v>44688.655856481484</v>
      </c>
      <c r="R22" s="13">
        <v>44691</v>
      </c>
      <c r="T22" t="s">
        <v>47</v>
      </c>
      <c r="U22" t="s">
        <v>48</v>
      </c>
      <c r="V22" t="s">
        <v>70</v>
      </c>
      <c r="Y22" t="s">
        <v>119</v>
      </c>
      <c r="Z22">
        <v>45800</v>
      </c>
      <c r="AA22" t="s">
        <v>47</v>
      </c>
      <c r="AB22" t="s">
        <v>52</v>
      </c>
      <c r="AC22" t="s">
        <v>53</v>
      </c>
      <c r="AD22" s="16">
        <f>IF(P22&lt;=1,4.9,4.9+0.8*ROUNDUP(P22-1,0))</f>
        <v>5.7</v>
      </c>
      <c r="AE22" s="15">
        <v>0</v>
      </c>
      <c r="AF22" s="15">
        <v>0</v>
      </c>
      <c r="AG22" s="15">
        <v>0</v>
      </c>
      <c r="AH22" s="15">
        <v>0</v>
      </c>
      <c r="AI22" s="15">
        <f t="shared" si="0"/>
        <v>0.34199999999999997</v>
      </c>
      <c r="AJ22" s="15">
        <f t="shared" si="1"/>
        <v>6.0419999999999998</v>
      </c>
      <c r="AK22" t="s">
        <v>47</v>
      </c>
    </row>
    <row r="23" spans="1:37" ht="15" customHeight="1" x14ac:dyDescent="0.35">
      <c r="A23">
        <v>690929</v>
      </c>
      <c r="B23" t="s">
        <v>37</v>
      </c>
      <c r="C23" t="s">
        <v>38</v>
      </c>
      <c r="D23" s="9" t="s">
        <v>39</v>
      </c>
      <c r="E23" s="10" t="s">
        <v>37</v>
      </c>
      <c r="F23" s="11"/>
      <c r="G23" t="s">
        <v>120</v>
      </c>
      <c r="I23" t="s">
        <v>41</v>
      </c>
      <c r="J23" t="s">
        <v>121</v>
      </c>
      <c r="K23" t="s">
        <v>43</v>
      </c>
      <c r="L23">
        <v>2</v>
      </c>
      <c r="M23" t="s">
        <v>44</v>
      </c>
      <c r="N23" t="s">
        <v>45</v>
      </c>
      <c r="O23" t="s">
        <v>46</v>
      </c>
      <c r="P23" s="5">
        <v>1</v>
      </c>
      <c r="Q23" s="12">
        <v>44689.463182870371</v>
      </c>
      <c r="R23" s="13">
        <v>44692</v>
      </c>
      <c r="T23" t="s">
        <v>47</v>
      </c>
      <c r="U23" t="s">
        <v>48</v>
      </c>
      <c r="V23" t="s">
        <v>122</v>
      </c>
      <c r="Y23" t="s">
        <v>123</v>
      </c>
      <c r="Z23">
        <v>6300</v>
      </c>
      <c r="AA23" t="s">
        <v>47</v>
      </c>
      <c r="AB23" t="s">
        <v>52</v>
      </c>
      <c r="AC23" t="s">
        <v>53</v>
      </c>
      <c r="AD23" s="16">
        <f>IF(P23&lt;=1,4.9,4.9+0.8*ROUNDUP(P23-1,0))</f>
        <v>4.9000000000000004</v>
      </c>
      <c r="AE23" s="15">
        <v>0</v>
      </c>
      <c r="AF23" s="15">
        <v>0</v>
      </c>
      <c r="AG23" s="15">
        <v>0</v>
      </c>
      <c r="AH23" s="15">
        <v>0</v>
      </c>
      <c r="AI23" s="15">
        <f t="shared" si="0"/>
        <v>0.29399999999999998</v>
      </c>
      <c r="AJ23" s="15">
        <f t="shared" si="1"/>
        <v>5.194</v>
      </c>
      <c r="AK23" t="s">
        <v>47</v>
      </c>
    </row>
    <row r="24" spans="1:37" ht="15" customHeight="1" x14ac:dyDescent="0.35">
      <c r="A24">
        <v>690929</v>
      </c>
      <c r="B24" t="s">
        <v>37</v>
      </c>
      <c r="C24" t="s">
        <v>38</v>
      </c>
      <c r="D24" s="9" t="s">
        <v>39</v>
      </c>
      <c r="E24" s="10" t="s">
        <v>37</v>
      </c>
      <c r="F24" s="11"/>
      <c r="G24" t="s">
        <v>124</v>
      </c>
      <c r="I24" t="s">
        <v>41</v>
      </c>
      <c r="J24" t="s">
        <v>125</v>
      </c>
      <c r="K24" t="s">
        <v>43</v>
      </c>
      <c r="L24">
        <v>2</v>
      </c>
      <c r="M24" t="s">
        <v>44</v>
      </c>
      <c r="N24" t="s">
        <v>45</v>
      </c>
      <c r="O24" t="s">
        <v>46</v>
      </c>
      <c r="P24" s="5">
        <v>1</v>
      </c>
      <c r="Q24" s="12">
        <v>44690.566365740742</v>
      </c>
      <c r="R24" s="13">
        <v>44692</v>
      </c>
      <c r="T24" t="s">
        <v>47</v>
      </c>
      <c r="U24" t="s">
        <v>48</v>
      </c>
      <c r="V24" t="s">
        <v>93</v>
      </c>
      <c r="Y24" t="s">
        <v>126</v>
      </c>
      <c r="Z24">
        <v>86000</v>
      </c>
      <c r="AA24" t="s">
        <v>47</v>
      </c>
      <c r="AB24" t="s">
        <v>52</v>
      </c>
      <c r="AC24" t="s">
        <v>53</v>
      </c>
      <c r="AD24" s="16">
        <f>IF(P24&lt;=1,4.9,4.9+0.8*ROUNDUP(P24-1,0))</f>
        <v>4.9000000000000004</v>
      </c>
      <c r="AE24" s="15">
        <v>0</v>
      </c>
      <c r="AF24" s="15">
        <v>0</v>
      </c>
      <c r="AG24" s="15">
        <v>0</v>
      </c>
      <c r="AH24" s="15">
        <v>0</v>
      </c>
      <c r="AI24" s="15">
        <f t="shared" si="0"/>
        <v>0.29399999999999998</v>
      </c>
      <c r="AJ24" s="15">
        <f t="shared" si="1"/>
        <v>5.194</v>
      </c>
      <c r="AK24" t="s">
        <v>47</v>
      </c>
    </row>
    <row r="25" spans="1:37" ht="15" customHeight="1" x14ac:dyDescent="0.35">
      <c r="A25">
        <v>690929</v>
      </c>
      <c r="B25" t="s">
        <v>37</v>
      </c>
      <c r="C25" t="s">
        <v>38</v>
      </c>
      <c r="D25" s="9" t="s">
        <v>39</v>
      </c>
      <c r="E25" s="10" t="s">
        <v>37</v>
      </c>
      <c r="F25" s="11"/>
      <c r="G25" t="s">
        <v>127</v>
      </c>
      <c r="I25" t="s">
        <v>41</v>
      </c>
      <c r="J25" t="s">
        <v>128</v>
      </c>
      <c r="K25" t="s">
        <v>43</v>
      </c>
      <c r="L25">
        <v>2</v>
      </c>
      <c r="M25" t="s">
        <v>44</v>
      </c>
      <c r="N25" t="s">
        <v>45</v>
      </c>
      <c r="O25" t="s">
        <v>46</v>
      </c>
      <c r="P25" s="5">
        <v>1</v>
      </c>
      <c r="Q25" s="12">
        <v>44689.679502314815</v>
      </c>
      <c r="R25" s="13">
        <v>44692</v>
      </c>
      <c r="T25" t="s">
        <v>47</v>
      </c>
      <c r="U25" t="s">
        <v>48</v>
      </c>
      <c r="V25" t="s">
        <v>93</v>
      </c>
      <c r="Y25" t="s">
        <v>129</v>
      </c>
      <c r="Z25">
        <v>81300</v>
      </c>
      <c r="AA25" t="s">
        <v>47</v>
      </c>
      <c r="AB25" t="s">
        <v>52</v>
      </c>
      <c r="AC25" t="s">
        <v>53</v>
      </c>
      <c r="AD25" s="16">
        <f>IF(P25&lt;=1,4.9,4.9+0.8*ROUNDUP(P25-1,0))</f>
        <v>4.9000000000000004</v>
      </c>
      <c r="AE25" s="15">
        <v>0</v>
      </c>
      <c r="AF25" s="15">
        <v>0</v>
      </c>
      <c r="AG25" s="15">
        <v>0</v>
      </c>
      <c r="AH25" s="15">
        <v>0</v>
      </c>
      <c r="AI25" s="15">
        <f t="shared" si="0"/>
        <v>0.29399999999999998</v>
      </c>
      <c r="AJ25" s="15">
        <f t="shared" si="1"/>
        <v>5.194</v>
      </c>
      <c r="AK25" t="s">
        <v>47</v>
      </c>
    </row>
    <row r="26" spans="1:37" ht="15" customHeight="1" x14ac:dyDescent="0.35">
      <c r="A26">
        <v>690929</v>
      </c>
      <c r="B26" t="s">
        <v>37</v>
      </c>
      <c r="C26" t="s">
        <v>38</v>
      </c>
      <c r="D26" s="9" t="s">
        <v>39</v>
      </c>
      <c r="E26" s="10" t="s">
        <v>37</v>
      </c>
      <c r="F26" s="11"/>
      <c r="G26" t="s">
        <v>130</v>
      </c>
      <c r="I26" t="s">
        <v>41</v>
      </c>
      <c r="J26" t="s">
        <v>131</v>
      </c>
      <c r="K26" t="s">
        <v>43</v>
      </c>
      <c r="L26">
        <v>2</v>
      </c>
      <c r="M26" t="s">
        <v>44</v>
      </c>
      <c r="N26" t="s">
        <v>45</v>
      </c>
      <c r="O26" t="s">
        <v>46</v>
      </c>
      <c r="P26" s="5">
        <v>2</v>
      </c>
      <c r="Q26" s="12">
        <v>44689.593136574076</v>
      </c>
      <c r="R26" s="13">
        <v>44692</v>
      </c>
      <c r="T26" t="s">
        <v>47</v>
      </c>
      <c r="U26" t="s">
        <v>48</v>
      </c>
      <c r="V26" t="s">
        <v>76</v>
      </c>
      <c r="Y26" t="s">
        <v>132</v>
      </c>
      <c r="Z26">
        <v>76100</v>
      </c>
      <c r="AA26" t="s">
        <v>47</v>
      </c>
      <c r="AB26" t="s">
        <v>52</v>
      </c>
      <c r="AC26" t="s">
        <v>53</v>
      </c>
      <c r="AD26" s="16">
        <f>IF(P26&lt;=1,4.9,4.9+0.8*ROUNDUP(P26-1,0))</f>
        <v>5.7</v>
      </c>
      <c r="AE26" s="15">
        <v>0</v>
      </c>
      <c r="AF26" s="15">
        <v>0</v>
      </c>
      <c r="AG26" s="15">
        <v>0</v>
      </c>
      <c r="AH26" s="15">
        <v>0</v>
      </c>
      <c r="AI26" s="15">
        <f t="shared" si="0"/>
        <v>0.34199999999999997</v>
      </c>
      <c r="AJ26" s="15">
        <f t="shared" si="1"/>
        <v>6.0419999999999998</v>
      </c>
      <c r="AK26" t="s">
        <v>47</v>
      </c>
    </row>
    <row r="27" spans="1:37" ht="15" customHeight="1" x14ac:dyDescent="0.35">
      <c r="A27">
        <v>690929</v>
      </c>
      <c r="B27" t="s">
        <v>37</v>
      </c>
      <c r="C27" t="s">
        <v>38</v>
      </c>
      <c r="D27" s="9" t="s">
        <v>39</v>
      </c>
      <c r="E27" s="10" t="s">
        <v>37</v>
      </c>
      <c r="F27" s="11"/>
      <c r="G27" t="s">
        <v>133</v>
      </c>
      <c r="I27" t="s">
        <v>41</v>
      </c>
      <c r="J27" t="s">
        <v>134</v>
      </c>
      <c r="K27" t="s">
        <v>43</v>
      </c>
      <c r="L27">
        <v>2</v>
      </c>
      <c r="M27" t="s">
        <v>44</v>
      </c>
      <c r="N27" t="s">
        <v>45</v>
      </c>
      <c r="O27" t="s">
        <v>46</v>
      </c>
      <c r="P27" s="5">
        <v>1</v>
      </c>
      <c r="Q27" s="12">
        <v>44688.666250000002</v>
      </c>
      <c r="R27" s="13">
        <v>44692</v>
      </c>
      <c r="T27" t="s">
        <v>47</v>
      </c>
      <c r="U27" t="s">
        <v>48</v>
      </c>
      <c r="V27" t="s">
        <v>70</v>
      </c>
      <c r="Y27" t="s">
        <v>135</v>
      </c>
      <c r="Z27">
        <v>48300</v>
      </c>
      <c r="AA27" t="s">
        <v>47</v>
      </c>
      <c r="AB27" t="s">
        <v>52</v>
      </c>
      <c r="AC27" t="s">
        <v>53</v>
      </c>
      <c r="AD27" s="16">
        <f>IF(P27&lt;=1,4.9,4.9+0.8*ROUNDUP(P27-1,0))</f>
        <v>4.9000000000000004</v>
      </c>
      <c r="AE27" s="15">
        <v>0</v>
      </c>
      <c r="AF27" s="15">
        <v>0</v>
      </c>
      <c r="AG27" s="15">
        <v>0</v>
      </c>
      <c r="AH27" s="15">
        <v>0</v>
      </c>
      <c r="AI27" s="15">
        <f t="shared" si="0"/>
        <v>0.29399999999999998</v>
      </c>
      <c r="AJ27" s="15">
        <f t="shared" si="1"/>
        <v>5.194</v>
      </c>
      <c r="AK27" t="s">
        <v>47</v>
      </c>
    </row>
    <row r="28" spans="1:37" ht="15" customHeight="1" x14ac:dyDescent="0.35">
      <c r="A28">
        <v>690929</v>
      </c>
      <c r="B28" t="s">
        <v>37</v>
      </c>
      <c r="C28" t="s">
        <v>38</v>
      </c>
      <c r="D28" s="9" t="s">
        <v>39</v>
      </c>
      <c r="E28" s="10" t="s">
        <v>37</v>
      </c>
      <c r="F28" s="11"/>
      <c r="G28" t="s">
        <v>136</v>
      </c>
      <c r="I28" t="s">
        <v>41</v>
      </c>
      <c r="J28" t="s">
        <v>91</v>
      </c>
      <c r="K28" t="s">
        <v>43</v>
      </c>
      <c r="L28">
        <v>2</v>
      </c>
      <c r="M28" t="s">
        <v>44</v>
      </c>
      <c r="N28" t="s">
        <v>45</v>
      </c>
      <c r="O28" t="s">
        <v>92</v>
      </c>
      <c r="P28" s="5">
        <v>15</v>
      </c>
      <c r="Q28" s="12">
        <v>44675.775312500002</v>
      </c>
      <c r="R28" s="13">
        <v>44692</v>
      </c>
      <c r="T28" t="s">
        <v>47</v>
      </c>
      <c r="U28" t="s">
        <v>48</v>
      </c>
      <c r="V28" t="s">
        <v>93</v>
      </c>
      <c r="Y28" t="s">
        <v>94</v>
      </c>
      <c r="Z28">
        <v>80250</v>
      </c>
      <c r="AA28" t="s">
        <v>47</v>
      </c>
      <c r="AB28" t="s">
        <v>52</v>
      </c>
      <c r="AC28" t="s">
        <v>53</v>
      </c>
      <c r="AD28" s="16">
        <f>IF(P28&lt;=1,4.9,4.9+0.8*ROUNDUP(P28-1,0))</f>
        <v>16.100000000000001</v>
      </c>
      <c r="AE28" s="15">
        <v>0</v>
      </c>
      <c r="AF28" s="15">
        <v>0</v>
      </c>
      <c r="AG28" s="15">
        <v>0</v>
      </c>
      <c r="AH28" s="15">
        <v>0</v>
      </c>
      <c r="AI28" s="15">
        <f t="shared" si="0"/>
        <v>0.96600000000000008</v>
      </c>
      <c r="AJ28" s="15">
        <f t="shared" si="1"/>
        <v>17.066000000000003</v>
      </c>
      <c r="AK28" t="s">
        <v>47</v>
      </c>
    </row>
    <row r="29" spans="1:37" ht="15" customHeight="1" x14ac:dyDescent="0.35">
      <c r="A29">
        <v>690929</v>
      </c>
      <c r="B29" t="s">
        <v>37</v>
      </c>
      <c r="C29" t="s">
        <v>38</v>
      </c>
      <c r="D29" s="9" t="s">
        <v>39</v>
      </c>
      <c r="E29" s="10" t="s">
        <v>37</v>
      </c>
      <c r="F29" s="11"/>
      <c r="G29" t="s">
        <v>137</v>
      </c>
      <c r="I29" t="s">
        <v>41</v>
      </c>
      <c r="J29" t="s">
        <v>138</v>
      </c>
      <c r="K29" t="s">
        <v>43</v>
      </c>
      <c r="L29">
        <v>2</v>
      </c>
      <c r="M29" t="s">
        <v>44</v>
      </c>
      <c r="N29" t="s">
        <v>45</v>
      </c>
      <c r="O29" t="s">
        <v>46</v>
      </c>
      <c r="P29" s="5">
        <v>1</v>
      </c>
      <c r="Q29" s="12">
        <v>44688.660914351851</v>
      </c>
      <c r="R29" s="13">
        <v>44692</v>
      </c>
      <c r="T29" t="s">
        <v>47</v>
      </c>
      <c r="U29" t="s">
        <v>48</v>
      </c>
      <c r="V29" t="s">
        <v>70</v>
      </c>
      <c r="Y29" t="s">
        <v>139</v>
      </c>
      <c r="Z29">
        <v>43200</v>
      </c>
      <c r="AA29" t="s">
        <v>47</v>
      </c>
      <c r="AB29" t="s">
        <v>52</v>
      </c>
      <c r="AC29" t="s">
        <v>53</v>
      </c>
      <c r="AD29" s="16">
        <f>IF(P29&lt;=1,4.9,4.9+0.8*ROUNDUP(P29-1,0))</f>
        <v>4.9000000000000004</v>
      </c>
      <c r="AE29" s="15">
        <v>0</v>
      </c>
      <c r="AF29" s="15">
        <v>0</v>
      </c>
      <c r="AG29" s="15">
        <v>0</v>
      </c>
      <c r="AH29" s="15">
        <v>0</v>
      </c>
      <c r="AI29" s="15">
        <f t="shared" si="0"/>
        <v>0.29399999999999998</v>
      </c>
      <c r="AJ29" s="15">
        <f t="shared" si="1"/>
        <v>5.194</v>
      </c>
      <c r="AK29" t="s">
        <v>47</v>
      </c>
    </row>
    <row r="30" spans="1:37" ht="15" customHeight="1" x14ac:dyDescent="0.35">
      <c r="A30">
        <v>690929</v>
      </c>
      <c r="B30" t="s">
        <v>37</v>
      </c>
      <c r="C30" t="s">
        <v>38</v>
      </c>
      <c r="D30" s="9" t="s">
        <v>39</v>
      </c>
      <c r="E30" s="10" t="s">
        <v>37</v>
      </c>
      <c r="F30" s="11"/>
      <c r="G30" t="s">
        <v>140</v>
      </c>
      <c r="I30" t="s">
        <v>41</v>
      </c>
      <c r="J30" t="s">
        <v>141</v>
      </c>
      <c r="K30" t="s">
        <v>43</v>
      </c>
      <c r="L30">
        <v>2</v>
      </c>
      <c r="M30" t="s">
        <v>44</v>
      </c>
      <c r="N30" t="s">
        <v>45</v>
      </c>
      <c r="O30" t="s">
        <v>46</v>
      </c>
      <c r="P30" s="5">
        <v>5</v>
      </c>
      <c r="Q30" s="12">
        <v>44692.611226851855</v>
      </c>
      <c r="R30" s="13">
        <v>44693</v>
      </c>
      <c r="T30" t="s">
        <v>47</v>
      </c>
      <c r="U30" t="s">
        <v>48</v>
      </c>
      <c r="V30" t="s">
        <v>61</v>
      </c>
      <c r="Y30" t="s">
        <v>142</v>
      </c>
      <c r="Z30">
        <v>15100</v>
      </c>
      <c r="AA30" t="s">
        <v>47</v>
      </c>
      <c r="AB30" t="s">
        <v>63</v>
      </c>
      <c r="AC30" t="s">
        <v>53</v>
      </c>
      <c r="AD30" s="16">
        <f>IF(P30&lt;=1,4.9,4.9+0.8*ROUNDUP(P30-1,0))</f>
        <v>8.1000000000000014</v>
      </c>
      <c r="AE30" s="15">
        <v>0</v>
      </c>
      <c r="AF30" s="15">
        <v>0</v>
      </c>
      <c r="AG30" s="15">
        <v>0</v>
      </c>
      <c r="AH30" s="15">
        <v>0</v>
      </c>
      <c r="AI30" s="15">
        <f t="shared" si="0"/>
        <v>0.48600000000000004</v>
      </c>
      <c r="AJ30" s="15">
        <f t="shared" si="1"/>
        <v>8.5860000000000021</v>
      </c>
      <c r="AK30" t="s">
        <v>47</v>
      </c>
    </row>
    <row r="31" spans="1:37" ht="15" customHeight="1" x14ac:dyDescent="0.35">
      <c r="A31">
        <v>690929</v>
      </c>
      <c r="B31" t="s">
        <v>37</v>
      </c>
      <c r="C31" t="s">
        <v>38</v>
      </c>
      <c r="D31" s="9" t="s">
        <v>39</v>
      </c>
      <c r="E31" s="10" t="s">
        <v>37</v>
      </c>
      <c r="F31" s="11"/>
      <c r="G31" t="s">
        <v>143</v>
      </c>
      <c r="I31" t="s">
        <v>41</v>
      </c>
      <c r="J31" t="s">
        <v>144</v>
      </c>
      <c r="K31" t="s">
        <v>43</v>
      </c>
      <c r="L31">
        <v>2</v>
      </c>
      <c r="M31" t="s">
        <v>44</v>
      </c>
      <c r="N31" t="s">
        <v>45</v>
      </c>
      <c r="O31" t="s">
        <v>46</v>
      </c>
      <c r="P31" s="5">
        <v>1</v>
      </c>
      <c r="Q31" s="12">
        <v>44691.518414351849</v>
      </c>
      <c r="R31" s="13">
        <v>44693</v>
      </c>
      <c r="T31" t="s">
        <v>47</v>
      </c>
      <c r="U31" t="s">
        <v>48</v>
      </c>
      <c r="V31" t="s">
        <v>70</v>
      </c>
      <c r="Y31" t="s">
        <v>145</v>
      </c>
      <c r="Z31">
        <v>42200</v>
      </c>
      <c r="AA31" t="s">
        <v>47</v>
      </c>
      <c r="AB31" t="s">
        <v>58</v>
      </c>
      <c r="AC31" t="s">
        <v>53</v>
      </c>
      <c r="AD31" s="16">
        <f>IF(P31&lt;=1,4.9,4.9+0.8*ROUNDUP(P31-1,0))</f>
        <v>4.9000000000000004</v>
      </c>
      <c r="AE31" s="15">
        <v>0</v>
      </c>
      <c r="AF31" s="15">
        <v>0</v>
      </c>
      <c r="AG31" s="15">
        <v>0</v>
      </c>
      <c r="AH31" s="15">
        <v>0</v>
      </c>
      <c r="AI31" s="15">
        <f t="shared" si="0"/>
        <v>0.29399999999999998</v>
      </c>
      <c r="AJ31" s="15">
        <f t="shared" si="1"/>
        <v>5.194</v>
      </c>
      <c r="AK31" t="s">
        <v>47</v>
      </c>
    </row>
    <row r="32" spans="1:37" ht="15" customHeight="1" x14ac:dyDescent="0.35">
      <c r="A32">
        <v>690929</v>
      </c>
      <c r="B32" t="s">
        <v>37</v>
      </c>
      <c r="C32" t="s">
        <v>38</v>
      </c>
      <c r="D32" s="9" t="s">
        <v>39</v>
      </c>
      <c r="E32" s="10" t="s">
        <v>37</v>
      </c>
      <c r="F32" s="11"/>
      <c r="G32" t="s">
        <v>146</v>
      </c>
      <c r="I32" t="s">
        <v>41</v>
      </c>
      <c r="J32" t="s">
        <v>147</v>
      </c>
      <c r="K32" t="s">
        <v>43</v>
      </c>
      <c r="L32">
        <v>2</v>
      </c>
      <c r="M32" t="s">
        <v>44</v>
      </c>
      <c r="N32" t="s">
        <v>45</v>
      </c>
      <c r="O32" t="s">
        <v>46</v>
      </c>
      <c r="P32" s="5">
        <v>1</v>
      </c>
      <c r="Q32" s="12">
        <v>44689.663402777776</v>
      </c>
      <c r="R32" s="13">
        <v>44693</v>
      </c>
      <c r="T32" t="s">
        <v>47</v>
      </c>
      <c r="U32" t="s">
        <v>48</v>
      </c>
      <c r="V32" t="s">
        <v>76</v>
      </c>
      <c r="Y32" t="s">
        <v>148</v>
      </c>
      <c r="Z32">
        <v>78300</v>
      </c>
      <c r="AA32" t="s">
        <v>47</v>
      </c>
      <c r="AB32" t="s">
        <v>52</v>
      </c>
      <c r="AC32" t="s">
        <v>53</v>
      </c>
      <c r="AD32" s="16">
        <f>IF(P32&lt;=1,4.9,4.9+0.8*ROUNDUP(P32-1,0))</f>
        <v>4.9000000000000004</v>
      </c>
      <c r="AE32" s="15">
        <v>0</v>
      </c>
      <c r="AF32" s="15">
        <v>0</v>
      </c>
      <c r="AG32" s="15">
        <v>0</v>
      </c>
      <c r="AH32" s="15">
        <v>0</v>
      </c>
      <c r="AI32" s="15">
        <f t="shared" si="0"/>
        <v>0.29399999999999998</v>
      </c>
      <c r="AJ32" s="15">
        <f t="shared" si="1"/>
        <v>5.194</v>
      </c>
      <c r="AK32" t="s">
        <v>47</v>
      </c>
    </row>
    <row r="33" spans="1:37" ht="15" customHeight="1" x14ac:dyDescent="0.35">
      <c r="A33">
        <v>690929</v>
      </c>
      <c r="B33" t="s">
        <v>37</v>
      </c>
      <c r="C33" t="s">
        <v>38</v>
      </c>
      <c r="D33" s="9" t="s">
        <v>39</v>
      </c>
      <c r="E33" s="10" t="s">
        <v>37</v>
      </c>
      <c r="F33" s="11"/>
      <c r="G33" t="s">
        <v>149</v>
      </c>
      <c r="I33" t="s">
        <v>41</v>
      </c>
      <c r="J33" t="s">
        <v>150</v>
      </c>
      <c r="K33" t="s">
        <v>43</v>
      </c>
      <c r="L33">
        <v>2</v>
      </c>
      <c r="M33" t="s">
        <v>44</v>
      </c>
      <c r="N33" t="s">
        <v>45</v>
      </c>
      <c r="O33" t="s">
        <v>46</v>
      </c>
      <c r="P33" s="5">
        <v>3</v>
      </c>
      <c r="Q33" s="12">
        <v>44679.6252662037</v>
      </c>
      <c r="R33" s="13">
        <v>44693</v>
      </c>
      <c r="T33" t="s">
        <v>47</v>
      </c>
      <c r="U33" t="s">
        <v>48</v>
      </c>
      <c r="V33" t="s">
        <v>88</v>
      </c>
      <c r="Y33" t="s">
        <v>151</v>
      </c>
      <c r="Z33">
        <v>59200</v>
      </c>
      <c r="AA33" t="s">
        <v>47</v>
      </c>
      <c r="AB33" t="s">
        <v>52</v>
      </c>
      <c r="AC33" t="s">
        <v>53</v>
      </c>
      <c r="AD33" s="16">
        <f>IF(P33&lt;=1,4.9,4.9+0.8*ROUNDUP(P33-1,0))</f>
        <v>6.5</v>
      </c>
      <c r="AE33" s="15">
        <v>0</v>
      </c>
      <c r="AF33" s="15">
        <v>0</v>
      </c>
      <c r="AG33" s="15">
        <v>0</v>
      </c>
      <c r="AH33" s="15">
        <v>0</v>
      </c>
      <c r="AI33" s="15">
        <f t="shared" si="0"/>
        <v>0.39</v>
      </c>
      <c r="AJ33" s="15">
        <f t="shared" si="1"/>
        <v>6.89</v>
      </c>
      <c r="AK33" t="s">
        <v>47</v>
      </c>
    </row>
    <row r="34" spans="1:37" ht="15" customHeight="1" x14ac:dyDescent="0.35">
      <c r="A34">
        <v>690929</v>
      </c>
      <c r="B34" t="s">
        <v>37</v>
      </c>
      <c r="C34" t="s">
        <v>38</v>
      </c>
      <c r="D34" s="9" t="s">
        <v>39</v>
      </c>
      <c r="E34" s="10" t="s">
        <v>37</v>
      </c>
      <c r="F34" s="11"/>
      <c r="G34" t="s">
        <v>152</v>
      </c>
      <c r="I34" t="s">
        <v>41</v>
      </c>
      <c r="J34" t="s">
        <v>153</v>
      </c>
      <c r="K34" t="s">
        <v>43</v>
      </c>
      <c r="L34">
        <v>2</v>
      </c>
      <c r="M34" t="s">
        <v>44</v>
      </c>
      <c r="N34" t="s">
        <v>45</v>
      </c>
      <c r="O34" t="s">
        <v>46</v>
      </c>
      <c r="P34" s="5">
        <v>1</v>
      </c>
      <c r="Q34" s="12">
        <v>44690.564317129632</v>
      </c>
      <c r="R34" s="13">
        <v>44693</v>
      </c>
      <c r="T34" t="s">
        <v>47</v>
      </c>
      <c r="U34" t="s">
        <v>48</v>
      </c>
      <c r="V34" t="s">
        <v>70</v>
      </c>
      <c r="Y34" t="s">
        <v>154</v>
      </c>
      <c r="Z34">
        <v>68000</v>
      </c>
      <c r="AA34" t="s">
        <v>47</v>
      </c>
      <c r="AB34" t="s">
        <v>58</v>
      </c>
      <c r="AC34" t="s">
        <v>53</v>
      </c>
      <c r="AD34" s="16">
        <f>IF(P34&lt;=1,4.9,4.9+0.8*ROUNDUP(P34-1,0))</f>
        <v>4.9000000000000004</v>
      </c>
      <c r="AE34" s="15">
        <v>0</v>
      </c>
      <c r="AF34" s="15">
        <v>0</v>
      </c>
      <c r="AG34" s="15">
        <v>0</v>
      </c>
      <c r="AH34" s="15">
        <v>0</v>
      </c>
      <c r="AI34" s="15">
        <f t="shared" si="0"/>
        <v>0.29399999999999998</v>
      </c>
      <c r="AJ34" s="15">
        <f t="shared" si="1"/>
        <v>5.194</v>
      </c>
      <c r="AK34" t="s">
        <v>47</v>
      </c>
    </row>
    <row r="35" spans="1:37" ht="15" customHeight="1" x14ac:dyDescent="0.35">
      <c r="A35">
        <v>690929</v>
      </c>
      <c r="B35" t="s">
        <v>37</v>
      </c>
      <c r="C35" t="s">
        <v>38</v>
      </c>
      <c r="D35" s="9" t="s">
        <v>39</v>
      </c>
      <c r="E35" s="10" t="s">
        <v>37</v>
      </c>
      <c r="F35" s="11"/>
      <c r="G35" t="s">
        <v>155</v>
      </c>
      <c r="I35" t="s">
        <v>41</v>
      </c>
      <c r="J35" t="s">
        <v>156</v>
      </c>
      <c r="K35" t="s">
        <v>43</v>
      </c>
      <c r="L35">
        <v>2</v>
      </c>
      <c r="M35" t="s">
        <v>44</v>
      </c>
      <c r="N35" t="s">
        <v>45</v>
      </c>
      <c r="O35" t="s">
        <v>46</v>
      </c>
      <c r="P35" s="5">
        <v>2</v>
      </c>
      <c r="Q35" s="12">
        <v>44691.381099537037</v>
      </c>
      <c r="R35" s="13">
        <v>44694</v>
      </c>
      <c r="T35" t="s">
        <v>47</v>
      </c>
      <c r="U35" t="s">
        <v>48</v>
      </c>
      <c r="V35" t="s">
        <v>93</v>
      </c>
      <c r="Y35" t="s">
        <v>157</v>
      </c>
      <c r="Z35">
        <v>84900</v>
      </c>
      <c r="AA35" t="s">
        <v>47</v>
      </c>
      <c r="AB35" t="s">
        <v>52</v>
      </c>
      <c r="AC35" t="s">
        <v>53</v>
      </c>
      <c r="AD35" s="16">
        <f>IF(P35&lt;=1,4.9,4.9+0.8*ROUNDUP(P35-1,0))</f>
        <v>5.7</v>
      </c>
      <c r="AE35" s="15">
        <v>0</v>
      </c>
      <c r="AF35" s="15">
        <v>0</v>
      </c>
      <c r="AG35" s="15">
        <v>0</v>
      </c>
      <c r="AH35" s="15">
        <v>0</v>
      </c>
      <c r="AI35" s="15">
        <f t="shared" si="0"/>
        <v>0.34199999999999997</v>
      </c>
      <c r="AJ35" s="15">
        <f t="shared" si="1"/>
        <v>6.0419999999999998</v>
      </c>
      <c r="AK35" t="s">
        <v>47</v>
      </c>
    </row>
    <row r="36" spans="1:37" ht="15" customHeight="1" x14ac:dyDescent="0.35">
      <c r="A36">
        <v>690929</v>
      </c>
      <c r="B36" t="s">
        <v>37</v>
      </c>
      <c r="C36" t="s">
        <v>38</v>
      </c>
      <c r="D36" s="9" t="s">
        <v>39</v>
      </c>
      <c r="E36" s="10" t="s">
        <v>37</v>
      </c>
      <c r="F36" s="11"/>
      <c r="G36" t="s">
        <v>158</v>
      </c>
      <c r="I36" t="s">
        <v>41</v>
      </c>
      <c r="J36" t="s">
        <v>159</v>
      </c>
      <c r="K36" t="s">
        <v>43</v>
      </c>
      <c r="L36">
        <v>2</v>
      </c>
      <c r="M36" t="s">
        <v>44</v>
      </c>
      <c r="N36" t="s">
        <v>45</v>
      </c>
      <c r="O36" t="s">
        <v>46</v>
      </c>
      <c r="P36" s="5">
        <v>1</v>
      </c>
      <c r="Q36" s="12">
        <v>44690.740115740744</v>
      </c>
      <c r="R36" s="13">
        <v>44694</v>
      </c>
      <c r="T36" t="s">
        <v>47</v>
      </c>
      <c r="U36" t="s">
        <v>48</v>
      </c>
      <c r="V36" t="s">
        <v>110</v>
      </c>
      <c r="Y36" t="s">
        <v>160</v>
      </c>
      <c r="Z36">
        <v>21100</v>
      </c>
      <c r="AA36" t="s">
        <v>47</v>
      </c>
      <c r="AB36" t="s">
        <v>161</v>
      </c>
      <c r="AC36" t="s">
        <v>53</v>
      </c>
      <c r="AD36" s="16">
        <f>IF(P36&lt;=1,4.9,4.9+0.8*ROUNDUP(P36-1,0))</f>
        <v>4.9000000000000004</v>
      </c>
      <c r="AE36" s="15">
        <v>0</v>
      </c>
      <c r="AF36" s="15">
        <v>0</v>
      </c>
      <c r="AG36" s="15">
        <v>0</v>
      </c>
      <c r="AH36" s="15">
        <v>0</v>
      </c>
      <c r="AI36" s="15">
        <f t="shared" si="0"/>
        <v>0.29399999999999998</v>
      </c>
      <c r="AJ36" s="15">
        <f t="shared" si="1"/>
        <v>5.194</v>
      </c>
      <c r="AK36" t="s">
        <v>47</v>
      </c>
    </row>
    <row r="37" spans="1:37" ht="15" customHeight="1" x14ac:dyDescent="0.35">
      <c r="A37">
        <v>690929</v>
      </c>
      <c r="B37" t="s">
        <v>37</v>
      </c>
      <c r="C37" t="s">
        <v>38</v>
      </c>
      <c r="D37" s="9" t="s">
        <v>39</v>
      </c>
      <c r="E37" s="10" t="s">
        <v>37</v>
      </c>
      <c r="F37" s="11"/>
      <c r="G37" t="s">
        <v>162</v>
      </c>
      <c r="I37" t="s">
        <v>41</v>
      </c>
      <c r="J37" t="s">
        <v>163</v>
      </c>
      <c r="K37" t="s">
        <v>43</v>
      </c>
      <c r="L37">
        <v>2</v>
      </c>
      <c r="M37" t="s">
        <v>44</v>
      </c>
      <c r="N37" t="s">
        <v>45</v>
      </c>
      <c r="O37" t="s">
        <v>46</v>
      </c>
      <c r="P37" s="5">
        <v>2</v>
      </c>
      <c r="Q37" s="12">
        <v>44688.652592592596</v>
      </c>
      <c r="R37" s="13">
        <v>44694</v>
      </c>
      <c r="T37" t="s">
        <v>47</v>
      </c>
      <c r="U37" t="s">
        <v>48</v>
      </c>
      <c r="V37" t="s">
        <v>164</v>
      </c>
      <c r="Y37" t="s">
        <v>165</v>
      </c>
      <c r="Z37">
        <v>31400</v>
      </c>
      <c r="AA37" t="s">
        <v>47</v>
      </c>
      <c r="AB37" t="s">
        <v>52</v>
      </c>
      <c r="AC37" t="s">
        <v>53</v>
      </c>
      <c r="AD37" s="16">
        <f>IF(P37&lt;=1,4.9,4.9+0.8*ROUNDUP(P37-1,0))</f>
        <v>5.7</v>
      </c>
      <c r="AE37" s="15">
        <v>0</v>
      </c>
      <c r="AF37" s="15">
        <v>0</v>
      </c>
      <c r="AG37" s="15">
        <v>0</v>
      </c>
      <c r="AH37" s="15">
        <v>0</v>
      </c>
      <c r="AI37" s="15">
        <f t="shared" si="0"/>
        <v>0.34199999999999997</v>
      </c>
      <c r="AJ37" s="15">
        <f t="shared" si="1"/>
        <v>6.0419999999999998</v>
      </c>
      <c r="AK37" t="s">
        <v>47</v>
      </c>
    </row>
    <row r="38" spans="1:37" ht="15" customHeight="1" x14ac:dyDescent="0.35">
      <c r="A38">
        <v>690929</v>
      </c>
      <c r="B38" t="s">
        <v>37</v>
      </c>
      <c r="C38" t="s">
        <v>38</v>
      </c>
      <c r="D38" s="9" t="s">
        <v>39</v>
      </c>
      <c r="E38" s="10" t="s">
        <v>37</v>
      </c>
      <c r="F38" s="11"/>
      <c r="G38" t="s">
        <v>166</v>
      </c>
      <c r="I38" t="s">
        <v>41</v>
      </c>
      <c r="J38" t="s">
        <v>167</v>
      </c>
      <c r="K38" t="s">
        <v>43</v>
      </c>
      <c r="L38">
        <v>2</v>
      </c>
      <c r="M38" t="s">
        <v>44</v>
      </c>
      <c r="N38" t="s">
        <v>45</v>
      </c>
      <c r="O38" t="s">
        <v>46</v>
      </c>
      <c r="P38" s="5">
        <v>3</v>
      </c>
      <c r="Q38" s="12">
        <v>44690.748553240737</v>
      </c>
      <c r="R38" s="13">
        <v>44694</v>
      </c>
      <c r="T38" t="s">
        <v>47</v>
      </c>
      <c r="U38" t="s">
        <v>48</v>
      </c>
      <c r="V38" t="s">
        <v>93</v>
      </c>
      <c r="Y38" t="s">
        <v>168</v>
      </c>
      <c r="Z38">
        <v>81900</v>
      </c>
      <c r="AA38" t="s">
        <v>47</v>
      </c>
      <c r="AB38" t="s">
        <v>52</v>
      </c>
      <c r="AC38" t="s">
        <v>53</v>
      </c>
      <c r="AD38" s="16">
        <f>IF(P38&lt;=1,4.9,4.9+0.8*ROUNDUP(P38-1,0))</f>
        <v>6.5</v>
      </c>
      <c r="AE38" s="15">
        <v>0</v>
      </c>
      <c r="AF38" s="15">
        <v>0</v>
      </c>
      <c r="AG38" s="15">
        <v>0</v>
      </c>
      <c r="AH38" s="15">
        <v>0</v>
      </c>
      <c r="AI38" s="15">
        <f t="shared" si="0"/>
        <v>0.39</v>
      </c>
      <c r="AJ38" s="15">
        <f t="shared" si="1"/>
        <v>6.89</v>
      </c>
      <c r="AK38" t="s">
        <v>47</v>
      </c>
    </row>
    <row r="39" spans="1:37" ht="15" customHeight="1" x14ac:dyDescent="0.35">
      <c r="A39">
        <v>690929</v>
      </c>
      <c r="B39" t="s">
        <v>37</v>
      </c>
      <c r="C39" t="s">
        <v>38</v>
      </c>
      <c r="D39" s="9" t="s">
        <v>39</v>
      </c>
      <c r="E39" s="10" t="s">
        <v>37</v>
      </c>
      <c r="F39" s="11"/>
      <c r="G39" t="s">
        <v>169</v>
      </c>
      <c r="I39" t="s">
        <v>41</v>
      </c>
      <c r="J39" t="s">
        <v>170</v>
      </c>
      <c r="K39" t="s">
        <v>43</v>
      </c>
      <c r="L39">
        <v>2</v>
      </c>
      <c r="M39" t="s">
        <v>44</v>
      </c>
      <c r="N39" t="s">
        <v>45</v>
      </c>
      <c r="O39" t="s">
        <v>46</v>
      </c>
      <c r="P39" s="5">
        <v>1</v>
      </c>
      <c r="Q39" s="12">
        <v>44692.53701388889</v>
      </c>
      <c r="R39" s="13">
        <v>44694</v>
      </c>
      <c r="T39" t="s">
        <v>47</v>
      </c>
      <c r="U39" t="s">
        <v>48</v>
      </c>
      <c r="V39" t="s">
        <v>70</v>
      </c>
      <c r="Y39" t="s">
        <v>171</v>
      </c>
      <c r="Z39">
        <v>43100</v>
      </c>
      <c r="AA39" t="s">
        <v>47</v>
      </c>
      <c r="AB39" t="s">
        <v>58</v>
      </c>
      <c r="AC39" t="s">
        <v>53</v>
      </c>
      <c r="AD39" s="16">
        <f>IF(P39&lt;=1,4.9,4.9+0.8*ROUNDUP(P39-1,0))</f>
        <v>4.9000000000000004</v>
      </c>
      <c r="AE39" s="15">
        <v>0</v>
      </c>
      <c r="AF39" s="15">
        <v>0</v>
      </c>
      <c r="AG39" s="15">
        <v>0</v>
      </c>
      <c r="AH39" s="15">
        <v>0</v>
      </c>
      <c r="AI39" s="15">
        <f t="shared" si="0"/>
        <v>0.29399999999999998</v>
      </c>
      <c r="AJ39" s="15">
        <f t="shared" si="1"/>
        <v>5.194</v>
      </c>
      <c r="AK39" t="s">
        <v>47</v>
      </c>
    </row>
    <row r="40" spans="1:37" ht="15" customHeight="1" x14ac:dyDescent="0.35">
      <c r="A40">
        <v>690929</v>
      </c>
      <c r="B40" t="s">
        <v>37</v>
      </c>
      <c r="C40" t="s">
        <v>38</v>
      </c>
      <c r="D40" s="9" t="s">
        <v>39</v>
      </c>
      <c r="E40" s="10" t="s">
        <v>37</v>
      </c>
      <c r="F40" s="11"/>
      <c r="G40" t="s">
        <v>172</v>
      </c>
      <c r="I40" t="s">
        <v>41</v>
      </c>
      <c r="J40" t="s">
        <v>173</v>
      </c>
      <c r="K40" t="s">
        <v>43</v>
      </c>
      <c r="L40">
        <v>2</v>
      </c>
      <c r="M40" t="s">
        <v>44</v>
      </c>
      <c r="N40" t="s">
        <v>45</v>
      </c>
      <c r="O40" t="s">
        <v>46</v>
      </c>
      <c r="P40" s="5">
        <v>1</v>
      </c>
      <c r="Q40" s="12">
        <v>44688.668865740743</v>
      </c>
      <c r="R40" s="13">
        <v>44694</v>
      </c>
      <c r="T40" t="s">
        <v>47</v>
      </c>
      <c r="U40" t="s">
        <v>48</v>
      </c>
      <c r="V40" t="s">
        <v>49</v>
      </c>
      <c r="Y40" t="s">
        <v>174</v>
      </c>
      <c r="Z40">
        <v>91000</v>
      </c>
      <c r="AA40" t="s">
        <v>51</v>
      </c>
      <c r="AB40" t="s">
        <v>175</v>
      </c>
      <c r="AC40" t="s">
        <v>53</v>
      </c>
      <c r="AD40" s="14">
        <f>IF(P40&lt;=1,13,IF(P40&lt;=2,23,IF(P40&lt;=3,35,IF(P40&lt;=4,43,IF(P40&lt;=5,53,IF(P40&lt;=6,63,IF(P40&lt;=7,71,IF(P40&lt;=8,79,IF(P40&lt;=9,87,IF(P40&lt;=10,95,IF(P40&lt;=11,105,IF(P40&lt;=12,114,IF(P40&lt;=13,119,IF(P40&lt;=14,127,IF(P40&lt;=15,135,IF(P40&lt;=16,143,IF(P40&lt;=17,153,IF(P40&lt;=18,163,IF(P40&lt;=19,171,IF(P40&lt;=20,185,IF(P40&lt;=21,193,IF(P40&lt;=22,201,IF(P40&lt;=23,210,IF(P40&lt;=24,220,IF(P40&lt;=25,230,IF(P40&lt;=26,240,IF(P40&lt;=27,250,IF(P40&lt;=28,260,IF(P40&lt;=29,270,IF(P40&lt;=30,280,280))))))))))))))))))))))))))))))</f>
        <v>13</v>
      </c>
      <c r="AE40" s="15">
        <v>0</v>
      </c>
      <c r="AF40" s="15">
        <v>0</v>
      </c>
      <c r="AG40" s="15">
        <v>0</v>
      </c>
      <c r="AH40" s="15">
        <v>0</v>
      </c>
      <c r="AI40" s="15">
        <f t="shared" si="0"/>
        <v>0.78</v>
      </c>
      <c r="AJ40" s="15">
        <f t="shared" si="1"/>
        <v>13.78</v>
      </c>
      <c r="AK40" t="s">
        <v>51</v>
      </c>
    </row>
    <row r="41" spans="1:37" ht="15" customHeight="1" x14ac:dyDescent="0.35">
      <c r="A41">
        <v>690929</v>
      </c>
      <c r="B41" t="s">
        <v>37</v>
      </c>
      <c r="C41" t="s">
        <v>38</v>
      </c>
      <c r="D41" s="9" t="s">
        <v>39</v>
      </c>
      <c r="E41" s="10" t="s">
        <v>37</v>
      </c>
      <c r="F41" s="11"/>
      <c r="G41" t="s">
        <v>176</v>
      </c>
      <c r="I41" t="s">
        <v>41</v>
      </c>
      <c r="J41" t="s">
        <v>177</v>
      </c>
      <c r="K41" t="s">
        <v>43</v>
      </c>
      <c r="L41">
        <v>2</v>
      </c>
      <c r="M41" t="s">
        <v>44</v>
      </c>
      <c r="N41" t="s">
        <v>45</v>
      </c>
      <c r="O41" t="s">
        <v>46</v>
      </c>
      <c r="P41" s="5">
        <v>3</v>
      </c>
      <c r="Q41" s="12">
        <v>44688.743946759256</v>
      </c>
      <c r="R41" s="13">
        <v>44694</v>
      </c>
      <c r="T41" t="s">
        <v>47</v>
      </c>
      <c r="U41" t="s">
        <v>48</v>
      </c>
      <c r="V41" t="s">
        <v>70</v>
      </c>
      <c r="Y41" t="s">
        <v>178</v>
      </c>
      <c r="Z41">
        <v>43000</v>
      </c>
      <c r="AA41" t="s">
        <v>47</v>
      </c>
      <c r="AB41" t="s">
        <v>52</v>
      </c>
      <c r="AC41" t="s">
        <v>53</v>
      </c>
      <c r="AD41" s="16">
        <f>IF(P41&lt;=1,4.9,4.9+0.8*ROUNDUP(P41-1,0))</f>
        <v>6.5</v>
      </c>
      <c r="AE41" s="15">
        <v>0</v>
      </c>
      <c r="AF41" s="15">
        <v>0</v>
      </c>
      <c r="AG41" s="15">
        <v>0</v>
      </c>
      <c r="AH41" s="15">
        <v>0</v>
      </c>
      <c r="AI41" s="15">
        <f t="shared" si="0"/>
        <v>0.39</v>
      </c>
      <c r="AJ41" s="15">
        <f t="shared" si="1"/>
        <v>6.89</v>
      </c>
      <c r="AK41" t="s">
        <v>47</v>
      </c>
    </row>
    <row r="42" spans="1:37" ht="15" customHeight="1" x14ac:dyDescent="0.35">
      <c r="A42">
        <v>690929</v>
      </c>
      <c r="B42" t="s">
        <v>37</v>
      </c>
      <c r="C42" t="s">
        <v>38</v>
      </c>
      <c r="D42" s="9" t="s">
        <v>39</v>
      </c>
      <c r="E42" s="10" t="s">
        <v>37</v>
      </c>
      <c r="F42" s="11"/>
      <c r="G42" t="s">
        <v>179</v>
      </c>
      <c r="I42" t="s">
        <v>41</v>
      </c>
      <c r="J42" t="s">
        <v>180</v>
      </c>
      <c r="K42" t="s">
        <v>43</v>
      </c>
      <c r="L42">
        <v>2</v>
      </c>
      <c r="M42" t="s">
        <v>44</v>
      </c>
      <c r="N42" t="s">
        <v>45</v>
      </c>
      <c r="O42" t="s">
        <v>46</v>
      </c>
      <c r="P42" s="5">
        <v>1</v>
      </c>
      <c r="Q42" s="12">
        <v>44692.466898148145</v>
      </c>
      <c r="R42" s="13">
        <v>44694</v>
      </c>
      <c r="T42" t="s">
        <v>47</v>
      </c>
      <c r="U42" t="s">
        <v>48</v>
      </c>
      <c r="V42" t="s">
        <v>70</v>
      </c>
      <c r="Y42" t="s">
        <v>181</v>
      </c>
      <c r="Z42">
        <v>62000</v>
      </c>
      <c r="AA42" t="s">
        <v>47</v>
      </c>
      <c r="AB42" t="s">
        <v>58</v>
      </c>
      <c r="AC42" t="s">
        <v>53</v>
      </c>
      <c r="AD42" s="16">
        <f>IF(P42&lt;=1,4.9,4.9+0.8*ROUNDUP(P42-1,0))</f>
        <v>4.9000000000000004</v>
      </c>
      <c r="AE42" s="15">
        <v>0</v>
      </c>
      <c r="AF42" s="15">
        <v>0</v>
      </c>
      <c r="AG42" s="15">
        <v>0</v>
      </c>
      <c r="AH42" s="15">
        <v>0</v>
      </c>
      <c r="AI42" s="15">
        <f t="shared" si="0"/>
        <v>0.29399999999999998</v>
      </c>
      <c r="AJ42" s="15">
        <f t="shared" si="1"/>
        <v>5.194</v>
      </c>
      <c r="AK42" t="s">
        <v>47</v>
      </c>
    </row>
    <row r="43" spans="1:37" ht="15" customHeight="1" x14ac:dyDescent="0.35">
      <c r="A43">
        <v>690929</v>
      </c>
      <c r="B43" t="s">
        <v>37</v>
      </c>
      <c r="C43" t="s">
        <v>38</v>
      </c>
      <c r="D43" s="9" t="s">
        <v>39</v>
      </c>
      <c r="E43" s="10" t="s">
        <v>37</v>
      </c>
      <c r="F43" s="11"/>
      <c r="G43" t="s">
        <v>182</v>
      </c>
      <c r="I43" t="s">
        <v>41</v>
      </c>
      <c r="J43" t="s">
        <v>183</v>
      </c>
      <c r="K43" t="s">
        <v>43</v>
      </c>
      <c r="L43">
        <v>2</v>
      </c>
      <c r="M43" t="s">
        <v>44</v>
      </c>
      <c r="N43" t="s">
        <v>45</v>
      </c>
      <c r="O43" t="s">
        <v>46</v>
      </c>
      <c r="P43" s="5">
        <v>1</v>
      </c>
      <c r="Q43" s="12">
        <v>44692.551736111112</v>
      </c>
      <c r="R43" s="13">
        <v>44694</v>
      </c>
      <c r="T43" t="s">
        <v>47</v>
      </c>
      <c r="U43" t="s">
        <v>48</v>
      </c>
      <c r="V43" t="s">
        <v>114</v>
      </c>
      <c r="Y43" t="s">
        <v>184</v>
      </c>
      <c r="Z43">
        <v>13700</v>
      </c>
      <c r="AA43" t="s">
        <v>47</v>
      </c>
      <c r="AB43" t="s">
        <v>52</v>
      </c>
      <c r="AC43" t="s">
        <v>53</v>
      </c>
      <c r="AD43" s="16">
        <f>IF(P43&lt;=1,4.9,4.9+0.8*ROUNDUP(P43-1,0))</f>
        <v>4.9000000000000004</v>
      </c>
      <c r="AE43" s="15">
        <v>0</v>
      </c>
      <c r="AF43" s="15">
        <v>0</v>
      </c>
      <c r="AG43" s="15">
        <v>0</v>
      </c>
      <c r="AH43" s="15">
        <v>0</v>
      </c>
      <c r="AI43" s="15">
        <f t="shared" si="0"/>
        <v>0.29399999999999998</v>
      </c>
      <c r="AJ43" s="15">
        <f t="shared" si="1"/>
        <v>5.194</v>
      </c>
      <c r="AK43" t="s">
        <v>47</v>
      </c>
    </row>
    <row r="44" spans="1:37" ht="15" customHeight="1" x14ac:dyDescent="0.35">
      <c r="A44">
        <v>690929</v>
      </c>
      <c r="B44" t="s">
        <v>37</v>
      </c>
      <c r="C44" t="s">
        <v>38</v>
      </c>
      <c r="D44" s="9" t="s">
        <v>39</v>
      </c>
      <c r="E44" s="10" t="s">
        <v>37</v>
      </c>
      <c r="F44" s="11"/>
      <c r="G44" t="s">
        <v>185</v>
      </c>
      <c r="I44" t="s">
        <v>41</v>
      </c>
      <c r="J44" t="s">
        <v>186</v>
      </c>
      <c r="K44" t="s">
        <v>43</v>
      </c>
      <c r="L44">
        <v>2</v>
      </c>
      <c r="M44" t="s">
        <v>44</v>
      </c>
      <c r="N44" t="s">
        <v>45</v>
      </c>
      <c r="O44" t="s">
        <v>46</v>
      </c>
      <c r="P44" s="5">
        <v>1</v>
      </c>
      <c r="Q44" s="12">
        <v>44690.76321759259</v>
      </c>
      <c r="R44" s="13">
        <v>44694</v>
      </c>
      <c r="T44" t="s">
        <v>47</v>
      </c>
      <c r="U44" t="s">
        <v>48</v>
      </c>
      <c r="V44" t="s">
        <v>114</v>
      </c>
      <c r="Y44" t="s">
        <v>187</v>
      </c>
      <c r="Z44">
        <v>10470</v>
      </c>
      <c r="AA44" t="s">
        <v>47</v>
      </c>
      <c r="AB44" t="s">
        <v>52</v>
      </c>
      <c r="AC44" t="s">
        <v>53</v>
      </c>
      <c r="AD44" s="16">
        <f>IF(P44&lt;=1,4.9,4.9+0.8*ROUNDUP(P44-1,0))</f>
        <v>4.9000000000000004</v>
      </c>
      <c r="AE44" s="15">
        <v>0</v>
      </c>
      <c r="AF44" s="15">
        <v>0</v>
      </c>
      <c r="AG44" s="15">
        <v>0</v>
      </c>
      <c r="AH44" s="15">
        <v>0</v>
      </c>
      <c r="AI44" s="15">
        <f t="shared" si="0"/>
        <v>0.29399999999999998</v>
      </c>
      <c r="AJ44" s="15">
        <f t="shared" si="1"/>
        <v>5.194</v>
      </c>
      <c r="AK44" t="s">
        <v>47</v>
      </c>
    </row>
    <row r="45" spans="1:37" ht="15" customHeight="1" x14ac:dyDescent="0.35">
      <c r="A45">
        <v>690929</v>
      </c>
      <c r="B45" t="s">
        <v>37</v>
      </c>
      <c r="C45" t="s">
        <v>38</v>
      </c>
      <c r="D45" s="9" t="s">
        <v>39</v>
      </c>
      <c r="E45" s="10" t="s">
        <v>37</v>
      </c>
      <c r="F45" s="11"/>
      <c r="G45" t="s">
        <v>188</v>
      </c>
      <c r="I45" t="s">
        <v>41</v>
      </c>
      <c r="J45" t="s">
        <v>189</v>
      </c>
      <c r="K45" t="s">
        <v>43</v>
      </c>
      <c r="L45">
        <v>2</v>
      </c>
      <c r="M45" t="s">
        <v>44</v>
      </c>
      <c r="N45" t="s">
        <v>45</v>
      </c>
      <c r="O45" t="s">
        <v>46</v>
      </c>
      <c r="P45" s="5">
        <v>2</v>
      </c>
      <c r="Q45" s="12">
        <v>44693.61109953704</v>
      </c>
      <c r="R45" s="13">
        <v>44694</v>
      </c>
      <c r="T45" t="s">
        <v>47</v>
      </c>
      <c r="U45" t="s">
        <v>48</v>
      </c>
      <c r="V45" t="s">
        <v>56</v>
      </c>
      <c r="Y45" t="s">
        <v>190</v>
      </c>
      <c r="Z45">
        <v>28000</v>
      </c>
      <c r="AA45" t="s">
        <v>47</v>
      </c>
      <c r="AB45" t="s">
        <v>104</v>
      </c>
      <c r="AC45" t="s">
        <v>53</v>
      </c>
      <c r="AD45" s="16">
        <f>IF(P45&lt;=1,4.9,4.9+0.8*ROUNDUP(P45-1,0))</f>
        <v>5.7</v>
      </c>
      <c r="AE45" s="15">
        <v>0</v>
      </c>
      <c r="AF45" s="15">
        <v>0</v>
      </c>
      <c r="AG45" s="15">
        <v>0</v>
      </c>
      <c r="AH45" s="15">
        <v>0</v>
      </c>
      <c r="AI45" s="15">
        <f t="shared" si="0"/>
        <v>0.34199999999999997</v>
      </c>
      <c r="AJ45" s="15">
        <f t="shared" si="1"/>
        <v>6.0419999999999998</v>
      </c>
      <c r="AK45" t="s">
        <v>47</v>
      </c>
    </row>
    <row r="46" spans="1:37" ht="15" customHeight="1" x14ac:dyDescent="0.35">
      <c r="A46">
        <v>690929</v>
      </c>
      <c r="B46" t="s">
        <v>37</v>
      </c>
      <c r="C46" t="s">
        <v>38</v>
      </c>
      <c r="D46" s="9" t="s">
        <v>39</v>
      </c>
      <c r="E46" s="10" t="s">
        <v>37</v>
      </c>
      <c r="F46" s="11"/>
      <c r="G46" t="s">
        <v>191</v>
      </c>
      <c r="I46" t="s">
        <v>41</v>
      </c>
      <c r="J46" t="s">
        <v>192</v>
      </c>
      <c r="K46" t="s">
        <v>43</v>
      </c>
      <c r="L46">
        <v>2</v>
      </c>
      <c r="M46" t="s">
        <v>44</v>
      </c>
      <c r="N46" t="s">
        <v>45</v>
      </c>
      <c r="O46" t="s">
        <v>46</v>
      </c>
      <c r="P46" s="5">
        <v>1</v>
      </c>
      <c r="Q46" s="12">
        <v>44688.658263888887</v>
      </c>
      <c r="R46" s="13">
        <v>44694</v>
      </c>
      <c r="T46" t="s">
        <v>47</v>
      </c>
      <c r="U46" t="s">
        <v>48</v>
      </c>
      <c r="V46" t="s">
        <v>93</v>
      </c>
      <c r="Y46" t="s">
        <v>193</v>
      </c>
      <c r="Z46">
        <v>81200</v>
      </c>
      <c r="AA46" t="s">
        <v>47</v>
      </c>
      <c r="AB46" t="s">
        <v>52</v>
      </c>
      <c r="AC46" t="s">
        <v>53</v>
      </c>
      <c r="AD46" s="16">
        <f>IF(P46&lt;=1,4.9,4.9+0.8*ROUNDUP(P46-1,0))</f>
        <v>4.9000000000000004</v>
      </c>
      <c r="AE46" s="15">
        <v>0</v>
      </c>
      <c r="AF46" s="15">
        <v>0</v>
      </c>
      <c r="AG46" s="15">
        <v>0</v>
      </c>
      <c r="AH46" s="15">
        <v>0</v>
      </c>
      <c r="AI46" s="15">
        <f t="shared" si="0"/>
        <v>0.29399999999999998</v>
      </c>
      <c r="AJ46" s="15">
        <f t="shared" si="1"/>
        <v>5.194</v>
      </c>
      <c r="AK46" t="s">
        <v>47</v>
      </c>
    </row>
    <row r="47" spans="1:37" ht="15" customHeight="1" x14ac:dyDescent="0.35">
      <c r="A47">
        <v>690929</v>
      </c>
      <c r="B47" t="s">
        <v>37</v>
      </c>
      <c r="C47" t="s">
        <v>38</v>
      </c>
      <c r="D47" s="9" t="s">
        <v>39</v>
      </c>
      <c r="E47" s="10" t="s">
        <v>37</v>
      </c>
      <c r="F47" s="11"/>
      <c r="G47" t="s">
        <v>194</v>
      </c>
      <c r="I47" t="s">
        <v>41</v>
      </c>
      <c r="J47" t="s">
        <v>55</v>
      </c>
      <c r="K47" t="s">
        <v>43</v>
      </c>
      <c r="L47">
        <v>2</v>
      </c>
      <c r="M47" t="s">
        <v>44</v>
      </c>
      <c r="N47" t="s">
        <v>45</v>
      </c>
      <c r="O47" t="s">
        <v>46</v>
      </c>
      <c r="P47" s="5">
        <v>1</v>
      </c>
      <c r="Q47" s="12">
        <v>44693.586689814816</v>
      </c>
      <c r="R47" s="13">
        <v>44695</v>
      </c>
      <c r="T47" t="s">
        <v>47</v>
      </c>
      <c r="U47" t="s">
        <v>48</v>
      </c>
      <c r="V47" t="s">
        <v>56</v>
      </c>
      <c r="Y47" t="s">
        <v>57</v>
      </c>
      <c r="Z47">
        <v>28800</v>
      </c>
      <c r="AA47" t="s">
        <v>47</v>
      </c>
      <c r="AB47" t="s">
        <v>58</v>
      </c>
      <c r="AC47" t="s">
        <v>53</v>
      </c>
      <c r="AD47" s="16">
        <f>IF(P47&lt;=1,4.9,4.9+0.8*ROUNDUP(P47-1,0))</f>
        <v>4.9000000000000004</v>
      </c>
      <c r="AE47" s="15">
        <v>0</v>
      </c>
      <c r="AF47" s="15">
        <v>0</v>
      </c>
      <c r="AG47" s="15">
        <v>0</v>
      </c>
      <c r="AH47" s="15">
        <v>0</v>
      </c>
      <c r="AI47" s="15">
        <f t="shared" si="0"/>
        <v>0.29399999999999998</v>
      </c>
      <c r="AJ47" s="15">
        <f t="shared" si="1"/>
        <v>5.194</v>
      </c>
      <c r="AK47" t="s">
        <v>47</v>
      </c>
    </row>
    <row r="48" spans="1:37" ht="15" customHeight="1" x14ac:dyDescent="0.35">
      <c r="A48">
        <v>690929</v>
      </c>
      <c r="B48" t="s">
        <v>37</v>
      </c>
      <c r="C48" t="s">
        <v>38</v>
      </c>
      <c r="D48" s="9" t="s">
        <v>39</v>
      </c>
      <c r="E48" s="10" t="s">
        <v>37</v>
      </c>
      <c r="F48" s="11"/>
      <c r="G48" t="s">
        <v>195</v>
      </c>
      <c r="I48" t="s">
        <v>41</v>
      </c>
      <c r="J48" t="s">
        <v>196</v>
      </c>
      <c r="K48" t="s">
        <v>43</v>
      </c>
      <c r="L48">
        <v>2</v>
      </c>
      <c r="M48" t="s">
        <v>44</v>
      </c>
      <c r="N48" t="s">
        <v>45</v>
      </c>
      <c r="O48" t="s">
        <v>46</v>
      </c>
      <c r="P48" s="5">
        <v>2</v>
      </c>
      <c r="Q48" s="12">
        <v>44693.770069444443</v>
      </c>
      <c r="R48" s="13">
        <v>44695</v>
      </c>
      <c r="T48" t="s">
        <v>47</v>
      </c>
      <c r="U48" t="s">
        <v>58</v>
      </c>
      <c r="V48" t="s">
        <v>61</v>
      </c>
      <c r="Y48" t="s">
        <v>197</v>
      </c>
      <c r="Z48">
        <v>16800</v>
      </c>
      <c r="AA48" t="s">
        <v>47</v>
      </c>
      <c r="AB48" t="s">
        <v>58</v>
      </c>
      <c r="AC48" t="s">
        <v>53</v>
      </c>
      <c r="AD48" s="16">
        <f>IF(P48&lt;=1,4.9,4.9+0.8*ROUNDUP(P48-1,0))</f>
        <v>5.7</v>
      </c>
      <c r="AE48" s="15">
        <v>0</v>
      </c>
      <c r="AF48" s="15">
        <v>0</v>
      </c>
      <c r="AG48" s="15">
        <v>0</v>
      </c>
      <c r="AH48" s="15">
        <v>0</v>
      </c>
      <c r="AI48" s="15">
        <f t="shared" si="0"/>
        <v>0.34199999999999997</v>
      </c>
      <c r="AJ48" s="15">
        <f t="shared" si="1"/>
        <v>6.0419999999999998</v>
      </c>
      <c r="AK48" t="s">
        <v>47</v>
      </c>
    </row>
    <row r="49" spans="1:37" ht="15" customHeight="1" x14ac:dyDescent="0.35">
      <c r="A49">
        <v>690929</v>
      </c>
      <c r="B49" t="s">
        <v>37</v>
      </c>
      <c r="C49" t="s">
        <v>38</v>
      </c>
      <c r="D49" s="9" t="s">
        <v>39</v>
      </c>
      <c r="E49" s="10" t="s">
        <v>37</v>
      </c>
      <c r="F49" s="11"/>
      <c r="G49" t="s">
        <v>198</v>
      </c>
      <c r="I49" t="s">
        <v>41</v>
      </c>
      <c r="J49" t="s">
        <v>199</v>
      </c>
      <c r="K49" t="s">
        <v>43</v>
      </c>
      <c r="L49">
        <v>2</v>
      </c>
      <c r="M49" t="s">
        <v>44</v>
      </c>
      <c r="N49" t="s">
        <v>45</v>
      </c>
      <c r="O49" t="s">
        <v>46</v>
      </c>
      <c r="P49" s="5">
        <v>1</v>
      </c>
      <c r="Q49" s="12">
        <v>44693.572905092595</v>
      </c>
      <c r="R49" s="13">
        <v>44695</v>
      </c>
      <c r="T49" t="s">
        <v>47</v>
      </c>
      <c r="U49" t="s">
        <v>48</v>
      </c>
      <c r="V49" t="s">
        <v>70</v>
      </c>
      <c r="Y49" t="s">
        <v>200</v>
      </c>
      <c r="Z49">
        <v>42700</v>
      </c>
      <c r="AA49" t="s">
        <v>47</v>
      </c>
      <c r="AB49" t="s">
        <v>58</v>
      </c>
      <c r="AC49" t="s">
        <v>53</v>
      </c>
      <c r="AD49" s="16">
        <f>IF(P49&lt;=1,4.9,4.9+0.8*ROUNDUP(P49-1,0))</f>
        <v>4.9000000000000004</v>
      </c>
      <c r="AE49" s="15">
        <v>0</v>
      </c>
      <c r="AF49" s="15">
        <v>0</v>
      </c>
      <c r="AG49" s="15">
        <v>0</v>
      </c>
      <c r="AH49" s="15">
        <v>0</v>
      </c>
      <c r="AI49" s="15">
        <f t="shared" si="0"/>
        <v>0.29399999999999998</v>
      </c>
      <c r="AJ49" s="15">
        <f t="shared" si="1"/>
        <v>5.194</v>
      </c>
      <c r="AK49" t="s">
        <v>47</v>
      </c>
    </row>
    <row r="50" spans="1:37" ht="15" customHeight="1" x14ac:dyDescent="0.35">
      <c r="A50">
        <v>690929</v>
      </c>
      <c r="B50" t="s">
        <v>37</v>
      </c>
      <c r="C50" t="s">
        <v>38</v>
      </c>
      <c r="D50" s="9" t="s">
        <v>39</v>
      </c>
      <c r="E50" s="10" t="s">
        <v>37</v>
      </c>
      <c r="F50" s="11"/>
      <c r="G50" t="s">
        <v>201</v>
      </c>
      <c r="I50" t="s">
        <v>41</v>
      </c>
      <c r="J50" t="s">
        <v>202</v>
      </c>
      <c r="K50" t="s">
        <v>43</v>
      </c>
      <c r="L50">
        <v>2</v>
      </c>
      <c r="M50" t="s">
        <v>44</v>
      </c>
      <c r="N50" t="s">
        <v>45</v>
      </c>
      <c r="O50" t="s">
        <v>46</v>
      </c>
      <c r="P50" s="5">
        <v>3</v>
      </c>
      <c r="Q50" s="12">
        <v>44693.766250000001</v>
      </c>
      <c r="R50" s="13">
        <v>44695</v>
      </c>
      <c r="T50" t="s">
        <v>47</v>
      </c>
      <c r="U50" t="s">
        <v>58</v>
      </c>
      <c r="V50" t="s">
        <v>56</v>
      </c>
      <c r="Y50" t="s">
        <v>203</v>
      </c>
      <c r="Z50">
        <v>26900</v>
      </c>
      <c r="AA50" t="s">
        <v>47</v>
      </c>
      <c r="AB50" t="s">
        <v>204</v>
      </c>
      <c r="AC50" t="s">
        <v>53</v>
      </c>
      <c r="AD50" s="16">
        <f>IF(P50&lt;=1,4.9,4.9+0.8*ROUNDUP(P50-1,0))</f>
        <v>6.5</v>
      </c>
      <c r="AE50" s="15">
        <v>0</v>
      </c>
      <c r="AF50" s="15">
        <v>0</v>
      </c>
      <c r="AG50" s="15">
        <v>0</v>
      </c>
      <c r="AH50" s="15">
        <v>0</v>
      </c>
      <c r="AI50" s="15">
        <f t="shared" si="0"/>
        <v>0.39</v>
      </c>
      <c r="AJ50" s="15">
        <f t="shared" si="1"/>
        <v>6.89</v>
      </c>
      <c r="AK50" t="s">
        <v>47</v>
      </c>
    </row>
    <row r="51" spans="1:37" ht="15" customHeight="1" x14ac:dyDescent="0.35">
      <c r="A51">
        <v>690929</v>
      </c>
      <c r="B51" t="s">
        <v>37</v>
      </c>
      <c r="C51" t="s">
        <v>38</v>
      </c>
      <c r="D51" s="9" t="s">
        <v>39</v>
      </c>
      <c r="E51" s="10" t="s">
        <v>37</v>
      </c>
      <c r="F51" s="11"/>
      <c r="G51" t="s">
        <v>205</v>
      </c>
      <c r="I51" t="s">
        <v>41</v>
      </c>
      <c r="J51" t="s">
        <v>206</v>
      </c>
      <c r="K51" t="s">
        <v>43</v>
      </c>
      <c r="L51">
        <v>2</v>
      </c>
      <c r="M51" t="s">
        <v>44</v>
      </c>
      <c r="N51" t="s">
        <v>45</v>
      </c>
      <c r="O51" t="s">
        <v>46</v>
      </c>
      <c r="P51" s="5">
        <v>1</v>
      </c>
      <c r="Q51" s="12">
        <v>44693.564375000002</v>
      </c>
      <c r="R51" s="13">
        <v>44695</v>
      </c>
      <c r="T51" t="s">
        <v>47</v>
      </c>
      <c r="U51" t="s">
        <v>48</v>
      </c>
      <c r="V51" t="s">
        <v>93</v>
      </c>
      <c r="Y51" t="s">
        <v>207</v>
      </c>
      <c r="Z51">
        <v>83000</v>
      </c>
      <c r="AA51" t="s">
        <v>47</v>
      </c>
      <c r="AB51" t="s">
        <v>85</v>
      </c>
      <c r="AC51" t="s">
        <v>53</v>
      </c>
      <c r="AD51" s="16">
        <f>IF(P51&lt;=1,4.9,4.9+0.8*ROUNDUP(P51-1,0))</f>
        <v>4.9000000000000004</v>
      </c>
      <c r="AE51" s="15">
        <v>0</v>
      </c>
      <c r="AF51" s="15">
        <v>0</v>
      </c>
      <c r="AG51" s="15">
        <v>0</v>
      </c>
      <c r="AH51" s="15">
        <v>0</v>
      </c>
      <c r="AI51" s="15">
        <f t="shared" si="0"/>
        <v>0.29399999999999998</v>
      </c>
      <c r="AJ51" s="15">
        <f t="shared" si="1"/>
        <v>5.194</v>
      </c>
      <c r="AK51" t="s">
        <v>47</v>
      </c>
    </row>
    <row r="52" spans="1:37" ht="15" customHeight="1" x14ac:dyDescent="0.35">
      <c r="A52">
        <v>690929</v>
      </c>
      <c r="B52" t="s">
        <v>37</v>
      </c>
      <c r="C52" t="s">
        <v>38</v>
      </c>
      <c r="D52" s="9" t="s">
        <v>39</v>
      </c>
      <c r="E52" s="10" t="s">
        <v>37</v>
      </c>
      <c r="F52" s="11"/>
      <c r="G52" t="s">
        <v>208</v>
      </c>
      <c r="I52" t="s">
        <v>41</v>
      </c>
      <c r="J52" t="s">
        <v>209</v>
      </c>
      <c r="K52" t="s">
        <v>43</v>
      </c>
      <c r="L52">
        <v>2</v>
      </c>
      <c r="M52" t="s">
        <v>44</v>
      </c>
      <c r="N52" t="s">
        <v>45</v>
      </c>
      <c r="O52" t="s">
        <v>46</v>
      </c>
      <c r="P52" s="5">
        <v>1</v>
      </c>
      <c r="Q52" s="12">
        <v>44693.566122685188</v>
      </c>
      <c r="R52" s="13">
        <v>44695</v>
      </c>
      <c r="T52" t="s">
        <v>47</v>
      </c>
      <c r="U52" t="s">
        <v>48</v>
      </c>
      <c r="V52" t="s">
        <v>164</v>
      </c>
      <c r="Y52" t="s">
        <v>210</v>
      </c>
      <c r="Z52">
        <v>33010</v>
      </c>
      <c r="AA52" t="s">
        <v>47</v>
      </c>
      <c r="AB52" t="s">
        <v>211</v>
      </c>
      <c r="AC52" t="s">
        <v>53</v>
      </c>
      <c r="AD52" s="16">
        <f>IF(P52&lt;=1,4.9,4.9+0.8*ROUNDUP(P52-1,0))</f>
        <v>4.9000000000000004</v>
      </c>
      <c r="AE52" s="15">
        <v>0</v>
      </c>
      <c r="AF52" s="15">
        <v>0</v>
      </c>
      <c r="AG52" s="15">
        <v>0</v>
      </c>
      <c r="AH52" s="15">
        <v>0</v>
      </c>
      <c r="AI52" s="15">
        <f t="shared" si="0"/>
        <v>0.29399999999999998</v>
      </c>
      <c r="AJ52" s="15">
        <f t="shared" si="1"/>
        <v>5.194</v>
      </c>
      <c r="AK52" t="s">
        <v>47</v>
      </c>
    </row>
    <row r="53" spans="1:37" ht="15" customHeight="1" x14ac:dyDescent="0.35">
      <c r="A53">
        <v>690929</v>
      </c>
      <c r="B53" t="s">
        <v>37</v>
      </c>
      <c r="C53" t="s">
        <v>38</v>
      </c>
      <c r="D53" s="9" t="s">
        <v>39</v>
      </c>
      <c r="E53" s="10" t="s">
        <v>37</v>
      </c>
      <c r="F53" s="11"/>
      <c r="G53" t="s">
        <v>212</v>
      </c>
      <c r="I53" t="s">
        <v>41</v>
      </c>
      <c r="J53" t="s">
        <v>213</v>
      </c>
      <c r="K53" t="s">
        <v>43</v>
      </c>
      <c r="L53">
        <v>2</v>
      </c>
      <c r="M53" t="s">
        <v>44</v>
      </c>
      <c r="N53" t="s">
        <v>45</v>
      </c>
      <c r="O53" t="s">
        <v>46</v>
      </c>
      <c r="P53" s="5">
        <v>1</v>
      </c>
      <c r="Q53" s="12">
        <v>44691.687986111108</v>
      </c>
      <c r="R53" s="13">
        <v>44695</v>
      </c>
      <c r="T53" t="s">
        <v>47</v>
      </c>
      <c r="U53" t="s">
        <v>48</v>
      </c>
      <c r="V53" t="s">
        <v>70</v>
      </c>
      <c r="Y53" t="s">
        <v>214</v>
      </c>
      <c r="Z53">
        <v>42500</v>
      </c>
      <c r="AA53" t="s">
        <v>47</v>
      </c>
      <c r="AB53" t="s">
        <v>58</v>
      </c>
      <c r="AC53" t="s">
        <v>53</v>
      </c>
      <c r="AD53" s="16">
        <f>IF(P53&lt;=1,4.9,4.9+0.8*ROUNDUP(P53-1,0))</f>
        <v>4.9000000000000004</v>
      </c>
      <c r="AE53" s="15">
        <v>0</v>
      </c>
      <c r="AF53" s="15">
        <v>0</v>
      </c>
      <c r="AG53" s="15">
        <v>0</v>
      </c>
      <c r="AH53" s="15">
        <v>0</v>
      </c>
      <c r="AI53" s="15">
        <f t="shared" si="0"/>
        <v>0.29399999999999998</v>
      </c>
      <c r="AJ53" s="15">
        <f t="shared" si="1"/>
        <v>5.194</v>
      </c>
      <c r="AK53" t="s">
        <v>47</v>
      </c>
    </row>
    <row r="54" spans="1:37" ht="15" customHeight="1" x14ac:dyDescent="0.35">
      <c r="A54">
        <v>690929</v>
      </c>
      <c r="B54" t="s">
        <v>37</v>
      </c>
      <c r="C54" t="s">
        <v>38</v>
      </c>
      <c r="D54" s="9" t="s">
        <v>39</v>
      </c>
      <c r="E54" s="10" t="s">
        <v>37</v>
      </c>
      <c r="F54" s="11"/>
      <c r="G54" t="s">
        <v>215</v>
      </c>
      <c r="I54" t="s">
        <v>41</v>
      </c>
      <c r="J54" t="s">
        <v>216</v>
      </c>
      <c r="K54" t="s">
        <v>43</v>
      </c>
      <c r="L54">
        <v>2</v>
      </c>
      <c r="M54" t="s">
        <v>44</v>
      </c>
      <c r="N54" t="s">
        <v>45</v>
      </c>
      <c r="O54" t="s">
        <v>46</v>
      </c>
      <c r="P54" s="5">
        <v>1</v>
      </c>
      <c r="Q54" s="12">
        <v>44688.586030092592</v>
      </c>
      <c r="R54" s="13">
        <v>44695</v>
      </c>
      <c r="T54" t="s">
        <v>47</v>
      </c>
      <c r="U54" t="s">
        <v>48</v>
      </c>
      <c r="V54" t="s">
        <v>88</v>
      </c>
      <c r="Y54" t="s">
        <v>217</v>
      </c>
      <c r="Z54">
        <v>59000</v>
      </c>
      <c r="AA54" t="s">
        <v>47</v>
      </c>
      <c r="AB54" t="s">
        <v>52</v>
      </c>
      <c r="AC54" t="s">
        <v>53</v>
      </c>
      <c r="AD54" s="16">
        <f>IF(P54&lt;=1,4.9,4.9+0.8*ROUNDUP(P54-1,0))</f>
        <v>4.9000000000000004</v>
      </c>
      <c r="AE54" s="15">
        <v>0</v>
      </c>
      <c r="AF54" s="15">
        <v>0</v>
      </c>
      <c r="AG54" s="15">
        <v>0</v>
      </c>
      <c r="AH54" s="15">
        <v>0</v>
      </c>
      <c r="AI54" s="15">
        <f t="shared" si="0"/>
        <v>0.29399999999999998</v>
      </c>
      <c r="AJ54" s="15">
        <f t="shared" si="1"/>
        <v>5.194</v>
      </c>
      <c r="AK54" t="s">
        <v>47</v>
      </c>
    </row>
    <row r="55" spans="1:37" ht="15" customHeight="1" x14ac:dyDescent="0.35">
      <c r="A55">
        <v>690929</v>
      </c>
      <c r="B55" t="s">
        <v>37</v>
      </c>
      <c r="C55" t="s">
        <v>38</v>
      </c>
      <c r="D55" s="9" t="s">
        <v>39</v>
      </c>
      <c r="E55" s="10" t="s">
        <v>37</v>
      </c>
      <c r="F55" s="11"/>
      <c r="G55" t="s">
        <v>218</v>
      </c>
      <c r="I55" t="s">
        <v>41</v>
      </c>
      <c r="J55" t="s">
        <v>219</v>
      </c>
      <c r="K55" t="s">
        <v>43</v>
      </c>
      <c r="L55">
        <v>2</v>
      </c>
      <c r="M55" t="s">
        <v>44</v>
      </c>
      <c r="N55" t="s">
        <v>45</v>
      </c>
      <c r="O55" t="s">
        <v>46</v>
      </c>
      <c r="P55" s="5">
        <v>1</v>
      </c>
      <c r="Q55" s="12">
        <v>44693.593240740738</v>
      </c>
      <c r="R55" s="13">
        <v>44695</v>
      </c>
      <c r="T55" t="s">
        <v>47</v>
      </c>
      <c r="U55" t="s">
        <v>48</v>
      </c>
      <c r="V55" t="s">
        <v>122</v>
      </c>
      <c r="Y55" t="s">
        <v>220</v>
      </c>
      <c r="Z55">
        <v>8000</v>
      </c>
      <c r="AA55" t="s">
        <v>47</v>
      </c>
      <c r="AB55" t="s">
        <v>52</v>
      </c>
      <c r="AC55" t="s">
        <v>53</v>
      </c>
      <c r="AD55" s="16">
        <f>IF(P55&lt;=1,4.9,4.9+0.8*ROUNDUP(P55-1,0))</f>
        <v>4.9000000000000004</v>
      </c>
      <c r="AE55" s="15">
        <v>0</v>
      </c>
      <c r="AF55" s="15">
        <v>0</v>
      </c>
      <c r="AG55" s="15">
        <v>0</v>
      </c>
      <c r="AH55" s="15">
        <v>0</v>
      </c>
      <c r="AI55" s="15">
        <f t="shared" si="0"/>
        <v>0.29399999999999998</v>
      </c>
      <c r="AJ55" s="15">
        <f t="shared" si="1"/>
        <v>5.194</v>
      </c>
      <c r="AK55" t="s">
        <v>47</v>
      </c>
    </row>
    <row r="56" spans="1:37" ht="15" customHeight="1" x14ac:dyDescent="0.35">
      <c r="A56">
        <v>690929</v>
      </c>
      <c r="B56" t="s">
        <v>37</v>
      </c>
      <c r="C56" t="s">
        <v>38</v>
      </c>
      <c r="D56" s="9" t="s">
        <v>39</v>
      </c>
      <c r="E56" s="10" t="s">
        <v>37</v>
      </c>
      <c r="F56" s="11"/>
      <c r="G56" t="s">
        <v>221</v>
      </c>
      <c r="I56" t="s">
        <v>41</v>
      </c>
      <c r="J56" t="s">
        <v>222</v>
      </c>
      <c r="K56" t="s">
        <v>43</v>
      </c>
      <c r="L56">
        <v>2</v>
      </c>
      <c r="M56" t="s">
        <v>44</v>
      </c>
      <c r="N56" t="s">
        <v>45</v>
      </c>
      <c r="O56" t="s">
        <v>46</v>
      </c>
      <c r="P56" s="5">
        <v>3</v>
      </c>
      <c r="Q56" s="12">
        <v>44693.763981481483</v>
      </c>
      <c r="R56" s="13">
        <v>44695</v>
      </c>
      <c r="T56" t="s">
        <v>47</v>
      </c>
      <c r="U56" t="s">
        <v>58</v>
      </c>
      <c r="V56" t="s">
        <v>56</v>
      </c>
      <c r="Y56" t="s">
        <v>223</v>
      </c>
      <c r="Z56">
        <v>26690</v>
      </c>
      <c r="AA56" t="s">
        <v>47</v>
      </c>
      <c r="AB56" t="s">
        <v>204</v>
      </c>
      <c r="AC56" t="s">
        <v>53</v>
      </c>
      <c r="AD56" s="16">
        <f>IF(P56&lt;=1,4.9,4.9+0.8*ROUNDUP(P56-1,0))</f>
        <v>6.5</v>
      </c>
      <c r="AE56" s="15">
        <v>0</v>
      </c>
      <c r="AF56" s="15">
        <v>0</v>
      </c>
      <c r="AG56" s="15">
        <v>0</v>
      </c>
      <c r="AH56" s="15">
        <v>0</v>
      </c>
      <c r="AI56" s="15">
        <f t="shared" si="0"/>
        <v>0.39</v>
      </c>
      <c r="AJ56" s="15">
        <f t="shared" si="1"/>
        <v>6.89</v>
      </c>
      <c r="AK56" t="s">
        <v>47</v>
      </c>
    </row>
    <row r="57" spans="1:37" ht="15" customHeight="1" x14ac:dyDescent="0.35">
      <c r="A57">
        <v>690929</v>
      </c>
      <c r="B57" t="s">
        <v>37</v>
      </c>
      <c r="C57" t="s">
        <v>38</v>
      </c>
      <c r="D57" s="9" t="s">
        <v>39</v>
      </c>
      <c r="E57" s="10" t="s">
        <v>37</v>
      </c>
      <c r="F57" s="11"/>
      <c r="G57" t="s">
        <v>224</v>
      </c>
      <c r="I57" t="s">
        <v>41</v>
      </c>
      <c r="J57" t="s">
        <v>225</v>
      </c>
      <c r="K57" t="s">
        <v>43</v>
      </c>
      <c r="L57">
        <v>2</v>
      </c>
      <c r="M57" t="s">
        <v>44</v>
      </c>
      <c r="N57" t="s">
        <v>45</v>
      </c>
      <c r="O57" t="s">
        <v>46</v>
      </c>
      <c r="P57" s="5">
        <v>1</v>
      </c>
      <c r="Q57" s="12">
        <v>44693.759699074071</v>
      </c>
      <c r="R57" s="13">
        <v>44696</v>
      </c>
      <c r="T57" t="s">
        <v>47</v>
      </c>
      <c r="U57" t="s">
        <v>58</v>
      </c>
      <c r="V57" t="s">
        <v>61</v>
      </c>
      <c r="Y57" t="s">
        <v>226</v>
      </c>
      <c r="Z57">
        <v>17600</v>
      </c>
      <c r="AA57" t="s">
        <v>47</v>
      </c>
      <c r="AB57" t="s">
        <v>58</v>
      </c>
      <c r="AC57" t="s">
        <v>53</v>
      </c>
      <c r="AD57" s="16">
        <f>IF(P57&lt;=1,4.9,4.9+0.8*ROUNDUP(P57-1,0))</f>
        <v>4.9000000000000004</v>
      </c>
      <c r="AE57" s="15">
        <v>0</v>
      </c>
      <c r="AF57" s="15">
        <v>0</v>
      </c>
      <c r="AG57" s="15">
        <v>0</v>
      </c>
      <c r="AH57" s="15">
        <v>0</v>
      </c>
      <c r="AI57" s="15">
        <f t="shared" si="0"/>
        <v>0.29399999999999998</v>
      </c>
      <c r="AJ57" s="15">
        <f t="shared" si="1"/>
        <v>5.194</v>
      </c>
      <c r="AK57" t="s">
        <v>47</v>
      </c>
    </row>
    <row r="58" spans="1:37" ht="15" customHeight="1" x14ac:dyDescent="0.35">
      <c r="A58">
        <v>690929</v>
      </c>
      <c r="B58" t="s">
        <v>37</v>
      </c>
      <c r="C58" t="s">
        <v>38</v>
      </c>
      <c r="D58" s="9" t="s">
        <v>39</v>
      </c>
      <c r="E58" s="10" t="s">
        <v>37</v>
      </c>
      <c r="F58" s="11"/>
      <c r="G58" t="s">
        <v>227</v>
      </c>
      <c r="I58" t="s">
        <v>41</v>
      </c>
      <c r="J58" t="s">
        <v>228</v>
      </c>
      <c r="K58" t="s">
        <v>43</v>
      </c>
      <c r="L58">
        <v>2</v>
      </c>
      <c r="M58" t="s">
        <v>44</v>
      </c>
      <c r="N58" t="s">
        <v>45</v>
      </c>
      <c r="O58" t="s">
        <v>46</v>
      </c>
      <c r="P58" s="5">
        <v>5</v>
      </c>
      <c r="Q58" s="12">
        <v>44693.775405092594</v>
      </c>
      <c r="R58" s="13">
        <v>44696</v>
      </c>
      <c r="T58" t="s">
        <v>47</v>
      </c>
      <c r="U58" t="s">
        <v>58</v>
      </c>
      <c r="V58" t="s">
        <v>114</v>
      </c>
      <c r="Y58" t="s">
        <v>229</v>
      </c>
      <c r="Z58">
        <v>11960</v>
      </c>
      <c r="AA58" t="s">
        <v>47</v>
      </c>
      <c r="AB58" t="s">
        <v>230</v>
      </c>
      <c r="AC58" t="s">
        <v>53</v>
      </c>
      <c r="AD58" s="16">
        <f>IF(P58&lt;=1,4.9,4.9+0.8*ROUNDUP(P58-1,0))</f>
        <v>8.1000000000000014</v>
      </c>
      <c r="AE58" s="15">
        <v>0</v>
      </c>
      <c r="AF58" s="15">
        <v>0</v>
      </c>
      <c r="AG58" s="15">
        <v>0</v>
      </c>
      <c r="AH58" s="15">
        <v>0</v>
      </c>
      <c r="AI58" s="15">
        <f t="shared" si="0"/>
        <v>0.48600000000000004</v>
      </c>
      <c r="AJ58" s="15">
        <f t="shared" si="1"/>
        <v>8.5860000000000021</v>
      </c>
      <c r="AK58" t="s">
        <v>47</v>
      </c>
    </row>
    <row r="59" spans="1:37" ht="15" customHeight="1" x14ac:dyDescent="0.35">
      <c r="A59">
        <v>690929</v>
      </c>
      <c r="B59" t="s">
        <v>37</v>
      </c>
      <c r="C59" t="s">
        <v>38</v>
      </c>
      <c r="D59" s="9" t="s">
        <v>39</v>
      </c>
      <c r="E59" s="10" t="s">
        <v>37</v>
      </c>
      <c r="F59" s="11"/>
      <c r="G59" t="s">
        <v>231</v>
      </c>
      <c r="I59" t="s">
        <v>41</v>
      </c>
      <c r="J59" t="s">
        <v>232</v>
      </c>
      <c r="K59" t="s">
        <v>43</v>
      </c>
      <c r="L59">
        <v>2</v>
      </c>
      <c r="M59" t="s">
        <v>44</v>
      </c>
      <c r="N59" t="s">
        <v>45</v>
      </c>
      <c r="O59" t="s">
        <v>46</v>
      </c>
      <c r="P59" s="5">
        <v>2</v>
      </c>
      <c r="Q59" s="12">
        <v>44695.655324074076</v>
      </c>
      <c r="R59" s="13">
        <v>44697</v>
      </c>
      <c r="T59" t="s">
        <v>47</v>
      </c>
      <c r="U59" t="s">
        <v>48</v>
      </c>
      <c r="V59" t="s">
        <v>56</v>
      </c>
      <c r="Y59" t="s">
        <v>233</v>
      </c>
      <c r="Z59">
        <v>28800</v>
      </c>
      <c r="AA59" t="s">
        <v>47</v>
      </c>
      <c r="AB59" t="s">
        <v>58</v>
      </c>
      <c r="AC59" t="s">
        <v>53</v>
      </c>
      <c r="AD59" s="16">
        <f>IF(P59&lt;=1,4.9,4.9+0.8*ROUNDUP(P59-1,0))</f>
        <v>5.7</v>
      </c>
      <c r="AE59" s="15">
        <v>0</v>
      </c>
      <c r="AF59" s="15">
        <v>0</v>
      </c>
      <c r="AG59" s="15">
        <v>0</v>
      </c>
      <c r="AH59" s="15">
        <v>0</v>
      </c>
      <c r="AI59" s="15">
        <f t="shared" si="0"/>
        <v>0.34199999999999997</v>
      </c>
      <c r="AJ59" s="15">
        <f t="shared" si="1"/>
        <v>6.0419999999999998</v>
      </c>
      <c r="AK59" t="s">
        <v>47</v>
      </c>
    </row>
    <row r="60" spans="1:37" ht="15" customHeight="1" x14ac:dyDescent="0.35">
      <c r="A60">
        <v>690929</v>
      </c>
      <c r="B60" t="s">
        <v>37</v>
      </c>
      <c r="C60" t="s">
        <v>38</v>
      </c>
      <c r="D60" s="9" t="s">
        <v>39</v>
      </c>
      <c r="E60" s="10" t="s">
        <v>37</v>
      </c>
      <c r="F60" s="11"/>
      <c r="G60" t="s">
        <v>234</v>
      </c>
      <c r="I60" t="s">
        <v>41</v>
      </c>
      <c r="J60" t="s">
        <v>225</v>
      </c>
      <c r="K60" t="s">
        <v>43</v>
      </c>
      <c r="L60">
        <v>2</v>
      </c>
      <c r="M60" t="s">
        <v>44</v>
      </c>
      <c r="N60" t="s">
        <v>45</v>
      </c>
      <c r="O60" t="s">
        <v>46</v>
      </c>
      <c r="P60" s="5">
        <v>1</v>
      </c>
      <c r="Q60" s="12">
        <v>44695.644201388888</v>
      </c>
      <c r="R60" s="13">
        <v>44697</v>
      </c>
      <c r="T60" t="s">
        <v>47</v>
      </c>
      <c r="U60" t="s">
        <v>48</v>
      </c>
      <c r="V60" t="s">
        <v>61</v>
      </c>
      <c r="Y60" t="s">
        <v>226</v>
      </c>
      <c r="Z60">
        <v>17600</v>
      </c>
      <c r="AA60" t="s">
        <v>47</v>
      </c>
      <c r="AB60" t="s">
        <v>52</v>
      </c>
      <c r="AC60" t="s">
        <v>53</v>
      </c>
      <c r="AD60" s="16">
        <f>IF(P60&lt;=1,4.9,4.9+0.8*ROUNDUP(P60-1,0))</f>
        <v>4.9000000000000004</v>
      </c>
      <c r="AE60" s="15">
        <v>0</v>
      </c>
      <c r="AF60" s="15">
        <v>0</v>
      </c>
      <c r="AG60" s="15">
        <v>0</v>
      </c>
      <c r="AH60" s="15">
        <v>0</v>
      </c>
      <c r="AI60" s="15">
        <f t="shared" si="0"/>
        <v>0.29399999999999998</v>
      </c>
      <c r="AJ60" s="15">
        <f t="shared" si="1"/>
        <v>5.194</v>
      </c>
      <c r="AK60" t="s">
        <v>47</v>
      </c>
    </row>
    <row r="61" spans="1:37" ht="15" customHeight="1" x14ac:dyDescent="0.35">
      <c r="A61">
        <v>690929</v>
      </c>
      <c r="B61" t="s">
        <v>37</v>
      </c>
      <c r="C61" t="s">
        <v>38</v>
      </c>
      <c r="D61" s="9" t="s">
        <v>39</v>
      </c>
      <c r="E61" s="10" t="s">
        <v>37</v>
      </c>
      <c r="F61" s="11"/>
      <c r="G61" t="s">
        <v>235</v>
      </c>
      <c r="I61" t="s">
        <v>41</v>
      </c>
      <c r="J61" t="s">
        <v>236</v>
      </c>
      <c r="K61" t="s">
        <v>43</v>
      </c>
      <c r="L61">
        <v>2</v>
      </c>
      <c r="M61" t="s">
        <v>44</v>
      </c>
      <c r="N61" t="s">
        <v>45</v>
      </c>
      <c r="O61" t="s">
        <v>46</v>
      </c>
      <c r="P61" s="5">
        <v>1</v>
      </c>
      <c r="Q61" s="12">
        <v>44695.652372685188</v>
      </c>
      <c r="R61" s="13">
        <v>44697</v>
      </c>
      <c r="T61" t="s">
        <v>47</v>
      </c>
      <c r="U61" t="s">
        <v>48</v>
      </c>
      <c r="V61" t="s">
        <v>70</v>
      </c>
      <c r="Y61" t="s">
        <v>237</v>
      </c>
      <c r="Z61">
        <v>54200</v>
      </c>
      <c r="AA61" t="s">
        <v>47</v>
      </c>
      <c r="AB61" t="s">
        <v>58</v>
      </c>
      <c r="AC61" t="s">
        <v>53</v>
      </c>
      <c r="AD61" s="16">
        <f>IF(P61&lt;=1,4.9,4.9+0.8*ROUNDUP(P61-1,0))</f>
        <v>4.9000000000000004</v>
      </c>
      <c r="AE61" s="15">
        <v>0</v>
      </c>
      <c r="AF61" s="15">
        <v>0</v>
      </c>
      <c r="AG61" s="15">
        <v>0</v>
      </c>
      <c r="AH61" s="15">
        <v>0</v>
      </c>
      <c r="AI61" s="15">
        <f t="shared" si="0"/>
        <v>0.29399999999999998</v>
      </c>
      <c r="AJ61" s="15">
        <f t="shared" si="1"/>
        <v>5.194</v>
      </c>
      <c r="AK61" t="s">
        <v>47</v>
      </c>
    </row>
    <row r="62" spans="1:37" ht="15" customHeight="1" x14ac:dyDescent="0.35">
      <c r="A62">
        <v>690929</v>
      </c>
      <c r="B62" t="s">
        <v>37</v>
      </c>
      <c r="C62" t="s">
        <v>38</v>
      </c>
      <c r="D62" s="9" t="s">
        <v>39</v>
      </c>
      <c r="E62" s="10" t="s">
        <v>37</v>
      </c>
      <c r="F62" s="11"/>
      <c r="G62" t="s">
        <v>238</v>
      </c>
      <c r="I62" t="s">
        <v>41</v>
      </c>
      <c r="J62" t="s">
        <v>239</v>
      </c>
      <c r="K62" t="s">
        <v>43</v>
      </c>
      <c r="L62">
        <v>2</v>
      </c>
      <c r="M62" t="s">
        <v>44</v>
      </c>
      <c r="N62" t="s">
        <v>45</v>
      </c>
      <c r="O62" t="s">
        <v>46</v>
      </c>
      <c r="P62" s="5">
        <v>1</v>
      </c>
      <c r="Q62" s="12">
        <v>44695.648263888892</v>
      </c>
      <c r="R62" s="13">
        <v>44697</v>
      </c>
      <c r="T62" t="s">
        <v>47</v>
      </c>
      <c r="U62" t="s">
        <v>48</v>
      </c>
      <c r="V62" t="s">
        <v>93</v>
      </c>
      <c r="Y62" t="s">
        <v>240</v>
      </c>
      <c r="Z62">
        <v>85000</v>
      </c>
      <c r="AA62" t="s">
        <v>47</v>
      </c>
      <c r="AB62" t="s">
        <v>52</v>
      </c>
      <c r="AC62" t="s">
        <v>53</v>
      </c>
      <c r="AD62" s="16">
        <f>IF(P62&lt;=1,4.9,4.9+0.8*ROUNDUP(P62-1,0))</f>
        <v>4.9000000000000004</v>
      </c>
      <c r="AE62" s="15">
        <v>0</v>
      </c>
      <c r="AF62" s="15">
        <v>0</v>
      </c>
      <c r="AG62" s="15">
        <v>0</v>
      </c>
      <c r="AH62" s="15">
        <v>0</v>
      </c>
      <c r="AI62" s="15">
        <f t="shared" si="0"/>
        <v>0.29399999999999998</v>
      </c>
      <c r="AJ62" s="15">
        <f t="shared" si="1"/>
        <v>5.194</v>
      </c>
      <c r="AK62" t="s">
        <v>47</v>
      </c>
    </row>
    <row r="63" spans="1:37" ht="15" customHeight="1" x14ac:dyDescent="0.35">
      <c r="A63">
        <v>690929</v>
      </c>
      <c r="B63" t="s">
        <v>37</v>
      </c>
      <c r="C63" t="s">
        <v>38</v>
      </c>
      <c r="D63" s="9" t="s">
        <v>39</v>
      </c>
      <c r="E63" s="10" t="s">
        <v>37</v>
      </c>
      <c r="F63" s="11"/>
      <c r="G63" t="s">
        <v>241</v>
      </c>
      <c r="I63" t="s">
        <v>41</v>
      </c>
      <c r="J63" t="s">
        <v>242</v>
      </c>
      <c r="K63" t="s">
        <v>43</v>
      </c>
      <c r="L63">
        <v>2</v>
      </c>
      <c r="M63" t="s">
        <v>44</v>
      </c>
      <c r="N63" t="s">
        <v>45</v>
      </c>
      <c r="O63" t="s">
        <v>46</v>
      </c>
      <c r="P63" s="5">
        <v>3</v>
      </c>
      <c r="Q63" s="12">
        <v>44695.656446759262</v>
      </c>
      <c r="R63" s="13">
        <v>44697</v>
      </c>
      <c r="T63" t="s">
        <v>47</v>
      </c>
      <c r="U63" t="s">
        <v>48</v>
      </c>
      <c r="V63" t="s">
        <v>114</v>
      </c>
      <c r="Y63" t="s">
        <v>243</v>
      </c>
      <c r="Z63">
        <v>11960</v>
      </c>
      <c r="AA63" t="s">
        <v>47</v>
      </c>
      <c r="AB63" t="s">
        <v>52</v>
      </c>
      <c r="AC63" t="s">
        <v>53</v>
      </c>
      <c r="AD63" s="16">
        <f>IF(P63&lt;=1,4.9,4.9+0.8*ROUNDUP(P63-1,0))</f>
        <v>6.5</v>
      </c>
      <c r="AE63" s="15">
        <v>0</v>
      </c>
      <c r="AF63" s="15">
        <v>0</v>
      </c>
      <c r="AG63" s="15">
        <v>0</v>
      </c>
      <c r="AH63" s="15">
        <v>0</v>
      </c>
      <c r="AI63" s="15">
        <f t="shared" si="0"/>
        <v>0.39</v>
      </c>
      <c r="AJ63" s="15">
        <f t="shared" si="1"/>
        <v>6.89</v>
      </c>
      <c r="AK63" t="s">
        <v>47</v>
      </c>
    </row>
    <row r="64" spans="1:37" ht="15" customHeight="1" x14ac:dyDescent="0.35">
      <c r="A64">
        <v>690929</v>
      </c>
      <c r="B64" t="s">
        <v>37</v>
      </c>
      <c r="C64" t="s">
        <v>38</v>
      </c>
      <c r="D64" s="9" t="s">
        <v>39</v>
      </c>
      <c r="E64" s="10" t="s">
        <v>37</v>
      </c>
      <c r="F64" s="11"/>
      <c r="G64" t="s">
        <v>244</v>
      </c>
      <c r="I64" t="s">
        <v>41</v>
      </c>
      <c r="J64" t="s">
        <v>245</v>
      </c>
      <c r="K64" t="s">
        <v>43</v>
      </c>
      <c r="L64">
        <v>2</v>
      </c>
      <c r="M64" t="s">
        <v>44</v>
      </c>
      <c r="N64" t="s">
        <v>45</v>
      </c>
      <c r="O64" t="s">
        <v>46</v>
      </c>
      <c r="P64" s="5">
        <v>3</v>
      </c>
      <c r="Q64" s="12">
        <v>44695.641793981478</v>
      </c>
      <c r="R64" s="13">
        <v>44697</v>
      </c>
      <c r="T64" t="s">
        <v>47</v>
      </c>
      <c r="U64" t="s">
        <v>48</v>
      </c>
      <c r="V64" t="s">
        <v>114</v>
      </c>
      <c r="Y64" t="s">
        <v>246</v>
      </c>
      <c r="Z64">
        <v>13800</v>
      </c>
      <c r="AA64" t="s">
        <v>47</v>
      </c>
      <c r="AB64" t="s">
        <v>52</v>
      </c>
      <c r="AC64" t="s">
        <v>53</v>
      </c>
      <c r="AD64" s="16">
        <f>IF(P64&lt;=1,4.9,4.9+0.8*ROUNDUP(P64-1,0))</f>
        <v>6.5</v>
      </c>
      <c r="AE64" s="15">
        <v>0</v>
      </c>
      <c r="AF64" s="15">
        <v>0</v>
      </c>
      <c r="AG64" s="15">
        <v>0</v>
      </c>
      <c r="AH64" s="15">
        <v>0</v>
      </c>
      <c r="AI64" s="15">
        <f t="shared" si="0"/>
        <v>0.39</v>
      </c>
      <c r="AJ64" s="15">
        <f t="shared" si="1"/>
        <v>6.89</v>
      </c>
      <c r="AK64" t="s">
        <v>47</v>
      </c>
    </row>
    <row r="65" spans="1:37" ht="15" customHeight="1" x14ac:dyDescent="0.35">
      <c r="A65">
        <v>690929</v>
      </c>
      <c r="B65" t="s">
        <v>37</v>
      </c>
      <c r="C65" t="s">
        <v>38</v>
      </c>
      <c r="D65" s="9" t="s">
        <v>39</v>
      </c>
      <c r="E65" s="10" t="s">
        <v>37</v>
      </c>
      <c r="F65" s="11"/>
      <c r="G65" t="s">
        <v>247</v>
      </c>
      <c r="I65" t="s">
        <v>41</v>
      </c>
      <c r="J65" t="s">
        <v>248</v>
      </c>
      <c r="K65" t="s">
        <v>43</v>
      </c>
      <c r="L65">
        <v>2</v>
      </c>
      <c r="M65" t="s">
        <v>44</v>
      </c>
      <c r="N65" t="s">
        <v>45</v>
      </c>
      <c r="O65" t="s">
        <v>46</v>
      </c>
      <c r="P65" s="5">
        <v>5</v>
      </c>
      <c r="Q65" s="12">
        <v>44695.647129629629</v>
      </c>
      <c r="R65" s="13">
        <v>44697</v>
      </c>
      <c r="T65" t="s">
        <v>47</v>
      </c>
      <c r="U65" t="s">
        <v>48</v>
      </c>
      <c r="V65" t="s">
        <v>114</v>
      </c>
      <c r="Y65" t="s">
        <v>249</v>
      </c>
      <c r="Z65">
        <v>11900</v>
      </c>
      <c r="AA65" t="s">
        <v>47</v>
      </c>
      <c r="AB65" t="s">
        <v>52</v>
      </c>
      <c r="AC65" t="s">
        <v>53</v>
      </c>
      <c r="AD65" s="16">
        <f>IF(P65&lt;=1,4.9,4.9+0.8*ROUNDUP(P65-1,0))</f>
        <v>8.1000000000000014</v>
      </c>
      <c r="AE65" s="15">
        <v>0</v>
      </c>
      <c r="AF65" s="15">
        <v>0</v>
      </c>
      <c r="AG65" s="15">
        <v>0</v>
      </c>
      <c r="AH65" s="15">
        <v>0</v>
      </c>
      <c r="AI65" s="15">
        <f t="shared" si="0"/>
        <v>0.48600000000000004</v>
      </c>
      <c r="AJ65" s="15">
        <f t="shared" si="1"/>
        <v>8.5860000000000021</v>
      </c>
      <c r="AK65" t="s">
        <v>47</v>
      </c>
    </row>
    <row r="66" spans="1:37" ht="15" customHeight="1" x14ac:dyDescent="0.35">
      <c r="A66">
        <v>690929</v>
      </c>
      <c r="B66" t="s">
        <v>37</v>
      </c>
      <c r="C66" t="s">
        <v>38</v>
      </c>
      <c r="D66" s="9" t="s">
        <v>39</v>
      </c>
      <c r="E66" s="10" t="s">
        <v>37</v>
      </c>
      <c r="F66" s="11"/>
      <c r="G66" t="s">
        <v>250</v>
      </c>
      <c r="I66" t="s">
        <v>41</v>
      </c>
      <c r="J66" t="s">
        <v>251</v>
      </c>
      <c r="K66" t="s">
        <v>43</v>
      </c>
      <c r="L66">
        <v>2</v>
      </c>
      <c r="M66" t="s">
        <v>44</v>
      </c>
      <c r="N66" t="s">
        <v>45</v>
      </c>
      <c r="O66" t="s">
        <v>46</v>
      </c>
      <c r="P66" s="5">
        <v>2</v>
      </c>
      <c r="Q66" s="12">
        <v>44695.64539351852</v>
      </c>
      <c r="R66" s="13">
        <v>44697</v>
      </c>
      <c r="T66" t="s">
        <v>47</v>
      </c>
      <c r="U66" t="s">
        <v>48</v>
      </c>
      <c r="V66" t="s">
        <v>252</v>
      </c>
      <c r="Y66" t="s">
        <v>253</v>
      </c>
      <c r="Z66">
        <v>2400</v>
      </c>
      <c r="AA66" t="s">
        <v>47</v>
      </c>
      <c r="AB66" t="s">
        <v>52</v>
      </c>
      <c r="AC66" t="s">
        <v>53</v>
      </c>
      <c r="AD66" s="16">
        <f>IF(P66&lt;=1,4.9,4.9+0.8*ROUNDUP(P66-1,0))</f>
        <v>5.7</v>
      </c>
      <c r="AE66" s="15">
        <v>0</v>
      </c>
      <c r="AF66" s="15">
        <v>0</v>
      </c>
      <c r="AG66" s="15">
        <v>0</v>
      </c>
      <c r="AH66" s="15">
        <v>0</v>
      </c>
      <c r="AI66" s="15">
        <f t="shared" ref="AI66:AI129" si="2">(AD66+AF66+AH66)*6%</f>
        <v>0.34199999999999997</v>
      </c>
      <c r="AJ66" s="15">
        <f t="shared" ref="AJ66:AJ129" si="3">AD66+AF66+AH66+AI66</f>
        <v>6.0419999999999998</v>
      </c>
      <c r="AK66" t="s">
        <v>47</v>
      </c>
    </row>
    <row r="67" spans="1:37" ht="15" customHeight="1" x14ac:dyDescent="0.35">
      <c r="A67">
        <v>690929</v>
      </c>
      <c r="B67" t="s">
        <v>37</v>
      </c>
      <c r="C67" t="s">
        <v>38</v>
      </c>
      <c r="D67" s="9" t="s">
        <v>39</v>
      </c>
      <c r="E67" s="10" t="s">
        <v>37</v>
      </c>
      <c r="F67" s="11"/>
      <c r="G67" t="s">
        <v>254</v>
      </c>
      <c r="I67" t="s">
        <v>41</v>
      </c>
      <c r="J67" t="s">
        <v>255</v>
      </c>
      <c r="K67" t="s">
        <v>43</v>
      </c>
      <c r="L67">
        <v>2</v>
      </c>
      <c r="M67" t="s">
        <v>44</v>
      </c>
      <c r="N67" t="s">
        <v>45</v>
      </c>
      <c r="O67" t="s">
        <v>46</v>
      </c>
      <c r="P67" s="5">
        <v>1</v>
      </c>
      <c r="Q67" s="12">
        <v>44691.572696759256</v>
      </c>
      <c r="R67" s="13">
        <v>44697</v>
      </c>
      <c r="T67" t="s">
        <v>47</v>
      </c>
      <c r="U67" t="s">
        <v>48</v>
      </c>
      <c r="V67" t="s">
        <v>70</v>
      </c>
      <c r="Y67" t="s">
        <v>256</v>
      </c>
      <c r="Z67">
        <v>40160</v>
      </c>
      <c r="AA67" t="s">
        <v>47</v>
      </c>
      <c r="AB67" t="s">
        <v>58</v>
      </c>
      <c r="AC67" t="s">
        <v>53</v>
      </c>
      <c r="AD67" s="16">
        <f>IF(P67&lt;=1,4.9,4.9+0.8*ROUNDUP(P67-1,0))</f>
        <v>4.9000000000000004</v>
      </c>
      <c r="AE67" s="15">
        <v>0</v>
      </c>
      <c r="AF67" s="15">
        <v>0</v>
      </c>
      <c r="AG67" s="15">
        <v>0</v>
      </c>
      <c r="AH67" s="15">
        <v>0</v>
      </c>
      <c r="AI67" s="15">
        <f t="shared" si="2"/>
        <v>0.29399999999999998</v>
      </c>
      <c r="AJ67" s="15">
        <f t="shared" si="3"/>
        <v>5.194</v>
      </c>
      <c r="AK67" t="s">
        <v>47</v>
      </c>
    </row>
    <row r="68" spans="1:37" ht="15" customHeight="1" x14ac:dyDescent="0.35">
      <c r="A68">
        <v>690929</v>
      </c>
      <c r="B68" t="s">
        <v>37</v>
      </c>
      <c r="C68" t="s">
        <v>38</v>
      </c>
      <c r="D68" s="9" t="s">
        <v>39</v>
      </c>
      <c r="E68" s="10" t="s">
        <v>37</v>
      </c>
      <c r="F68" s="11"/>
      <c r="G68" t="s">
        <v>257</v>
      </c>
      <c r="I68" t="s">
        <v>41</v>
      </c>
      <c r="J68" t="s">
        <v>258</v>
      </c>
      <c r="K68" t="s">
        <v>43</v>
      </c>
      <c r="L68">
        <v>2</v>
      </c>
      <c r="M68" t="s">
        <v>44</v>
      </c>
      <c r="N68" t="s">
        <v>45</v>
      </c>
      <c r="O68" t="s">
        <v>46</v>
      </c>
      <c r="P68" s="5">
        <v>1</v>
      </c>
      <c r="Q68" s="12">
        <v>44696.54478009259</v>
      </c>
      <c r="R68" s="13">
        <v>44697</v>
      </c>
      <c r="T68" t="s">
        <v>47</v>
      </c>
      <c r="U68" t="s">
        <v>48</v>
      </c>
      <c r="V68" t="s">
        <v>61</v>
      </c>
      <c r="Y68" t="s">
        <v>259</v>
      </c>
      <c r="Z68">
        <v>17200</v>
      </c>
      <c r="AA68" t="s">
        <v>47</v>
      </c>
      <c r="AB68" t="s">
        <v>58</v>
      </c>
      <c r="AC68" t="s">
        <v>53</v>
      </c>
      <c r="AD68" s="16">
        <f>IF(P68&lt;=1,4.9,4.9+0.8*ROUNDUP(P68-1,0))</f>
        <v>4.9000000000000004</v>
      </c>
      <c r="AE68" s="15">
        <v>0</v>
      </c>
      <c r="AF68" s="15">
        <v>0</v>
      </c>
      <c r="AG68" s="15">
        <v>0</v>
      </c>
      <c r="AH68" s="15">
        <v>0</v>
      </c>
      <c r="AI68" s="15">
        <f t="shared" si="2"/>
        <v>0.29399999999999998</v>
      </c>
      <c r="AJ68" s="15">
        <f t="shared" si="3"/>
        <v>5.194</v>
      </c>
      <c r="AK68" t="s">
        <v>47</v>
      </c>
    </row>
    <row r="69" spans="1:37" ht="15" customHeight="1" x14ac:dyDescent="0.35">
      <c r="A69">
        <v>690929</v>
      </c>
      <c r="B69" t="s">
        <v>37</v>
      </c>
      <c r="C69" t="s">
        <v>38</v>
      </c>
      <c r="D69" s="9" t="s">
        <v>39</v>
      </c>
      <c r="E69" s="10" t="s">
        <v>37</v>
      </c>
      <c r="F69" s="11"/>
      <c r="G69" t="s">
        <v>260</v>
      </c>
      <c r="I69" t="s">
        <v>41</v>
      </c>
      <c r="J69" t="s">
        <v>261</v>
      </c>
      <c r="K69" t="s">
        <v>43</v>
      </c>
      <c r="L69">
        <v>2</v>
      </c>
      <c r="M69" t="s">
        <v>44</v>
      </c>
      <c r="N69" t="s">
        <v>45</v>
      </c>
      <c r="O69" t="s">
        <v>46</v>
      </c>
      <c r="P69" s="5">
        <v>3</v>
      </c>
      <c r="Q69" s="12">
        <v>44695.651041666664</v>
      </c>
      <c r="R69" s="13">
        <v>44697</v>
      </c>
      <c r="T69" t="s">
        <v>47</v>
      </c>
      <c r="U69" t="s">
        <v>48</v>
      </c>
      <c r="V69" t="s">
        <v>70</v>
      </c>
      <c r="Y69" t="s">
        <v>262</v>
      </c>
      <c r="Z69">
        <v>47130</v>
      </c>
      <c r="AA69" t="s">
        <v>47</v>
      </c>
      <c r="AB69" t="s">
        <v>58</v>
      </c>
      <c r="AC69" t="s">
        <v>53</v>
      </c>
      <c r="AD69" s="16">
        <f>IF(P69&lt;=1,4.9,4.9+0.8*ROUNDUP(P69-1,0))</f>
        <v>6.5</v>
      </c>
      <c r="AE69" s="15">
        <v>0</v>
      </c>
      <c r="AF69" s="15">
        <v>0</v>
      </c>
      <c r="AG69" s="15">
        <v>0</v>
      </c>
      <c r="AH69" s="15">
        <v>0</v>
      </c>
      <c r="AI69" s="15">
        <f t="shared" si="2"/>
        <v>0.39</v>
      </c>
      <c r="AJ69" s="15">
        <f t="shared" si="3"/>
        <v>6.89</v>
      </c>
      <c r="AK69" t="s">
        <v>47</v>
      </c>
    </row>
    <row r="70" spans="1:37" ht="15" customHeight="1" x14ac:dyDescent="0.35">
      <c r="A70">
        <v>690929</v>
      </c>
      <c r="B70" t="s">
        <v>37</v>
      </c>
      <c r="C70" t="s">
        <v>38</v>
      </c>
      <c r="D70" s="9" t="s">
        <v>39</v>
      </c>
      <c r="E70" s="10" t="s">
        <v>37</v>
      </c>
      <c r="F70" s="11"/>
      <c r="G70" t="s">
        <v>263</v>
      </c>
      <c r="I70" t="s">
        <v>41</v>
      </c>
      <c r="J70" t="s">
        <v>264</v>
      </c>
      <c r="K70" t="s">
        <v>43</v>
      </c>
      <c r="L70">
        <v>2</v>
      </c>
      <c r="M70" t="s">
        <v>44</v>
      </c>
      <c r="N70" t="s">
        <v>45</v>
      </c>
      <c r="O70" t="s">
        <v>46</v>
      </c>
      <c r="P70" s="5">
        <v>6</v>
      </c>
      <c r="Q70" s="12">
        <v>44697.500706018516</v>
      </c>
      <c r="R70" s="13">
        <v>44698</v>
      </c>
      <c r="T70" t="s">
        <v>47</v>
      </c>
      <c r="U70" t="s">
        <v>48</v>
      </c>
      <c r="V70" t="s">
        <v>56</v>
      </c>
      <c r="Y70" t="s">
        <v>265</v>
      </c>
      <c r="Z70">
        <v>26600</v>
      </c>
      <c r="AA70" t="s">
        <v>47</v>
      </c>
      <c r="AB70" t="s">
        <v>266</v>
      </c>
      <c r="AC70" t="s">
        <v>53</v>
      </c>
      <c r="AD70" s="16">
        <f>IF(P70&lt;=1,4.9,4.9+0.8*ROUNDUP(P70-1,0))</f>
        <v>8.9</v>
      </c>
      <c r="AE70" s="15">
        <v>0</v>
      </c>
      <c r="AF70" s="15">
        <v>0</v>
      </c>
      <c r="AG70" s="15">
        <v>0</v>
      </c>
      <c r="AH70" s="15">
        <v>0</v>
      </c>
      <c r="AI70" s="15">
        <f t="shared" si="2"/>
        <v>0.53400000000000003</v>
      </c>
      <c r="AJ70" s="15">
        <f t="shared" si="3"/>
        <v>9.4340000000000011</v>
      </c>
      <c r="AK70" t="s">
        <v>47</v>
      </c>
    </row>
    <row r="71" spans="1:37" ht="15" customHeight="1" x14ac:dyDescent="0.35">
      <c r="A71">
        <v>690929</v>
      </c>
      <c r="B71" t="s">
        <v>37</v>
      </c>
      <c r="C71" t="s">
        <v>38</v>
      </c>
      <c r="D71" s="9" t="s">
        <v>39</v>
      </c>
      <c r="E71" s="10" t="s">
        <v>37</v>
      </c>
      <c r="F71" s="11"/>
      <c r="G71" t="s">
        <v>267</v>
      </c>
      <c r="I71" t="s">
        <v>41</v>
      </c>
      <c r="J71" t="s">
        <v>268</v>
      </c>
      <c r="K71" t="s">
        <v>43</v>
      </c>
      <c r="L71">
        <v>2</v>
      </c>
      <c r="M71" t="s">
        <v>44</v>
      </c>
      <c r="N71" t="s">
        <v>45</v>
      </c>
      <c r="O71" t="s">
        <v>46</v>
      </c>
      <c r="P71" s="5">
        <v>14</v>
      </c>
      <c r="Q71" s="12">
        <v>44697.530104166668</v>
      </c>
      <c r="R71" s="13">
        <v>44698</v>
      </c>
      <c r="T71" t="s">
        <v>47</v>
      </c>
      <c r="U71" t="s">
        <v>48</v>
      </c>
      <c r="V71" t="s">
        <v>61</v>
      </c>
      <c r="Y71" t="s">
        <v>269</v>
      </c>
      <c r="Z71">
        <v>18500</v>
      </c>
      <c r="AA71" t="s">
        <v>47</v>
      </c>
      <c r="AB71" t="s">
        <v>67</v>
      </c>
      <c r="AC71" t="s">
        <v>53</v>
      </c>
      <c r="AD71" s="16">
        <f>IF(P71&lt;=1,4.9,4.9+0.8*ROUNDUP(P71-1,0))</f>
        <v>15.3</v>
      </c>
      <c r="AE71" s="15">
        <v>0</v>
      </c>
      <c r="AF71" s="15">
        <v>0</v>
      </c>
      <c r="AG71" s="15">
        <v>0</v>
      </c>
      <c r="AH71" s="15">
        <v>0</v>
      </c>
      <c r="AI71" s="15">
        <f t="shared" si="2"/>
        <v>0.91800000000000004</v>
      </c>
      <c r="AJ71" s="15">
        <f t="shared" si="3"/>
        <v>16.218</v>
      </c>
      <c r="AK71" t="s">
        <v>47</v>
      </c>
    </row>
    <row r="72" spans="1:37" ht="15" customHeight="1" x14ac:dyDescent="0.35">
      <c r="A72">
        <v>690929</v>
      </c>
      <c r="B72" t="s">
        <v>37</v>
      </c>
      <c r="C72" t="s">
        <v>38</v>
      </c>
      <c r="D72" s="9" t="s">
        <v>39</v>
      </c>
      <c r="E72" s="10" t="s">
        <v>37</v>
      </c>
      <c r="F72" s="11"/>
      <c r="G72" t="s">
        <v>270</v>
      </c>
      <c r="I72" t="s">
        <v>41</v>
      </c>
      <c r="J72" t="s">
        <v>268</v>
      </c>
      <c r="K72" t="s">
        <v>43</v>
      </c>
      <c r="L72">
        <v>2</v>
      </c>
      <c r="M72" t="s">
        <v>44</v>
      </c>
      <c r="N72" t="s">
        <v>45</v>
      </c>
      <c r="O72" t="s">
        <v>46</v>
      </c>
      <c r="P72" s="5">
        <v>9</v>
      </c>
      <c r="Q72" s="12">
        <v>44697.508912037039</v>
      </c>
      <c r="R72" s="13">
        <v>44698</v>
      </c>
      <c r="T72" t="s">
        <v>47</v>
      </c>
      <c r="U72" t="s">
        <v>48</v>
      </c>
      <c r="V72" t="s">
        <v>61</v>
      </c>
      <c r="Y72" t="s">
        <v>271</v>
      </c>
      <c r="Z72">
        <v>18500</v>
      </c>
      <c r="AA72" t="s">
        <v>47</v>
      </c>
      <c r="AB72" t="s">
        <v>67</v>
      </c>
      <c r="AC72" t="s">
        <v>53</v>
      </c>
      <c r="AD72" s="16">
        <f>IF(P72&lt;=1,4.9,4.9+0.8*ROUNDUP(P72-1,0))</f>
        <v>11.3</v>
      </c>
      <c r="AE72" s="15">
        <v>0</v>
      </c>
      <c r="AF72" s="15">
        <v>0</v>
      </c>
      <c r="AG72" s="15">
        <v>0</v>
      </c>
      <c r="AH72" s="15">
        <v>0</v>
      </c>
      <c r="AI72" s="15">
        <f t="shared" si="2"/>
        <v>0.67800000000000005</v>
      </c>
      <c r="AJ72" s="15">
        <f t="shared" si="3"/>
        <v>11.978000000000002</v>
      </c>
      <c r="AK72" t="s">
        <v>47</v>
      </c>
    </row>
    <row r="73" spans="1:37" ht="15" customHeight="1" x14ac:dyDescent="0.35">
      <c r="A73">
        <v>690929</v>
      </c>
      <c r="B73" t="s">
        <v>37</v>
      </c>
      <c r="C73" t="s">
        <v>38</v>
      </c>
      <c r="D73" s="9" t="s">
        <v>39</v>
      </c>
      <c r="E73" s="10" t="s">
        <v>37</v>
      </c>
      <c r="F73" s="11"/>
      <c r="G73" t="s">
        <v>272</v>
      </c>
      <c r="I73" t="s">
        <v>41</v>
      </c>
      <c r="J73" t="s">
        <v>273</v>
      </c>
      <c r="K73" t="s">
        <v>43</v>
      </c>
      <c r="L73">
        <v>2</v>
      </c>
      <c r="M73" t="s">
        <v>44</v>
      </c>
      <c r="N73" t="s">
        <v>45</v>
      </c>
      <c r="O73" t="s">
        <v>46</v>
      </c>
      <c r="P73" s="5">
        <v>1</v>
      </c>
      <c r="Q73" s="12">
        <v>44697.486284722225</v>
      </c>
      <c r="R73" s="13">
        <v>44698</v>
      </c>
      <c r="T73" t="s">
        <v>47</v>
      </c>
      <c r="U73" t="s">
        <v>48</v>
      </c>
      <c r="V73" t="s">
        <v>56</v>
      </c>
      <c r="Y73" t="s">
        <v>274</v>
      </c>
      <c r="Z73">
        <v>28300</v>
      </c>
      <c r="AA73" t="s">
        <v>47</v>
      </c>
      <c r="AB73" t="s">
        <v>275</v>
      </c>
      <c r="AC73" t="s">
        <v>53</v>
      </c>
      <c r="AD73" s="16">
        <f>IF(P73&lt;=1,4.9,4.9+0.8*ROUNDUP(P73-1,0))</f>
        <v>4.9000000000000004</v>
      </c>
      <c r="AE73" s="15">
        <v>0</v>
      </c>
      <c r="AF73" s="15">
        <v>0</v>
      </c>
      <c r="AG73" s="15">
        <v>0</v>
      </c>
      <c r="AH73" s="15">
        <v>0</v>
      </c>
      <c r="AI73" s="15">
        <f t="shared" si="2"/>
        <v>0.29399999999999998</v>
      </c>
      <c r="AJ73" s="15">
        <f t="shared" si="3"/>
        <v>5.194</v>
      </c>
      <c r="AK73" t="s">
        <v>47</v>
      </c>
    </row>
    <row r="74" spans="1:37" ht="15" customHeight="1" x14ac:dyDescent="0.35">
      <c r="A74">
        <v>690929</v>
      </c>
      <c r="B74" t="s">
        <v>37</v>
      </c>
      <c r="C74" t="s">
        <v>38</v>
      </c>
      <c r="D74" s="9" t="s">
        <v>39</v>
      </c>
      <c r="E74" s="10" t="s">
        <v>37</v>
      </c>
      <c r="F74" s="11"/>
      <c r="G74" t="s">
        <v>276</v>
      </c>
      <c r="I74" t="s">
        <v>41</v>
      </c>
      <c r="J74" t="s">
        <v>277</v>
      </c>
      <c r="K74" t="s">
        <v>43</v>
      </c>
      <c r="L74">
        <v>2</v>
      </c>
      <c r="M74" t="s">
        <v>44</v>
      </c>
      <c r="N74" t="s">
        <v>45</v>
      </c>
      <c r="O74" t="s">
        <v>46</v>
      </c>
      <c r="P74" s="5">
        <v>6</v>
      </c>
      <c r="Q74" s="12">
        <v>44697.522997685184</v>
      </c>
      <c r="R74" s="13">
        <v>44698</v>
      </c>
      <c r="T74" t="s">
        <v>47</v>
      </c>
      <c r="U74" t="s">
        <v>48</v>
      </c>
      <c r="V74" t="s">
        <v>110</v>
      </c>
      <c r="Y74" t="s">
        <v>278</v>
      </c>
      <c r="Z74">
        <v>21040</v>
      </c>
      <c r="AA74" t="s">
        <v>47</v>
      </c>
      <c r="AB74" t="s">
        <v>279</v>
      </c>
      <c r="AC74" t="s">
        <v>53</v>
      </c>
      <c r="AD74" s="16">
        <f>IF(P74&lt;=1,4.9,4.9+0.8*ROUNDUP(P74-1,0))</f>
        <v>8.9</v>
      </c>
      <c r="AE74" s="15">
        <v>0</v>
      </c>
      <c r="AF74" s="15">
        <v>0</v>
      </c>
      <c r="AG74" s="15">
        <v>0</v>
      </c>
      <c r="AH74" s="15">
        <v>0</v>
      </c>
      <c r="AI74" s="15">
        <f t="shared" si="2"/>
        <v>0.53400000000000003</v>
      </c>
      <c r="AJ74" s="15">
        <f t="shared" si="3"/>
        <v>9.4340000000000011</v>
      </c>
      <c r="AK74" t="s">
        <v>47</v>
      </c>
    </row>
    <row r="75" spans="1:37" ht="15" customHeight="1" x14ac:dyDescent="0.35">
      <c r="A75">
        <v>690929</v>
      </c>
      <c r="B75" t="s">
        <v>37</v>
      </c>
      <c r="C75" t="s">
        <v>38</v>
      </c>
      <c r="D75" s="9" t="s">
        <v>39</v>
      </c>
      <c r="E75" s="10" t="s">
        <v>37</v>
      </c>
      <c r="F75" s="11"/>
      <c r="G75" t="s">
        <v>280</v>
      </c>
      <c r="I75" t="s">
        <v>41</v>
      </c>
      <c r="J75" t="s">
        <v>281</v>
      </c>
      <c r="K75" t="s">
        <v>43</v>
      </c>
      <c r="L75">
        <v>2</v>
      </c>
      <c r="M75" t="s">
        <v>44</v>
      </c>
      <c r="N75" t="s">
        <v>45</v>
      </c>
      <c r="O75" t="s">
        <v>46</v>
      </c>
      <c r="P75" s="5">
        <v>11</v>
      </c>
      <c r="Q75" s="12">
        <v>44697.54409722222</v>
      </c>
      <c r="R75" s="13">
        <v>44698</v>
      </c>
      <c r="T75" t="s">
        <v>47</v>
      </c>
      <c r="U75" t="s">
        <v>48</v>
      </c>
      <c r="V75" t="s">
        <v>56</v>
      </c>
      <c r="Y75" t="s">
        <v>282</v>
      </c>
      <c r="Z75">
        <v>26300</v>
      </c>
      <c r="AA75" t="s">
        <v>47</v>
      </c>
      <c r="AB75" t="s">
        <v>283</v>
      </c>
      <c r="AC75" t="s">
        <v>53</v>
      </c>
      <c r="AD75" s="16">
        <f>IF(P75&lt;=1,4.9,4.9+0.8*ROUNDUP(P75-1,0))</f>
        <v>12.9</v>
      </c>
      <c r="AE75" s="15">
        <v>0</v>
      </c>
      <c r="AF75" s="15">
        <v>0</v>
      </c>
      <c r="AG75" s="15">
        <v>0</v>
      </c>
      <c r="AH75" s="15">
        <v>0</v>
      </c>
      <c r="AI75" s="15">
        <f t="shared" si="2"/>
        <v>0.77400000000000002</v>
      </c>
      <c r="AJ75" s="15">
        <f t="shared" si="3"/>
        <v>13.673999999999999</v>
      </c>
      <c r="AK75" t="s">
        <v>47</v>
      </c>
    </row>
    <row r="76" spans="1:37" ht="15" customHeight="1" x14ac:dyDescent="0.35">
      <c r="A76">
        <v>690929</v>
      </c>
      <c r="B76" t="s">
        <v>37</v>
      </c>
      <c r="C76" t="s">
        <v>38</v>
      </c>
      <c r="D76" s="9" t="s">
        <v>39</v>
      </c>
      <c r="E76" s="10" t="s">
        <v>37</v>
      </c>
      <c r="F76" s="11"/>
      <c r="G76" t="s">
        <v>284</v>
      </c>
      <c r="I76" t="s">
        <v>41</v>
      </c>
      <c r="J76" t="s">
        <v>285</v>
      </c>
      <c r="K76" t="s">
        <v>43</v>
      </c>
      <c r="L76">
        <v>2</v>
      </c>
      <c r="M76" t="s">
        <v>44</v>
      </c>
      <c r="N76" t="s">
        <v>45</v>
      </c>
      <c r="O76" t="s">
        <v>92</v>
      </c>
      <c r="P76" s="5">
        <v>6</v>
      </c>
      <c r="Q76" s="12">
        <v>44697.524444444447</v>
      </c>
      <c r="R76" s="13">
        <v>44698</v>
      </c>
      <c r="T76" t="s">
        <v>47</v>
      </c>
      <c r="U76" t="s">
        <v>48</v>
      </c>
      <c r="V76" t="s">
        <v>56</v>
      </c>
      <c r="Y76" t="s">
        <v>286</v>
      </c>
      <c r="Z76">
        <v>26080</v>
      </c>
      <c r="AA76" t="s">
        <v>47</v>
      </c>
      <c r="AB76" t="s">
        <v>275</v>
      </c>
      <c r="AC76" t="s">
        <v>53</v>
      </c>
      <c r="AD76" s="16">
        <f>IF(P76&lt;=1,4.9,4.9+0.8*ROUNDUP(P76-1,0))</f>
        <v>8.9</v>
      </c>
      <c r="AE76" s="15">
        <v>0</v>
      </c>
      <c r="AF76" s="15">
        <v>0</v>
      </c>
      <c r="AG76" s="15">
        <v>0</v>
      </c>
      <c r="AH76" s="15">
        <v>0</v>
      </c>
      <c r="AI76" s="15">
        <f t="shared" si="2"/>
        <v>0.53400000000000003</v>
      </c>
      <c r="AJ76" s="15">
        <f t="shared" si="3"/>
        <v>9.4340000000000011</v>
      </c>
      <c r="AK76" t="s">
        <v>47</v>
      </c>
    </row>
    <row r="77" spans="1:37" ht="15" customHeight="1" x14ac:dyDescent="0.35">
      <c r="A77">
        <v>690929</v>
      </c>
      <c r="B77" t="s">
        <v>37</v>
      </c>
      <c r="C77" t="s">
        <v>38</v>
      </c>
      <c r="D77" s="9" t="s">
        <v>39</v>
      </c>
      <c r="E77" s="10" t="s">
        <v>37</v>
      </c>
      <c r="F77" s="11"/>
      <c r="G77" t="s">
        <v>287</v>
      </c>
      <c r="I77" t="s">
        <v>41</v>
      </c>
      <c r="J77" t="s">
        <v>288</v>
      </c>
      <c r="K77" t="s">
        <v>43</v>
      </c>
      <c r="L77">
        <v>2</v>
      </c>
      <c r="M77" t="s">
        <v>44</v>
      </c>
      <c r="N77" t="s">
        <v>45</v>
      </c>
      <c r="O77" t="s">
        <v>46</v>
      </c>
      <c r="P77" s="5">
        <v>1</v>
      </c>
      <c r="Q77" s="12">
        <v>44694.722500000003</v>
      </c>
      <c r="R77" s="13">
        <v>44698</v>
      </c>
      <c r="T77" t="s">
        <v>47</v>
      </c>
      <c r="U77" t="s">
        <v>48</v>
      </c>
      <c r="V77" t="s">
        <v>164</v>
      </c>
      <c r="Y77" t="s">
        <v>289</v>
      </c>
      <c r="Z77">
        <v>34600</v>
      </c>
      <c r="AA77" t="s">
        <v>47</v>
      </c>
      <c r="AB77" t="s">
        <v>52</v>
      </c>
      <c r="AC77" t="s">
        <v>53</v>
      </c>
      <c r="AD77" s="16">
        <f>IF(P77&lt;=1,4.9,4.9+0.8*ROUNDUP(P77-1,0))</f>
        <v>4.9000000000000004</v>
      </c>
      <c r="AE77" s="15">
        <v>0</v>
      </c>
      <c r="AF77" s="15">
        <v>0</v>
      </c>
      <c r="AG77" s="15">
        <v>0</v>
      </c>
      <c r="AH77" s="15">
        <v>0</v>
      </c>
      <c r="AI77" s="15">
        <f t="shared" si="2"/>
        <v>0.29399999999999998</v>
      </c>
      <c r="AJ77" s="15">
        <f t="shared" si="3"/>
        <v>5.194</v>
      </c>
      <c r="AK77" t="s">
        <v>47</v>
      </c>
    </row>
    <row r="78" spans="1:37" ht="15" customHeight="1" x14ac:dyDescent="0.35">
      <c r="A78">
        <v>690929</v>
      </c>
      <c r="B78" t="s">
        <v>37</v>
      </c>
      <c r="C78" t="s">
        <v>38</v>
      </c>
      <c r="D78" s="9" t="s">
        <v>39</v>
      </c>
      <c r="E78" s="10" t="s">
        <v>37</v>
      </c>
      <c r="F78" s="11"/>
      <c r="G78" t="s">
        <v>290</v>
      </c>
      <c r="I78" t="s">
        <v>41</v>
      </c>
      <c r="J78" t="s">
        <v>291</v>
      </c>
      <c r="K78" t="s">
        <v>43</v>
      </c>
      <c r="L78">
        <v>2</v>
      </c>
      <c r="M78" t="s">
        <v>44</v>
      </c>
      <c r="N78" t="s">
        <v>45</v>
      </c>
      <c r="O78" t="s">
        <v>46</v>
      </c>
      <c r="P78" s="5">
        <v>1</v>
      </c>
      <c r="Q78" s="12">
        <v>44696.542303240742</v>
      </c>
      <c r="R78" s="13">
        <v>44698</v>
      </c>
      <c r="T78" t="s">
        <v>47</v>
      </c>
      <c r="U78" t="s">
        <v>48</v>
      </c>
      <c r="V78" t="s">
        <v>114</v>
      </c>
      <c r="Y78" t="s">
        <v>292</v>
      </c>
      <c r="Z78">
        <v>11000</v>
      </c>
      <c r="AA78" t="s">
        <v>47</v>
      </c>
      <c r="AB78" t="s">
        <v>52</v>
      </c>
      <c r="AC78" t="s">
        <v>53</v>
      </c>
      <c r="AD78" s="16">
        <f>IF(P78&lt;=1,4.9,4.9+0.8*ROUNDUP(P78-1,0))</f>
        <v>4.9000000000000004</v>
      </c>
      <c r="AE78" s="15">
        <v>0</v>
      </c>
      <c r="AF78" s="15">
        <v>0</v>
      </c>
      <c r="AG78" s="15">
        <v>0</v>
      </c>
      <c r="AH78" s="15">
        <v>0</v>
      </c>
      <c r="AI78" s="15">
        <f t="shared" si="2"/>
        <v>0.29399999999999998</v>
      </c>
      <c r="AJ78" s="15">
        <f t="shared" si="3"/>
        <v>5.194</v>
      </c>
      <c r="AK78" t="s">
        <v>47</v>
      </c>
    </row>
    <row r="79" spans="1:37" ht="15" customHeight="1" x14ac:dyDescent="0.35">
      <c r="A79">
        <v>690929</v>
      </c>
      <c r="B79" t="s">
        <v>37</v>
      </c>
      <c r="C79" t="s">
        <v>38</v>
      </c>
      <c r="D79" s="9" t="s">
        <v>39</v>
      </c>
      <c r="E79" s="10" t="s">
        <v>37</v>
      </c>
      <c r="F79" s="11"/>
      <c r="G79" t="s">
        <v>293</v>
      </c>
      <c r="I79" t="s">
        <v>41</v>
      </c>
      <c r="J79" t="s">
        <v>294</v>
      </c>
      <c r="K79" t="s">
        <v>43</v>
      </c>
      <c r="L79">
        <v>2</v>
      </c>
      <c r="M79" t="s">
        <v>44</v>
      </c>
      <c r="N79" t="s">
        <v>45</v>
      </c>
      <c r="O79" t="s">
        <v>46</v>
      </c>
      <c r="P79" s="5">
        <v>3</v>
      </c>
      <c r="Q79" s="12">
        <v>44689.509363425925</v>
      </c>
      <c r="R79" s="13">
        <v>44698</v>
      </c>
      <c r="T79" t="s">
        <v>47</v>
      </c>
      <c r="U79" t="s">
        <v>48</v>
      </c>
      <c r="V79" t="s">
        <v>88</v>
      </c>
      <c r="Y79" t="s">
        <v>295</v>
      </c>
      <c r="Z79">
        <v>59000</v>
      </c>
      <c r="AA79" t="s">
        <v>47</v>
      </c>
      <c r="AB79" t="s">
        <v>52</v>
      </c>
      <c r="AC79" t="s">
        <v>53</v>
      </c>
      <c r="AD79" s="16">
        <f>IF(P79&lt;=1,4.9,4.9+0.8*ROUNDUP(P79-1,0))</f>
        <v>6.5</v>
      </c>
      <c r="AE79" s="15">
        <v>0</v>
      </c>
      <c r="AF79" s="15">
        <v>0</v>
      </c>
      <c r="AG79" s="15">
        <v>0</v>
      </c>
      <c r="AH79" s="15">
        <v>0</v>
      </c>
      <c r="AI79" s="15">
        <f t="shared" si="2"/>
        <v>0.39</v>
      </c>
      <c r="AJ79" s="15">
        <f t="shared" si="3"/>
        <v>6.89</v>
      </c>
      <c r="AK79" t="s">
        <v>47</v>
      </c>
    </row>
    <row r="80" spans="1:37" ht="15" customHeight="1" x14ac:dyDescent="0.35">
      <c r="A80">
        <v>690929</v>
      </c>
      <c r="B80" t="s">
        <v>37</v>
      </c>
      <c r="C80" t="s">
        <v>38</v>
      </c>
      <c r="D80" s="9" t="s">
        <v>39</v>
      </c>
      <c r="E80" s="10" t="s">
        <v>37</v>
      </c>
      <c r="F80" s="11"/>
      <c r="G80" t="s">
        <v>296</v>
      </c>
      <c r="I80" t="s">
        <v>41</v>
      </c>
      <c r="J80" t="s">
        <v>297</v>
      </c>
      <c r="K80" t="s">
        <v>43</v>
      </c>
      <c r="L80">
        <v>2</v>
      </c>
      <c r="M80" t="s">
        <v>44</v>
      </c>
      <c r="N80" t="s">
        <v>45</v>
      </c>
      <c r="O80" t="s">
        <v>46</v>
      </c>
      <c r="P80" s="5">
        <v>15</v>
      </c>
      <c r="Q80" s="12">
        <v>44697.535949074074</v>
      </c>
      <c r="R80" s="13">
        <v>44698</v>
      </c>
      <c r="T80" t="s">
        <v>47</v>
      </c>
      <c r="U80" t="s">
        <v>48</v>
      </c>
      <c r="V80" t="s">
        <v>56</v>
      </c>
      <c r="Y80" t="s">
        <v>298</v>
      </c>
      <c r="Z80">
        <v>28740</v>
      </c>
      <c r="AA80" t="s">
        <v>47</v>
      </c>
      <c r="AB80" t="s">
        <v>299</v>
      </c>
      <c r="AC80" t="s">
        <v>53</v>
      </c>
      <c r="AD80" s="16">
        <f>IF(P80&lt;=1,4.9,4.9+0.8*ROUNDUP(P80-1,0))</f>
        <v>16.100000000000001</v>
      </c>
      <c r="AE80" s="15">
        <v>0</v>
      </c>
      <c r="AF80" s="15">
        <v>0</v>
      </c>
      <c r="AG80" s="15">
        <v>0</v>
      </c>
      <c r="AH80" s="15">
        <v>0</v>
      </c>
      <c r="AI80" s="15">
        <f t="shared" si="2"/>
        <v>0.96600000000000008</v>
      </c>
      <c r="AJ80" s="15">
        <f t="shared" si="3"/>
        <v>17.066000000000003</v>
      </c>
      <c r="AK80" t="s">
        <v>47</v>
      </c>
    </row>
    <row r="81" spans="1:37" ht="15" customHeight="1" x14ac:dyDescent="0.35">
      <c r="A81">
        <v>690929</v>
      </c>
      <c r="B81" t="s">
        <v>37</v>
      </c>
      <c r="C81" t="s">
        <v>38</v>
      </c>
      <c r="D81" s="9" t="s">
        <v>39</v>
      </c>
      <c r="E81" s="10" t="s">
        <v>37</v>
      </c>
      <c r="F81" s="11"/>
      <c r="G81" t="s">
        <v>300</v>
      </c>
      <c r="I81" t="s">
        <v>41</v>
      </c>
      <c r="J81" t="s">
        <v>301</v>
      </c>
      <c r="K81" t="s">
        <v>43</v>
      </c>
      <c r="L81">
        <v>2</v>
      </c>
      <c r="M81" t="s">
        <v>44</v>
      </c>
      <c r="N81" t="s">
        <v>45</v>
      </c>
      <c r="O81" t="s">
        <v>46</v>
      </c>
      <c r="P81" s="5">
        <v>3</v>
      </c>
      <c r="Q81" s="12">
        <v>44697.461458333331</v>
      </c>
      <c r="R81" s="13">
        <v>44698</v>
      </c>
      <c r="T81" t="s">
        <v>47</v>
      </c>
      <c r="U81" t="s">
        <v>48</v>
      </c>
      <c r="V81" t="s">
        <v>110</v>
      </c>
      <c r="Y81" t="s">
        <v>302</v>
      </c>
      <c r="Z81">
        <v>21030</v>
      </c>
      <c r="AA81" t="s">
        <v>47</v>
      </c>
      <c r="AB81" t="s">
        <v>303</v>
      </c>
      <c r="AC81" t="s">
        <v>53</v>
      </c>
      <c r="AD81" s="16">
        <f>IF(P81&lt;=1,4.9,4.9+0.8*ROUNDUP(P81-1,0))</f>
        <v>6.5</v>
      </c>
      <c r="AE81" s="15">
        <v>0</v>
      </c>
      <c r="AF81" s="15">
        <v>0</v>
      </c>
      <c r="AG81" s="15">
        <v>0</v>
      </c>
      <c r="AH81" s="15">
        <v>0</v>
      </c>
      <c r="AI81" s="15">
        <f t="shared" si="2"/>
        <v>0.39</v>
      </c>
      <c r="AJ81" s="15">
        <f t="shared" si="3"/>
        <v>6.89</v>
      </c>
      <c r="AK81" t="s">
        <v>47</v>
      </c>
    </row>
    <row r="82" spans="1:37" ht="15" customHeight="1" x14ac:dyDescent="0.35">
      <c r="A82">
        <v>690929</v>
      </c>
      <c r="B82" t="s">
        <v>37</v>
      </c>
      <c r="C82" t="s">
        <v>38</v>
      </c>
      <c r="D82" s="9" t="s">
        <v>39</v>
      </c>
      <c r="E82" s="10" t="s">
        <v>37</v>
      </c>
      <c r="F82" s="11"/>
      <c r="G82" t="s">
        <v>304</v>
      </c>
      <c r="I82" t="s">
        <v>41</v>
      </c>
      <c r="J82" t="s">
        <v>305</v>
      </c>
      <c r="K82" t="s">
        <v>43</v>
      </c>
      <c r="L82">
        <v>2</v>
      </c>
      <c r="M82" t="s">
        <v>44</v>
      </c>
      <c r="N82" t="s">
        <v>45</v>
      </c>
      <c r="O82" t="s">
        <v>46</v>
      </c>
      <c r="P82" s="5">
        <v>1</v>
      </c>
      <c r="Q82" s="12">
        <v>44693.562916666669</v>
      </c>
      <c r="R82" s="13">
        <v>44698</v>
      </c>
      <c r="T82" t="s">
        <v>47</v>
      </c>
      <c r="U82" t="s">
        <v>48</v>
      </c>
      <c r="V82" t="s">
        <v>122</v>
      </c>
      <c r="Y82" t="s">
        <v>306</v>
      </c>
      <c r="Z82">
        <v>7000</v>
      </c>
      <c r="AA82" t="s">
        <v>47</v>
      </c>
      <c r="AB82" t="s">
        <v>52</v>
      </c>
      <c r="AC82" t="s">
        <v>53</v>
      </c>
      <c r="AD82" s="16">
        <f>IF(P82&lt;=1,4.9,4.9+0.8*ROUNDUP(P82-1,0))</f>
        <v>4.9000000000000004</v>
      </c>
      <c r="AE82" s="15">
        <v>0</v>
      </c>
      <c r="AF82" s="15">
        <v>0</v>
      </c>
      <c r="AG82" s="15">
        <v>0</v>
      </c>
      <c r="AH82" s="15">
        <v>0</v>
      </c>
      <c r="AI82" s="15">
        <f t="shared" si="2"/>
        <v>0.29399999999999998</v>
      </c>
      <c r="AJ82" s="15">
        <f t="shared" si="3"/>
        <v>5.194</v>
      </c>
      <c r="AK82" t="s">
        <v>47</v>
      </c>
    </row>
    <row r="83" spans="1:37" ht="15" customHeight="1" x14ac:dyDescent="0.35">
      <c r="A83">
        <v>690929</v>
      </c>
      <c r="B83" t="s">
        <v>37</v>
      </c>
      <c r="C83" t="s">
        <v>38</v>
      </c>
      <c r="D83" s="9" t="s">
        <v>39</v>
      </c>
      <c r="E83" s="10" t="s">
        <v>37</v>
      </c>
      <c r="F83" s="11"/>
      <c r="G83" t="s">
        <v>307</v>
      </c>
      <c r="I83" t="s">
        <v>41</v>
      </c>
      <c r="J83" t="s">
        <v>308</v>
      </c>
      <c r="K83" t="s">
        <v>43</v>
      </c>
      <c r="L83">
        <v>2</v>
      </c>
      <c r="M83" t="s">
        <v>44</v>
      </c>
      <c r="N83" t="s">
        <v>45</v>
      </c>
      <c r="O83" t="s">
        <v>92</v>
      </c>
      <c r="P83" s="5">
        <v>15</v>
      </c>
      <c r="Q83" s="12">
        <v>44697.495682870373</v>
      </c>
      <c r="R83" s="13">
        <v>44698</v>
      </c>
      <c r="T83" t="s">
        <v>47</v>
      </c>
      <c r="U83" t="s">
        <v>48</v>
      </c>
      <c r="V83" t="s">
        <v>110</v>
      </c>
      <c r="Y83" t="s">
        <v>309</v>
      </c>
      <c r="Z83">
        <v>21300</v>
      </c>
      <c r="AA83" t="s">
        <v>47</v>
      </c>
      <c r="AB83" t="s">
        <v>303</v>
      </c>
      <c r="AC83" t="s">
        <v>53</v>
      </c>
      <c r="AD83" s="16">
        <f>IF(P83&lt;=1,4.9,4.9+0.8*ROUNDUP(P83-1,0))</f>
        <v>16.100000000000001</v>
      </c>
      <c r="AE83" s="15">
        <v>0</v>
      </c>
      <c r="AF83" s="15">
        <v>0</v>
      </c>
      <c r="AG83" s="15">
        <v>0</v>
      </c>
      <c r="AH83" s="15">
        <v>0</v>
      </c>
      <c r="AI83" s="15">
        <f t="shared" si="2"/>
        <v>0.96600000000000008</v>
      </c>
      <c r="AJ83" s="15">
        <f t="shared" si="3"/>
        <v>17.066000000000003</v>
      </c>
      <c r="AK83" t="s">
        <v>47</v>
      </c>
    </row>
    <row r="84" spans="1:37" ht="15" customHeight="1" x14ac:dyDescent="0.35">
      <c r="A84">
        <v>690929</v>
      </c>
      <c r="B84" t="s">
        <v>37</v>
      </c>
      <c r="C84" t="s">
        <v>38</v>
      </c>
      <c r="D84" s="9" t="s">
        <v>39</v>
      </c>
      <c r="E84" s="10" t="s">
        <v>37</v>
      </c>
      <c r="F84" s="11"/>
      <c r="G84" t="s">
        <v>310</v>
      </c>
      <c r="I84" t="s">
        <v>41</v>
      </c>
      <c r="J84" t="s">
        <v>311</v>
      </c>
      <c r="K84" t="s">
        <v>43</v>
      </c>
      <c r="L84">
        <v>2</v>
      </c>
      <c r="M84" t="s">
        <v>44</v>
      </c>
      <c r="N84" t="s">
        <v>45</v>
      </c>
      <c r="O84" t="s">
        <v>46</v>
      </c>
      <c r="P84" s="5">
        <v>1</v>
      </c>
      <c r="Q84" s="12">
        <v>44696.53869212963</v>
      </c>
      <c r="R84" s="13">
        <v>44698</v>
      </c>
      <c r="T84" t="s">
        <v>47</v>
      </c>
      <c r="U84" t="s">
        <v>48</v>
      </c>
      <c r="V84" t="s">
        <v>122</v>
      </c>
      <c r="Y84" t="s">
        <v>312</v>
      </c>
      <c r="Z84">
        <v>6010</v>
      </c>
      <c r="AA84" t="s">
        <v>47</v>
      </c>
      <c r="AB84" t="s">
        <v>52</v>
      </c>
      <c r="AC84" t="s">
        <v>53</v>
      </c>
      <c r="AD84" s="16">
        <f>IF(P84&lt;=1,4.9,4.9+0.8*ROUNDUP(P84-1,0))</f>
        <v>4.9000000000000004</v>
      </c>
      <c r="AE84" s="15">
        <v>0</v>
      </c>
      <c r="AF84" s="15">
        <v>0</v>
      </c>
      <c r="AG84" s="15">
        <v>0</v>
      </c>
      <c r="AH84" s="15">
        <v>0</v>
      </c>
      <c r="AI84" s="15">
        <f t="shared" si="2"/>
        <v>0.29399999999999998</v>
      </c>
      <c r="AJ84" s="15">
        <f t="shared" si="3"/>
        <v>5.194</v>
      </c>
      <c r="AK84" t="s">
        <v>47</v>
      </c>
    </row>
    <row r="85" spans="1:37" ht="15" customHeight="1" x14ac:dyDescent="0.35">
      <c r="A85">
        <v>690929</v>
      </c>
      <c r="B85" t="s">
        <v>37</v>
      </c>
      <c r="C85" t="s">
        <v>38</v>
      </c>
      <c r="D85" s="9" t="s">
        <v>39</v>
      </c>
      <c r="E85" s="10" t="s">
        <v>37</v>
      </c>
      <c r="F85" s="11"/>
      <c r="G85" t="s">
        <v>313</v>
      </c>
      <c r="I85" t="s">
        <v>41</v>
      </c>
      <c r="J85" t="s">
        <v>314</v>
      </c>
      <c r="K85" t="s">
        <v>43</v>
      </c>
      <c r="L85">
        <v>2</v>
      </c>
      <c r="M85" t="s">
        <v>44</v>
      </c>
      <c r="N85" t="s">
        <v>45</v>
      </c>
      <c r="O85" t="s">
        <v>46</v>
      </c>
      <c r="P85" s="5">
        <v>1</v>
      </c>
      <c r="Q85" s="12">
        <v>44695.657523148147</v>
      </c>
      <c r="R85" s="13">
        <v>44698</v>
      </c>
      <c r="T85" t="s">
        <v>47</v>
      </c>
      <c r="U85" t="s">
        <v>48</v>
      </c>
      <c r="V85" t="s">
        <v>70</v>
      </c>
      <c r="Y85" t="s">
        <v>315</v>
      </c>
      <c r="Z85">
        <v>62250</v>
      </c>
      <c r="AA85" t="s">
        <v>47</v>
      </c>
      <c r="AB85" t="s">
        <v>58</v>
      </c>
      <c r="AC85" t="s">
        <v>53</v>
      </c>
      <c r="AD85" s="16">
        <f>IF(P85&lt;=1,4.9,4.9+0.8*ROUNDUP(P85-1,0))</f>
        <v>4.9000000000000004</v>
      </c>
      <c r="AE85" s="15">
        <v>0</v>
      </c>
      <c r="AF85" s="15">
        <v>0</v>
      </c>
      <c r="AG85" s="15">
        <v>0</v>
      </c>
      <c r="AH85" s="15">
        <v>0</v>
      </c>
      <c r="AI85" s="15">
        <f t="shared" si="2"/>
        <v>0.29399999999999998</v>
      </c>
      <c r="AJ85" s="15">
        <f t="shared" si="3"/>
        <v>5.194</v>
      </c>
      <c r="AK85" t="s">
        <v>47</v>
      </c>
    </row>
    <row r="86" spans="1:37" ht="15" customHeight="1" x14ac:dyDescent="0.35">
      <c r="A86">
        <v>690929</v>
      </c>
      <c r="B86" t="s">
        <v>37</v>
      </c>
      <c r="C86" t="s">
        <v>38</v>
      </c>
      <c r="D86" s="9" t="s">
        <v>39</v>
      </c>
      <c r="E86" s="10" t="s">
        <v>37</v>
      </c>
      <c r="F86" s="11"/>
      <c r="G86" t="s">
        <v>316</v>
      </c>
      <c r="I86" t="s">
        <v>41</v>
      </c>
      <c r="J86" t="s">
        <v>317</v>
      </c>
      <c r="K86" t="s">
        <v>43</v>
      </c>
      <c r="L86">
        <v>2</v>
      </c>
      <c r="M86" t="s">
        <v>44</v>
      </c>
      <c r="N86" t="s">
        <v>45</v>
      </c>
      <c r="O86" t="s">
        <v>46</v>
      </c>
      <c r="P86" s="5">
        <v>1</v>
      </c>
      <c r="Q86" s="12">
        <v>44696.540729166663</v>
      </c>
      <c r="R86" s="13">
        <v>44698</v>
      </c>
      <c r="T86" t="s">
        <v>47</v>
      </c>
      <c r="U86" t="s">
        <v>48</v>
      </c>
      <c r="V86" t="s">
        <v>164</v>
      </c>
      <c r="Y86" t="s">
        <v>318</v>
      </c>
      <c r="Z86">
        <v>33000</v>
      </c>
      <c r="AA86" t="s">
        <v>47</v>
      </c>
      <c r="AB86" t="s">
        <v>52</v>
      </c>
      <c r="AC86" t="s">
        <v>53</v>
      </c>
      <c r="AD86" s="16">
        <f>IF(P86&lt;=1,4.9,4.9+0.8*ROUNDUP(P86-1,0))</f>
        <v>4.9000000000000004</v>
      </c>
      <c r="AE86" s="15">
        <v>0</v>
      </c>
      <c r="AF86" s="15">
        <v>0</v>
      </c>
      <c r="AG86" s="15">
        <v>0</v>
      </c>
      <c r="AH86" s="15">
        <v>0</v>
      </c>
      <c r="AI86" s="15">
        <f t="shared" si="2"/>
        <v>0.29399999999999998</v>
      </c>
      <c r="AJ86" s="15">
        <f t="shared" si="3"/>
        <v>5.194</v>
      </c>
      <c r="AK86" t="s">
        <v>47</v>
      </c>
    </row>
    <row r="87" spans="1:37" ht="15" customHeight="1" x14ac:dyDescent="0.35">
      <c r="A87">
        <v>690929</v>
      </c>
      <c r="B87" t="s">
        <v>37</v>
      </c>
      <c r="C87" t="s">
        <v>38</v>
      </c>
      <c r="D87" s="9" t="s">
        <v>39</v>
      </c>
      <c r="E87" s="10" t="s">
        <v>37</v>
      </c>
      <c r="F87" s="11"/>
      <c r="G87" t="s">
        <v>319</v>
      </c>
      <c r="I87" t="s">
        <v>41</v>
      </c>
      <c r="J87" t="s">
        <v>320</v>
      </c>
      <c r="K87" t="s">
        <v>43</v>
      </c>
      <c r="L87">
        <v>2</v>
      </c>
      <c r="M87" t="s">
        <v>44</v>
      </c>
      <c r="N87" t="s">
        <v>45</v>
      </c>
      <c r="O87" t="s">
        <v>92</v>
      </c>
      <c r="P87" s="5">
        <v>15</v>
      </c>
      <c r="Q87" s="12">
        <v>44697.541770833333</v>
      </c>
      <c r="R87" s="13">
        <v>44698</v>
      </c>
      <c r="T87" t="s">
        <v>47</v>
      </c>
      <c r="U87" t="s">
        <v>48</v>
      </c>
      <c r="V87" t="s">
        <v>56</v>
      </c>
      <c r="Y87" t="s">
        <v>321</v>
      </c>
      <c r="Z87">
        <v>28000</v>
      </c>
      <c r="AA87" t="s">
        <v>47</v>
      </c>
      <c r="AB87" t="s">
        <v>104</v>
      </c>
      <c r="AC87" t="s">
        <v>53</v>
      </c>
      <c r="AD87" s="16">
        <f>IF(P87&lt;=1,4.9,4.9+0.8*ROUNDUP(P87-1,0))</f>
        <v>16.100000000000001</v>
      </c>
      <c r="AE87" s="15">
        <v>0</v>
      </c>
      <c r="AF87" s="15">
        <v>0</v>
      </c>
      <c r="AG87" s="15">
        <v>0</v>
      </c>
      <c r="AH87" s="15">
        <v>0</v>
      </c>
      <c r="AI87" s="15">
        <f t="shared" si="2"/>
        <v>0.96600000000000008</v>
      </c>
      <c r="AJ87" s="15">
        <f t="shared" si="3"/>
        <v>17.066000000000003</v>
      </c>
      <c r="AK87" t="s">
        <v>47</v>
      </c>
    </row>
    <row r="88" spans="1:37" ht="15" customHeight="1" x14ac:dyDescent="0.35">
      <c r="A88">
        <v>690929</v>
      </c>
      <c r="B88" t="s">
        <v>37</v>
      </c>
      <c r="C88" t="s">
        <v>38</v>
      </c>
      <c r="D88" s="9" t="s">
        <v>39</v>
      </c>
      <c r="E88" s="10" t="s">
        <v>37</v>
      </c>
      <c r="F88" s="11"/>
      <c r="G88" t="s">
        <v>322</v>
      </c>
      <c r="I88" t="s">
        <v>41</v>
      </c>
      <c r="J88" t="s">
        <v>323</v>
      </c>
      <c r="K88" t="s">
        <v>43</v>
      </c>
      <c r="L88">
        <v>2</v>
      </c>
      <c r="M88" t="s">
        <v>44</v>
      </c>
      <c r="N88" t="s">
        <v>45</v>
      </c>
      <c r="O88" t="s">
        <v>46</v>
      </c>
      <c r="P88" s="5">
        <v>1</v>
      </c>
      <c r="Q88" s="12">
        <v>44696.543495370373</v>
      </c>
      <c r="R88" s="13">
        <v>44698</v>
      </c>
      <c r="T88" t="s">
        <v>47</v>
      </c>
      <c r="U88" t="s">
        <v>48</v>
      </c>
      <c r="V88" t="s">
        <v>164</v>
      </c>
      <c r="Y88" t="s">
        <v>324</v>
      </c>
      <c r="Z88">
        <v>33300</v>
      </c>
      <c r="AA88" t="s">
        <v>47</v>
      </c>
      <c r="AB88" t="s">
        <v>52</v>
      </c>
      <c r="AC88" t="s">
        <v>53</v>
      </c>
      <c r="AD88" s="16">
        <f>IF(P88&lt;=1,4.9,4.9+0.8*ROUNDUP(P88-1,0))</f>
        <v>4.9000000000000004</v>
      </c>
      <c r="AE88" s="15">
        <v>0</v>
      </c>
      <c r="AF88" s="15">
        <v>0</v>
      </c>
      <c r="AG88" s="15">
        <v>0</v>
      </c>
      <c r="AH88" s="15">
        <v>0</v>
      </c>
      <c r="AI88" s="15">
        <f t="shared" si="2"/>
        <v>0.29399999999999998</v>
      </c>
      <c r="AJ88" s="15">
        <f t="shared" si="3"/>
        <v>5.194</v>
      </c>
      <c r="AK88" t="s">
        <v>47</v>
      </c>
    </row>
    <row r="89" spans="1:37" ht="15" customHeight="1" x14ac:dyDescent="0.35">
      <c r="A89">
        <v>690929</v>
      </c>
      <c r="B89" t="s">
        <v>37</v>
      </c>
      <c r="C89" t="s">
        <v>38</v>
      </c>
      <c r="D89" s="9" t="s">
        <v>39</v>
      </c>
      <c r="E89" s="10" t="s">
        <v>37</v>
      </c>
      <c r="F89" s="11"/>
      <c r="G89" t="s">
        <v>325</v>
      </c>
      <c r="I89" t="s">
        <v>41</v>
      </c>
      <c r="J89" t="s">
        <v>326</v>
      </c>
      <c r="K89" t="s">
        <v>43</v>
      </c>
      <c r="L89">
        <v>2</v>
      </c>
      <c r="M89" t="s">
        <v>44</v>
      </c>
      <c r="N89" t="s">
        <v>45</v>
      </c>
      <c r="O89" t="s">
        <v>46</v>
      </c>
      <c r="P89" s="5">
        <v>1</v>
      </c>
      <c r="Q89" s="12">
        <v>44697.591979166667</v>
      </c>
      <c r="R89" s="13">
        <v>44698</v>
      </c>
      <c r="T89" t="s">
        <v>47</v>
      </c>
      <c r="U89" t="s">
        <v>48</v>
      </c>
      <c r="V89" t="s">
        <v>61</v>
      </c>
      <c r="Y89" t="s">
        <v>327</v>
      </c>
      <c r="Z89">
        <v>16010</v>
      </c>
      <c r="AA89" t="s">
        <v>47</v>
      </c>
      <c r="AB89" t="s">
        <v>58</v>
      </c>
      <c r="AC89" t="s">
        <v>53</v>
      </c>
      <c r="AD89" s="16">
        <f>IF(P89&lt;=1,4.9,4.9+0.8*ROUNDUP(P89-1,0))</f>
        <v>4.9000000000000004</v>
      </c>
      <c r="AE89" s="15">
        <v>0</v>
      </c>
      <c r="AF89" s="15">
        <v>0</v>
      </c>
      <c r="AG89" s="15">
        <v>0</v>
      </c>
      <c r="AH89" s="15">
        <v>0</v>
      </c>
      <c r="AI89" s="15">
        <f t="shared" si="2"/>
        <v>0.29399999999999998</v>
      </c>
      <c r="AJ89" s="15">
        <f t="shared" si="3"/>
        <v>5.194</v>
      </c>
      <c r="AK89" t="s">
        <v>47</v>
      </c>
    </row>
    <row r="90" spans="1:37" ht="15" customHeight="1" x14ac:dyDescent="0.35">
      <c r="A90">
        <v>690929</v>
      </c>
      <c r="B90" t="s">
        <v>37</v>
      </c>
      <c r="C90" t="s">
        <v>38</v>
      </c>
      <c r="D90" s="9" t="s">
        <v>39</v>
      </c>
      <c r="E90" s="10" t="s">
        <v>37</v>
      </c>
      <c r="F90" s="11"/>
      <c r="G90" t="s">
        <v>328</v>
      </c>
      <c r="I90" t="s">
        <v>41</v>
      </c>
      <c r="J90" t="s">
        <v>329</v>
      </c>
      <c r="K90" t="s">
        <v>43</v>
      </c>
      <c r="L90">
        <v>2</v>
      </c>
      <c r="M90" t="s">
        <v>44</v>
      </c>
      <c r="N90" t="s">
        <v>45</v>
      </c>
      <c r="O90" t="s">
        <v>46</v>
      </c>
      <c r="P90" s="5">
        <v>2</v>
      </c>
      <c r="Q90" s="12">
        <v>44693.580358796295</v>
      </c>
      <c r="R90" s="13">
        <v>44698</v>
      </c>
      <c r="T90" t="s">
        <v>47</v>
      </c>
      <c r="U90" t="s">
        <v>48</v>
      </c>
      <c r="V90" t="s">
        <v>70</v>
      </c>
      <c r="Y90" t="s">
        <v>330</v>
      </c>
      <c r="Z90">
        <v>68000</v>
      </c>
      <c r="AA90" t="s">
        <v>47</v>
      </c>
      <c r="AB90" t="s">
        <v>52</v>
      </c>
      <c r="AC90" t="s">
        <v>53</v>
      </c>
      <c r="AD90" s="16">
        <f>IF(P90&lt;=1,4.9,4.9+0.8*ROUNDUP(P90-1,0))</f>
        <v>5.7</v>
      </c>
      <c r="AE90" s="15">
        <v>0</v>
      </c>
      <c r="AF90" s="15">
        <v>0</v>
      </c>
      <c r="AG90" s="15">
        <v>0</v>
      </c>
      <c r="AH90" s="15">
        <v>0</v>
      </c>
      <c r="AI90" s="15">
        <f t="shared" si="2"/>
        <v>0.34199999999999997</v>
      </c>
      <c r="AJ90" s="15">
        <f t="shared" si="3"/>
        <v>6.0419999999999998</v>
      </c>
      <c r="AK90" t="s">
        <v>47</v>
      </c>
    </row>
    <row r="91" spans="1:37" ht="15" customHeight="1" x14ac:dyDescent="0.35">
      <c r="A91">
        <v>690929</v>
      </c>
      <c r="B91" t="s">
        <v>37</v>
      </c>
      <c r="C91" t="s">
        <v>38</v>
      </c>
      <c r="D91" s="9" t="s">
        <v>39</v>
      </c>
      <c r="E91" s="10" t="s">
        <v>37</v>
      </c>
      <c r="F91" s="11"/>
      <c r="G91" t="s">
        <v>331</v>
      </c>
      <c r="I91" t="s">
        <v>41</v>
      </c>
      <c r="J91" t="s">
        <v>332</v>
      </c>
      <c r="K91" t="s">
        <v>43</v>
      </c>
      <c r="L91">
        <v>2</v>
      </c>
      <c r="M91" t="s">
        <v>44</v>
      </c>
      <c r="N91" t="s">
        <v>45</v>
      </c>
      <c r="O91" t="s">
        <v>46</v>
      </c>
      <c r="P91" s="5">
        <v>1</v>
      </c>
      <c r="Q91" s="12">
        <v>44695.64947916667</v>
      </c>
      <c r="R91" s="13">
        <v>44698</v>
      </c>
      <c r="T91" t="s">
        <v>47</v>
      </c>
      <c r="U91" t="s">
        <v>48</v>
      </c>
      <c r="V91" t="s">
        <v>114</v>
      </c>
      <c r="Y91" t="s">
        <v>333</v>
      </c>
      <c r="Z91">
        <v>11960</v>
      </c>
      <c r="AA91" t="s">
        <v>47</v>
      </c>
      <c r="AB91" t="s">
        <v>52</v>
      </c>
      <c r="AC91" t="s">
        <v>53</v>
      </c>
      <c r="AD91" s="16">
        <f>IF(P91&lt;=1,4.9,4.9+0.8*ROUNDUP(P91-1,0))</f>
        <v>4.9000000000000004</v>
      </c>
      <c r="AE91" s="15">
        <v>0</v>
      </c>
      <c r="AF91" s="15">
        <v>0</v>
      </c>
      <c r="AG91" s="15">
        <v>0</v>
      </c>
      <c r="AH91" s="15">
        <v>0</v>
      </c>
      <c r="AI91" s="15">
        <f t="shared" si="2"/>
        <v>0.29399999999999998</v>
      </c>
      <c r="AJ91" s="15">
        <f t="shared" si="3"/>
        <v>5.194</v>
      </c>
      <c r="AK91" t="s">
        <v>47</v>
      </c>
    </row>
    <row r="92" spans="1:37" ht="15" customHeight="1" x14ac:dyDescent="0.35">
      <c r="A92">
        <v>690929</v>
      </c>
      <c r="B92" t="s">
        <v>37</v>
      </c>
      <c r="C92" t="s">
        <v>38</v>
      </c>
      <c r="D92" s="9" t="s">
        <v>39</v>
      </c>
      <c r="E92" s="10" t="s">
        <v>37</v>
      </c>
      <c r="F92" s="11"/>
      <c r="G92" t="s">
        <v>334</v>
      </c>
      <c r="I92" t="s">
        <v>41</v>
      </c>
      <c r="J92" t="s">
        <v>335</v>
      </c>
      <c r="K92" t="s">
        <v>43</v>
      </c>
      <c r="L92">
        <v>2</v>
      </c>
      <c r="M92" t="s">
        <v>44</v>
      </c>
      <c r="N92" t="s">
        <v>45</v>
      </c>
      <c r="O92" t="s">
        <v>46</v>
      </c>
      <c r="P92" s="5">
        <v>3</v>
      </c>
      <c r="Q92" s="12">
        <v>44694.385868055557</v>
      </c>
      <c r="R92" s="13">
        <v>44698</v>
      </c>
      <c r="T92" t="s">
        <v>47</v>
      </c>
      <c r="U92" t="s">
        <v>58</v>
      </c>
      <c r="V92" t="s">
        <v>88</v>
      </c>
      <c r="Y92" t="s">
        <v>336</v>
      </c>
      <c r="Z92">
        <v>53300</v>
      </c>
      <c r="AA92" t="s">
        <v>47</v>
      </c>
      <c r="AB92" t="s">
        <v>337</v>
      </c>
      <c r="AC92" t="s">
        <v>53</v>
      </c>
      <c r="AD92" s="16">
        <f>IF(P92&lt;=1,4.9,4.9+0.8*ROUNDUP(P92-1,0))</f>
        <v>6.5</v>
      </c>
      <c r="AE92" s="15">
        <v>0</v>
      </c>
      <c r="AF92" s="15">
        <v>0</v>
      </c>
      <c r="AG92" s="15">
        <v>0</v>
      </c>
      <c r="AH92" s="15">
        <v>0</v>
      </c>
      <c r="AI92" s="15">
        <f t="shared" si="2"/>
        <v>0.39</v>
      </c>
      <c r="AJ92" s="15">
        <f t="shared" si="3"/>
        <v>6.89</v>
      </c>
      <c r="AK92" t="s">
        <v>47</v>
      </c>
    </row>
    <row r="93" spans="1:37" ht="15" customHeight="1" x14ac:dyDescent="0.35">
      <c r="A93">
        <v>690929</v>
      </c>
      <c r="B93" t="s">
        <v>37</v>
      </c>
      <c r="C93" t="s">
        <v>38</v>
      </c>
      <c r="D93" s="9" t="s">
        <v>39</v>
      </c>
      <c r="E93" s="10" t="s">
        <v>37</v>
      </c>
      <c r="F93" s="11"/>
      <c r="G93" t="s">
        <v>338</v>
      </c>
      <c r="I93" t="s">
        <v>41</v>
      </c>
      <c r="J93" t="s">
        <v>339</v>
      </c>
      <c r="K93" t="s">
        <v>43</v>
      </c>
      <c r="L93">
        <v>2</v>
      </c>
      <c r="M93" t="s">
        <v>44</v>
      </c>
      <c r="N93" t="s">
        <v>45</v>
      </c>
      <c r="O93" t="s">
        <v>46</v>
      </c>
      <c r="P93" s="5">
        <v>1</v>
      </c>
      <c r="Q93" s="12">
        <v>44697.483796296299</v>
      </c>
      <c r="R93" s="13">
        <v>44699</v>
      </c>
      <c r="T93" t="s">
        <v>47</v>
      </c>
      <c r="U93" t="s">
        <v>48</v>
      </c>
      <c r="V93" t="s">
        <v>114</v>
      </c>
      <c r="Y93" t="s">
        <v>340</v>
      </c>
      <c r="Z93">
        <v>14100</v>
      </c>
      <c r="AA93" t="s">
        <v>47</v>
      </c>
      <c r="AB93" t="s">
        <v>52</v>
      </c>
      <c r="AC93" t="s">
        <v>53</v>
      </c>
      <c r="AD93" s="16">
        <f>IF(P93&lt;=1,4.9,4.9+0.8*ROUNDUP(P93-1,0))</f>
        <v>4.9000000000000004</v>
      </c>
      <c r="AE93" s="15">
        <v>0</v>
      </c>
      <c r="AF93" s="15">
        <v>0</v>
      </c>
      <c r="AG93" s="15">
        <v>0</v>
      </c>
      <c r="AH93" s="15">
        <v>0</v>
      </c>
      <c r="AI93" s="15">
        <f t="shared" si="2"/>
        <v>0.29399999999999998</v>
      </c>
      <c r="AJ93" s="15">
        <f t="shared" si="3"/>
        <v>5.194</v>
      </c>
      <c r="AK93" t="s">
        <v>47</v>
      </c>
    </row>
    <row r="94" spans="1:37" ht="15" customHeight="1" x14ac:dyDescent="0.35">
      <c r="A94">
        <v>690929</v>
      </c>
      <c r="B94" t="s">
        <v>37</v>
      </c>
      <c r="C94" t="s">
        <v>38</v>
      </c>
      <c r="D94" s="9" t="s">
        <v>39</v>
      </c>
      <c r="E94" s="10" t="s">
        <v>37</v>
      </c>
      <c r="F94" s="11"/>
      <c r="G94" t="s">
        <v>341</v>
      </c>
      <c r="I94" t="s">
        <v>41</v>
      </c>
      <c r="J94" t="s">
        <v>342</v>
      </c>
      <c r="K94" t="s">
        <v>43</v>
      </c>
      <c r="L94">
        <v>2</v>
      </c>
      <c r="M94" t="s">
        <v>44</v>
      </c>
      <c r="N94" t="s">
        <v>45</v>
      </c>
      <c r="O94" t="s">
        <v>46</v>
      </c>
      <c r="P94" s="5">
        <v>4</v>
      </c>
      <c r="Q94" s="12">
        <v>44697.521770833337</v>
      </c>
      <c r="R94" s="13">
        <v>44699</v>
      </c>
      <c r="T94" t="s">
        <v>47</v>
      </c>
      <c r="U94" t="s">
        <v>48</v>
      </c>
      <c r="V94" t="s">
        <v>164</v>
      </c>
      <c r="Y94" t="s">
        <v>343</v>
      </c>
      <c r="Z94">
        <v>31150</v>
      </c>
      <c r="AA94" t="s">
        <v>47</v>
      </c>
      <c r="AB94" t="s">
        <v>52</v>
      </c>
      <c r="AC94" t="s">
        <v>53</v>
      </c>
      <c r="AD94" s="16">
        <f>IF(P94&lt;=1,4.9,4.9+0.8*ROUNDUP(P94-1,0))</f>
        <v>7.3000000000000007</v>
      </c>
      <c r="AE94" s="15">
        <v>0</v>
      </c>
      <c r="AF94" s="15">
        <v>0</v>
      </c>
      <c r="AG94" s="15">
        <v>0</v>
      </c>
      <c r="AH94" s="15">
        <v>0</v>
      </c>
      <c r="AI94" s="15">
        <f t="shared" si="2"/>
        <v>0.438</v>
      </c>
      <c r="AJ94" s="15">
        <f t="shared" si="3"/>
        <v>7.7380000000000004</v>
      </c>
      <c r="AK94" t="s">
        <v>47</v>
      </c>
    </row>
    <row r="95" spans="1:37" ht="15" customHeight="1" x14ac:dyDescent="0.35">
      <c r="A95">
        <v>690929</v>
      </c>
      <c r="B95" t="s">
        <v>37</v>
      </c>
      <c r="C95" t="s">
        <v>38</v>
      </c>
      <c r="D95" s="9" t="s">
        <v>39</v>
      </c>
      <c r="E95" s="10" t="s">
        <v>37</v>
      </c>
      <c r="F95" s="11"/>
      <c r="G95" t="s">
        <v>344</v>
      </c>
      <c r="I95" t="s">
        <v>41</v>
      </c>
      <c r="J95" t="s">
        <v>345</v>
      </c>
      <c r="K95" t="s">
        <v>43</v>
      </c>
      <c r="L95">
        <v>2</v>
      </c>
      <c r="M95" t="s">
        <v>44</v>
      </c>
      <c r="N95" t="s">
        <v>45</v>
      </c>
      <c r="O95" t="s">
        <v>46</v>
      </c>
      <c r="P95" s="5">
        <v>2</v>
      </c>
      <c r="Q95" s="12">
        <v>44697.48096064815</v>
      </c>
      <c r="R95" s="13">
        <v>44699</v>
      </c>
      <c r="T95" t="s">
        <v>47</v>
      </c>
      <c r="U95" t="s">
        <v>48</v>
      </c>
      <c r="V95" t="s">
        <v>93</v>
      </c>
      <c r="Y95" t="s">
        <v>346</v>
      </c>
      <c r="Z95">
        <v>86400</v>
      </c>
      <c r="AA95" t="s">
        <v>47</v>
      </c>
      <c r="AB95" t="s">
        <v>52</v>
      </c>
      <c r="AC95" t="s">
        <v>53</v>
      </c>
      <c r="AD95" s="16">
        <f>IF(P95&lt;=1,4.9,4.9+0.8*ROUNDUP(P95-1,0))</f>
        <v>5.7</v>
      </c>
      <c r="AE95" s="15">
        <v>0</v>
      </c>
      <c r="AF95" s="15">
        <v>0</v>
      </c>
      <c r="AG95" s="15">
        <v>0</v>
      </c>
      <c r="AH95" s="15">
        <v>0</v>
      </c>
      <c r="AI95" s="15">
        <f t="shared" si="2"/>
        <v>0.34199999999999997</v>
      </c>
      <c r="AJ95" s="15">
        <f t="shared" si="3"/>
        <v>6.0419999999999998</v>
      </c>
      <c r="AK95" t="s">
        <v>47</v>
      </c>
    </row>
    <row r="96" spans="1:37" ht="15" customHeight="1" x14ac:dyDescent="0.35">
      <c r="A96">
        <v>690929</v>
      </c>
      <c r="B96" t="s">
        <v>37</v>
      </c>
      <c r="C96" t="s">
        <v>38</v>
      </c>
      <c r="D96" s="9" t="s">
        <v>39</v>
      </c>
      <c r="E96" s="10" t="s">
        <v>37</v>
      </c>
      <c r="F96" s="11"/>
      <c r="G96" t="s">
        <v>347</v>
      </c>
      <c r="I96" t="s">
        <v>41</v>
      </c>
      <c r="J96" t="s">
        <v>348</v>
      </c>
      <c r="K96" t="s">
        <v>43</v>
      </c>
      <c r="L96">
        <v>2</v>
      </c>
      <c r="M96" t="s">
        <v>44</v>
      </c>
      <c r="N96" t="s">
        <v>45</v>
      </c>
      <c r="O96" t="s">
        <v>46</v>
      </c>
      <c r="P96" s="5">
        <v>1</v>
      </c>
      <c r="Q96" s="12">
        <v>44697.58966435185</v>
      </c>
      <c r="R96" s="13">
        <v>44699</v>
      </c>
      <c r="T96" t="s">
        <v>47</v>
      </c>
      <c r="U96" t="s">
        <v>48</v>
      </c>
      <c r="V96" t="s">
        <v>164</v>
      </c>
      <c r="Y96" t="s">
        <v>349</v>
      </c>
      <c r="Z96">
        <v>34200</v>
      </c>
      <c r="AA96" t="s">
        <v>47</v>
      </c>
      <c r="AB96" t="s">
        <v>52</v>
      </c>
      <c r="AC96" t="s">
        <v>53</v>
      </c>
      <c r="AD96" s="16">
        <f>IF(P96&lt;=1,4.9,4.9+0.8*ROUNDUP(P96-1,0))</f>
        <v>4.9000000000000004</v>
      </c>
      <c r="AE96" s="15">
        <v>0</v>
      </c>
      <c r="AF96" s="15">
        <v>0</v>
      </c>
      <c r="AG96" s="15">
        <v>0</v>
      </c>
      <c r="AH96" s="15">
        <v>0</v>
      </c>
      <c r="AI96" s="15">
        <f t="shared" si="2"/>
        <v>0.29399999999999998</v>
      </c>
      <c r="AJ96" s="15">
        <f t="shared" si="3"/>
        <v>5.194</v>
      </c>
      <c r="AK96" t="s">
        <v>47</v>
      </c>
    </row>
    <row r="97" spans="1:37" ht="15" customHeight="1" x14ac:dyDescent="0.35">
      <c r="A97">
        <v>690929</v>
      </c>
      <c r="B97" t="s">
        <v>37</v>
      </c>
      <c r="C97" t="s">
        <v>38</v>
      </c>
      <c r="D97" s="9" t="s">
        <v>39</v>
      </c>
      <c r="E97" s="10" t="s">
        <v>37</v>
      </c>
      <c r="F97" s="11"/>
      <c r="G97" t="s">
        <v>350</v>
      </c>
      <c r="I97" t="s">
        <v>41</v>
      </c>
      <c r="J97" t="s">
        <v>351</v>
      </c>
      <c r="K97" t="s">
        <v>43</v>
      </c>
      <c r="L97">
        <v>2</v>
      </c>
      <c r="M97" t="s">
        <v>44</v>
      </c>
      <c r="N97" t="s">
        <v>45</v>
      </c>
      <c r="O97" t="s">
        <v>46</v>
      </c>
      <c r="P97" s="5">
        <v>5</v>
      </c>
      <c r="Q97" s="12">
        <v>44697.527349537035</v>
      </c>
      <c r="R97" s="13">
        <v>44699</v>
      </c>
      <c r="T97" t="s">
        <v>47</v>
      </c>
      <c r="U97" t="s">
        <v>48</v>
      </c>
      <c r="V97" t="s">
        <v>93</v>
      </c>
      <c r="Y97" t="s">
        <v>352</v>
      </c>
      <c r="Z97">
        <v>83700</v>
      </c>
      <c r="AA97" t="s">
        <v>47</v>
      </c>
      <c r="AB97" t="s">
        <v>52</v>
      </c>
      <c r="AC97" t="s">
        <v>53</v>
      </c>
      <c r="AD97" s="16">
        <f>IF(P97&lt;=1,4.9,4.9+0.8*ROUNDUP(P97-1,0))</f>
        <v>8.1000000000000014</v>
      </c>
      <c r="AE97" s="15">
        <v>0</v>
      </c>
      <c r="AF97" s="15">
        <v>0</v>
      </c>
      <c r="AG97" s="15">
        <v>0</v>
      </c>
      <c r="AH97" s="15">
        <v>0</v>
      </c>
      <c r="AI97" s="15">
        <f t="shared" si="2"/>
        <v>0.48600000000000004</v>
      </c>
      <c r="AJ97" s="15">
        <f t="shared" si="3"/>
        <v>8.5860000000000021</v>
      </c>
      <c r="AK97" t="s">
        <v>47</v>
      </c>
    </row>
    <row r="98" spans="1:37" ht="15" customHeight="1" x14ac:dyDescent="0.35">
      <c r="A98">
        <v>690929</v>
      </c>
      <c r="B98" t="s">
        <v>37</v>
      </c>
      <c r="C98" t="s">
        <v>38</v>
      </c>
      <c r="D98" s="9" t="s">
        <v>39</v>
      </c>
      <c r="E98" s="10" t="s">
        <v>37</v>
      </c>
      <c r="F98" s="11"/>
      <c r="G98" t="s">
        <v>353</v>
      </c>
      <c r="I98" t="s">
        <v>41</v>
      </c>
      <c r="J98" t="s">
        <v>354</v>
      </c>
      <c r="K98" t="s">
        <v>43</v>
      </c>
      <c r="L98">
        <v>2</v>
      </c>
      <c r="M98" t="s">
        <v>44</v>
      </c>
      <c r="N98" t="s">
        <v>45</v>
      </c>
      <c r="O98" t="s">
        <v>46</v>
      </c>
      <c r="P98" s="5">
        <v>8</v>
      </c>
      <c r="Q98" s="12">
        <v>44693.778796296298</v>
      </c>
      <c r="R98" s="13">
        <v>44699</v>
      </c>
      <c r="T98" t="s">
        <v>47</v>
      </c>
      <c r="U98" t="s">
        <v>58</v>
      </c>
      <c r="V98" t="s">
        <v>70</v>
      </c>
      <c r="Y98" t="s">
        <v>355</v>
      </c>
      <c r="Z98">
        <v>47650</v>
      </c>
      <c r="AA98" t="s">
        <v>47</v>
      </c>
      <c r="AB98" t="s">
        <v>356</v>
      </c>
      <c r="AC98" t="s">
        <v>53</v>
      </c>
      <c r="AD98" s="16">
        <f>IF(P98&lt;=1,4.9,4.9+0.8*ROUNDUP(P98-1,0))</f>
        <v>10.5</v>
      </c>
      <c r="AE98" s="15">
        <v>0</v>
      </c>
      <c r="AF98" s="15">
        <v>0</v>
      </c>
      <c r="AG98" s="15">
        <v>0</v>
      </c>
      <c r="AH98" s="15">
        <v>0</v>
      </c>
      <c r="AI98" s="15">
        <f t="shared" si="2"/>
        <v>0.63</v>
      </c>
      <c r="AJ98" s="15">
        <f t="shared" si="3"/>
        <v>11.13</v>
      </c>
      <c r="AK98" t="s">
        <v>47</v>
      </c>
    </row>
    <row r="99" spans="1:37" ht="15" customHeight="1" x14ac:dyDescent="0.35">
      <c r="A99">
        <v>690929</v>
      </c>
      <c r="B99" t="s">
        <v>37</v>
      </c>
      <c r="C99" t="s">
        <v>38</v>
      </c>
      <c r="D99" s="9" t="s">
        <v>39</v>
      </c>
      <c r="E99" s="10" t="s">
        <v>37</v>
      </c>
      <c r="F99" s="11"/>
      <c r="G99" t="s">
        <v>357</v>
      </c>
      <c r="I99" t="s">
        <v>41</v>
      </c>
      <c r="J99" t="s">
        <v>358</v>
      </c>
      <c r="K99" t="s">
        <v>43</v>
      </c>
      <c r="L99">
        <v>2</v>
      </c>
      <c r="M99" t="s">
        <v>44</v>
      </c>
      <c r="N99" t="s">
        <v>45</v>
      </c>
      <c r="O99" t="s">
        <v>46</v>
      </c>
      <c r="P99" s="5">
        <v>18</v>
      </c>
      <c r="Q99" s="12">
        <v>44697.490682870368</v>
      </c>
      <c r="R99" s="13">
        <v>44699</v>
      </c>
      <c r="T99" t="s">
        <v>47</v>
      </c>
      <c r="U99" t="s">
        <v>48</v>
      </c>
      <c r="V99" t="s">
        <v>122</v>
      </c>
      <c r="Y99" t="s">
        <v>359</v>
      </c>
      <c r="Z99">
        <v>6600</v>
      </c>
      <c r="AA99" t="s">
        <v>47</v>
      </c>
      <c r="AB99" t="s">
        <v>52</v>
      </c>
      <c r="AC99" t="s">
        <v>53</v>
      </c>
      <c r="AD99" s="16">
        <f>IF(P99&lt;=1,4.9,4.9+0.8*ROUNDUP(P99-1,0))</f>
        <v>18.5</v>
      </c>
      <c r="AE99" s="15">
        <v>0</v>
      </c>
      <c r="AF99" s="15">
        <v>0</v>
      </c>
      <c r="AG99" s="15">
        <v>0</v>
      </c>
      <c r="AH99" s="15">
        <v>0</v>
      </c>
      <c r="AI99" s="15">
        <f t="shared" si="2"/>
        <v>1.1099999999999999</v>
      </c>
      <c r="AJ99" s="15">
        <f t="shared" si="3"/>
        <v>19.61</v>
      </c>
      <c r="AK99" t="s">
        <v>47</v>
      </c>
    </row>
    <row r="100" spans="1:37" ht="15" customHeight="1" x14ac:dyDescent="0.35">
      <c r="A100">
        <v>690929</v>
      </c>
      <c r="B100" t="s">
        <v>37</v>
      </c>
      <c r="C100" t="s">
        <v>38</v>
      </c>
      <c r="D100" s="9" t="s">
        <v>39</v>
      </c>
      <c r="E100" s="10" t="s">
        <v>37</v>
      </c>
      <c r="F100" s="11"/>
      <c r="G100" t="s">
        <v>360</v>
      </c>
      <c r="I100" t="s">
        <v>41</v>
      </c>
      <c r="J100" t="s">
        <v>361</v>
      </c>
      <c r="K100" t="s">
        <v>43</v>
      </c>
      <c r="L100">
        <v>2</v>
      </c>
      <c r="M100" t="s">
        <v>44</v>
      </c>
      <c r="N100" t="s">
        <v>45</v>
      </c>
      <c r="O100" t="s">
        <v>46</v>
      </c>
      <c r="P100" s="5">
        <v>11</v>
      </c>
      <c r="Q100" s="12">
        <v>44697.538807870369</v>
      </c>
      <c r="R100" s="13">
        <v>44699</v>
      </c>
      <c r="T100" t="s">
        <v>47</v>
      </c>
      <c r="U100" t="s">
        <v>48</v>
      </c>
      <c r="V100" t="s">
        <v>164</v>
      </c>
      <c r="Y100" t="s">
        <v>362</v>
      </c>
      <c r="Z100">
        <v>35900</v>
      </c>
      <c r="AA100" t="s">
        <v>47</v>
      </c>
      <c r="AB100" t="s">
        <v>52</v>
      </c>
      <c r="AC100" t="s">
        <v>53</v>
      </c>
      <c r="AD100" s="16">
        <f>IF(P100&lt;=1,4.9,4.9+0.8*ROUNDUP(P100-1,0))</f>
        <v>12.9</v>
      </c>
      <c r="AE100" s="15">
        <v>0</v>
      </c>
      <c r="AF100" s="15">
        <v>0</v>
      </c>
      <c r="AG100" s="15">
        <v>0</v>
      </c>
      <c r="AH100" s="15">
        <v>0</v>
      </c>
      <c r="AI100" s="15">
        <f t="shared" si="2"/>
        <v>0.77400000000000002</v>
      </c>
      <c r="AJ100" s="15">
        <f t="shared" si="3"/>
        <v>13.673999999999999</v>
      </c>
      <c r="AK100" t="s">
        <v>47</v>
      </c>
    </row>
    <row r="101" spans="1:37" ht="15" customHeight="1" x14ac:dyDescent="0.35">
      <c r="A101">
        <v>690929</v>
      </c>
      <c r="B101" t="s">
        <v>37</v>
      </c>
      <c r="C101" t="s">
        <v>38</v>
      </c>
      <c r="D101" s="9" t="s">
        <v>39</v>
      </c>
      <c r="E101" s="10" t="s">
        <v>37</v>
      </c>
      <c r="F101" s="11"/>
      <c r="G101" t="s">
        <v>363</v>
      </c>
      <c r="I101" t="s">
        <v>41</v>
      </c>
      <c r="J101" t="s">
        <v>364</v>
      </c>
      <c r="K101" t="s">
        <v>43</v>
      </c>
      <c r="L101">
        <v>2</v>
      </c>
      <c r="M101" t="s">
        <v>44</v>
      </c>
      <c r="N101" t="s">
        <v>45</v>
      </c>
      <c r="O101" t="s">
        <v>46</v>
      </c>
      <c r="P101" s="5">
        <v>2</v>
      </c>
      <c r="Q101" s="12">
        <v>44697.488541666666</v>
      </c>
      <c r="R101" s="13">
        <v>44699</v>
      </c>
      <c r="T101" t="s">
        <v>47</v>
      </c>
      <c r="U101" t="s">
        <v>48</v>
      </c>
      <c r="V101" t="s">
        <v>76</v>
      </c>
      <c r="Y101" t="s">
        <v>365</v>
      </c>
      <c r="Z101">
        <v>77200</v>
      </c>
      <c r="AA101" t="s">
        <v>47</v>
      </c>
      <c r="AB101" t="s">
        <v>52</v>
      </c>
      <c r="AC101" t="s">
        <v>53</v>
      </c>
      <c r="AD101" s="16">
        <f>IF(P101&lt;=1,4.9,4.9+0.8*ROUNDUP(P101-1,0))</f>
        <v>5.7</v>
      </c>
      <c r="AE101" s="15">
        <v>0</v>
      </c>
      <c r="AF101" s="15">
        <v>0</v>
      </c>
      <c r="AG101" s="15">
        <v>0</v>
      </c>
      <c r="AH101" s="15">
        <v>0</v>
      </c>
      <c r="AI101" s="15">
        <f t="shared" si="2"/>
        <v>0.34199999999999997</v>
      </c>
      <c r="AJ101" s="15">
        <f t="shared" si="3"/>
        <v>6.0419999999999998</v>
      </c>
      <c r="AK101" t="s">
        <v>47</v>
      </c>
    </row>
    <row r="102" spans="1:37" ht="15" customHeight="1" x14ac:dyDescent="0.35">
      <c r="A102">
        <v>690929</v>
      </c>
      <c r="B102" t="s">
        <v>37</v>
      </c>
      <c r="C102" t="s">
        <v>38</v>
      </c>
      <c r="D102" s="9" t="s">
        <v>39</v>
      </c>
      <c r="E102" s="10" t="s">
        <v>37</v>
      </c>
      <c r="F102" s="11"/>
      <c r="G102" t="s">
        <v>366</v>
      </c>
      <c r="I102" t="s">
        <v>41</v>
      </c>
      <c r="J102" t="s">
        <v>367</v>
      </c>
      <c r="K102" t="s">
        <v>43</v>
      </c>
      <c r="L102">
        <v>2</v>
      </c>
      <c r="M102" t="s">
        <v>44</v>
      </c>
      <c r="N102" t="s">
        <v>45</v>
      </c>
      <c r="O102" t="s">
        <v>46</v>
      </c>
      <c r="P102" s="5">
        <v>1</v>
      </c>
      <c r="Q102" s="12">
        <v>44696.692476851851</v>
      </c>
      <c r="R102" s="13">
        <v>44699</v>
      </c>
      <c r="T102" t="s">
        <v>47</v>
      </c>
      <c r="U102" t="s">
        <v>48</v>
      </c>
      <c r="V102" t="s">
        <v>164</v>
      </c>
      <c r="Y102" t="s">
        <v>368</v>
      </c>
      <c r="Z102">
        <v>31400</v>
      </c>
      <c r="AA102" t="s">
        <v>47</v>
      </c>
      <c r="AB102" t="s">
        <v>52</v>
      </c>
      <c r="AC102" t="s">
        <v>53</v>
      </c>
      <c r="AD102" s="16">
        <f>IF(P102&lt;=1,4.9,4.9+0.8*ROUNDUP(P102-1,0))</f>
        <v>4.9000000000000004</v>
      </c>
      <c r="AE102" s="15">
        <v>0</v>
      </c>
      <c r="AF102" s="15">
        <v>0</v>
      </c>
      <c r="AG102" s="15">
        <v>0</v>
      </c>
      <c r="AH102" s="15">
        <v>0</v>
      </c>
      <c r="AI102" s="15">
        <f t="shared" si="2"/>
        <v>0.29399999999999998</v>
      </c>
      <c r="AJ102" s="15">
        <f t="shared" si="3"/>
        <v>5.194</v>
      </c>
      <c r="AK102" t="s">
        <v>47</v>
      </c>
    </row>
    <row r="103" spans="1:37" ht="15" customHeight="1" x14ac:dyDescent="0.35">
      <c r="A103">
        <v>690929</v>
      </c>
      <c r="B103" t="s">
        <v>37</v>
      </c>
      <c r="C103" t="s">
        <v>38</v>
      </c>
      <c r="D103" s="9" t="s">
        <v>39</v>
      </c>
      <c r="E103" s="10" t="s">
        <v>37</v>
      </c>
      <c r="F103" s="11"/>
      <c r="G103" t="s">
        <v>369</v>
      </c>
      <c r="I103" t="s">
        <v>41</v>
      </c>
      <c r="J103" t="s">
        <v>370</v>
      </c>
      <c r="K103" t="s">
        <v>43</v>
      </c>
      <c r="L103">
        <v>2</v>
      </c>
      <c r="M103" t="s">
        <v>44</v>
      </c>
      <c r="N103" t="s">
        <v>45</v>
      </c>
      <c r="O103" t="s">
        <v>46</v>
      </c>
      <c r="P103" s="5">
        <v>1</v>
      </c>
      <c r="Q103" s="12">
        <v>44692.677233796298</v>
      </c>
      <c r="R103" s="13">
        <v>44699</v>
      </c>
      <c r="T103" t="s">
        <v>47</v>
      </c>
      <c r="U103" t="s">
        <v>48</v>
      </c>
      <c r="V103" t="s">
        <v>88</v>
      </c>
      <c r="Y103" t="s">
        <v>371</v>
      </c>
      <c r="Z103">
        <v>52100</v>
      </c>
      <c r="AA103" t="s">
        <v>47</v>
      </c>
      <c r="AB103" t="s">
        <v>58</v>
      </c>
      <c r="AC103" t="s">
        <v>53</v>
      </c>
      <c r="AD103" s="16">
        <f>IF(P103&lt;=1,4.9,4.9+0.8*ROUNDUP(P103-1,0))</f>
        <v>4.9000000000000004</v>
      </c>
      <c r="AE103" s="15">
        <v>0</v>
      </c>
      <c r="AF103" s="15">
        <v>0</v>
      </c>
      <c r="AG103" s="15">
        <v>0</v>
      </c>
      <c r="AH103" s="15">
        <v>0</v>
      </c>
      <c r="AI103" s="15">
        <f t="shared" si="2"/>
        <v>0.29399999999999998</v>
      </c>
      <c r="AJ103" s="15">
        <f t="shared" si="3"/>
        <v>5.194</v>
      </c>
      <c r="AK103" t="s">
        <v>47</v>
      </c>
    </row>
    <row r="104" spans="1:37" ht="15" customHeight="1" x14ac:dyDescent="0.35">
      <c r="A104">
        <v>690929</v>
      </c>
      <c r="B104" t="s">
        <v>37</v>
      </c>
      <c r="C104" t="s">
        <v>38</v>
      </c>
      <c r="D104" s="9" t="s">
        <v>39</v>
      </c>
      <c r="E104" s="10" t="s">
        <v>37</v>
      </c>
      <c r="F104" s="11"/>
      <c r="G104" t="s">
        <v>372</v>
      </c>
      <c r="I104" t="s">
        <v>41</v>
      </c>
      <c r="J104" t="s">
        <v>373</v>
      </c>
      <c r="K104" t="s">
        <v>43</v>
      </c>
      <c r="L104">
        <v>2</v>
      </c>
      <c r="M104" t="s">
        <v>44</v>
      </c>
      <c r="N104" t="s">
        <v>45</v>
      </c>
      <c r="O104" t="s">
        <v>46</v>
      </c>
      <c r="P104" s="5">
        <v>1</v>
      </c>
      <c r="Q104" s="12">
        <v>44696.690659722219</v>
      </c>
      <c r="R104" s="13">
        <v>44699</v>
      </c>
      <c r="T104" t="s">
        <v>47</v>
      </c>
      <c r="U104" t="s">
        <v>48</v>
      </c>
      <c r="V104" t="s">
        <v>70</v>
      </c>
      <c r="Y104" t="s">
        <v>374</v>
      </c>
      <c r="Z104">
        <v>45500</v>
      </c>
      <c r="AA104" t="s">
        <v>47</v>
      </c>
      <c r="AB104" t="s">
        <v>58</v>
      </c>
      <c r="AC104" t="s">
        <v>53</v>
      </c>
      <c r="AD104" s="16">
        <f>IF(P104&lt;=1,4.9,4.9+0.8*ROUNDUP(P104-1,0))</f>
        <v>4.9000000000000004</v>
      </c>
      <c r="AE104" s="15">
        <v>0</v>
      </c>
      <c r="AF104" s="15">
        <v>0</v>
      </c>
      <c r="AG104" s="15">
        <v>0</v>
      </c>
      <c r="AH104" s="15">
        <v>0</v>
      </c>
      <c r="AI104" s="15">
        <f t="shared" si="2"/>
        <v>0.29399999999999998</v>
      </c>
      <c r="AJ104" s="15">
        <f t="shared" si="3"/>
        <v>5.194</v>
      </c>
      <c r="AK104" t="s">
        <v>47</v>
      </c>
    </row>
    <row r="105" spans="1:37" ht="15" customHeight="1" x14ac:dyDescent="0.35">
      <c r="A105">
        <v>690929</v>
      </c>
      <c r="B105" t="s">
        <v>37</v>
      </c>
      <c r="C105" t="s">
        <v>38</v>
      </c>
      <c r="D105" s="9" t="s">
        <v>39</v>
      </c>
      <c r="E105" s="10" t="s">
        <v>37</v>
      </c>
      <c r="F105" s="11"/>
      <c r="G105" t="s">
        <v>375</v>
      </c>
      <c r="I105" t="s">
        <v>41</v>
      </c>
      <c r="J105" t="s">
        <v>376</v>
      </c>
      <c r="K105" t="s">
        <v>43</v>
      </c>
      <c r="L105">
        <v>2</v>
      </c>
      <c r="M105" t="s">
        <v>44</v>
      </c>
      <c r="N105" t="s">
        <v>45</v>
      </c>
      <c r="O105" t="s">
        <v>46</v>
      </c>
      <c r="P105" s="5">
        <v>1</v>
      </c>
      <c r="Q105" s="12">
        <v>44697.588356481479</v>
      </c>
      <c r="R105" s="13">
        <v>44699</v>
      </c>
      <c r="T105" t="s">
        <v>47</v>
      </c>
      <c r="U105" t="s">
        <v>48</v>
      </c>
      <c r="V105" t="s">
        <v>70</v>
      </c>
      <c r="Y105" t="s">
        <v>377</v>
      </c>
      <c r="Z105">
        <v>45000</v>
      </c>
      <c r="AA105" t="s">
        <v>47</v>
      </c>
      <c r="AB105" t="s">
        <v>58</v>
      </c>
      <c r="AC105" t="s">
        <v>53</v>
      </c>
      <c r="AD105" s="16">
        <f>IF(P105&lt;=1,4.9,4.9+0.8*ROUNDUP(P105-1,0))</f>
        <v>4.9000000000000004</v>
      </c>
      <c r="AE105" s="15">
        <v>0</v>
      </c>
      <c r="AF105" s="15">
        <v>0</v>
      </c>
      <c r="AG105" s="15">
        <v>0</v>
      </c>
      <c r="AH105" s="15">
        <v>0</v>
      </c>
      <c r="AI105" s="15">
        <f t="shared" si="2"/>
        <v>0.29399999999999998</v>
      </c>
      <c r="AJ105" s="15">
        <f t="shared" si="3"/>
        <v>5.194</v>
      </c>
      <c r="AK105" t="s">
        <v>47</v>
      </c>
    </row>
    <row r="106" spans="1:37" ht="15" customHeight="1" x14ac:dyDescent="0.35">
      <c r="A106">
        <v>690929</v>
      </c>
      <c r="B106" t="s">
        <v>37</v>
      </c>
      <c r="C106" t="s">
        <v>38</v>
      </c>
      <c r="D106" s="9" t="s">
        <v>39</v>
      </c>
      <c r="E106" s="10" t="s">
        <v>37</v>
      </c>
      <c r="F106" s="11"/>
      <c r="G106" t="s">
        <v>378</v>
      </c>
      <c r="I106" t="s">
        <v>41</v>
      </c>
      <c r="J106" t="s">
        <v>379</v>
      </c>
      <c r="K106" t="s">
        <v>43</v>
      </c>
      <c r="L106">
        <v>2</v>
      </c>
      <c r="M106" t="s">
        <v>44</v>
      </c>
      <c r="N106" t="s">
        <v>45</v>
      </c>
      <c r="O106" t="s">
        <v>46</v>
      </c>
      <c r="P106" s="5">
        <v>3</v>
      </c>
      <c r="Q106" s="12">
        <v>44697.487361111111</v>
      </c>
      <c r="R106" s="13">
        <v>44699</v>
      </c>
      <c r="T106" t="s">
        <v>47</v>
      </c>
      <c r="U106" t="s">
        <v>48</v>
      </c>
      <c r="V106" t="s">
        <v>93</v>
      </c>
      <c r="Y106" t="s">
        <v>380</v>
      </c>
      <c r="Z106">
        <v>84000</v>
      </c>
      <c r="AA106" t="s">
        <v>47</v>
      </c>
      <c r="AB106" t="s">
        <v>52</v>
      </c>
      <c r="AC106" t="s">
        <v>53</v>
      </c>
      <c r="AD106" s="16">
        <f>IF(P106&lt;=1,4.9,4.9+0.8*ROUNDUP(P106-1,0))</f>
        <v>6.5</v>
      </c>
      <c r="AE106" s="15">
        <v>0</v>
      </c>
      <c r="AF106" s="15">
        <v>0</v>
      </c>
      <c r="AG106" s="15">
        <v>0</v>
      </c>
      <c r="AH106" s="15">
        <v>0</v>
      </c>
      <c r="AI106" s="15">
        <f t="shared" si="2"/>
        <v>0.39</v>
      </c>
      <c r="AJ106" s="15">
        <f t="shared" si="3"/>
        <v>6.89</v>
      </c>
      <c r="AK106" t="s">
        <v>47</v>
      </c>
    </row>
    <row r="107" spans="1:37" ht="15" customHeight="1" x14ac:dyDescent="0.35">
      <c r="A107">
        <v>690929</v>
      </c>
      <c r="B107" t="s">
        <v>37</v>
      </c>
      <c r="C107" t="s">
        <v>38</v>
      </c>
      <c r="D107" s="9" t="s">
        <v>39</v>
      </c>
      <c r="E107" s="10" t="s">
        <v>37</v>
      </c>
      <c r="F107" s="11"/>
      <c r="G107" t="s">
        <v>381</v>
      </c>
      <c r="I107" t="s">
        <v>41</v>
      </c>
      <c r="J107" t="s">
        <v>382</v>
      </c>
      <c r="K107" t="s">
        <v>43</v>
      </c>
      <c r="L107">
        <v>2</v>
      </c>
      <c r="M107" t="s">
        <v>44</v>
      </c>
      <c r="N107" t="s">
        <v>45</v>
      </c>
      <c r="O107" t="s">
        <v>46</v>
      </c>
      <c r="P107" s="5">
        <v>3</v>
      </c>
      <c r="Q107" s="12">
        <v>44697.528715277775</v>
      </c>
      <c r="R107" s="13">
        <v>44699</v>
      </c>
      <c r="T107" t="s">
        <v>47</v>
      </c>
      <c r="U107" t="s">
        <v>48</v>
      </c>
      <c r="V107" t="s">
        <v>164</v>
      </c>
      <c r="Y107" t="s">
        <v>383</v>
      </c>
      <c r="Z107">
        <v>32400</v>
      </c>
      <c r="AA107" t="s">
        <v>47</v>
      </c>
      <c r="AB107" t="s">
        <v>52</v>
      </c>
      <c r="AC107" t="s">
        <v>53</v>
      </c>
      <c r="AD107" s="16">
        <f>IF(P107&lt;=1,4.9,4.9+0.8*ROUNDUP(P107-1,0))</f>
        <v>6.5</v>
      </c>
      <c r="AE107" s="15">
        <v>0</v>
      </c>
      <c r="AF107" s="15">
        <v>0</v>
      </c>
      <c r="AG107" s="15">
        <v>0</v>
      </c>
      <c r="AH107" s="15">
        <v>0</v>
      </c>
      <c r="AI107" s="15">
        <f t="shared" si="2"/>
        <v>0.39</v>
      </c>
      <c r="AJ107" s="15">
        <f t="shared" si="3"/>
        <v>6.89</v>
      </c>
      <c r="AK107" t="s">
        <v>47</v>
      </c>
    </row>
    <row r="108" spans="1:37" ht="15" customHeight="1" x14ac:dyDescent="0.35">
      <c r="A108">
        <v>690929</v>
      </c>
      <c r="B108" t="s">
        <v>37</v>
      </c>
      <c r="C108" t="s">
        <v>38</v>
      </c>
      <c r="D108" s="9" t="s">
        <v>39</v>
      </c>
      <c r="E108" s="10" t="s">
        <v>37</v>
      </c>
      <c r="F108" s="11"/>
      <c r="G108" t="s">
        <v>384</v>
      </c>
      <c r="I108" t="s">
        <v>41</v>
      </c>
      <c r="J108" t="s">
        <v>385</v>
      </c>
      <c r="K108" t="s">
        <v>43</v>
      </c>
      <c r="L108">
        <v>2</v>
      </c>
      <c r="M108" t="s">
        <v>44</v>
      </c>
      <c r="N108" t="s">
        <v>45</v>
      </c>
      <c r="O108" t="s">
        <v>46</v>
      </c>
      <c r="P108" s="5">
        <v>1</v>
      </c>
      <c r="Q108" s="12">
        <v>44697.593333333331</v>
      </c>
      <c r="R108" s="13">
        <v>44699</v>
      </c>
      <c r="T108" t="s">
        <v>47</v>
      </c>
      <c r="U108" t="s">
        <v>48</v>
      </c>
      <c r="V108" t="s">
        <v>122</v>
      </c>
      <c r="Y108" t="s">
        <v>386</v>
      </c>
      <c r="Z108">
        <v>5350</v>
      </c>
      <c r="AA108" t="s">
        <v>47</v>
      </c>
      <c r="AB108" t="s">
        <v>52</v>
      </c>
      <c r="AC108" t="s">
        <v>53</v>
      </c>
      <c r="AD108" s="16">
        <f>IF(P108&lt;=1,4.9,4.9+0.8*ROUNDUP(P108-1,0))</f>
        <v>4.9000000000000004</v>
      </c>
      <c r="AE108" s="15">
        <v>0</v>
      </c>
      <c r="AF108" s="15">
        <v>0</v>
      </c>
      <c r="AG108" s="15">
        <v>0</v>
      </c>
      <c r="AH108" s="15">
        <v>0</v>
      </c>
      <c r="AI108" s="15">
        <f t="shared" si="2"/>
        <v>0.29399999999999998</v>
      </c>
      <c r="AJ108" s="15">
        <f t="shared" si="3"/>
        <v>5.194</v>
      </c>
      <c r="AK108" t="s">
        <v>47</v>
      </c>
    </row>
    <row r="109" spans="1:37" ht="15" customHeight="1" x14ac:dyDescent="0.35">
      <c r="A109">
        <v>690929</v>
      </c>
      <c r="B109" t="s">
        <v>37</v>
      </c>
      <c r="C109" t="s">
        <v>38</v>
      </c>
      <c r="D109" s="9" t="s">
        <v>39</v>
      </c>
      <c r="E109" s="10" t="s">
        <v>37</v>
      </c>
      <c r="F109" s="11"/>
      <c r="G109" t="s">
        <v>387</v>
      </c>
      <c r="I109" t="s">
        <v>41</v>
      </c>
      <c r="J109" t="s">
        <v>388</v>
      </c>
      <c r="K109" t="s">
        <v>43</v>
      </c>
      <c r="L109">
        <v>2</v>
      </c>
      <c r="M109" t="s">
        <v>44</v>
      </c>
      <c r="N109" t="s">
        <v>45</v>
      </c>
      <c r="O109" t="s">
        <v>92</v>
      </c>
      <c r="P109" s="5">
        <v>8</v>
      </c>
      <c r="Q109" s="12">
        <v>44695.695567129631</v>
      </c>
      <c r="R109" s="13">
        <v>44699</v>
      </c>
      <c r="T109" t="s">
        <v>47</v>
      </c>
      <c r="U109" t="s">
        <v>48</v>
      </c>
      <c r="V109" t="s">
        <v>76</v>
      </c>
      <c r="Y109" t="s">
        <v>389</v>
      </c>
      <c r="Z109">
        <v>77300</v>
      </c>
      <c r="AA109" t="s">
        <v>47</v>
      </c>
      <c r="AB109" t="s">
        <v>390</v>
      </c>
      <c r="AC109" t="s">
        <v>53</v>
      </c>
      <c r="AD109" s="16">
        <f>IF(P109&lt;=1,4.9,4.9+0.8*ROUNDUP(P109-1,0))</f>
        <v>10.5</v>
      </c>
      <c r="AE109" s="15">
        <v>0</v>
      </c>
      <c r="AF109" s="15">
        <v>0</v>
      </c>
      <c r="AG109" s="15">
        <v>0</v>
      </c>
      <c r="AH109" s="15">
        <v>0</v>
      </c>
      <c r="AI109" s="15">
        <f t="shared" si="2"/>
        <v>0.63</v>
      </c>
      <c r="AJ109" s="15">
        <f t="shared" si="3"/>
        <v>11.13</v>
      </c>
      <c r="AK109" t="s">
        <v>47</v>
      </c>
    </row>
    <row r="110" spans="1:37" ht="15" customHeight="1" x14ac:dyDescent="0.35">
      <c r="A110">
        <v>690929</v>
      </c>
      <c r="B110" t="s">
        <v>37</v>
      </c>
      <c r="C110" t="s">
        <v>38</v>
      </c>
      <c r="D110" s="9" t="s">
        <v>39</v>
      </c>
      <c r="E110" s="10" t="s">
        <v>37</v>
      </c>
      <c r="F110" s="11"/>
      <c r="G110" t="s">
        <v>391</v>
      </c>
      <c r="I110" t="s">
        <v>41</v>
      </c>
      <c r="J110" t="s">
        <v>392</v>
      </c>
      <c r="K110" t="s">
        <v>43</v>
      </c>
      <c r="L110">
        <v>2</v>
      </c>
      <c r="M110" t="s">
        <v>44</v>
      </c>
      <c r="N110" t="s">
        <v>45</v>
      </c>
      <c r="O110" t="s">
        <v>46</v>
      </c>
      <c r="P110" s="5">
        <v>7</v>
      </c>
      <c r="Q110" s="12">
        <v>44697.518750000003</v>
      </c>
      <c r="R110" s="13">
        <v>44699</v>
      </c>
      <c r="T110" t="s">
        <v>47</v>
      </c>
      <c r="U110" t="s">
        <v>48</v>
      </c>
      <c r="V110" t="s">
        <v>76</v>
      </c>
      <c r="Y110" t="s">
        <v>393</v>
      </c>
      <c r="Z110">
        <v>75460</v>
      </c>
      <c r="AA110" t="s">
        <v>47</v>
      </c>
      <c r="AB110" t="s">
        <v>52</v>
      </c>
      <c r="AC110" t="s">
        <v>53</v>
      </c>
      <c r="AD110" s="16">
        <f>IF(P110&lt;=1,4.9,4.9+0.8*ROUNDUP(P110-1,0))</f>
        <v>9.7000000000000011</v>
      </c>
      <c r="AE110" s="15">
        <v>0</v>
      </c>
      <c r="AF110" s="15">
        <v>0</v>
      </c>
      <c r="AG110" s="15">
        <v>0</v>
      </c>
      <c r="AH110" s="15">
        <v>0</v>
      </c>
      <c r="AI110" s="15">
        <f t="shared" si="2"/>
        <v>0.58200000000000007</v>
      </c>
      <c r="AJ110" s="15">
        <f t="shared" si="3"/>
        <v>10.282000000000002</v>
      </c>
      <c r="AK110" t="s">
        <v>47</v>
      </c>
    </row>
    <row r="111" spans="1:37" ht="15" customHeight="1" x14ac:dyDescent="0.35">
      <c r="A111">
        <v>690929</v>
      </c>
      <c r="B111" t="s">
        <v>37</v>
      </c>
      <c r="C111" t="s">
        <v>38</v>
      </c>
      <c r="D111" s="9" t="s">
        <v>39</v>
      </c>
      <c r="E111" s="10" t="s">
        <v>37</v>
      </c>
      <c r="F111" s="11"/>
      <c r="G111" t="s">
        <v>394</v>
      </c>
      <c r="I111" t="s">
        <v>41</v>
      </c>
      <c r="J111" t="s">
        <v>395</v>
      </c>
      <c r="K111" t="s">
        <v>43</v>
      </c>
      <c r="L111">
        <v>2</v>
      </c>
      <c r="M111" t="s">
        <v>44</v>
      </c>
      <c r="N111" t="s">
        <v>45</v>
      </c>
      <c r="O111" t="s">
        <v>46</v>
      </c>
      <c r="P111" s="5">
        <v>1</v>
      </c>
      <c r="Q111" s="12">
        <v>44694.487071759257</v>
      </c>
      <c r="R111" s="13">
        <v>44699</v>
      </c>
      <c r="T111" t="s">
        <v>47</v>
      </c>
      <c r="U111" t="s">
        <v>58</v>
      </c>
      <c r="V111" t="s">
        <v>88</v>
      </c>
      <c r="Y111" t="s">
        <v>396</v>
      </c>
      <c r="Z111">
        <v>55200</v>
      </c>
      <c r="AA111" t="s">
        <v>47</v>
      </c>
      <c r="AB111" t="s">
        <v>397</v>
      </c>
      <c r="AC111" t="s">
        <v>53</v>
      </c>
      <c r="AD111" s="16">
        <f>IF(P111&lt;=1,4.9,4.9+0.8*ROUNDUP(P111-1,0))</f>
        <v>4.9000000000000004</v>
      </c>
      <c r="AE111" s="15">
        <v>0</v>
      </c>
      <c r="AF111" s="15">
        <v>0</v>
      </c>
      <c r="AG111" s="15">
        <v>0</v>
      </c>
      <c r="AH111" s="15">
        <v>0</v>
      </c>
      <c r="AI111" s="15">
        <f t="shared" si="2"/>
        <v>0.29399999999999998</v>
      </c>
      <c r="AJ111" s="15">
        <f t="shared" si="3"/>
        <v>5.194</v>
      </c>
      <c r="AK111" t="s">
        <v>47</v>
      </c>
    </row>
    <row r="112" spans="1:37" ht="15" customHeight="1" x14ac:dyDescent="0.35">
      <c r="A112">
        <v>690929</v>
      </c>
      <c r="B112" t="s">
        <v>37</v>
      </c>
      <c r="C112" t="s">
        <v>38</v>
      </c>
      <c r="D112" s="9" t="s">
        <v>39</v>
      </c>
      <c r="E112" s="10" t="s">
        <v>37</v>
      </c>
      <c r="F112" s="11"/>
      <c r="G112" t="s">
        <v>398</v>
      </c>
      <c r="I112" t="s">
        <v>41</v>
      </c>
      <c r="J112" t="s">
        <v>399</v>
      </c>
      <c r="K112" t="s">
        <v>43</v>
      </c>
      <c r="L112">
        <v>2</v>
      </c>
      <c r="M112" t="s">
        <v>44</v>
      </c>
      <c r="N112" t="s">
        <v>45</v>
      </c>
      <c r="O112" t="s">
        <v>46</v>
      </c>
      <c r="P112" s="5">
        <v>1</v>
      </c>
      <c r="Q112" s="12">
        <v>44697.534375000003</v>
      </c>
      <c r="R112" s="13">
        <v>44699</v>
      </c>
      <c r="T112" t="s">
        <v>47</v>
      </c>
      <c r="U112" t="s">
        <v>48</v>
      </c>
      <c r="V112" t="s">
        <v>70</v>
      </c>
      <c r="Y112" t="s">
        <v>400</v>
      </c>
      <c r="Z112">
        <v>48020</v>
      </c>
      <c r="AA112" t="s">
        <v>47</v>
      </c>
      <c r="AB112" t="s">
        <v>58</v>
      </c>
      <c r="AC112" t="s">
        <v>53</v>
      </c>
      <c r="AD112" s="16">
        <f>IF(P112&lt;=1,4.9,4.9+0.8*ROUNDUP(P112-1,0))</f>
        <v>4.9000000000000004</v>
      </c>
      <c r="AE112" s="15">
        <v>0</v>
      </c>
      <c r="AF112" s="15">
        <v>0</v>
      </c>
      <c r="AG112" s="15">
        <v>0</v>
      </c>
      <c r="AH112" s="15">
        <v>0</v>
      </c>
      <c r="AI112" s="15">
        <f t="shared" si="2"/>
        <v>0.29399999999999998</v>
      </c>
      <c r="AJ112" s="15">
        <f t="shared" si="3"/>
        <v>5.194</v>
      </c>
      <c r="AK112" t="s">
        <v>47</v>
      </c>
    </row>
    <row r="113" spans="1:37" ht="15" customHeight="1" x14ac:dyDescent="0.35">
      <c r="A113">
        <v>690929</v>
      </c>
      <c r="B113" t="s">
        <v>37</v>
      </c>
      <c r="C113" t="s">
        <v>38</v>
      </c>
      <c r="D113" s="9" t="s">
        <v>39</v>
      </c>
      <c r="E113" s="10" t="s">
        <v>37</v>
      </c>
      <c r="F113" s="11"/>
      <c r="G113" t="s">
        <v>401</v>
      </c>
      <c r="I113" t="s">
        <v>41</v>
      </c>
      <c r="J113" t="s">
        <v>402</v>
      </c>
      <c r="K113" t="s">
        <v>43</v>
      </c>
      <c r="L113">
        <v>2</v>
      </c>
      <c r="M113" t="s">
        <v>44</v>
      </c>
      <c r="N113" t="s">
        <v>45</v>
      </c>
      <c r="O113" t="s">
        <v>92</v>
      </c>
      <c r="P113" s="5">
        <v>19</v>
      </c>
      <c r="Q113" s="12">
        <v>44698.540682870371</v>
      </c>
      <c r="R113" s="13">
        <v>44699</v>
      </c>
      <c r="T113" t="s">
        <v>47</v>
      </c>
      <c r="U113" t="s">
        <v>48</v>
      </c>
      <c r="V113" t="s">
        <v>61</v>
      </c>
      <c r="Y113" t="s">
        <v>403</v>
      </c>
      <c r="Z113">
        <v>16090</v>
      </c>
      <c r="AA113" t="s">
        <v>47</v>
      </c>
      <c r="AB113" t="s">
        <v>404</v>
      </c>
      <c r="AC113" t="s">
        <v>53</v>
      </c>
      <c r="AD113" s="16">
        <f>IF(P113&lt;=1,4.9,4.9+0.8*ROUNDUP(P113-1,0))</f>
        <v>19.3</v>
      </c>
      <c r="AE113" s="15">
        <v>0</v>
      </c>
      <c r="AF113" s="15">
        <v>0</v>
      </c>
      <c r="AG113" s="15">
        <v>0</v>
      </c>
      <c r="AH113" s="15">
        <v>0</v>
      </c>
      <c r="AI113" s="15">
        <f t="shared" si="2"/>
        <v>1.1579999999999999</v>
      </c>
      <c r="AJ113" s="15">
        <f t="shared" si="3"/>
        <v>20.458000000000002</v>
      </c>
      <c r="AK113" t="s">
        <v>47</v>
      </c>
    </row>
    <row r="114" spans="1:37" ht="15" customHeight="1" x14ac:dyDescent="0.35">
      <c r="A114">
        <v>690929</v>
      </c>
      <c r="B114" t="s">
        <v>37</v>
      </c>
      <c r="C114" t="s">
        <v>38</v>
      </c>
      <c r="D114" s="9" t="s">
        <v>39</v>
      </c>
      <c r="E114" s="10" t="s">
        <v>37</v>
      </c>
      <c r="F114" s="11"/>
      <c r="G114" t="s">
        <v>405</v>
      </c>
      <c r="I114" t="s">
        <v>41</v>
      </c>
      <c r="J114" t="s">
        <v>406</v>
      </c>
      <c r="K114" t="s">
        <v>43</v>
      </c>
      <c r="L114">
        <v>2</v>
      </c>
      <c r="M114" t="s">
        <v>44</v>
      </c>
      <c r="N114" t="s">
        <v>45</v>
      </c>
      <c r="O114" t="s">
        <v>46</v>
      </c>
      <c r="P114" s="5">
        <v>2</v>
      </c>
      <c r="Q114" s="12">
        <v>44697.485243055555</v>
      </c>
      <c r="R114" s="13">
        <v>44699</v>
      </c>
      <c r="T114" t="s">
        <v>47</v>
      </c>
      <c r="U114" t="s">
        <v>48</v>
      </c>
      <c r="V114" t="s">
        <v>407</v>
      </c>
      <c r="Y114" t="s">
        <v>408</v>
      </c>
      <c r="Z114">
        <v>71450</v>
      </c>
      <c r="AA114" t="s">
        <v>47</v>
      </c>
      <c r="AB114" t="s">
        <v>58</v>
      </c>
      <c r="AC114" t="s">
        <v>53</v>
      </c>
      <c r="AD114" s="16">
        <f>IF(P114&lt;=1,4.9,4.9+0.8*ROUNDUP(P114-1,0))</f>
        <v>5.7</v>
      </c>
      <c r="AE114" s="15">
        <v>0</v>
      </c>
      <c r="AF114" s="15">
        <v>0</v>
      </c>
      <c r="AG114" s="15">
        <v>0</v>
      </c>
      <c r="AH114" s="15">
        <v>0</v>
      </c>
      <c r="AI114" s="15">
        <f t="shared" si="2"/>
        <v>0.34199999999999997</v>
      </c>
      <c r="AJ114" s="15">
        <f t="shared" si="3"/>
        <v>6.0419999999999998</v>
      </c>
      <c r="AK114" t="s">
        <v>47</v>
      </c>
    </row>
    <row r="115" spans="1:37" ht="15" customHeight="1" x14ac:dyDescent="0.35">
      <c r="A115">
        <v>690929</v>
      </c>
      <c r="B115" t="s">
        <v>37</v>
      </c>
      <c r="C115" t="s">
        <v>38</v>
      </c>
      <c r="D115" s="9" t="s">
        <v>39</v>
      </c>
      <c r="E115" s="10" t="s">
        <v>37</v>
      </c>
      <c r="F115" s="11"/>
      <c r="G115" t="s">
        <v>409</v>
      </c>
      <c r="I115" t="s">
        <v>41</v>
      </c>
      <c r="J115" t="s">
        <v>410</v>
      </c>
      <c r="K115" t="s">
        <v>43</v>
      </c>
      <c r="L115">
        <v>2</v>
      </c>
      <c r="M115" t="s">
        <v>44</v>
      </c>
      <c r="N115" t="s">
        <v>45</v>
      </c>
      <c r="O115" t="s">
        <v>46</v>
      </c>
      <c r="P115" s="5">
        <v>1</v>
      </c>
      <c r="Q115" s="12">
        <v>44697.673680555556</v>
      </c>
      <c r="R115" s="13">
        <v>44699</v>
      </c>
      <c r="T115" t="s">
        <v>47</v>
      </c>
      <c r="U115" t="s">
        <v>48</v>
      </c>
      <c r="V115" t="s">
        <v>164</v>
      </c>
      <c r="Y115" t="s">
        <v>411</v>
      </c>
      <c r="Z115">
        <v>35600</v>
      </c>
      <c r="AA115" t="s">
        <v>47</v>
      </c>
      <c r="AB115" t="s">
        <v>52</v>
      </c>
      <c r="AC115" t="s">
        <v>53</v>
      </c>
      <c r="AD115" s="16">
        <f>IF(P115&lt;=1,4.9,4.9+0.8*ROUNDUP(P115-1,0))</f>
        <v>4.9000000000000004</v>
      </c>
      <c r="AE115" s="15">
        <v>0</v>
      </c>
      <c r="AF115" s="15">
        <v>0</v>
      </c>
      <c r="AG115" s="15">
        <v>0</v>
      </c>
      <c r="AH115" s="15">
        <v>0</v>
      </c>
      <c r="AI115" s="15">
        <f t="shared" si="2"/>
        <v>0.29399999999999998</v>
      </c>
      <c r="AJ115" s="15">
        <f t="shared" si="3"/>
        <v>5.194</v>
      </c>
      <c r="AK115" t="s">
        <v>47</v>
      </c>
    </row>
    <row r="116" spans="1:37" ht="15" customHeight="1" x14ac:dyDescent="0.35">
      <c r="A116">
        <v>690929</v>
      </c>
      <c r="B116" t="s">
        <v>37</v>
      </c>
      <c r="C116" t="s">
        <v>38</v>
      </c>
      <c r="D116" s="9" t="s">
        <v>39</v>
      </c>
      <c r="E116" s="10" t="s">
        <v>37</v>
      </c>
      <c r="F116" s="11"/>
      <c r="G116" t="s">
        <v>412</v>
      </c>
      <c r="I116" t="s">
        <v>41</v>
      </c>
      <c r="J116" t="s">
        <v>413</v>
      </c>
      <c r="K116" t="s">
        <v>43</v>
      </c>
      <c r="L116">
        <v>2</v>
      </c>
      <c r="M116" t="s">
        <v>44</v>
      </c>
      <c r="N116" t="s">
        <v>45</v>
      </c>
      <c r="O116" t="s">
        <v>46</v>
      </c>
      <c r="P116" s="5">
        <v>3</v>
      </c>
      <c r="Q116" s="12">
        <v>44697.531643518516</v>
      </c>
      <c r="R116" s="13">
        <v>44699</v>
      </c>
      <c r="T116" t="s">
        <v>47</v>
      </c>
      <c r="U116" t="s">
        <v>48</v>
      </c>
      <c r="V116" t="s">
        <v>76</v>
      </c>
      <c r="Y116" t="s">
        <v>414</v>
      </c>
      <c r="Z116">
        <v>75250</v>
      </c>
      <c r="AA116" t="s">
        <v>47</v>
      </c>
      <c r="AB116" t="s">
        <v>52</v>
      </c>
      <c r="AC116" t="s">
        <v>53</v>
      </c>
      <c r="AD116" s="16">
        <f>IF(P116&lt;=1,4.9,4.9+0.8*ROUNDUP(P116-1,0))</f>
        <v>6.5</v>
      </c>
      <c r="AE116" s="15">
        <v>0</v>
      </c>
      <c r="AF116" s="15">
        <v>0</v>
      </c>
      <c r="AG116" s="15">
        <v>0</v>
      </c>
      <c r="AH116" s="15">
        <v>0</v>
      </c>
      <c r="AI116" s="15">
        <f t="shared" si="2"/>
        <v>0.39</v>
      </c>
      <c r="AJ116" s="15">
        <f t="shared" si="3"/>
        <v>6.89</v>
      </c>
      <c r="AK116" t="s">
        <v>47</v>
      </c>
    </row>
    <row r="117" spans="1:37" ht="15" customHeight="1" x14ac:dyDescent="0.35">
      <c r="A117">
        <v>690929</v>
      </c>
      <c r="B117" t="s">
        <v>37</v>
      </c>
      <c r="C117" t="s">
        <v>38</v>
      </c>
      <c r="D117" s="9" t="s">
        <v>39</v>
      </c>
      <c r="E117" s="10" t="s">
        <v>37</v>
      </c>
      <c r="F117" s="11"/>
      <c r="G117" t="s">
        <v>415</v>
      </c>
      <c r="I117" t="s">
        <v>41</v>
      </c>
      <c r="J117" t="s">
        <v>416</v>
      </c>
      <c r="K117" t="s">
        <v>43</v>
      </c>
      <c r="L117">
        <v>2</v>
      </c>
      <c r="M117" t="s">
        <v>44</v>
      </c>
      <c r="N117" t="s">
        <v>45</v>
      </c>
      <c r="O117" t="s">
        <v>46</v>
      </c>
      <c r="P117" s="5">
        <v>1</v>
      </c>
      <c r="Q117" s="12">
        <v>44695.653483796297</v>
      </c>
      <c r="R117" s="13">
        <v>44699</v>
      </c>
      <c r="T117" t="s">
        <v>47</v>
      </c>
      <c r="U117" t="s">
        <v>48</v>
      </c>
      <c r="V117" t="s">
        <v>417</v>
      </c>
      <c r="Y117" t="s">
        <v>418</v>
      </c>
      <c r="Z117">
        <v>93050</v>
      </c>
      <c r="AA117" t="s">
        <v>51</v>
      </c>
      <c r="AB117" t="s">
        <v>52</v>
      </c>
      <c r="AC117" t="s">
        <v>53</v>
      </c>
      <c r="AD117" s="14">
        <f>IF(P117&lt;=1,13,IF(P117&lt;=2,23,IF(P117&lt;=3,35,IF(P117&lt;=4,43,IF(P117&lt;=5,53,IF(P117&lt;=6,63,IF(P117&lt;=7,71,IF(P117&lt;=8,79,IF(P117&lt;=9,87,IF(P117&lt;=10,95,IF(P117&lt;=11,105,IF(P117&lt;=12,114,IF(P117&lt;=13,119,IF(P117&lt;=14,127,IF(P117&lt;=15,135,IF(P117&lt;=16,143,IF(P117&lt;=17,153,IF(P117&lt;=18,163,IF(P117&lt;=19,171,IF(P117&lt;=20,185,IF(P117&lt;=21,193,IF(P117&lt;=22,201,IF(P117&lt;=23,210,IF(P117&lt;=24,220,IF(P117&lt;=25,230,IF(P117&lt;=26,240,IF(P117&lt;=27,250,IF(P117&lt;=28,260,IF(P117&lt;=29,270,IF(P117&lt;=30,280,280))))))))))))))))))))))))))))))</f>
        <v>13</v>
      </c>
      <c r="AE117" s="15">
        <v>0</v>
      </c>
      <c r="AF117" s="15">
        <v>0</v>
      </c>
      <c r="AG117" s="15">
        <v>0</v>
      </c>
      <c r="AH117" s="15">
        <v>0</v>
      </c>
      <c r="AI117" s="15">
        <f t="shared" si="2"/>
        <v>0.78</v>
      </c>
      <c r="AJ117" s="15">
        <f t="shared" si="3"/>
        <v>13.78</v>
      </c>
      <c r="AK117" t="s">
        <v>51</v>
      </c>
    </row>
    <row r="118" spans="1:37" ht="15" customHeight="1" x14ac:dyDescent="0.35">
      <c r="A118">
        <v>690929</v>
      </c>
      <c r="B118" t="s">
        <v>37</v>
      </c>
      <c r="C118" t="s">
        <v>38</v>
      </c>
      <c r="D118" s="9" t="s">
        <v>39</v>
      </c>
      <c r="E118" s="10" t="s">
        <v>37</v>
      </c>
      <c r="F118" s="11"/>
      <c r="G118" t="s">
        <v>419</v>
      </c>
      <c r="I118" t="s">
        <v>41</v>
      </c>
      <c r="J118" t="s">
        <v>420</v>
      </c>
      <c r="K118" t="s">
        <v>43</v>
      </c>
      <c r="L118">
        <v>2</v>
      </c>
      <c r="M118" t="s">
        <v>44</v>
      </c>
      <c r="N118" t="s">
        <v>45</v>
      </c>
      <c r="O118" t="s">
        <v>46</v>
      </c>
      <c r="P118" s="5">
        <v>4</v>
      </c>
      <c r="Q118" s="12">
        <v>44697.525902777779</v>
      </c>
      <c r="R118" s="13">
        <v>44699</v>
      </c>
      <c r="T118" t="s">
        <v>47</v>
      </c>
      <c r="U118" t="s">
        <v>48</v>
      </c>
      <c r="V118" t="s">
        <v>70</v>
      </c>
      <c r="Y118" t="s">
        <v>421</v>
      </c>
      <c r="Z118">
        <v>68100</v>
      </c>
      <c r="AA118" t="s">
        <v>47</v>
      </c>
      <c r="AB118" t="s">
        <v>52</v>
      </c>
      <c r="AC118" t="s">
        <v>53</v>
      </c>
      <c r="AD118" s="16">
        <f>IF(P118&lt;=1,4.9,4.9+0.8*ROUNDUP(P118-1,0))</f>
        <v>7.3000000000000007</v>
      </c>
      <c r="AE118" s="15">
        <v>0</v>
      </c>
      <c r="AF118" s="15">
        <v>0</v>
      </c>
      <c r="AG118" s="15">
        <v>0</v>
      </c>
      <c r="AH118" s="15">
        <v>0</v>
      </c>
      <c r="AI118" s="15">
        <f t="shared" si="2"/>
        <v>0.438</v>
      </c>
      <c r="AJ118" s="15">
        <f t="shared" si="3"/>
        <v>7.7380000000000004</v>
      </c>
      <c r="AK118" t="s">
        <v>47</v>
      </c>
    </row>
    <row r="119" spans="1:37" ht="15" customHeight="1" x14ac:dyDescent="0.35">
      <c r="A119">
        <v>690929</v>
      </c>
      <c r="B119" t="s">
        <v>37</v>
      </c>
      <c r="C119" t="s">
        <v>38</v>
      </c>
      <c r="D119" s="9" t="s">
        <v>39</v>
      </c>
      <c r="E119" s="10" t="s">
        <v>37</v>
      </c>
      <c r="F119" s="11"/>
      <c r="G119" t="s">
        <v>422</v>
      </c>
      <c r="I119" t="s">
        <v>41</v>
      </c>
      <c r="J119" t="s">
        <v>423</v>
      </c>
      <c r="K119" t="s">
        <v>43</v>
      </c>
      <c r="L119">
        <v>2</v>
      </c>
      <c r="M119" t="s">
        <v>44</v>
      </c>
      <c r="N119" t="s">
        <v>45</v>
      </c>
      <c r="O119" t="s">
        <v>46</v>
      </c>
      <c r="P119" s="5">
        <v>1</v>
      </c>
      <c r="Q119" s="12">
        <v>44696.694236111114</v>
      </c>
      <c r="R119" s="13">
        <v>44699</v>
      </c>
      <c r="T119" t="s">
        <v>47</v>
      </c>
      <c r="U119" t="s">
        <v>48</v>
      </c>
      <c r="V119" t="s">
        <v>407</v>
      </c>
      <c r="Y119" t="s">
        <v>424</v>
      </c>
      <c r="Z119">
        <v>73480</v>
      </c>
      <c r="AA119" t="s">
        <v>47</v>
      </c>
      <c r="AB119" t="s">
        <v>58</v>
      </c>
      <c r="AC119" t="s">
        <v>53</v>
      </c>
      <c r="AD119" s="16">
        <f>IF(P119&lt;=1,4.9,4.9+0.8*ROUNDUP(P119-1,0))</f>
        <v>4.9000000000000004</v>
      </c>
      <c r="AE119" s="15">
        <v>0</v>
      </c>
      <c r="AF119" s="15">
        <v>0</v>
      </c>
      <c r="AG119" s="15">
        <v>0</v>
      </c>
      <c r="AH119" s="15">
        <v>0</v>
      </c>
      <c r="AI119" s="15">
        <f t="shared" si="2"/>
        <v>0.29399999999999998</v>
      </c>
      <c r="AJ119" s="15">
        <f t="shared" si="3"/>
        <v>5.194</v>
      </c>
      <c r="AK119" t="s">
        <v>47</v>
      </c>
    </row>
    <row r="120" spans="1:37" ht="15" customHeight="1" x14ac:dyDescent="0.35">
      <c r="A120">
        <v>690929</v>
      </c>
      <c r="B120" t="s">
        <v>37</v>
      </c>
      <c r="C120" t="s">
        <v>38</v>
      </c>
      <c r="D120" s="9" t="s">
        <v>39</v>
      </c>
      <c r="E120" s="10" t="s">
        <v>37</v>
      </c>
      <c r="F120" s="11"/>
      <c r="G120" t="s">
        <v>425</v>
      </c>
      <c r="I120" t="s">
        <v>41</v>
      </c>
      <c r="J120" t="s">
        <v>426</v>
      </c>
      <c r="K120" t="s">
        <v>43</v>
      </c>
      <c r="L120">
        <v>2</v>
      </c>
      <c r="M120" t="s">
        <v>44</v>
      </c>
      <c r="N120" t="s">
        <v>45</v>
      </c>
      <c r="O120" t="s">
        <v>46</v>
      </c>
      <c r="P120" s="5">
        <v>14</v>
      </c>
      <c r="Q120" s="12">
        <v>44697.537314814814</v>
      </c>
      <c r="R120" s="13">
        <v>44699</v>
      </c>
      <c r="T120" t="s">
        <v>47</v>
      </c>
      <c r="U120" t="s">
        <v>48</v>
      </c>
      <c r="V120" t="s">
        <v>164</v>
      </c>
      <c r="Y120" t="s">
        <v>427</v>
      </c>
      <c r="Z120">
        <v>32040</v>
      </c>
      <c r="AA120" t="s">
        <v>47</v>
      </c>
      <c r="AB120" t="s">
        <v>52</v>
      </c>
      <c r="AC120" t="s">
        <v>53</v>
      </c>
      <c r="AD120" s="16">
        <f>IF(P120&lt;=1,4.9,4.9+0.8*ROUNDUP(P120-1,0))</f>
        <v>15.3</v>
      </c>
      <c r="AE120" s="15">
        <v>0</v>
      </c>
      <c r="AF120" s="15">
        <v>0</v>
      </c>
      <c r="AG120" s="15">
        <v>0</v>
      </c>
      <c r="AH120" s="15">
        <v>0</v>
      </c>
      <c r="AI120" s="15">
        <f t="shared" si="2"/>
        <v>0.91800000000000004</v>
      </c>
      <c r="AJ120" s="15">
        <f t="shared" si="3"/>
        <v>16.218</v>
      </c>
      <c r="AK120" t="s">
        <v>47</v>
      </c>
    </row>
    <row r="121" spans="1:37" ht="15" customHeight="1" x14ac:dyDescent="0.35">
      <c r="A121">
        <v>690929</v>
      </c>
      <c r="B121" t="s">
        <v>37</v>
      </c>
      <c r="C121" t="s">
        <v>38</v>
      </c>
      <c r="D121" s="9" t="s">
        <v>39</v>
      </c>
      <c r="E121" s="10" t="s">
        <v>37</v>
      </c>
      <c r="F121" s="11"/>
      <c r="G121" t="s">
        <v>428</v>
      </c>
      <c r="I121" t="s">
        <v>41</v>
      </c>
      <c r="J121" t="s">
        <v>429</v>
      </c>
      <c r="K121" t="s">
        <v>43</v>
      </c>
      <c r="L121">
        <v>2</v>
      </c>
      <c r="M121" t="s">
        <v>44</v>
      </c>
      <c r="N121" t="s">
        <v>45</v>
      </c>
      <c r="O121" t="s">
        <v>92</v>
      </c>
      <c r="P121" s="5">
        <v>15</v>
      </c>
      <c r="Q121" s="12">
        <v>44697.542905092596</v>
      </c>
      <c r="R121" s="13">
        <v>44700</v>
      </c>
      <c r="T121" t="s">
        <v>47</v>
      </c>
      <c r="U121" t="s">
        <v>48</v>
      </c>
      <c r="V121" t="s">
        <v>56</v>
      </c>
      <c r="Y121" t="s">
        <v>430</v>
      </c>
      <c r="Z121">
        <v>28700</v>
      </c>
      <c r="AA121" t="s">
        <v>47</v>
      </c>
      <c r="AB121" t="s">
        <v>431</v>
      </c>
      <c r="AC121" t="s">
        <v>53</v>
      </c>
      <c r="AD121" s="16">
        <f>IF(P121&lt;=1,4.9,4.9+0.8*ROUNDUP(P121-1,0))</f>
        <v>16.100000000000001</v>
      </c>
      <c r="AE121" s="15">
        <v>0</v>
      </c>
      <c r="AF121" s="15">
        <v>0</v>
      </c>
      <c r="AG121" s="15">
        <v>0</v>
      </c>
      <c r="AH121" s="15">
        <v>0</v>
      </c>
      <c r="AI121" s="15">
        <f t="shared" si="2"/>
        <v>0.96600000000000008</v>
      </c>
      <c r="AJ121" s="15">
        <f t="shared" si="3"/>
        <v>17.066000000000003</v>
      </c>
      <c r="AK121" t="s">
        <v>47</v>
      </c>
    </row>
    <row r="122" spans="1:37" ht="15" customHeight="1" x14ac:dyDescent="0.35">
      <c r="A122">
        <v>690929</v>
      </c>
      <c r="B122" t="s">
        <v>37</v>
      </c>
      <c r="C122" t="s">
        <v>38</v>
      </c>
      <c r="D122" s="9" t="s">
        <v>39</v>
      </c>
      <c r="E122" s="10" t="s">
        <v>37</v>
      </c>
      <c r="F122" s="11"/>
      <c r="G122" t="s">
        <v>432</v>
      </c>
      <c r="I122" t="s">
        <v>41</v>
      </c>
      <c r="J122" t="s">
        <v>433</v>
      </c>
      <c r="K122" t="s">
        <v>43</v>
      </c>
      <c r="L122">
        <v>2</v>
      </c>
      <c r="M122" t="s">
        <v>44</v>
      </c>
      <c r="N122" t="s">
        <v>45</v>
      </c>
      <c r="O122" t="s">
        <v>92</v>
      </c>
      <c r="P122" s="5">
        <v>10</v>
      </c>
      <c r="Q122" s="12">
        <v>44697.497361111113</v>
      </c>
      <c r="R122" s="13">
        <v>44700</v>
      </c>
      <c r="T122" t="s">
        <v>47</v>
      </c>
      <c r="U122" t="s">
        <v>48</v>
      </c>
      <c r="V122" t="s">
        <v>407</v>
      </c>
      <c r="Y122" t="s">
        <v>434</v>
      </c>
      <c r="Z122">
        <v>70400</v>
      </c>
      <c r="AA122" t="s">
        <v>47</v>
      </c>
      <c r="AB122" t="s">
        <v>52</v>
      </c>
      <c r="AC122" t="s">
        <v>53</v>
      </c>
      <c r="AD122" s="16">
        <f>IF(P122&lt;=1,4.9,4.9+0.8*ROUNDUP(P122-1,0))</f>
        <v>12.100000000000001</v>
      </c>
      <c r="AE122" s="15">
        <v>0</v>
      </c>
      <c r="AF122" s="15">
        <v>0</v>
      </c>
      <c r="AG122" s="15">
        <v>0</v>
      </c>
      <c r="AH122" s="15">
        <v>0</v>
      </c>
      <c r="AI122" s="15">
        <f t="shared" si="2"/>
        <v>0.72600000000000009</v>
      </c>
      <c r="AJ122" s="15">
        <f t="shared" si="3"/>
        <v>12.826000000000002</v>
      </c>
      <c r="AK122" t="s">
        <v>47</v>
      </c>
    </row>
    <row r="123" spans="1:37" ht="15" customHeight="1" x14ac:dyDescent="0.35">
      <c r="A123">
        <v>690929</v>
      </c>
      <c r="B123" t="s">
        <v>37</v>
      </c>
      <c r="C123" t="s">
        <v>38</v>
      </c>
      <c r="D123" s="9" t="s">
        <v>39</v>
      </c>
      <c r="E123" s="10" t="s">
        <v>37</v>
      </c>
      <c r="F123" s="11"/>
      <c r="G123" t="s">
        <v>435</v>
      </c>
      <c r="I123" t="s">
        <v>41</v>
      </c>
      <c r="J123" t="s">
        <v>436</v>
      </c>
      <c r="K123" t="s">
        <v>43</v>
      </c>
      <c r="L123">
        <v>2</v>
      </c>
      <c r="M123" t="s">
        <v>44</v>
      </c>
      <c r="N123" t="s">
        <v>45</v>
      </c>
      <c r="O123" t="s">
        <v>92</v>
      </c>
      <c r="P123" s="5">
        <v>13</v>
      </c>
      <c r="Q123" s="12">
        <v>44697.517488425925</v>
      </c>
      <c r="R123" s="13">
        <v>44700</v>
      </c>
      <c r="T123" t="s">
        <v>47</v>
      </c>
      <c r="U123" t="s">
        <v>48</v>
      </c>
      <c r="V123" t="s">
        <v>407</v>
      </c>
      <c r="Y123" t="s">
        <v>437</v>
      </c>
      <c r="Z123">
        <v>70400</v>
      </c>
      <c r="AA123" t="s">
        <v>47</v>
      </c>
      <c r="AB123" t="s">
        <v>52</v>
      </c>
      <c r="AC123" t="s">
        <v>53</v>
      </c>
      <c r="AD123" s="16">
        <f>IF(P123&lt;=1,4.9,4.9+0.8*ROUNDUP(P123-1,0))</f>
        <v>14.500000000000002</v>
      </c>
      <c r="AE123" s="15">
        <v>0</v>
      </c>
      <c r="AF123" s="15">
        <v>0</v>
      </c>
      <c r="AG123" s="15">
        <v>0</v>
      </c>
      <c r="AH123" s="15">
        <v>0</v>
      </c>
      <c r="AI123" s="15">
        <f t="shared" si="2"/>
        <v>0.87000000000000011</v>
      </c>
      <c r="AJ123" s="15">
        <f t="shared" si="3"/>
        <v>15.370000000000001</v>
      </c>
      <c r="AK123" t="s">
        <v>47</v>
      </c>
    </row>
    <row r="124" spans="1:37" ht="15" customHeight="1" x14ac:dyDescent="0.35">
      <c r="A124">
        <v>690929</v>
      </c>
      <c r="B124" t="s">
        <v>37</v>
      </c>
      <c r="C124" t="s">
        <v>38</v>
      </c>
      <c r="D124" s="9" t="s">
        <v>39</v>
      </c>
      <c r="E124" s="10" t="s">
        <v>37</v>
      </c>
      <c r="F124" s="11"/>
      <c r="G124" t="s">
        <v>438</v>
      </c>
      <c r="I124" t="s">
        <v>41</v>
      </c>
      <c r="J124" t="s">
        <v>439</v>
      </c>
      <c r="K124" t="s">
        <v>43</v>
      </c>
      <c r="L124">
        <v>2</v>
      </c>
      <c r="M124" t="s">
        <v>44</v>
      </c>
      <c r="N124" t="s">
        <v>45</v>
      </c>
      <c r="O124" t="s">
        <v>46</v>
      </c>
      <c r="P124" s="5">
        <v>4</v>
      </c>
      <c r="Q124" s="12">
        <v>44697.514791666668</v>
      </c>
      <c r="R124" s="13">
        <v>44700</v>
      </c>
      <c r="T124" t="s">
        <v>47</v>
      </c>
      <c r="U124" t="s">
        <v>48</v>
      </c>
      <c r="V124" t="s">
        <v>407</v>
      </c>
      <c r="Y124" t="s">
        <v>440</v>
      </c>
      <c r="Z124">
        <v>71800</v>
      </c>
      <c r="AA124" t="s">
        <v>47</v>
      </c>
      <c r="AB124" t="s">
        <v>52</v>
      </c>
      <c r="AC124" t="s">
        <v>53</v>
      </c>
      <c r="AD124" s="16">
        <f>IF(P124&lt;=1,4.9,4.9+0.8*ROUNDUP(P124-1,0))</f>
        <v>7.3000000000000007</v>
      </c>
      <c r="AE124" s="15">
        <v>0</v>
      </c>
      <c r="AF124" s="15">
        <v>0</v>
      </c>
      <c r="AG124" s="15">
        <v>0</v>
      </c>
      <c r="AH124" s="15">
        <v>0</v>
      </c>
      <c r="AI124" s="15">
        <f t="shared" si="2"/>
        <v>0.438</v>
      </c>
      <c r="AJ124" s="15">
        <f t="shared" si="3"/>
        <v>7.7380000000000004</v>
      </c>
      <c r="AK124" t="s">
        <v>47</v>
      </c>
    </row>
    <row r="125" spans="1:37" ht="15" customHeight="1" x14ac:dyDescent="0.35">
      <c r="A125">
        <v>690929</v>
      </c>
      <c r="B125" t="s">
        <v>37</v>
      </c>
      <c r="C125" t="s">
        <v>38</v>
      </c>
      <c r="D125" s="9" t="s">
        <v>39</v>
      </c>
      <c r="E125" s="10" t="s">
        <v>37</v>
      </c>
      <c r="F125" s="11"/>
      <c r="G125" t="s">
        <v>441</v>
      </c>
      <c r="I125" t="s">
        <v>41</v>
      </c>
      <c r="J125" t="s">
        <v>442</v>
      </c>
      <c r="K125" t="s">
        <v>43</v>
      </c>
      <c r="L125">
        <v>2</v>
      </c>
      <c r="M125" t="s">
        <v>44</v>
      </c>
      <c r="N125" t="s">
        <v>45</v>
      </c>
      <c r="O125" t="s">
        <v>46</v>
      </c>
      <c r="P125" s="5">
        <v>1</v>
      </c>
      <c r="Q125" s="12">
        <v>44688.663182870368</v>
      </c>
      <c r="R125" s="13">
        <v>44700</v>
      </c>
      <c r="T125" t="s">
        <v>47</v>
      </c>
      <c r="U125" t="s">
        <v>48</v>
      </c>
      <c r="V125" t="s">
        <v>93</v>
      </c>
      <c r="Y125" t="s">
        <v>443</v>
      </c>
      <c r="Z125">
        <v>81750</v>
      </c>
      <c r="AA125" t="s">
        <v>47</v>
      </c>
      <c r="AB125" t="s">
        <v>52</v>
      </c>
      <c r="AC125" t="s">
        <v>53</v>
      </c>
      <c r="AD125" s="16">
        <f>IF(P125&lt;=1,4.9,4.9+0.8*ROUNDUP(P125-1,0))</f>
        <v>4.9000000000000004</v>
      </c>
      <c r="AE125" s="15">
        <v>0</v>
      </c>
      <c r="AF125" s="15">
        <v>0</v>
      </c>
      <c r="AG125" s="15">
        <v>0</v>
      </c>
      <c r="AH125" s="15">
        <v>0</v>
      </c>
      <c r="AI125" s="15">
        <f t="shared" si="2"/>
        <v>0.29399999999999998</v>
      </c>
      <c r="AJ125" s="15">
        <f t="shared" si="3"/>
        <v>5.194</v>
      </c>
      <c r="AK125" t="s">
        <v>47</v>
      </c>
    </row>
    <row r="126" spans="1:37" ht="15" customHeight="1" x14ac:dyDescent="0.35">
      <c r="A126">
        <v>690929</v>
      </c>
      <c r="B126" t="s">
        <v>37</v>
      </c>
      <c r="C126" t="s">
        <v>38</v>
      </c>
      <c r="D126" s="9" t="s">
        <v>39</v>
      </c>
      <c r="E126" s="10" t="s">
        <v>37</v>
      </c>
      <c r="F126" s="11"/>
      <c r="G126" t="s">
        <v>444</v>
      </c>
      <c r="I126" t="s">
        <v>41</v>
      </c>
      <c r="J126" t="s">
        <v>445</v>
      </c>
      <c r="K126" t="s">
        <v>43</v>
      </c>
      <c r="L126">
        <v>2</v>
      </c>
      <c r="M126" t="s">
        <v>44</v>
      </c>
      <c r="N126" t="s">
        <v>45</v>
      </c>
      <c r="O126" t="s">
        <v>46</v>
      </c>
      <c r="P126" s="5">
        <v>1</v>
      </c>
      <c r="Q126" s="12">
        <v>44695.640023148146</v>
      </c>
      <c r="R126" s="13">
        <v>44700</v>
      </c>
      <c r="T126" t="s">
        <v>47</v>
      </c>
      <c r="U126" t="s">
        <v>48</v>
      </c>
      <c r="V126" t="s">
        <v>49</v>
      </c>
      <c r="Y126" t="s">
        <v>446</v>
      </c>
      <c r="Z126">
        <v>89500</v>
      </c>
      <c r="AA126" t="s">
        <v>51</v>
      </c>
      <c r="AB126" t="s">
        <v>447</v>
      </c>
      <c r="AC126" t="s">
        <v>53</v>
      </c>
      <c r="AD126" s="14">
        <f>IF(P126&lt;=1,13,IF(P126&lt;=2,23,IF(P126&lt;=3,35,IF(P126&lt;=4,43,IF(P126&lt;=5,53,IF(P126&lt;=6,63,IF(P126&lt;=7,71,IF(P126&lt;=8,79,IF(P126&lt;=9,87,IF(P126&lt;=10,95,IF(P126&lt;=11,105,IF(P126&lt;=12,114,IF(P126&lt;=13,119,IF(P126&lt;=14,127,IF(P126&lt;=15,135,IF(P126&lt;=16,143,IF(P126&lt;=17,153,IF(P126&lt;=18,163,IF(P126&lt;=19,171,IF(P126&lt;=20,185,IF(P126&lt;=21,193,IF(P126&lt;=22,201,IF(P126&lt;=23,210,IF(P126&lt;=24,220,IF(P126&lt;=25,230,IF(P126&lt;=26,240,IF(P126&lt;=27,250,IF(P126&lt;=28,260,IF(P126&lt;=29,270,IF(P126&lt;=30,280,280))))))))))))))))))))))))))))))</f>
        <v>13</v>
      </c>
      <c r="AE126" s="15">
        <v>0</v>
      </c>
      <c r="AF126" s="15">
        <v>0</v>
      </c>
      <c r="AG126" s="15">
        <v>0</v>
      </c>
      <c r="AH126" s="15">
        <v>0</v>
      </c>
      <c r="AI126" s="15">
        <f t="shared" si="2"/>
        <v>0.78</v>
      </c>
      <c r="AJ126" s="15">
        <f t="shared" si="3"/>
        <v>13.78</v>
      </c>
      <c r="AK126" t="s">
        <v>51</v>
      </c>
    </row>
    <row r="127" spans="1:37" ht="15" customHeight="1" x14ac:dyDescent="0.35">
      <c r="A127">
        <v>690929</v>
      </c>
      <c r="B127" t="s">
        <v>37</v>
      </c>
      <c r="C127" t="s">
        <v>38</v>
      </c>
      <c r="D127" s="9" t="s">
        <v>39</v>
      </c>
      <c r="E127" s="10" t="s">
        <v>37</v>
      </c>
      <c r="F127" s="11"/>
      <c r="G127" t="s">
        <v>448</v>
      </c>
      <c r="I127" t="s">
        <v>41</v>
      </c>
      <c r="J127" t="s">
        <v>449</v>
      </c>
      <c r="K127" t="s">
        <v>43</v>
      </c>
      <c r="L127">
        <v>2</v>
      </c>
      <c r="M127" t="s">
        <v>44</v>
      </c>
      <c r="N127" t="s">
        <v>45</v>
      </c>
      <c r="O127" t="s">
        <v>46</v>
      </c>
      <c r="P127" s="5">
        <v>3</v>
      </c>
      <c r="Q127" s="12">
        <v>44699.427002314813</v>
      </c>
      <c r="R127" s="13">
        <v>44700</v>
      </c>
      <c r="T127" t="s">
        <v>47</v>
      </c>
      <c r="U127" t="s">
        <v>48</v>
      </c>
      <c r="V127" t="s">
        <v>61</v>
      </c>
      <c r="Y127" t="s">
        <v>450</v>
      </c>
      <c r="Z127">
        <v>16210</v>
      </c>
      <c r="AA127" t="s">
        <v>47</v>
      </c>
      <c r="AB127" t="s">
        <v>451</v>
      </c>
      <c r="AC127" t="s">
        <v>53</v>
      </c>
      <c r="AD127" s="16">
        <f>IF(P127&lt;=1,4.9,4.9+0.8*ROUNDUP(P127-1,0))</f>
        <v>6.5</v>
      </c>
      <c r="AE127" s="15">
        <v>0</v>
      </c>
      <c r="AF127" s="15">
        <v>0</v>
      </c>
      <c r="AG127" s="15">
        <v>0</v>
      </c>
      <c r="AH127" s="15">
        <v>0</v>
      </c>
      <c r="AI127" s="15">
        <f t="shared" si="2"/>
        <v>0.39</v>
      </c>
      <c r="AJ127" s="15">
        <f t="shared" si="3"/>
        <v>6.89</v>
      </c>
      <c r="AK127" t="s">
        <v>47</v>
      </c>
    </row>
    <row r="128" spans="1:37" ht="15" customHeight="1" x14ac:dyDescent="0.35">
      <c r="A128">
        <v>690929</v>
      </c>
      <c r="B128" t="s">
        <v>37</v>
      </c>
      <c r="C128" t="s">
        <v>38</v>
      </c>
      <c r="D128" s="9" t="s">
        <v>39</v>
      </c>
      <c r="E128" s="10" t="s">
        <v>37</v>
      </c>
      <c r="F128" s="11"/>
      <c r="G128" t="s">
        <v>452</v>
      </c>
      <c r="I128" t="s">
        <v>41</v>
      </c>
      <c r="J128" t="s">
        <v>453</v>
      </c>
      <c r="K128" t="s">
        <v>43</v>
      </c>
      <c r="L128">
        <v>2</v>
      </c>
      <c r="M128" t="s">
        <v>44</v>
      </c>
      <c r="N128" t="s">
        <v>45</v>
      </c>
      <c r="O128" t="s">
        <v>46</v>
      </c>
      <c r="P128" s="5">
        <v>3</v>
      </c>
      <c r="Q128" s="12">
        <v>44699.428900462961</v>
      </c>
      <c r="R128" s="13">
        <v>44700</v>
      </c>
      <c r="T128" t="s">
        <v>47</v>
      </c>
      <c r="U128" t="s">
        <v>48</v>
      </c>
      <c r="V128" t="s">
        <v>110</v>
      </c>
      <c r="Y128" t="s">
        <v>454</v>
      </c>
      <c r="Z128">
        <v>20400</v>
      </c>
      <c r="AA128" t="s">
        <v>47</v>
      </c>
      <c r="AB128" t="s">
        <v>455</v>
      </c>
      <c r="AC128" t="s">
        <v>53</v>
      </c>
      <c r="AD128" s="16">
        <f>IF(P128&lt;=1,4.9,4.9+0.8*ROUNDUP(P128-1,0))</f>
        <v>6.5</v>
      </c>
      <c r="AE128" s="15">
        <v>0</v>
      </c>
      <c r="AF128" s="15">
        <v>0</v>
      </c>
      <c r="AG128" s="15">
        <v>0</v>
      </c>
      <c r="AH128" s="15">
        <v>0</v>
      </c>
      <c r="AI128" s="15">
        <f t="shared" si="2"/>
        <v>0.39</v>
      </c>
      <c r="AJ128" s="15">
        <f t="shared" si="3"/>
        <v>6.89</v>
      </c>
      <c r="AK128" t="s">
        <v>47</v>
      </c>
    </row>
    <row r="129" spans="1:37" ht="15" customHeight="1" x14ac:dyDescent="0.35">
      <c r="A129">
        <v>690929</v>
      </c>
      <c r="B129" t="s">
        <v>37</v>
      </c>
      <c r="C129" t="s">
        <v>38</v>
      </c>
      <c r="D129" s="9" t="s">
        <v>39</v>
      </c>
      <c r="E129" s="10" t="s">
        <v>37</v>
      </c>
      <c r="F129" s="11"/>
      <c r="G129" t="s">
        <v>456</v>
      </c>
      <c r="I129" t="s">
        <v>41</v>
      </c>
      <c r="J129" t="s">
        <v>457</v>
      </c>
      <c r="K129" t="s">
        <v>43</v>
      </c>
      <c r="L129">
        <v>2</v>
      </c>
      <c r="M129" t="s">
        <v>44</v>
      </c>
      <c r="N129" t="s">
        <v>45</v>
      </c>
      <c r="O129" t="s">
        <v>46</v>
      </c>
      <c r="P129" s="5">
        <v>2</v>
      </c>
      <c r="Q129" s="12">
        <v>44693.656631944446</v>
      </c>
      <c r="R129" s="13">
        <v>44700</v>
      </c>
      <c r="T129" t="s">
        <v>47</v>
      </c>
      <c r="U129" t="s">
        <v>58</v>
      </c>
      <c r="V129" t="s">
        <v>70</v>
      </c>
      <c r="Y129" t="s">
        <v>458</v>
      </c>
      <c r="Z129">
        <v>42920</v>
      </c>
      <c r="AA129" t="s">
        <v>47</v>
      </c>
      <c r="AB129" t="s">
        <v>459</v>
      </c>
      <c r="AC129" t="s">
        <v>53</v>
      </c>
      <c r="AD129" s="16">
        <f>IF(P129&lt;=1,4.9,4.9+0.8*ROUNDUP(P129-1,0))</f>
        <v>5.7</v>
      </c>
      <c r="AE129" s="15">
        <v>0</v>
      </c>
      <c r="AF129" s="15">
        <v>0</v>
      </c>
      <c r="AG129" s="15">
        <v>0</v>
      </c>
      <c r="AH129" s="15">
        <v>0</v>
      </c>
      <c r="AI129" s="15">
        <f t="shared" si="2"/>
        <v>0.34199999999999997</v>
      </c>
      <c r="AJ129" s="15">
        <f t="shared" si="3"/>
        <v>6.0419999999999998</v>
      </c>
      <c r="AK129" t="s">
        <v>47</v>
      </c>
    </row>
    <row r="130" spans="1:37" ht="15" customHeight="1" x14ac:dyDescent="0.35">
      <c r="A130">
        <v>690929</v>
      </c>
      <c r="B130" t="s">
        <v>37</v>
      </c>
      <c r="C130" t="s">
        <v>38</v>
      </c>
      <c r="D130" s="9" t="s">
        <v>39</v>
      </c>
      <c r="E130" s="10" t="s">
        <v>37</v>
      </c>
      <c r="F130" s="11"/>
      <c r="G130" t="s">
        <v>460</v>
      </c>
      <c r="I130" t="s">
        <v>41</v>
      </c>
      <c r="J130" t="s">
        <v>461</v>
      </c>
      <c r="K130" t="s">
        <v>43</v>
      </c>
      <c r="L130">
        <v>2</v>
      </c>
      <c r="M130" t="s">
        <v>44</v>
      </c>
      <c r="N130" t="s">
        <v>45</v>
      </c>
      <c r="O130" t="s">
        <v>92</v>
      </c>
      <c r="P130" s="5">
        <v>3</v>
      </c>
      <c r="Q130" s="12">
        <v>44698.618275462963</v>
      </c>
      <c r="R130" s="13">
        <v>44700</v>
      </c>
      <c r="T130" t="s">
        <v>47</v>
      </c>
      <c r="U130" t="s">
        <v>48</v>
      </c>
      <c r="V130" t="s">
        <v>70</v>
      </c>
      <c r="Y130" t="s">
        <v>462</v>
      </c>
      <c r="Z130">
        <v>45200</v>
      </c>
      <c r="AA130" t="s">
        <v>47</v>
      </c>
      <c r="AB130" t="s">
        <v>52</v>
      </c>
      <c r="AC130" t="s">
        <v>53</v>
      </c>
      <c r="AD130" s="16">
        <f>IF(P130&lt;=1,4.9,4.9+0.8*ROUNDUP(P130-1,0))</f>
        <v>6.5</v>
      </c>
      <c r="AE130" s="15">
        <v>0</v>
      </c>
      <c r="AF130" s="15">
        <v>0</v>
      </c>
      <c r="AG130" s="15">
        <v>0</v>
      </c>
      <c r="AH130" s="15">
        <v>0</v>
      </c>
      <c r="AI130" s="15">
        <f t="shared" ref="AI130:AI193" si="4">(AD130+AF130+AH130)*6%</f>
        <v>0.39</v>
      </c>
      <c r="AJ130" s="15">
        <f t="shared" ref="AJ130:AJ193" si="5">AD130+AF130+AH130+AI130</f>
        <v>6.89</v>
      </c>
      <c r="AK130" t="s">
        <v>47</v>
      </c>
    </row>
    <row r="131" spans="1:37" ht="15" customHeight="1" x14ac:dyDescent="0.35">
      <c r="A131">
        <v>690929</v>
      </c>
      <c r="B131" t="s">
        <v>37</v>
      </c>
      <c r="C131" t="s">
        <v>38</v>
      </c>
      <c r="D131" s="9" t="s">
        <v>39</v>
      </c>
      <c r="E131" s="10" t="s">
        <v>37</v>
      </c>
      <c r="F131" s="11"/>
      <c r="G131" t="s">
        <v>463</v>
      </c>
      <c r="I131" t="s">
        <v>41</v>
      </c>
      <c r="J131" t="s">
        <v>464</v>
      </c>
      <c r="K131" t="s">
        <v>43</v>
      </c>
      <c r="L131">
        <v>2</v>
      </c>
      <c r="M131" t="s">
        <v>44</v>
      </c>
      <c r="N131" t="s">
        <v>45</v>
      </c>
      <c r="O131" t="s">
        <v>46</v>
      </c>
      <c r="P131" s="5">
        <v>5</v>
      </c>
      <c r="Q131" s="12">
        <v>44693.782685185186</v>
      </c>
      <c r="R131" s="13">
        <v>44700</v>
      </c>
      <c r="T131" t="s">
        <v>47</v>
      </c>
      <c r="U131" t="s">
        <v>58</v>
      </c>
      <c r="V131" t="s">
        <v>70</v>
      </c>
      <c r="Y131" t="s">
        <v>465</v>
      </c>
      <c r="Z131">
        <v>47120</v>
      </c>
      <c r="AA131" t="s">
        <v>47</v>
      </c>
      <c r="AB131" t="s">
        <v>466</v>
      </c>
      <c r="AC131" t="s">
        <v>53</v>
      </c>
      <c r="AD131" s="16">
        <f>IF(P131&lt;=1,4.9,4.9+0.8*ROUNDUP(P131-1,0))</f>
        <v>8.1000000000000014</v>
      </c>
      <c r="AE131" s="15">
        <v>0</v>
      </c>
      <c r="AF131" s="15">
        <v>0</v>
      </c>
      <c r="AG131" s="15">
        <v>0</v>
      </c>
      <c r="AH131" s="15">
        <v>0</v>
      </c>
      <c r="AI131" s="15">
        <f t="shared" si="4"/>
        <v>0.48600000000000004</v>
      </c>
      <c r="AJ131" s="15">
        <f t="shared" si="5"/>
        <v>8.5860000000000021</v>
      </c>
      <c r="AK131" t="s">
        <v>47</v>
      </c>
    </row>
    <row r="132" spans="1:37" ht="15" customHeight="1" x14ac:dyDescent="0.35">
      <c r="A132">
        <v>690929</v>
      </c>
      <c r="B132" t="s">
        <v>37</v>
      </c>
      <c r="C132" t="s">
        <v>38</v>
      </c>
      <c r="D132" s="9" t="s">
        <v>39</v>
      </c>
      <c r="E132" s="10" t="s">
        <v>37</v>
      </c>
      <c r="F132" s="11"/>
      <c r="G132" t="s">
        <v>467</v>
      </c>
      <c r="I132" t="s">
        <v>41</v>
      </c>
      <c r="J132" t="s">
        <v>468</v>
      </c>
      <c r="K132" t="s">
        <v>43</v>
      </c>
      <c r="L132">
        <v>2</v>
      </c>
      <c r="M132" t="s">
        <v>44</v>
      </c>
      <c r="N132" t="s">
        <v>45</v>
      </c>
      <c r="O132" t="s">
        <v>46</v>
      </c>
      <c r="P132" s="5">
        <v>5</v>
      </c>
      <c r="Q132" s="12">
        <v>44699.456689814811</v>
      </c>
      <c r="R132" s="13">
        <v>44700</v>
      </c>
      <c r="T132" t="s">
        <v>47</v>
      </c>
      <c r="U132" t="s">
        <v>48</v>
      </c>
      <c r="V132" t="s">
        <v>61</v>
      </c>
      <c r="Y132" t="s">
        <v>469</v>
      </c>
      <c r="Z132">
        <v>17500</v>
      </c>
      <c r="AA132" t="s">
        <v>47</v>
      </c>
      <c r="AB132" t="s">
        <v>67</v>
      </c>
      <c r="AC132" t="s">
        <v>53</v>
      </c>
      <c r="AD132" s="16">
        <f>IF(P132&lt;=1,4.9,4.9+0.8*ROUNDUP(P132-1,0))</f>
        <v>8.1000000000000014</v>
      </c>
      <c r="AE132" s="15">
        <v>0</v>
      </c>
      <c r="AF132" s="15">
        <v>0</v>
      </c>
      <c r="AG132" s="15">
        <v>0</v>
      </c>
      <c r="AH132" s="15">
        <v>0</v>
      </c>
      <c r="AI132" s="15">
        <f t="shared" si="4"/>
        <v>0.48600000000000004</v>
      </c>
      <c r="AJ132" s="15">
        <f t="shared" si="5"/>
        <v>8.5860000000000021</v>
      </c>
      <c r="AK132" t="s">
        <v>47</v>
      </c>
    </row>
    <row r="133" spans="1:37" ht="15" customHeight="1" x14ac:dyDescent="0.35">
      <c r="A133">
        <v>690929</v>
      </c>
      <c r="B133" t="s">
        <v>37</v>
      </c>
      <c r="C133" t="s">
        <v>38</v>
      </c>
      <c r="D133" s="9" t="s">
        <v>39</v>
      </c>
      <c r="E133" s="10" t="s">
        <v>37</v>
      </c>
      <c r="F133" s="11"/>
      <c r="G133" t="s">
        <v>470</v>
      </c>
      <c r="I133" t="s">
        <v>41</v>
      </c>
      <c r="J133" t="s">
        <v>471</v>
      </c>
      <c r="K133" t="s">
        <v>43</v>
      </c>
      <c r="L133">
        <v>2</v>
      </c>
      <c r="M133" t="s">
        <v>44</v>
      </c>
      <c r="N133" t="s">
        <v>45</v>
      </c>
      <c r="O133" t="s">
        <v>92</v>
      </c>
      <c r="P133" s="5">
        <v>10</v>
      </c>
      <c r="Q133" s="12">
        <v>44697.498981481483</v>
      </c>
      <c r="R133" s="13">
        <v>44700</v>
      </c>
      <c r="T133" t="s">
        <v>47</v>
      </c>
      <c r="U133" t="s">
        <v>48</v>
      </c>
      <c r="V133" t="s">
        <v>407</v>
      </c>
      <c r="Y133" t="s">
        <v>472</v>
      </c>
      <c r="Z133">
        <v>70450</v>
      </c>
      <c r="AA133" t="s">
        <v>47</v>
      </c>
      <c r="AB133" t="s">
        <v>52</v>
      </c>
      <c r="AC133" t="s">
        <v>53</v>
      </c>
      <c r="AD133" s="16">
        <f>IF(P133&lt;=1,4.9,4.9+0.8*ROUNDUP(P133-1,0))</f>
        <v>12.100000000000001</v>
      </c>
      <c r="AE133" s="15">
        <v>0</v>
      </c>
      <c r="AF133" s="15">
        <v>0</v>
      </c>
      <c r="AG133" s="15">
        <v>0</v>
      </c>
      <c r="AH133" s="15">
        <v>0</v>
      </c>
      <c r="AI133" s="15">
        <f t="shared" si="4"/>
        <v>0.72600000000000009</v>
      </c>
      <c r="AJ133" s="15">
        <f t="shared" si="5"/>
        <v>12.826000000000002</v>
      </c>
      <c r="AK133" t="s">
        <v>47</v>
      </c>
    </row>
    <row r="134" spans="1:37" ht="15" customHeight="1" x14ac:dyDescent="0.35">
      <c r="A134">
        <v>690929</v>
      </c>
      <c r="B134" t="s">
        <v>37</v>
      </c>
      <c r="C134" t="s">
        <v>38</v>
      </c>
      <c r="D134" s="9" t="s">
        <v>39</v>
      </c>
      <c r="E134" s="10" t="s">
        <v>37</v>
      </c>
      <c r="F134" s="11"/>
      <c r="G134" t="s">
        <v>473</v>
      </c>
      <c r="I134" t="s">
        <v>41</v>
      </c>
      <c r="J134" t="s">
        <v>474</v>
      </c>
      <c r="K134" t="s">
        <v>43</v>
      </c>
      <c r="L134">
        <v>2</v>
      </c>
      <c r="M134" t="s">
        <v>44</v>
      </c>
      <c r="N134" t="s">
        <v>45</v>
      </c>
      <c r="O134" t="s">
        <v>46</v>
      </c>
      <c r="P134" s="5">
        <v>1</v>
      </c>
      <c r="Q134" s="12">
        <v>44697.586689814816</v>
      </c>
      <c r="R134" s="13">
        <v>44701</v>
      </c>
      <c r="T134" t="s">
        <v>47</v>
      </c>
      <c r="U134" t="s">
        <v>48</v>
      </c>
      <c r="V134" t="s">
        <v>417</v>
      </c>
      <c r="Y134" t="s">
        <v>475</v>
      </c>
      <c r="Z134">
        <v>93350</v>
      </c>
      <c r="AA134" t="s">
        <v>51</v>
      </c>
      <c r="AB134" t="s">
        <v>52</v>
      </c>
      <c r="AC134" t="s">
        <v>53</v>
      </c>
      <c r="AD134" s="14">
        <f>IF(P134&lt;=1,13,IF(P134&lt;=2,23,IF(P134&lt;=3,35,IF(P134&lt;=4,43,IF(P134&lt;=5,53,IF(P134&lt;=6,63,IF(P134&lt;=7,71,IF(P134&lt;=8,79,IF(P134&lt;=9,87,IF(P134&lt;=10,95,IF(P134&lt;=11,105,IF(P134&lt;=12,114,IF(P134&lt;=13,119,IF(P134&lt;=14,127,IF(P134&lt;=15,135,IF(P134&lt;=16,143,IF(P134&lt;=17,153,IF(P134&lt;=18,163,IF(P134&lt;=19,171,IF(P134&lt;=20,185,IF(P134&lt;=21,193,IF(P134&lt;=22,201,IF(P134&lt;=23,210,IF(P134&lt;=24,220,IF(P134&lt;=25,230,IF(P134&lt;=26,240,IF(P134&lt;=27,250,IF(P134&lt;=28,260,IF(P134&lt;=29,270,IF(P134&lt;=30,280,280))))))))))))))))))))))))))))))</f>
        <v>13</v>
      </c>
      <c r="AE134" s="15">
        <v>0</v>
      </c>
      <c r="AF134" s="15">
        <v>0</v>
      </c>
      <c r="AG134" s="15">
        <v>0</v>
      </c>
      <c r="AH134" s="15">
        <v>0</v>
      </c>
      <c r="AI134" s="15">
        <f t="shared" si="4"/>
        <v>0.78</v>
      </c>
      <c r="AJ134" s="15">
        <f t="shared" si="5"/>
        <v>13.78</v>
      </c>
      <c r="AK134" t="s">
        <v>51</v>
      </c>
    </row>
    <row r="135" spans="1:37" ht="15" customHeight="1" x14ac:dyDescent="0.35">
      <c r="A135">
        <v>690929</v>
      </c>
      <c r="B135" t="s">
        <v>37</v>
      </c>
      <c r="C135" t="s">
        <v>38</v>
      </c>
      <c r="D135" s="9" t="s">
        <v>39</v>
      </c>
      <c r="E135" s="10" t="s">
        <v>37</v>
      </c>
      <c r="F135" s="11"/>
      <c r="G135" t="s">
        <v>476</v>
      </c>
      <c r="I135" t="s">
        <v>41</v>
      </c>
      <c r="J135" t="s">
        <v>477</v>
      </c>
      <c r="K135" t="s">
        <v>43</v>
      </c>
      <c r="L135">
        <v>2</v>
      </c>
      <c r="M135" t="s">
        <v>44</v>
      </c>
      <c r="N135" t="s">
        <v>45</v>
      </c>
      <c r="O135" t="s">
        <v>46</v>
      </c>
      <c r="P135" s="5">
        <v>1</v>
      </c>
      <c r="Q135" s="12">
        <v>44699.77175925926</v>
      </c>
      <c r="R135" s="13">
        <v>44701</v>
      </c>
      <c r="T135" t="s">
        <v>47</v>
      </c>
      <c r="U135" t="s">
        <v>48</v>
      </c>
      <c r="V135" t="s">
        <v>56</v>
      </c>
      <c r="Y135" t="s">
        <v>478</v>
      </c>
      <c r="Z135">
        <v>26500</v>
      </c>
      <c r="AA135" t="s">
        <v>47</v>
      </c>
      <c r="AB135" t="s">
        <v>58</v>
      </c>
      <c r="AC135" t="s">
        <v>53</v>
      </c>
      <c r="AD135" s="16">
        <f>IF(P135&lt;=1,4.9,4.9+0.8*ROUNDUP(P135-1,0))</f>
        <v>4.9000000000000004</v>
      </c>
      <c r="AE135" s="15">
        <v>0</v>
      </c>
      <c r="AF135" s="15">
        <v>0</v>
      </c>
      <c r="AG135" s="15">
        <v>0</v>
      </c>
      <c r="AH135" s="15">
        <v>0</v>
      </c>
      <c r="AI135" s="15">
        <f t="shared" si="4"/>
        <v>0.29399999999999998</v>
      </c>
      <c r="AJ135" s="15">
        <f t="shared" si="5"/>
        <v>5.194</v>
      </c>
      <c r="AK135" t="s">
        <v>47</v>
      </c>
    </row>
    <row r="136" spans="1:37" ht="15" customHeight="1" x14ac:dyDescent="0.35">
      <c r="A136">
        <v>690929</v>
      </c>
      <c r="B136" t="s">
        <v>37</v>
      </c>
      <c r="C136" t="s">
        <v>38</v>
      </c>
      <c r="D136" s="9" t="s">
        <v>39</v>
      </c>
      <c r="E136" s="10" t="s">
        <v>37</v>
      </c>
      <c r="F136" s="11"/>
      <c r="G136" t="s">
        <v>479</v>
      </c>
      <c r="I136" t="s">
        <v>41</v>
      </c>
      <c r="J136" t="s">
        <v>480</v>
      </c>
      <c r="K136" t="s">
        <v>43</v>
      </c>
      <c r="L136">
        <v>2</v>
      </c>
      <c r="M136" t="s">
        <v>44</v>
      </c>
      <c r="N136" t="s">
        <v>45</v>
      </c>
      <c r="O136" t="s">
        <v>46</v>
      </c>
      <c r="P136" s="5">
        <v>2</v>
      </c>
      <c r="Q136" s="12">
        <v>44698.752939814818</v>
      </c>
      <c r="R136" s="13">
        <v>44701</v>
      </c>
      <c r="T136" t="s">
        <v>47</v>
      </c>
      <c r="U136" t="s">
        <v>48</v>
      </c>
      <c r="V136" t="s">
        <v>70</v>
      </c>
      <c r="Y136" t="s">
        <v>481</v>
      </c>
      <c r="Z136">
        <v>40460</v>
      </c>
      <c r="AA136" t="s">
        <v>47</v>
      </c>
      <c r="AB136" t="s">
        <v>52</v>
      </c>
      <c r="AC136" t="s">
        <v>53</v>
      </c>
      <c r="AD136" s="16">
        <f>IF(P136&lt;=1,4.9,4.9+0.8*ROUNDUP(P136-1,0))</f>
        <v>5.7</v>
      </c>
      <c r="AE136" s="15">
        <v>0</v>
      </c>
      <c r="AF136" s="15">
        <v>0</v>
      </c>
      <c r="AG136" s="15">
        <v>0</v>
      </c>
      <c r="AH136" s="15">
        <v>0</v>
      </c>
      <c r="AI136" s="15">
        <f t="shared" si="4"/>
        <v>0.34199999999999997</v>
      </c>
      <c r="AJ136" s="15">
        <f t="shared" si="5"/>
        <v>6.0419999999999998</v>
      </c>
      <c r="AK136" t="s">
        <v>47</v>
      </c>
    </row>
    <row r="137" spans="1:37" ht="15" customHeight="1" x14ac:dyDescent="0.35">
      <c r="A137">
        <v>690929</v>
      </c>
      <c r="B137" t="s">
        <v>37</v>
      </c>
      <c r="C137" t="s">
        <v>38</v>
      </c>
      <c r="D137" s="9" t="s">
        <v>39</v>
      </c>
      <c r="E137" s="10" t="s">
        <v>37</v>
      </c>
      <c r="F137" s="11"/>
      <c r="G137" t="s">
        <v>482</v>
      </c>
      <c r="I137" t="s">
        <v>41</v>
      </c>
      <c r="J137" t="s">
        <v>483</v>
      </c>
      <c r="K137" t="s">
        <v>43</v>
      </c>
      <c r="L137">
        <v>2</v>
      </c>
      <c r="M137" t="s">
        <v>44</v>
      </c>
      <c r="N137" t="s">
        <v>45</v>
      </c>
      <c r="O137" t="s">
        <v>46</v>
      </c>
      <c r="P137" s="5">
        <v>1</v>
      </c>
      <c r="Q137" s="12">
        <v>44699.492881944447</v>
      </c>
      <c r="R137" s="13">
        <v>44701</v>
      </c>
      <c r="T137" t="s">
        <v>47</v>
      </c>
      <c r="U137" t="s">
        <v>48</v>
      </c>
      <c r="V137" t="s">
        <v>164</v>
      </c>
      <c r="Y137" t="s">
        <v>484</v>
      </c>
      <c r="Z137">
        <v>34000</v>
      </c>
      <c r="AA137" t="s">
        <v>47</v>
      </c>
      <c r="AB137" t="s">
        <v>52</v>
      </c>
      <c r="AC137" t="s">
        <v>53</v>
      </c>
      <c r="AD137" s="16">
        <f>IF(P137&lt;=1,4.9,4.9+0.8*ROUNDUP(P137-1,0))</f>
        <v>4.9000000000000004</v>
      </c>
      <c r="AE137" s="15">
        <v>0</v>
      </c>
      <c r="AF137" s="15">
        <v>0</v>
      </c>
      <c r="AG137" s="15">
        <v>0</v>
      </c>
      <c r="AH137" s="15">
        <v>0</v>
      </c>
      <c r="AI137" s="15">
        <f t="shared" si="4"/>
        <v>0.29399999999999998</v>
      </c>
      <c r="AJ137" s="15">
        <f t="shared" si="5"/>
        <v>5.194</v>
      </c>
      <c r="AK137" t="s">
        <v>47</v>
      </c>
    </row>
    <row r="138" spans="1:37" ht="15" customHeight="1" x14ac:dyDescent="0.35">
      <c r="A138">
        <v>690929</v>
      </c>
      <c r="B138" t="s">
        <v>37</v>
      </c>
      <c r="C138" t="s">
        <v>38</v>
      </c>
      <c r="D138" s="9" t="s">
        <v>39</v>
      </c>
      <c r="E138" s="10" t="s">
        <v>37</v>
      </c>
      <c r="F138" s="11"/>
      <c r="G138" t="s">
        <v>485</v>
      </c>
      <c r="I138" t="s">
        <v>41</v>
      </c>
      <c r="J138" t="s">
        <v>486</v>
      </c>
      <c r="K138" t="s">
        <v>43</v>
      </c>
      <c r="L138">
        <v>2</v>
      </c>
      <c r="M138" t="s">
        <v>44</v>
      </c>
      <c r="N138" t="s">
        <v>45</v>
      </c>
      <c r="O138" t="s">
        <v>46</v>
      </c>
      <c r="P138" s="5">
        <v>3</v>
      </c>
      <c r="Q138" s="12">
        <v>44698.758402777778</v>
      </c>
      <c r="R138" s="13">
        <v>44701</v>
      </c>
      <c r="T138" t="s">
        <v>47</v>
      </c>
      <c r="U138" t="s">
        <v>48</v>
      </c>
      <c r="V138" t="s">
        <v>164</v>
      </c>
      <c r="Y138" t="s">
        <v>487</v>
      </c>
      <c r="Z138">
        <v>36800</v>
      </c>
      <c r="AA138" t="s">
        <v>47</v>
      </c>
      <c r="AB138" t="s">
        <v>52</v>
      </c>
      <c r="AC138" t="s">
        <v>53</v>
      </c>
      <c r="AD138" s="16">
        <f>IF(P138&lt;=1,4.9,4.9+0.8*ROUNDUP(P138-1,0))</f>
        <v>6.5</v>
      </c>
      <c r="AE138" s="15">
        <v>0</v>
      </c>
      <c r="AF138" s="15">
        <v>0</v>
      </c>
      <c r="AG138" s="15">
        <v>0</v>
      </c>
      <c r="AH138" s="15">
        <v>0</v>
      </c>
      <c r="AI138" s="15">
        <f t="shared" si="4"/>
        <v>0.39</v>
      </c>
      <c r="AJ138" s="15">
        <f t="shared" si="5"/>
        <v>6.89</v>
      </c>
      <c r="AK138" t="s">
        <v>47</v>
      </c>
    </row>
    <row r="139" spans="1:37" ht="15" customHeight="1" x14ac:dyDescent="0.35">
      <c r="A139">
        <v>690929</v>
      </c>
      <c r="B139" t="s">
        <v>37</v>
      </c>
      <c r="C139" t="s">
        <v>38</v>
      </c>
      <c r="D139" s="9" t="s">
        <v>39</v>
      </c>
      <c r="E139" s="10" t="s">
        <v>37</v>
      </c>
      <c r="F139" s="11"/>
      <c r="G139" t="s">
        <v>488</v>
      </c>
      <c r="I139" t="s">
        <v>41</v>
      </c>
      <c r="J139" t="s">
        <v>489</v>
      </c>
      <c r="K139" t="s">
        <v>43</v>
      </c>
      <c r="L139">
        <v>2</v>
      </c>
      <c r="M139" t="s">
        <v>44</v>
      </c>
      <c r="N139" t="s">
        <v>45</v>
      </c>
      <c r="O139" t="s">
        <v>46</v>
      </c>
      <c r="P139" s="5">
        <v>1</v>
      </c>
      <c r="Q139" s="12">
        <v>44699.413391203707</v>
      </c>
      <c r="R139" s="13">
        <v>44701</v>
      </c>
      <c r="T139" t="s">
        <v>47</v>
      </c>
      <c r="U139" t="s">
        <v>48</v>
      </c>
      <c r="V139" t="s">
        <v>56</v>
      </c>
      <c r="Y139" t="s">
        <v>490</v>
      </c>
      <c r="Z139">
        <v>26400</v>
      </c>
      <c r="AA139" t="s">
        <v>47</v>
      </c>
      <c r="AB139" t="s">
        <v>52</v>
      </c>
      <c r="AC139" t="s">
        <v>53</v>
      </c>
      <c r="AD139" s="16">
        <f>IF(P139&lt;=1,4.9,4.9+0.8*ROUNDUP(P139-1,0))</f>
        <v>4.9000000000000004</v>
      </c>
      <c r="AE139" s="15">
        <v>0</v>
      </c>
      <c r="AF139" s="15">
        <v>0</v>
      </c>
      <c r="AG139" s="15">
        <v>0</v>
      </c>
      <c r="AH139" s="15">
        <v>0</v>
      </c>
      <c r="AI139" s="15">
        <f t="shared" si="4"/>
        <v>0.29399999999999998</v>
      </c>
      <c r="AJ139" s="15">
        <f t="shared" si="5"/>
        <v>5.194</v>
      </c>
      <c r="AK139" t="s">
        <v>47</v>
      </c>
    </row>
    <row r="140" spans="1:37" ht="15" customHeight="1" x14ac:dyDescent="0.35">
      <c r="A140">
        <v>690929</v>
      </c>
      <c r="B140" t="s">
        <v>37</v>
      </c>
      <c r="C140" t="s">
        <v>38</v>
      </c>
      <c r="D140" s="9" t="s">
        <v>39</v>
      </c>
      <c r="E140" s="10" t="s">
        <v>37</v>
      </c>
      <c r="F140" s="11"/>
      <c r="G140" t="s">
        <v>491</v>
      </c>
      <c r="I140" t="s">
        <v>41</v>
      </c>
      <c r="J140" t="s">
        <v>492</v>
      </c>
      <c r="K140" t="s">
        <v>43</v>
      </c>
      <c r="L140">
        <v>2</v>
      </c>
      <c r="M140" t="s">
        <v>44</v>
      </c>
      <c r="N140" t="s">
        <v>45</v>
      </c>
      <c r="O140" t="s">
        <v>46</v>
      </c>
      <c r="P140" s="5">
        <v>1</v>
      </c>
      <c r="Q140" s="12">
        <v>44700.677905092591</v>
      </c>
      <c r="R140" s="13">
        <v>44701</v>
      </c>
      <c r="T140" t="s">
        <v>47</v>
      </c>
      <c r="U140" t="s">
        <v>48</v>
      </c>
      <c r="V140" t="s">
        <v>110</v>
      </c>
      <c r="Y140" t="s">
        <v>493</v>
      </c>
      <c r="Z140">
        <v>21200</v>
      </c>
      <c r="AA140" t="s">
        <v>47</v>
      </c>
      <c r="AB140" t="s">
        <v>58</v>
      </c>
      <c r="AC140" t="s">
        <v>53</v>
      </c>
      <c r="AD140" s="16">
        <f>IF(P140&lt;=1,4.9,4.9+0.8*ROUNDUP(P140-1,0))</f>
        <v>4.9000000000000004</v>
      </c>
      <c r="AE140" s="15">
        <v>0</v>
      </c>
      <c r="AF140" s="15">
        <v>0</v>
      </c>
      <c r="AG140" s="15">
        <v>0</v>
      </c>
      <c r="AH140" s="15">
        <v>0</v>
      </c>
      <c r="AI140" s="15">
        <f t="shared" si="4"/>
        <v>0.29399999999999998</v>
      </c>
      <c r="AJ140" s="15">
        <f t="shared" si="5"/>
        <v>5.194</v>
      </c>
      <c r="AK140" t="s">
        <v>47</v>
      </c>
    </row>
    <row r="141" spans="1:37" ht="15" customHeight="1" x14ac:dyDescent="0.35">
      <c r="A141">
        <v>690929</v>
      </c>
      <c r="B141" t="s">
        <v>37</v>
      </c>
      <c r="C141" t="s">
        <v>38</v>
      </c>
      <c r="D141" s="9" t="s">
        <v>39</v>
      </c>
      <c r="E141" s="10" t="s">
        <v>37</v>
      </c>
      <c r="F141" s="11"/>
      <c r="G141" t="s">
        <v>494</v>
      </c>
      <c r="I141" t="s">
        <v>41</v>
      </c>
      <c r="J141" t="s">
        <v>495</v>
      </c>
      <c r="K141" t="s">
        <v>43</v>
      </c>
      <c r="L141">
        <v>2</v>
      </c>
      <c r="M141" t="s">
        <v>44</v>
      </c>
      <c r="N141" t="s">
        <v>45</v>
      </c>
      <c r="O141" t="s">
        <v>46</v>
      </c>
      <c r="P141" s="5">
        <v>1</v>
      </c>
      <c r="Q141" s="12">
        <v>44693.772662037038</v>
      </c>
      <c r="R141" s="13">
        <v>44701</v>
      </c>
      <c r="T141" t="s">
        <v>47</v>
      </c>
      <c r="U141" t="s">
        <v>58</v>
      </c>
      <c r="V141" t="s">
        <v>88</v>
      </c>
      <c r="Y141" t="s">
        <v>496</v>
      </c>
      <c r="Z141">
        <v>53100</v>
      </c>
      <c r="AA141" t="s">
        <v>47</v>
      </c>
      <c r="AB141" t="s">
        <v>58</v>
      </c>
      <c r="AC141" t="s">
        <v>53</v>
      </c>
      <c r="AD141" s="16">
        <f>IF(P141&lt;=1,4.9,4.9+0.8*ROUNDUP(P141-1,0))</f>
        <v>4.9000000000000004</v>
      </c>
      <c r="AE141" s="15">
        <v>0</v>
      </c>
      <c r="AF141" s="15">
        <v>0</v>
      </c>
      <c r="AG141" s="15">
        <v>0</v>
      </c>
      <c r="AH141" s="15">
        <v>0</v>
      </c>
      <c r="AI141" s="15">
        <f t="shared" si="4"/>
        <v>0.29399999999999998</v>
      </c>
      <c r="AJ141" s="15">
        <f t="shared" si="5"/>
        <v>5.194</v>
      </c>
      <c r="AK141" t="s">
        <v>47</v>
      </c>
    </row>
    <row r="142" spans="1:37" ht="15" customHeight="1" x14ac:dyDescent="0.35">
      <c r="A142">
        <v>690929</v>
      </c>
      <c r="B142" t="s">
        <v>37</v>
      </c>
      <c r="C142" t="s">
        <v>38</v>
      </c>
      <c r="D142" s="9" t="s">
        <v>39</v>
      </c>
      <c r="E142" s="10" t="s">
        <v>37</v>
      </c>
      <c r="F142" s="11"/>
      <c r="G142" t="s">
        <v>497</v>
      </c>
      <c r="I142" t="s">
        <v>41</v>
      </c>
      <c r="J142" t="s">
        <v>498</v>
      </c>
      <c r="K142" t="s">
        <v>43</v>
      </c>
      <c r="L142">
        <v>2</v>
      </c>
      <c r="M142" t="s">
        <v>44</v>
      </c>
      <c r="N142" t="s">
        <v>45</v>
      </c>
      <c r="O142" t="s">
        <v>46</v>
      </c>
      <c r="P142" s="5">
        <v>1</v>
      </c>
      <c r="Q142" s="12">
        <v>44699.733472222222</v>
      </c>
      <c r="R142" s="13">
        <v>44701</v>
      </c>
      <c r="T142" t="s">
        <v>47</v>
      </c>
      <c r="U142" t="s">
        <v>48</v>
      </c>
      <c r="V142" t="s">
        <v>56</v>
      </c>
      <c r="Y142" t="s">
        <v>499</v>
      </c>
      <c r="Z142">
        <v>27000</v>
      </c>
      <c r="AA142" t="s">
        <v>47</v>
      </c>
      <c r="AB142" t="s">
        <v>58</v>
      </c>
      <c r="AC142" t="s">
        <v>53</v>
      </c>
      <c r="AD142" s="16">
        <f>IF(P142&lt;=1,4.9,4.9+0.8*ROUNDUP(P142-1,0))</f>
        <v>4.9000000000000004</v>
      </c>
      <c r="AE142" s="15">
        <v>0</v>
      </c>
      <c r="AF142" s="15">
        <v>0</v>
      </c>
      <c r="AG142" s="15">
        <v>0</v>
      </c>
      <c r="AH142" s="15">
        <v>0</v>
      </c>
      <c r="AI142" s="15">
        <f t="shared" si="4"/>
        <v>0.29399999999999998</v>
      </c>
      <c r="AJ142" s="15">
        <f t="shared" si="5"/>
        <v>5.194</v>
      </c>
      <c r="AK142" t="s">
        <v>47</v>
      </c>
    </row>
    <row r="143" spans="1:37" ht="15" customHeight="1" x14ac:dyDescent="0.35">
      <c r="A143">
        <v>690929</v>
      </c>
      <c r="B143" t="s">
        <v>37</v>
      </c>
      <c r="C143" t="s">
        <v>38</v>
      </c>
      <c r="D143" s="9" t="s">
        <v>39</v>
      </c>
      <c r="E143" s="10" t="s">
        <v>37</v>
      </c>
      <c r="F143" s="11"/>
      <c r="G143" t="s">
        <v>500</v>
      </c>
      <c r="I143" t="s">
        <v>41</v>
      </c>
      <c r="J143" t="s">
        <v>501</v>
      </c>
      <c r="K143" t="s">
        <v>43</v>
      </c>
      <c r="L143">
        <v>2</v>
      </c>
      <c r="M143" t="s">
        <v>44</v>
      </c>
      <c r="N143" t="s">
        <v>45</v>
      </c>
      <c r="O143" t="s">
        <v>92</v>
      </c>
      <c r="P143" s="5">
        <v>7</v>
      </c>
      <c r="Q143" s="12">
        <v>44699.410925925928</v>
      </c>
      <c r="R143" s="13">
        <v>44701</v>
      </c>
      <c r="T143" t="s">
        <v>47</v>
      </c>
      <c r="U143" t="s">
        <v>48</v>
      </c>
      <c r="V143" t="s">
        <v>76</v>
      </c>
      <c r="Y143" t="s">
        <v>502</v>
      </c>
      <c r="Z143">
        <v>75350</v>
      </c>
      <c r="AA143" t="s">
        <v>47</v>
      </c>
      <c r="AB143" t="s">
        <v>52</v>
      </c>
      <c r="AC143" t="s">
        <v>53</v>
      </c>
      <c r="AD143" s="16">
        <f>IF(P143&lt;=1,4.9,4.9+0.8*ROUNDUP(P143-1,0))</f>
        <v>9.7000000000000011</v>
      </c>
      <c r="AE143" s="15">
        <v>0</v>
      </c>
      <c r="AF143" s="15">
        <v>0</v>
      </c>
      <c r="AG143" s="15">
        <v>0</v>
      </c>
      <c r="AH143" s="15">
        <v>0</v>
      </c>
      <c r="AI143" s="15">
        <f t="shared" si="4"/>
        <v>0.58200000000000007</v>
      </c>
      <c r="AJ143" s="15">
        <f t="shared" si="5"/>
        <v>10.282000000000002</v>
      </c>
      <c r="AK143" t="s">
        <v>47</v>
      </c>
    </row>
    <row r="144" spans="1:37" ht="15" customHeight="1" x14ac:dyDescent="0.35">
      <c r="A144">
        <v>690929</v>
      </c>
      <c r="B144" t="s">
        <v>37</v>
      </c>
      <c r="C144" t="s">
        <v>38</v>
      </c>
      <c r="D144" s="9" t="s">
        <v>39</v>
      </c>
      <c r="E144" s="10" t="s">
        <v>37</v>
      </c>
      <c r="F144" s="11"/>
      <c r="G144" t="s">
        <v>503</v>
      </c>
      <c r="I144" t="s">
        <v>41</v>
      </c>
      <c r="J144" t="s">
        <v>504</v>
      </c>
      <c r="K144" t="s">
        <v>43</v>
      </c>
      <c r="L144">
        <v>2</v>
      </c>
      <c r="M144" t="s">
        <v>44</v>
      </c>
      <c r="N144" t="s">
        <v>45</v>
      </c>
      <c r="O144" t="s">
        <v>46</v>
      </c>
      <c r="P144" s="5">
        <v>1</v>
      </c>
      <c r="Q144" s="12">
        <v>44698.52815972222</v>
      </c>
      <c r="R144" s="13">
        <v>44701</v>
      </c>
      <c r="T144" t="s">
        <v>47</v>
      </c>
      <c r="U144" t="s">
        <v>48</v>
      </c>
      <c r="V144" t="s">
        <v>88</v>
      </c>
      <c r="Y144" t="s">
        <v>505</v>
      </c>
      <c r="Z144">
        <v>55300</v>
      </c>
      <c r="AA144" t="s">
        <v>47</v>
      </c>
      <c r="AB144" t="s">
        <v>58</v>
      </c>
      <c r="AC144" t="s">
        <v>53</v>
      </c>
      <c r="AD144" s="16">
        <f>IF(P144&lt;=1,4.9,4.9+0.8*ROUNDUP(P144-1,0))</f>
        <v>4.9000000000000004</v>
      </c>
      <c r="AE144" s="15">
        <v>0</v>
      </c>
      <c r="AF144" s="15">
        <v>0</v>
      </c>
      <c r="AG144" s="15">
        <v>0</v>
      </c>
      <c r="AH144" s="15">
        <v>0</v>
      </c>
      <c r="AI144" s="15">
        <f t="shared" si="4"/>
        <v>0.29399999999999998</v>
      </c>
      <c r="AJ144" s="15">
        <f t="shared" si="5"/>
        <v>5.194</v>
      </c>
      <c r="AK144" t="s">
        <v>47</v>
      </c>
    </row>
    <row r="145" spans="1:37" ht="15" customHeight="1" x14ac:dyDescent="0.35">
      <c r="A145">
        <v>690929</v>
      </c>
      <c r="B145" t="s">
        <v>37</v>
      </c>
      <c r="C145" t="s">
        <v>38</v>
      </c>
      <c r="D145" s="9" t="s">
        <v>39</v>
      </c>
      <c r="E145" s="10" t="s">
        <v>37</v>
      </c>
      <c r="F145" s="11"/>
      <c r="G145" t="s">
        <v>506</v>
      </c>
      <c r="I145" t="s">
        <v>41</v>
      </c>
      <c r="J145" t="s">
        <v>507</v>
      </c>
      <c r="K145" t="s">
        <v>43</v>
      </c>
      <c r="L145">
        <v>2</v>
      </c>
      <c r="M145" t="s">
        <v>44</v>
      </c>
      <c r="N145" t="s">
        <v>45</v>
      </c>
      <c r="O145" t="s">
        <v>46</v>
      </c>
      <c r="P145" s="5">
        <v>2</v>
      </c>
      <c r="Q145" s="12">
        <v>44698.6171412037</v>
      </c>
      <c r="R145" s="13">
        <v>44701</v>
      </c>
      <c r="T145" t="s">
        <v>47</v>
      </c>
      <c r="U145" t="s">
        <v>48</v>
      </c>
      <c r="V145" t="s">
        <v>70</v>
      </c>
      <c r="Y145" t="s">
        <v>508</v>
      </c>
      <c r="Z145">
        <v>45600</v>
      </c>
      <c r="AA145" t="s">
        <v>47</v>
      </c>
      <c r="AB145" t="s">
        <v>52</v>
      </c>
      <c r="AC145" t="s">
        <v>53</v>
      </c>
      <c r="AD145" s="16">
        <f>IF(P145&lt;=1,4.9,4.9+0.8*ROUNDUP(P145-1,0))</f>
        <v>5.7</v>
      </c>
      <c r="AE145" s="15">
        <v>0</v>
      </c>
      <c r="AF145" s="15">
        <v>0</v>
      </c>
      <c r="AG145" s="15">
        <v>0</v>
      </c>
      <c r="AH145" s="15">
        <v>0</v>
      </c>
      <c r="AI145" s="15">
        <f t="shared" si="4"/>
        <v>0.34199999999999997</v>
      </c>
      <c r="AJ145" s="15">
        <f t="shared" si="5"/>
        <v>6.0419999999999998</v>
      </c>
      <c r="AK145" t="s">
        <v>47</v>
      </c>
    </row>
    <row r="146" spans="1:37" ht="15" customHeight="1" x14ac:dyDescent="0.35">
      <c r="A146">
        <v>690929</v>
      </c>
      <c r="B146" t="s">
        <v>37</v>
      </c>
      <c r="C146" t="s">
        <v>38</v>
      </c>
      <c r="D146" s="9" t="s">
        <v>39</v>
      </c>
      <c r="E146" s="10" t="s">
        <v>37</v>
      </c>
      <c r="F146" s="11"/>
      <c r="G146" t="s">
        <v>509</v>
      </c>
      <c r="I146" t="s">
        <v>41</v>
      </c>
      <c r="J146" t="s">
        <v>510</v>
      </c>
      <c r="K146" t="s">
        <v>43</v>
      </c>
      <c r="L146">
        <v>2</v>
      </c>
      <c r="M146" t="s">
        <v>44</v>
      </c>
      <c r="N146" t="s">
        <v>45</v>
      </c>
      <c r="O146" t="s">
        <v>46</v>
      </c>
      <c r="P146" s="5">
        <v>1</v>
      </c>
      <c r="Q146" s="12">
        <v>44697.667083333334</v>
      </c>
      <c r="R146" s="13">
        <v>44701</v>
      </c>
      <c r="T146" t="s">
        <v>47</v>
      </c>
      <c r="U146" t="s">
        <v>48</v>
      </c>
      <c r="V146" t="s">
        <v>49</v>
      </c>
      <c r="Y146" t="s">
        <v>511</v>
      </c>
      <c r="Z146">
        <v>88300</v>
      </c>
      <c r="AA146" t="s">
        <v>51</v>
      </c>
      <c r="AB146" t="s">
        <v>52</v>
      </c>
      <c r="AC146" t="s">
        <v>53</v>
      </c>
      <c r="AD146" s="14">
        <f>IF(P146&lt;=1,13,IF(P146&lt;=2,23,IF(P146&lt;=3,35,IF(P146&lt;=4,43,IF(P146&lt;=5,53,IF(P146&lt;=6,63,IF(P146&lt;=7,71,IF(P146&lt;=8,79,IF(P146&lt;=9,87,IF(P146&lt;=10,95,IF(P146&lt;=11,105,IF(P146&lt;=12,114,IF(P146&lt;=13,119,IF(P146&lt;=14,127,IF(P146&lt;=15,135,IF(P146&lt;=16,143,IF(P146&lt;=17,153,IF(P146&lt;=18,163,IF(P146&lt;=19,171,IF(P146&lt;=20,185,IF(P146&lt;=21,193,IF(P146&lt;=22,201,IF(P146&lt;=23,210,IF(P146&lt;=24,220,IF(P146&lt;=25,230,IF(P146&lt;=26,240,IF(P146&lt;=27,250,IF(P146&lt;=28,260,IF(P146&lt;=29,270,IF(P146&lt;=30,280,280))))))))))))))))))))))))))))))</f>
        <v>13</v>
      </c>
      <c r="AE146" s="15">
        <v>0</v>
      </c>
      <c r="AF146" s="15">
        <v>0</v>
      </c>
      <c r="AG146" s="15">
        <v>0</v>
      </c>
      <c r="AH146" s="15">
        <v>0</v>
      </c>
      <c r="AI146" s="15">
        <f t="shared" si="4"/>
        <v>0.78</v>
      </c>
      <c r="AJ146" s="15">
        <f t="shared" si="5"/>
        <v>13.78</v>
      </c>
      <c r="AK146" t="s">
        <v>51</v>
      </c>
    </row>
    <row r="147" spans="1:37" ht="15" customHeight="1" x14ac:dyDescent="0.35">
      <c r="A147">
        <v>690929</v>
      </c>
      <c r="B147" t="s">
        <v>37</v>
      </c>
      <c r="C147" t="s">
        <v>38</v>
      </c>
      <c r="D147" s="9" t="s">
        <v>39</v>
      </c>
      <c r="E147" s="10" t="s">
        <v>37</v>
      </c>
      <c r="F147" s="11"/>
      <c r="G147" t="s">
        <v>512</v>
      </c>
      <c r="I147" t="s">
        <v>41</v>
      </c>
      <c r="J147" t="s">
        <v>513</v>
      </c>
      <c r="K147" t="s">
        <v>43</v>
      </c>
      <c r="L147">
        <v>2</v>
      </c>
      <c r="M147" t="s">
        <v>44</v>
      </c>
      <c r="N147" t="s">
        <v>45</v>
      </c>
      <c r="O147" t="s">
        <v>92</v>
      </c>
      <c r="P147" s="5">
        <v>2</v>
      </c>
      <c r="Q147" s="12">
        <v>44700.524895833332</v>
      </c>
      <c r="R147" s="13">
        <v>44701</v>
      </c>
      <c r="T147" t="s">
        <v>47</v>
      </c>
      <c r="U147" t="s">
        <v>48</v>
      </c>
      <c r="V147" t="s">
        <v>56</v>
      </c>
      <c r="Y147" t="s">
        <v>514</v>
      </c>
      <c r="Z147">
        <v>28000</v>
      </c>
      <c r="AA147" t="s">
        <v>47</v>
      </c>
      <c r="AB147" t="s">
        <v>104</v>
      </c>
      <c r="AC147" t="s">
        <v>53</v>
      </c>
      <c r="AD147" s="16">
        <f>IF(P147&lt;=1,4.9,4.9+0.8*ROUNDUP(P147-1,0))</f>
        <v>5.7</v>
      </c>
      <c r="AE147" s="15">
        <v>0</v>
      </c>
      <c r="AF147" s="15">
        <v>0</v>
      </c>
      <c r="AG147" s="15">
        <v>0</v>
      </c>
      <c r="AH147" s="15">
        <v>0</v>
      </c>
      <c r="AI147" s="15">
        <f t="shared" si="4"/>
        <v>0.34199999999999997</v>
      </c>
      <c r="AJ147" s="15">
        <f t="shared" si="5"/>
        <v>6.0419999999999998</v>
      </c>
      <c r="AK147" t="s">
        <v>47</v>
      </c>
    </row>
    <row r="148" spans="1:37" ht="15" customHeight="1" x14ac:dyDescent="0.35">
      <c r="A148">
        <v>690929</v>
      </c>
      <c r="B148" t="s">
        <v>37</v>
      </c>
      <c r="C148" t="s">
        <v>38</v>
      </c>
      <c r="D148" s="9" t="s">
        <v>39</v>
      </c>
      <c r="E148" s="10" t="s">
        <v>37</v>
      </c>
      <c r="F148" s="11"/>
      <c r="G148" t="s">
        <v>515</v>
      </c>
      <c r="I148" t="s">
        <v>41</v>
      </c>
      <c r="J148" t="s">
        <v>516</v>
      </c>
      <c r="K148" t="s">
        <v>43</v>
      </c>
      <c r="L148">
        <v>2</v>
      </c>
      <c r="M148" t="s">
        <v>44</v>
      </c>
      <c r="N148" t="s">
        <v>45</v>
      </c>
      <c r="O148" t="s">
        <v>92</v>
      </c>
      <c r="P148" s="5">
        <v>3</v>
      </c>
      <c r="Q148" s="12">
        <v>44688.521423611113</v>
      </c>
      <c r="R148" s="13">
        <v>44701</v>
      </c>
      <c r="T148" t="s">
        <v>47</v>
      </c>
      <c r="U148" t="s">
        <v>48</v>
      </c>
      <c r="V148" t="s">
        <v>88</v>
      </c>
      <c r="Y148" t="s">
        <v>517</v>
      </c>
      <c r="Z148">
        <v>46000</v>
      </c>
      <c r="AA148" t="s">
        <v>47</v>
      </c>
      <c r="AB148" t="s">
        <v>518</v>
      </c>
      <c r="AC148" t="s">
        <v>53</v>
      </c>
      <c r="AD148" s="16">
        <f>IF(P148&lt;=1,4.9,4.9+0.8*ROUNDUP(P148-1,0))</f>
        <v>6.5</v>
      </c>
      <c r="AE148" s="15">
        <v>0</v>
      </c>
      <c r="AF148" s="15">
        <v>0</v>
      </c>
      <c r="AG148" s="15">
        <v>0</v>
      </c>
      <c r="AH148" s="15">
        <v>0</v>
      </c>
      <c r="AI148" s="15">
        <f t="shared" si="4"/>
        <v>0.39</v>
      </c>
      <c r="AJ148" s="15">
        <f t="shared" si="5"/>
        <v>6.89</v>
      </c>
      <c r="AK148" t="s">
        <v>47</v>
      </c>
    </row>
    <row r="149" spans="1:37" ht="15" customHeight="1" x14ac:dyDescent="0.35">
      <c r="A149">
        <v>690929</v>
      </c>
      <c r="B149" t="s">
        <v>37</v>
      </c>
      <c r="C149" t="s">
        <v>38</v>
      </c>
      <c r="D149" s="9" t="s">
        <v>39</v>
      </c>
      <c r="E149" s="10" t="s">
        <v>37</v>
      </c>
      <c r="F149" s="11"/>
      <c r="G149" t="s">
        <v>519</v>
      </c>
      <c r="I149" t="s">
        <v>41</v>
      </c>
      <c r="J149" t="s">
        <v>520</v>
      </c>
      <c r="K149" t="s">
        <v>43</v>
      </c>
      <c r="L149">
        <v>2</v>
      </c>
      <c r="M149" t="s">
        <v>44</v>
      </c>
      <c r="N149" t="s">
        <v>45</v>
      </c>
      <c r="O149" t="s">
        <v>46</v>
      </c>
      <c r="P149" s="5">
        <v>3</v>
      </c>
      <c r="Q149" s="12">
        <v>44691.429837962962</v>
      </c>
      <c r="R149" s="13">
        <v>44701</v>
      </c>
      <c r="T149" t="s">
        <v>47</v>
      </c>
      <c r="U149" t="s">
        <v>48</v>
      </c>
      <c r="V149" t="s">
        <v>70</v>
      </c>
      <c r="Y149" t="s">
        <v>521</v>
      </c>
      <c r="Z149">
        <v>42200</v>
      </c>
      <c r="AA149" t="s">
        <v>47</v>
      </c>
      <c r="AB149" t="s">
        <v>522</v>
      </c>
      <c r="AC149" t="s">
        <v>53</v>
      </c>
      <c r="AD149" s="16">
        <f>IF(P149&lt;=1,4.9,4.9+0.8*ROUNDUP(P149-1,0))</f>
        <v>6.5</v>
      </c>
      <c r="AE149" s="15">
        <v>0</v>
      </c>
      <c r="AF149" s="15">
        <v>0</v>
      </c>
      <c r="AG149" s="15">
        <v>0</v>
      </c>
      <c r="AH149" s="15">
        <v>0</v>
      </c>
      <c r="AI149" s="15">
        <f t="shared" si="4"/>
        <v>0.39</v>
      </c>
      <c r="AJ149" s="15">
        <f t="shared" si="5"/>
        <v>6.89</v>
      </c>
      <c r="AK149" t="s">
        <v>47</v>
      </c>
    </row>
    <row r="150" spans="1:37" ht="15" customHeight="1" x14ac:dyDescent="0.35">
      <c r="A150">
        <v>690929</v>
      </c>
      <c r="B150" t="s">
        <v>37</v>
      </c>
      <c r="C150" t="s">
        <v>38</v>
      </c>
      <c r="D150" s="9" t="s">
        <v>39</v>
      </c>
      <c r="E150" s="10" t="s">
        <v>37</v>
      </c>
      <c r="F150" s="11"/>
      <c r="G150" t="s">
        <v>523</v>
      </c>
      <c r="I150" t="s">
        <v>41</v>
      </c>
      <c r="J150" t="s">
        <v>524</v>
      </c>
      <c r="K150" t="s">
        <v>43</v>
      </c>
      <c r="L150">
        <v>2</v>
      </c>
      <c r="M150" t="s">
        <v>44</v>
      </c>
      <c r="N150" t="s">
        <v>45</v>
      </c>
      <c r="O150" t="s">
        <v>92</v>
      </c>
      <c r="P150" s="5">
        <v>2</v>
      </c>
      <c r="Q150" s="12">
        <v>44697.482442129629</v>
      </c>
      <c r="R150" s="13">
        <v>44701</v>
      </c>
      <c r="T150" t="s">
        <v>47</v>
      </c>
      <c r="U150" t="s">
        <v>48</v>
      </c>
      <c r="V150" t="s">
        <v>70</v>
      </c>
      <c r="Y150" t="s">
        <v>525</v>
      </c>
      <c r="Z150">
        <v>43000</v>
      </c>
      <c r="AA150" t="s">
        <v>47</v>
      </c>
      <c r="AB150" t="s">
        <v>58</v>
      </c>
      <c r="AC150" t="s">
        <v>53</v>
      </c>
      <c r="AD150" s="16">
        <f>IF(P150&lt;=1,4.9,4.9+0.8*ROUNDUP(P150-1,0))</f>
        <v>5.7</v>
      </c>
      <c r="AE150" s="15">
        <v>0</v>
      </c>
      <c r="AF150" s="15">
        <v>0</v>
      </c>
      <c r="AG150" s="15">
        <v>0</v>
      </c>
      <c r="AH150" s="15">
        <v>0</v>
      </c>
      <c r="AI150" s="15">
        <f t="shared" si="4"/>
        <v>0.34199999999999997</v>
      </c>
      <c r="AJ150" s="15">
        <f t="shared" si="5"/>
        <v>6.0419999999999998</v>
      </c>
      <c r="AK150" t="s">
        <v>47</v>
      </c>
    </row>
    <row r="151" spans="1:37" ht="15" customHeight="1" x14ac:dyDescent="0.35">
      <c r="A151">
        <v>690929</v>
      </c>
      <c r="B151" t="s">
        <v>37</v>
      </c>
      <c r="C151" t="s">
        <v>38</v>
      </c>
      <c r="D151" s="9" t="s">
        <v>39</v>
      </c>
      <c r="E151" s="10" t="s">
        <v>37</v>
      </c>
      <c r="F151" s="11"/>
      <c r="G151" t="s">
        <v>526</v>
      </c>
      <c r="I151" t="s">
        <v>41</v>
      </c>
      <c r="J151" t="s">
        <v>527</v>
      </c>
      <c r="K151" t="s">
        <v>43</v>
      </c>
      <c r="L151">
        <v>2</v>
      </c>
      <c r="M151" t="s">
        <v>44</v>
      </c>
      <c r="N151" t="s">
        <v>45</v>
      </c>
      <c r="O151" t="s">
        <v>46</v>
      </c>
      <c r="P151" s="5">
        <v>1</v>
      </c>
      <c r="Q151" s="12">
        <v>44699.46261574074</v>
      </c>
      <c r="R151" s="13">
        <v>44701</v>
      </c>
      <c r="T151" t="s">
        <v>47</v>
      </c>
      <c r="U151" t="s">
        <v>48</v>
      </c>
      <c r="V151" t="s">
        <v>76</v>
      </c>
      <c r="Y151" t="s">
        <v>528</v>
      </c>
      <c r="Z151">
        <v>78000</v>
      </c>
      <c r="AA151" t="s">
        <v>47</v>
      </c>
      <c r="AB151" t="s">
        <v>52</v>
      </c>
      <c r="AC151" t="s">
        <v>53</v>
      </c>
      <c r="AD151" s="16">
        <f>IF(P151&lt;=1,4.9,4.9+0.8*ROUNDUP(P151-1,0))</f>
        <v>4.9000000000000004</v>
      </c>
      <c r="AE151" s="15">
        <v>0</v>
      </c>
      <c r="AF151" s="15">
        <v>0</v>
      </c>
      <c r="AG151" s="15">
        <v>0</v>
      </c>
      <c r="AH151" s="15">
        <v>0</v>
      </c>
      <c r="AI151" s="15">
        <f t="shared" si="4"/>
        <v>0.29399999999999998</v>
      </c>
      <c r="AJ151" s="15">
        <f t="shared" si="5"/>
        <v>5.194</v>
      </c>
      <c r="AK151" t="s">
        <v>47</v>
      </c>
    </row>
    <row r="152" spans="1:37" ht="15" customHeight="1" x14ac:dyDescent="0.35">
      <c r="A152">
        <v>690929</v>
      </c>
      <c r="B152" t="s">
        <v>37</v>
      </c>
      <c r="C152" t="s">
        <v>38</v>
      </c>
      <c r="D152" s="9" t="s">
        <v>39</v>
      </c>
      <c r="E152" s="10" t="s">
        <v>37</v>
      </c>
      <c r="F152" s="11"/>
      <c r="G152" t="s">
        <v>529</v>
      </c>
      <c r="I152" t="s">
        <v>41</v>
      </c>
      <c r="J152" t="s">
        <v>530</v>
      </c>
      <c r="K152" t="s">
        <v>43</v>
      </c>
      <c r="L152">
        <v>2</v>
      </c>
      <c r="M152" t="s">
        <v>44</v>
      </c>
      <c r="N152" t="s">
        <v>45</v>
      </c>
      <c r="O152" t="s">
        <v>531</v>
      </c>
      <c r="P152" s="5">
        <v>4</v>
      </c>
      <c r="Q152" s="12">
        <v>44697.516226851854</v>
      </c>
      <c r="R152" s="13">
        <v>44702</v>
      </c>
      <c r="T152" t="s">
        <v>47</v>
      </c>
      <c r="U152" t="s">
        <v>48</v>
      </c>
      <c r="V152" t="s">
        <v>70</v>
      </c>
      <c r="Y152" t="s">
        <v>532</v>
      </c>
      <c r="Z152">
        <v>47150</v>
      </c>
      <c r="AA152" t="s">
        <v>47</v>
      </c>
      <c r="AB152" t="s">
        <v>466</v>
      </c>
      <c r="AC152" t="s">
        <v>53</v>
      </c>
      <c r="AD152" s="16">
        <f>IF(P152&lt;=1,4.9,4.9+0.8*ROUNDUP(P152-1,0))</f>
        <v>7.3000000000000007</v>
      </c>
      <c r="AE152" s="15">
        <v>0</v>
      </c>
      <c r="AF152" s="15">
        <v>0</v>
      </c>
      <c r="AG152" s="15">
        <v>0</v>
      </c>
      <c r="AH152" s="15">
        <v>0</v>
      </c>
      <c r="AI152" s="15">
        <f t="shared" si="4"/>
        <v>0.438</v>
      </c>
      <c r="AJ152" s="15">
        <f t="shared" si="5"/>
        <v>7.7380000000000004</v>
      </c>
      <c r="AK152" t="s">
        <v>47</v>
      </c>
    </row>
    <row r="153" spans="1:37" ht="15" customHeight="1" x14ac:dyDescent="0.35">
      <c r="A153">
        <v>690929</v>
      </c>
      <c r="B153" t="s">
        <v>37</v>
      </c>
      <c r="C153" t="s">
        <v>38</v>
      </c>
      <c r="D153" s="9" t="s">
        <v>39</v>
      </c>
      <c r="E153" s="10" t="s">
        <v>37</v>
      </c>
      <c r="F153" s="11"/>
      <c r="G153" t="s">
        <v>533</v>
      </c>
      <c r="I153" t="s">
        <v>41</v>
      </c>
      <c r="J153" t="s">
        <v>534</v>
      </c>
      <c r="K153" t="s">
        <v>43</v>
      </c>
      <c r="L153">
        <v>2</v>
      </c>
      <c r="M153" t="s">
        <v>44</v>
      </c>
      <c r="N153" t="s">
        <v>45</v>
      </c>
      <c r="O153" t="s">
        <v>46</v>
      </c>
      <c r="P153" s="5">
        <v>1</v>
      </c>
      <c r="Q153" s="12">
        <v>44700.713796296295</v>
      </c>
      <c r="R153" s="13">
        <v>44702</v>
      </c>
      <c r="T153" t="s">
        <v>47</v>
      </c>
      <c r="U153" t="s">
        <v>58</v>
      </c>
      <c r="V153" t="s">
        <v>56</v>
      </c>
      <c r="Y153" t="s">
        <v>535</v>
      </c>
      <c r="Z153">
        <v>26100</v>
      </c>
      <c r="AA153" t="s">
        <v>47</v>
      </c>
      <c r="AB153" t="s">
        <v>58</v>
      </c>
      <c r="AC153" t="s">
        <v>53</v>
      </c>
      <c r="AD153" s="16">
        <f>IF(P153&lt;=1,4.9,4.9+0.8*ROUNDUP(P153-1,0))</f>
        <v>4.9000000000000004</v>
      </c>
      <c r="AE153" s="15">
        <v>0</v>
      </c>
      <c r="AF153" s="15">
        <v>0</v>
      </c>
      <c r="AG153" s="15">
        <v>0</v>
      </c>
      <c r="AH153" s="15">
        <v>0</v>
      </c>
      <c r="AI153" s="15">
        <f t="shared" si="4"/>
        <v>0.29399999999999998</v>
      </c>
      <c r="AJ153" s="15">
        <f t="shared" si="5"/>
        <v>5.194</v>
      </c>
      <c r="AK153" t="s">
        <v>47</v>
      </c>
    </row>
    <row r="154" spans="1:37" ht="15" customHeight="1" x14ac:dyDescent="0.35">
      <c r="A154">
        <v>690929</v>
      </c>
      <c r="B154" t="s">
        <v>37</v>
      </c>
      <c r="C154" t="s">
        <v>38</v>
      </c>
      <c r="D154" s="9" t="s">
        <v>39</v>
      </c>
      <c r="E154" s="10" t="s">
        <v>37</v>
      </c>
      <c r="F154" s="11"/>
      <c r="G154" t="s">
        <v>536</v>
      </c>
      <c r="I154" t="s">
        <v>41</v>
      </c>
      <c r="J154" t="s">
        <v>537</v>
      </c>
      <c r="K154" t="s">
        <v>43</v>
      </c>
      <c r="L154">
        <v>2</v>
      </c>
      <c r="M154" t="s">
        <v>44</v>
      </c>
      <c r="N154" t="s">
        <v>45</v>
      </c>
      <c r="O154" t="s">
        <v>46</v>
      </c>
      <c r="P154" s="5">
        <v>1</v>
      </c>
      <c r="Q154" s="12">
        <v>44700.615023148152</v>
      </c>
      <c r="R154" s="13">
        <v>44702</v>
      </c>
      <c r="T154" t="s">
        <v>47</v>
      </c>
      <c r="U154" t="s">
        <v>48</v>
      </c>
      <c r="V154" t="s">
        <v>93</v>
      </c>
      <c r="Y154" t="s">
        <v>538</v>
      </c>
      <c r="Z154">
        <v>81920</v>
      </c>
      <c r="AA154" t="s">
        <v>47</v>
      </c>
      <c r="AB154" t="s">
        <v>52</v>
      </c>
      <c r="AC154" t="s">
        <v>53</v>
      </c>
      <c r="AD154" s="16">
        <f>IF(P154&lt;=1,4.9,4.9+0.8*ROUNDUP(P154-1,0))</f>
        <v>4.9000000000000004</v>
      </c>
      <c r="AE154" s="15">
        <v>0</v>
      </c>
      <c r="AF154" s="15">
        <v>0</v>
      </c>
      <c r="AG154" s="15">
        <v>0</v>
      </c>
      <c r="AH154" s="15">
        <v>0</v>
      </c>
      <c r="AI154" s="15">
        <f t="shared" si="4"/>
        <v>0.29399999999999998</v>
      </c>
      <c r="AJ154" s="15">
        <f t="shared" si="5"/>
        <v>5.194</v>
      </c>
      <c r="AK154" t="s">
        <v>47</v>
      </c>
    </row>
    <row r="155" spans="1:37" ht="15" customHeight="1" x14ac:dyDescent="0.35">
      <c r="A155">
        <v>690929</v>
      </c>
      <c r="B155" t="s">
        <v>37</v>
      </c>
      <c r="C155" t="s">
        <v>38</v>
      </c>
      <c r="D155" s="9" t="s">
        <v>39</v>
      </c>
      <c r="E155" s="10" t="s">
        <v>37</v>
      </c>
      <c r="F155" s="11"/>
      <c r="G155" t="s">
        <v>539</v>
      </c>
      <c r="I155" t="s">
        <v>41</v>
      </c>
      <c r="J155" t="s">
        <v>540</v>
      </c>
      <c r="K155" t="s">
        <v>43</v>
      </c>
      <c r="L155">
        <v>2</v>
      </c>
      <c r="M155" t="s">
        <v>44</v>
      </c>
      <c r="N155" t="s">
        <v>45</v>
      </c>
      <c r="O155" t="s">
        <v>46</v>
      </c>
      <c r="P155" s="5">
        <v>1</v>
      </c>
      <c r="Q155" s="12">
        <v>44700.623298611114</v>
      </c>
      <c r="R155" s="13">
        <v>44702</v>
      </c>
      <c r="T155" t="s">
        <v>47</v>
      </c>
      <c r="U155" t="s">
        <v>48</v>
      </c>
      <c r="V155" t="s">
        <v>252</v>
      </c>
      <c r="Y155" t="s">
        <v>541</v>
      </c>
      <c r="Z155">
        <v>2700</v>
      </c>
      <c r="AA155" t="s">
        <v>47</v>
      </c>
      <c r="AB155" t="s">
        <v>52</v>
      </c>
      <c r="AC155" t="s">
        <v>53</v>
      </c>
      <c r="AD155" s="16">
        <f>IF(P155&lt;=1,4.9,4.9+0.8*ROUNDUP(P155-1,0))</f>
        <v>4.9000000000000004</v>
      </c>
      <c r="AE155" s="15">
        <v>0</v>
      </c>
      <c r="AF155" s="15">
        <v>0</v>
      </c>
      <c r="AG155" s="15">
        <v>0</v>
      </c>
      <c r="AH155" s="15">
        <v>0</v>
      </c>
      <c r="AI155" s="15">
        <f t="shared" si="4"/>
        <v>0.29399999999999998</v>
      </c>
      <c r="AJ155" s="15">
        <f t="shared" si="5"/>
        <v>5.194</v>
      </c>
      <c r="AK155" t="s">
        <v>47</v>
      </c>
    </row>
    <row r="156" spans="1:37" ht="15" customHeight="1" x14ac:dyDescent="0.35">
      <c r="A156">
        <v>690929</v>
      </c>
      <c r="B156" t="s">
        <v>37</v>
      </c>
      <c r="C156" t="s">
        <v>38</v>
      </c>
      <c r="D156" s="9" t="s">
        <v>39</v>
      </c>
      <c r="E156" s="10" t="s">
        <v>37</v>
      </c>
      <c r="F156" s="11"/>
      <c r="G156" t="s">
        <v>542</v>
      </c>
      <c r="I156" t="s">
        <v>41</v>
      </c>
      <c r="J156" t="s">
        <v>543</v>
      </c>
      <c r="K156" t="s">
        <v>43</v>
      </c>
      <c r="L156">
        <v>2</v>
      </c>
      <c r="M156" t="s">
        <v>44</v>
      </c>
      <c r="N156" t="s">
        <v>45</v>
      </c>
      <c r="O156" t="s">
        <v>46</v>
      </c>
      <c r="P156" s="5">
        <v>1</v>
      </c>
      <c r="Q156" s="12">
        <v>44700.869212962964</v>
      </c>
      <c r="R156" s="13">
        <v>44702</v>
      </c>
      <c r="T156" t="s">
        <v>47</v>
      </c>
      <c r="U156" t="s">
        <v>58</v>
      </c>
      <c r="V156" t="s">
        <v>56</v>
      </c>
      <c r="Y156" t="s">
        <v>544</v>
      </c>
      <c r="Z156">
        <v>26070</v>
      </c>
      <c r="AA156" t="s">
        <v>47</v>
      </c>
      <c r="AB156" t="s">
        <v>58</v>
      </c>
      <c r="AC156" t="s">
        <v>53</v>
      </c>
      <c r="AD156" s="16">
        <f>IF(P156&lt;=1,4.9,4.9+0.8*ROUNDUP(P156-1,0))</f>
        <v>4.9000000000000004</v>
      </c>
      <c r="AE156" s="15">
        <v>0</v>
      </c>
      <c r="AF156" s="15">
        <v>0</v>
      </c>
      <c r="AG156" s="15">
        <v>0</v>
      </c>
      <c r="AH156" s="15">
        <v>0</v>
      </c>
      <c r="AI156" s="15">
        <f t="shared" si="4"/>
        <v>0.29399999999999998</v>
      </c>
      <c r="AJ156" s="15">
        <f t="shared" si="5"/>
        <v>5.194</v>
      </c>
      <c r="AK156" t="s">
        <v>47</v>
      </c>
    </row>
    <row r="157" spans="1:37" ht="15" customHeight="1" x14ac:dyDescent="0.35">
      <c r="A157">
        <v>690929</v>
      </c>
      <c r="B157" t="s">
        <v>37</v>
      </c>
      <c r="C157" t="s">
        <v>38</v>
      </c>
      <c r="D157" s="9" t="s">
        <v>39</v>
      </c>
      <c r="E157" s="10" t="s">
        <v>37</v>
      </c>
      <c r="F157" s="11"/>
      <c r="G157" t="s">
        <v>545</v>
      </c>
      <c r="I157" t="s">
        <v>41</v>
      </c>
      <c r="J157" t="s">
        <v>546</v>
      </c>
      <c r="K157" t="s">
        <v>43</v>
      </c>
      <c r="L157">
        <v>2</v>
      </c>
      <c r="M157" t="s">
        <v>44</v>
      </c>
      <c r="N157" t="s">
        <v>45</v>
      </c>
      <c r="O157" t="s">
        <v>46</v>
      </c>
      <c r="P157" s="5">
        <v>4</v>
      </c>
      <c r="Q157" s="12">
        <v>44700.858495370368</v>
      </c>
      <c r="R157" s="13">
        <v>44702</v>
      </c>
      <c r="T157" t="s">
        <v>47</v>
      </c>
      <c r="U157" t="s">
        <v>58</v>
      </c>
      <c r="V157" t="s">
        <v>110</v>
      </c>
      <c r="Y157" t="s">
        <v>547</v>
      </c>
      <c r="Z157">
        <v>22300</v>
      </c>
      <c r="AA157" t="s">
        <v>47</v>
      </c>
      <c r="AB157" t="s">
        <v>548</v>
      </c>
      <c r="AC157" t="s">
        <v>53</v>
      </c>
      <c r="AD157" s="16">
        <f>IF(P157&lt;=1,4.9,4.9+0.8*ROUNDUP(P157-1,0))</f>
        <v>7.3000000000000007</v>
      </c>
      <c r="AE157" s="15">
        <v>0</v>
      </c>
      <c r="AF157" s="15">
        <v>0</v>
      </c>
      <c r="AG157" s="15">
        <v>0</v>
      </c>
      <c r="AH157" s="15">
        <v>0</v>
      </c>
      <c r="AI157" s="15">
        <f t="shared" si="4"/>
        <v>0.438</v>
      </c>
      <c r="AJ157" s="15">
        <f t="shared" si="5"/>
        <v>7.7380000000000004</v>
      </c>
      <c r="AK157" t="s">
        <v>47</v>
      </c>
    </row>
    <row r="158" spans="1:37" ht="15" customHeight="1" x14ac:dyDescent="0.35">
      <c r="A158">
        <v>690929</v>
      </c>
      <c r="B158" t="s">
        <v>37</v>
      </c>
      <c r="C158" t="s">
        <v>38</v>
      </c>
      <c r="D158" s="9" t="s">
        <v>39</v>
      </c>
      <c r="E158" s="10" t="s">
        <v>37</v>
      </c>
      <c r="F158" s="11"/>
      <c r="G158" t="s">
        <v>549</v>
      </c>
      <c r="I158" t="s">
        <v>41</v>
      </c>
      <c r="J158" t="s">
        <v>550</v>
      </c>
      <c r="K158" t="s">
        <v>43</v>
      </c>
      <c r="L158">
        <v>2</v>
      </c>
      <c r="M158" t="s">
        <v>44</v>
      </c>
      <c r="N158" t="s">
        <v>45</v>
      </c>
      <c r="O158" t="s">
        <v>46</v>
      </c>
      <c r="P158" s="5">
        <v>2</v>
      </c>
      <c r="Q158" s="12">
        <v>44700.803263888891</v>
      </c>
      <c r="R158" s="13">
        <v>44702</v>
      </c>
      <c r="T158" t="s">
        <v>47</v>
      </c>
      <c r="U158" t="s">
        <v>58</v>
      </c>
      <c r="V158" t="s">
        <v>56</v>
      </c>
      <c r="Y158" t="s">
        <v>551</v>
      </c>
      <c r="Z158">
        <v>26900</v>
      </c>
      <c r="AA158" t="s">
        <v>47</v>
      </c>
      <c r="AB158" t="s">
        <v>204</v>
      </c>
      <c r="AC158" t="s">
        <v>53</v>
      </c>
      <c r="AD158" s="16">
        <f>IF(P158&lt;=1,4.9,4.9+0.8*ROUNDUP(P158-1,0))</f>
        <v>5.7</v>
      </c>
      <c r="AE158" s="15">
        <v>0</v>
      </c>
      <c r="AF158" s="15">
        <v>0</v>
      </c>
      <c r="AG158" s="15">
        <v>0</v>
      </c>
      <c r="AH158" s="15">
        <v>0</v>
      </c>
      <c r="AI158" s="15">
        <f t="shared" si="4"/>
        <v>0.34199999999999997</v>
      </c>
      <c r="AJ158" s="15">
        <f t="shared" si="5"/>
        <v>6.0419999999999998</v>
      </c>
      <c r="AK158" t="s">
        <v>47</v>
      </c>
    </row>
    <row r="159" spans="1:37" ht="15" customHeight="1" x14ac:dyDescent="0.35">
      <c r="A159">
        <v>690929</v>
      </c>
      <c r="B159" t="s">
        <v>37</v>
      </c>
      <c r="C159" t="s">
        <v>38</v>
      </c>
      <c r="D159" s="9" t="s">
        <v>39</v>
      </c>
      <c r="E159" s="10" t="s">
        <v>37</v>
      </c>
      <c r="F159" s="11"/>
      <c r="G159" t="s">
        <v>552</v>
      </c>
      <c r="I159" t="s">
        <v>41</v>
      </c>
      <c r="J159" t="s">
        <v>553</v>
      </c>
      <c r="K159" t="s">
        <v>43</v>
      </c>
      <c r="L159">
        <v>2</v>
      </c>
      <c r="M159" t="s">
        <v>44</v>
      </c>
      <c r="N159" t="s">
        <v>45</v>
      </c>
      <c r="O159" t="s">
        <v>46</v>
      </c>
      <c r="P159" s="5">
        <v>1</v>
      </c>
      <c r="Q159" s="12">
        <v>44700.620810185188</v>
      </c>
      <c r="R159" s="13">
        <v>44702</v>
      </c>
      <c r="T159" t="s">
        <v>47</v>
      </c>
      <c r="U159" t="s">
        <v>48</v>
      </c>
      <c r="V159" t="s">
        <v>114</v>
      </c>
      <c r="Y159" t="s">
        <v>554</v>
      </c>
      <c r="Z159">
        <v>14000</v>
      </c>
      <c r="AA159" t="s">
        <v>47</v>
      </c>
      <c r="AB159" t="s">
        <v>52</v>
      </c>
      <c r="AC159" t="s">
        <v>53</v>
      </c>
      <c r="AD159" s="16">
        <f>IF(P159&lt;=1,4.9,4.9+0.8*ROUNDUP(P159-1,0))</f>
        <v>4.9000000000000004</v>
      </c>
      <c r="AE159" s="15">
        <v>0</v>
      </c>
      <c r="AF159" s="15">
        <v>0</v>
      </c>
      <c r="AG159" s="15">
        <v>0</v>
      </c>
      <c r="AH159" s="15">
        <v>0</v>
      </c>
      <c r="AI159" s="15">
        <f t="shared" si="4"/>
        <v>0.29399999999999998</v>
      </c>
      <c r="AJ159" s="15">
        <f t="shared" si="5"/>
        <v>5.194</v>
      </c>
      <c r="AK159" t="s">
        <v>47</v>
      </c>
    </row>
    <row r="160" spans="1:37" ht="15" customHeight="1" x14ac:dyDescent="0.35">
      <c r="A160">
        <v>690929</v>
      </c>
      <c r="B160" t="s">
        <v>37</v>
      </c>
      <c r="C160" t="s">
        <v>38</v>
      </c>
      <c r="D160" s="9" t="s">
        <v>39</v>
      </c>
      <c r="E160" s="10" t="s">
        <v>37</v>
      </c>
      <c r="F160" s="11"/>
      <c r="G160" t="s">
        <v>555</v>
      </c>
      <c r="I160" t="s">
        <v>41</v>
      </c>
      <c r="J160" t="s">
        <v>556</v>
      </c>
      <c r="K160" t="s">
        <v>43</v>
      </c>
      <c r="L160">
        <v>2</v>
      </c>
      <c r="M160" t="s">
        <v>44</v>
      </c>
      <c r="N160" t="s">
        <v>45</v>
      </c>
      <c r="O160" t="s">
        <v>46</v>
      </c>
      <c r="P160" s="5">
        <v>1</v>
      </c>
      <c r="Q160" s="12">
        <v>44700.797037037039</v>
      </c>
      <c r="R160" s="13">
        <v>44702</v>
      </c>
      <c r="T160" t="s">
        <v>47</v>
      </c>
      <c r="U160" t="s">
        <v>58</v>
      </c>
      <c r="V160" t="s">
        <v>76</v>
      </c>
      <c r="Y160" t="s">
        <v>557</v>
      </c>
      <c r="Z160">
        <v>75250</v>
      </c>
      <c r="AA160" t="s">
        <v>47</v>
      </c>
      <c r="AB160" t="s">
        <v>52</v>
      </c>
      <c r="AC160" t="s">
        <v>53</v>
      </c>
      <c r="AD160" s="16">
        <f>IF(P160&lt;=1,4.9,4.9+0.8*ROUNDUP(P160-1,0))</f>
        <v>4.9000000000000004</v>
      </c>
      <c r="AE160" s="15">
        <v>0</v>
      </c>
      <c r="AF160" s="15">
        <v>0</v>
      </c>
      <c r="AG160" s="15">
        <v>0</v>
      </c>
      <c r="AH160" s="15">
        <v>0</v>
      </c>
      <c r="AI160" s="15">
        <f t="shared" si="4"/>
        <v>0.29399999999999998</v>
      </c>
      <c r="AJ160" s="15">
        <f t="shared" si="5"/>
        <v>5.194</v>
      </c>
      <c r="AK160" t="s">
        <v>47</v>
      </c>
    </row>
    <row r="161" spans="1:37" ht="15" customHeight="1" x14ac:dyDescent="0.35">
      <c r="A161">
        <v>690929</v>
      </c>
      <c r="B161" t="s">
        <v>37</v>
      </c>
      <c r="C161" t="s">
        <v>38</v>
      </c>
      <c r="D161" s="9" t="s">
        <v>39</v>
      </c>
      <c r="E161" s="10" t="s">
        <v>37</v>
      </c>
      <c r="F161" s="11"/>
      <c r="G161" t="s">
        <v>558</v>
      </c>
      <c r="I161" t="s">
        <v>41</v>
      </c>
      <c r="J161" t="s">
        <v>559</v>
      </c>
      <c r="K161" t="s">
        <v>43</v>
      </c>
      <c r="L161">
        <v>2</v>
      </c>
      <c r="M161" t="s">
        <v>44</v>
      </c>
      <c r="N161" t="s">
        <v>45</v>
      </c>
      <c r="O161" t="s">
        <v>46</v>
      </c>
      <c r="P161" s="5">
        <v>1</v>
      </c>
      <c r="Q161" s="12">
        <v>44700.835497685184</v>
      </c>
      <c r="R161" s="13">
        <v>44702</v>
      </c>
      <c r="T161" t="s">
        <v>47</v>
      </c>
      <c r="U161" t="s">
        <v>58</v>
      </c>
      <c r="V161" t="s">
        <v>61</v>
      </c>
      <c r="Y161" t="s">
        <v>560</v>
      </c>
      <c r="Z161">
        <v>16700</v>
      </c>
      <c r="AA161" t="s">
        <v>47</v>
      </c>
      <c r="AB161" t="s">
        <v>58</v>
      </c>
      <c r="AC161" t="s">
        <v>53</v>
      </c>
      <c r="AD161" s="16">
        <f>IF(P161&lt;=1,4.9,4.9+0.8*ROUNDUP(P161-1,0))</f>
        <v>4.9000000000000004</v>
      </c>
      <c r="AE161" s="15">
        <v>0</v>
      </c>
      <c r="AF161" s="15">
        <v>0</v>
      </c>
      <c r="AG161" s="15">
        <v>0</v>
      </c>
      <c r="AH161" s="15">
        <v>0</v>
      </c>
      <c r="AI161" s="15">
        <f t="shared" si="4"/>
        <v>0.29399999999999998</v>
      </c>
      <c r="AJ161" s="15">
        <f t="shared" si="5"/>
        <v>5.194</v>
      </c>
      <c r="AK161" t="s">
        <v>47</v>
      </c>
    </row>
    <row r="162" spans="1:37" ht="15" customHeight="1" x14ac:dyDescent="0.35">
      <c r="A162">
        <v>690929</v>
      </c>
      <c r="B162" t="s">
        <v>37</v>
      </c>
      <c r="C162" t="s">
        <v>38</v>
      </c>
      <c r="D162" s="9" t="s">
        <v>39</v>
      </c>
      <c r="E162" s="10" t="s">
        <v>37</v>
      </c>
      <c r="F162" s="11"/>
      <c r="G162" t="s">
        <v>561</v>
      </c>
      <c r="I162" t="s">
        <v>41</v>
      </c>
      <c r="J162" t="s">
        <v>562</v>
      </c>
      <c r="K162" t="s">
        <v>43</v>
      </c>
      <c r="L162">
        <v>2</v>
      </c>
      <c r="M162" t="s">
        <v>44</v>
      </c>
      <c r="N162" t="s">
        <v>45</v>
      </c>
      <c r="O162" t="s">
        <v>46</v>
      </c>
      <c r="P162" s="5">
        <v>1</v>
      </c>
      <c r="Q162" s="12">
        <v>44700.679537037038</v>
      </c>
      <c r="R162" s="13">
        <v>44702</v>
      </c>
      <c r="T162" t="s">
        <v>47</v>
      </c>
      <c r="U162" t="s">
        <v>48</v>
      </c>
      <c r="V162" t="s">
        <v>93</v>
      </c>
      <c r="Y162" t="s">
        <v>563</v>
      </c>
      <c r="Z162">
        <v>81500</v>
      </c>
      <c r="AA162" t="s">
        <v>47</v>
      </c>
      <c r="AB162" t="s">
        <v>52</v>
      </c>
      <c r="AC162" t="s">
        <v>53</v>
      </c>
      <c r="AD162" s="16">
        <f>IF(P162&lt;=1,4.9,4.9+0.8*ROUNDUP(P162-1,0))</f>
        <v>4.9000000000000004</v>
      </c>
      <c r="AE162" s="15">
        <v>0</v>
      </c>
      <c r="AF162" s="15">
        <v>0</v>
      </c>
      <c r="AG162" s="15">
        <v>0</v>
      </c>
      <c r="AH162" s="15">
        <v>0</v>
      </c>
      <c r="AI162" s="15">
        <f t="shared" si="4"/>
        <v>0.29399999999999998</v>
      </c>
      <c r="AJ162" s="15">
        <f t="shared" si="5"/>
        <v>5.194</v>
      </c>
      <c r="AK162" t="s">
        <v>47</v>
      </c>
    </row>
    <row r="163" spans="1:37" ht="15" customHeight="1" x14ac:dyDescent="0.35">
      <c r="A163">
        <v>690929</v>
      </c>
      <c r="B163" t="s">
        <v>37</v>
      </c>
      <c r="C163" t="s">
        <v>38</v>
      </c>
      <c r="D163" s="9" t="s">
        <v>39</v>
      </c>
      <c r="E163" s="10" t="s">
        <v>37</v>
      </c>
      <c r="F163" s="11"/>
      <c r="G163" t="s">
        <v>564</v>
      </c>
      <c r="I163" t="s">
        <v>41</v>
      </c>
      <c r="J163" t="s">
        <v>565</v>
      </c>
      <c r="K163" t="s">
        <v>43</v>
      </c>
      <c r="L163">
        <v>2</v>
      </c>
      <c r="M163" t="s">
        <v>44</v>
      </c>
      <c r="N163" t="s">
        <v>45</v>
      </c>
      <c r="O163" t="s">
        <v>46</v>
      </c>
      <c r="P163" s="5">
        <v>1</v>
      </c>
      <c r="Q163" s="12">
        <v>44700.621782407405</v>
      </c>
      <c r="R163" s="13">
        <v>44702</v>
      </c>
      <c r="T163" t="s">
        <v>47</v>
      </c>
      <c r="U163" t="s">
        <v>48</v>
      </c>
      <c r="V163" t="s">
        <v>164</v>
      </c>
      <c r="Y163" t="s">
        <v>566</v>
      </c>
      <c r="Z163">
        <v>31200</v>
      </c>
      <c r="AA163" t="s">
        <v>47</v>
      </c>
      <c r="AB163" t="s">
        <v>52</v>
      </c>
      <c r="AC163" t="s">
        <v>53</v>
      </c>
      <c r="AD163" s="16">
        <f>IF(P163&lt;=1,4.9,4.9+0.8*ROUNDUP(P163-1,0))</f>
        <v>4.9000000000000004</v>
      </c>
      <c r="AE163" s="15">
        <v>0</v>
      </c>
      <c r="AF163" s="15">
        <v>0</v>
      </c>
      <c r="AG163" s="15">
        <v>0</v>
      </c>
      <c r="AH163" s="15">
        <v>0</v>
      </c>
      <c r="AI163" s="15">
        <f t="shared" si="4"/>
        <v>0.29399999999999998</v>
      </c>
      <c r="AJ163" s="15">
        <f t="shared" si="5"/>
        <v>5.194</v>
      </c>
      <c r="AK163" t="s">
        <v>47</v>
      </c>
    </row>
    <row r="164" spans="1:37" ht="15" customHeight="1" x14ac:dyDescent="0.35">
      <c r="A164">
        <v>690929</v>
      </c>
      <c r="B164" t="s">
        <v>37</v>
      </c>
      <c r="C164" t="s">
        <v>38</v>
      </c>
      <c r="D164" s="9" t="s">
        <v>39</v>
      </c>
      <c r="E164" s="10" t="s">
        <v>37</v>
      </c>
      <c r="F164" s="11"/>
      <c r="G164" t="s">
        <v>567</v>
      </c>
      <c r="I164" t="s">
        <v>41</v>
      </c>
      <c r="J164" t="s">
        <v>568</v>
      </c>
      <c r="K164" t="s">
        <v>43</v>
      </c>
      <c r="L164">
        <v>2</v>
      </c>
      <c r="M164" t="s">
        <v>44</v>
      </c>
      <c r="N164" t="s">
        <v>45</v>
      </c>
      <c r="O164" t="s">
        <v>46</v>
      </c>
      <c r="P164" s="5">
        <v>1</v>
      </c>
      <c r="Q164" s="12">
        <v>44700.727175925924</v>
      </c>
      <c r="R164" s="13">
        <v>44702</v>
      </c>
      <c r="T164" t="s">
        <v>47</v>
      </c>
      <c r="U164" t="s">
        <v>58</v>
      </c>
      <c r="V164" t="s">
        <v>70</v>
      </c>
      <c r="Y164" t="s">
        <v>569</v>
      </c>
      <c r="Z164">
        <v>47160</v>
      </c>
      <c r="AA164" t="s">
        <v>47</v>
      </c>
      <c r="AB164" t="s">
        <v>52</v>
      </c>
      <c r="AC164" t="s">
        <v>53</v>
      </c>
      <c r="AD164" s="16">
        <f>IF(P164&lt;=1,4.9,4.9+0.8*ROUNDUP(P164-1,0))</f>
        <v>4.9000000000000004</v>
      </c>
      <c r="AE164" s="15">
        <v>0</v>
      </c>
      <c r="AF164" s="15">
        <v>0</v>
      </c>
      <c r="AG164" s="15">
        <v>0</v>
      </c>
      <c r="AH164" s="15">
        <v>0</v>
      </c>
      <c r="AI164" s="15">
        <f t="shared" si="4"/>
        <v>0.29399999999999998</v>
      </c>
      <c r="AJ164" s="15">
        <f t="shared" si="5"/>
        <v>5.194</v>
      </c>
      <c r="AK164" t="s">
        <v>47</v>
      </c>
    </row>
    <row r="165" spans="1:37" ht="15" customHeight="1" x14ac:dyDescent="0.35">
      <c r="A165">
        <v>690929</v>
      </c>
      <c r="B165" t="s">
        <v>37</v>
      </c>
      <c r="C165" t="s">
        <v>38</v>
      </c>
      <c r="D165" s="9" t="s">
        <v>39</v>
      </c>
      <c r="E165" s="10" t="s">
        <v>37</v>
      </c>
      <c r="F165" s="11"/>
      <c r="G165" t="s">
        <v>570</v>
      </c>
      <c r="I165" t="s">
        <v>41</v>
      </c>
      <c r="J165" t="s">
        <v>571</v>
      </c>
      <c r="K165" t="s">
        <v>43</v>
      </c>
      <c r="L165">
        <v>2</v>
      </c>
      <c r="M165" t="s">
        <v>44</v>
      </c>
      <c r="N165" t="s">
        <v>45</v>
      </c>
      <c r="O165" t="s">
        <v>46</v>
      </c>
      <c r="P165" s="5">
        <v>1</v>
      </c>
      <c r="Q165" s="12">
        <v>44700.626238425924</v>
      </c>
      <c r="R165" s="13">
        <v>44702</v>
      </c>
      <c r="T165" t="s">
        <v>47</v>
      </c>
      <c r="U165" t="s">
        <v>48</v>
      </c>
      <c r="V165" t="s">
        <v>93</v>
      </c>
      <c r="Y165" t="s">
        <v>572</v>
      </c>
      <c r="Z165">
        <v>84600</v>
      </c>
      <c r="AA165" t="s">
        <v>47</v>
      </c>
      <c r="AB165" t="s">
        <v>52</v>
      </c>
      <c r="AC165" t="s">
        <v>53</v>
      </c>
      <c r="AD165" s="16">
        <f>IF(P165&lt;=1,4.9,4.9+0.8*ROUNDUP(P165-1,0))</f>
        <v>4.9000000000000004</v>
      </c>
      <c r="AE165" s="15">
        <v>0</v>
      </c>
      <c r="AF165" s="15">
        <v>0</v>
      </c>
      <c r="AG165" s="15">
        <v>0</v>
      </c>
      <c r="AH165" s="15">
        <v>0</v>
      </c>
      <c r="AI165" s="15">
        <f t="shared" si="4"/>
        <v>0.29399999999999998</v>
      </c>
      <c r="AJ165" s="15">
        <f t="shared" si="5"/>
        <v>5.194</v>
      </c>
      <c r="AK165" t="s">
        <v>47</v>
      </c>
    </row>
    <row r="166" spans="1:37" ht="15" customHeight="1" x14ac:dyDescent="0.35">
      <c r="A166">
        <v>690929</v>
      </c>
      <c r="B166" t="s">
        <v>37</v>
      </c>
      <c r="C166" t="s">
        <v>38</v>
      </c>
      <c r="D166" s="9" t="s">
        <v>39</v>
      </c>
      <c r="E166" s="10" t="s">
        <v>37</v>
      </c>
      <c r="F166" s="11"/>
      <c r="G166" t="s">
        <v>573</v>
      </c>
      <c r="I166" t="s">
        <v>41</v>
      </c>
      <c r="J166" t="s">
        <v>574</v>
      </c>
      <c r="K166" t="s">
        <v>43</v>
      </c>
      <c r="L166">
        <v>2</v>
      </c>
      <c r="M166" t="s">
        <v>44</v>
      </c>
      <c r="N166" t="s">
        <v>45</v>
      </c>
      <c r="O166" t="s">
        <v>46</v>
      </c>
      <c r="P166" s="5">
        <v>1</v>
      </c>
      <c r="Q166" s="12">
        <v>44700.619479166664</v>
      </c>
      <c r="R166" s="13">
        <v>44702</v>
      </c>
      <c r="T166" t="s">
        <v>47</v>
      </c>
      <c r="U166" t="s">
        <v>48</v>
      </c>
      <c r="V166" t="s">
        <v>122</v>
      </c>
      <c r="Y166" t="s">
        <v>575</v>
      </c>
      <c r="Z166">
        <v>8000</v>
      </c>
      <c r="AA166" t="s">
        <v>47</v>
      </c>
      <c r="AB166" t="s">
        <v>52</v>
      </c>
      <c r="AC166" t="s">
        <v>53</v>
      </c>
      <c r="AD166" s="16">
        <f>IF(P166&lt;=1,4.9,4.9+0.8*ROUNDUP(P166-1,0))</f>
        <v>4.9000000000000004</v>
      </c>
      <c r="AE166" s="15">
        <v>0</v>
      </c>
      <c r="AF166" s="15">
        <v>0</v>
      </c>
      <c r="AG166" s="15">
        <v>0</v>
      </c>
      <c r="AH166" s="15">
        <v>0</v>
      </c>
      <c r="AI166" s="15">
        <f t="shared" si="4"/>
        <v>0.29399999999999998</v>
      </c>
      <c r="AJ166" s="15">
        <f t="shared" si="5"/>
        <v>5.194</v>
      </c>
      <c r="AK166" t="s">
        <v>47</v>
      </c>
    </row>
    <row r="167" spans="1:37" ht="15" customHeight="1" x14ac:dyDescent="0.35">
      <c r="A167">
        <v>690929</v>
      </c>
      <c r="B167" t="s">
        <v>37</v>
      </c>
      <c r="C167" t="s">
        <v>38</v>
      </c>
      <c r="D167" s="9" t="s">
        <v>39</v>
      </c>
      <c r="E167" s="10" t="s">
        <v>37</v>
      </c>
      <c r="F167" s="11"/>
      <c r="G167" t="s">
        <v>576</v>
      </c>
      <c r="I167" t="s">
        <v>41</v>
      </c>
      <c r="J167" t="s">
        <v>577</v>
      </c>
      <c r="K167" t="s">
        <v>43</v>
      </c>
      <c r="L167">
        <v>2</v>
      </c>
      <c r="M167" t="s">
        <v>44</v>
      </c>
      <c r="N167" t="s">
        <v>45</v>
      </c>
      <c r="O167" t="s">
        <v>92</v>
      </c>
      <c r="P167" s="5">
        <v>2</v>
      </c>
      <c r="Q167" s="12">
        <v>44700.720462962963</v>
      </c>
      <c r="R167" s="13">
        <v>44702</v>
      </c>
      <c r="T167" t="s">
        <v>47</v>
      </c>
      <c r="U167" t="s">
        <v>58</v>
      </c>
      <c r="V167" t="s">
        <v>56</v>
      </c>
      <c r="Y167" t="s">
        <v>578</v>
      </c>
      <c r="Z167">
        <v>26500</v>
      </c>
      <c r="AA167" t="s">
        <v>47</v>
      </c>
      <c r="AB167" t="s">
        <v>579</v>
      </c>
      <c r="AC167" t="s">
        <v>53</v>
      </c>
      <c r="AD167" s="16">
        <f>IF(P167&lt;=1,4.9,4.9+0.8*ROUNDUP(P167-1,0))</f>
        <v>5.7</v>
      </c>
      <c r="AE167" s="15">
        <v>0</v>
      </c>
      <c r="AF167" s="15">
        <v>0</v>
      </c>
      <c r="AG167" s="15">
        <v>0</v>
      </c>
      <c r="AH167" s="15">
        <v>0</v>
      </c>
      <c r="AI167" s="15">
        <f t="shared" si="4"/>
        <v>0.34199999999999997</v>
      </c>
      <c r="AJ167" s="15">
        <f t="shared" si="5"/>
        <v>6.0419999999999998</v>
      </c>
      <c r="AK167" t="s">
        <v>47</v>
      </c>
    </row>
    <row r="168" spans="1:37" ht="15" customHeight="1" x14ac:dyDescent="0.35">
      <c r="A168">
        <v>690929</v>
      </c>
      <c r="B168" t="s">
        <v>37</v>
      </c>
      <c r="C168" t="s">
        <v>38</v>
      </c>
      <c r="D168" s="9" t="s">
        <v>39</v>
      </c>
      <c r="E168" s="10" t="s">
        <v>37</v>
      </c>
      <c r="F168" s="11"/>
      <c r="G168" t="s">
        <v>580</v>
      </c>
      <c r="I168" t="s">
        <v>41</v>
      </c>
      <c r="J168" t="s">
        <v>581</v>
      </c>
      <c r="K168" t="s">
        <v>43</v>
      </c>
      <c r="L168">
        <v>2</v>
      </c>
      <c r="M168" t="s">
        <v>44</v>
      </c>
      <c r="N168" t="s">
        <v>45</v>
      </c>
      <c r="O168" t="s">
        <v>46</v>
      </c>
      <c r="P168" s="5">
        <v>1</v>
      </c>
      <c r="Q168" s="12">
        <v>44700.614027777781</v>
      </c>
      <c r="R168" s="13">
        <v>44702</v>
      </c>
      <c r="T168" t="s">
        <v>47</v>
      </c>
      <c r="U168" t="s">
        <v>48</v>
      </c>
      <c r="V168" t="s">
        <v>70</v>
      </c>
      <c r="Y168" t="s">
        <v>582</v>
      </c>
      <c r="Z168">
        <v>47130</v>
      </c>
      <c r="AA168" t="s">
        <v>47</v>
      </c>
      <c r="AB168" t="s">
        <v>58</v>
      </c>
      <c r="AC168" t="s">
        <v>53</v>
      </c>
      <c r="AD168" s="16">
        <f>IF(P168&lt;=1,4.9,4.9+0.8*ROUNDUP(P168-1,0))</f>
        <v>4.9000000000000004</v>
      </c>
      <c r="AE168" s="15">
        <v>0</v>
      </c>
      <c r="AF168" s="15">
        <v>0</v>
      </c>
      <c r="AG168" s="15">
        <v>0</v>
      </c>
      <c r="AH168" s="15">
        <v>0</v>
      </c>
      <c r="AI168" s="15">
        <f t="shared" si="4"/>
        <v>0.29399999999999998</v>
      </c>
      <c r="AJ168" s="15">
        <f t="shared" si="5"/>
        <v>5.194</v>
      </c>
      <c r="AK168" t="s">
        <v>47</v>
      </c>
    </row>
    <row r="169" spans="1:37" ht="15" customHeight="1" x14ac:dyDescent="0.35">
      <c r="A169">
        <v>690929</v>
      </c>
      <c r="B169" t="s">
        <v>37</v>
      </c>
      <c r="C169" t="s">
        <v>38</v>
      </c>
      <c r="D169" s="9" t="s">
        <v>39</v>
      </c>
      <c r="E169" s="10" t="s">
        <v>37</v>
      </c>
      <c r="F169" s="11"/>
      <c r="G169" t="s">
        <v>583</v>
      </c>
      <c r="I169" t="s">
        <v>41</v>
      </c>
      <c r="J169" t="s">
        <v>584</v>
      </c>
      <c r="K169" t="s">
        <v>43</v>
      </c>
      <c r="L169">
        <v>2</v>
      </c>
      <c r="M169" t="s">
        <v>44</v>
      </c>
      <c r="N169" t="s">
        <v>45</v>
      </c>
      <c r="O169" t="s">
        <v>46</v>
      </c>
      <c r="P169" s="5">
        <v>1</v>
      </c>
      <c r="Q169" s="12">
        <v>44700.741365740738</v>
      </c>
      <c r="R169" s="13">
        <v>44702</v>
      </c>
      <c r="T169" t="s">
        <v>47</v>
      </c>
      <c r="U169" t="s">
        <v>58</v>
      </c>
      <c r="V169" t="s">
        <v>110</v>
      </c>
      <c r="Y169" t="s">
        <v>585</v>
      </c>
      <c r="Z169">
        <v>22030</v>
      </c>
      <c r="AA169" t="s">
        <v>47</v>
      </c>
      <c r="AB169" t="s">
        <v>58</v>
      </c>
      <c r="AC169" t="s">
        <v>53</v>
      </c>
      <c r="AD169" s="16">
        <f>IF(P169&lt;=1,4.9,4.9+0.8*ROUNDUP(P169-1,0))</f>
        <v>4.9000000000000004</v>
      </c>
      <c r="AE169" s="15">
        <v>0</v>
      </c>
      <c r="AF169" s="15">
        <v>0</v>
      </c>
      <c r="AG169" s="15">
        <v>0</v>
      </c>
      <c r="AH169" s="15">
        <v>0</v>
      </c>
      <c r="AI169" s="15">
        <f t="shared" si="4"/>
        <v>0.29399999999999998</v>
      </c>
      <c r="AJ169" s="15">
        <f t="shared" si="5"/>
        <v>5.194</v>
      </c>
      <c r="AK169" t="s">
        <v>47</v>
      </c>
    </row>
    <row r="170" spans="1:37" ht="15" customHeight="1" x14ac:dyDescent="0.35">
      <c r="A170">
        <v>690929</v>
      </c>
      <c r="B170" t="s">
        <v>37</v>
      </c>
      <c r="C170" t="s">
        <v>38</v>
      </c>
      <c r="D170" s="9" t="s">
        <v>39</v>
      </c>
      <c r="E170" s="10" t="s">
        <v>37</v>
      </c>
      <c r="F170" s="11"/>
      <c r="G170" t="s">
        <v>586</v>
      </c>
      <c r="I170" t="s">
        <v>41</v>
      </c>
      <c r="J170" t="s">
        <v>587</v>
      </c>
      <c r="K170" t="s">
        <v>43</v>
      </c>
      <c r="L170">
        <v>2</v>
      </c>
      <c r="M170" t="s">
        <v>44</v>
      </c>
      <c r="N170" t="s">
        <v>45</v>
      </c>
      <c r="O170" t="s">
        <v>46</v>
      </c>
      <c r="P170" s="5">
        <v>13</v>
      </c>
      <c r="Q170" s="12">
        <v>44697.511111111111</v>
      </c>
      <c r="R170" s="13">
        <v>44702</v>
      </c>
      <c r="T170" t="s">
        <v>47</v>
      </c>
      <c r="U170" t="s">
        <v>48</v>
      </c>
      <c r="V170" t="s">
        <v>122</v>
      </c>
      <c r="Y170" t="s">
        <v>588</v>
      </c>
      <c r="Z170">
        <v>7000</v>
      </c>
      <c r="AA170" t="s">
        <v>47</v>
      </c>
      <c r="AB170" t="s">
        <v>52</v>
      </c>
      <c r="AC170" t="s">
        <v>53</v>
      </c>
      <c r="AD170" s="16">
        <f>IF(P170&lt;=1,4.9,4.9+0.8*ROUNDUP(P170-1,0))</f>
        <v>14.500000000000002</v>
      </c>
      <c r="AE170" s="15">
        <v>0</v>
      </c>
      <c r="AF170" s="15">
        <v>0</v>
      </c>
      <c r="AG170" s="15">
        <v>0</v>
      </c>
      <c r="AH170" s="15">
        <v>0</v>
      </c>
      <c r="AI170" s="15">
        <f t="shared" si="4"/>
        <v>0.87000000000000011</v>
      </c>
      <c r="AJ170" s="15">
        <f t="shared" si="5"/>
        <v>15.370000000000001</v>
      </c>
      <c r="AK170" t="s">
        <v>47</v>
      </c>
    </row>
    <row r="171" spans="1:37" ht="15" customHeight="1" x14ac:dyDescent="0.35">
      <c r="A171">
        <v>690929</v>
      </c>
      <c r="B171" t="s">
        <v>37</v>
      </c>
      <c r="C171" t="s">
        <v>38</v>
      </c>
      <c r="D171" s="9" t="s">
        <v>39</v>
      </c>
      <c r="E171" s="10" t="s">
        <v>37</v>
      </c>
      <c r="F171" s="11"/>
      <c r="G171" t="s">
        <v>589</v>
      </c>
      <c r="I171" t="s">
        <v>41</v>
      </c>
      <c r="J171" t="s">
        <v>590</v>
      </c>
      <c r="K171" t="s">
        <v>43</v>
      </c>
      <c r="L171">
        <v>2</v>
      </c>
      <c r="M171" t="s">
        <v>44</v>
      </c>
      <c r="N171" t="s">
        <v>45</v>
      </c>
      <c r="O171" t="s">
        <v>46</v>
      </c>
      <c r="P171" s="5">
        <v>1</v>
      </c>
      <c r="Q171" s="12">
        <v>44700.818425925929</v>
      </c>
      <c r="R171" s="13">
        <v>44702</v>
      </c>
      <c r="T171" t="s">
        <v>47</v>
      </c>
      <c r="U171" t="s">
        <v>58</v>
      </c>
      <c r="V171" t="s">
        <v>70</v>
      </c>
      <c r="Y171" t="s">
        <v>591</v>
      </c>
      <c r="Z171">
        <v>54200</v>
      </c>
      <c r="AA171" t="s">
        <v>47</v>
      </c>
      <c r="AB171" t="s">
        <v>592</v>
      </c>
      <c r="AC171" t="s">
        <v>53</v>
      </c>
      <c r="AD171" s="16">
        <f>IF(P171&lt;=1,4.9,4.9+0.8*ROUNDUP(P171-1,0))</f>
        <v>4.9000000000000004</v>
      </c>
      <c r="AE171" s="15">
        <v>0</v>
      </c>
      <c r="AF171" s="15">
        <v>0</v>
      </c>
      <c r="AG171" s="15">
        <v>0</v>
      </c>
      <c r="AH171" s="15">
        <v>0</v>
      </c>
      <c r="AI171" s="15">
        <f t="shared" si="4"/>
        <v>0.29399999999999998</v>
      </c>
      <c r="AJ171" s="15">
        <f t="shared" si="5"/>
        <v>5.194</v>
      </c>
      <c r="AK171" t="s">
        <v>47</v>
      </c>
    </row>
    <row r="172" spans="1:37" ht="15" customHeight="1" x14ac:dyDescent="0.35">
      <c r="A172">
        <v>690929</v>
      </c>
      <c r="B172" t="s">
        <v>37</v>
      </c>
      <c r="C172" t="s">
        <v>38</v>
      </c>
      <c r="D172" s="9" t="s">
        <v>39</v>
      </c>
      <c r="E172" s="10" t="s">
        <v>37</v>
      </c>
      <c r="F172" s="11"/>
      <c r="G172" t="s">
        <v>593</v>
      </c>
      <c r="I172" t="s">
        <v>41</v>
      </c>
      <c r="J172" t="s">
        <v>594</v>
      </c>
      <c r="K172" t="s">
        <v>43</v>
      </c>
      <c r="L172">
        <v>2</v>
      </c>
      <c r="M172" t="s">
        <v>44</v>
      </c>
      <c r="N172" t="s">
        <v>45</v>
      </c>
      <c r="O172" t="s">
        <v>46</v>
      </c>
      <c r="P172" s="5">
        <v>1</v>
      </c>
      <c r="Q172" s="12">
        <v>44700.737453703703</v>
      </c>
      <c r="R172" s="13">
        <v>44702</v>
      </c>
      <c r="T172" t="s">
        <v>47</v>
      </c>
      <c r="U172" t="s">
        <v>58</v>
      </c>
      <c r="V172" t="s">
        <v>70</v>
      </c>
      <c r="Y172" t="s">
        <v>595</v>
      </c>
      <c r="Z172">
        <v>43000</v>
      </c>
      <c r="AA172" t="s">
        <v>47</v>
      </c>
      <c r="AB172" t="s">
        <v>592</v>
      </c>
      <c r="AC172" t="s">
        <v>53</v>
      </c>
      <c r="AD172" s="16">
        <f>IF(P172&lt;=1,4.9,4.9+0.8*ROUNDUP(P172-1,0))</f>
        <v>4.9000000000000004</v>
      </c>
      <c r="AE172" s="15">
        <v>0</v>
      </c>
      <c r="AF172" s="15">
        <v>0</v>
      </c>
      <c r="AG172" s="15">
        <v>0</v>
      </c>
      <c r="AH172" s="15">
        <v>0</v>
      </c>
      <c r="AI172" s="15">
        <f t="shared" si="4"/>
        <v>0.29399999999999998</v>
      </c>
      <c r="AJ172" s="15">
        <f t="shared" si="5"/>
        <v>5.194</v>
      </c>
      <c r="AK172" t="s">
        <v>47</v>
      </c>
    </row>
    <row r="173" spans="1:37" ht="15" customHeight="1" x14ac:dyDescent="0.35">
      <c r="A173">
        <v>690929</v>
      </c>
      <c r="B173" t="s">
        <v>37</v>
      </c>
      <c r="C173" t="s">
        <v>38</v>
      </c>
      <c r="D173" s="9" t="s">
        <v>39</v>
      </c>
      <c r="E173" s="10" t="s">
        <v>37</v>
      </c>
      <c r="F173" s="11"/>
      <c r="G173" t="s">
        <v>596</v>
      </c>
      <c r="I173" t="s">
        <v>41</v>
      </c>
      <c r="J173" t="s">
        <v>597</v>
      </c>
      <c r="K173" t="s">
        <v>43</v>
      </c>
      <c r="L173">
        <v>2</v>
      </c>
      <c r="M173" t="s">
        <v>44</v>
      </c>
      <c r="N173" t="s">
        <v>45</v>
      </c>
      <c r="O173" t="s">
        <v>46</v>
      </c>
      <c r="P173" s="5">
        <v>1</v>
      </c>
      <c r="Q173" s="12">
        <v>44700.820601851854</v>
      </c>
      <c r="R173" s="13">
        <v>44702</v>
      </c>
      <c r="T173" t="s">
        <v>47</v>
      </c>
      <c r="U173" t="s">
        <v>58</v>
      </c>
      <c r="V173" t="s">
        <v>110</v>
      </c>
      <c r="Y173" t="s">
        <v>598</v>
      </c>
      <c r="Z173">
        <v>22020</v>
      </c>
      <c r="AA173" t="s">
        <v>47</v>
      </c>
      <c r="AB173" t="s">
        <v>58</v>
      </c>
      <c r="AC173" t="s">
        <v>53</v>
      </c>
      <c r="AD173" s="16">
        <f>IF(P173&lt;=1,4.9,4.9+0.8*ROUNDUP(P173-1,0))</f>
        <v>4.9000000000000004</v>
      </c>
      <c r="AE173" s="15">
        <v>0</v>
      </c>
      <c r="AF173" s="15">
        <v>0</v>
      </c>
      <c r="AG173" s="15">
        <v>0</v>
      </c>
      <c r="AH173" s="15">
        <v>0</v>
      </c>
      <c r="AI173" s="15">
        <f t="shared" si="4"/>
        <v>0.29399999999999998</v>
      </c>
      <c r="AJ173" s="15">
        <f t="shared" si="5"/>
        <v>5.194</v>
      </c>
      <c r="AK173" t="s">
        <v>47</v>
      </c>
    </row>
    <row r="174" spans="1:37" ht="15" customHeight="1" x14ac:dyDescent="0.35">
      <c r="A174">
        <v>690929</v>
      </c>
      <c r="B174" t="s">
        <v>37</v>
      </c>
      <c r="C174" t="s">
        <v>38</v>
      </c>
      <c r="D174" s="9" t="s">
        <v>39</v>
      </c>
      <c r="E174" s="10" t="s">
        <v>37</v>
      </c>
      <c r="F174" s="11"/>
      <c r="G174" t="s">
        <v>599</v>
      </c>
      <c r="I174" t="s">
        <v>41</v>
      </c>
      <c r="J174" t="s">
        <v>600</v>
      </c>
      <c r="K174" t="s">
        <v>43</v>
      </c>
      <c r="L174">
        <v>2</v>
      </c>
      <c r="M174" t="s">
        <v>44</v>
      </c>
      <c r="N174" t="s">
        <v>45</v>
      </c>
      <c r="O174" t="s">
        <v>46</v>
      </c>
      <c r="P174" s="5">
        <v>1</v>
      </c>
      <c r="Q174" s="12">
        <v>44700.751018518517</v>
      </c>
      <c r="R174" s="13">
        <v>44702</v>
      </c>
      <c r="T174" t="s">
        <v>47</v>
      </c>
      <c r="U174" t="s">
        <v>58</v>
      </c>
      <c r="V174" t="s">
        <v>110</v>
      </c>
      <c r="Y174" t="s">
        <v>601</v>
      </c>
      <c r="Z174">
        <v>22010</v>
      </c>
      <c r="AA174" t="s">
        <v>47</v>
      </c>
      <c r="AB174" t="s">
        <v>58</v>
      </c>
      <c r="AC174" t="s">
        <v>53</v>
      </c>
      <c r="AD174" s="16">
        <f>IF(P174&lt;=1,4.9,4.9+0.8*ROUNDUP(P174-1,0))</f>
        <v>4.9000000000000004</v>
      </c>
      <c r="AE174" s="15">
        <v>0</v>
      </c>
      <c r="AF174" s="15">
        <v>0</v>
      </c>
      <c r="AG174" s="15">
        <v>0</v>
      </c>
      <c r="AH174" s="15">
        <v>0</v>
      </c>
      <c r="AI174" s="15">
        <f t="shared" si="4"/>
        <v>0.29399999999999998</v>
      </c>
      <c r="AJ174" s="15">
        <f t="shared" si="5"/>
        <v>5.194</v>
      </c>
      <c r="AK174" t="s">
        <v>47</v>
      </c>
    </row>
    <row r="175" spans="1:37" ht="15" customHeight="1" x14ac:dyDescent="0.35">
      <c r="A175">
        <v>690929</v>
      </c>
      <c r="B175" t="s">
        <v>37</v>
      </c>
      <c r="C175" t="s">
        <v>38</v>
      </c>
      <c r="D175" s="9" t="s">
        <v>39</v>
      </c>
      <c r="E175" s="10" t="s">
        <v>37</v>
      </c>
      <c r="F175" s="11"/>
      <c r="G175" t="s">
        <v>602</v>
      </c>
      <c r="I175" t="s">
        <v>41</v>
      </c>
      <c r="J175" t="s">
        <v>603</v>
      </c>
      <c r="K175" t="s">
        <v>43</v>
      </c>
      <c r="L175">
        <v>2</v>
      </c>
      <c r="M175" t="s">
        <v>44</v>
      </c>
      <c r="N175" t="s">
        <v>45</v>
      </c>
      <c r="O175" t="s">
        <v>46</v>
      </c>
      <c r="P175" s="5">
        <v>1</v>
      </c>
      <c r="Q175" s="12">
        <v>44700.743009259262</v>
      </c>
      <c r="R175" s="13">
        <v>44702</v>
      </c>
      <c r="T175" t="s">
        <v>47</v>
      </c>
      <c r="U175" t="s">
        <v>58</v>
      </c>
      <c r="V175" t="s">
        <v>110</v>
      </c>
      <c r="Y175" t="s">
        <v>604</v>
      </c>
      <c r="Z175">
        <v>23100</v>
      </c>
      <c r="AA175" t="s">
        <v>47</v>
      </c>
      <c r="AB175" t="s">
        <v>58</v>
      </c>
      <c r="AC175" t="s">
        <v>53</v>
      </c>
      <c r="AD175" s="16">
        <f>IF(P175&lt;=1,4.9,4.9+0.8*ROUNDUP(P175-1,0))</f>
        <v>4.9000000000000004</v>
      </c>
      <c r="AE175" s="15">
        <v>0</v>
      </c>
      <c r="AF175" s="15">
        <v>0</v>
      </c>
      <c r="AG175" s="15">
        <v>0</v>
      </c>
      <c r="AH175" s="15">
        <v>0</v>
      </c>
      <c r="AI175" s="15">
        <f t="shared" si="4"/>
        <v>0.29399999999999998</v>
      </c>
      <c r="AJ175" s="15">
        <f t="shared" si="5"/>
        <v>5.194</v>
      </c>
      <c r="AK175" t="s">
        <v>47</v>
      </c>
    </row>
    <row r="176" spans="1:37" ht="15" customHeight="1" x14ac:dyDescent="0.35">
      <c r="A176">
        <v>690929</v>
      </c>
      <c r="B176" t="s">
        <v>37</v>
      </c>
      <c r="C176" t="s">
        <v>38</v>
      </c>
      <c r="D176" s="9" t="s">
        <v>39</v>
      </c>
      <c r="E176" s="10" t="s">
        <v>37</v>
      </c>
      <c r="F176" s="11"/>
      <c r="G176" t="s">
        <v>605</v>
      </c>
      <c r="I176" t="s">
        <v>41</v>
      </c>
      <c r="J176" t="s">
        <v>606</v>
      </c>
      <c r="K176" t="s">
        <v>43</v>
      </c>
      <c r="L176">
        <v>2</v>
      </c>
      <c r="M176" t="s">
        <v>44</v>
      </c>
      <c r="N176" t="s">
        <v>45</v>
      </c>
      <c r="O176" t="s">
        <v>46</v>
      </c>
      <c r="P176" s="5">
        <v>1</v>
      </c>
      <c r="Q176" s="12">
        <v>44700.618391203701</v>
      </c>
      <c r="R176" s="13">
        <v>44702</v>
      </c>
      <c r="T176" t="s">
        <v>47</v>
      </c>
      <c r="U176" t="s">
        <v>48</v>
      </c>
      <c r="V176" t="s">
        <v>110</v>
      </c>
      <c r="Y176" t="s">
        <v>607</v>
      </c>
      <c r="Z176">
        <v>24000</v>
      </c>
      <c r="AA176" t="s">
        <v>47</v>
      </c>
      <c r="AB176" t="s">
        <v>58</v>
      </c>
      <c r="AC176" t="s">
        <v>53</v>
      </c>
      <c r="AD176" s="16">
        <f>IF(P176&lt;=1,4.9,4.9+0.8*ROUNDUP(P176-1,0))</f>
        <v>4.9000000000000004</v>
      </c>
      <c r="AE176" s="15">
        <v>0</v>
      </c>
      <c r="AF176" s="15">
        <v>0</v>
      </c>
      <c r="AG176" s="15">
        <v>0</v>
      </c>
      <c r="AH176" s="15">
        <v>0</v>
      </c>
      <c r="AI176" s="15">
        <f t="shared" si="4"/>
        <v>0.29399999999999998</v>
      </c>
      <c r="AJ176" s="15">
        <f t="shared" si="5"/>
        <v>5.194</v>
      </c>
      <c r="AK176" t="s">
        <v>47</v>
      </c>
    </row>
    <row r="177" spans="1:37" ht="15" customHeight="1" x14ac:dyDescent="0.35">
      <c r="A177">
        <v>690929</v>
      </c>
      <c r="B177" t="s">
        <v>37</v>
      </c>
      <c r="C177" t="s">
        <v>38</v>
      </c>
      <c r="D177" s="9" t="s">
        <v>39</v>
      </c>
      <c r="E177" s="10" t="s">
        <v>37</v>
      </c>
      <c r="F177" s="11"/>
      <c r="G177" t="s">
        <v>608</v>
      </c>
      <c r="I177" t="s">
        <v>41</v>
      </c>
      <c r="J177" t="s">
        <v>609</v>
      </c>
      <c r="K177" t="s">
        <v>43</v>
      </c>
      <c r="L177">
        <v>2</v>
      </c>
      <c r="M177" t="s">
        <v>44</v>
      </c>
      <c r="N177" t="s">
        <v>45</v>
      </c>
      <c r="O177" t="s">
        <v>46</v>
      </c>
      <c r="P177" s="5">
        <v>1</v>
      </c>
      <c r="Q177" s="12">
        <v>44700.698946759258</v>
      </c>
      <c r="R177" s="13">
        <v>44702</v>
      </c>
      <c r="T177" t="s">
        <v>47</v>
      </c>
      <c r="U177" t="s">
        <v>58</v>
      </c>
      <c r="V177" t="s">
        <v>88</v>
      </c>
      <c r="Y177" t="s">
        <v>610</v>
      </c>
      <c r="Z177">
        <v>56000</v>
      </c>
      <c r="AA177" t="s">
        <v>47</v>
      </c>
      <c r="AB177" t="s">
        <v>52</v>
      </c>
      <c r="AC177" t="s">
        <v>53</v>
      </c>
      <c r="AD177" s="16">
        <f>IF(P177&lt;=1,4.9,4.9+0.8*ROUNDUP(P177-1,0))</f>
        <v>4.9000000000000004</v>
      </c>
      <c r="AE177" s="15">
        <v>0</v>
      </c>
      <c r="AF177" s="15">
        <v>0</v>
      </c>
      <c r="AG177" s="15">
        <v>0</v>
      </c>
      <c r="AH177" s="15">
        <v>0</v>
      </c>
      <c r="AI177" s="15">
        <f t="shared" si="4"/>
        <v>0.29399999999999998</v>
      </c>
      <c r="AJ177" s="15">
        <f t="shared" si="5"/>
        <v>5.194</v>
      </c>
      <c r="AK177" t="s">
        <v>47</v>
      </c>
    </row>
    <row r="178" spans="1:37" ht="15" customHeight="1" x14ac:dyDescent="0.35">
      <c r="A178">
        <v>690929</v>
      </c>
      <c r="B178" t="s">
        <v>37</v>
      </c>
      <c r="C178" t="s">
        <v>38</v>
      </c>
      <c r="D178" s="9" t="s">
        <v>39</v>
      </c>
      <c r="E178" s="10" t="s">
        <v>37</v>
      </c>
      <c r="F178" s="11"/>
      <c r="G178" t="s">
        <v>611</v>
      </c>
      <c r="I178" t="s">
        <v>41</v>
      </c>
      <c r="J178" t="s">
        <v>612</v>
      </c>
      <c r="K178" t="s">
        <v>43</v>
      </c>
      <c r="L178">
        <v>2</v>
      </c>
      <c r="M178" t="s">
        <v>44</v>
      </c>
      <c r="N178" t="s">
        <v>45</v>
      </c>
      <c r="O178" t="s">
        <v>46</v>
      </c>
      <c r="P178" s="5">
        <v>1</v>
      </c>
      <c r="Q178" s="12">
        <v>44700.62771990741</v>
      </c>
      <c r="R178" s="13">
        <v>44702</v>
      </c>
      <c r="T178" t="s">
        <v>47</v>
      </c>
      <c r="U178" t="s">
        <v>48</v>
      </c>
      <c r="V178" t="s">
        <v>93</v>
      </c>
      <c r="Y178" t="s">
        <v>613</v>
      </c>
      <c r="Z178">
        <v>81400</v>
      </c>
      <c r="AA178" t="s">
        <v>47</v>
      </c>
      <c r="AB178" t="s">
        <v>52</v>
      </c>
      <c r="AC178" t="s">
        <v>53</v>
      </c>
      <c r="AD178" s="16">
        <f>IF(P178&lt;=1,4.9,4.9+0.8*ROUNDUP(P178-1,0))</f>
        <v>4.9000000000000004</v>
      </c>
      <c r="AE178" s="15">
        <v>0</v>
      </c>
      <c r="AF178" s="15">
        <v>0</v>
      </c>
      <c r="AG178" s="15">
        <v>0</v>
      </c>
      <c r="AH178" s="15">
        <v>0</v>
      </c>
      <c r="AI178" s="15">
        <f t="shared" si="4"/>
        <v>0.29399999999999998</v>
      </c>
      <c r="AJ178" s="15">
        <f t="shared" si="5"/>
        <v>5.194</v>
      </c>
      <c r="AK178" t="s">
        <v>47</v>
      </c>
    </row>
    <row r="179" spans="1:37" ht="15" customHeight="1" x14ac:dyDescent="0.35">
      <c r="A179">
        <v>690929</v>
      </c>
      <c r="B179" t="s">
        <v>37</v>
      </c>
      <c r="C179" t="s">
        <v>38</v>
      </c>
      <c r="D179" s="9" t="s">
        <v>39</v>
      </c>
      <c r="E179" s="10" t="s">
        <v>37</v>
      </c>
      <c r="F179" s="11"/>
      <c r="G179" t="s">
        <v>614</v>
      </c>
      <c r="I179" t="s">
        <v>41</v>
      </c>
      <c r="J179" t="s">
        <v>615</v>
      </c>
      <c r="K179" t="s">
        <v>43</v>
      </c>
      <c r="L179">
        <v>2</v>
      </c>
      <c r="M179" t="s">
        <v>44</v>
      </c>
      <c r="N179" t="s">
        <v>45</v>
      </c>
      <c r="O179" t="s">
        <v>46</v>
      </c>
      <c r="P179" s="5">
        <v>2</v>
      </c>
      <c r="Q179" s="12">
        <v>44701.643530092595</v>
      </c>
      <c r="R179" s="13">
        <v>44703</v>
      </c>
      <c r="T179" t="s">
        <v>47</v>
      </c>
      <c r="U179" t="s">
        <v>48</v>
      </c>
      <c r="V179" t="s">
        <v>56</v>
      </c>
      <c r="Y179" t="s">
        <v>616</v>
      </c>
      <c r="Z179">
        <v>25200</v>
      </c>
      <c r="AA179" t="s">
        <v>47</v>
      </c>
      <c r="AB179" t="s">
        <v>617</v>
      </c>
      <c r="AC179" t="s">
        <v>53</v>
      </c>
      <c r="AD179" s="16">
        <f>IF(P179&lt;=1,4.9,4.9+0.8*ROUNDUP(P179-1,0))</f>
        <v>5.7</v>
      </c>
      <c r="AE179" s="15">
        <v>0</v>
      </c>
      <c r="AF179" s="15">
        <v>0</v>
      </c>
      <c r="AG179" s="15">
        <v>0</v>
      </c>
      <c r="AH179" s="15">
        <v>0</v>
      </c>
      <c r="AI179" s="15">
        <f t="shared" si="4"/>
        <v>0.34199999999999997</v>
      </c>
      <c r="AJ179" s="15">
        <f t="shared" si="5"/>
        <v>6.0419999999999998</v>
      </c>
      <c r="AK179" t="s">
        <v>47</v>
      </c>
    </row>
    <row r="180" spans="1:37" ht="15" customHeight="1" x14ac:dyDescent="0.35">
      <c r="A180">
        <v>690929</v>
      </c>
      <c r="B180" t="s">
        <v>37</v>
      </c>
      <c r="C180" t="s">
        <v>38</v>
      </c>
      <c r="D180" s="9" t="s">
        <v>39</v>
      </c>
      <c r="E180" s="10" t="s">
        <v>37</v>
      </c>
      <c r="F180" s="11"/>
      <c r="G180" t="s">
        <v>618</v>
      </c>
      <c r="I180" t="s">
        <v>41</v>
      </c>
      <c r="J180" t="s">
        <v>619</v>
      </c>
      <c r="K180" t="s">
        <v>43</v>
      </c>
      <c r="L180">
        <v>2</v>
      </c>
      <c r="M180" t="s">
        <v>44</v>
      </c>
      <c r="N180" t="s">
        <v>45</v>
      </c>
      <c r="O180" t="s">
        <v>46</v>
      </c>
      <c r="P180" s="5">
        <v>1</v>
      </c>
      <c r="Q180" s="12">
        <v>44700.805578703701</v>
      </c>
      <c r="R180" s="13">
        <v>44703</v>
      </c>
      <c r="T180" t="s">
        <v>47</v>
      </c>
      <c r="U180" t="s">
        <v>58</v>
      </c>
      <c r="V180" t="s">
        <v>252</v>
      </c>
      <c r="Y180" t="s">
        <v>620</v>
      </c>
      <c r="Z180">
        <v>2600</v>
      </c>
      <c r="AA180" t="s">
        <v>47</v>
      </c>
      <c r="AB180" t="s">
        <v>52</v>
      </c>
      <c r="AC180" t="s">
        <v>53</v>
      </c>
      <c r="AD180" s="16">
        <f>IF(P180&lt;=1,4.9,4.9+0.8*ROUNDUP(P180-1,0))</f>
        <v>4.9000000000000004</v>
      </c>
      <c r="AE180" s="15">
        <v>0</v>
      </c>
      <c r="AF180" s="15">
        <v>0</v>
      </c>
      <c r="AG180" s="15">
        <v>0</v>
      </c>
      <c r="AH180" s="15">
        <v>0</v>
      </c>
      <c r="AI180" s="15">
        <f t="shared" si="4"/>
        <v>0.29399999999999998</v>
      </c>
      <c r="AJ180" s="15">
        <f t="shared" si="5"/>
        <v>5.194</v>
      </c>
      <c r="AK180" t="s">
        <v>47</v>
      </c>
    </row>
    <row r="181" spans="1:37" ht="15" customHeight="1" x14ac:dyDescent="0.35">
      <c r="A181">
        <v>690929</v>
      </c>
      <c r="B181" t="s">
        <v>37</v>
      </c>
      <c r="C181" t="s">
        <v>38</v>
      </c>
      <c r="D181" s="9" t="s">
        <v>39</v>
      </c>
      <c r="E181" s="10" t="s">
        <v>37</v>
      </c>
      <c r="F181" s="11"/>
      <c r="G181" t="s">
        <v>621</v>
      </c>
      <c r="I181" t="s">
        <v>41</v>
      </c>
      <c r="J181" t="s">
        <v>622</v>
      </c>
      <c r="K181" t="s">
        <v>43</v>
      </c>
      <c r="L181">
        <v>2</v>
      </c>
      <c r="M181" t="s">
        <v>44</v>
      </c>
      <c r="N181" t="s">
        <v>45</v>
      </c>
      <c r="O181" t="s">
        <v>46</v>
      </c>
      <c r="P181" s="5">
        <v>1</v>
      </c>
      <c r="Q181" s="12">
        <v>44700.739490740743</v>
      </c>
      <c r="R181" s="13">
        <v>44703</v>
      </c>
      <c r="T181" t="s">
        <v>47</v>
      </c>
      <c r="U181" t="s">
        <v>58</v>
      </c>
      <c r="V181" t="s">
        <v>122</v>
      </c>
      <c r="Y181" t="s">
        <v>623</v>
      </c>
      <c r="Z181">
        <v>5050</v>
      </c>
      <c r="AA181" t="s">
        <v>47</v>
      </c>
      <c r="AB181" t="s">
        <v>52</v>
      </c>
      <c r="AC181" t="s">
        <v>53</v>
      </c>
      <c r="AD181" s="16">
        <f>IF(P181&lt;=1,4.9,4.9+0.8*ROUNDUP(P181-1,0))</f>
        <v>4.9000000000000004</v>
      </c>
      <c r="AE181" s="15">
        <v>0</v>
      </c>
      <c r="AF181" s="15">
        <v>0</v>
      </c>
      <c r="AG181" s="15">
        <v>0</v>
      </c>
      <c r="AH181" s="15">
        <v>0</v>
      </c>
      <c r="AI181" s="15">
        <f t="shared" si="4"/>
        <v>0.29399999999999998</v>
      </c>
      <c r="AJ181" s="15">
        <f t="shared" si="5"/>
        <v>5.194</v>
      </c>
      <c r="AK181" t="s">
        <v>47</v>
      </c>
    </row>
    <row r="182" spans="1:37" ht="15" customHeight="1" x14ac:dyDescent="0.35">
      <c r="A182">
        <v>690929</v>
      </c>
      <c r="B182" t="s">
        <v>37</v>
      </c>
      <c r="C182" t="s">
        <v>38</v>
      </c>
      <c r="D182" s="9" t="s">
        <v>39</v>
      </c>
      <c r="E182" s="10" t="s">
        <v>37</v>
      </c>
      <c r="F182" s="11"/>
      <c r="G182" t="s">
        <v>624</v>
      </c>
      <c r="I182" t="s">
        <v>41</v>
      </c>
      <c r="J182" t="s">
        <v>625</v>
      </c>
      <c r="K182" t="s">
        <v>43</v>
      </c>
      <c r="L182">
        <v>2</v>
      </c>
      <c r="M182" t="s">
        <v>44</v>
      </c>
      <c r="N182" t="s">
        <v>45</v>
      </c>
      <c r="O182" t="s">
        <v>46</v>
      </c>
      <c r="P182" s="5">
        <v>1</v>
      </c>
      <c r="Q182" s="12">
        <v>44700.716458333336</v>
      </c>
      <c r="R182" s="13">
        <v>44703</v>
      </c>
      <c r="T182" t="s">
        <v>47</v>
      </c>
      <c r="U182" t="s">
        <v>58</v>
      </c>
      <c r="V182" t="s">
        <v>61</v>
      </c>
      <c r="Y182" t="s">
        <v>626</v>
      </c>
      <c r="Z182">
        <v>18300</v>
      </c>
      <c r="AA182" t="s">
        <v>47</v>
      </c>
      <c r="AB182" t="s">
        <v>627</v>
      </c>
      <c r="AC182" t="s">
        <v>53</v>
      </c>
      <c r="AD182" s="16">
        <f>IF(P182&lt;=1,4.9,4.9+0.8*ROUNDUP(P182-1,0))</f>
        <v>4.9000000000000004</v>
      </c>
      <c r="AE182" s="15">
        <v>0</v>
      </c>
      <c r="AF182" s="15">
        <v>0</v>
      </c>
      <c r="AG182" s="15">
        <v>0</v>
      </c>
      <c r="AH182" s="15">
        <v>0</v>
      </c>
      <c r="AI182" s="15">
        <f t="shared" si="4"/>
        <v>0.29399999999999998</v>
      </c>
      <c r="AJ182" s="15">
        <f t="shared" si="5"/>
        <v>5.194</v>
      </c>
      <c r="AK182" t="s">
        <v>47</v>
      </c>
    </row>
    <row r="183" spans="1:37" ht="15" customHeight="1" x14ac:dyDescent="0.35">
      <c r="A183">
        <v>690929</v>
      </c>
      <c r="B183" t="s">
        <v>37</v>
      </c>
      <c r="C183" t="s">
        <v>38</v>
      </c>
      <c r="D183" s="9" t="s">
        <v>39</v>
      </c>
      <c r="E183" s="10" t="s">
        <v>37</v>
      </c>
      <c r="F183" s="11"/>
      <c r="G183" t="s">
        <v>628</v>
      </c>
      <c r="I183" t="s">
        <v>41</v>
      </c>
      <c r="J183" t="s">
        <v>629</v>
      </c>
      <c r="K183" t="s">
        <v>43</v>
      </c>
      <c r="L183">
        <v>2</v>
      </c>
      <c r="M183" t="s">
        <v>44</v>
      </c>
      <c r="N183" t="s">
        <v>45</v>
      </c>
      <c r="O183" t="s">
        <v>46</v>
      </c>
      <c r="P183" s="5">
        <v>2</v>
      </c>
      <c r="Q183" s="12">
        <v>44700.833356481482</v>
      </c>
      <c r="R183" s="13">
        <v>44703</v>
      </c>
      <c r="T183" t="s">
        <v>47</v>
      </c>
      <c r="U183" t="s">
        <v>58</v>
      </c>
      <c r="V183" t="s">
        <v>122</v>
      </c>
      <c r="Y183" t="s">
        <v>630</v>
      </c>
      <c r="Z183">
        <v>8200</v>
      </c>
      <c r="AA183" t="s">
        <v>47</v>
      </c>
      <c r="AB183" t="s">
        <v>52</v>
      </c>
      <c r="AC183" t="s">
        <v>53</v>
      </c>
      <c r="AD183" s="16">
        <f>IF(P183&lt;=1,4.9,4.9+0.8*ROUNDUP(P183-1,0))</f>
        <v>5.7</v>
      </c>
      <c r="AE183" s="15">
        <v>0</v>
      </c>
      <c r="AF183" s="15">
        <v>0</v>
      </c>
      <c r="AG183" s="15">
        <v>0</v>
      </c>
      <c r="AH183" s="15">
        <v>0</v>
      </c>
      <c r="AI183" s="15">
        <f t="shared" si="4"/>
        <v>0.34199999999999997</v>
      </c>
      <c r="AJ183" s="15">
        <f t="shared" si="5"/>
        <v>6.0419999999999998</v>
      </c>
      <c r="AK183" t="s">
        <v>47</v>
      </c>
    </row>
    <row r="184" spans="1:37" ht="15" customHeight="1" x14ac:dyDescent="0.35">
      <c r="A184">
        <v>690929</v>
      </c>
      <c r="B184" t="s">
        <v>37</v>
      </c>
      <c r="C184" t="s">
        <v>38</v>
      </c>
      <c r="D184" s="9" t="s">
        <v>39</v>
      </c>
      <c r="E184" s="10" t="s">
        <v>37</v>
      </c>
      <c r="F184" s="11"/>
      <c r="G184" t="s">
        <v>631</v>
      </c>
      <c r="I184" t="s">
        <v>41</v>
      </c>
      <c r="J184" t="s">
        <v>632</v>
      </c>
      <c r="K184" t="s">
        <v>43</v>
      </c>
      <c r="L184">
        <v>2</v>
      </c>
      <c r="M184" t="s">
        <v>44</v>
      </c>
      <c r="N184" t="s">
        <v>45</v>
      </c>
      <c r="O184" t="s">
        <v>46</v>
      </c>
      <c r="P184" s="5">
        <v>1</v>
      </c>
      <c r="Q184" s="12">
        <v>44700.810277777775</v>
      </c>
      <c r="R184" s="13">
        <v>44703</v>
      </c>
      <c r="T184" t="s">
        <v>47</v>
      </c>
      <c r="U184" t="s">
        <v>58</v>
      </c>
      <c r="V184" t="s">
        <v>70</v>
      </c>
      <c r="Y184" t="s">
        <v>633</v>
      </c>
      <c r="Z184">
        <v>43300</v>
      </c>
      <c r="AA184" t="s">
        <v>47</v>
      </c>
      <c r="AB184" t="s">
        <v>58</v>
      </c>
      <c r="AC184" t="s">
        <v>53</v>
      </c>
      <c r="AD184" s="16">
        <f>IF(P184&lt;=1,4.9,4.9+0.8*ROUNDUP(P184-1,0))</f>
        <v>4.9000000000000004</v>
      </c>
      <c r="AE184" s="15">
        <v>0</v>
      </c>
      <c r="AF184" s="15">
        <v>0</v>
      </c>
      <c r="AG184" s="15">
        <v>0</v>
      </c>
      <c r="AH184" s="15">
        <v>0</v>
      </c>
      <c r="AI184" s="15">
        <f t="shared" si="4"/>
        <v>0.29399999999999998</v>
      </c>
      <c r="AJ184" s="15">
        <f t="shared" si="5"/>
        <v>5.194</v>
      </c>
      <c r="AK184" t="s">
        <v>47</v>
      </c>
    </row>
    <row r="185" spans="1:37" ht="15" customHeight="1" x14ac:dyDescent="0.35">
      <c r="A185">
        <v>690929</v>
      </c>
      <c r="B185" t="s">
        <v>37</v>
      </c>
      <c r="C185" t="s">
        <v>38</v>
      </c>
      <c r="D185" s="9" t="s">
        <v>39</v>
      </c>
      <c r="E185" s="10" t="s">
        <v>37</v>
      </c>
      <c r="F185" s="11"/>
      <c r="G185" t="s">
        <v>634</v>
      </c>
      <c r="I185" t="s">
        <v>41</v>
      </c>
      <c r="J185" t="s">
        <v>635</v>
      </c>
      <c r="K185" t="s">
        <v>43</v>
      </c>
      <c r="L185">
        <v>2</v>
      </c>
      <c r="M185" t="s">
        <v>44</v>
      </c>
      <c r="N185" t="s">
        <v>45</v>
      </c>
      <c r="O185" t="s">
        <v>46</v>
      </c>
      <c r="P185" s="5">
        <v>1</v>
      </c>
      <c r="Q185" s="12">
        <v>44700.785196759258</v>
      </c>
      <c r="R185" s="13">
        <v>44703</v>
      </c>
      <c r="T185" t="s">
        <v>47</v>
      </c>
      <c r="U185" t="s">
        <v>58</v>
      </c>
      <c r="V185" t="s">
        <v>93</v>
      </c>
      <c r="Y185" t="s">
        <v>636</v>
      </c>
      <c r="Z185">
        <v>85000</v>
      </c>
      <c r="AA185" t="s">
        <v>47</v>
      </c>
      <c r="AB185" t="s">
        <v>52</v>
      </c>
      <c r="AC185" t="s">
        <v>53</v>
      </c>
      <c r="AD185" s="16">
        <f>IF(P185&lt;=1,4.9,4.9+0.8*ROUNDUP(P185-1,0))</f>
        <v>4.9000000000000004</v>
      </c>
      <c r="AE185" s="15">
        <v>0</v>
      </c>
      <c r="AF185" s="15">
        <v>0</v>
      </c>
      <c r="AG185" s="15">
        <v>0</v>
      </c>
      <c r="AH185" s="15">
        <v>0</v>
      </c>
      <c r="AI185" s="15">
        <f t="shared" si="4"/>
        <v>0.29399999999999998</v>
      </c>
      <c r="AJ185" s="15">
        <f t="shared" si="5"/>
        <v>5.194</v>
      </c>
      <c r="AK185" t="s">
        <v>47</v>
      </c>
    </row>
    <row r="186" spans="1:37" ht="15" customHeight="1" x14ac:dyDescent="0.35">
      <c r="A186">
        <v>690929</v>
      </c>
      <c r="B186" t="s">
        <v>37</v>
      </c>
      <c r="C186" t="s">
        <v>38</v>
      </c>
      <c r="D186" s="9" t="s">
        <v>39</v>
      </c>
      <c r="E186" s="10" t="s">
        <v>37</v>
      </c>
      <c r="F186" s="11"/>
      <c r="G186" t="s">
        <v>637</v>
      </c>
      <c r="I186" t="s">
        <v>41</v>
      </c>
      <c r="J186" t="s">
        <v>638</v>
      </c>
      <c r="K186" t="s">
        <v>43</v>
      </c>
      <c r="L186">
        <v>2</v>
      </c>
      <c r="M186" t="s">
        <v>44</v>
      </c>
      <c r="N186" t="s">
        <v>45</v>
      </c>
      <c r="O186" t="s">
        <v>46</v>
      </c>
      <c r="P186" s="5">
        <v>2</v>
      </c>
      <c r="Q186" s="12">
        <v>44700.851539351854</v>
      </c>
      <c r="R186" s="13">
        <v>44703</v>
      </c>
      <c r="T186" t="s">
        <v>47</v>
      </c>
      <c r="U186" t="s">
        <v>58</v>
      </c>
      <c r="V186" t="s">
        <v>114</v>
      </c>
      <c r="Y186" t="s">
        <v>639</v>
      </c>
      <c r="Z186">
        <v>11960</v>
      </c>
      <c r="AA186" t="s">
        <v>47</v>
      </c>
      <c r="AB186" t="s">
        <v>52</v>
      </c>
      <c r="AC186" t="s">
        <v>53</v>
      </c>
      <c r="AD186" s="16">
        <f>IF(P186&lt;=1,4.9,4.9+0.8*ROUNDUP(P186-1,0))</f>
        <v>5.7</v>
      </c>
      <c r="AE186" s="15">
        <v>0</v>
      </c>
      <c r="AF186" s="15">
        <v>0</v>
      </c>
      <c r="AG186" s="15">
        <v>0</v>
      </c>
      <c r="AH186" s="15">
        <v>0</v>
      </c>
      <c r="AI186" s="15">
        <f t="shared" si="4"/>
        <v>0.34199999999999997</v>
      </c>
      <c r="AJ186" s="15">
        <f t="shared" si="5"/>
        <v>6.0419999999999998</v>
      </c>
      <c r="AK186" t="s">
        <v>47</v>
      </c>
    </row>
    <row r="187" spans="1:37" ht="15" customHeight="1" x14ac:dyDescent="0.35">
      <c r="A187">
        <v>690929</v>
      </c>
      <c r="B187" t="s">
        <v>37</v>
      </c>
      <c r="C187" t="s">
        <v>38</v>
      </c>
      <c r="D187" s="9" t="s">
        <v>39</v>
      </c>
      <c r="E187" s="10" t="s">
        <v>37</v>
      </c>
      <c r="F187" s="11"/>
      <c r="G187" t="s">
        <v>640</v>
      </c>
      <c r="I187" t="s">
        <v>41</v>
      </c>
      <c r="J187" t="s">
        <v>641</v>
      </c>
      <c r="K187" t="s">
        <v>43</v>
      </c>
      <c r="L187">
        <v>2</v>
      </c>
      <c r="M187" t="s">
        <v>44</v>
      </c>
      <c r="N187" t="s">
        <v>45</v>
      </c>
      <c r="O187" t="s">
        <v>46</v>
      </c>
      <c r="P187" s="5">
        <v>2</v>
      </c>
      <c r="Q187" s="12">
        <v>44700.831006944441</v>
      </c>
      <c r="R187" s="13">
        <v>44703</v>
      </c>
      <c r="T187" t="s">
        <v>47</v>
      </c>
      <c r="U187" t="s">
        <v>58</v>
      </c>
      <c r="V187" t="s">
        <v>122</v>
      </c>
      <c r="Y187" t="s">
        <v>642</v>
      </c>
      <c r="Z187">
        <v>5300</v>
      </c>
      <c r="AA187" t="s">
        <v>47</v>
      </c>
      <c r="AB187" t="s">
        <v>52</v>
      </c>
      <c r="AC187" t="s">
        <v>53</v>
      </c>
      <c r="AD187" s="16">
        <f>IF(P187&lt;=1,4.9,4.9+0.8*ROUNDUP(P187-1,0))</f>
        <v>5.7</v>
      </c>
      <c r="AE187" s="15">
        <v>0</v>
      </c>
      <c r="AF187" s="15">
        <v>0</v>
      </c>
      <c r="AG187" s="15">
        <v>0</v>
      </c>
      <c r="AH187" s="15">
        <v>0</v>
      </c>
      <c r="AI187" s="15">
        <f t="shared" si="4"/>
        <v>0.34199999999999997</v>
      </c>
      <c r="AJ187" s="15">
        <f t="shared" si="5"/>
        <v>6.0419999999999998</v>
      </c>
      <c r="AK187" t="s">
        <v>47</v>
      </c>
    </row>
    <row r="188" spans="1:37" ht="15" customHeight="1" x14ac:dyDescent="0.35">
      <c r="A188">
        <v>690929</v>
      </c>
      <c r="B188" t="s">
        <v>37</v>
      </c>
      <c r="C188" t="s">
        <v>38</v>
      </c>
      <c r="D188" s="9" t="s">
        <v>39</v>
      </c>
      <c r="E188" s="10" t="s">
        <v>37</v>
      </c>
      <c r="F188" s="11"/>
      <c r="G188" t="s">
        <v>643</v>
      </c>
      <c r="I188" t="s">
        <v>41</v>
      </c>
      <c r="J188" t="s">
        <v>644</v>
      </c>
      <c r="K188" t="s">
        <v>43</v>
      </c>
      <c r="L188">
        <v>2</v>
      </c>
      <c r="M188" t="s">
        <v>44</v>
      </c>
      <c r="N188" t="s">
        <v>45</v>
      </c>
      <c r="O188" t="s">
        <v>46</v>
      </c>
      <c r="P188" s="5">
        <v>1</v>
      </c>
      <c r="Q188" s="12">
        <v>44700.79347222222</v>
      </c>
      <c r="R188" s="13">
        <v>44703</v>
      </c>
      <c r="T188" t="s">
        <v>47</v>
      </c>
      <c r="U188" t="s">
        <v>58</v>
      </c>
      <c r="V188" t="s">
        <v>70</v>
      </c>
      <c r="Y188" t="s">
        <v>645</v>
      </c>
      <c r="Z188">
        <v>48300</v>
      </c>
      <c r="AA188" t="s">
        <v>47</v>
      </c>
      <c r="AB188" t="s">
        <v>58</v>
      </c>
      <c r="AC188" t="s">
        <v>53</v>
      </c>
      <c r="AD188" s="16">
        <f>IF(P188&lt;=1,4.9,4.9+0.8*ROUNDUP(P188-1,0))</f>
        <v>4.9000000000000004</v>
      </c>
      <c r="AE188" s="15">
        <v>0</v>
      </c>
      <c r="AF188" s="15">
        <v>0</v>
      </c>
      <c r="AG188" s="15">
        <v>0</v>
      </c>
      <c r="AH188" s="15">
        <v>0</v>
      </c>
      <c r="AI188" s="15">
        <f t="shared" si="4"/>
        <v>0.29399999999999998</v>
      </c>
      <c r="AJ188" s="15">
        <f t="shared" si="5"/>
        <v>5.194</v>
      </c>
      <c r="AK188" t="s">
        <v>47</v>
      </c>
    </row>
    <row r="189" spans="1:37" ht="15" customHeight="1" x14ac:dyDescent="0.35">
      <c r="A189">
        <v>690929</v>
      </c>
      <c r="B189" t="s">
        <v>37</v>
      </c>
      <c r="C189" t="s">
        <v>38</v>
      </c>
      <c r="D189" s="9" t="s">
        <v>39</v>
      </c>
      <c r="E189" s="10" t="s">
        <v>37</v>
      </c>
      <c r="F189" s="11"/>
      <c r="G189" t="s">
        <v>646</v>
      </c>
      <c r="I189" t="s">
        <v>41</v>
      </c>
      <c r="J189" t="s">
        <v>647</v>
      </c>
      <c r="K189" t="s">
        <v>43</v>
      </c>
      <c r="L189">
        <v>2</v>
      </c>
      <c r="M189" t="s">
        <v>44</v>
      </c>
      <c r="N189" t="s">
        <v>45</v>
      </c>
      <c r="O189" t="s">
        <v>531</v>
      </c>
      <c r="P189" s="5">
        <v>4</v>
      </c>
      <c r="Q189" s="12">
        <v>44700.823587962965</v>
      </c>
      <c r="R189" s="13">
        <v>44703</v>
      </c>
      <c r="T189" t="s">
        <v>47</v>
      </c>
      <c r="U189" t="s">
        <v>58</v>
      </c>
      <c r="V189" t="s">
        <v>164</v>
      </c>
      <c r="Y189" t="s">
        <v>648</v>
      </c>
      <c r="Z189">
        <v>34900</v>
      </c>
      <c r="AA189" t="s">
        <v>47</v>
      </c>
      <c r="AB189" t="s">
        <v>649</v>
      </c>
      <c r="AC189" t="s">
        <v>53</v>
      </c>
      <c r="AD189" s="16">
        <f>IF(P189&lt;=1,4.9,4.9+0.8*ROUNDUP(P189-1,0))</f>
        <v>7.3000000000000007</v>
      </c>
      <c r="AE189" s="15">
        <v>0</v>
      </c>
      <c r="AF189" s="15">
        <v>0</v>
      </c>
      <c r="AG189" s="15">
        <v>0</v>
      </c>
      <c r="AH189" s="15">
        <v>0</v>
      </c>
      <c r="AI189" s="15">
        <f t="shared" si="4"/>
        <v>0.438</v>
      </c>
      <c r="AJ189" s="15">
        <f t="shared" si="5"/>
        <v>7.7380000000000004</v>
      </c>
      <c r="AK189" t="s">
        <v>47</v>
      </c>
    </row>
    <row r="190" spans="1:37" ht="15" customHeight="1" x14ac:dyDescent="0.35">
      <c r="A190">
        <v>690929</v>
      </c>
      <c r="B190" t="s">
        <v>37</v>
      </c>
      <c r="C190" t="s">
        <v>38</v>
      </c>
      <c r="D190" s="9" t="s">
        <v>39</v>
      </c>
      <c r="E190" s="10" t="s">
        <v>37</v>
      </c>
      <c r="F190" s="11"/>
      <c r="G190" t="s">
        <v>650</v>
      </c>
      <c r="I190" t="s">
        <v>41</v>
      </c>
      <c r="J190" t="s">
        <v>651</v>
      </c>
      <c r="K190" t="s">
        <v>43</v>
      </c>
      <c r="L190">
        <v>2</v>
      </c>
      <c r="M190" t="s">
        <v>44</v>
      </c>
      <c r="N190" t="s">
        <v>45</v>
      </c>
      <c r="O190" t="s">
        <v>46</v>
      </c>
      <c r="P190" s="5">
        <v>1</v>
      </c>
      <c r="Q190" s="12">
        <v>44700.815706018519</v>
      </c>
      <c r="R190" s="13">
        <v>44703</v>
      </c>
      <c r="T190" t="s">
        <v>47</v>
      </c>
      <c r="U190" t="s">
        <v>58</v>
      </c>
      <c r="V190" t="s">
        <v>122</v>
      </c>
      <c r="Y190" t="s">
        <v>652</v>
      </c>
      <c r="Z190">
        <v>5050</v>
      </c>
      <c r="AA190" t="s">
        <v>47</v>
      </c>
      <c r="AB190" t="s">
        <v>52</v>
      </c>
      <c r="AC190" t="s">
        <v>53</v>
      </c>
      <c r="AD190" s="16">
        <f>IF(P190&lt;=1,4.9,4.9+0.8*ROUNDUP(P190-1,0))</f>
        <v>4.9000000000000004</v>
      </c>
      <c r="AE190" s="15">
        <v>0</v>
      </c>
      <c r="AF190" s="15">
        <v>0</v>
      </c>
      <c r="AG190" s="15">
        <v>0</v>
      </c>
      <c r="AH190" s="15">
        <v>0</v>
      </c>
      <c r="AI190" s="15">
        <f t="shared" si="4"/>
        <v>0.29399999999999998</v>
      </c>
      <c r="AJ190" s="15">
        <f t="shared" si="5"/>
        <v>5.194</v>
      </c>
      <c r="AK190" t="s">
        <v>47</v>
      </c>
    </row>
    <row r="191" spans="1:37" ht="15" customHeight="1" x14ac:dyDescent="0.35">
      <c r="A191">
        <v>690929</v>
      </c>
      <c r="B191" t="s">
        <v>37</v>
      </c>
      <c r="C191" t="s">
        <v>38</v>
      </c>
      <c r="D191" s="9" t="s">
        <v>39</v>
      </c>
      <c r="E191" s="10" t="s">
        <v>37</v>
      </c>
      <c r="F191" s="11"/>
      <c r="G191" t="s">
        <v>653</v>
      </c>
      <c r="I191" t="s">
        <v>41</v>
      </c>
      <c r="J191" t="s">
        <v>654</v>
      </c>
      <c r="K191" t="s">
        <v>43</v>
      </c>
      <c r="L191">
        <v>2</v>
      </c>
      <c r="M191" t="s">
        <v>44</v>
      </c>
      <c r="N191" t="s">
        <v>45</v>
      </c>
      <c r="O191" t="s">
        <v>46</v>
      </c>
      <c r="P191" s="5">
        <v>5</v>
      </c>
      <c r="Q191" s="12">
        <v>44700.866076388891</v>
      </c>
      <c r="R191" s="13">
        <v>44703</v>
      </c>
      <c r="T191" t="s">
        <v>47</v>
      </c>
      <c r="U191" t="s">
        <v>58</v>
      </c>
      <c r="V191" t="s">
        <v>61</v>
      </c>
      <c r="Y191" t="s">
        <v>655</v>
      </c>
      <c r="Z191">
        <v>18300</v>
      </c>
      <c r="AA191" t="s">
        <v>47</v>
      </c>
      <c r="AB191" t="s">
        <v>627</v>
      </c>
      <c r="AC191" t="s">
        <v>53</v>
      </c>
      <c r="AD191" s="16">
        <f>IF(P191&lt;=1,4.9,4.9+0.8*ROUNDUP(P191-1,0))</f>
        <v>8.1000000000000014</v>
      </c>
      <c r="AE191" s="15">
        <v>0</v>
      </c>
      <c r="AF191" s="15">
        <v>0</v>
      </c>
      <c r="AG191" s="15">
        <v>0</v>
      </c>
      <c r="AH191" s="15">
        <v>0</v>
      </c>
      <c r="AI191" s="15">
        <f t="shared" si="4"/>
        <v>0.48600000000000004</v>
      </c>
      <c r="AJ191" s="15">
        <f t="shared" si="5"/>
        <v>8.5860000000000021</v>
      </c>
      <c r="AK191" t="s">
        <v>47</v>
      </c>
    </row>
    <row r="192" spans="1:37" ht="15" customHeight="1" x14ac:dyDescent="0.35">
      <c r="A192">
        <v>690929</v>
      </c>
      <c r="B192" t="s">
        <v>37</v>
      </c>
      <c r="C192" t="s">
        <v>38</v>
      </c>
      <c r="D192" s="9" t="s">
        <v>39</v>
      </c>
      <c r="E192" s="10" t="s">
        <v>37</v>
      </c>
      <c r="F192" s="11"/>
      <c r="G192" t="s">
        <v>656</v>
      </c>
      <c r="I192" t="s">
        <v>41</v>
      </c>
      <c r="J192" t="s">
        <v>657</v>
      </c>
      <c r="K192" t="s">
        <v>43</v>
      </c>
      <c r="L192">
        <v>2</v>
      </c>
      <c r="M192" t="s">
        <v>44</v>
      </c>
      <c r="N192" t="s">
        <v>45</v>
      </c>
      <c r="O192" t="s">
        <v>46</v>
      </c>
      <c r="P192" s="5">
        <v>1</v>
      </c>
      <c r="Q192" s="12">
        <v>44700.746967592589</v>
      </c>
      <c r="R192" s="13">
        <v>44703</v>
      </c>
      <c r="T192" t="s">
        <v>47</v>
      </c>
      <c r="U192" t="s">
        <v>58</v>
      </c>
      <c r="V192" t="s">
        <v>122</v>
      </c>
      <c r="Y192" t="s">
        <v>658</v>
      </c>
      <c r="Z192">
        <v>8600</v>
      </c>
      <c r="AA192" t="s">
        <v>47</v>
      </c>
      <c r="AB192" t="s">
        <v>52</v>
      </c>
      <c r="AC192" t="s">
        <v>53</v>
      </c>
      <c r="AD192" s="16">
        <f>IF(P192&lt;=1,4.9,4.9+0.8*ROUNDUP(P192-1,0))</f>
        <v>4.9000000000000004</v>
      </c>
      <c r="AE192" s="15">
        <v>0</v>
      </c>
      <c r="AF192" s="15">
        <v>0</v>
      </c>
      <c r="AG192" s="15">
        <v>0</v>
      </c>
      <c r="AH192" s="15">
        <v>0</v>
      </c>
      <c r="AI192" s="15">
        <f t="shared" si="4"/>
        <v>0.29399999999999998</v>
      </c>
      <c r="AJ192" s="15">
        <f t="shared" si="5"/>
        <v>5.194</v>
      </c>
      <c r="AK192" t="s">
        <v>47</v>
      </c>
    </row>
    <row r="193" spans="1:37" ht="15" customHeight="1" x14ac:dyDescent="0.35">
      <c r="A193">
        <v>690929</v>
      </c>
      <c r="B193" t="s">
        <v>37</v>
      </c>
      <c r="C193" t="s">
        <v>38</v>
      </c>
      <c r="D193" s="9" t="s">
        <v>39</v>
      </c>
      <c r="E193" s="10" t="s">
        <v>37</v>
      </c>
      <c r="F193" s="11"/>
      <c r="G193" t="s">
        <v>659</v>
      </c>
      <c r="I193" t="s">
        <v>41</v>
      </c>
      <c r="J193" t="s">
        <v>660</v>
      </c>
      <c r="K193" t="s">
        <v>43</v>
      </c>
      <c r="L193">
        <v>2</v>
      </c>
      <c r="M193" t="s">
        <v>44</v>
      </c>
      <c r="N193" t="s">
        <v>45</v>
      </c>
      <c r="O193" t="s">
        <v>46</v>
      </c>
      <c r="P193" s="5">
        <v>2</v>
      </c>
      <c r="Q193" s="12">
        <v>44699.741157407407</v>
      </c>
      <c r="R193" s="13">
        <v>44703</v>
      </c>
      <c r="T193" t="s">
        <v>47</v>
      </c>
      <c r="U193" t="s">
        <v>48</v>
      </c>
      <c r="V193" t="s">
        <v>70</v>
      </c>
      <c r="Y193" t="s">
        <v>661</v>
      </c>
      <c r="Z193">
        <v>68000</v>
      </c>
      <c r="AA193" t="s">
        <v>47</v>
      </c>
      <c r="AB193" t="s">
        <v>58</v>
      </c>
      <c r="AC193" t="s">
        <v>53</v>
      </c>
      <c r="AD193" s="16">
        <f>IF(P193&lt;=1,4.9,4.9+0.8*ROUNDUP(P193-1,0))</f>
        <v>5.7</v>
      </c>
      <c r="AE193" s="15">
        <v>0</v>
      </c>
      <c r="AF193" s="15">
        <v>0</v>
      </c>
      <c r="AG193" s="15">
        <v>0</v>
      </c>
      <c r="AH193" s="15">
        <v>0</v>
      </c>
      <c r="AI193" s="15">
        <f t="shared" si="4"/>
        <v>0.34199999999999997</v>
      </c>
      <c r="AJ193" s="15">
        <f t="shared" si="5"/>
        <v>6.0419999999999998</v>
      </c>
      <c r="AK193" t="s">
        <v>47</v>
      </c>
    </row>
    <row r="194" spans="1:37" ht="15" customHeight="1" x14ac:dyDescent="0.35">
      <c r="A194">
        <v>690929</v>
      </c>
      <c r="B194" t="s">
        <v>37</v>
      </c>
      <c r="C194" t="s">
        <v>38</v>
      </c>
      <c r="D194" s="9" t="s">
        <v>39</v>
      </c>
      <c r="E194" s="10" t="s">
        <v>37</v>
      </c>
      <c r="F194" s="11"/>
      <c r="G194" t="s">
        <v>662</v>
      </c>
      <c r="I194" t="s">
        <v>41</v>
      </c>
      <c r="J194" t="s">
        <v>663</v>
      </c>
      <c r="K194" t="s">
        <v>43</v>
      </c>
      <c r="L194">
        <v>2</v>
      </c>
      <c r="M194" t="s">
        <v>44</v>
      </c>
      <c r="N194" t="s">
        <v>45</v>
      </c>
      <c r="O194" t="s">
        <v>46</v>
      </c>
      <c r="P194" s="5">
        <v>1</v>
      </c>
      <c r="Q194" s="12">
        <v>44700.718356481484</v>
      </c>
      <c r="R194" s="13">
        <v>44703</v>
      </c>
      <c r="T194" t="s">
        <v>47</v>
      </c>
      <c r="U194" t="s">
        <v>58</v>
      </c>
      <c r="V194" t="s">
        <v>70</v>
      </c>
      <c r="Y194" t="s">
        <v>664</v>
      </c>
      <c r="Z194">
        <v>68100</v>
      </c>
      <c r="AA194" t="s">
        <v>47</v>
      </c>
      <c r="AB194" t="s">
        <v>665</v>
      </c>
      <c r="AC194" t="s">
        <v>53</v>
      </c>
      <c r="AD194" s="16">
        <f>IF(P194&lt;=1,4.9,4.9+0.8*ROUNDUP(P194-1,0))</f>
        <v>4.9000000000000004</v>
      </c>
      <c r="AE194" s="15">
        <v>0</v>
      </c>
      <c r="AF194" s="15">
        <v>0</v>
      </c>
      <c r="AG194" s="15">
        <v>0</v>
      </c>
      <c r="AH194" s="15">
        <v>0</v>
      </c>
      <c r="AI194" s="15">
        <f t="shared" ref="AI194:AI257" si="6">(AD194+AF194+AH194)*6%</f>
        <v>0.29399999999999998</v>
      </c>
      <c r="AJ194" s="15">
        <f t="shared" ref="AJ194:AJ257" si="7">AD194+AF194+AH194+AI194</f>
        <v>5.194</v>
      </c>
      <c r="AK194" t="s">
        <v>47</v>
      </c>
    </row>
    <row r="195" spans="1:37" ht="15" customHeight="1" x14ac:dyDescent="0.35">
      <c r="A195">
        <v>690929</v>
      </c>
      <c r="B195" t="s">
        <v>37</v>
      </c>
      <c r="C195" t="s">
        <v>38</v>
      </c>
      <c r="D195" s="9" t="s">
        <v>39</v>
      </c>
      <c r="E195" s="10" t="s">
        <v>37</v>
      </c>
      <c r="F195" s="11"/>
      <c r="G195" t="s">
        <v>666</v>
      </c>
      <c r="I195" t="s">
        <v>41</v>
      </c>
      <c r="J195" t="s">
        <v>667</v>
      </c>
      <c r="K195" t="s">
        <v>43</v>
      </c>
      <c r="L195">
        <v>2</v>
      </c>
      <c r="M195" t="s">
        <v>44</v>
      </c>
      <c r="N195" t="s">
        <v>45</v>
      </c>
      <c r="O195" t="s">
        <v>46</v>
      </c>
      <c r="P195" s="5">
        <v>3</v>
      </c>
      <c r="Q195" s="12">
        <v>44700.848819444444</v>
      </c>
      <c r="R195" s="13">
        <v>44703</v>
      </c>
      <c r="T195" t="s">
        <v>47</v>
      </c>
      <c r="U195" t="s">
        <v>58</v>
      </c>
      <c r="V195" t="s">
        <v>122</v>
      </c>
      <c r="Y195" t="s">
        <v>668</v>
      </c>
      <c r="Z195">
        <v>8200</v>
      </c>
      <c r="AA195" t="s">
        <v>47</v>
      </c>
      <c r="AB195" t="s">
        <v>52</v>
      </c>
      <c r="AC195" t="s">
        <v>53</v>
      </c>
      <c r="AD195" s="16">
        <f>IF(P195&lt;=1,4.9,4.9+0.8*ROUNDUP(P195-1,0))</f>
        <v>6.5</v>
      </c>
      <c r="AE195" s="15">
        <v>0</v>
      </c>
      <c r="AF195" s="15">
        <v>0</v>
      </c>
      <c r="AG195" s="15">
        <v>0</v>
      </c>
      <c r="AH195" s="15">
        <v>0</v>
      </c>
      <c r="AI195" s="15">
        <f t="shared" si="6"/>
        <v>0.39</v>
      </c>
      <c r="AJ195" s="15">
        <f t="shared" si="7"/>
        <v>6.89</v>
      </c>
      <c r="AK195" t="s">
        <v>47</v>
      </c>
    </row>
    <row r="196" spans="1:37" ht="15" customHeight="1" x14ac:dyDescent="0.35">
      <c r="A196">
        <v>690929</v>
      </c>
      <c r="B196" t="s">
        <v>37</v>
      </c>
      <c r="C196" t="s">
        <v>38</v>
      </c>
      <c r="D196" s="9" t="s">
        <v>39</v>
      </c>
      <c r="E196" s="10" t="s">
        <v>37</v>
      </c>
      <c r="F196" s="11"/>
      <c r="G196" t="s">
        <v>669</v>
      </c>
      <c r="I196" t="s">
        <v>41</v>
      </c>
      <c r="J196" t="s">
        <v>670</v>
      </c>
      <c r="K196" t="s">
        <v>43</v>
      </c>
      <c r="L196">
        <v>2</v>
      </c>
      <c r="M196" t="s">
        <v>44</v>
      </c>
      <c r="N196" t="s">
        <v>45</v>
      </c>
      <c r="O196" t="s">
        <v>46</v>
      </c>
      <c r="P196" s="5">
        <v>3</v>
      </c>
      <c r="Q196" s="12">
        <v>44695.643078703702</v>
      </c>
      <c r="R196" s="13">
        <v>44703</v>
      </c>
      <c r="T196" t="s">
        <v>47</v>
      </c>
      <c r="U196" t="s">
        <v>48</v>
      </c>
      <c r="V196" t="s">
        <v>93</v>
      </c>
      <c r="Y196" t="s">
        <v>671</v>
      </c>
      <c r="Z196">
        <v>81700</v>
      </c>
      <c r="AA196" t="s">
        <v>47</v>
      </c>
      <c r="AB196" t="s">
        <v>52</v>
      </c>
      <c r="AC196" t="s">
        <v>53</v>
      </c>
      <c r="AD196" s="16">
        <f>IF(P196&lt;=1,4.9,4.9+0.8*ROUNDUP(P196-1,0))</f>
        <v>6.5</v>
      </c>
      <c r="AE196" s="15">
        <v>0</v>
      </c>
      <c r="AF196" s="15">
        <v>0</v>
      </c>
      <c r="AG196" s="15">
        <v>0</v>
      </c>
      <c r="AH196" s="15">
        <v>0</v>
      </c>
      <c r="AI196" s="15">
        <f t="shared" si="6"/>
        <v>0.39</v>
      </c>
      <c r="AJ196" s="15">
        <f t="shared" si="7"/>
        <v>6.89</v>
      </c>
      <c r="AK196" t="s">
        <v>47</v>
      </c>
    </row>
    <row r="197" spans="1:37" ht="15" customHeight="1" x14ac:dyDescent="0.35">
      <c r="A197">
        <v>690929</v>
      </c>
      <c r="B197" t="s">
        <v>37</v>
      </c>
      <c r="C197" t="s">
        <v>38</v>
      </c>
      <c r="D197" s="9" t="s">
        <v>39</v>
      </c>
      <c r="E197" s="10" t="s">
        <v>37</v>
      </c>
      <c r="F197" s="11"/>
      <c r="G197" t="s">
        <v>672</v>
      </c>
      <c r="I197" t="s">
        <v>41</v>
      </c>
      <c r="J197" t="s">
        <v>673</v>
      </c>
      <c r="K197" t="s">
        <v>43</v>
      </c>
      <c r="L197">
        <v>2</v>
      </c>
      <c r="M197" t="s">
        <v>44</v>
      </c>
      <c r="N197" t="s">
        <v>45</v>
      </c>
      <c r="O197" t="s">
        <v>92</v>
      </c>
      <c r="P197" s="5">
        <v>17</v>
      </c>
      <c r="Q197" s="12">
        <v>44697.501944444448</v>
      </c>
      <c r="R197" s="13">
        <v>44703</v>
      </c>
      <c r="T197" t="s">
        <v>47</v>
      </c>
      <c r="U197" t="s">
        <v>48</v>
      </c>
      <c r="V197" t="s">
        <v>93</v>
      </c>
      <c r="Y197" t="s">
        <v>674</v>
      </c>
      <c r="Z197">
        <v>81100</v>
      </c>
      <c r="AA197" t="s">
        <v>47</v>
      </c>
      <c r="AB197" t="s">
        <v>52</v>
      </c>
      <c r="AC197" t="s">
        <v>53</v>
      </c>
      <c r="AD197" s="16">
        <f>IF(P197&lt;=1,4.9,4.9+0.8*ROUNDUP(P197-1,0))</f>
        <v>17.700000000000003</v>
      </c>
      <c r="AE197" s="15">
        <v>0</v>
      </c>
      <c r="AF197" s="15">
        <v>0</v>
      </c>
      <c r="AG197" s="15">
        <v>0</v>
      </c>
      <c r="AH197" s="15">
        <v>0</v>
      </c>
      <c r="AI197" s="15">
        <f t="shared" si="6"/>
        <v>1.0620000000000001</v>
      </c>
      <c r="AJ197" s="15">
        <f t="shared" si="7"/>
        <v>18.762000000000004</v>
      </c>
      <c r="AK197" t="s">
        <v>47</v>
      </c>
    </row>
    <row r="198" spans="1:37" ht="15" customHeight="1" x14ac:dyDescent="0.35">
      <c r="A198">
        <v>690929</v>
      </c>
      <c r="B198" t="s">
        <v>37</v>
      </c>
      <c r="C198" t="s">
        <v>38</v>
      </c>
      <c r="D198" s="9" t="s">
        <v>39</v>
      </c>
      <c r="E198" s="10" t="s">
        <v>37</v>
      </c>
      <c r="F198" s="11"/>
      <c r="G198" t="s">
        <v>675</v>
      </c>
      <c r="I198" t="s">
        <v>41</v>
      </c>
      <c r="J198" t="s">
        <v>676</v>
      </c>
      <c r="K198" t="s">
        <v>43</v>
      </c>
      <c r="L198">
        <v>2</v>
      </c>
      <c r="M198" t="s">
        <v>44</v>
      </c>
      <c r="N198" t="s">
        <v>45</v>
      </c>
      <c r="O198" t="s">
        <v>46</v>
      </c>
      <c r="P198" s="5">
        <v>2</v>
      </c>
      <c r="Q198" s="12">
        <v>44692.665995370371</v>
      </c>
      <c r="R198" s="13">
        <v>44703</v>
      </c>
      <c r="T198" t="s">
        <v>47</v>
      </c>
      <c r="U198" t="s">
        <v>48</v>
      </c>
      <c r="V198" t="s">
        <v>70</v>
      </c>
      <c r="Y198" t="s">
        <v>677</v>
      </c>
      <c r="Z198">
        <v>46000</v>
      </c>
      <c r="AA198" t="s">
        <v>47</v>
      </c>
      <c r="AB198" t="s">
        <v>518</v>
      </c>
      <c r="AC198" t="s">
        <v>53</v>
      </c>
      <c r="AD198" s="16">
        <f>IF(P198&lt;=1,4.9,4.9+0.8*ROUNDUP(P198-1,0))</f>
        <v>5.7</v>
      </c>
      <c r="AE198" s="15">
        <v>0</v>
      </c>
      <c r="AF198" s="15">
        <v>0</v>
      </c>
      <c r="AG198" s="15">
        <v>0</v>
      </c>
      <c r="AH198" s="15">
        <v>0</v>
      </c>
      <c r="AI198" s="15">
        <f t="shared" si="6"/>
        <v>0.34199999999999997</v>
      </c>
      <c r="AJ198" s="15">
        <f t="shared" si="7"/>
        <v>6.0419999999999998</v>
      </c>
      <c r="AK198" t="s">
        <v>47</v>
      </c>
    </row>
    <row r="199" spans="1:37" ht="15" customHeight="1" x14ac:dyDescent="0.35">
      <c r="A199">
        <v>690929</v>
      </c>
      <c r="B199" t="s">
        <v>37</v>
      </c>
      <c r="C199" t="s">
        <v>38</v>
      </c>
      <c r="D199" s="9" t="s">
        <v>39</v>
      </c>
      <c r="E199" s="10" t="s">
        <v>37</v>
      </c>
      <c r="F199" s="11"/>
      <c r="G199" t="s">
        <v>678</v>
      </c>
      <c r="I199" t="s">
        <v>41</v>
      </c>
      <c r="J199" t="s">
        <v>679</v>
      </c>
      <c r="K199" t="s">
        <v>43</v>
      </c>
      <c r="L199">
        <v>2</v>
      </c>
      <c r="M199" t="s">
        <v>44</v>
      </c>
      <c r="N199" t="s">
        <v>45</v>
      </c>
      <c r="O199" t="s">
        <v>46</v>
      </c>
      <c r="P199" s="5">
        <v>1</v>
      </c>
      <c r="Q199" s="12">
        <v>44698.578518518516</v>
      </c>
      <c r="R199" s="13">
        <v>44703</v>
      </c>
      <c r="T199" t="s">
        <v>47</v>
      </c>
      <c r="U199" t="s">
        <v>48</v>
      </c>
      <c r="V199" t="s">
        <v>70</v>
      </c>
      <c r="Y199" t="s">
        <v>680</v>
      </c>
      <c r="Z199">
        <v>44010</v>
      </c>
      <c r="AA199" t="s">
        <v>47</v>
      </c>
      <c r="AB199" t="s">
        <v>58</v>
      </c>
      <c r="AC199" t="s">
        <v>53</v>
      </c>
      <c r="AD199" s="16">
        <f>IF(P199&lt;=1,4.9,4.9+0.8*ROUNDUP(P199-1,0))</f>
        <v>4.9000000000000004</v>
      </c>
      <c r="AE199" s="15">
        <v>0</v>
      </c>
      <c r="AF199" s="15">
        <v>0</v>
      </c>
      <c r="AG199" s="15">
        <v>0</v>
      </c>
      <c r="AH199" s="15">
        <v>0</v>
      </c>
      <c r="AI199" s="15">
        <f t="shared" si="6"/>
        <v>0.29399999999999998</v>
      </c>
      <c r="AJ199" s="15">
        <f t="shared" si="7"/>
        <v>5.194</v>
      </c>
      <c r="AK199" t="s">
        <v>47</v>
      </c>
    </row>
    <row r="200" spans="1:37" ht="15" customHeight="1" x14ac:dyDescent="0.35">
      <c r="A200">
        <v>690929</v>
      </c>
      <c r="B200" t="s">
        <v>37</v>
      </c>
      <c r="C200" t="s">
        <v>38</v>
      </c>
      <c r="D200" s="9" t="s">
        <v>39</v>
      </c>
      <c r="E200" s="10" t="s">
        <v>37</v>
      </c>
      <c r="F200" s="11"/>
      <c r="G200" t="s">
        <v>681</v>
      </c>
      <c r="I200" t="s">
        <v>41</v>
      </c>
      <c r="J200" t="s">
        <v>682</v>
      </c>
      <c r="K200" t="s">
        <v>43</v>
      </c>
      <c r="L200">
        <v>2</v>
      </c>
      <c r="M200" t="s">
        <v>44</v>
      </c>
      <c r="N200" t="s">
        <v>45</v>
      </c>
      <c r="O200" t="s">
        <v>46</v>
      </c>
      <c r="P200" s="5">
        <v>1</v>
      </c>
      <c r="Q200" s="12">
        <v>44700.735625000001</v>
      </c>
      <c r="R200" s="13">
        <v>44703</v>
      </c>
      <c r="T200" t="s">
        <v>47</v>
      </c>
      <c r="U200" t="s">
        <v>58</v>
      </c>
      <c r="V200" t="s">
        <v>122</v>
      </c>
      <c r="Y200" t="s">
        <v>683</v>
      </c>
      <c r="Z200">
        <v>9400</v>
      </c>
      <c r="AA200" t="s">
        <v>47</v>
      </c>
      <c r="AB200" t="s">
        <v>52</v>
      </c>
      <c r="AC200" t="s">
        <v>53</v>
      </c>
      <c r="AD200" s="16">
        <f>IF(P200&lt;=1,4.9,4.9+0.8*ROUNDUP(P200-1,0))</f>
        <v>4.9000000000000004</v>
      </c>
      <c r="AE200" s="15">
        <v>0</v>
      </c>
      <c r="AF200" s="15">
        <v>0</v>
      </c>
      <c r="AG200" s="15">
        <v>0</v>
      </c>
      <c r="AH200" s="15">
        <v>0</v>
      </c>
      <c r="AI200" s="15">
        <f t="shared" si="6"/>
        <v>0.29399999999999998</v>
      </c>
      <c r="AJ200" s="15">
        <f t="shared" si="7"/>
        <v>5.194</v>
      </c>
      <c r="AK200" t="s">
        <v>47</v>
      </c>
    </row>
    <row r="201" spans="1:37" ht="15" customHeight="1" x14ac:dyDescent="0.35">
      <c r="A201">
        <v>690929</v>
      </c>
      <c r="B201" t="s">
        <v>37</v>
      </c>
      <c r="C201" t="s">
        <v>38</v>
      </c>
      <c r="D201" s="9" t="s">
        <v>39</v>
      </c>
      <c r="E201" s="10" t="s">
        <v>37</v>
      </c>
      <c r="F201" s="11"/>
      <c r="G201" t="s">
        <v>684</v>
      </c>
      <c r="I201" t="s">
        <v>41</v>
      </c>
      <c r="J201" t="s">
        <v>685</v>
      </c>
      <c r="K201" t="s">
        <v>43</v>
      </c>
      <c r="L201">
        <v>2</v>
      </c>
      <c r="M201" t="s">
        <v>44</v>
      </c>
      <c r="N201" t="s">
        <v>45</v>
      </c>
      <c r="O201" t="s">
        <v>46</v>
      </c>
      <c r="P201" s="5">
        <v>1</v>
      </c>
      <c r="Q201" s="12">
        <v>44700.825833333336</v>
      </c>
      <c r="R201" s="13">
        <v>44704</v>
      </c>
      <c r="T201" t="s">
        <v>47</v>
      </c>
      <c r="U201" t="s">
        <v>58</v>
      </c>
      <c r="V201" t="s">
        <v>164</v>
      </c>
      <c r="Y201" t="s">
        <v>686</v>
      </c>
      <c r="Z201">
        <v>34750</v>
      </c>
      <c r="AA201" t="s">
        <v>47</v>
      </c>
      <c r="AB201" t="s">
        <v>52</v>
      </c>
      <c r="AC201" t="s">
        <v>53</v>
      </c>
      <c r="AD201" s="16">
        <f>IF(P201&lt;=1,4.9,4.9+0.8*ROUNDUP(P201-1,0))</f>
        <v>4.9000000000000004</v>
      </c>
      <c r="AE201" s="15">
        <v>0</v>
      </c>
      <c r="AF201" s="15">
        <v>0</v>
      </c>
      <c r="AG201" s="15">
        <v>0</v>
      </c>
      <c r="AH201" s="15">
        <v>0</v>
      </c>
      <c r="AI201" s="15">
        <f t="shared" si="6"/>
        <v>0.29399999999999998</v>
      </c>
      <c r="AJ201" s="15">
        <f t="shared" si="7"/>
        <v>5.194</v>
      </c>
      <c r="AK201" t="s">
        <v>47</v>
      </c>
    </row>
    <row r="202" spans="1:37" ht="15" customHeight="1" x14ac:dyDescent="0.35">
      <c r="A202">
        <v>690929</v>
      </c>
      <c r="B202" t="s">
        <v>37</v>
      </c>
      <c r="C202" t="s">
        <v>38</v>
      </c>
      <c r="D202" s="9" t="s">
        <v>39</v>
      </c>
      <c r="E202" s="10" t="s">
        <v>37</v>
      </c>
      <c r="F202" s="11"/>
      <c r="G202" t="s">
        <v>687</v>
      </c>
      <c r="I202" t="s">
        <v>41</v>
      </c>
      <c r="J202" t="s">
        <v>688</v>
      </c>
      <c r="K202" t="s">
        <v>43</v>
      </c>
      <c r="L202">
        <v>2</v>
      </c>
      <c r="M202" t="s">
        <v>44</v>
      </c>
      <c r="N202" t="s">
        <v>45</v>
      </c>
      <c r="O202" t="s">
        <v>46</v>
      </c>
      <c r="P202" s="5">
        <v>3</v>
      </c>
      <c r="Q202" s="12">
        <v>44697.503391203703</v>
      </c>
      <c r="R202" s="13">
        <v>44704</v>
      </c>
      <c r="T202" t="s">
        <v>47</v>
      </c>
      <c r="U202" t="s">
        <v>48</v>
      </c>
      <c r="V202" t="s">
        <v>56</v>
      </c>
      <c r="Y202" t="s">
        <v>689</v>
      </c>
      <c r="Z202">
        <v>28200</v>
      </c>
      <c r="AA202" t="s">
        <v>47</v>
      </c>
      <c r="AB202" t="s">
        <v>52</v>
      </c>
      <c r="AC202" t="s">
        <v>53</v>
      </c>
      <c r="AD202" s="16">
        <f>IF(P202&lt;=1,4.9,4.9+0.8*ROUNDUP(P202-1,0))</f>
        <v>6.5</v>
      </c>
      <c r="AE202" s="15">
        <v>0</v>
      </c>
      <c r="AF202" s="15">
        <v>0</v>
      </c>
      <c r="AG202" s="15">
        <v>0</v>
      </c>
      <c r="AH202" s="15">
        <v>0</v>
      </c>
      <c r="AI202" s="15">
        <f t="shared" si="6"/>
        <v>0.39</v>
      </c>
      <c r="AJ202" s="15">
        <f t="shared" si="7"/>
        <v>6.89</v>
      </c>
      <c r="AK202" t="s">
        <v>47</v>
      </c>
    </row>
    <row r="203" spans="1:37" ht="15" customHeight="1" x14ac:dyDescent="0.35">
      <c r="A203">
        <v>690929</v>
      </c>
      <c r="B203" t="s">
        <v>37</v>
      </c>
      <c r="C203" t="s">
        <v>38</v>
      </c>
      <c r="D203" s="9" t="s">
        <v>39</v>
      </c>
      <c r="E203" s="10" t="s">
        <v>37</v>
      </c>
      <c r="F203" s="11"/>
      <c r="G203" t="s">
        <v>690</v>
      </c>
      <c r="I203" t="s">
        <v>41</v>
      </c>
      <c r="J203" t="s">
        <v>691</v>
      </c>
      <c r="K203" t="s">
        <v>43</v>
      </c>
      <c r="L203">
        <v>2</v>
      </c>
      <c r="M203" t="s">
        <v>44</v>
      </c>
      <c r="N203" t="s">
        <v>45</v>
      </c>
      <c r="O203" t="s">
        <v>92</v>
      </c>
      <c r="P203" s="5">
        <v>12</v>
      </c>
      <c r="Q203" s="12">
        <v>44703.536157407405</v>
      </c>
      <c r="R203" s="13">
        <v>44704</v>
      </c>
      <c r="T203" t="s">
        <v>47</v>
      </c>
      <c r="U203" t="s">
        <v>48</v>
      </c>
      <c r="V203" t="s">
        <v>110</v>
      </c>
      <c r="Y203" t="s">
        <v>692</v>
      </c>
      <c r="Z203">
        <v>21300</v>
      </c>
      <c r="AA203" t="s">
        <v>47</v>
      </c>
      <c r="AB203" t="s">
        <v>303</v>
      </c>
      <c r="AC203" t="s">
        <v>53</v>
      </c>
      <c r="AD203" s="16">
        <f>IF(P203&lt;=1,4.9,4.9+0.8*ROUNDUP(P203-1,0))</f>
        <v>13.700000000000001</v>
      </c>
      <c r="AE203" s="15">
        <v>0</v>
      </c>
      <c r="AF203" s="15">
        <v>0</v>
      </c>
      <c r="AG203" s="15">
        <v>0</v>
      </c>
      <c r="AH203" s="15">
        <v>0</v>
      </c>
      <c r="AI203" s="15">
        <f t="shared" si="6"/>
        <v>0.82200000000000006</v>
      </c>
      <c r="AJ203" s="15">
        <f t="shared" si="7"/>
        <v>14.522000000000002</v>
      </c>
      <c r="AK203" t="s">
        <v>47</v>
      </c>
    </row>
    <row r="204" spans="1:37" ht="15" customHeight="1" x14ac:dyDescent="0.35">
      <c r="A204">
        <v>690929</v>
      </c>
      <c r="B204" t="s">
        <v>37</v>
      </c>
      <c r="C204" t="s">
        <v>38</v>
      </c>
      <c r="D204" s="9" t="s">
        <v>39</v>
      </c>
      <c r="E204" s="10" t="s">
        <v>37</v>
      </c>
      <c r="F204" s="11"/>
      <c r="G204" t="s">
        <v>693</v>
      </c>
      <c r="I204" t="s">
        <v>41</v>
      </c>
      <c r="J204" t="s">
        <v>694</v>
      </c>
      <c r="K204" t="s">
        <v>43</v>
      </c>
      <c r="L204">
        <v>2</v>
      </c>
      <c r="M204" t="s">
        <v>44</v>
      </c>
      <c r="N204" t="s">
        <v>45</v>
      </c>
      <c r="O204" t="s">
        <v>531</v>
      </c>
      <c r="P204" s="5">
        <v>5</v>
      </c>
      <c r="Q204" s="12">
        <v>44702.426018518519</v>
      </c>
      <c r="R204" s="13">
        <v>44704</v>
      </c>
      <c r="T204" t="s">
        <v>47</v>
      </c>
      <c r="U204" t="s">
        <v>48</v>
      </c>
      <c r="V204" t="s">
        <v>110</v>
      </c>
      <c r="Y204" t="s">
        <v>695</v>
      </c>
      <c r="Z204">
        <v>21050</v>
      </c>
      <c r="AA204" t="s">
        <v>47</v>
      </c>
      <c r="AB204" t="s">
        <v>696</v>
      </c>
      <c r="AC204" t="s">
        <v>53</v>
      </c>
      <c r="AD204" s="16">
        <f>IF(P204&lt;=1,4.9,4.9+0.8*ROUNDUP(P204-1,0))</f>
        <v>8.1000000000000014</v>
      </c>
      <c r="AE204" s="15">
        <v>0</v>
      </c>
      <c r="AF204" s="15">
        <v>0</v>
      </c>
      <c r="AG204" s="15">
        <v>0</v>
      </c>
      <c r="AH204" s="15">
        <v>0</v>
      </c>
      <c r="AI204" s="15">
        <f t="shared" si="6"/>
        <v>0.48600000000000004</v>
      </c>
      <c r="AJ204" s="15">
        <f t="shared" si="7"/>
        <v>8.5860000000000021</v>
      </c>
      <c r="AK204" t="s">
        <v>47</v>
      </c>
    </row>
    <row r="205" spans="1:37" ht="15" customHeight="1" x14ac:dyDescent="0.35">
      <c r="A205">
        <v>690929</v>
      </c>
      <c r="B205" t="s">
        <v>37</v>
      </c>
      <c r="C205" t="s">
        <v>38</v>
      </c>
      <c r="D205" s="9" t="s">
        <v>39</v>
      </c>
      <c r="E205" s="10" t="s">
        <v>37</v>
      </c>
      <c r="F205" s="11"/>
      <c r="G205" t="s">
        <v>697</v>
      </c>
      <c r="I205" t="s">
        <v>41</v>
      </c>
      <c r="J205" t="s">
        <v>698</v>
      </c>
      <c r="K205" t="s">
        <v>43</v>
      </c>
      <c r="L205">
        <v>2</v>
      </c>
      <c r="M205" t="s">
        <v>44</v>
      </c>
      <c r="N205" t="s">
        <v>45</v>
      </c>
      <c r="O205" t="s">
        <v>46</v>
      </c>
      <c r="P205" s="5">
        <v>1</v>
      </c>
      <c r="Q205" s="12">
        <v>44702.67597222222</v>
      </c>
      <c r="R205" s="13">
        <v>44704</v>
      </c>
      <c r="T205" t="s">
        <v>47</v>
      </c>
      <c r="U205" t="s">
        <v>48</v>
      </c>
      <c r="V205" t="s">
        <v>110</v>
      </c>
      <c r="Y205" t="s">
        <v>699</v>
      </c>
      <c r="Z205">
        <v>20050</v>
      </c>
      <c r="AA205" t="s">
        <v>47</v>
      </c>
      <c r="AB205" t="s">
        <v>58</v>
      </c>
      <c r="AC205" t="s">
        <v>53</v>
      </c>
      <c r="AD205" s="16">
        <f>IF(P205&lt;=1,4.9,4.9+0.8*ROUNDUP(P205-1,0))</f>
        <v>4.9000000000000004</v>
      </c>
      <c r="AE205" s="15">
        <v>0</v>
      </c>
      <c r="AF205" s="15">
        <v>0</v>
      </c>
      <c r="AG205" s="15">
        <v>0</v>
      </c>
      <c r="AH205" s="15">
        <v>0</v>
      </c>
      <c r="AI205" s="15">
        <f t="shared" si="6"/>
        <v>0.29399999999999998</v>
      </c>
      <c r="AJ205" s="15">
        <f t="shared" si="7"/>
        <v>5.194</v>
      </c>
      <c r="AK205" t="s">
        <v>47</v>
      </c>
    </row>
    <row r="206" spans="1:37" ht="15" customHeight="1" x14ac:dyDescent="0.35">
      <c r="A206">
        <v>690929</v>
      </c>
      <c r="B206" t="s">
        <v>37</v>
      </c>
      <c r="C206" t="s">
        <v>38</v>
      </c>
      <c r="D206" s="9" t="s">
        <v>39</v>
      </c>
      <c r="E206" s="10" t="s">
        <v>37</v>
      </c>
      <c r="F206" s="11"/>
      <c r="G206" t="s">
        <v>700</v>
      </c>
      <c r="I206" t="s">
        <v>41</v>
      </c>
      <c r="J206" t="s">
        <v>701</v>
      </c>
      <c r="K206" t="s">
        <v>43</v>
      </c>
      <c r="L206">
        <v>2</v>
      </c>
      <c r="M206" t="s">
        <v>44</v>
      </c>
      <c r="N206" t="s">
        <v>45</v>
      </c>
      <c r="O206" t="s">
        <v>531</v>
      </c>
      <c r="P206" s="5">
        <v>4</v>
      </c>
      <c r="Q206" s="12">
        <v>44702.482430555552</v>
      </c>
      <c r="R206" s="13">
        <v>44704</v>
      </c>
      <c r="T206" t="s">
        <v>47</v>
      </c>
      <c r="U206" t="s">
        <v>48</v>
      </c>
      <c r="V206" t="s">
        <v>164</v>
      </c>
      <c r="Y206" t="s">
        <v>702</v>
      </c>
      <c r="Z206">
        <v>33000</v>
      </c>
      <c r="AA206" t="s">
        <v>47</v>
      </c>
      <c r="AB206" t="s">
        <v>703</v>
      </c>
      <c r="AC206" t="s">
        <v>53</v>
      </c>
      <c r="AD206" s="16">
        <f>IF(P206&lt;=1,4.9,4.9+0.8*ROUNDUP(P206-1,0))</f>
        <v>7.3000000000000007</v>
      </c>
      <c r="AE206" s="15">
        <v>0</v>
      </c>
      <c r="AF206" s="15">
        <v>0</v>
      </c>
      <c r="AG206" s="15">
        <v>0</v>
      </c>
      <c r="AH206" s="15">
        <v>0</v>
      </c>
      <c r="AI206" s="15">
        <f t="shared" si="6"/>
        <v>0.438</v>
      </c>
      <c r="AJ206" s="15">
        <f t="shared" si="7"/>
        <v>7.7380000000000004</v>
      </c>
      <c r="AK206" t="s">
        <v>47</v>
      </c>
    </row>
    <row r="207" spans="1:37" ht="15" customHeight="1" x14ac:dyDescent="0.35">
      <c r="A207">
        <v>690929</v>
      </c>
      <c r="B207" t="s">
        <v>37</v>
      </c>
      <c r="C207" t="s">
        <v>38</v>
      </c>
      <c r="D207" s="9" t="s">
        <v>39</v>
      </c>
      <c r="E207" s="10" t="s">
        <v>37</v>
      </c>
      <c r="F207" s="11"/>
      <c r="G207" t="s">
        <v>704</v>
      </c>
      <c r="I207" t="s">
        <v>41</v>
      </c>
      <c r="J207" t="s">
        <v>705</v>
      </c>
      <c r="K207" t="s">
        <v>43</v>
      </c>
      <c r="L207">
        <v>2</v>
      </c>
      <c r="M207" t="s">
        <v>44</v>
      </c>
      <c r="N207" t="s">
        <v>45</v>
      </c>
      <c r="O207" t="s">
        <v>46</v>
      </c>
      <c r="P207" s="5">
        <v>1</v>
      </c>
      <c r="Q207" s="12">
        <v>44701.734120370369</v>
      </c>
      <c r="R207" s="13">
        <v>44704</v>
      </c>
      <c r="T207" t="s">
        <v>47</v>
      </c>
      <c r="U207" t="s">
        <v>48</v>
      </c>
      <c r="V207" t="s">
        <v>70</v>
      </c>
      <c r="Y207" t="s">
        <v>706</v>
      </c>
      <c r="Z207">
        <v>45200</v>
      </c>
      <c r="AA207" t="s">
        <v>47</v>
      </c>
      <c r="AB207" t="s">
        <v>52</v>
      </c>
      <c r="AC207" t="s">
        <v>53</v>
      </c>
      <c r="AD207" s="16">
        <f>IF(P207&lt;=1,4.9,4.9+0.8*ROUNDUP(P207-1,0))</f>
        <v>4.9000000000000004</v>
      </c>
      <c r="AE207" s="15">
        <v>0</v>
      </c>
      <c r="AF207" s="15">
        <v>0</v>
      </c>
      <c r="AG207" s="15">
        <v>0</v>
      </c>
      <c r="AH207" s="15">
        <v>0</v>
      </c>
      <c r="AI207" s="15">
        <f t="shared" si="6"/>
        <v>0.29399999999999998</v>
      </c>
      <c r="AJ207" s="15">
        <f t="shared" si="7"/>
        <v>5.194</v>
      </c>
      <c r="AK207" t="s">
        <v>47</v>
      </c>
    </row>
    <row r="208" spans="1:37" ht="15" customHeight="1" x14ac:dyDescent="0.35">
      <c r="A208">
        <v>690929</v>
      </c>
      <c r="B208" t="s">
        <v>37</v>
      </c>
      <c r="C208" t="s">
        <v>38</v>
      </c>
      <c r="D208" s="9" t="s">
        <v>39</v>
      </c>
      <c r="E208" s="10" t="s">
        <v>37</v>
      </c>
      <c r="F208" s="11"/>
      <c r="G208" t="s">
        <v>707</v>
      </c>
      <c r="I208" t="s">
        <v>41</v>
      </c>
      <c r="J208" t="s">
        <v>708</v>
      </c>
      <c r="K208" t="s">
        <v>43</v>
      </c>
      <c r="L208">
        <v>2</v>
      </c>
      <c r="M208" t="s">
        <v>44</v>
      </c>
      <c r="N208" t="s">
        <v>45</v>
      </c>
      <c r="O208" t="s">
        <v>46</v>
      </c>
      <c r="P208" s="5">
        <v>1</v>
      </c>
      <c r="Q208" s="12">
        <v>44703.522604166668</v>
      </c>
      <c r="R208" s="13">
        <v>44704</v>
      </c>
      <c r="T208" t="s">
        <v>47</v>
      </c>
      <c r="U208" t="s">
        <v>48</v>
      </c>
      <c r="V208" t="s">
        <v>56</v>
      </c>
      <c r="Y208" t="s">
        <v>709</v>
      </c>
      <c r="Z208">
        <v>26400</v>
      </c>
      <c r="AA208" t="s">
        <v>47</v>
      </c>
      <c r="AB208" t="s">
        <v>275</v>
      </c>
      <c r="AC208" t="s">
        <v>53</v>
      </c>
      <c r="AD208" s="16">
        <f>IF(P208&lt;=1,4.9,4.9+0.8*ROUNDUP(P208-1,0))</f>
        <v>4.9000000000000004</v>
      </c>
      <c r="AE208" s="15">
        <v>0</v>
      </c>
      <c r="AF208" s="15">
        <v>0</v>
      </c>
      <c r="AG208" s="15">
        <v>0</v>
      </c>
      <c r="AH208" s="15">
        <v>0</v>
      </c>
      <c r="AI208" s="15">
        <f t="shared" si="6"/>
        <v>0.29399999999999998</v>
      </c>
      <c r="AJ208" s="15">
        <f t="shared" si="7"/>
        <v>5.194</v>
      </c>
      <c r="AK208" t="s">
        <v>47</v>
      </c>
    </row>
    <row r="209" spans="1:37" ht="15" customHeight="1" x14ac:dyDescent="0.35">
      <c r="A209">
        <v>690929</v>
      </c>
      <c r="B209" t="s">
        <v>37</v>
      </c>
      <c r="C209" t="s">
        <v>38</v>
      </c>
      <c r="D209" s="9" t="s">
        <v>39</v>
      </c>
      <c r="E209" s="10" t="s">
        <v>37</v>
      </c>
      <c r="F209" s="11"/>
      <c r="G209" t="s">
        <v>710</v>
      </c>
      <c r="I209" t="s">
        <v>41</v>
      </c>
      <c r="J209" t="s">
        <v>711</v>
      </c>
      <c r="K209" t="s">
        <v>43</v>
      </c>
      <c r="L209">
        <v>2</v>
      </c>
      <c r="M209" t="s">
        <v>44</v>
      </c>
      <c r="N209" t="s">
        <v>45</v>
      </c>
      <c r="O209" t="s">
        <v>46</v>
      </c>
      <c r="P209" s="5">
        <v>1</v>
      </c>
      <c r="Q209" s="12">
        <v>44700.702175925922</v>
      </c>
      <c r="R209" s="13">
        <v>44704</v>
      </c>
      <c r="T209" t="s">
        <v>47</v>
      </c>
      <c r="U209" t="s">
        <v>58</v>
      </c>
      <c r="V209" t="s">
        <v>70</v>
      </c>
      <c r="Y209" t="s">
        <v>712</v>
      </c>
      <c r="Z209">
        <v>43650</v>
      </c>
      <c r="AA209" t="s">
        <v>47</v>
      </c>
      <c r="AB209" t="s">
        <v>52</v>
      </c>
      <c r="AC209" t="s">
        <v>53</v>
      </c>
      <c r="AD209" s="16">
        <f>IF(P209&lt;=1,4.9,4.9+0.8*ROUNDUP(P209-1,0))</f>
        <v>4.9000000000000004</v>
      </c>
      <c r="AE209" s="15">
        <v>0</v>
      </c>
      <c r="AF209" s="15">
        <v>0</v>
      </c>
      <c r="AG209" s="15">
        <v>0</v>
      </c>
      <c r="AH209" s="15">
        <v>0</v>
      </c>
      <c r="AI209" s="15">
        <f t="shared" si="6"/>
        <v>0.29399999999999998</v>
      </c>
      <c r="AJ209" s="15">
        <f t="shared" si="7"/>
        <v>5.194</v>
      </c>
      <c r="AK209" t="s">
        <v>47</v>
      </c>
    </row>
    <row r="210" spans="1:37" ht="15" customHeight="1" x14ac:dyDescent="0.35">
      <c r="A210">
        <v>690929</v>
      </c>
      <c r="B210" t="s">
        <v>37</v>
      </c>
      <c r="C210" t="s">
        <v>38</v>
      </c>
      <c r="D210" s="9" t="s">
        <v>39</v>
      </c>
      <c r="E210" s="10" t="s">
        <v>37</v>
      </c>
      <c r="F210" s="11"/>
      <c r="G210" t="s">
        <v>713</v>
      </c>
      <c r="I210" t="s">
        <v>41</v>
      </c>
      <c r="J210" t="s">
        <v>714</v>
      </c>
      <c r="K210" t="s">
        <v>43</v>
      </c>
      <c r="L210">
        <v>2</v>
      </c>
      <c r="M210" t="s">
        <v>44</v>
      </c>
      <c r="N210" t="s">
        <v>45</v>
      </c>
      <c r="O210" t="s">
        <v>46</v>
      </c>
      <c r="P210" s="5">
        <v>1</v>
      </c>
      <c r="Q210" s="12">
        <v>44700.733402777776</v>
      </c>
      <c r="R210" s="13">
        <v>44704</v>
      </c>
      <c r="T210" t="s">
        <v>47</v>
      </c>
      <c r="U210" t="s">
        <v>58</v>
      </c>
      <c r="V210" t="s">
        <v>114</v>
      </c>
      <c r="Y210" t="s">
        <v>715</v>
      </c>
      <c r="Z210">
        <v>14100</v>
      </c>
      <c r="AA210" t="s">
        <v>47</v>
      </c>
      <c r="AB210" t="s">
        <v>52</v>
      </c>
      <c r="AC210" t="s">
        <v>53</v>
      </c>
      <c r="AD210" s="16">
        <f>IF(P210&lt;=1,4.9,4.9+0.8*ROUNDUP(P210-1,0))</f>
        <v>4.9000000000000004</v>
      </c>
      <c r="AE210" s="15">
        <v>0</v>
      </c>
      <c r="AF210" s="15">
        <v>0</v>
      </c>
      <c r="AG210" s="15">
        <v>0</v>
      </c>
      <c r="AH210" s="15">
        <v>0</v>
      </c>
      <c r="AI210" s="15">
        <f t="shared" si="6"/>
        <v>0.29399999999999998</v>
      </c>
      <c r="AJ210" s="15">
        <f t="shared" si="7"/>
        <v>5.194</v>
      </c>
      <c r="AK210" t="s">
        <v>47</v>
      </c>
    </row>
    <row r="211" spans="1:37" ht="15" customHeight="1" x14ac:dyDescent="0.35">
      <c r="A211">
        <v>690929</v>
      </c>
      <c r="B211" t="s">
        <v>37</v>
      </c>
      <c r="C211" t="s">
        <v>38</v>
      </c>
      <c r="D211" s="9" t="s">
        <v>39</v>
      </c>
      <c r="E211" s="10" t="s">
        <v>37</v>
      </c>
      <c r="F211" s="11"/>
      <c r="G211" t="s">
        <v>716</v>
      </c>
      <c r="I211" t="s">
        <v>41</v>
      </c>
      <c r="J211" t="s">
        <v>717</v>
      </c>
      <c r="K211" t="s">
        <v>43</v>
      </c>
      <c r="L211">
        <v>2</v>
      </c>
      <c r="M211" t="s">
        <v>44</v>
      </c>
      <c r="N211" t="s">
        <v>45</v>
      </c>
      <c r="O211" t="s">
        <v>92</v>
      </c>
      <c r="P211" s="5">
        <v>2</v>
      </c>
      <c r="Q211" s="12">
        <v>44700.828553240739</v>
      </c>
      <c r="R211" s="13">
        <v>44704</v>
      </c>
      <c r="T211" t="s">
        <v>47</v>
      </c>
      <c r="U211" t="s">
        <v>58</v>
      </c>
      <c r="V211" t="s">
        <v>407</v>
      </c>
      <c r="Y211" t="s">
        <v>718</v>
      </c>
      <c r="Z211">
        <v>73200</v>
      </c>
      <c r="AA211" t="s">
        <v>47</v>
      </c>
      <c r="AB211" t="s">
        <v>52</v>
      </c>
      <c r="AC211" t="s">
        <v>53</v>
      </c>
      <c r="AD211" s="16">
        <f>IF(P211&lt;=1,4.9,4.9+0.8*ROUNDUP(P211-1,0))</f>
        <v>5.7</v>
      </c>
      <c r="AE211" s="15">
        <v>0</v>
      </c>
      <c r="AF211" s="15">
        <v>0</v>
      </c>
      <c r="AG211" s="15">
        <v>0</v>
      </c>
      <c r="AH211" s="15">
        <v>0</v>
      </c>
      <c r="AI211" s="15">
        <f t="shared" si="6"/>
        <v>0.34199999999999997</v>
      </c>
      <c r="AJ211" s="15">
        <f t="shared" si="7"/>
        <v>6.0419999999999998</v>
      </c>
      <c r="AK211" t="s">
        <v>47</v>
      </c>
    </row>
    <row r="212" spans="1:37" ht="15" customHeight="1" x14ac:dyDescent="0.35">
      <c r="A212">
        <v>690929</v>
      </c>
      <c r="B212" t="s">
        <v>37</v>
      </c>
      <c r="C212" t="s">
        <v>38</v>
      </c>
      <c r="D212" s="9" t="s">
        <v>39</v>
      </c>
      <c r="E212" s="10" t="s">
        <v>37</v>
      </c>
      <c r="F212" s="11"/>
      <c r="G212" t="s">
        <v>719</v>
      </c>
      <c r="I212" t="s">
        <v>41</v>
      </c>
      <c r="J212" t="s">
        <v>225</v>
      </c>
      <c r="K212" t="s">
        <v>43</v>
      </c>
      <c r="L212">
        <v>2</v>
      </c>
      <c r="M212" t="s">
        <v>44</v>
      </c>
      <c r="N212" t="s">
        <v>45</v>
      </c>
      <c r="O212" t="s">
        <v>46</v>
      </c>
      <c r="P212" s="5">
        <v>1</v>
      </c>
      <c r="Q212" s="12">
        <v>44703.427372685182</v>
      </c>
      <c r="R212" s="13">
        <v>44704</v>
      </c>
      <c r="T212" t="s">
        <v>47</v>
      </c>
      <c r="U212" t="s">
        <v>48</v>
      </c>
      <c r="V212" t="s">
        <v>61</v>
      </c>
      <c r="Y212" t="s">
        <v>226</v>
      </c>
      <c r="Z212">
        <v>17600</v>
      </c>
      <c r="AA212" t="s">
        <v>47</v>
      </c>
      <c r="AB212" t="s">
        <v>58</v>
      </c>
      <c r="AC212" t="s">
        <v>53</v>
      </c>
      <c r="AD212" s="16">
        <f>IF(P212&lt;=1,4.9,4.9+0.8*ROUNDUP(P212-1,0))</f>
        <v>4.9000000000000004</v>
      </c>
      <c r="AE212" s="15">
        <v>0</v>
      </c>
      <c r="AF212" s="15">
        <v>0</v>
      </c>
      <c r="AG212" s="15">
        <v>0</v>
      </c>
      <c r="AH212" s="15">
        <v>0</v>
      </c>
      <c r="AI212" s="15">
        <f t="shared" si="6"/>
        <v>0.29399999999999998</v>
      </c>
      <c r="AJ212" s="15">
        <f t="shared" si="7"/>
        <v>5.194</v>
      </c>
      <c r="AK212" t="s">
        <v>47</v>
      </c>
    </row>
    <row r="213" spans="1:37" ht="15" customHeight="1" x14ac:dyDescent="0.35">
      <c r="A213">
        <v>690929</v>
      </c>
      <c r="B213" t="s">
        <v>37</v>
      </c>
      <c r="C213" t="s">
        <v>38</v>
      </c>
      <c r="D213" s="9" t="s">
        <v>39</v>
      </c>
      <c r="E213" s="10" t="s">
        <v>37</v>
      </c>
      <c r="F213" s="11"/>
      <c r="G213" t="s">
        <v>720</v>
      </c>
      <c r="I213" t="s">
        <v>41</v>
      </c>
      <c r="J213" t="s">
        <v>721</v>
      </c>
      <c r="K213" t="s">
        <v>43</v>
      </c>
      <c r="L213">
        <v>2</v>
      </c>
      <c r="M213" t="s">
        <v>44</v>
      </c>
      <c r="N213" t="s">
        <v>45</v>
      </c>
      <c r="O213" t="s">
        <v>46</v>
      </c>
      <c r="P213" s="5">
        <v>1</v>
      </c>
      <c r="Q213" s="12">
        <v>44700.873749999999</v>
      </c>
      <c r="R213" s="13">
        <v>44704</v>
      </c>
      <c r="T213" t="s">
        <v>47</v>
      </c>
      <c r="U213" t="s">
        <v>58</v>
      </c>
      <c r="V213" t="s">
        <v>76</v>
      </c>
      <c r="Y213" t="s">
        <v>722</v>
      </c>
      <c r="Z213">
        <v>75460</v>
      </c>
      <c r="AA213" t="s">
        <v>47</v>
      </c>
      <c r="AB213" t="s">
        <v>52</v>
      </c>
      <c r="AC213" t="s">
        <v>53</v>
      </c>
      <c r="AD213" s="16">
        <f>IF(P213&lt;=1,4.9,4.9+0.8*ROUNDUP(P213-1,0))</f>
        <v>4.9000000000000004</v>
      </c>
      <c r="AE213" s="15">
        <v>0</v>
      </c>
      <c r="AF213" s="15">
        <v>0</v>
      </c>
      <c r="AG213" s="15">
        <v>0</v>
      </c>
      <c r="AH213" s="15">
        <v>0</v>
      </c>
      <c r="AI213" s="15">
        <f t="shared" si="6"/>
        <v>0.29399999999999998</v>
      </c>
      <c r="AJ213" s="15">
        <f t="shared" si="7"/>
        <v>5.194</v>
      </c>
      <c r="AK213" t="s">
        <v>47</v>
      </c>
    </row>
    <row r="214" spans="1:37" ht="15" customHeight="1" x14ac:dyDescent="0.35">
      <c r="A214">
        <v>690929</v>
      </c>
      <c r="B214" t="s">
        <v>37</v>
      </c>
      <c r="C214" t="s">
        <v>38</v>
      </c>
      <c r="D214" s="9" t="s">
        <v>39</v>
      </c>
      <c r="E214" s="10" t="s">
        <v>37</v>
      </c>
      <c r="F214" s="11"/>
      <c r="G214" t="s">
        <v>723</v>
      </c>
      <c r="I214" t="s">
        <v>41</v>
      </c>
      <c r="J214" t="s">
        <v>724</v>
      </c>
      <c r="K214" t="s">
        <v>43</v>
      </c>
      <c r="L214">
        <v>2</v>
      </c>
      <c r="M214" t="s">
        <v>44</v>
      </c>
      <c r="N214" t="s">
        <v>45</v>
      </c>
      <c r="O214" t="s">
        <v>46</v>
      </c>
      <c r="P214" s="5">
        <v>1</v>
      </c>
      <c r="Q214" s="12">
        <v>44700.812986111108</v>
      </c>
      <c r="R214" s="13">
        <v>44704</v>
      </c>
      <c r="T214" t="s">
        <v>47</v>
      </c>
      <c r="U214" t="s">
        <v>58</v>
      </c>
      <c r="V214" t="s">
        <v>164</v>
      </c>
      <c r="Y214" t="s">
        <v>725</v>
      </c>
      <c r="Z214">
        <v>35500</v>
      </c>
      <c r="AA214" t="s">
        <v>47</v>
      </c>
      <c r="AB214" t="s">
        <v>52</v>
      </c>
      <c r="AC214" t="s">
        <v>53</v>
      </c>
      <c r="AD214" s="16">
        <f>IF(P214&lt;=1,4.9,4.9+0.8*ROUNDUP(P214-1,0))</f>
        <v>4.9000000000000004</v>
      </c>
      <c r="AE214" s="15">
        <v>0</v>
      </c>
      <c r="AF214" s="15">
        <v>0</v>
      </c>
      <c r="AG214" s="15">
        <v>0</v>
      </c>
      <c r="AH214" s="15">
        <v>0</v>
      </c>
      <c r="AI214" s="15">
        <f t="shared" si="6"/>
        <v>0.29399999999999998</v>
      </c>
      <c r="AJ214" s="15">
        <f t="shared" si="7"/>
        <v>5.194</v>
      </c>
      <c r="AK214" t="s">
        <v>47</v>
      </c>
    </row>
    <row r="215" spans="1:37" ht="15" customHeight="1" x14ac:dyDescent="0.35">
      <c r="A215">
        <v>690929</v>
      </c>
      <c r="B215" t="s">
        <v>37</v>
      </c>
      <c r="C215" t="s">
        <v>38</v>
      </c>
      <c r="D215" s="9" t="s">
        <v>39</v>
      </c>
      <c r="E215" s="10" t="s">
        <v>37</v>
      </c>
      <c r="F215" s="11"/>
      <c r="G215" t="s">
        <v>726</v>
      </c>
      <c r="I215" t="s">
        <v>727</v>
      </c>
      <c r="J215" t="s">
        <v>728</v>
      </c>
      <c r="K215" t="s">
        <v>43</v>
      </c>
      <c r="L215">
        <v>2</v>
      </c>
      <c r="M215" t="s">
        <v>44</v>
      </c>
      <c r="N215" t="s">
        <v>45</v>
      </c>
      <c r="O215" t="s">
        <v>46</v>
      </c>
      <c r="P215" s="5">
        <v>1</v>
      </c>
      <c r="Q215" s="12">
        <v>44691.67900462963</v>
      </c>
      <c r="R215" s="13">
        <v>44704</v>
      </c>
      <c r="T215" t="s">
        <v>47</v>
      </c>
      <c r="U215" t="s">
        <v>48</v>
      </c>
      <c r="V215" t="s">
        <v>70</v>
      </c>
      <c r="Y215" t="s">
        <v>729</v>
      </c>
      <c r="Z215">
        <v>41200</v>
      </c>
      <c r="AA215" t="s">
        <v>47</v>
      </c>
      <c r="AB215" t="s">
        <v>58</v>
      </c>
      <c r="AC215" t="s">
        <v>53</v>
      </c>
      <c r="AD215" s="16">
        <f>IF(P215&lt;=1,4.9,4.9+0.8*ROUNDUP(P215-1,0))</f>
        <v>4.9000000000000004</v>
      </c>
      <c r="AE215" s="15">
        <v>0</v>
      </c>
      <c r="AF215" s="15">
        <v>0</v>
      </c>
      <c r="AG215" s="15">
        <v>0</v>
      </c>
      <c r="AH215" s="15">
        <v>0</v>
      </c>
      <c r="AI215" s="15">
        <f t="shared" si="6"/>
        <v>0.29399999999999998</v>
      </c>
      <c r="AJ215" s="15">
        <f t="shared" si="7"/>
        <v>5.194</v>
      </c>
      <c r="AK215" t="s">
        <v>47</v>
      </c>
    </row>
    <row r="216" spans="1:37" ht="15" customHeight="1" x14ac:dyDescent="0.35">
      <c r="A216">
        <v>690929</v>
      </c>
      <c r="B216" t="s">
        <v>37</v>
      </c>
      <c r="C216" t="s">
        <v>38</v>
      </c>
      <c r="D216" s="9" t="s">
        <v>39</v>
      </c>
      <c r="E216" s="10" t="s">
        <v>37</v>
      </c>
      <c r="F216" s="11"/>
      <c r="G216" t="s">
        <v>730</v>
      </c>
      <c r="I216" t="s">
        <v>41</v>
      </c>
      <c r="J216" t="s">
        <v>731</v>
      </c>
      <c r="K216" t="s">
        <v>43</v>
      </c>
      <c r="L216">
        <v>2</v>
      </c>
      <c r="M216" t="s">
        <v>44</v>
      </c>
      <c r="N216" t="s">
        <v>45</v>
      </c>
      <c r="O216" t="s">
        <v>92</v>
      </c>
      <c r="P216" s="5">
        <v>8</v>
      </c>
      <c r="Q216" s="12">
        <v>44697.52034722222</v>
      </c>
      <c r="R216" s="13">
        <v>44704</v>
      </c>
      <c r="T216" t="s">
        <v>47</v>
      </c>
      <c r="U216" t="s">
        <v>48</v>
      </c>
      <c r="V216" t="s">
        <v>70</v>
      </c>
      <c r="Y216" t="s">
        <v>732</v>
      </c>
      <c r="Z216">
        <v>43300</v>
      </c>
      <c r="AA216" t="s">
        <v>47</v>
      </c>
      <c r="AB216" t="s">
        <v>52</v>
      </c>
      <c r="AC216" t="s">
        <v>53</v>
      </c>
      <c r="AD216" s="16">
        <f>IF(P216&lt;=1,4.9,4.9+0.8*ROUNDUP(P216-1,0))</f>
        <v>10.5</v>
      </c>
      <c r="AE216" s="15">
        <v>0</v>
      </c>
      <c r="AF216" s="15">
        <v>0</v>
      </c>
      <c r="AG216" s="15">
        <v>0</v>
      </c>
      <c r="AH216" s="15">
        <v>0</v>
      </c>
      <c r="AI216" s="15">
        <f t="shared" si="6"/>
        <v>0.63</v>
      </c>
      <c r="AJ216" s="15">
        <f t="shared" si="7"/>
        <v>11.13</v>
      </c>
      <c r="AK216" t="s">
        <v>47</v>
      </c>
    </row>
    <row r="217" spans="1:37" ht="15" customHeight="1" x14ac:dyDescent="0.35">
      <c r="A217">
        <v>690929</v>
      </c>
      <c r="B217" t="s">
        <v>37</v>
      </c>
      <c r="C217" t="s">
        <v>38</v>
      </c>
      <c r="D217" s="9" t="s">
        <v>39</v>
      </c>
      <c r="E217" s="10" t="s">
        <v>37</v>
      </c>
      <c r="F217" s="11"/>
      <c r="G217" t="s">
        <v>733</v>
      </c>
      <c r="I217" t="s">
        <v>41</v>
      </c>
      <c r="J217" t="s">
        <v>734</v>
      </c>
      <c r="K217" t="s">
        <v>43</v>
      </c>
      <c r="L217">
        <v>2</v>
      </c>
      <c r="M217" t="s">
        <v>44</v>
      </c>
      <c r="N217" t="s">
        <v>45</v>
      </c>
      <c r="O217" t="s">
        <v>46</v>
      </c>
      <c r="P217" s="5">
        <v>1</v>
      </c>
      <c r="Q217" s="12">
        <v>44700.61619212963</v>
      </c>
      <c r="R217" s="13">
        <v>44704</v>
      </c>
      <c r="T217" t="s">
        <v>47</v>
      </c>
      <c r="U217" t="s">
        <v>48</v>
      </c>
      <c r="V217" t="s">
        <v>88</v>
      </c>
      <c r="Y217" t="s">
        <v>735</v>
      </c>
      <c r="Z217">
        <v>53000</v>
      </c>
      <c r="AA217" t="s">
        <v>47</v>
      </c>
      <c r="AB217" t="s">
        <v>58</v>
      </c>
      <c r="AC217" t="s">
        <v>53</v>
      </c>
      <c r="AD217" s="16">
        <f>IF(P217&lt;=1,4.9,4.9+0.8*ROUNDUP(P217-1,0))</f>
        <v>4.9000000000000004</v>
      </c>
      <c r="AE217" s="15">
        <v>0</v>
      </c>
      <c r="AF217" s="15">
        <v>0</v>
      </c>
      <c r="AG217" s="15">
        <v>0</v>
      </c>
      <c r="AH217" s="15">
        <v>0</v>
      </c>
      <c r="AI217" s="15">
        <f t="shared" si="6"/>
        <v>0.29399999999999998</v>
      </c>
      <c r="AJ217" s="15">
        <f t="shared" si="7"/>
        <v>5.194</v>
      </c>
      <c r="AK217" t="s">
        <v>47</v>
      </c>
    </row>
    <row r="218" spans="1:37" ht="15" customHeight="1" x14ac:dyDescent="0.35">
      <c r="A218">
        <v>690929</v>
      </c>
      <c r="B218" t="s">
        <v>37</v>
      </c>
      <c r="C218" t="s">
        <v>38</v>
      </c>
      <c r="D218" s="9" t="s">
        <v>39</v>
      </c>
      <c r="E218" s="10" t="s">
        <v>37</v>
      </c>
      <c r="F218" s="11"/>
      <c r="G218" t="s">
        <v>736</v>
      </c>
      <c r="I218" t="s">
        <v>41</v>
      </c>
      <c r="J218" t="s">
        <v>737</v>
      </c>
      <c r="K218" t="s">
        <v>43</v>
      </c>
      <c r="L218">
        <v>2</v>
      </c>
      <c r="M218" t="s">
        <v>44</v>
      </c>
      <c r="N218" t="s">
        <v>45</v>
      </c>
      <c r="O218" t="s">
        <v>46</v>
      </c>
      <c r="P218" s="5">
        <v>3</v>
      </c>
      <c r="Q218" s="12">
        <v>44703.419756944444</v>
      </c>
      <c r="R218" s="13">
        <v>44704</v>
      </c>
      <c r="T218" t="s">
        <v>47</v>
      </c>
      <c r="U218" t="s">
        <v>48</v>
      </c>
      <c r="V218" t="s">
        <v>61</v>
      </c>
      <c r="Y218" t="s">
        <v>738</v>
      </c>
      <c r="Z218">
        <v>17610</v>
      </c>
      <c r="AA218" t="s">
        <v>47</v>
      </c>
      <c r="AB218" t="s">
        <v>58</v>
      </c>
      <c r="AC218" t="s">
        <v>53</v>
      </c>
      <c r="AD218" s="16">
        <f>IF(P218&lt;=1,4.9,4.9+0.8*ROUNDUP(P218-1,0))</f>
        <v>6.5</v>
      </c>
      <c r="AE218" s="15">
        <v>0</v>
      </c>
      <c r="AF218" s="15">
        <v>0</v>
      </c>
      <c r="AG218" s="15">
        <v>0</v>
      </c>
      <c r="AH218" s="15">
        <v>0</v>
      </c>
      <c r="AI218" s="15">
        <f t="shared" si="6"/>
        <v>0.39</v>
      </c>
      <c r="AJ218" s="15">
        <f t="shared" si="7"/>
        <v>6.89</v>
      </c>
      <c r="AK218" t="s">
        <v>47</v>
      </c>
    </row>
    <row r="219" spans="1:37" ht="15" customHeight="1" x14ac:dyDescent="0.35">
      <c r="A219">
        <v>690929</v>
      </c>
      <c r="B219" t="s">
        <v>37</v>
      </c>
      <c r="C219" t="s">
        <v>38</v>
      </c>
      <c r="D219" s="9" t="s">
        <v>39</v>
      </c>
      <c r="E219" s="10" t="s">
        <v>37</v>
      </c>
      <c r="F219" s="11"/>
      <c r="G219" t="s">
        <v>739</v>
      </c>
      <c r="I219" t="s">
        <v>41</v>
      </c>
      <c r="J219" t="s">
        <v>740</v>
      </c>
      <c r="K219" t="s">
        <v>43</v>
      </c>
      <c r="L219">
        <v>2</v>
      </c>
      <c r="M219" t="s">
        <v>44</v>
      </c>
      <c r="N219" t="s">
        <v>45</v>
      </c>
      <c r="O219" t="s">
        <v>46</v>
      </c>
      <c r="P219" s="5">
        <v>1</v>
      </c>
      <c r="Q219" s="12">
        <v>44700.749097222222</v>
      </c>
      <c r="R219" s="13">
        <v>44704</v>
      </c>
      <c r="T219" t="s">
        <v>47</v>
      </c>
      <c r="U219" t="s">
        <v>58</v>
      </c>
      <c r="V219" t="s">
        <v>70</v>
      </c>
      <c r="Y219" t="s">
        <v>741</v>
      </c>
      <c r="Z219">
        <v>41400</v>
      </c>
      <c r="AA219" t="s">
        <v>47</v>
      </c>
      <c r="AB219" t="s">
        <v>592</v>
      </c>
      <c r="AC219" t="s">
        <v>53</v>
      </c>
      <c r="AD219" s="16">
        <f>IF(P219&lt;=1,4.9,4.9+0.8*ROUNDUP(P219-1,0))</f>
        <v>4.9000000000000004</v>
      </c>
      <c r="AE219" s="15">
        <v>0</v>
      </c>
      <c r="AF219" s="15">
        <v>0</v>
      </c>
      <c r="AG219" s="15">
        <v>0</v>
      </c>
      <c r="AH219" s="15">
        <v>0</v>
      </c>
      <c r="AI219" s="15">
        <f t="shared" si="6"/>
        <v>0.29399999999999998</v>
      </c>
      <c r="AJ219" s="15">
        <f t="shared" si="7"/>
        <v>5.194</v>
      </c>
      <c r="AK219" t="s">
        <v>47</v>
      </c>
    </row>
    <row r="220" spans="1:37" ht="15" customHeight="1" x14ac:dyDescent="0.35">
      <c r="A220">
        <v>690929</v>
      </c>
      <c r="B220" t="s">
        <v>37</v>
      </c>
      <c r="C220" t="s">
        <v>38</v>
      </c>
      <c r="D220" s="9" t="s">
        <v>39</v>
      </c>
      <c r="E220" s="10" t="s">
        <v>37</v>
      </c>
      <c r="F220" s="11"/>
      <c r="G220" t="s">
        <v>742</v>
      </c>
      <c r="I220" t="s">
        <v>41</v>
      </c>
      <c r="J220" t="s">
        <v>743</v>
      </c>
      <c r="K220" t="s">
        <v>43</v>
      </c>
      <c r="L220">
        <v>2</v>
      </c>
      <c r="M220" t="s">
        <v>44</v>
      </c>
      <c r="N220" t="s">
        <v>45</v>
      </c>
      <c r="O220" t="s">
        <v>92</v>
      </c>
      <c r="P220" s="5">
        <v>1</v>
      </c>
      <c r="Q220" s="12">
        <v>44703.425740740742</v>
      </c>
      <c r="R220" s="13">
        <v>44704</v>
      </c>
      <c r="T220" t="s">
        <v>47</v>
      </c>
      <c r="U220" t="s">
        <v>48</v>
      </c>
      <c r="V220" t="s">
        <v>70</v>
      </c>
      <c r="Y220" t="s">
        <v>744</v>
      </c>
      <c r="Z220">
        <v>47130</v>
      </c>
      <c r="AA220" t="s">
        <v>47</v>
      </c>
      <c r="AB220" t="s">
        <v>52</v>
      </c>
      <c r="AC220" t="s">
        <v>53</v>
      </c>
      <c r="AD220" s="16">
        <f>IF(P220&lt;=1,4.9,4.9+0.8*ROUNDUP(P220-1,0))</f>
        <v>4.9000000000000004</v>
      </c>
      <c r="AE220" s="15">
        <v>0</v>
      </c>
      <c r="AF220" s="15">
        <v>0</v>
      </c>
      <c r="AG220" s="15">
        <v>0</v>
      </c>
      <c r="AH220" s="15">
        <v>0</v>
      </c>
      <c r="AI220" s="15">
        <f t="shared" si="6"/>
        <v>0.29399999999999998</v>
      </c>
      <c r="AJ220" s="15">
        <f t="shared" si="7"/>
        <v>5.194</v>
      </c>
      <c r="AK220" t="s">
        <v>47</v>
      </c>
    </row>
    <row r="221" spans="1:37" ht="15" customHeight="1" x14ac:dyDescent="0.35">
      <c r="A221">
        <v>690929</v>
      </c>
      <c r="B221" t="s">
        <v>37</v>
      </c>
      <c r="C221" t="s">
        <v>38</v>
      </c>
      <c r="D221" s="9" t="s">
        <v>39</v>
      </c>
      <c r="E221" s="10" t="s">
        <v>37</v>
      </c>
      <c r="F221" s="11"/>
      <c r="G221" t="s">
        <v>745</v>
      </c>
      <c r="I221" t="s">
        <v>41</v>
      </c>
      <c r="J221" t="s">
        <v>746</v>
      </c>
      <c r="K221" t="s">
        <v>43</v>
      </c>
      <c r="L221">
        <v>2</v>
      </c>
      <c r="M221" t="s">
        <v>44</v>
      </c>
      <c r="N221" t="s">
        <v>45</v>
      </c>
      <c r="O221" t="s">
        <v>46</v>
      </c>
      <c r="P221" s="5">
        <v>1</v>
      </c>
      <c r="Q221" s="12">
        <v>44700.612615740742</v>
      </c>
      <c r="R221" s="13">
        <v>44704</v>
      </c>
      <c r="T221" t="s">
        <v>47</v>
      </c>
      <c r="U221" t="s">
        <v>48</v>
      </c>
      <c r="V221" t="s">
        <v>70</v>
      </c>
      <c r="Y221" t="s">
        <v>747</v>
      </c>
      <c r="Z221">
        <v>43000</v>
      </c>
      <c r="AA221" t="s">
        <v>47</v>
      </c>
      <c r="AB221" t="s">
        <v>58</v>
      </c>
      <c r="AC221" t="s">
        <v>53</v>
      </c>
      <c r="AD221" s="16">
        <f>IF(P221&lt;=1,4.9,4.9+0.8*ROUNDUP(P221-1,0))</f>
        <v>4.9000000000000004</v>
      </c>
      <c r="AE221" s="15">
        <v>0</v>
      </c>
      <c r="AF221" s="15">
        <v>0</v>
      </c>
      <c r="AG221" s="15">
        <v>0</v>
      </c>
      <c r="AH221" s="15">
        <v>0</v>
      </c>
      <c r="AI221" s="15">
        <f t="shared" si="6"/>
        <v>0.29399999999999998</v>
      </c>
      <c r="AJ221" s="15">
        <f t="shared" si="7"/>
        <v>5.194</v>
      </c>
      <c r="AK221" t="s">
        <v>47</v>
      </c>
    </row>
    <row r="222" spans="1:37" ht="15" customHeight="1" x14ac:dyDescent="0.35">
      <c r="A222">
        <v>690929</v>
      </c>
      <c r="B222" t="s">
        <v>37</v>
      </c>
      <c r="C222" t="s">
        <v>38</v>
      </c>
      <c r="D222" s="9" t="s">
        <v>39</v>
      </c>
      <c r="E222" s="10" t="s">
        <v>37</v>
      </c>
      <c r="F222" s="11"/>
      <c r="G222" t="s">
        <v>748</v>
      </c>
      <c r="I222" t="s">
        <v>41</v>
      </c>
      <c r="J222" t="s">
        <v>749</v>
      </c>
      <c r="K222" t="s">
        <v>43</v>
      </c>
      <c r="L222">
        <v>2</v>
      </c>
      <c r="M222" t="s">
        <v>44</v>
      </c>
      <c r="N222" t="s">
        <v>45</v>
      </c>
      <c r="O222" t="s">
        <v>531</v>
      </c>
      <c r="P222" s="5">
        <v>7</v>
      </c>
      <c r="Q222" s="12">
        <v>44700.861203703702</v>
      </c>
      <c r="R222" s="13">
        <v>44704</v>
      </c>
      <c r="T222" t="s">
        <v>47</v>
      </c>
      <c r="U222" t="s">
        <v>58</v>
      </c>
      <c r="V222" t="s">
        <v>114</v>
      </c>
      <c r="Y222" t="s">
        <v>750</v>
      </c>
      <c r="Z222">
        <v>14200</v>
      </c>
      <c r="AA222" t="s">
        <v>47</v>
      </c>
      <c r="AB222" t="s">
        <v>751</v>
      </c>
      <c r="AC222" t="s">
        <v>53</v>
      </c>
      <c r="AD222" s="16">
        <f>IF(P222&lt;=1,4.9,4.9+0.8*ROUNDUP(P222-1,0))</f>
        <v>9.7000000000000011</v>
      </c>
      <c r="AE222" s="15">
        <v>0</v>
      </c>
      <c r="AF222" s="15">
        <v>0</v>
      </c>
      <c r="AG222" s="15">
        <v>0</v>
      </c>
      <c r="AH222" s="15">
        <v>0</v>
      </c>
      <c r="AI222" s="15">
        <f t="shared" si="6"/>
        <v>0.58200000000000007</v>
      </c>
      <c r="AJ222" s="15">
        <f t="shared" si="7"/>
        <v>10.282000000000002</v>
      </c>
      <c r="AK222" t="s">
        <v>47</v>
      </c>
    </row>
    <row r="223" spans="1:37" ht="15" customHeight="1" x14ac:dyDescent="0.35">
      <c r="A223">
        <v>690929</v>
      </c>
      <c r="B223" t="s">
        <v>37</v>
      </c>
      <c r="C223" t="s">
        <v>38</v>
      </c>
      <c r="D223" s="9" t="s">
        <v>39</v>
      </c>
      <c r="E223" s="10" t="s">
        <v>37</v>
      </c>
      <c r="F223" s="11"/>
      <c r="G223" t="s">
        <v>752</v>
      </c>
      <c r="I223" t="s">
        <v>41</v>
      </c>
      <c r="J223" t="s">
        <v>753</v>
      </c>
      <c r="K223" t="s">
        <v>43</v>
      </c>
      <c r="L223">
        <v>2</v>
      </c>
      <c r="M223" t="s">
        <v>44</v>
      </c>
      <c r="N223" t="s">
        <v>45</v>
      </c>
      <c r="O223" t="s">
        <v>46</v>
      </c>
      <c r="P223" s="5">
        <v>1</v>
      </c>
      <c r="Q223" s="12">
        <v>44700.729502314818</v>
      </c>
      <c r="R223" s="13">
        <v>44704</v>
      </c>
      <c r="T223" t="s">
        <v>47</v>
      </c>
      <c r="U223" t="s">
        <v>58</v>
      </c>
      <c r="V223" t="s">
        <v>407</v>
      </c>
      <c r="Y223" t="s">
        <v>754</v>
      </c>
      <c r="Z223">
        <v>71900</v>
      </c>
      <c r="AA223" t="s">
        <v>47</v>
      </c>
      <c r="AB223" t="s">
        <v>755</v>
      </c>
      <c r="AC223" t="s">
        <v>53</v>
      </c>
      <c r="AD223" s="16">
        <f>IF(P223&lt;=1,4.9,4.9+0.8*ROUNDUP(P223-1,0))</f>
        <v>4.9000000000000004</v>
      </c>
      <c r="AE223" s="15">
        <v>0</v>
      </c>
      <c r="AF223" s="15">
        <v>0</v>
      </c>
      <c r="AG223" s="15">
        <v>0</v>
      </c>
      <c r="AH223" s="15">
        <v>0</v>
      </c>
      <c r="AI223" s="15">
        <f t="shared" si="6"/>
        <v>0.29399999999999998</v>
      </c>
      <c r="AJ223" s="15">
        <f t="shared" si="7"/>
        <v>5.194</v>
      </c>
      <c r="AK223" t="s">
        <v>47</v>
      </c>
    </row>
    <row r="224" spans="1:37" ht="15" customHeight="1" x14ac:dyDescent="0.35">
      <c r="A224">
        <v>690929</v>
      </c>
      <c r="B224" t="s">
        <v>37</v>
      </c>
      <c r="C224" t="s">
        <v>38</v>
      </c>
      <c r="D224" s="9" t="s">
        <v>39</v>
      </c>
      <c r="E224" s="10" t="s">
        <v>37</v>
      </c>
      <c r="F224" s="11"/>
      <c r="G224" t="s">
        <v>756</v>
      </c>
      <c r="I224" t="s">
        <v>41</v>
      </c>
      <c r="J224" t="s">
        <v>757</v>
      </c>
      <c r="K224" t="s">
        <v>43</v>
      </c>
      <c r="L224">
        <v>2</v>
      </c>
      <c r="M224" t="s">
        <v>44</v>
      </c>
      <c r="N224" t="s">
        <v>45</v>
      </c>
      <c r="O224" t="s">
        <v>531</v>
      </c>
      <c r="P224" s="5">
        <v>2</v>
      </c>
      <c r="Q224" s="12">
        <v>44700.864120370374</v>
      </c>
      <c r="R224" s="13">
        <v>44704</v>
      </c>
      <c r="T224" t="s">
        <v>47</v>
      </c>
      <c r="U224" t="s">
        <v>58</v>
      </c>
      <c r="V224" t="s">
        <v>93</v>
      </c>
      <c r="Y224" t="s">
        <v>758</v>
      </c>
      <c r="Z224">
        <v>81850</v>
      </c>
      <c r="AA224" t="s">
        <v>47</v>
      </c>
      <c r="AB224" t="s">
        <v>759</v>
      </c>
      <c r="AC224" t="s">
        <v>53</v>
      </c>
      <c r="AD224" s="16">
        <f>IF(P224&lt;=1,4.9,4.9+0.8*ROUNDUP(P224-1,0))</f>
        <v>5.7</v>
      </c>
      <c r="AE224" s="15">
        <v>0</v>
      </c>
      <c r="AF224" s="15">
        <v>0</v>
      </c>
      <c r="AG224" s="15">
        <v>0</v>
      </c>
      <c r="AH224" s="15">
        <v>0</v>
      </c>
      <c r="AI224" s="15">
        <f t="shared" si="6"/>
        <v>0.34199999999999997</v>
      </c>
      <c r="AJ224" s="15">
        <f t="shared" si="7"/>
        <v>6.0419999999999998</v>
      </c>
      <c r="AK224" t="s">
        <v>47</v>
      </c>
    </row>
    <row r="225" spans="1:37" ht="15" customHeight="1" x14ac:dyDescent="0.35">
      <c r="A225">
        <v>690929</v>
      </c>
      <c r="B225" t="s">
        <v>37</v>
      </c>
      <c r="C225" t="s">
        <v>38</v>
      </c>
      <c r="D225" s="9" t="s">
        <v>39</v>
      </c>
      <c r="E225" s="10" t="s">
        <v>37</v>
      </c>
      <c r="F225" s="11"/>
      <c r="G225" t="s">
        <v>760</v>
      </c>
      <c r="I225" t="s">
        <v>41</v>
      </c>
      <c r="J225" t="s">
        <v>761</v>
      </c>
      <c r="K225" t="s">
        <v>43</v>
      </c>
      <c r="L225">
        <v>2</v>
      </c>
      <c r="M225" t="s">
        <v>44</v>
      </c>
      <c r="N225" t="s">
        <v>45</v>
      </c>
      <c r="O225" t="s">
        <v>46</v>
      </c>
      <c r="P225" s="5">
        <v>1</v>
      </c>
      <c r="Q225" s="12">
        <v>44700.799988425926</v>
      </c>
      <c r="R225" s="13">
        <v>44704</v>
      </c>
      <c r="T225" t="s">
        <v>47</v>
      </c>
      <c r="U225" t="s">
        <v>58</v>
      </c>
      <c r="V225" t="s">
        <v>114</v>
      </c>
      <c r="Y225" t="s">
        <v>762</v>
      </c>
      <c r="Z225">
        <v>14000</v>
      </c>
      <c r="AA225" t="s">
        <v>47</v>
      </c>
      <c r="AB225" t="s">
        <v>52</v>
      </c>
      <c r="AC225" t="s">
        <v>53</v>
      </c>
      <c r="AD225" s="16">
        <f>IF(P225&lt;=1,4.9,4.9+0.8*ROUNDUP(P225-1,0))</f>
        <v>4.9000000000000004</v>
      </c>
      <c r="AE225" s="15">
        <v>0</v>
      </c>
      <c r="AF225" s="15">
        <v>0</v>
      </c>
      <c r="AG225" s="15">
        <v>0</v>
      </c>
      <c r="AH225" s="15">
        <v>0</v>
      </c>
      <c r="AI225" s="15">
        <f t="shared" si="6"/>
        <v>0.29399999999999998</v>
      </c>
      <c r="AJ225" s="15">
        <f t="shared" si="7"/>
        <v>5.194</v>
      </c>
      <c r="AK225" t="s">
        <v>47</v>
      </c>
    </row>
    <row r="226" spans="1:37" ht="15" customHeight="1" x14ac:dyDescent="0.35">
      <c r="A226">
        <v>690929</v>
      </c>
      <c r="B226" t="s">
        <v>37</v>
      </c>
      <c r="C226" t="s">
        <v>38</v>
      </c>
      <c r="D226" s="9" t="s">
        <v>39</v>
      </c>
      <c r="E226" s="10" t="s">
        <v>37</v>
      </c>
      <c r="F226" s="11"/>
      <c r="G226" t="s">
        <v>763</v>
      </c>
      <c r="I226" t="s">
        <v>41</v>
      </c>
      <c r="J226" t="s">
        <v>764</v>
      </c>
      <c r="K226" t="s">
        <v>43</v>
      </c>
      <c r="L226">
        <v>2</v>
      </c>
      <c r="M226" t="s">
        <v>44</v>
      </c>
      <c r="N226" t="s">
        <v>45</v>
      </c>
      <c r="O226" t="s">
        <v>46</v>
      </c>
      <c r="P226" s="5">
        <v>3</v>
      </c>
      <c r="Q226" s="12">
        <v>44702.478854166664</v>
      </c>
      <c r="R226" s="13">
        <v>44704</v>
      </c>
      <c r="T226" t="s">
        <v>47</v>
      </c>
      <c r="U226" t="s">
        <v>48</v>
      </c>
      <c r="V226" t="s">
        <v>88</v>
      </c>
      <c r="Y226" t="s">
        <v>765</v>
      </c>
      <c r="Z226">
        <v>53000</v>
      </c>
      <c r="AA226" t="s">
        <v>47</v>
      </c>
      <c r="AB226" t="s">
        <v>52</v>
      </c>
      <c r="AC226" t="s">
        <v>53</v>
      </c>
      <c r="AD226" s="16">
        <f>IF(P226&lt;=1,4.9,4.9+0.8*ROUNDUP(P226-1,0))</f>
        <v>6.5</v>
      </c>
      <c r="AE226" s="15">
        <v>0</v>
      </c>
      <c r="AF226" s="15">
        <v>0</v>
      </c>
      <c r="AG226" s="15">
        <v>0</v>
      </c>
      <c r="AH226" s="15">
        <v>0</v>
      </c>
      <c r="AI226" s="15">
        <f t="shared" si="6"/>
        <v>0.39</v>
      </c>
      <c r="AJ226" s="15">
        <f t="shared" si="7"/>
        <v>6.89</v>
      </c>
      <c r="AK226" t="s">
        <v>47</v>
      </c>
    </row>
    <row r="227" spans="1:37" ht="15" customHeight="1" x14ac:dyDescent="0.35">
      <c r="A227">
        <v>690929</v>
      </c>
      <c r="B227" t="s">
        <v>37</v>
      </c>
      <c r="C227" t="s">
        <v>38</v>
      </c>
      <c r="D227" s="9" t="s">
        <v>39</v>
      </c>
      <c r="E227" s="10" t="s">
        <v>37</v>
      </c>
      <c r="F227" s="11"/>
      <c r="G227" t="s">
        <v>766</v>
      </c>
      <c r="I227" t="s">
        <v>41</v>
      </c>
      <c r="J227" t="s">
        <v>767</v>
      </c>
      <c r="K227" t="s">
        <v>43</v>
      </c>
      <c r="L227">
        <v>2</v>
      </c>
      <c r="M227" t="s">
        <v>44</v>
      </c>
      <c r="N227" t="s">
        <v>45</v>
      </c>
      <c r="O227" t="s">
        <v>46</v>
      </c>
      <c r="P227" s="5">
        <v>1</v>
      </c>
      <c r="Q227" s="12">
        <v>44702.574004629627</v>
      </c>
      <c r="R227" s="13">
        <v>44704</v>
      </c>
      <c r="T227" t="s">
        <v>47</v>
      </c>
      <c r="U227" t="s">
        <v>48</v>
      </c>
      <c r="V227" t="s">
        <v>88</v>
      </c>
      <c r="Y227" t="s">
        <v>768</v>
      </c>
      <c r="Z227">
        <v>55100</v>
      </c>
      <c r="AA227" t="s">
        <v>47</v>
      </c>
      <c r="AB227" t="s">
        <v>52</v>
      </c>
      <c r="AC227" t="s">
        <v>53</v>
      </c>
      <c r="AD227" s="16">
        <f>IF(P227&lt;=1,4.9,4.9+0.8*ROUNDUP(P227-1,0))</f>
        <v>4.9000000000000004</v>
      </c>
      <c r="AE227" s="15">
        <v>0</v>
      </c>
      <c r="AF227" s="15">
        <v>0</v>
      </c>
      <c r="AG227" s="15">
        <v>0</v>
      </c>
      <c r="AH227" s="15">
        <v>0</v>
      </c>
      <c r="AI227" s="15">
        <f t="shared" si="6"/>
        <v>0.29399999999999998</v>
      </c>
      <c r="AJ227" s="15">
        <f t="shared" si="7"/>
        <v>5.194</v>
      </c>
      <c r="AK227" t="s">
        <v>47</v>
      </c>
    </row>
    <row r="228" spans="1:37" ht="15" customHeight="1" x14ac:dyDescent="0.35">
      <c r="A228">
        <v>690929</v>
      </c>
      <c r="B228" t="s">
        <v>37</v>
      </c>
      <c r="C228" t="s">
        <v>38</v>
      </c>
      <c r="D228" s="9" t="s">
        <v>39</v>
      </c>
      <c r="E228" s="10" t="s">
        <v>37</v>
      </c>
      <c r="F228" s="11"/>
      <c r="G228" t="s">
        <v>769</v>
      </c>
      <c r="I228" t="s">
        <v>41</v>
      </c>
      <c r="J228" t="s">
        <v>770</v>
      </c>
      <c r="K228" t="s">
        <v>43</v>
      </c>
      <c r="L228">
        <v>2</v>
      </c>
      <c r="M228" t="s">
        <v>44</v>
      </c>
      <c r="N228" t="s">
        <v>45</v>
      </c>
      <c r="O228" t="s">
        <v>92</v>
      </c>
      <c r="P228" s="5">
        <v>4</v>
      </c>
      <c r="Q228" s="12">
        <v>44697.512916666667</v>
      </c>
      <c r="R228" s="13">
        <v>44704</v>
      </c>
      <c r="T228" t="s">
        <v>47</v>
      </c>
      <c r="U228" t="s">
        <v>48</v>
      </c>
      <c r="V228" t="s">
        <v>70</v>
      </c>
      <c r="Y228" t="s">
        <v>771</v>
      </c>
      <c r="Z228">
        <v>47500</v>
      </c>
      <c r="AA228" t="s">
        <v>47</v>
      </c>
      <c r="AB228" t="s">
        <v>52</v>
      </c>
      <c r="AC228" t="s">
        <v>53</v>
      </c>
      <c r="AD228" s="16">
        <f>IF(P228&lt;=1,4.9,4.9+0.8*ROUNDUP(P228-1,0))</f>
        <v>7.3000000000000007</v>
      </c>
      <c r="AE228" s="15">
        <v>0</v>
      </c>
      <c r="AF228" s="15">
        <v>0</v>
      </c>
      <c r="AG228" s="15">
        <v>0</v>
      </c>
      <c r="AH228" s="15">
        <v>0</v>
      </c>
      <c r="AI228" s="15">
        <f t="shared" si="6"/>
        <v>0.438</v>
      </c>
      <c r="AJ228" s="15">
        <f t="shared" si="7"/>
        <v>7.7380000000000004</v>
      </c>
      <c r="AK228" t="s">
        <v>47</v>
      </c>
    </row>
    <row r="229" spans="1:37" ht="15" customHeight="1" x14ac:dyDescent="0.35">
      <c r="A229">
        <v>690929</v>
      </c>
      <c r="B229" t="s">
        <v>37</v>
      </c>
      <c r="C229" t="s">
        <v>38</v>
      </c>
      <c r="D229" s="9" t="s">
        <v>39</v>
      </c>
      <c r="E229" s="10" t="s">
        <v>37</v>
      </c>
      <c r="F229" s="11"/>
      <c r="G229" t="s">
        <v>772</v>
      </c>
      <c r="I229" t="s">
        <v>41</v>
      </c>
      <c r="J229" t="s">
        <v>773</v>
      </c>
      <c r="K229" t="s">
        <v>43</v>
      </c>
      <c r="L229">
        <v>2</v>
      </c>
      <c r="M229" t="s">
        <v>44</v>
      </c>
      <c r="N229" t="s">
        <v>45</v>
      </c>
      <c r="O229" t="s">
        <v>46</v>
      </c>
      <c r="P229" s="5">
        <v>5</v>
      </c>
      <c r="Q229" s="12">
        <v>44694.38244212963</v>
      </c>
      <c r="R229" s="13">
        <v>44705</v>
      </c>
      <c r="T229" t="s">
        <v>47</v>
      </c>
      <c r="U229" t="s">
        <v>58</v>
      </c>
      <c r="V229" t="s">
        <v>417</v>
      </c>
      <c r="Y229" t="s">
        <v>774</v>
      </c>
      <c r="Z229">
        <v>96200</v>
      </c>
      <c r="AA229" t="s">
        <v>51</v>
      </c>
      <c r="AB229" t="s">
        <v>175</v>
      </c>
      <c r="AC229" t="s">
        <v>53</v>
      </c>
      <c r="AD229" s="14">
        <f>IF(P229&lt;=1,13,IF(P229&lt;=2,23,IF(P229&lt;=3,35,IF(P229&lt;=4,43,IF(P229&lt;=5,53,IF(P229&lt;=6,63,IF(P229&lt;=7,71,IF(P229&lt;=8,79,IF(P229&lt;=9,87,IF(P229&lt;=10,95,IF(P229&lt;=11,105,IF(P229&lt;=12,114,IF(P229&lt;=13,119,IF(P229&lt;=14,127,IF(P229&lt;=15,135,IF(P229&lt;=16,143,IF(P229&lt;=17,153,IF(P229&lt;=18,163,IF(P229&lt;=19,171,IF(P229&lt;=20,185,IF(P229&lt;=21,193,IF(P229&lt;=22,201,IF(P229&lt;=23,210,IF(P229&lt;=24,220,IF(P229&lt;=25,230,IF(P229&lt;=26,240,IF(P229&lt;=27,250,IF(P229&lt;=28,260,IF(P229&lt;=29,270,IF(P229&lt;=30,280,280))))))))))))))))))))))))))))))</f>
        <v>53</v>
      </c>
      <c r="AE229" s="15">
        <v>0</v>
      </c>
      <c r="AF229" s="15">
        <v>0</v>
      </c>
      <c r="AG229" s="15">
        <v>0</v>
      </c>
      <c r="AH229" s="15">
        <v>0</v>
      </c>
      <c r="AI229" s="15">
        <f t="shared" si="6"/>
        <v>3.1799999999999997</v>
      </c>
      <c r="AJ229" s="15">
        <f t="shared" si="7"/>
        <v>56.18</v>
      </c>
      <c r="AK229" t="s">
        <v>51</v>
      </c>
    </row>
    <row r="230" spans="1:37" ht="15" customHeight="1" x14ac:dyDescent="0.35">
      <c r="A230">
        <v>690929</v>
      </c>
      <c r="B230" t="s">
        <v>37</v>
      </c>
      <c r="C230" t="s">
        <v>38</v>
      </c>
      <c r="D230" s="9" t="s">
        <v>39</v>
      </c>
      <c r="E230" s="10" t="s">
        <v>37</v>
      </c>
      <c r="F230" s="11"/>
      <c r="G230" t="s">
        <v>775</v>
      </c>
      <c r="I230" t="s">
        <v>41</v>
      </c>
      <c r="J230" t="s">
        <v>776</v>
      </c>
      <c r="K230" t="s">
        <v>43</v>
      </c>
      <c r="L230">
        <v>2</v>
      </c>
      <c r="M230" t="s">
        <v>44</v>
      </c>
      <c r="N230" t="s">
        <v>45</v>
      </c>
      <c r="O230" t="s">
        <v>46</v>
      </c>
      <c r="P230" s="5">
        <v>1</v>
      </c>
      <c r="Q230" s="12">
        <v>44704.550092592595</v>
      </c>
      <c r="R230" s="13">
        <v>44705</v>
      </c>
      <c r="T230" t="s">
        <v>47</v>
      </c>
      <c r="U230" t="s">
        <v>48</v>
      </c>
      <c r="V230" t="s">
        <v>110</v>
      </c>
      <c r="Y230" t="s">
        <v>777</v>
      </c>
      <c r="Z230">
        <v>20050</v>
      </c>
      <c r="AA230" t="s">
        <v>47</v>
      </c>
      <c r="AB230" t="s">
        <v>58</v>
      </c>
      <c r="AC230" t="s">
        <v>53</v>
      </c>
      <c r="AD230" s="16">
        <f>IF(P230&lt;=1,4.9,4.9+0.8*ROUNDUP(P230-1,0))</f>
        <v>4.9000000000000004</v>
      </c>
      <c r="AE230" s="15">
        <v>0</v>
      </c>
      <c r="AF230" s="15">
        <v>0</v>
      </c>
      <c r="AG230" s="15">
        <v>0</v>
      </c>
      <c r="AH230" s="15">
        <v>0</v>
      </c>
      <c r="AI230" s="15">
        <f t="shared" si="6"/>
        <v>0.29399999999999998</v>
      </c>
      <c r="AJ230" s="15">
        <f t="shared" si="7"/>
        <v>5.194</v>
      </c>
      <c r="AK230" t="s">
        <v>47</v>
      </c>
    </row>
    <row r="231" spans="1:37" ht="15" customHeight="1" x14ac:dyDescent="0.35">
      <c r="A231">
        <v>690929</v>
      </c>
      <c r="B231" t="s">
        <v>37</v>
      </c>
      <c r="C231" t="s">
        <v>38</v>
      </c>
      <c r="D231" s="9" t="s">
        <v>39</v>
      </c>
      <c r="E231" s="10" t="s">
        <v>37</v>
      </c>
      <c r="F231" s="11"/>
      <c r="G231" t="s">
        <v>778</v>
      </c>
      <c r="I231" t="s">
        <v>41</v>
      </c>
      <c r="J231" t="s">
        <v>779</v>
      </c>
      <c r="K231" t="s">
        <v>43</v>
      </c>
      <c r="L231">
        <v>2</v>
      </c>
      <c r="M231" t="s">
        <v>44</v>
      </c>
      <c r="N231" t="s">
        <v>45</v>
      </c>
      <c r="O231" t="s">
        <v>46</v>
      </c>
      <c r="P231" s="5">
        <v>1</v>
      </c>
      <c r="Q231" s="12">
        <v>44703.515902777777</v>
      </c>
      <c r="R231" s="13">
        <v>44705</v>
      </c>
      <c r="T231" t="s">
        <v>47</v>
      </c>
      <c r="U231" t="s">
        <v>48</v>
      </c>
      <c r="V231" t="s">
        <v>93</v>
      </c>
      <c r="Y231" t="s">
        <v>780</v>
      </c>
      <c r="Z231">
        <v>83500</v>
      </c>
      <c r="AA231" t="s">
        <v>47</v>
      </c>
      <c r="AB231" t="s">
        <v>52</v>
      </c>
      <c r="AC231" t="s">
        <v>53</v>
      </c>
      <c r="AD231" s="16">
        <f>IF(P231&lt;=1,4.9,4.9+0.8*ROUNDUP(P231-1,0))</f>
        <v>4.9000000000000004</v>
      </c>
      <c r="AE231" s="15">
        <v>0</v>
      </c>
      <c r="AF231" s="15">
        <v>0</v>
      </c>
      <c r="AG231" s="15">
        <v>0</v>
      </c>
      <c r="AH231" s="15">
        <v>0</v>
      </c>
      <c r="AI231" s="15">
        <f t="shared" si="6"/>
        <v>0.29399999999999998</v>
      </c>
      <c r="AJ231" s="15">
        <f t="shared" si="7"/>
        <v>5.194</v>
      </c>
      <c r="AK231" t="s">
        <v>47</v>
      </c>
    </row>
    <row r="232" spans="1:37" ht="15" customHeight="1" x14ac:dyDescent="0.35">
      <c r="A232">
        <v>690929</v>
      </c>
      <c r="B232" t="s">
        <v>37</v>
      </c>
      <c r="C232" t="s">
        <v>38</v>
      </c>
      <c r="D232" s="9" t="s">
        <v>39</v>
      </c>
      <c r="E232" s="10" t="s">
        <v>37</v>
      </c>
      <c r="F232" s="11"/>
      <c r="G232" t="s">
        <v>781</v>
      </c>
      <c r="I232" t="s">
        <v>41</v>
      </c>
      <c r="J232" t="s">
        <v>782</v>
      </c>
      <c r="K232" t="s">
        <v>43</v>
      </c>
      <c r="L232">
        <v>2</v>
      </c>
      <c r="M232" t="s">
        <v>44</v>
      </c>
      <c r="N232" t="s">
        <v>45</v>
      </c>
      <c r="O232" t="s">
        <v>46</v>
      </c>
      <c r="P232" s="5">
        <v>1</v>
      </c>
      <c r="Q232" s="12">
        <v>44703.442037037035</v>
      </c>
      <c r="R232" s="13">
        <v>44705</v>
      </c>
      <c r="T232" t="s">
        <v>47</v>
      </c>
      <c r="U232" t="s">
        <v>48</v>
      </c>
      <c r="V232" t="s">
        <v>93</v>
      </c>
      <c r="Y232" t="s">
        <v>783</v>
      </c>
      <c r="Z232">
        <v>81560</v>
      </c>
      <c r="AA232" t="s">
        <v>47</v>
      </c>
      <c r="AB232" t="s">
        <v>52</v>
      </c>
      <c r="AC232" t="s">
        <v>53</v>
      </c>
      <c r="AD232" s="16">
        <f>IF(P232&lt;=1,4.9,4.9+0.8*ROUNDUP(P232-1,0))</f>
        <v>4.9000000000000004</v>
      </c>
      <c r="AE232" s="15">
        <v>0</v>
      </c>
      <c r="AF232" s="15">
        <v>0</v>
      </c>
      <c r="AG232" s="15">
        <v>0</v>
      </c>
      <c r="AH232" s="15">
        <v>0</v>
      </c>
      <c r="AI232" s="15">
        <f t="shared" si="6"/>
        <v>0.29399999999999998</v>
      </c>
      <c r="AJ232" s="15">
        <f t="shared" si="7"/>
        <v>5.194</v>
      </c>
      <c r="AK232" t="s">
        <v>47</v>
      </c>
    </row>
    <row r="233" spans="1:37" ht="15" customHeight="1" x14ac:dyDescent="0.35">
      <c r="A233">
        <v>690929</v>
      </c>
      <c r="B233" t="s">
        <v>37</v>
      </c>
      <c r="C233" t="s">
        <v>38</v>
      </c>
      <c r="D233" s="9" t="s">
        <v>39</v>
      </c>
      <c r="E233" s="10" t="s">
        <v>37</v>
      </c>
      <c r="F233" s="11"/>
      <c r="G233" t="s">
        <v>784</v>
      </c>
      <c r="I233" t="s">
        <v>41</v>
      </c>
      <c r="J233" t="s">
        <v>785</v>
      </c>
      <c r="K233" t="s">
        <v>43</v>
      </c>
      <c r="L233">
        <v>2</v>
      </c>
      <c r="M233" t="s">
        <v>44</v>
      </c>
      <c r="N233" t="s">
        <v>45</v>
      </c>
      <c r="O233" t="s">
        <v>46</v>
      </c>
      <c r="P233" s="5">
        <v>1</v>
      </c>
      <c r="Q233" s="12">
        <v>44704.552418981482</v>
      </c>
      <c r="R233" s="13">
        <v>44705</v>
      </c>
      <c r="T233" t="s">
        <v>47</v>
      </c>
      <c r="U233" t="s">
        <v>48</v>
      </c>
      <c r="V233" t="s">
        <v>110</v>
      </c>
      <c r="Y233" t="s">
        <v>786</v>
      </c>
      <c r="Z233">
        <v>21300</v>
      </c>
      <c r="AA233" t="s">
        <v>47</v>
      </c>
      <c r="AB233" t="s">
        <v>58</v>
      </c>
      <c r="AC233" t="s">
        <v>53</v>
      </c>
      <c r="AD233" s="16">
        <f>IF(P233&lt;=1,4.9,4.9+0.8*ROUNDUP(P233-1,0))</f>
        <v>4.9000000000000004</v>
      </c>
      <c r="AE233" s="15">
        <v>0</v>
      </c>
      <c r="AF233" s="15">
        <v>0</v>
      </c>
      <c r="AG233" s="15">
        <v>0</v>
      </c>
      <c r="AH233" s="15">
        <v>0</v>
      </c>
      <c r="AI233" s="15">
        <f t="shared" si="6"/>
        <v>0.29399999999999998</v>
      </c>
      <c r="AJ233" s="15">
        <f t="shared" si="7"/>
        <v>5.194</v>
      </c>
      <c r="AK233" t="s">
        <v>47</v>
      </c>
    </row>
    <row r="234" spans="1:37" ht="15" customHeight="1" x14ac:dyDescent="0.35">
      <c r="A234">
        <v>690929</v>
      </c>
      <c r="B234" t="s">
        <v>37</v>
      </c>
      <c r="C234" t="s">
        <v>38</v>
      </c>
      <c r="D234" s="9" t="s">
        <v>39</v>
      </c>
      <c r="E234" s="10" t="s">
        <v>37</v>
      </c>
      <c r="F234" s="11"/>
      <c r="G234" t="s">
        <v>787</v>
      </c>
      <c r="I234" t="s">
        <v>41</v>
      </c>
      <c r="J234" t="s">
        <v>788</v>
      </c>
      <c r="K234" t="s">
        <v>43</v>
      </c>
      <c r="L234">
        <v>2</v>
      </c>
      <c r="M234" t="s">
        <v>44</v>
      </c>
      <c r="N234" t="s">
        <v>45</v>
      </c>
      <c r="O234" t="s">
        <v>46</v>
      </c>
      <c r="P234" s="5">
        <v>1</v>
      </c>
      <c r="Q234" s="12">
        <v>44703.619027777779</v>
      </c>
      <c r="R234" s="13">
        <v>44705</v>
      </c>
      <c r="T234" t="s">
        <v>47</v>
      </c>
      <c r="U234" t="s">
        <v>48</v>
      </c>
      <c r="V234" t="s">
        <v>164</v>
      </c>
      <c r="Y234" t="s">
        <v>789</v>
      </c>
      <c r="Z234">
        <v>34350</v>
      </c>
      <c r="AA234" t="s">
        <v>47</v>
      </c>
      <c r="AB234" t="s">
        <v>52</v>
      </c>
      <c r="AC234" t="s">
        <v>53</v>
      </c>
      <c r="AD234" s="16">
        <f>IF(P234&lt;=1,4.9,4.9+0.8*ROUNDUP(P234-1,0))</f>
        <v>4.9000000000000004</v>
      </c>
      <c r="AE234" s="15">
        <v>0</v>
      </c>
      <c r="AF234" s="15">
        <v>0</v>
      </c>
      <c r="AG234" s="15">
        <v>0</v>
      </c>
      <c r="AH234" s="15">
        <v>0</v>
      </c>
      <c r="AI234" s="15">
        <f t="shared" si="6"/>
        <v>0.29399999999999998</v>
      </c>
      <c r="AJ234" s="15">
        <f t="shared" si="7"/>
        <v>5.194</v>
      </c>
      <c r="AK234" t="s">
        <v>47</v>
      </c>
    </row>
    <row r="235" spans="1:37" ht="15" customHeight="1" x14ac:dyDescent="0.35">
      <c r="A235">
        <v>690929</v>
      </c>
      <c r="B235" t="s">
        <v>37</v>
      </c>
      <c r="C235" t="s">
        <v>38</v>
      </c>
      <c r="D235" s="9" t="s">
        <v>39</v>
      </c>
      <c r="E235" s="10" t="s">
        <v>37</v>
      </c>
      <c r="F235" s="11"/>
      <c r="G235" t="s">
        <v>790</v>
      </c>
      <c r="I235" t="s">
        <v>41</v>
      </c>
      <c r="J235" t="s">
        <v>791</v>
      </c>
      <c r="K235" t="s">
        <v>43</v>
      </c>
      <c r="L235">
        <v>2</v>
      </c>
      <c r="M235" t="s">
        <v>44</v>
      </c>
      <c r="N235" t="s">
        <v>45</v>
      </c>
      <c r="O235" t="s">
        <v>46</v>
      </c>
      <c r="P235" s="5">
        <v>1</v>
      </c>
      <c r="Q235" s="12">
        <v>44704.493888888886</v>
      </c>
      <c r="R235" s="13">
        <v>44705</v>
      </c>
      <c r="T235" t="s">
        <v>47</v>
      </c>
      <c r="U235" t="s">
        <v>48</v>
      </c>
      <c r="V235" t="s">
        <v>56</v>
      </c>
      <c r="Y235" t="s">
        <v>792</v>
      </c>
      <c r="Z235">
        <v>26300</v>
      </c>
      <c r="AA235" t="s">
        <v>47</v>
      </c>
      <c r="AB235" t="s">
        <v>58</v>
      </c>
      <c r="AC235" t="s">
        <v>53</v>
      </c>
      <c r="AD235" s="16">
        <f>IF(P235&lt;=1,4.9,4.9+0.8*ROUNDUP(P235-1,0))</f>
        <v>4.9000000000000004</v>
      </c>
      <c r="AE235" s="15">
        <v>0</v>
      </c>
      <c r="AF235" s="15">
        <v>0</v>
      </c>
      <c r="AG235" s="15">
        <v>0</v>
      </c>
      <c r="AH235" s="15">
        <v>0</v>
      </c>
      <c r="AI235" s="15">
        <f t="shared" si="6"/>
        <v>0.29399999999999998</v>
      </c>
      <c r="AJ235" s="15">
        <f t="shared" si="7"/>
        <v>5.194</v>
      </c>
      <c r="AK235" t="s">
        <v>47</v>
      </c>
    </row>
    <row r="236" spans="1:37" ht="15" customHeight="1" x14ac:dyDescent="0.35">
      <c r="A236">
        <v>690929</v>
      </c>
      <c r="B236" t="s">
        <v>37</v>
      </c>
      <c r="C236" t="s">
        <v>38</v>
      </c>
      <c r="D236" s="9" t="s">
        <v>39</v>
      </c>
      <c r="E236" s="10" t="s">
        <v>37</v>
      </c>
      <c r="F236" s="11"/>
      <c r="G236" t="s">
        <v>793</v>
      </c>
      <c r="I236" t="s">
        <v>41</v>
      </c>
      <c r="J236" t="s">
        <v>794</v>
      </c>
      <c r="K236" t="s">
        <v>43</v>
      </c>
      <c r="L236">
        <v>2</v>
      </c>
      <c r="M236" t="s">
        <v>44</v>
      </c>
      <c r="N236" t="s">
        <v>45</v>
      </c>
      <c r="O236" t="s">
        <v>46</v>
      </c>
      <c r="P236" s="5">
        <v>1</v>
      </c>
      <c r="Q236" s="12">
        <v>44703.705671296295</v>
      </c>
      <c r="R236" s="13">
        <v>44705</v>
      </c>
      <c r="T236" t="s">
        <v>47</v>
      </c>
      <c r="U236" t="s">
        <v>48</v>
      </c>
      <c r="V236" t="s">
        <v>110</v>
      </c>
      <c r="Y236" t="s">
        <v>795</v>
      </c>
      <c r="Z236">
        <v>21060</v>
      </c>
      <c r="AA236" t="s">
        <v>47</v>
      </c>
      <c r="AB236" t="s">
        <v>58</v>
      </c>
      <c r="AC236" t="s">
        <v>53</v>
      </c>
      <c r="AD236" s="16">
        <f>IF(P236&lt;=1,4.9,4.9+0.8*ROUNDUP(P236-1,0))</f>
        <v>4.9000000000000004</v>
      </c>
      <c r="AE236" s="15">
        <v>0</v>
      </c>
      <c r="AF236" s="15">
        <v>0</v>
      </c>
      <c r="AG236" s="15">
        <v>0</v>
      </c>
      <c r="AH236" s="15">
        <v>0</v>
      </c>
      <c r="AI236" s="15">
        <f t="shared" si="6"/>
        <v>0.29399999999999998</v>
      </c>
      <c r="AJ236" s="15">
        <f t="shared" si="7"/>
        <v>5.194</v>
      </c>
      <c r="AK236" t="s">
        <v>47</v>
      </c>
    </row>
    <row r="237" spans="1:37" ht="15" customHeight="1" x14ac:dyDescent="0.35">
      <c r="A237">
        <v>690929</v>
      </c>
      <c r="B237" t="s">
        <v>37</v>
      </c>
      <c r="C237" t="s">
        <v>38</v>
      </c>
      <c r="D237" s="9" t="s">
        <v>39</v>
      </c>
      <c r="E237" s="10" t="s">
        <v>37</v>
      </c>
      <c r="F237" s="11"/>
      <c r="G237" t="s">
        <v>796</v>
      </c>
      <c r="I237" t="s">
        <v>41</v>
      </c>
      <c r="J237" t="s">
        <v>358</v>
      </c>
      <c r="K237" t="s">
        <v>43</v>
      </c>
      <c r="L237">
        <v>2</v>
      </c>
      <c r="M237" t="s">
        <v>44</v>
      </c>
      <c r="N237" t="s">
        <v>45</v>
      </c>
      <c r="O237" t="s">
        <v>92</v>
      </c>
      <c r="P237" s="5">
        <v>9</v>
      </c>
      <c r="Q237" s="12">
        <v>44703.532858796294</v>
      </c>
      <c r="R237" s="13">
        <v>44705</v>
      </c>
      <c r="T237" t="s">
        <v>47</v>
      </c>
      <c r="U237" t="s">
        <v>48</v>
      </c>
      <c r="V237" t="s">
        <v>122</v>
      </c>
      <c r="Y237" t="s">
        <v>797</v>
      </c>
      <c r="Z237">
        <v>6600</v>
      </c>
      <c r="AA237" t="s">
        <v>47</v>
      </c>
      <c r="AB237" t="s">
        <v>52</v>
      </c>
      <c r="AC237" t="s">
        <v>53</v>
      </c>
      <c r="AD237" s="16">
        <f>IF(P237&lt;=1,4.9,4.9+0.8*ROUNDUP(P237-1,0))</f>
        <v>11.3</v>
      </c>
      <c r="AE237" s="15">
        <v>0</v>
      </c>
      <c r="AF237" s="15">
        <v>0</v>
      </c>
      <c r="AG237" s="15">
        <v>0</v>
      </c>
      <c r="AH237" s="15">
        <v>0</v>
      </c>
      <c r="AI237" s="15">
        <f t="shared" si="6"/>
        <v>0.67800000000000005</v>
      </c>
      <c r="AJ237" s="15">
        <f t="shared" si="7"/>
        <v>11.978000000000002</v>
      </c>
      <c r="AK237" t="s">
        <v>47</v>
      </c>
    </row>
    <row r="238" spans="1:37" ht="15" customHeight="1" x14ac:dyDescent="0.35">
      <c r="A238">
        <v>690929</v>
      </c>
      <c r="B238" t="s">
        <v>37</v>
      </c>
      <c r="C238" t="s">
        <v>38</v>
      </c>
      <c r="D238" s="9" t="s">
        <v>39</v>
      </c>
      <c r="E238" s="10" t="s">
        <v>37</v>
      </c>
      <c r="F238" s="11"/>
      <c r="G238" t="s">
        <v>798</v>
      </c>
      <c r="I238" t="s">
        <v>41</v>
      </c>
      <c r="J238" t="s">
        <v>799</v>
      </c>
      <c r="K238" t="s">
        <v>43</v>
      </c>
      <c r="L238">
        <v>2</v>
      </c>
      <c r="M238" t="s">
        <v>44</v>
      </c>
      <c r="N238" t="s">
        <v>45</v>
      </c>
      <c r="O238" t="s">
        <v>46</v>
      </c>
      <c r="P238" s="5">
        <v>1</v>
      </c>
      <c r="Q238" s="12">
        <v>44704.491226851853</v>
      </c>
      <c r="R238" s="13">
        <v>44705</v>
      </c>
      <c r="T238" t="s">
        <v>47</v>
      </c>
      <c r="U238" t="s">
        <v>48</v>
      </c>
      <c r="V238" t="s">
        <v>56</v>
      </c>
      <c r="Y238" t="s">
        <v>800</v>
      </c>
      <c r="Z238">
        <v>28000</v>
      </c>
      <c r="AA238" t="s">
        <v>47</v>
      </c>
      <c r="AB238" t="s">
        <v>58</v>
      </c>
      <c r="AC238" t="s">
        <v>53</v>
      </c>
      <c r="AD238" s="16">
        <f>IF(P238&lt;=1,4.9,4.9+0.8*ROUNDUP(P238-1,0))</f>
        <v>4.9000000000000004</v>
      </c>
      <c r="AE238" s="15">
        <v>0</v>
      </c>
      <c r="AF238" s="15">
        <v>0</v>
      </c>
      <c r="AG238" s="15">
        <v>0</v>
      </c>
      <c r="AH238" s="15">
        <v>0</v>
      </c>
      <c r="AI238" s="15">
        <f t="shared" si="6"/>
        <v>0.29399999999999998</v>
      </c>
      <c r="AJ238" s="15">
        <f t="shared" si="7"/>
        <v>5.194</v>
      </c>
      <c r="AK238" t="s">
        <v>47</v>
      </c>
    </row>
    <row r="239" spans="1:37" ht="15" customHeight="1" x14ac:dyDescent="0.35">
      <c r="A239">
        <v>690929</v>
      </c>
      <c r="B239" t="s">
        <v>37</v>
      </c>
      <c r="C239" t="s">
        <v>38</v>
      </c>
      <c r="D239" s="9" t="s">
        <v>39</v>
      </c>
      <c r="E239" s="10" t="s">
        <v>37</v>
      </c>
      <c r="F239" s="11"/>
      <c r="G239" t="s">
        <v>801</v>
      </c>
      <c r="I239" t="s">
        <v>41</v>
      </c>
      <c r="J239" t="s">
        <v>802</v>
      </c>
      <c r="K239" t="s">
        <v>43</v>
      </c>
      <c r="L239">
        <v>2</v>
      </c>
      <c r="M239" t="s">
        <v>44</v>
      </c>
      <c r="N239" t="s">
        <v>45</v>
      </c>
      <c r="O239" t="s">
        <v>92</v>
      </c>
      <c r="P239" s="5">
        <v>4</v>
      </c>
      <c r="Q239" s="12">
        <v>44703.528124999997</v>
      </c>
      <c r="R239" s="13">
        <v>44705</v>
      </c>
      <c r="T239" t="s">
        <v>47</v>
      </c>
      <c r="U239" t="s">
        <v>48</v>
      </c>
      <c r="V239" t="s">
        <v>407</v>
      </c>
      <c r="Y239" t="s">
        <v>803</v>
      </c>
      <c r="Z239">
        <v>70450</v>
      </c>
      <c r="AA239" t="s">
        <v>47</v>
      </c>
      <c r="AB239" t="s">
        <v>52</v>
      </c>
      <c r="AC239" t="s">
        <v>53</v>
      </c>
      <c r="AD239" s="16">
        <f>IF(P239&lt;=1,4.9,4.9+0.8*ROUNDUP(P239-1,0))</f>
        <v>7.3000000000000007</v>
      </c>
      <c r="AE239" s="15">
        <v>0</v>
      </c>
      <c r="AF239" s="15">
        <v>0</v>
      </c>
      <c r="AG239" s="15">
        <v>0</v>
      </c>
      <c r="AH239" s="15">
        <v>0</v>
      </c>
      <c r="AI239" s="15">
        <f t="shared" si="6"/>
        <v>0.438</v>
      </c>
      <c r="AJ239" s="15">
        <f t="shared" si="7"/>
        <v>7.7380000000000004</v>
      </c>
      <c r="AK239" t="s">
        <v>47</v>
      </c>
    </row>
    <row r="240" spans="1:37" ht="15" customHeight="1" x14ac:dyDescent="0.35">
      <c r="A240">
        <v>690929</v>
      </c>
      <c r="B240" t="s">
        <v>37</v>
      </c>
      <c r="C240" t="s">
        <v>38</v>
      </c>
      <c r="D240" s="9" t="s">
        <v>39</v>
      </c>
      <c r="E240" s="10" t="s">
        <v>37</v>
      </c>
      <c r="F240" s="11"/>
      <c r="G240" t="s">
        <v>804</v>
      </c>
      <c r="I240" t="s">
        <v>41</v>
      </c>
      <c r="J240" t="s">
        <v>805</v>
      </c>
      <c r="K240" t="s">
        <v>43</v>
      </c>
      <c r="L240">
        <v>2</v>
      </c>
      <c r="M240" t="s">
        <v>44</v>
      </c>
      <c r="N240" t="s">
        <v>45</v>
      </c>
      <c r="O240" t="s">
        <v>46</v>
      </c>
      <c r="P240" s="5">
        <v>1</v>
      </c>
      <c r="Q240" s="12">
        <v>44703.608101851853</v>
      </c>
      <c r="R240" s="13">
        <v>44705</v>
      </c>
      <c r="T240" t="s">
        <v>47</v>
      </c>
      <c r="U240" t="s">
        <v>48</v>
      </c>
      <c r="V240" t="s">
        <v>164</v>
      </c>
      <c r="Y240" t="s">
        <v>806</v>
      </c>
      <c r="Z240">
        <v>35600</v>
      </c>
      <c r="AA240" t="s">
        <v>47</v>
      </c>
      <c r="AB240" t="s">
        <v>52</v>
      </c>
      <c r="AC240" t="s">
        <v>53</v>
      </c>
      <c r="AD240" s="16">
        <f>IF(P240&lt;=1,4.9,4.9+0.8*ROUNDUP(P240-1,0))</f>
        <v>4.9000000000000004</v>
      </c>
      <c r="AE240" s="15">
        <v>0</v>
      </c>
      <c r="AF240" s="15">
        <v>0</v>
      </c>
      <c r="AG240" s="15">
        <v>0</v>
      </c>
      <c r="AH240" s="15">
        <v>0</v>
      </c>
      <c r="AI240" s="15">
        <f t="shared" si="6"/>
        <v>0.29399999999999998</v>
      </c>
      <c r="AJ240" s="15">
        <f t="shared" si="7"/>
        <v>5.194</v>
      </c>
      <c r="AK240" t="s">
        <v>47</v>
      </c>
    </row>
    <row r="241" spans="1:37" ht="15" customHeight="1" x14ac:dyDescent="0.35">
      <c r="A241">
        <v>690929</v>
      </c>
      <c r="B241" t="s">
        <v>37</v>
      </c>
      <c r="C241" t="s">
        <v>38</v>
      </c>
      <c r="D241" s="9" t="s">
        <v>39</v>
      </c>
      <c r="E241" s="10" t="s">
        <v>37</v>
      </c>
      <c r="F241" s="11"/>
      <c r="G241" t="s">
        <v>807</v>
      </c>
      <c r="I241" t="s">
        <v>41</v>
      </c>
      <c r="J241" t="s">
        <v>808</v>
      </c>
      <c r="K241" t="s">
        <v>43</v>
      </c>
      <c r="L241">
        <v>2</v>
      </c>
      <c r="M241" t="s">
        <v>44</v>
      </c>
      <c r="N241" t="s">
        <v>45</v>
      </c>
      <c r="O241" t="s">
        <v>46</v>
      </c>
      <c r="P241" s="5">
        <v>1</v>
      </c>
      <c r="Q241" s="12">
        <v>44703.451620370368</v>
      </c>
      <c r="R241" s="13">
        <v>44705</v>
      </c>
      <c r="T241" t="s">
        <v>47</v>
      </c>
      <c r="U241" t="s">
        <v>48</v>
      </c>
      <c r="V241" t="s">
        <v>164</v>
      </c>
      <c r="Y241" t="s">
        <v>809</v>
      </c>
      <c r="Z241">
        <v>33000</v>
      </c>
      <c r="AA241" t="s">
        <v>47</v>
      </c>
      <c r="AB241" t="s">
        <v>52</v>
      </c>
      <c r="AC241" t="s">
        <v>53</v>
      </c>
      <c r="AD241" s="16">
        <f>IF(P241&lt;=1,4.9,4.9+0.8*ROUNDUP(P241-1,0))</f>
        <v>4.9000000000000004</v>
      </c>
      <c r="AE241" s="15">
        <v>0</v>
      </c>
      <c r="AF241" s="15">
        <v>0</v>
      </c>
      <c r="AG241" s="15">
        <v>0</v>
      </c>
      <c r="AH241" s="15">
        <v>0</v>
      </c>
      <c r="AI241" s="15">
        <f t="shared" si="6"/>
        <v>0.29399999999999998</v>
      </c>
      <c r="AJ241" s="15">
        <f t="shared" si="7"/>
        <v>5.194</v>
      </c>
      <c r="AK241" t="s">
        <v>47</v>
      </c>
    </row>
    <row r="242" spans="1:37" ht="15" customHeight="1" x14ac:dyDescent="0.35">
      <c r="A242">
        <v>690929</v>
      </c>
      <c r="B242" t="s">
        <v>37</v>
      </c>
      <c r="C242" t="s">
        <v>38</v>
      </c>
      <c r="D242" s="9" t="s">
        <v>39</v>
      </c>
      <c r="E242" s="10" t="s">
        <v>37</v>
      </c>
      <c r="F242" s="11"/>
      <c r="G242" t="s">
        <v>810</v>
      </c>
      <c r="I242" t="s">
        <v>41</v>
      </c>
      <c r="J242" t="s">
        <v>811</v>
      </c>
      <c r="K242" t="s">
        <v>43</v>
      </c>
      <c r="L242">
        <v>2</v>
      </c>
      <c r="M242" t="s">
        <v>44</v>
      </c>
      <c r="N242" t="s">
        <v>45</v>
      </c>
      <c r="O242" t="s">
        <v>92</v>
      </c>
      <c r="P242" s="5">
        <v>13</v>
      </c>
      <c r="Q242" s="12">
        <v>44703.530509259261</v>
      </c>
      <c r="R242" s="13">
        <v>44705</v>
      </c>
      <c r="T242" t="s">
        <v>47</v>
      </c>
      <c r="U242" t="s">
        <v>48</v>
      </c>
      <c r="V242" t="s">
        <v>93</v>
      </c>
      <c r="Y242" t="s">
        <v>812</v>
      </c>
      <c r="Z242">
        <v>81300</v>
      </c>
      <c r="AA242" t="s">
        <v>47</v>
      </c>
      <c r="AB242" t="s">
        <v>813</v>
      </c>
      <c r="AC242" t="s">
        <v>53</v>
      </c>
      <c r="AD242" s="16">
        <f>IF(P242&lt;=1,4.9,4.9+0.8*ROUNDUP(P242-1,0))</f>
        <v>14.500000000000002</v>
      </c>
      <c r="AE242" s="15">
        <v>0</v>
      </c>
      <c r="AF242" s="15">
        <v>0</v>
      </c>
      <c r="AG242" s="15">
        <v>0</v>
      </c>
      <c r="AH242" s="15">
        <v>0</v>
      </c>
      <c r="AI242" s="15">
        <f t="shared" si="6"/>
        <v>0.87000000000000011</v>
      </c>
      <c r="AJ242" s="15">
        <f t="shared" si="7"/>
        <v>15.370000000000001</v>
      </c>
      <c r="AK242" t="s">
        <v>47</v>
      </c>
    </row>
    <row r="243" spans="1:37" ht="15" customHeight="1" x14ac:dyDescent="0.35">
      <c r="A243">
        <v>690929</v>
      </c>
      <c r="B243" t="s">
        <v>37</v>
      </c>
      <c r="C243" t="s">
        <v>38</v>
      </c>
      <c r="D243" s="9" t="s">
        <v>39</v>
      </c>
      <c r="E243" s="10" t="s">
        <v>37</v>
      </c>
      <c r="F243" s="11"/>
      <c r="G243" t="s">
        <v>814</v>
      </c>
      <c r="I243" t="s">
        <v>41</v>
      </c>
      <c r="J243" t="s">
        <v>815</v>
      </c>
      <c r="K243" t="s">
        <v>43</v>
      </c>
      <c r="L243">
        <v>2</v>
      </c>
      <c r="M243" t="s">
        <v>44</v>
      </c>
      <c r="N243" t="s">
        <v>45</v>
      </c>
      <c r="O243" t="s">
        <v>46</v>
      </c>
      <c r="P243" s="5">
        <v>1</v>
      </c>
      <c r="Q243" s="12">
        <v>44703.446956018517</v>
      </c>
      <c r="R243" s="13">
        <v>44705</v>
      </c>
      <c r="T243" t="s">
        <v>47</v>
      </c>
      <c r="U243" t="s">
        <v>48</v>
      </c>
      <c r="V243" t="s">
        <v>88</v>
      </c>
      <c r="Y243" t="s">
        <v>816</v>
      </c>
      <c r="Z243">
        <v>52000</v>
      </c>
      <c r="AA243" t="s">
        <v>47</v>
      </c>
      <c r="AB243" t="s">
        <v>52</v>
      </c>
      <c r="AC243" t="s">
        <v>53</v>
      </c>
      <c r="AD243" s="16">
        <f>IF(P243&lt;=1,4.9,4.9+0.8*ROUNDUP(P243-1,0))</f>
        <v>4.9000000000000004</v>
      </c>
      <c r="AE243" s="15">
        <v>0</v>
      </c>
      <c r="AF243" s="15">
        <v>0</v>
      </c>
      <c r="AG243" s="15">
        <v>0</v>
      </c>
      <c r="AH243" s="15">
        <v>0</v>
      </c>
      <c r="AI243" s="15">
        <f t="shared" si="6"/>
        <v>0.29399999999999998</v>
      </c>
      <c r="AJ243" s="15">
        <f t="shared" si="7"/>
        <v>5.194</v>
      </c>
      <c r="AK243" t="s">
        <v>47</v>
      </c>
    </row>
    <row r="244" spans="1:37" ht="15" customHeight="1" x14ac:dyDescent="0.35">
      <c r="A244">
        <v>690929</v>
      </c>
      <c r="B244" t="s">
        <v>37</v>
      </c>
      <c r="C244" t="s">
        <v>38</v>
      </c>
      <c r="D244" s="9" t="s">
        <v>39</v>
      </c>
      <c r="E244" s="10" t="s">
        <v>37</v>
      </c>
      <c r="F244" s="11"/>
      <c r="G244" t="s">
        <v>817</v>
      </c>
      <c r="I244" t="s">
        <v>41</v>
      </c>
      <c r="J244" t="s">
        <v>818</v>
      </c>
      <c r="K244" t="s">
        <v>43</v>
      </c>
      <c r="L244">
        <v>2</v>
      </c>
      <c r="M244" t="s">
        <v>44</v>
      </c>
      <c r="N244" t="s">
        <v>45</v>
      </c>
      <c r="O244" t="s">
        <v>46</v>
      </c>
      <c r="P244" s="5">
        <v>1</v>
      </c>
      <c r="Q244" s="12">
        <v>44703.609861111108</v>
      </c>
      <c r="R244" s="13">
        <v>44705</v>
      </c>
      <c r="T244" t="s">
        <v>47</v>
      </c>
      <c r="U244" t="s">
        <v>48</v>
      </c>
      <c r="V244" t="s">
        <v>70</v>
      </c>
      <c r="Y244" t="s">
        <v>819</v>
      </c>
      <c r="Z244">
        <v>42700</v>
      </c>
      <c r="AA244" t="s">
        <v>47</v>
      </c>
      <c r="AB244" t="s">
        <v>52</v>
      </c>
      <c r="AC244" t="s">
        <v>53</v>
      </c>
      <c r="AD244" s="16">
        <f>IF(P244&lt;=1,4.9,4.9+0.8*ROUNDUP(P244-1,0))</f>
        <v>4.9000000000000004</v>
      </c>
      <c r="AE244" s="15">
        <v>0</v>
      </c>
      <c r="AF244" s="15">
        <v>0</v>
      </c>
      <c r="AG244" s="15">
        <v>0</v>
      </c>
      <c r="AH244" s="15">
        <v>0</v>
      </c>
      <c r="AI244" s="15">
        <f t="shared" si="6"/>
        <v>0.29399999999999998</v>
      </c>
      <c r="AJ244" s="15">
        <f t="shared" si="7"/>
        <v>5.194</v>
      </c>
      <c r="AK244" t="s">
        <v>47</v>
      </c>
    </row>
    <row r="245" spans="1:37" ht="15" customHeight="1" x14ac:dyDescent="0.35">
      <c r="A245">
        <v>690929</v>
      </c>
      <c r="B245" t="s">
        <v>37</v>
      </c>
      <c r="C245" t="s">
        <v>38</v>
      </c>
      <c r="D245" s="9" t="s">
        <v>39</v>
      </c>
      <c r="E245" s="10" t="s">
        <v>37</v>
      </c>
      <c r="F245" s="11"/>
      <c r="G245" t="s">
        <v>820</v>
      </c>
      <c r="I245" t="s">
        <v>41</v>
      </c>
      <c r="J245" t="s">
        <v>261</v>
      </c>
      <c r="K245" t="s">
        <v>43</v>
      </c>
      <c r="L245">
        <v>2</v>
      </c>
      <c r="M245" t="s">
        <v>44</v>
      </c>
      <c r="N245" t="s">
        <v>45</v>
      </c>
      <c r="O245" t="s">
        <v>46</v>
      </c>
      <c r="P245" s="5">
        <v>1</v>
      </c>
      <c r="Q245" s="12">
        <v>44703.444120370368</v>
      </c>
      <c r="R245" s="13">
        <v>44705</v>
      </c>
      <c r="T245" t="s">
        <v>47</v>
      </c>
      <c r="U245" t="s">
        <v>48</v>
      </c>
      <c r="V245" t="s">
        <v>70</v>
      </c>
      <c r="Y245" t="s">
        <v>262</v>
      </c>
      <c r="Z245">
        <v>47130</v>
      </c>
      <c r="AA245" t="s">
        <v>47</v>
      </c>
      <c r="AB245" t="s">
        <v>52</v>
      </c>
      <c r="AC245" t="s">
        <v>53</v>
      </c>
      <c r="AD245" s="16">
        <f>IF(P245&lt;=1,4.9,4.9+0.8*ROUNDUP(P245-1,0))</f>
        <v>4.9000000000000004</v>
      </c>
      <c r="AE245" s="15">
        <v>0</v>
      </c>
      <c r="AF245" s="15">
        <v>0</v>
      </c>
      <c r="AG245" s="15">
        <v>0</v>
      </c>
      <c r="AH245" s="15">
        <v>0</v>
      </c>
      <c r="AI245" s="15">
        <f t="shared" si="6"/>
        <v>0.29399999999999998</v>
      </c>
      <c r="AJ245" s="15">
        <f t="shared" si="7"/>
        <v>5.194</v>
      </c>
      <c r="AK245" t="s">
        <v>47</v>
      </c>
    </row>
    <row r="246" spans="1:37" ht="15" customHeight="1" x14ac:dyDescent="0.35">
      <c r="A246">
        <v>690929</v>
      </c>
      <c r="B246" t="s">
        <v>37</v>
      </c>
      <c r="C246" t="s">
        <v>38</v>
      </c>
      <c r="D246" s="9" t="s">
        <v>39</v>
      </c>
      <c r="E246" s="10" t="s">
        <v>37</v>
      </c>
      <c r="F246" s="11"/>
      <c r="G246" t="s">
        <v>821</v>
      </c>
      <c r="I246" t="s">
        <v>41</v>
      </c>
      <c r="J246" t="s">
        <v>822</v>
      </c>
      <c r="K246" t="s">
        <v>43</v>
      </c>
      <c r="L246">
        <v>2</v>
      </c>
      <c r="M246" t="s">
        <v>44</v>
      </c>
      <c r="N246" t="s">
        <v>45</v>
      </c>
      <c r="O246" t="s">
        <v>46</v>
      </c>
      <c r="P246" s="5">
        <v>3</v>
      </c>
      <c r="Q246" s="12">
        <v>44698.708321759259</v>
      </c>
      <c r="R246" s="13">
        <v>44705</v>
      </c>
      <c r="T246" t="s">
        <v>47</v>
      </c>
      <c r="U246" t="s">
        <v>48</v>
      </c>
      <c r="V246" t="s">
        <v>88</v>
      </c>
      <c r="Y246" t="s">
        <v>823</v>
      </c>
      <c r="Z246">
        <v>59200</v>
      </c>
      <c r="AA246" t="s">
        <v>47</v>
      </c>
      <c r="AB246" t="s">
        <v>52</v>
      </c>
      <c r="AC246" t="s">
        <v>53</v>
      </c>
      <c r="AD246" s="16">
        <f>IF(P246&lt;=1,4.9,4.9+0.8*ROUNDUP(P246-1,0))</f>
        <v>6.5</v>
      </c>
      <c r="AE246" s="15">
        <v>0</v>
      </c>
      <c r="AF246" s="15">
        <v>0</v>
      </c>
      <c r="AG246" s="15">
        <v>0</v>
      </c>
      <c r="AH246" s="15">
        <v>0</v>
      </c>
      <c r="AI246" s="15">
        <f t="shared" si="6"/>
        <v>0.39</v>
      </c>
      <c r="AJ246" s="15">
        <f t="shared" si="7"/>
        <v>6.89</v>
      </c>
      <c r="AK246" t="s">
        <v>47</v>
      </c>
    </row>
    <row r="247" spans="1:37" ht="15" customHeight="1" x14ac:dyDescent="0.35">
      <c r="A247">
        <v>690929</v>
      </c>
      <c r="B247" t="s">
        <v>37</v>
      </c>
      <c r="C247" t="s">
        <v>38</v>
      </c>
      <c r="D247" s="9" t="s">
        <v>39</v>
      </c>
      <c r="E247" s="10" t="s">
        <v>37</v>
      </c>
      <c r="F247" s="11"/>
      <c r="G247" t="s">
        <v>824</v>
      </c>
      <c r="I247" t="s">
        <v>41</v>
      </c>
      <c r="J247" t="s">
        <v>228</v>
      </c>
      <c r="K247" t="s">
        <v>43</v>
      </c>
      <c r="L247">
        <v>2</v>
      </c>
      <c r="M247" t="s">
        <v>44</v>
      </c>
      <c r="N247" t="s">
        <v>45</v>
      </c>
      <c r="O247" t="s">
        <v>46</v>
      </c>
      <c r="P247" s="5">
        <v>1</v>
      </c>
      <c r="Q247" s="12">
        <v>44703.475706018522</v>
      </c>
      <c r="R247" s="13">
        <v>44705</v>
      </c>
      <c r="T247" t="s">
        <v>47</v>
      </c>
      <c r="U247" t="s">
        <v>48</v>
      </c>
      <c r="V247" t="s">
        <v>114</v>
      </c>
      <c r="Y247" t="s">
        <v>243</v>
      </c>
      <c r="Z247">
        <v>11960</v>
      </c>
      <c r="AA247" t="s">
        <v>47</v>
      </c>
      <c r="AB247" t="s">
        <v>52</v>
      </c>
      <c r="AC247" t="s">
        <v>53</v>
      </c>
      <c r="AD247" s="16">
        <f>IF(P247&lt;=1,4.9,4.9+0.8*ROUNDUP(P247-1,0))</f>
        <v>4.9000000000000004</v>
      </c>
      <c r="AE247" s="15">
        <v>0</v>
      </c>
      <c r="AF247" s="15">
        <v>0</v>
      </c>
      <c r="AG247" s="15">
        <v>0</v>
      </c>
      <c r="AH247" s="15">
        <v>0</v>
      </c>
      <c r="AI247" s="15">
        <f t="shared" si="6"/>
        <v>0.29399999999999998</v>
      </c>
      <c r="AJ247" s="15">
        <f t="shared" si="7"/>
        <v>5.194</v>
      </c>
      <c r="AK247" t="s">
        <v>47</v>
      </c>
    </row>
    <row r="248" spans="1:37" ht="15" customHeight="1" x14ac:dyDescent="0.35">
      <c r="A248">
        <v>690929</v>
      </c>
      <c r="B248" t="s">
        <v>37</v>
      </c>
      <c r="C248" t="s">
        <v>38</v>
      </c>
      <c r="D248" s="9" t="s">
        <v>39</v>
      </c>
      <c r="E248" s="10" t="s">
        <v>37</v>
      </c>
      <c r="F248" s="11"/>
      <c r="G248" t="s">
        <v>825</v>
      </c>
      <c r="I248" t="s">
        <v>41</v>
      </c>
      <c r="J248" t="s">
        <v>826</v>
      </c>
      <c r="K248" t="s">
        <v>43</v>
      </c>
      <c r="L248">
        <v>2</v>
      </c>
      <c r="M248" t="s">
        <v>44</v>
      </c>
      <c r="N248" t="s">
        <v>45</v>
      </c>
      <c r="O248" t="s">
        <v>46</v>
      </c>
      <c r="P248" s="5">
        <v>1</v>
      </c>
      <c r="Q248" s="12">
        <v>44700.745138888888</v>
      </c>
      <c r="R248" s="13">
        <v>44705</v>
      </c>
      <c r="T248" t="s">
        <v>47</v>
      </c>
      <c r="U248" t="s">
        <v>58</v>
      </c>
      <c r="V248" t="s">
        <v>70</v>
      </c>
      <c r="Y248" t="s">
        <v>827</v>
      </c>
      <c r="Z248">
        <v>42100</v>
      </c>
      <c r="AA248" t="s">
        <v>47</v>
      </c>
      <c r="AB248" t="s">
        <v>592</v>
      </c>
      <c r="AC248" t="s">
        <v>53</v>
      </c>
      <c r="AD248" s="16">
        <f>IF(P248&lt;=1,4.9,4.9+0.8*ROUNDUP(P248-1,0))</f>
        <v>4.9000000000000004</v>
      </c>
      <c r="AE248" s="15">
        <v>0</v>
      </c>
      <c r="AF248" s="15">
        <v>0</v>
      </c>
      <c r="AG248" s="15">
        <v>0</v>
      </c>
      <c r="AH248" s="15">
        <v>0</v>
      </c>
      <c r="AI248" s="15">
        <f t="shared" si="6"/>
        <v>0.29399999999999998</v>
      </c>
      <c r="AJ248" s="15">
        <f t="shared" si="7"/>
        <v>5.194</v>
      </c>
      <c r="AK248" t="s">
        <v>47</v>
      </c>
    </row>
    <row r="249" spans="1:37" ht="15" customHeight="1" x14ac:dyDescent="0.35">
      <c r="A249">
        <v>690929</v>
      </c>
      <c r="B249" t="s">
        <v>37</v>
      </c>
      <c r="C249" t="s">
        <v>38</v>
      </c>
      <c r="D249" s="9" t="s">
        <v>39</v>
      </c>
      <c r="E249" s="10" t="s">
        <v>37</v>
      </c>
      <c r="F249" s="11"/>
      <c r="G249" t="s">
        <v>828</v>
      </c>
      <c r="I249" t="s">
        <v>41</v>
      </c>
      <c r="J249" t="s">
        <v>829</v>
      </c>
      <c r="K249" t="s">
        <v>43</v>
      </c>
      <c r="L249">
        <v>2</v>
      </c>
      <c r="M249" t="s">
        <v>44</v>
      </c>
      <c r="N249" t="s">
        <v>45</v>
      </c>
      <c r="O249" t="s">
        <v>46</v>
      </c>
      <c r="P249" s="5">
        <v>1</v>
      </c>
      <c r="Q249" s="12">
        <v>44703.623993055553</v>
      </c>
      <c r="R249" s="13">
        <v>44705</v>
      </c>
      <c r="T249" t="s">
        <v>47</v>
      </c>
      <c r="U249" t="s">
        <v>48</v>
      </c>
      <c r="V249" t="s">
        <v>93</v>
      </c>
      <c r="Y249" t="s">
        <v>830</v>
      </c>
      <c r="Z249">
        <v>84900</v>
      </c>
      <c r="AA249" t="s">
        <v>47</v>
      </c>
      <c r="AB249" t="s">
        <v>52</v>
      </c>
      <c r="AC249" t="s">
        <v>53</v>
      </c>
      <c r="AD249" s="16">
        <f>IF(P249&lt;=1,4.9,4.9+0.8*ROUNDUP(P249-1,0))</f>
        <v>4.9000000000000004</v>
      </c>
      <c r="AE249" s="15">
        <v>0</v>
      </c>
      <c r="AF249" s="15">
        <v>0</v>
      </c>
      <c r="AG249" s="15">
        <v>0</v>
      </c>
      <c r="AH249" s="15">
        <v>0</v>
      </c>
      <c r="AI249" s="15">
        <f t="shared" si="6"/>
        <v>0.29399999999999998</v>
      </c>
      <c r="AJ249" s="15">
        <f t="shared" si="7"/>
        <v>5.194</v>
      </c>
      <c r="AK249" t="s">
        <v>47</v>
      </c>
    </row>
    <row r="250" spans="1:37" ht="15" customHeight="1" x14ac:dyDescent="0.35">
      <c r="A250">
        <v>690929</v>
      </c>
      <c r="B250" t="s">
        <v>37</v>
      </c>
      <c r="C250" t="s">
        <v>38</v>
      </c>
      <c r="D250" s="9" t="s">
        <v>39</v>
      </c>
      <c r="E250" s="10" t="s">
        <v>37</v>
      </c>
      <c r="F250" s="11"/>
      <c r="G250" t="s">
        <v>831</v>
      </c>
      <c r="I250" t="s">
        <v>41</v>
      </c>
      <c r="J250" t="s">
        <v>832</v>
      </c>
      <c r="K250" t="s">
        <v>43</v>
      </c>
      <c r="L250">
        <v>2</v>
      </c>
      <c r="M250" t="s">
        <v>44</v>
      </c>
      <c r="N250" t="s">
        <v>45</v>
      </c>
      <c r="O250" t="s">
        <v>46</v>
      </c>
      <c r="P250" s="5">
        <v>1</v>
      </c>
      <c r="Q250" s="12">
        <v>44703.734178240738</v>
      </c>
      <c r="R250" s="13">
        <v>44705</v>
      </c>
      <c r="T250" t="s">
        <v>47</v>
      </c>
      <c r="U250" t="s">
        <v>48</v>
      </c>
      <c r="V250" t="s">
        <v>70</v>
      </c>
      <c r="Y250" t="s">
        <v>833</v>
      </c>
      <c r="Z250">
        <v>43900</v>
      </c>
      <c r="AA250" t="s">
        <v>47</v>
      </c>
      <c r="AB250" t="s">
        <v>52</v>
      </c>
      <c r="AC250" t="s">
        <v>53</v>
      </c>
      <c r="AD250" s="16">
        <f>IF(P250&lt;=1,4.9,4.9+0.8*ROUNDUP(P250-1,0))</f>
        <v>4.9000000000000004</v>
      </c>
      <c r="AE250" s="15">
        <v>0</v>
      </c>
      <c r="AF250" s="15">
        <v>0</v>
      </c>
      <c r="AG250" s="15">
        <v>0</v>
      </c>
      <c r="AH250" s="15">
        <v>0</v>
      </c>
      <c r="AI250" s="15">
        <f t="shared" si="6"/>
        <v>0.29399999999999998</v>
      </c>
      <c r="AJ250" s="15">
        <f t="shared" si="7"/>
        <v>5.194</v>
      </c>
      <c r="AK250" t="s">
        <v>47</v>
      </c>
    </row>
    <row r="251" spans="1:37" ht="15" customHeight="1" x14ac:dyDescent="0.35">
      <c r="A251">
        <v>690929</v>
      </c>
      <c r="B251" t="s">
        <v>37</v>
      </c>
      <c r="C251" t="s">
        <v>38</v>
      </c>
      <c r="D251" s="9" t="s">
        <v>39</v>
      </c>
      <c r="E251" s="10" t="s">
        <v>37</v>
      </c>
      <c r="F251" s="11"/>
      <c r="G251" t="s">
        <v>834</v>
      </c>
      <c r="I251" t="s">
        <v>41</v>
      </c>
      <c r="J251" t="s">
        <v>835</v>
      </c>
      <c r="K251" t="s">
        <v>43</v>
      </c>
      <c r="L251">
        <v>2</v>
      </c>
      <c r="M251" t="s">
        <v>44</v>
      </c>
      <c r="N251" t="s">
        <v>45</v>
      </c>
      <c r="O251" t="s">
        <v>46</v>
      </c>
      <c r="P251" s="5">
        <v>1</v>
      </c>
      <c r="Q251" s="12">
        <v>44703.712453703702</v>
      </c>
      <c r="R251" s="13">
        <v>44705</v>
      </c>
      <c r="T251" t="s">
        <v>47</v>
      </c>
      <c r="U251" t="s">
        <v>48</v>
      </c>
      <c r="V251" t="s">
        <v>56</v>
      </c>
      <c r="Y251" t="s">
        <v>836</v>
      </c>
      <c r="Z251">
        <v>25150</v>
      </c>
      <c r="AA251" t="s">
        <v>47</v>
      </c>
      <c r="AB251" t="s">
        <v>617</v>
      </c>
      <c r="AC251" t="s">
        <v>53</v>
      </c>
      <c r="AD251" s="16">
        <f>IF(P251&lt;=1,4.9,4.9+0.8*ROUNDUP(P251-1,0))</f>
        <v>4.9000000000000004</v>
      </c>
      <c r="AE251" s="15">
        <v>0</v>
      </c>
      <c r="AF251" s="15">
        <v>0</v>
      </c>
      <c r="AG251" s="15">
        <v>0</v>
      </c>
      <c r="AH251" s="15">
        <v>0</v>
      </c>
      <c r="AI251" s="15">
        <f t="shared" si="6"/>
        <v>0.29399999999999998</v>
      </c>
      <c r="AJ251" s="15">
        <f t="shared" si="7"/>
        <v>5.194</v>
      </c>
      <c r="AK251" t="s">
        <v>47</v>
      </c>
    </row>
    <row r="252" spans="1:37" ht="15" customHeight="1" x14ac:dyDescent="0.35">
      <c r="A252">
        <v>690929</v>
      </c>
      <c r="B252" t="s">
        <v>37</v>
      </c>
      <c r="C252" t="s">
        <v>38</v>
      </c>
      <c r="D252" s="9" t="s">
        <v>39</v>
      </c>
      <c r="E252" s="10" t="s">
        <v>37</v>
      </c>
      <c r="F252" s="11"/>
      <c r="G252" t="s">
        <v>837</v>
      </c>
      <c r="I252" t="s">
        <v>41</v>
      </c>
      <c r="J252" t="s">
        <v>838</v>
      </c>
      <c r="K252" t="s">
        <v>43</v>
      </c>
      <c r="L252">
        <v>2</v>
      </c>
      <c r="M252" t="s">
        <v>44</v>
      </c>
      <c r="N252" t="s">
        <v>45</v>
      </c>
      <c r="O252" t="s">
        <v>46</v>
      </c>
      <c r="P252" s="5">
        <v>1</v>
      </c>
      <c r="Q252" s="12">
        <v>44700.724895833337</v>
      </c>
      <c r="R252" s="13">
        <v>44705</v>
      </c>
      <c r="T252" t="s">
        <v>47</v>
      </c>
      <c r="U252" t="s">
        <v>58</v>
      </c>
      <c r="V252" t="s">
        <v>70</v>
      </c>
      <c r="Y252" t="s">
        <v>839</v>
      </c>
      <c r="Z252">
        <v>53100</v>
      </c>
      <c r="AA252" t="s">
        <v>47</v>
      </c>
      <c r="AB252" t="s">
        <v>337</v>
      </c>
      <c r="AC252" t="s">
        <v>53</v>
      </c>
      <c r="AD252" s="16">
        <f>IF(P252&lt;=1,4.9,4.9+0.8*ROUNDUP(P252-1,0))</f>
        <v>4.9000000000000004</v>
      </c>
      <c r="AE252" s="15">
        <v>0</v>
      </c>
      <c r="AF252" s="15">
        <v>0</v>
      </c>
      <c r="AG252" s="15">
        <v>0</v>
      </c>
      <c r="AH252" s="15">
        <v>0</v>
      </c>
      <c r="AI252" s="15">
        <f t="shared" si="6"/>
        <v>0.29399999999999998</v>
      </c>
      <c r="AJ252" s="15">
        <f t="shared" si="7"/>
        <v>5.194</v>
      </c>
      <c r="AK252" t="s">
        <v>47</v>
      </c>
    </row>
    <row r="253" spans="1:37" ht="15" customHeight="1" x14ac:dyDescent="0.35">
      <c r="A253">
        <v>690929</v>
      </c>
      <c r="B253" t="s">
        <v>37</v>
      </c>
      <c r="C253" t="s">
        <v>38</v>
      </c>
      <c r="D253" s="9" t="s">
        <v>39</v>
      </c>
      <c r="E253" s="10" t="s">
        <v>37</v>
      </c>
      <c r="F253" s="11"/>
      <c r="G253" t="s">
        <v>840</v>
      </c>
      <c r="I253" t="s">
        <v>41</v>
      </c>
      <c r="J253" t="s">
        <v>332</v>
      </c>
      <c r="K253" t="s">
        <v>43</v>
      </c>
      <c r="L253">
        <v>2</v>
      </c>
      <c r="M253" t="s">
        <v>44</v>
      </c>
      <c r="N253" t="s">
        <v>45</v>
      </c>
      <c r="O253" t="s">
        <v>46</v>
      </c>
      <c r="P253" s="5">
        <v>2</v>
      </c>
      <c r="Q253" s="12">
        <v>44703.449386574073</v>
      </c>
      <c r="R253" s="13">
        <v>44705</v>
      </c>
      <c r="T253" t="s">
        <v>47</v>
      </c>
      <c r="U253" t="s">
        <v>48</v>
      </c>
      <c r="V253" t="s">
        <v>114</v>
      </c>
      <c r="Y253" t="s">
        <v>841</v>
      </c>
      <c r="Z253">
        <v>11960</v>
      </c>
      <c r="AA253" t="s">
        <v>47</v>
      </c>
      <c r="AB253" t="s">
        <v>52</v>
      </c>
      <c r="AC253" t="s">
        <v>53</v>
      </c>
      <c r="AD253" s="16">
        <f>IF(P253&lt;=1,4.9,4.9+0.8*ROUNDUP(P253-1,0))</f>
        <v>5.7</v>
      </c>
      <c r="AE253" s="15">
        <v>0</v>
      </c>
      <c r="AF253" s="15">
        <v>0</v>
      </c>
      <c r="AG253" s="15">
        <v>0</v>
      </c>
      <c r="AH253" s="15">
        <v>0</v>
      </c>
      <c r="AI253" s="15">
        <f t="shared" si="6"/>
        <v>0.34199999999999997</v>
      </c>
      <c r="AJ253" s="15">
        <f t="shared" si="7"/>
        <v>6.0419999999999998</v>
      </c>
      <c r="AK253" t="s">
        <v>47</v>
      </c>
    </row>
    <row r="254" spans="1:37" ht="15" customHeight="1" x14ac:dyDescent="0.35">
      <c r="A254">
        <v>690929</v>
      </c>
      <c r="B254" t="s">
        <v>37</v>
      </c>
      <c r="C254" t="s">
        <v>38</v>
      </c>
      <c r="D254" s="9" t="s">
        <v>39</v>
      </c>
      <c r="E254" s="10" t="s">
        <v>37</v>
      </c>
      <c r="F254" s="11"/>
      <c r="G254" t="s">
        <v>842</v>
      </c>
      <c r="I254" t="s">
        <v>41</v>
      </c>
      <c r="J254" t="s">
        <v>843</v>
      </c>
      <c r="K254" t="s">
        <v>43</v>
      </c>
      <c r="L254">
        <v>2</v>
      </c>
      <c r="M254" t="s">
        <v>44</v>
      </c>
      <c r="N254" t="s">
        <v>45</v>
      </c>
      <c r="O254" t="s">
        <v>46</v>
      </c>
      <c r="P254" s="5">
        <v>1</v>
      </c>
      <c r="Q254" s="12">
        <v>44703.615532407406</v>
      </c>
      <c r="R254" s="13">
        <v>44705</v>
      </c>
      <c r="T254" t="s">
        <v>47</v>
      </c>
      <c r="U254" t="s">
        <v>48</v>
      </c>
      <c r="V254" t="s">
        <v>70</v>
      </c>
      <c r="Y254" t="s">
        <v>844</v>
      </c>
      <c r="Z254">
        <v>43200</v>
      </c>
      <c r="AA254" t="s">
        <v>47</v>
      </c>
      <c r="AB254" t="s">
        <v>52</v>
      </c>
      <c r="AC254" t="s">
        <v>53</v>
      </c>
      <c r="AD254" s="16">
        <f>IF(P254&lt;=1,4.9,4.9+0.8*ROUNDUP(P254-1,0))</f>
        <v>4.9000000000000004</v>
      </c>
      <c r="AE254" s="15">
        <v>0</v>
      </c>
      <c r="AF254" s="15">
        <v>0</v>
      </c>
      <c r="AG254" s="15">
        <v>0</v>
      </c>
      <c r="AH254" s="15">
        <v>0</v>
      </c>
      <c r="AI254" s="15">
        <f t="shared" si="6"/>
        <v>0.29399999999999998</v>
      </c>
      <c r="AJ254" s="15">
        <f t="shared" si="7"/>
        <v>5.194</v>
      </c>
      <c r="AK254" t="s">
        <v>47</v>
      </c>
    </row>
    <row r="255" spans="1:37" ht="15" customHeight="1" x14ac:dyDescent="0.35">
      <c r="A255">
        <v>690929</v>
      </c>
      <c r="B255" t="s">
        <v>37</v>
      </c>
      <c r="C255" t="s">
        <v>38</v>
      </c>
      <c r="D255" s="9" t="s">
        <v>39</v>
      </c>
      <c r="E255" s="10" t="s">
        <v>37</v>
      </c>
      <c r="F255" s="11"/>
      <c r="G255" t="s">
        <v>845</v>
      </c>
      <c r="I255" t="s">
        <v>41</v>
      </c>
      <c r="J255" t="s">
        <v>846</v>
      </c>
      <c r="K255" t="s">
        <v>43</v>
      </c>
      <c r="L255">
        <v>2</v>
      </c>
      <c r="M255" t="s">
        <v>44</v>
      </c>
      <c r="N255" t="s">
        <v>45</v>
      </c>
      <c r="O255" t="s">
        <v>46</v>
      </c>
      <c r="P255" s="5">
        <v>1</v>
      </c>
      <c r="Q255" s="12">
        <v>44703.454062500001</v>
      </c>
      <c r="R255" s="13">
        <v>44706</v>
      </c>
      <c r="T255" t="s">
        <v>47</v>
      </c>
      <c r="U255" t="s">
        <v>48</v>
      </c>
      <c r="V255" t="s">
        <v>417</v>
      </c>
      <c r="Y255" t="s">
        <v>847</v>
      </c>
      <c r="Z255">
        <v>93400</v>
      </c>
      <c r="AA255" t="s">
        <v>51</v>
      </c>
      <c r="AB255" t="s">
        <v>52</v>
      </c>
      <c r="AC255" t="s">
        <v>53</v>
      </c>
      <c r="AD255" s="14">
        <f>IF(P255&lt;=1,13,IF(P255&lt;=2,23,IF(P255&lt;=3,35,IF(P255&lt;=4,43,IF(P255&lt;=5,53,IF(P255&lt;=6,63,IF(P255&lt;=7,71,IF(P255&lt;=8,79,IF(P255&lt;=9,87,IF(P255&lt;=10,95,IF(P255&lt;=11,105,IF(P255&lt;=12,114,IF(P255&lt;=13,119,IF(P255&lt;=14,127,IF(P255&lt;=15,135,IF(P255&lt;=16,143,IF(P255&lt;=17,153,IF(P255&lt;=18,163,IF(P255&lt;=19,171,IF(P255&lt;=20,185,IF(P255&lt;=21,193,IF(P255&lt;=22,201,IF(P255&lt;=23,210,IF(P255&lt;=24,220,IF(P255&lt;=25,230,IF(P255&lt;=26,240,IF(P255&lt;=27,250,IF(P255&lt;=28,260,IF(P255&lt;=29,270,IF(P255&lt;=30,280,280))))))))))))))))))))))))))))))</f>
        <v>13</v>
      </c>
      <c r="AE255" s="15">
        <v>0</v>
      </c>
      <c r="AF255" s="15">
        <v>0</v>
      </c>
      <c r="AG255" s="15">
        <v>0</v>
      </c>
      <c r="AH255" s="15">
        <v>0</v>
      </c>
      <c r="AI255" s="15">
        <f t="shared" si="6"/>
        <v>0.78</v>
      </c>
      <c r="AJ255" s="15">
        <f t="shared" si="7"/>
        <v>13.78</v>
      </c>
      <c r="AK255" t="s">
        <v>51</v>
      </c>
    </row>
    <row r="256" spans="1:37" ht="15" customHeight="1" x14ac:dyDescent="0.35">
      <c r="A256">
        <v>690929</v>
      </c>
      <c r="B256" t="s">
        <v>37</v>
      </c>
      <c r="C256" t="s">
        <v>38</v>
      </c>
      <c r="D256" s="9" t="s">
        <v>39</v>
      </c>
      <c r="E256" s="10" t="s">
        <v>37</v>
      </c>
      <c r="F256" s="11"/>
      <c r="G256" t="s">
        <v>848</v>
      </c>
      <c r="I256" t="s">
        <v>41</v>
      </c>
      <c r="J256" t="s">
        <v>849</v>
      </c>
      <c r="K256" t="s">
        <v>43</v>
      </c>
      <c r="L256">
        <v>2</v>
      </c>
      <c r="M256" t="s">
        <v>44</v>
      </c>
      <c r="N256" t="s">
        <v>45</v>
      </c>
      <c r="O256" t="s">
        <v>531</v>
      </c>
      <c r="P256" s="5">
        <v>5</v>
      </c>
      <c r="Q256" s="12">
        <v>44703.525671296295</v>
      </c>
      <c r="R256" s="13">
        <v>44706</v>
      </c>
      <c r="T256" t="s">
        <v>47</v>
      </c>
      <c r="U256" t="s">
        <v>48</v>
      </c>
      <c r="V256" t="s">
        <v>164</v>
      </c>
      <c r="Y256" t="s">
        <v>850</v>
      </c>
      <c r="Z256">
        <v>34300</v>
      </c>
      <c r="AA256" t="s">
        <v>47</v>
      </c>
      <c r="AB256" t="s">
        <v>851</v>
      </c>
      <c r="AC256" t="s">
        <v>53</v>
      </c>
      <c r="AD256" s="16">
        <f>IF(P256&lt;=1,4.9,4.9+0.8*ROUNDUP(P256-1,0))</f>
        <v>8.1000000000000014</v>
      </c>
      <c r="AE256" s="15">
        <v>0</v>
      </c>
      <c r="AF256" s="15">
        <v>0</v>
      </c>
      <c r="AG256" s="15">
        <v>0</v>
      </c>
      <c r="AH256" s="15">
        <v>0</v>
      </c>
      <c r="AI256" s="15">
        <f t="shared" si="6"/>
        <v>0.48600000000000004</v>
      </c>
      <c r="AJ256" s="15">
        <f t="shared" si="7"/>
        <v>8.5860000000000021</v>
      </c>
      <c r="AK256" t="s">
        <v>47</v>
      </c>
    </row>
    <row r="257" spans="1:37" ht="15" customHeight="1" x14ac:dyDescent="0.35">
      <c r="A257">
        <v>690929</v>
      </c>
      <c r="B257" t="s">
        <v>37</v>
      </c>
      <c r="C257" t="s">
        <v>38</v>
      </c>
      <c r="D257" s="9" t="s">
        <v>39</v>
      </c>
      <c r="E257" s="10" t="s">
        <v>37</v>
      </c>
      <c r="F257" s="11"/>
      <c r="G257" t="s">
        <v>852</v>
      </c>
      <c r="I257" t="s">
        <v>41</v>
      </c>
      <c r="J257" t="s">
        <v>853</v>
      </c>
      <c r="K257" t="s">
        <v>43</v>
      </c>
      <c r="L257">
        <v>2</v>
      </c>
      <c r="M257" t="s">
        <v>44</v>
      </c>
      <c r="N257" t="s">
        <v>45</v>
      </c>
      <c r="O257" t="s">
        <v>46</v>
      </c>
      <c r="P257" s="5">
        <v>1</v>
      </c>
      <c r="Q257" s="12">
        <v>44703.456446759257</v>
      </c>
      <c r="R257" s="13">
        <v>44706</v>
      </c>
      <c r="T257" t="s">
        <v>47</v>
      </c>
      <c r="U257" t="s">
        <v>48</v>
      </c>
      <c r="V257" t="s">
        <v>49</v>
      </c>
      <c r="Y257" t="s">
        <v>854</v>
      </c>
      <c r="Z257">
        <v>88300</v>
      </c>
      <c r="AA257" t="s">
        <v>51</v>
      </c>
      <c r="AB257" t="s">
        <v>52</v>
      </c>
      <c r="AC257" t="s">
        <v>53</v>
      </c>
      <c r="AD257" s="14">
        <f>IF(P257&lt;=1,13,IF(P257&lt;=2,23,IF(P257&lt;=3,35,IF(P257&lt;=4,43,IF(P257&lt;=5,53,IF(P257&lt;=6,63,IF(P257&lt;=7,71,IF(P257&lt;=8,79,IF(P257&lt;=9,87,IF(P257&lt;=10,95,IF(P257&lt;=11,105,IF(P257&lt;=12,114,IF(P257&lt;=13,119,IF(P257&lt;=14,127,IF(P257&lt;=15,135,IF(P257&lt;=16,143,IF(P257&lt;=17,153,IF(P257&lt;=18,163,IF(P257&lt;=19,171,IF(P257&lt;=20,185,IF(P257&lt;=21,193,IF(P257&lt;=22,201,IF(P257&lt;=23,210,IF(P257&lt;=24,220,IF(P257&lt;=25,230,IF(P257&lt;=26,240,IF(P257&lt;=27,250,IF(P257&lt;=28,260,IF(P257&lt;=29,270,IF(P257&lt;=30,280,280))))))))))))))))))))))))))))))</f>
        <v>13</v>
      </c>
      <c r="AE257" s="15">
        <v>0</v>
      </c>
      <c r="AF257" s="15">
        <v>0</v>
      </c>
      <c r="AG257" s="15">
        <v>0</v>
      </c>
      <c r="AH257" s="15">
        <v>0</v>
      </c>
      <c r="AI257" s="15">
        <f t="shared" si="6"/>
        <v>0.78</v>
      </c>
      <c r="AJ257" s="15">
        <f t="shared" si="7"/>
        <v>13.78</v>
      </c>
      <c r="AK257" t="s">
        <v>51</v>
      </c>
    </row>
    <row r="258" spans="1:37" ht="15" customHeight="1" x14ac:dyDescent="0.35">
      <c r="A258">
        <v>690929</v>
      </c>
      <c r="B258" t="s">
        <v>37</v>
      </c>
      <c r="C258" t="s">
        <v>38</v>
      </c>
      <c r="D258" s="9" t="s">
        <v>39</v>
      </c>
      <c r="E258" s="10" t="s">
        <v>37</v>
      </c>
      <c r="F258" s="11"/>
      <c r="G258" t="s">
        <v>855</v>
      </c>
      <c r="I258" t="s">
        <v>41</v>
      </c>
      <c r="J258" t="s">
        <v>856</v>
      </c>
      <c r="K258" t="s">
        <v>43</v>
      </c>
      <c r="L258">
        <v>2</v>
      </c>
      <c r="M258" t="s">
        <v>44</v>
      </c>
      <c r="N258" t="s">
        <v>45</v>
      </c>
      <c r="O258" t="s">
        <v>46</v>
      </c>
      <c r="P258" s="5">
        <v>1</v>
      </c>
      <c r="Q258" s="12">
        <v>44704.489988425928</v>
      </c>
      <c r="R258" s="13">
        <v>44706</v>
      </c>
      <c r="T258" t="s">
        <v>47</v>
      </c>
      <c r="U258" t="s">
        <v>48</v>
      </c>
      <c r="V258" t="s">
        <v>122</v>
      </c>
      <c r="Y258" t="s">
        <v>857</v>
      </c>
      <c r="Z258">
        <v>5350</v>
      </c>
      <c r="AA258" t="s">
        <v>47</v>
      </c>
      <c r="AB258" t="s">
        <v>52</v>
      </c>
      <c r="AC258" t="s">
        <v>53</v>
      </c>
      <c r="AD258" s="16">
        <f>IF(P258&lt;=1,4.9,4.9+0.8*ROUNDUP(P258-1,0))</f>
        <v>4.9000000000000004</v>
      </c>
      <c r="AE258" s="15">
        <v>0</v>
      </c>
      <c r="AF258" s="15">
        <v>0</v>
      </c>
      <c r="AG258" s="15">
        <v>0</v>
      </c>
      <c r="AH258" s="15">
        <v>0</v>
      </c>
      <c r="AI258" s="15">
        <f t="shared" ref="AI258:AI321" si="8">(AD258+AF258+AH258)*6%</f>
        <v>0.29399999999999998</v>
      </c>
      <c r="AJ258" s="15">
        <f t="shared" ref="AJ258:AJ321" si="9">AD258+AF258+AH258+AI258</f>
        <v>5.194</v>
      </c>
      <c r="AK258" t="s">
        <v>47</v>
      </c>
    </row>
    <row r="259" spans="1:37" ht="15" customHeight="1" x14ac:dyDescent="0.35">
      <c r="A259">
        <v>690929</v>
      </c>
      <c r="B259" t="s">
        <v>37</v>
      </c>
      <c r="C259" t="s">
        <v>38</v>
      </c>
      <c r="D259" s="9" t="s">
        <v>39</v>
      </c>
      <c r="E259" s="10" t="s">
        <v>37</v>
      </c>
      <c r="F259" s="11"/>
      <c r="G259" t="s">
        <v>858</v>
      </c>
      <c r="I259" t="s">
        <v>41</v>
      </c>
      <c r="J259" t="s">
        <v>859</v>
      </c>
      <c r="K259" t="s">
        <v>43</v>
      </c>
      <c r="L259">
        <v>2</v>
      </c>
      <c r="M259" t="s">
        <v>44</v>
      </c>
      <c r="N259" t="s">
        <v>45</v>
      </c>
      <c r="O259" t="s">
        <v>46</v>
      </c>
      <c r="P259" s="5">
        <v>1</v>
      </c>
      <c r="Q259" s="12">
        <v>44704.553368055553</v>
      </c>
      <c r="R259" s="13">
        <v>44706</v>
      </c>
      <c r="T259" t="s">
        <v>47</v>
      </c>
      <c r="U259" t="s">
        <v>48</v>
      </c>
      <c r="V259" t="s">
        <v>93</v>
      </c>
      <c r="Y259" t="s">
        <v>860</v>
      </c>
      <c r="Z259">
        <v>81200</v>
      </c>
      <c r="AA259" t="s">
        <v>47</v>
      </c>
      <c r="AB259" t="s">
        <v>52</v>
      </c>
      <c r="AC259" t="s">
        <v>53</v>
      </c>
      <c r="AD259" s="16">
        <f>IF(P259&lt;=1,4.9,4.9+0.8*ROUNDUP(P259-1,0))</f>
        <v>4.9000000000000004</v>
      </c>
      <c r="AE259" s="15">
        <v>0</v>
      </c>
      <c r="AF259" s="15">
        <v>0</v>
      </c>
      <c r="AG259" s="15">
        <v>0</v>
      </c>
      <c r="AH259" s="15">
        <v>0</v>
      </c>
      <c r="AI259" s="15">
        <f t="shared" si="8"/>
        <v>0.29399999999999998</v>
      </c>
      <c r="AJ259" s="15">
        <f t="shared" si="9"/>
        <v>5.194</v>
      </c>
      <c r="AK259" t="s">
        <v>47</v>
      </c>
    </row>
    <row r="260" spans="1:37" ht="15" customHeight="1" x14ac:dyDescent="0.35">
      <c r="A260">
        <v>690929</v>
      </c>
      <c r="B260" t="s">
        <v>37</v>
      </c>
      <c r="C260" t="s">
        <v>38</v>
      </c>
      <c r="D260" s="9" t="s">
        <v>39</v>
      </c>
      <c r="E260" s="10" t="s">
        <v>37</v>
      </c>
      <c r="F260" s="11"/>
      <c r="G260" t="s">
        <v>861</v>
      </c>
      <c r="I260" t="s">
        <v>41</v>
      </c>
      <c r="J260" t="s">
        <v>862</v>
      </c>
      <c r="K260" t="s">
        <v>43</v>
      </c>
      <c r="L260">
        <v>2</v>
      </c>
      <c r="M260" t="s">
        <v>44</v>
      </c>
      <c r="N260" t="s">
        <v>45</v>
      </c>
      <c r="O260" t="s">
        <v>46</v>
      </c>
      <c r="P260" s="5">
        <v>1</v>
      </c>
      <c r="Q260" s="12">
        <v>44704.551307870373</v>
      </c>
      <c r="R260" s="13">
        <v>44706</v>
      </c>
      <c r="T260" t="s">
        <v>47</v>
      </c>
      <c r="U260" t="s">
        <v>48</v>
      </c>
      <c r="V260" t="s">
        <v>122</v>
      </c>
      <c r="Y260" t="s">
        <v>863</v>
      </c>
      <c r="Z260">
        <v>8200</v>
      </c>
      <c r="AA260" t="s">
        <v>47</v>
      </c>
      <c r="AB260" t="s">
        <v>52</v>
      </c>
      <c r="AC260" t="s">
        <v>53</v>
      </c>
      <c r="AD260" s="16">
        <f>IF(P260&lt;=1,4.9,4.9+0.8*ROUNDUP(P260-1,0))</f>
        <v>4.9000000000000004</v>
      </c>
      <c r="AE260" s="15">
        <v>0</v>
      </c>
      <c r="AF260" s="15">
        <v>0</v>
      </c>
      <c r="AG260" s="15">
        <v>0</v>
      </c>
      <c r="AH260" s="15">
        <v>0</v>
      </c>
      <c r="AI260" s="15">
        <f t="shared" si="8"/>
        <v>0.29399999999999998</v>
      </c>
      <c r="AJ260" s="15">
        <f t="shared" si="9"/>
        <v>5.194</v>
      </c>
      <c r="AK260" t="s">
        <v>47</v>
      </c>
    </row>
    <row r="261" spans="1:37" ht="15" customHeight="1" x14ac:dyDescent="0.35">
      <c r="A261">
        <v>690929</v>
      </c>
      <c r="B261" t="s">
        <v>37</v>
      </c>
      <c r="C261" t="s">
        <v>38</v>
      </c>
      <c r="D261" s="9" t="s">
        <v>39</v>
      </c>
      <c r="E261" s="10" t="s">
        <v>37</v>
      </c>
      <c r="F261" s="11"/>
      <c r="G261" t="s">
        <v>864</v>
      </c>
      <c r="I261" t="s">
        <v>41</v>
      </c>
      <c r="J261" t="s">
        <v>865</v>
      </c>
      <c r="K261" t="s">
        <v>43</v>
      </c>
      <c r="L261">
        <v>2</v>
      </c>
      <c r="M261" t="s">
        <v>44</v>
      </c>
      <c r="N261" t="s">
        <v>45</v>
      </c>
      <c r="O261" t="s">
        <v>46</v>
      </c>
      <c r="P261" s="5">
        <v>3</v>
      </c>
      <c r="Q261" s="12">
        <v>44704.588483796295</v>
      </c>
      <c r="R261" s="13">
        <v>44706</v>
      </c>
      <c r="T261" t="s">
        <v>47</v>
      </c>
      <c r="U261" t="s">
        <v>48</v>
      </c>
      <c r="V261" t="s">
        <v>70</v>
      </c>
      <c r="Y261" t="s">
        <v>866</v>
      </c>
      <c r="Z261">
        <v>41000</v>
      </c>
      <c r="AA261" t="s">
        <v>47</v>
      </c>
      <c r="AB261" t="s">
        <v>52</v>
      </c>
      <c r="AC261" t="s">
        <v>53</v>
      </c>
      <c r="AD261" s="16">
        <f>IF(P261&lt;=1,4.9,4.9+0.8*ROUNDUP(P261-1,0))</f>
        <v>6.5</v>
      </c>
      <c r="AE261" s="15">
        <v>0</v>
      </c>
      <c r="AF261" s="15">
        <v>0</v>
      </c>
      <c r="AG261" s="15">
        <v>0</v>
      </c>
      <c r="AH261" s="15">
        <v>0</v>
      </c>
      <c r="AI261" s="15">
        <f t="shared" si="8"/>
        <v>0.39</v>
      </c>
      <c r="AJ261" s="15">
        <f t="shared" si="9"/>
        <v>6.89</v>
      </c>
      <c r="AK261" t="s">
        <v>47</v>
      </c>
    </row>
    <row r="262" spans="1:37" ht="15" customHeight="1" x14ac:dyDescent="0.35">
      <c r="A262">
        <v>690929</v>
      </c>
      <c r="B262" t="s">
        <v>37</v>
      </c>
      <c r="C262" t="s">
        <v>38</v>
      </c>
      <c r="D262" s="9" t="s">
        <v>39</v>
      </c>
      <c r="E262" s="10" t="s">
        <v>37</v>
      </c>
      <c r="F262" s="11"/>
      <c r="G262" t="s">
        <v>867</v>
      </c>
      <c r="I262" t="s">
        <v>41</v>
      </c>
      <c r="J262" t="s">
        <v>868</v>
      </c>
      <c r="K262" t="s">
        <v>43</v>
      </c>
      <c r="L262">
        <v>2</v>
      </c>
      <c r="M262" t="s">
        <v>44</v>
      </c>
      <c r="N262" t="s">
        <v>45</v>
      </c>
      <c r="O262" t="s">
        <v>46</v>
      </c>
      <c r="P262" s="5">
        <v>1</v>
      </c>
      <c r="Q262" s="12">
        <v>44703.743252314816</v>
      </c>
      <c r="R262" s="13">
        <v>44706</v>
      </c>
      <c r="T262" t="s">
        <v>47</v>
      </c>
      <c r="U262" t="s">
        <v>48</v>
      </c>
      <c r="V262" t="s">
        <v>114</v>
      </c>
      <c r="Y262" t="s">
        <v>869</v>
      </c>
      <c r="Z262">
        <v>11960</v>
      </c>
      <c r="AA262" t="s">
        <v>47</v>
      </c>
      <c r="AB262" t="s">
        <v>52</v>
      </c>
      <c r="AC262" t="s">
        <v>53</v>
      </c>
      <c r="AD262" s="16">
        <f>IF(P262&lt;=1,4.9,4.9+0.8*ROUNDUP(P262-1,0))</f>
        <v>4.9000000000000004</v>
      </c>
      <c r="AE262" s="15">
        <v>0</v>
      </c>
      <c r="AF262" s="15">
        <v>0</v>
      </c>
      <c r="AG262" s="15">
        <v>0</v>
      </c>
      <c r="AH262" s="15">
        <v>0</v>
      </c>
      <c r="AI262" s="15">
        <f t="shared" si="8"/>
        <v>0.29399999999999998</v>
      </c>
      <c r="AJ262" s="15">
        <f t="shared" si="9"/>
        <v>5.194</v>
      </c>
      <c r="AK262" t="s">
        <v>47</v>
      </c>
    </row>
    <row r="263" spans="1:37" ht="15" customHeight="1" x14ac:dyDescent="0.35">
      <c r="A263">
        <v>690929</v>
      </c>
      <c r="B263" t="s">
        <v>37</v>
      </c>
      <c r="C263" t="s">
        <v>38</v>
      </c>
      <c r="D263" s="9" t="s">
        <v>39</v>
      </c>
      <c r="E263" s="10" t="s">
        <v>37</v>
      </c>
      <c r="F263" s="11"/>
      <c r="G263" t="s">
        <v>870</v>
      </c>
      <c r="I263" t="s">
        <v>41</v>
      </c>
      <c r="J263" t="s">
        <v>871</v>
      </c>
      <c r="K263" t="s">
        <v>43</v>
      </c>
      <c r="L263">
        <v>2</v>
      </c>
      <c r="M263" t="s">
        <v>44</v>
      </c>
      <c r="N263" t="s">
        <v>45</v>
      </c>
      <c r="O263" t="s">
        <v>46</v>
      </c>
      <c r="P263" s="5">
        <v>1</v>
      </c>
      <c r="Q263" s="12">
        <v>44703.611296296294</v>
      </c>
      <c r="R263" s="13">
        <v>44706</v>
      </c>
      <c r="T263" t="s">
        <v>47</v>
      </c>
      <c r="U263" t="s">
        <v>48</v>
      </c>
      <c r="V263" t="s">
        <v>76</v>
      </c>
      <c r="Y263" t="s">
        <v>872</v>
      </c>
      <c r="Z263">
        <v>75150</v>
      </c>
      <c r="AA263" t="s">
        <v>47</v>
      </c>
      <c r="AB263" t="s">
        <v>52</v>
      </c>
      <c r="AC263" t="s">
        <v>53</v>
      </c>
      <c r="AD263" s="16">
        <f>IF(P263&lt;=1,4.9,4.9+0.8*ROUNDUP(P263-1,0))</f>
        <v>4.9000000000000004</v>
      </c>
      <c r="AE263" s="15">
        <v>0</v>
      </c>
      <c r="AF263" s="15">
        <v>0</v>
      </c>
      <c r="AG263" s="15">
        <v>0</v>
      </c>
      <c r="AH263" s="15">
        <v>0</v>
      </c>
      <c r="AI263" s="15">
        <f t="shared" si="8"/>
        <v>0.29399999999999998</v>
      </c>
      <c r="AJ263" s="15">
        <f t="shared" si="9"/>
        <v>5.194</v>
      </c>
      <c r="AK263" t="s">
        <v>47</v>
      </c>
    </row>
    <row r="264" spans="1:37" ht="15" customHeight="1" x14ac:dyDescent="0.35">
      <c r="A264">
        <v>690929</v>
      </c>
      <c r="B264" t="s">
        <v>37</v>
      </c>
      <c r="C264" t="s">
        <v>38</v>
      </c>
      <c r="D264" s="9" t="s">
        <v>39</v>
      </c>
      <c r="E264" s="10" t="s">
        <v>37</v>
      </c>
      <c r="F264" s="11"/>
      <c r="G264" t="s">
        <v>873</v>
      </c>
      <c r="I264" t="s">
        <v>41</v>
      </c>
      <c r="J264" t="s">
        <v>874</v>
      </c>
      <c r="K264" t="s">
        <v>43</v>
      </c>
      <c r="L264">
        <v>2</v>
      </c>
      <c r="M264" t="s">
        <v>44</v>
      </c>
      <c r="N264" t="s">
        <v>45</v>
      </c>
      <c r="O264" t="s">
        <v>531</v>
      </c>
      <c r="P264" s="5">
        <v>6</v>
      </c>
      <c r="Q264" s="12">
        <v>44703.752627314818</v>
      </c>
      <c r="R264" s="13">
        <v>44706</v>
      </c>
      <c r="T264" t="s">
        <v>47</v>
      </c>
      <c r="U264" t="s">
        <v>48</v>
      </c>
      <c r="V264" t="s">
        <v>164</v>
      </c>
      <c r="Y264" t="s">
        <v>875</v>
      </c>
      <c r="Z264">
        <v>36000</v>
      </c>
      <c r="AA264" t="s">
        <v>47</v>
      </c>
      <c r="AB264" t="s">
        <v>876</v>
      </c>
      <c r="AC264" t="s">
        <v>53</v>
      </c>
      <c r="AD264" s="16">
        <f>IF(P264&lt;=1,4.9,4.9+0.8*ROUNDUP(P264-1,0))</f>
        <v>8.9</v>
      </c>
      <c r="AE264" s="15">
        <v>0</v>
      </c>
      <c r="AF264" s="15">
        <v>0</v>
      </c>
      <c r="AG264" s="15">
        <v>0</v>
      </c>
      <c r="AH264" s="15">
        <v>0</v>
      </c>
      <c r="AI264" s="15">
        <f t="shared" si="8"/>
        <v>0.53400000000000003</v>
      </c>
      <c r="AJ264" s="15">
        <f t="shared" si="9"/>
        <v>9.4340000000000011</v>
      </c>
      <c r="AK264" t="s">
        <v>47</v>
      </c>
    </row>
    <row r="265" spans="1:37" ht="15" customHeight="1" x14ac:dyDescent="0.35">
      <c r="A265">
        <v>690929</v>
      </c>
      <c r="B265" t="s">
        <v>37</v>
      </c>
      <c r="C265" t="s">
        <v>38</v>
      </c>
      <c r="D265" s="9" t="s">
        <v>39</v>
      </c>
      <c r="E265" s="10" t="s">
        <v>37</v>
      </c>
      <c r="F265" s="11"/>
      <c r="G265" t="s">
        <v>877</v>
      </c>
      <c r="I265" t="s">
        <v>41</v>
      </c>
      <c r="J265" t="s">
        <v>878</v>
      </c>
      <c r="K265" t="s">
        <v>43</v>
      </c>
      <c r="L265">
        <v>2</v>
      </c>
      <c r="M265" t="s">
        <v>44</v>
      </c>
      <c r="N265" t="s">
        <v>45</v>
      </c>
      <c r="O265" t="s">
        <v>46</v>
      </c>
      <c r="P265" s="5">
        <v>1</v>
      </c>
      <c r="Q265" s="12">
        <v>44703.720439814817</v>
      </c>
      <c r="R265" s="13">
        <v>44706</v>
      </c>
      <c r="T265" t="s">
        <v>47</v>
      </c>
      <c r="U265" t="s">
        <v>48</v>
      </c>
      <c r="V265" t="s">
        <v>70</v>
      </c>
      <c r="Y265" t="s">
        <v>879</v>
      </c>
      <c r="Z265">
        <v>45500</v>
      </c>
      <c r="AA265" t="s">
        <v>47</v>
      </c>
      <c r="AB265" t="s">
        <v>52</v>
      </c>
      <c r="AC265" t="s">
        <v>53</v>
      </c>
      <c r="AD265" s="16">
        <f>IF(P265&lt;=1,4.9,4.9+0.8*ROUNDUP(P265-1,0))</f>
        <v>4.9000000000000004</v>
      </c>
      <c r="AE265" s="15">
        <v>0</v>
      </c>
      <c r="AF265" s="15">
        <v>0</v>
      </c>
      <c r="AG265" s="15">
        <v>0</v>
      </c>
      <c r="AH265" s="15">
        <v>0</v>
      </c>
      <c r="AI265" s="15">
        <f t="shared" si="8"/>
        <v>0.29399999999999998</v>
      </c>
      <c r="AJ265" s="15">
        <f t="shared" si="9"/>
        <v>5.194</v>
      </c>
      <c r="AK265" t="s">
        <v>47</v>
      </c>
    </row>
    <row r="266" spans="1:37" ht="15" customHeight="1" x14ac:dyDescent="0.35">
      <c r="A266">
        <v>690929</v>
      </c>
      <c r="B266" t="s">
        <v>37</v>
      </c>
      <c r="C266" t="s">
        <v>38</v>
      </c>
      <c r="D266" s="9" t="s">
        <v>39</v>
      </c>
      <c r="E266" s="10" t="s">
        <v>37</v>
      </c>
      <c r="F266" s="11"/>
      <c r="G266" t="s">
        <v>880</v>
      </c>
      <c r="I266" t="s">
        <v>41</v>
      </c>
      <c r="J266" t="s">
        <v>881</v>
      </c>
      <c r="K266" t="s">
        <v>43</v>
      </c>
      <c r="L266">
        <v>2</v>
      </c>
      <c r="M266" t="s">
        <v>44</v>
      </c>
      <c r="N266" t="s">
        <v>45</v>
      </c>
      <c r="O266" t="s">
        <v>46</v>
      </c>
      <c r="P266" s="5">
        <v>1</v>
      </c>
      <c r="Q266" s="12">
        <v>44703.725659722222</v>
      </c>
      <c r="R266" s="13">
        <v>44706</v>
      </c>
      <c r="T266" t="s">
        <v>47</v>
      </c>
      <c r="U266" t="s">
        <v>48</v>
      </c>
      <c r="V266" t="s">
        <v>70</v>
      </c>
      <c r="Y266" t="s">
        <v>882</v>
      </c>
      <c r="Z266">
        <v>42000</v>
      </c>
      <c r="AA266" t="s">
        <v>47</v>
      </c>
      <c r="AB266" t="s">
        <v>52</v>
      </c>
      <c r="AC266" t="s">
        <v>53</v>
      </c>
      <c r="AD266" s="16">
        <f>IF(P266&lt;=1,4.9,4.9+0.8*ROUNDUP(P266-1,0))</f>
        <v>4.9000000000000004</v>
      </c>
      <c r="AE266" s="15">
        <v>0</v>
      </c>
      <c r="AF266" s="15">
        <v>0</v>
      </c>
      <c r="AG266" s="15">
        <v>0</v>
      </c>
      <c r="AH266" s="15">
        <v>0</v>
      </c>
      <c r="AI266" s="15">
        <f t="shared" si="8"/>
        <v>0.29399999999999998</v>
      </c>
      <c r="AJ266" s="15">
        <f t="shared" si="9"/>
        <v>5.194</v>
      </c>
      <c r="AK266" t="s">
        <v>47</v>
      </c>
    </row>
    <row r="267" spans="1:37" ht="15" customHeight="1" x14ac:dyDescent="0.35">
      <c r="A267">
        <v>690929</v>
      </c>
      <c r="B267" t="s">
        <v>37</v>
      </c>
      <c r="C267" t="s">
        <v>38</v>
      </c>
      <c r="D267" s="9" t="s">
        <v>39</v>
      </c>
      <c r="E267" s="10" t="s">
        <v>37</v>
      </c>
      <c r="F267" s="11"/>
      <c r="G267" t="s">
        <v>883</v>
      </c>
      <c r="I267" t="s">
        <v>41</v>
      </c>
      <c r="J267" t="s">
        <v>884</v>
      </c>
      <c r="K267" t="s">
        <v>43</v>
      </c>
      <c r="L267">
        <v>2</v>
      </c>
      <c r="M267" t="s">
        <v>44</v>
      </c>
      <c r="N267" t="s">
        <v>45</v>
      </c>
      <c r="O267" t="s">
        <v>46</v>
      </c>
      <c r="P267" s="5">
        <v>1</v>
      </c>
      <c r="Q267" s="12">
        <v>44703.738703703704</v>
      </c>
      <c r="R267" s="13">
        <v>44706</v>
      </c>
      <c r="T267" t="s">
        <v>47</v>
      </c>
      <c r="U267" t="s">
        <v>48</v>
      </c>
      <c r="V267" t="s">
        <v>164</v>
      </c>
      <c r="Y267" t="s">
        <v>885</v>
      </c>
      <c r="Z267">
        <v>30010</v>
      </c>
      <c r="AA267" t="s">
        <v>47</v>
      </c>
      <c r="AB267" t="s">
        <v>52</v>
      </c>
      <c r="AC267" t="s">
        <v>53</v>
      </c>
      <c r="AD267" s="16">
        <f>IF(P267&lt;=1,4.9,4.9+0.8*ROUNDUP(P267-1,0))</f>
        <v>4.9000000000000004</v>
      </c>
      <c r="AE267" s="15">
        <v>0</v>
      </c>
      <c r="AF267" s="15">
        <v>0</v>
      </c>
      <c r="AG267" s="15">
        <v>0</v>
      </c>
      <c r="AH267" s="15">
        <v>0</v>
      </c>
      <c r="AI267" s="15">
        <f t="shared" si="8"/>
        <v>0.29399999999999998</v>
      </c>
      <c r="AJ267" s="15">
        <f t="shared" si="9"/>
        <v>5.194</v>
      </c>
      <c r="AK267" t="s">
        <v>47</v>
      </c>
    </row>
    <row r="268" spans="1:37" ht="15" customHeight="1" x14ac:dyDescent="0.35">
      <c r="A268">
        <v>690929</v>
      </c>
      <c r="B268" t="s">
        <v>37</v>
      </c>
      <c r="C268" t="s">
        <v>38</v>
      </c>
      <c r="D268" s="9" t="s">
        <v>39</v>
      </c>
      <c r="E268" s="10" t="s">
        <v>37</v>
      </c>
      <c r="F268" s="11"/>
      <c r="G268" t="s">
        <v>886</v>
      </c>
      <c r="I268" t="s">
        <v>41</v>
      </c>
      <c r="J268" t="s">
        <v>887</v>
      </c>
      <c r="K268" t="s">
        <v>43</v>
      </c>
      <c r="L268">
        <v>2</v>
      </c>
      <c r="M268" t="s">
        <v>44</v>
      </c>
      <c r="N268" t="s">
        <v>45</v>
      </c>
      <c r="O268" t="s">
        <v>46</v>
      </c>
      <c r="P268" s="5">
        <v>17</v>
      </c>
      <c r="Q268" s="12">
        <v>44705.641724537039</v>
      </c>
      <c r="R268" s="13">
        <v>44706</v>
      </c>
      <c r="T268" t="s">
        <v>47</v>
      </c>
      <c r="U268" t="s">
        <v>48</v>
      </c>
      <c r="V268" t="s">
        <v>56</v>
      </c>
      <c r="Y268" t="s">
        <v>888</v>
      </c>
      <c r="Z268">
        <v>28300</v>
      </c>
      <c r="AA268" t="s">
        <v>47</v>
      </c>
      <c r="AB268" t="s">
        <v>299</v>
      </c>
      <c r="AC268" t="s">
        <v>53</v>
      </c>
      <c r="AD268" s="16">
        <f>IF(P268&lt;=1,4.9,4.9+0.8*ROUNDUP(P268-1,0))</f>
        <v>17.700000000000003</v>
      </c>
      <c r="AE268" s="15">
        <v>0</v>
      </c>
      <c r="AF268" s="15">
        <v>0</v>
      </c>
      <c r="AG268" s="15">
        <v>0</v>
      </c>
      <c r="AH268" s="15">
        <v>0</v>
      </c>
      <c r="AI268" s="15">
        <f t="shared" si="8"/>
        <v>1.0620000000000001</v>
      </c>
      <c r="AJ268" s="15">
        <f t="shared" si="9"/>
        <v>18.762000000000004</v>
      </c>
      <c r="AK268" t="s">
        <v>47</v>
      </c>
    </row>
    <row r="269" spans="1:37" ht="15" customHeight="1" x14ac:dyDescent="0.35">
      <c r="A269">
        <v>690929</v>
      </c>
      <c r="B269" t="s">
        <v>37</v>
      </c>
      <c r="C269" t="s">
        <v>38</v>
      </c>
      <c r="D269" s="9" t="s">
        <v>39</v>
      </c>
      <c r="E269" s="10" t="s">
        <v>37</v>
      </c>
      <c r="F269" s="11"/>
      <c r="G269" t="s">
        <v>889</v>
      </c>
      <c r="I269" t="s">
        <v>41</v>
      </c>
      <c r="J269" t="s">
        <v>890</v>
      </c>
      <c r="K269" t="s">
        <v>43</v>
      </c>
      <c r="L269">
        <v>2</v>
      </c>
      <c r="M269" t="s">
        <v>44</v>
      </c>
      <c r="N269" t="s">
        <v>45</v>
      </c>
      <c r="O269" t="s">
        <v>46</v>
      </c>
      <c r="P269" s="5">
        <v>1</v>
      </c>
      <c r="Q269" s="12">
        <v>44703.73709490741</v>
      </c>
      <c r="R269" s="13">
        <v>44706</v>
      </c>
      <c r="T269" t="s">
        <v>47</v>
      </c>
      <c r="U269" t="s">
        <v>48</v>
      </c>
      <c r="V269" t="s">
        <v>407</v>
      </c>
      <c r="Y269" t="s">
        <v>891</v>
      </c>
      <c r="Z269">
        <v>70300</v>
      </c>
      <c r="AA269" t="s">
        <v>47</v>
      </c>
      <c r="AB269" t="s">
        <v>52</v>
      </c>
      <c r="AC269" t="s">
        <v>53</v>
      </c>
      <c r="AD269" s="16">
        <f>IF(P269&lt;=1,4.9,4.9+0.8*ROUNDUP(P269-1,0))</f>
        <v>4.9000000000000004</v>
      </c>
      <c r="AE269" s="15">
        <v>0</v>
      </c>
      <c r="AF269" s="15">
        <v>0</v>
      </c>
      <c r="AG269" s="15">
        <v>0</v>
      </c>
      <c r="AH269" s="15">
        <v>0</v>
      </c>
      <c r="AI269" s="15">
        <f t="shared" si="8"/>
        <v>0.29399999999999998</v>
      </c>
      <c r="AJ269" s="15">
        <f t="shared" si="9"/>
        <v>5.194</v>
      </c>
      <c r="AK269" t="s">
        <v>47</v>
      </c>
    </row>
    <row r="270" spans="1:37" ht="15" customHeight="1" x14ac:dyDescent="0.35">
      <c r="A270">
        <v>690929</v>
      </c>
      <c r="B270" t="s">
        <v>37</v>
      </c>
      <c r="C270" t="s">
        <v>38</v>
      </c>
      <c r="D270" s="9" t="s">
        <v>39</v>
      </c>
      <c r="E270" s="10" t="s">
        <v>37</v>
      </c>
      <c r="F270" s="11"/>
      <c r="G270" t="s">
        <v>892</v>
      </c>
      <c r="I270" t="s">
        <v>41</v>
      </c>
      <c r="J270" t="s">
        <v>893</v>
      </c>
      <c r="K270" t="s">
        <v>43</v>
      </c>
      <c r="L270">
        <v>2</v>
      </c>
      <c r="M270" t="s">
        <v>44</v>
      </c>
      <c r="N270" t="s">
        <v>45</v>
      </c>
      <c r="O270" t="s">
        <v>46</v>
      </c>
      <c r="P270" s="5">
        <v>3</v>
      </c>
      <c r="Q270" s="12">
        <v>44703.72996527778</v>
      </c>
      <c r="R270" s="13">
        <v>44706</v>
      </c>
      <c r="T270" t="s">
        <v>47</v>
      </c>
      <c r="U270" t="s">
        <v>48</v>
      </c>
      <c r="V270" t="s">
        <v>70</v>
      </c>
      <c r="Y270" t="s">
        <v>894</v>
      </c>
      <c r="Z270">
        <v>43000</v>
      </c>
      <c r="AA270" t="s">
        <v>47</v>
      </c>
      <c r="AB270" t="s">
        <v>52</v>
      </c>
      <c r="AC270" t="s">
        <v>53</v>
      </c>
      <c r="AD270" s="16">
        <f>IF(P270&lt;=1,4.9,4.9+0.8*ROUNDUP(P270-1,0))</f>
        <v>6.5</v>
      </c>
      <c r="AE270" s="15">
        <v>0</v>
      </c>
      <c r="AF270" s="15">
        <v>0</v>
      </c>
      <c r="AG270" s="15">
        <v>0</v>
      </c>
      <c r="AH270" s="15">
        <v>0</v>
      </c>
      <c r="AI270" s="15">
        <f t="shared" si="8"/>
        <v>0.39</v>
      </c>
      <c r="AJ270" s="15">
        <f t="shared" si="9"/>
        <v>6.89</v>
      </c>
      <c r="AK270" t="s">
        <v>47</v>
      </c>
    </row>
    <row r="271" spans="1:37" ht="15" customHeight="1" x14ac:dyDescent="0.35">
      <c r="A271">
        <v>690929</v>
      </c>
      <c r="B271" t="s">
        <v>37</v>
      </c>
      <c r="C271" t="s">
        <v>38</v>
      </c>
      <c r="D271" s="9" t="s">
        <v>39</v>
      </c>
      <c r="E271" s="10" t="s">
        <v>37</v>
      </c>
      <c r="F271" s="11"/>
      <c r="G271" t="s">
        <v>895</v>
      </c>
      <c r="I271" t="s">
        <v>41</v>
      </c>
      <c r="J271" t="s">
        <v>896</v>
      </c>
      <c r="K271" t="s">
        <v>43</v>
      </c>
      <c r="L271">
        <v>2</v>
      </c>
      <c r="M271" t="s">
        <v>44</v>
      </c>
      <c r="N271" t="s">
        <v>45</v>
      </c>
      <c r="O271" t="s">
        <v>46</v>
      </c>
      <c r="P271" s="5">
        <v>1</v>
      </c>
      <c r="Q271" s="12">
        <v>44703.617222222223</v>
      </c>
      <c r="R271" s="13">
        <v>44706</v>
      </c>
      <c r="T271" t="s">
        <v>47</v>
      </c>
      <c r="U271" t="s">
        <v>48</v>
      </c>
      <c r="V271" t="s">
        <v>70</v>
      </c>
      <c r="Y271" t="s">
        <v>897</v>
      </c>
      <c r="Z271">
        <v>53100</v>
      </c>
      <c r="AA271" t="s">
        <v>47</v>
      </c>
      <c r="AB271" t="s">
        <v>52</v>
      </c>
      <c r="AC271" t="s">
        <v>53</v>
      </c>
      <c r="AD271" s="16">
        <f>IF(P271&lt;=1,4.9,4.9+0.8*ROUNDUP(P271-1,0))</f>
        <v>4.9000000000000004</v>
      </c>
      <c r="AE271" s="15">
        <v>0</v>
      </c>
      <c r="AF271" s="15">
        <v>0</v>
      </c>
      <c r="AG271" s="15">
        <v>0</v>
      </c>
      <c r="AH271" s="15">
        <v>0</v>
      </c>
      <c r="AI271" s="15">
        <f t="shared" si="8"/>
        <v>0.29399999999999998</v>
      </c>
      <c r="AJ271" s="15">
        <f t="shared" si="9"/>
        <v>5.194</v>
      </c>
      <c r="AK271" t="s">
        <v>47</v>
      </c>
    </row>
    <row r="272" spans="1:37" ht="15" customHeight="1" x14ac:dyDescent="0.35">
      <c r="A272">
        <v>690929</v>
      </c>
      <c r="B272" t="s">
        <v>37</v>
      </c>
      <c r="C272" t="s">
        <v>38</v>
      </c>
      <c r="D272" s="9" t="s">
        <v>39</v>
      </c>
      <c r="E272" s="10" t="s">
        <v>37</v>
      </c>
      <c r="F272" s="11"/>
      <c r="G272" t="s">
        <v>898</v>
      </c>
      <c r="I272" t="s">
        <v>41</v>
      </c>
      <c r="J272" t="s">
        <v>899</v>
      </c>
      <c r="K272" t="s">
        <v>43</v>
      </c>
      <c r="L272">
        <v>2</v>
      </c>
      <c r="M272" t="s">
        <v>44</v>
      </c>
      <c r="N272" t="s">
        <v>45</v>
      </c>
      <c r="O272" t="s">
        <v>92</v>
      </c>
      <c r="P272" s="5">
        <v>11</v>
      </c>
      <c r="Q272" s="12">
        <v>44697.540208333332</v>
      </c>
      <c r="R272" s="13">
        <v>44707</v>
      </c>
      <c r="T272" t="s">
        <v>47</v>
      </c>
      <c r="U272" t="s">
        <v>48</v>
      </c>
      <c r="V272" t="s">
        <v>70</v>
      </c>
      <c r="Y272" t="s">
        <v>900</v>
      </c>
      <c r="Z272">
        <v>40000</v>
      </c>
      <c r="AA272" t="s">
        <v>47</v>
      </c>
      <c r="AB272" t="s">
        <v>901</v>
      </c>
      <c r="AC272" t="s">
        <v>53</v>
      </c>
      <c r="AD272" s="16">
        <f>IF(P272&lt;=1,4.9,4.9+0.8*ROUNDUP(P272-1,0))</f>
        <v>12.9</v>
      </c>
      <c r="AE272" s="15">
        <v>0</v>
      </c>
      <c r="AF272" s="15">
        <v>0</v>
      </c>
      <c r="AG272" s="15">
        <v>0</v>
      </c>
      <c r="AH272" s="15">
        <v>0</v>
      </c>
      <c r="AI272" s="15">
        <f t="shared" si="8"/>
        <v>0.77400000000000002</v>
      </c>
      <c r="AJ272" s="15">
        <f t="shared" si="9"/>
        <v>13.673999999999999</v>
      </c>
      <c r="AK272" t="s">
        <v>47</v>
      </c>
    </row>
    <row r="273" spans="1:37" ht="15" customHeight="1" x14ac:dyDescent="0.35">
      <c r="A273">
        <v>690929</v>
      </c>
      <c r="B273" t="s">
        <v>37</v>
      </c>
      <c r="C273" t="s">
        <v>38</v>
      </c>
      <c r="D273" s="9" t="s">
        <v>39</v>
      </c>
      <c r="E273" s="10" t="s">
        <v>37</v>
      </c>
      <c r="F273" s="11"/>
      <c r="G273" t="s">
        <v>902</v>
      </c>
      <c r="I273" t="s">
        <v>41</v>
      </c>
      <c r="J273" t="s">
        <v>445</v>
      </c>
      <c r="K273" t="s">
        <v>43</v>
      </c>
      <c r="L273">
        <v>2</v>
      </c>
      <c r="M273" t="s">
        <v>44</v>
      </c>
      <c r="N273" t="s">
        <v>45</v>
      </c>
      <c r="O273" t="s">
        <v>46</v>
      </c>
      <c r="P273" s="5">
        <v>1</v>
      </c>
      <c r="Q273" s="12">
        <v>44703.439062500001</v>
      </c>
      <c r="R273" s="13">
        <v>44707</v>
      </c>
      <c r="T273" t="s">
        <v>47</v>
      </c>
      <c r="U273" t="s">
        <v>48</v>
      </c>
      <c r="V273" t="s">
        <v>49</v>
      </c>
      <c r="Y273" t="s">
        <v>903</v>
      </c>
      <c r="Z273">
        <v>89500</v>
      </c>
      <c r="AA273" t="s">
        <v>51</v>
      </c>
      <c r="AB273" t="s">
        <v>52</v>
      </c>
      <c r="AC273" t="s">
        <v>53</v>
      </c>
      <c r="AD273" s="14">
        <f>IF(P273&lt;=1,13,IF(P273&lt;=2,23,IF(P273&lt;=3,35,IF(P273&lt;=4,43,IF(P273&lt;=5,53,IF(P273&lt;=6,63,IF(P273&lt;=7,71,IF(P273&lt;=8,79,IF(P273&lt;=9,87,IF(P273&lt;=10,95,IF(P273&lt;=11,105,IF(P273&lt;=12,114,IF(P273&lt;=13,119,IF(P273&lt;=14,127,IF(P273&lt;=15,135,IF(P273&lt;=16,143,IF(P273&lt;=17,153,IF(P273&lt;=18,163,IF(P273&lt;=19,171,IF(P273&lt;=20,185,IF(P273&lt;=21,193,IF(P273&lt;=22,201,IF(P273&lt;=23,210,IF(P273&lt;=24,220,IF(P273&lt;=25,230,IF(P273&lt;=26,240,IF(P273&lt;=27,250,IF(P273&lt;=28,260,IF(P273&lt;=29,270,IF(P273&lt;=30,280,280))))))))))))))))))))))))))))))</f>
        <v>13</v>
      </c>
      <c r="AE273" s="15">
        <v>0</v>
      </c>
      <c r="AF273" s="15">
        <v>0</v>
      </c>
      <c r="AG273" s="15">
        <v>0</v>
      </c>
      <c r="AH273" s="15">
        <v>0</v>
      </c>
      <c r="AI273" s="15">
        <f t="shared" si="8"/>
        <v>0.78</v>
      </c>
      <c r="AJ273" s="15">
        <f t="shared" si="9"/>
        <v>13.78</v>
      </c>
      <c r="AK273" t="s">
        <v>51</v>
      </c>
    </row>
    <row r="274" spans="1:37" ht="15" customHeight="1" x14ac:dyDescent="0.35">
      <c r="A274">
        <v>690929</v>
      </c>
      <c r="B274" t="s">
        <v>37</v>
      </c>
      <c r="C274" t="s">
        <v>38</v>
      </c>
      <c r="D274" s="9" t="s">
        <v>39</v>
      </c>
      <c r="E274" s="10" t="s">
        <v>37</v>
      </c>
      <c r="F274" s="11"/>
      <c r="G274" t="s">
        <v>904</v>
      </c>
      <c r="I274" t="s">
        <v>41</v>
      </c>
      <c r="J274" t="s">
        <v>905</v>
      </c>
      <c r="K274" t="s">
        <v>43</v>
      </c>
      <c r="L274">
        <v>2</v>
      </c>
      <c r="M274" t="s">
        <v>44</v>
      </c>
      <c r="N274" t="s">
        <v>45</v>
      </c>
      <c r="O274" t="s">
        <v>46</v>
      </c>
      <c r="P274" s="5">
        <v>1</v>
      </c>
      <c r="Q274" s="12">
        <v>44705.61824074074</v>
      </c>
      <c r="R274" s="13">
        <v>44707</v>
      </c>
      <c r="T274" t="s">
        <v>47</v>
      </c>
      <c r="U274" t="s">
        <v>48</v>
      </c>
      <c r="V274" t="s">
        <v>93</v>
      </c>
      <c r="Y274" t="s">
        <v>906</v>
      </c>
      <c r="Z274">
        <v>86200</v>
      </c>
      <c r="AA274" t="s">
        <v>47</v>
      </c>
      <c r="AB274" t="s">
        <v>52</v>
      </c>
      <c r="AC274" t="s">
        <v>53</v>
      </c>
      <c r="AD274" s="16">
        <f>IF(P274&lt;=1,4.9,4.9+0.8*ROUNDUP(P274-1,0))</f>
        <v>4.9000000000000004</v>
      </c>
      <c r="AE274" s="15">
        <v>0</v>
      </c>
      <c r="AF274" s="15">
        <v>0</v>
      </c>
      <c r="AG274" s="15">
        <v>0</v>
      </c>
      <c r="AH274" s="15">
        <v>0</v>
      </c>
      <c r="AI274" s="15">
        <f t="shared" si="8"/>
        <v>0.29399999999999998</v>
      </c>
      <c r="AJ274" s="15">
        <f t="shared" si="9"/>
        <v>5.194</v>
      </c>
      <c r="AK274" t="s">
        <v>47</v>
      </c>
    </row>
    <row r="275" spans="1:37" ht="15" customHeight="1" x14ac:dyDescent="0.35">
      <c r="A275">
        <v>690929</v>
      </c>
      <c r="B275" t="s">
        <v>37</v>
      </c>
      <c r="C275" t="s">
        <v>38</v>
      </c>
      <c r="D275" s="9" t="s">
        <v>39</v>
      </c>
      <c r="E275" s="10" t="s">
        <v>37</v>
      </c>
      <c r="F275" s="11"/>
      <c r="G275" t="s">
        <v>907</v>
      </c>
      <c r="I275" t="s">
        <v>41</v>
      </c>
      <c r="J275" t="s">
        <v>908</v>
      </c>
      <c r="K275" t="s">
        <v>43</v>
      </c>
      <c r="L275">
        <v>2</v>
      </c>
      <c r="M275" t="s">
        <v>44</v>
      </c>
      <c r="N275" t="s">
        <v>45</v>
      </c>
      <c r="O275" t="s">
        <v>46</v>
      </c>
      <c r="P275" s="5">
        <v>1</v>
      </c>
      <c r="Q275" s="12">
        <v>44703.716921296298</v>
      </c>
      <c r="R275" s="13">
        <v>44707</v>
      </c>
      <c r="T275" t="s">
        <v>47</v>
      </c>
      <c r="U275" t="s">
        <v>48</v>
      </c>
      <c r="V275" t="s">
        <v>70</v>
      </c>
      <c r="Y275" t="s">
        <v>909</v>
      </c>
      <c r="Z275">
        <v>40200</v>
      </c>
      <c r="AA275" t="s">
        <v>47</v>
      </c>
      <c r="AB275" t="s">
        <v>52</v>
      </c>
      <c r="AC275" t="s">
        <v>53</v>
      </c>
      <c r="AD275" s="16">
        <f>IF(P275&lt;=1,4.9,4.9+0.8*ROUNDUP(P275-1,0))</f>
        <v>4.9000000000000004</v>
      </c>
      <c r="AE275" s="15">
        <v>0</v>
      </c>
      <c r="AF275" s="15">
        <v>0</v>
      </c>
      <c r="AG275" s="15">
        <v>0</v>
      </c>
      <c r="AH275" s="15">
        <v>0</v>
      </c>
      <c r="AI275" s="15">
        <f t="shared" si="8"/>
        <v>0.29399999999999998</v>
      </c>
      <c r="AJ275" s="15">
        <f t="shared" si="9"/>
        <v>5.194</v>
      </c>
      <c r="AK275" t="s">
        <v>47</v>
      </c>
    </row>
    <row r="276" spans="1:37" ht="15" customHeight="1" x14ac:dyDescent="0.35">
      <c r="A276">
        <v>690929</v>
      </c>
      <c r="B276" t="s">
        <v>37</v>
      </c>
      <c r="C276" t="s">
        <v>38</v>
      </c>
      <c r="D276" s="9" t="s">
        <v>39</v>
      </c>
      <c r="E276" s="10" t="s">
        <v>37</v>
      </c>
      <c r="F276" s="11"/>
      <c r="G276" t="s">
        <v>910</v>
      </c>
      <c r="I276" t="s">
        <v>41</v>
      </c>
      <c r="J276" t="s">
        <v>911</v>
      </c>
      <c r="K276" t="s">
        <v>43</v>
      </c>
      <c r="L276">
        <v>2</v>
      </c>
      <c r="M276" t="s">
        <v>44</v>
      </c>
      <c r="N276" t="s">
        <v>45</v>
      </c>
      <c r="O276" t="s">
        <v>46</v>
      </c>
      <c r="P276" s="5">
        <v>1</v>
      </c>
      <c r="Q276" s="12">
        <v>44704.670520833337</v>
      </c>
      <c r="R276" s="13">
        <v>44707</v>
      </c>
      <c r="T276" t="s">
        <v>47</v>
      </c>
      <c r="U276" t="s">
        <v>48</v>
      </c>
      <c r="V276" t="s">
        <v>407</v>
      </c>
      <c r="Y276" t="s">
        <v>912</v>
      </c>
      <c r="Z276">
        <v>70100</v>
      </c>
      <c r="AA276" t="s">
        <v>47</v>
      </c>
      <c r="AB276" t="s">
        <v>52</v>
      </c>
      <c r="AC276" t="s">
        <v>53</v>
      </c>
      <c r="AD276" s="16">
        <f>IF(P276&lt;=1,4.9,4.9+0.8*ROUNDUP(P276-1,0))</f>
        <v>4.9000000000000004</v>
      </c>
      <c r="AE276" s="15">
        <v>0</v>
      </c>
      <c r="AF276" s="15">
        <v>0</v>
      </c>
      <c r="AG276" s="15">
        <v>0</v>
      </c>
      <c r="AH276" s="15">
        <v>0</v>
      </c>
      <c r="AI276" s="15">
        <f t="shared" si="8"/>
        <v>0.29399999999999998</v>
      </c>
      <c r="AJ276" s="15">
        <f t="shared" si="9"/>
        <v>5.194</v>
      </c>
      <c r="AK276" t="s">
        <v>47</v>
      </c>
    </row>
    <row r="277" spans="1:37" ht="15" customHeight="1" x14ac:dyDescent="0.35">
      <c r="A277">
        <v>690929</v>
      </c>
      <c r="B277" t="s">
        <v>37</v>
      </c>
      <c r="C277" t="s">
        <v>38</v>
      </c>
      <c r="D277" s="9" t="s">
        <v>39</v>
      </c>
      <c r="E277" s="10" t="s">
        <v>37</v>
      </c>
      <c r="F277" s="11"/>
      <c r="G277" t="s">
        <v>913</v>
      </c>
      <c r="I277" t="s">
        <v>41</v>
      </c>
      <c r="J277" t="s">
        <v>914</v>
      </c>
      <c r="K277" t="s">
        <v>43</v>
      </c>
      <c r="L277">
        <v>2</v>
      </c>
      <c r="M277" t="s">
        <v>44</v>
      </c>
      <c r="N277" t="s">
        <v>45</v>
      </c>
      <c r="O277" t="s">
        <v>46</v>
      </c>
      <c r="P277" s="5">
        <v>1</v>
      </c>
      <c r="Q277" s="12">
        <v>44706.412708333337</v>
      </c>
      <c r="R277" s="13">
        <v>44707</v>
      </c>
      <c r="T277" t="s">
        <v>47</v>
      </c>
      <c r="U277" t="s">
        <v>48</v>
      </c>
      <c r="V277" t="s">
        <v>61</v>
      </c>
      <c r="Y277" t="s">
        <v>915</v>
      </c>
      <c r="Z277">
        <v>16250</v>
      </c>
      <c r="AA277" t="s">
        <v>47</v>
      </c>
      <c r="AB277" t="s">
        <v>58</v>
      </c>
      <c r="AC277" t="s">
        <v>53</v>
      </c>
      <c r="AD277" s="16">
        <f>IF(P277&lt;=1,4.9,4.9+0.8*ROUNDUP(P277-1,0))</f>
        <v>4.9000000000000004</v>
      </c>
      <c r="AE277" s="15">
        <v>0</v>
      </c>
      <c r="AF277" s="15">
        <v>0</v>
      </c>
      <c r="AG277" s="15">
        <v>0</v>
      </c>
      <c r="AH277" s="15">
        <v>0</v>
      </c>
      <c r="AI277" s="15">
        <f t="shared" si="8"/>
        <v>0.29399999999999998</v>
      </c>
      <c r="AJ277" s="15">
        <f t="shared" si="9"/>
        <v>5.194</v>
      </c>
      <c r="AK277" t="s">
        <v>47</v>
      </c>
    </row>
    <row r="278" spans="1:37" ht="15" customHeight="1" x14ac:dyDescent="0.35">
      <c r="A278">
        <v>690929</v>
      </c>
      <c r="B278" t="s">
        <v>37</v>
      </c>
      <c r="C278" t="s">
        <v>38</v>
      </c>
      <c r="D278" s="9" t="s">
        <v>39</v>
      </c>
      <c r="E278" s="10" t="s">
        <v>37</v>
      </c>
      <c r="F278" s="11"/>
      <c r="G278" t="s">
        <v>916</v>
      </c>
      <c r="I278" t="s">
        <v>41</v>
      </c>
      <c r="J278" t="s">
        <v>917</v>
      </c>
      <c r="K278" t="s">
        <v>43</v>
      </c>
      <c r="L278">
        <v>2</v>
      </c>
      <c r="M278" t="s">
        <v>44</v>
      </c>
      <c r="N278" t="s">
        <v>45</v>
      </c>
      <c r="O278" t="s">
        <v>46</v>
      </c>
      <c r="P278" s="5">
        <v>4</v>
      </c>
      <c r="Q278" s="12">
        <v>44704.747754629629</v>
      </c>
      <c r="R278" s="13">
        <v>44707</v>
      </c>
      <c r="T278" t="s">
        <v>47</v>
      </c>
      <c r="U278" t="s">
        <v>48</v>
      </c>
      <c r="V278" t="s">
        <v>76</v>
      </c>
      <c r="Y278" t="s">
        <v>918</v>
      </c>
      <c r="Z278">
        <v>75250</v>
      </c>
      <c r="AA278" t="s">
        <v>47</v>
      </c>
      <c r="AB278" t="s">
        <v>52</v>
      </c>
      <c r="AC278" t="s">
        <v>53</v>
      </c>
      <c r="AD278" s="16">
        <f>IF(P278&lt;=1,4.9,4.9+0.8*ROUNDUP(P278-1,0))</f>
        <v>7.3000000000000007</v>
      </c>
      <c r="AE278" s="15">
        <v>0</v>
      </c>
      <c r="AF278" s="15">
        <v>0</v>
      </c>
      <c r="AG278" s="15">
        <v>0</v>
      </c>
      <c r="AH278" s="15">
        <v>0</v>
      </c>
      <c r="AI278" s="15">
        <f t="shared" si="8"/>
        <v>0.438</v>
      </c>
      <c r="AJ278" s="15">
        <f t="shared" si="9"/>
        <v>7.7380000000000004</v>
      </c>
      <c r="AK278" t="s">
        <v>47</v>
      </c>
    </row>
    <row r="279" spans="1:37" ht="15" customHeight="1" x14ac:dyDescent="0.35">
      <c r="A279">
        <v>690929</v>
      </c>
      <c r="B279" t="s">
        <v>37</v>
      </c>
      <c r="C279" t="s">
        <v>38</v>
      </c>
      <c r="D279" s="9" t="s">
        <v>39</v>
      </c>
      <c r="E279" s="10" t="s">
        <v>37</v>
      </c>
      <c r="F279" s="11"/>
      <c r="G279" t="s">
        <v>919</v>
      </c>
      <c r="I279" t="s">
        <v>41</v>
      </c>
      <c r="J279" t="s">
        <v>920</v>
      </c>
      <c r="K279" t="s">
        <v>43</v>
      </c>
      <c r="L279">
        <v>2</v>
      </c>
      <c r="M279" t="s">
        <v>44</v>
      </c>
      <c r="N279" t="s">
        <v>45</v>
      </c>
      <c r="O279" t="s">
        <v>46</v>
      </c>
      <c r="P279" s="5">
        <v>1</v>
      </c>
      <c r="Q279" s="12">
        <v>44699.547835648147</v>
      </c>
      <c r="R279" s="13">
        <v>44707</v>
      </c>
      <c r="T279" t="s">
        <v>47</v>
      </c>
      <c r="U279" t="s">
        <v>48</v>
      </c>
      <c r="V279" t="s">
        <v>70</v>
      </c>
      <c r="Y279" t="s">
        <v>921</v>
      </c>
      <c r="Z279">
        <v>43300</v>
      </c>
      <c r="AA279" t="s">
        <v>47</v>
      </c>
      <c r="AB279" t="s">
        <v>58</v>
      </c>
      <c r="AC279" t="s">
        <v>53</v>
      </c>
      <c r="AD279" s="16">
        <f>IF(P279&lt;=1,4.9,4.9+0.8*ROUNDUP(P279-1,0))</f>
        <v>4.9000000000000004</v>
      </c>
      <c r="AE279" s="15">
        <v>0</v>
      </c>
      <c r="AF279" s="15">
        <v>0</v>
      </c>
      <c r="AG279" s="15">
        <v>0</v>
      </c>
      <c r="AH279" s="15">
        <v>0</v>
      </c>
      <c r="AI279" s="15">
        <f t="shared" si="8"/>
        <v>0.29399999999999998</v>
      </c>
      <c r="AJ279" s="15">
        <f t="shared" si="9"/>
        <v>5.194</v>
      </c>
      <c r="AK279" t="s">
        <v>47</v>
      </c>
    </row>
    <row r="280" spans="1:37" ht="15" customHeight="1" x14ac:dyDescent="0.35">
      <c r="A280">
        <v>690929</v>
      </c>
      <c r="B280" t="s">
        <v>37</v>
      </c>
      <c r="C280" t="s">
        <v>38</v>
      </c>
      <c r="D280" s="9" t="s">
        <v>39</v>
      </c>
      <c r="E280" s="10" t="s">
        <v>37</v>
      </c>
      <c r="F280" s="11"/>
      <c r="G280" t="s">
        <v>922</v>
      </c>
      <c r="I280" t="s">
        <v>41</v>
      </c>
      <c r="J280" t="s">
        <v>923</v>
      </c>
      <c r="K280" t="s">
        <v>43</v>
      </c>
      <c r="L280">
        <v>2</v>
      </c>
      <c r="M280" t="s">
        <v>44</v>
      </c>
      <c r="N280" t="s">
        <v>45</v>
      </c>
      <c r="O280" t="s">
        <v>46</v>
      </c>
      <c r="P280" s="5">
        <v>3</v>
      </c>
      <c r="Q280" s="12">
        <v>44705.568622685183</v>
      </c>
      <c r="R280" s="13">
        <v>44707</v>
      </c>
      <c r="T280" t="s">
        <v>47</v>
      </c>
      <c r="U280" t="s">
        <v>48</v>
      </c>
      <c r="V280" t="s">
        <v>70</v>
      </c>
      <c r="Y280" t="s">
        <v>924</v>
      </c>
      <c r="Z280">
        <v>42700</v>
      </c>
      <c r="AA280" t="s">
        <v>47</v>
      </c>
      <c r="AB280" t="s">
        <v>52</v>
      </c>
      <c r="AC280" t="s">
        <v>53</v>
      </c>
      <c r="AD280" s="16">
        <f>IF(P280&lt;=1,4.9,4.9+0.8*ROUNDUP(P280-1,0))</f>
        <v>6.5</v>
      </c>
      <c r="AE280" s="15">
        <v>0</v>
      </c>
      <c r="AF280" s="15">
        <v>0</v>
      </c>
      <c r="AG280" s="15">
        <v>0</v>
      </c>
      <c r="AH280" s="15">
        <v>0</v>
      </c>
      <c r="AI280" s="15">
        <f t="shared" si="8"/>
        <v>0.39</v>
      </c>
      <c r="AJ280" s="15">
        <f t="shared" si="9"/>
        <v>6.89</v>
      </c>
      <c r="AK280" t="s">
        <v>47</v>
      </c>
    </row>
    <row r="281" spans="1:37" ht="15" customHeight="1" x14ac:dyDescent="0.35">
      <c r="A281">
        <v>690929</v>
      </c>
      <c r="B281" t="s">
        <v>37</v>
      </c>
      <c r="C281" t="s">
        <v>38</v>
      </c>
      <c r="D281" s="9" t="s">
        <v>39</v>
      </c>
      <c r="E281" s="10" t="s">
        <v>37</v>
      </c>
      <c r="F281" s="11"/>
      <c r="G281" t="s">
        <v>925</v>
      </c>
      <c r="I281" t="s">
        <v>41</v>
      </c>
      <c r="J281" t="s">
        <v>926</v>
      </c>
      <c r="K281" t="s">
        <v>43</v>
      </c>
      <c r="L281">
        <v>2</v>
      </c>
      <c r="M281" t="s">
        <v>44</v>
      </c>
      <c r="N281" t="s">
        <v>45</v>
      </c>
      <c r="O281" t="s">
        <v>46</v>
      </c>
      <c r="P281" s="5">
        <v>1</v>
      </c>
      <c r="Q281" s="12">
        <v>44705.601030092592</v>
      </c>
      <c r="R281" s="13">
        <v>44707</v>
      </c>
      <c r="T281" t="s">
        <v>47</v>
      </c>
      <c r="U281" t="s">
        <v>48</v>
      </c>
      <c r="V281" t="s">
        <v>93</v>
      </c>
      <c r="Y281" t="s">
        <v>927</v>
      </c>
      <c r="Z281">
        <v>84800</v>
      </c>
      <c r="AA281" t="s">
        <v>47</v>
      </c>
      <c r="AB281" t="s">
        <v>52</v>
      </c>
      <c r="AC281" t="s">
        <v>53</v>
      </c>
      <c r="AD281" s="16">
        <f>IF(P281&lt;=1,4.9,4.9+0.8*ROUNDUP(P281-1,0))</f>
        <v>4.9000000000000004</v>
      </c>
      <c r="AE281" s="15">
        <v>0</v>
      </c>
      <c r="AF281" s="15">
        <v>0</v>
      </c>
      <c r="AG281" s="15">
        <v>0</v>
      </c>
      <c r="AH281" s="15">
        <v>0</v>
      </c>
      <c r="AI281" s="15">
        <f t="shared" si="8"/>
        <v>0.29399999999999998</v>
      </c>
      <c r="AJ281" s="15">
        <f t="shared" si="9"/>
        <v>5.194</v>
      </c>
      <c r="AK281" t="s">
        <v>47</v>
      </c>
    </row>
    <row r="282" spans="1:37" ht="15" customHeight="1" x14ac:dyDescent="0.35">
      <c r="A282">
        <v>690929</v>
      </c>
      <c r="B282" t="s">
        <v>37</v>
      </c>
      <c r="C282" t="s">
        <v>38</v>
      </c>
      <c r="D282" s="9" t="s">
        <v>39</v>
      </c>
      <c r="E282" s="10" t="s">
        <v>37</v>
      </c>
      <c r="F282" s="11"/>
      <c r="G282" t="s">
        <v>928</v>
      </c>
      <c r="I282" t="s">
        <v>41</v>
      </c>
      <c r="J282" t="s">
        <v>929</v>
      </c>
      <c r="K282" t="s">
        <v>43</v>
      </c>
      <c r="L282">
        <v>2</v>
      </c>
      <c r="M282" t="s">
        <v>44</v>
      </c>
      <c r="N282" t="s">
        <v>45</v>
      </c>
      <c r="O282" t="s">
        <v>46</v>
      </c>
      <c r="P282" s="5">
        <v>1</v>
      </c>
      <c r="Q282" s="12">
        <v>44703.708298611113</v>
      </c>
      <c r="R282" s="13">
        <v>44707</v>
      </c>
      <c r="T282" t="s">
        <v>47</v>
      </c>
      <c r="U282" t="s">
        <v>48</v>
      </c>
      <c r="V282" t="s">
        <v>70</v>
      </c>
      <c r="Y282" t="s">
        <v>930</v>
      </c>
      <c r="Z282">
        <v>68000</v>
      </c>
      <c r="AA282" t="s">
        <v>47</v>
      </c>
      <c r="AB282" t="s">
        <v>931</v>
      </c>
      <c r="AC282" t="s">
        <v>53</v>
      </c>
      <c r="AD282" s="16">
        <f>IF(P282&lt;=1,4.9,4.9+0.8*ROUNDUP(P282-1,0))</f>
        <v>4.9000000000000004</v>
      </c>
      <c r="AE282" s="15">
        <v>0</v>
      </c>
      <c r="AF282" s="15">
        <v>0</v>
      </c>
      <c r="AG282" s="15">
        <v>0</v>
      </c>
      <c r="AH282" s="15">
        <v>0</v>
      </c>
      <c r="AI282" s="15">
        <f t="shared" si="8"/>
        <v>0.29399999999999998</v>
      </c>
      <c r="AJ282" s="15">
        <f t="shared" si="9"/>
        <v>5.194</v>
      </c>
      <c r="AK282" t="s">
        <v>47</v>
      </c>
    </row>
    <row r="283" spans="1:37" ht="15" customHeight="1" x14ac:dyDescent="0.35">
      <c r="A283">
        <v>690929</v>
      </c>
      <c r="B283" t="s">
        <v>37</v>
      </c>
      <c r="C283" t="s">
        <v>38</v>
      </c>
      <c r="D283" s="9" t="s">
        <v>39</v>
      </c>
      <c r="E283" s="10" t="s">
        <v>37</v>
      </c>
      <c r="F283" s="11"/>
      <c r="G283" t="s">
        <v>932</v>
      </c>
      <c r="I283" t="s">
        <v>41</v>
      </c>
      <c r="J283" t="s">
        <v>933</v>
      </c>
      <c r="K283" t="s">
        <v>43</v>
      </c>
      <c r="L283">
        <v>2</v>
      </c>
      <c r="M283" t="s">
        <v>44</v>
      </c>
      <c r="N283" t="s">
        <v>45</v>
      </c>
      <c r="O283" t="s">
        <v>46</v>
      </c>
      <c r="P283" s="5">
        <v>1</v>
      </c>
      <c r="Q283" s="12">
        <v>44705.610914351855</v>
      </c>
      <c r="R283" s="13">
        <v>44707</v>
      </c>
      <c r="T283" t="s">
        <v>47</v>
      </c>
      <c r="U283" t="s">
        <v>48</v>
      </c>
      <c r="V283" t="s">
        <v>122</v>
      </c>
      <c r="Y283" t="s">
        <v>934</v>
      </c>
      <c r="Z283">
        <v>8210</v>
      </c>
      <c r="AA283" t="s">
        <v>47</v>
      </c>
      <c r="AB283" t="s">
        <v>52</v>
      </c>
      <c r="AC283" t="s">
        <v>53</v>
      </c>
      <c r="AD283" s="16">
        <f>IF(P283&lt;=1,4.9,4.9+0.8*ROUNDUP(P283-1,0))</f>
        <v>4.9000000000000004</v>
      </c>
      <c r="AE283" s="15">
        <v>0</v>
      </c>
      <c r="AF283" s="15">
        <v>0</v>
      </c>
      <c r="AG283" s="15">
        <v>0</v>
      </c>
      <c r="AH283" s="15">
        <v>0</v>
      </c>
      <c r="AI283" s="15">
        <f t="shared" si="8"/>
        <v>0.29399999999999998</v>
      </c>
      <c r="AJ283" s="15">
        <f t="shared" si="9"/>
        <v>5.194</v>
      </c>
      <c r="AK283" t="s">
        <v>47</v>
      </c>
    </row>
    <row r="284" spans="1:37" ht="15" customHeight="1" x14ac:dyDescent="0.35">
      <c r="A284">
        <v>690929</v>
      </c>
      <c r="B284" t="s">
        <v>37</v>
      </c>
      <c r="C284" t="s">
        <v>38</v>
      </c>
      <c r="D284" s="9" t="s">
        <v>39</v>
      </c>
      <c r="E284" s="10" t="s">
        <v>37</v>
      </c>
      <c r="F284" s="11"/>
      <c r="G284" t="s">
        <v>935</v>
      </c>
      <c r="I284" t="s">
        <v>41</v>
      </c>
      <c r="J284" t="s">
        <v>936</v>
      </c>
      <c r="K284" t="s">
        <v>43</v>
      </c>
      <c r="L284">
        <v>2</v>
      </c>
      <c r="M284" t="s">
        <v>44</v>
      </c>
      <c r="N284" t="s">
        <v>45</v>
      </c>
      <c r="O284" t="s">
        <v>46</v>
      </c>
      <c r="P284" s="5">
        <v>1</v>
      </c>
      <c r="Q284" s="12">
        <v>44705.667314814818</v>
      </c>
      <c r="R284" s="13">
        <v>44708</v>
      </c>
      <c r="T284" t="s">
        <v>47</v>
      </c>
      <c r="U284" t="s">
        <v>48</v>
      </c>
      <c r="V284" t="s">
        <v>88</v>
      </c>
      <c r="Y284" t="s">
        <v>937</v>
      </c>
      <c r="Z284">
        <v>50450</v>
      </c>
      <c r="AA284" t="s">
        <v>47</v>
      </c>
      <c r="AB284" t="s">
        <v>52</v>
      </c>
      <c r="AC284" t="s">
        <v>53</v>
      </c>
      <c r="AD284" s="16">
        <f>IF(P284&lt;=1,4.9,4.9+0.8*ROUNDUP(P284-1,0))</f>
        <v>4.9000000000000004</v>
      </c>
      <c r="AE284" s="15">
        <v>0</v>
      </c>
      <c r="AF284" s="15">
        <v>0</v>
      </c>
      <c r="AG284" s="15">
        <v>0</v>
      </c>
      <c r="AH284" s="15">
        <v>0</v>
      </c>
      <c r="AI284" s="15">
        <f t="shared" si="8"/>
        <v>0.29399999999999998</v>
      </c>
      <c r="AJ284" s="15">
        <f t="shared" si="9"/>
        <v>5.194</v>
      </c>
      <c r="AK284" t="s">
        <v>47</v>
      </c>
    </row>
    <row r="285" spans="1:37" ht="15" customHeight="1" x14ac:dyDescent="0.35">
      <c r="A285">
        <v>690929</v>
      </c>
      <c r="B285" t="s">
        <v>37</v>
      </c>
      <c r="C285" t="s">
        <v>38</v>
      </c>
      <c r="D285" s="9" t="s">
        <v>39</v>
      </c>
      <c r="E285" s="10" t="s">
        <v>37</v>
      </c>
      <c r="F285" s="11"/>
      <c r="G285" t="s">
        <v>938</v>
      </c>
      <c r="I285" t="s">
        <v>41</v>
      </c>
      <c r="J285" t="s">
        <v>939</v>
      </c>
      <c r="K285" t="s">
        <v>43</v>
      </c>
      <c r="L285">
        <v>2</v>
      </c>
      <c r="M285" t="s">
        <v>44</v>
      </c>
      <c r="N285" t="s">
        <v>45</v>
      </c>
      <c r="O285" t="s">
        <v>46</v>
      </c>
      <c r="P285" s="5">
        <v>1</v>
      </c>
      <c r="Q285" s="12">
        <v>44706.600312499999</v>
      </c>
      <c r="R285" s="13">
        <v>44708</v>
      </c>
      <c r="T285" t="s">
        <v>47</v>
      </c>
      <c r="U285" t="s">
        <v>48</v>
      </c>
      <c r="V285" t="s">
        <v>76</v>
      </c>
      <c r="Y285" t="s">
        <v>940</v>
      </c>
      <c r="Z285">
        <v>76450</v>
      </c>
      <c r="AA285" t="s">
        <v>47</v>
      </c>
      <c r="AB285" t="s">
        <v>52</v>
      </c>
      <c r="AC285" t="s">
        <v>53</v>
      </c>
      <c r="AD285" s="16">
        <f>IF(P285&lt;=1,4.9,4.9+0.8*ROUNDUP(P285-1,0))</f>
        <v>4.9000000000000004</v>
      </c>
      <c r="AE285" s="15">
        <v>0</v>
      </c>
      <c r="AF285" s="15">
        <v>0</v>
      </c>
      <c r="AG285" s="15">
        <v>0</v>
      </c>
      <c r="AH285" s="15">
        <v>0</v>
      </c>
      <c r="AI285" s="15">
        <f t="shared" si="8"/>
        <v>0.29399999999999998</v>
      </c>
      <c r="AJ285" s="15">
        <f t="shared" si="9"/>
        <v>5.194</v>
      </c>
      <c r="AK285" t="s">
        <v>47</v>
      </c>
    </row>
    <row r="286" spans="1:37" ht="15" customHeight="1" x14ac:dyDescent="0.35">
      <c r="A286">
        <v>690929</v>
      </c>
      <c r="B286" t="s">
        <v>37</v>
      </c>
      <c r="C286" t="s">
        <v>38</v>
      </c>
      <c r="D286" s="9" t="s">
        <v>39</v>
      </c>
      <c r="E286" s="10" t="s">
        <v>37</v>
      </c>
      <c r="F286" s="11"/>
      <c r="G286" t="s">
        <v>941</v>
      </c>
      <c r="I286" t="s">
        <v>41</v>
      </c>
      <c r="J286" t="s">
        <v>942</v>
      </c>
      <c r="K286" t="s">
        <v>43</v>
      </c>
      <c r="L286">
        <v>2</v>
      </c>
      <c r="M286" t="s">
        <v>44</v>
      </c>
      <c r="N286" t="s">
        <v>45</v>
      </c>
      <c r="O286" t="s">
        <v>46</v>
      </c>
      <c r="P286" s="5">
        <v>1</v>
      </c>
      <c r="Q286" s="12">
        <v>44705.687662037039</v>
      </c>
      <c r="R286" s="13">
        <v>44708</v>
      </c>
      <c r="T286" t="s">
        <v>47</v>
      </c>
      <c r="U286" t="s">
        <v>48</v>
      </c>
      <c r="V286" t="s">
        <v>76</v>
      </c>
      <c r="Y286" t="s">
        <v>943</v>
      </c>
      <c r="Z286">
        <v>76300</v>
      </c>
      <c r="AA286" t="s">
        <v>47</v>
      </c>
      <c r="AB286" t="s">
        <v>52</v>
      </c>
      <c r="AC286" t="s">
        <v>53</v>
      </c>
      <c r="AD286" s="16">
        <f>IF(P286&lt;=1,4.9,4.9+0.8*ROUNDUP(P286-1,0))</f>
        <v>4.9000000000000004</v>
      </c>
      <c r="AE286" s="15">
        <v>0</v>
      </c>
      <c r="AF286" s="15">
        <v>0</v>
      </c>
      <c r="AG286" s="15">
        <v>0</v>
      </c>
      <c r="AH286" s="15">
        <v>0</v>
      </c>
      <c r="AI286" s="15">
        <f t="shared" si="8"/>
        <v>0.29399999999999998</v>
      </c>
      <c r="AJ286" s="15">
        <f t="shared" si="9"/>
        <v>5.194</v>
      </c>
      <c r="AK286" t="s">
        <v>47</v>
      </c>
    </row>
    <row r="287" spans="1:37" ht="15" customHeight="1" x14ac:dyDescent="0.35">
      <c r="A287">
        <v>690929</v>
      </c>
      <c r="B287" t="s">
        <v>37</v>
      </c>
      <c r="C287" t="s">
        <v>38</v>
      </c>
      <c r="D287" s="9" t="s">
        <v>39</v>
      </c>
      <c r="E287" s="10" t="s">
        <v>37</v>
      </c>
      <c r="F287" s="11"/>
      <c r="G287" t="s">
        <v>944</v>
      </c>
      <c r="I287" t="s">
        <v>41</v>
      </c>
      <c r="J287" t="s">
        <v>945</v>
      </c>
      <c r="K287" t="s">
        <v>43</v>
      </c>
      <c r="L287">
        <v>2</v>
      </c>
      <c r="M287" t="s">
        <v>44</v>
      </c>
      <c r="N287" t="s">
        <v>45</v>
      </c>
      <c r="O287" t="s">
        <v>46</v>
      </c>
      <c r="P287" s="5">
        <v>1</v>
      </c>
      <c r="Q287" s="12">
        <v>44704.750775462962</v>
      </c>
      <c r="R287" s="13">
        <v>44708</v>
      </c>
      <c r="T287" t="s">
        <v>47</v>
      </c>
      <c r="U287" t="s">
        <v>48</v>
      </c>
      <c r="V287" t="s">
        <v>407</v>
      </c>
      <c r="Y287" t="s">
        <v>946</v>
      </c>
      <c r="Z287">
        <v>71650</v>
      </c>
      <c r="AA287" t="s">
        <v>47</v>
      </c>
      <c r="AB287" t="s">
        <v>52</v>
      </c>
      <c r="AC287" t="s">
        <v>53</v>
      </c>
      <c r="AD287" s="16">
        <f>IF(P287&lt;=1,4.9,4.9+0.8*ROUNDUP(P287-1,0))</f>
        <v>4.9000000000000004</v>
      </c>
      <c r="AE287" s="15">
        <v>0</v>
      </c>
      <c r="AF287" s="15">
        <v>0</v>
      </c>
      <c r="AG287" s="15">
        <v>0</v>
      </c>
      <c r="AH287" s="15">
        <v>0</v>
      </c>
      <c r="AI287" s="15">
        <f t="shared" si="8"/>
        <v>0.29399999999999998</v>
      </c>
      <c r="AJ287" s="15">
        <f t="shared" si="9"/>
        <v>5.194</v>
      </c>
      <c r="AK287" t="s">
        <v>47</v>
      </c>
    </row>
    <row r="288" spans="1:37" ht="15" customHeight="1" x14ac:dyDescent="0.35">
      <c r="A288">
        <v>690929</v>
      </c>
      <c r="B288" t="s">
        <v>37</v>
      </c>
      <c r="C288" t="s">
        <v>38</v>
      </c>
      <c r="D288" s="9" t="s">
        <v>39</v>
      </c>
      <c r="E288" s="10" t="s">
        <v>37</v>
      </c>
      <c r="F288" s="11"/>
      <c r="G288" t="s">
        <v>947</v>
      </c>
      <c r="I288" t="s">
        <v>41</v>
      </c>
      <c r="J288" t="s">
        <v>948</v>
      </c>
      <c r="K288" t="s">
        <v>43</v>
      </c>
      <c r="L288">
        <v>2</v>
      </c>
      <c r="M288" t="s">
        <v>44</v>
      </c>
      <c r="N288" t="s">
        <v>45</v>
      </c>
      <c r="O288" t="s">
        <v>46</v>
      </c>
      <c r="P288" s="5">
        <v>1</v>
      </c>
      <c r="Q288" s="12">
        <v>44702.674212962964</v>
      </c>
      <c r="R288" s="13">
        <v>44708</v>
      </c>
      <c r="T288" t="s">
        <v>47</v>
      </c>
      <c r="U288" t="s">
        <v>48</v>
      </c>
      <c r="V288" t="s">
        <v>88</v>
      </c>
      <c r="Y288" t="s">
        <v>949</v>
      </c>
      <c r="Z288">
        <v>52100</v>
      </c>
      <c r="AA288" t="s">
        <v>47</v>
      </c>
      <c r="AB288" t="s">
        <v>52</v>
      </c>
      <c r="AC288" t="s">
        <v>53</v>
      </c>
      <c r="AD288" s="16">
        <f>IF(P288&lt;=1,4.9,4.9+0.8*ROUNDUP(P288-1,0))</f>
        <v>4.9000000000000004</v>
      </c>
      <c r="AE288" s="15">
        <v>0</v>
      </c>
      <c r="AF288" s="15">
        <v>0</v>
      </c>
      <c r="AG288" s="15">
        <v>0</v>
      </c>
      <c r="AH288" s="15">
        <v>0</v>
      </c>
      <c r="AI288" s="15">
        <f t="shared" si="8"/>
        <v>0.29399999999999998</v>
      </c>
      <c r="AJ288" s="15">
        <f t="shared" si="9"/>
        <v>5.194</v>
      </c>
      <c r="AK288" t="s">
        <v>47</v>
      </c>
    </row>
    <row r="289" spans="1:37" ht="15" customHeight="1" x14ac:dyDescent="0.35">
      <c r="A289">
        <v>690929</v>
      </c>
      <c r="B289" t="s">
        <v>37</v>
      </c>
      <c r="C289" t="s">
        <v>38</v>
      </c>
      <c r="D289" s="9" t="s">
        <v>39</v>
      </c>
      <c r="E289" s="10" t="s">
        <v>37</v>
      </c>
      <c r="F289" s="11"/>
      <c r="G289" t="s">
        <v>950</v>
      </c>
      <c r="I289" t="s">
        <v>41</v>
      </c>
      <c r="J289" t="s">
        <v>951</v>
      </c>
      <c r="K289" t="s">
        <v>43</v>
      </c>
      <c r="L289">
        <v>2</v>
      </c>
      <c r="M289" t="s">
        <v>44</v>
      </c>
      <c r="N289" t="s">
        <v>45</v>
      </c>
      <c r="O289" t="s">
        <v>46</v>
      </c>
      <c r="P289" s="5">
        <v>5</v>
      </c>
      <c r="Q289" s="12">
        <v>44705.689432870371</v>
      </c>
      <c r="R289" s="13">
        <v>44708</v>
      </c>
      <c r="T289" t="s">
        <v>47</v>
      </c>
      <c r="U289" t="s">
        <v>48</v>
      </c>
      <c r="V289" t="s">
        <v>164</v>
      </c>
      <c r="Y289" t="s">
        <v>952</v>
      </c>
      <c r="Z289">
        <v>34600</v>
      </c>
      <c r="AA289" t="s">
        <v>47</v>
      </c>
      <c r="AB289" t="s">
        <v>52</v>
      </c>
      <c r="AC289" t="s">
        <v>53</v>
      </c>
      <c r="AD289" s="16">
        <f>IF(P289&lt;=1,4.9,4.9+0.8*ROUNDUP(P289-1,0))</f>
        <v>8.1000000000000014</v>
      </c>
      <c r="AE289" s="15">
        <v>0</v>
      </c>
      <c r="AF289" s="15">
        <v>0</v>
      </c>
      <c r="AG289" s="15">
        <v>0</v>
      </c>
      <c r="AH289" s="15">
        <v>0</v>
      </c>
      <c r="AI289" s="15">
        <f t="shared" si="8"/>
        <v>0.48600000000000004</v>
      </c>
      <c r="AJ289" s="15">
        <f t="shared" si="9"/>
        <v>8.5860000000000021</v>
      </c>
      <c r="AK289" t="s">
        <v>47</v>
      </c>
    </row>
    <row r="290" spans="1:37" ht="15" customHeight="1" x14ac:dyDescent="0.35">
      <c r="A290">
        <v>690929</v>
      </c>
      <c r="B290" t="s">
        <v>37</v>
      </c>
      <c r="C290" t="s">
        <v>38</v>
      </c>
      <c r="D290" s="9" t="s">
        <v>39</v>
      </c>
      <c r="E290" s="10" t="s">
        <v>37</v>
      </c>
      <c r="F290" s="11"/>
      <c r="G290" t="s">
        <v>953</v>
      </c>
      <c r="I290" t="s">
        <v>41</v>
      </c>
      <c r="J290" t="s">
        <v>954</v>
      </c>
      <c r="K290" t="s">
        <v>43</v>
      </c>
      <c r="L290">
        <v>2</v>
      </c>
      <c r="M290" t="s">
        <v>44</v>
      </c>
      <c r="N290" t="s">
        <v>45</v>
      </c>
      <c r="O290" t="s">
        <v>46</v>
      </c>
      <c r="P290" s="5">
        <v>3</v>
      </c>
      <c r="Q290" s="12">
        <v>44706.420416666668</v>
      </c>
      <c r="R290" s="13">
        <v>44708</v>
      </c>
      <c r="T290" t="s">
        <v>47</v>
      </c>
      <c r="U290" t="s">
        <v>48</v>
      </c>
      <c r="V290" t="s">
        <v>93</v>
      </c>
      <c r="Y290" t="s">
        <v>955</v>
      </c>
      <c r="Z290">
        <v>81110</v>
      </c>
      <c r="AA290" t="s">
        <v>47</v>
      </c>
      <c r="AB290" t="s">
        <v>52</v>
      </c>
      <c r="AC290" t="s">
        <v>53</v>
      </c>
      <c r="AD290" s="16">
        <f>IF(P290&lt;=1,4.9,4.9+0.8*ROUNDUP(P290-1,0))</f>
        <v>6.5</v>
      </c>
      <c r="AE290" s="15">
        <v>0</v>
      </c>
      <c r="AF290" s="15">
        <v>0</v>
      </c>
      <c r="AG290" s="15">
        <v>0</v>
      </c>
      <c r="AH290" s="15">
        <v>0</v>
      </c>
      <c r="AI290" s="15">
        <f t="shared" si="8"/>
        <v>0.39</v>
      </c>
      <c r="AJ290" s="15">
        <f t="shared" si="9"/>
        <v>6.89</v>
      </c>
      <c r="AK290" t="s">
        <v>47</v>
      </c>
    </row>
    <row r="291" spans="1:37" ht="15" customHeight="1" x14ac:dyDescent="0.35">
      <c r="A291">
        <v>690929</v>
      </c>
      <c r="B291" t="s">
        <v>37</v>
      </c>
      <c r="C291" t="s">
        <v>38</v>
      </c>
      <c r="D291" s="9" t="s">
        <v>39</v>
      </c>
      <c r="E291" s="10" t="s">
        <v>37</v>
      </c>
      <c r="F291" s="11"/>
      <c r="G291" t="s">
        <v>956</v>
      </c>
      <c r="I291" t="s">
        <v>41</v>
      </c>
      <c r="J291" t="s">
        <v>957</v>
      </c>
      <c r="K291" t="s">
        <v>43</v>
      </c>
      <c r="L291">
        <v>2</v>
      </c>
      <c r="M291" t="s">
        <v>44</v>
      </c>
      <c r="N291" t="s">
        <v>45</v>
      </c>
      <c r="O291" t="s">
        <v>92</v>
      </c>
      <c r="P291" s="5">
        <v>13</v>
      </c>
      <c r="Q291" s="12">
        <v>44692.383402777778</v>
      </c>
      <c r="R291" s="13">
        <v>44708</v>
      </c>
      <c r="T291" t="s">
        <v>47</v>
      </c>
      <c r="U291" t="s">
        <v>48</v>
      </c>
      <c r="V291" t="s">
        <v>70</v>
      </c>
      <c r="Y291" t="s">
        <v>958</v>
      </c>
      <c r="Z291">
        <v>47301</v>
      </c>
      <c r="AA291" t="s">
        <v>47</v>
      </c>
      <c r="AB291" t="s">
        <v>959</v>
      </c>
      <c r="AC291" t="s">
        <v>53</v>
      </c>
      <c r="AD291" s="16">
        <f>IF(P291&lt;=1,4.9,4.9+0.8*ROUNDUP(P291-1,0))</f>
        <v>14.500000000000002</v>
      </c>
      <c r="AE291" s="15">
        <v>0</v>
      </c>
      <c r="AF291" s="15">
        <v>0</v>
      </c>
      <c r="AG291" s="15">
        <v>0</v>
      </c>
      <c r="AH291" s="15">
        <v>0</v>
      </c>
      <c r="AI291" s="15">
        <f t="shared" si="8"/>
        <v>0.87000000000000011</v>
      </c>
      <c r="AJ291" s="15">
        <f t="shared" si="9"/>
        <v>15.370000000000001</v>
      </c>
      <c r="AK291" t="s">
        <v>47</v>
      </c>
    </row>
    <row r="292" spans="1:37" ht="15" customHeight="1" x14ac:dyDescent="0.35">
      <c r="A292">
        <v>690929</v>
      </c>
      <c r="B292" t="s">
        <v>37</v>
      </c>
      <c r="C292" t="s">
        <v>38</v>
      </c>
      <c r="D292" s="9" t="s">
        <v>39</v>
      </c>
      <c r="E292" s="10" t="s">
        <v>37</v>
      </c>
      <c r="F292" s="11"/>
      <c r="G292" t="s">
        <v>960</v>
      </c>
      <c r="I292" t="s">
        <v>41</v>
      </c>
      <c r="J292" t="s">
        <v>961</v>
      </c>
      <c r="K292" t="s">
        <v>43</v>
      </c>
      <c r="L292">
        <v>2</v>
      </c>
      <c r="M292" t="s">
        <v>44</v>
      </c>
      <c r="N292" t="s">
        <v>45</v>
      </c>
      <c r="O292" t="s">
        <v>46</v>
      </c>
      <c r="P292" s="5">
        <v>5</v>
      </c>
      <c r="Q292" s="12">
        <v>44706.415231481478</v>
      </c>
      <c r="R292" s="13">
        <v>44708</v>
      </c>
      <c r="T292" t="s">
        <v>47</v>
      </c>
      <c r="U292" t="s">
        <v>48</v>
      </c>
      <c r="V292" t="s">
        <v>61</v>
      </c>
      <c r="Y292" t="s">
        <v>962</v>
      </c>
      <c r="Z292">
        <v>18300</v>
      </c>
      <c r="AA292" t="s">
        <v>47</v>
      </c>
      <c r="AB292" t="s">
        <v>627</v>
      </c>
      <c r="AC292" t="s">
        <v>53</v>
      </c>
      <c r="AD292" s="16">
        <f>IF(P292&lt;=1,4.9,4.9+0.8*ROUNDUP(P292-1,0))</f>
        <v>8.1000000000000014</v>
      </c>
      <c r="AE292" s="15">
        <v>0</v>
      </c>
      <c r="AF292" s="15">
        <v>0</v>
      </c>
      <c r="AG292" s="15">
        <v>0</v>
      </c>
      <c r="AH292" s="15">
        <v>0</v>
      </c>
      <c r="AI292" s="15">
        <f t="shared" si="8"/>
        <v>0.48600000000000004</v>
      </c>
      <c r="AJ292" s="15">
        <f t="shared" si="9"/>
        <v>8.5860000000000021</v>
      </c>
      <c r="AK292" t="s">
        <v>47</v>
      </c>
    </row>
    <row r="293" spans="1:37" ht="15" customHeight="1" x14ac:dyDescent="0.35">
      <c r="A293">
        <v>690929</v>
      </c>
      <c r="B293" t="s">
        <v>37</v>
      </c>
      <c r="C293" t="s">
        <v>38</v>
      </c>
      <c r="D293" s="9" t="s">
        <v>39</v>
      </c>
      <c r="E293" s="10" t="s">
        <v>37</v>
      </c>
      <c r="F293" s="11"/>
      <c r="G293" t="s">
        <v>963</v>
      </c>
      <c r="I293" t="s">
        <v>41</v>
      </c>
      <c r="J293" t="s">
        <v>647</v>
      </c>
      <c r="K293" t="s">
        <v>43</v>
      </c>
      <c r="L293">
        <v>2</v>
      </c>
      <c r="M293" t="s">
        <v>44</v>
      </c>
      <c r="N293" t="s">
        <v>45</v>
      </c>
      <c r="O293" t="s">
        <v>46</v>
      </c>
      <c r="P293" s="5">
        <v>3</v>
      </c>
      <c r="Q293" s="12">
        <v>44706.422500000001</v>
      </c>
      <c r="R293" s="13">
        <v>44708</v>
      </c>
      <c r="T293" t="s">
        <v>47</v>
      </c>
      <c r="U293" t="s">
        <v>48</v>
      </c>
      <c r="V293" t="s">
        <v>164</v>
      </c>
      <c r="Y293" t="s">
        <v>964</v>
      </c>
      <c r="Z293">
        <v>34900</v>
      </c>
      <c r="AA293" t="s">
        <v>47</v>
      </c>
      <c r="AB293" t="s">
        <v>52</v>
      </c>
      <c r="AC293" t="s">
        <v>53</v>
      </c>
      <c r="AD293" s="16">
        <f>IF(P293&lt;=1,4.9,4.9+0.8*ROUNDUP(P293-1,0))</f>
        <v>6.5</v>
      </c>
      <c r="AE293" s="15">
        <v>0</v>
      </c>
      <c r="AF293" s="15">
        <v>0</v>
      </c>
      <c r="AG293" s="15">
        <v>0</v>
      </c>
      <c r="AH293" s="15">
        <v>0</v>
      </c>
      <c r="AI293" s="15">
        <f t="shared" si="8"/>
        <v>0.39</v>
      </c>
      <c r="AJ293" s="15">
        <f t="shared" si="9"/>
        <v>6.89</v>
      </c>
      <c r="AK293" t="s">
        <v>47</v>
      </c>
    </row>
    <row r="294" spans="1:37" ht="15" customHeight="1" x14ac:dyDescent="0.35">
      <c r="A294">
        <v>690929</v>
      </c>
      <c r="B294" t="s">
        <v>37</v>
      </c>
      <c r="C294" t="s">
        <v>38</v>
      </c>
      <c r="D294" s="9" t="s">
        <v>39</v>
      </c>
      <c r="E294" s="10" t="s">
        <v>37</v>
      </c>
      <c r="F294" s="11"/>
      <c r="G294" t="s">
        <v>965</v>
      </c>
      <c r="I294" t="s">
        <v>41</v>
      </c>
      <c r="J294" t="s">
        <v>242</v>
      </c>
      <c r="K294" t="s">
        <v>43</v>
      </c>
      <c r="L294">
        <v>2</v>
      </c>
      <c r="M294" t="s">
        <v>44</v>
      </c>
      <c r="N294" t="s">
        <v>45</v>
      </c>
      <c r="O294" t="s">
        <v>46</v>
      </c>
      <c r="P294" s="5">
        <v>2</v>
      </c>
      <c r="Q294" s="12">
        <v>44706.418229166666</v>
      </c>
      <c r="R294" s="13">
        <v>44708</v>
      </c>
      <c r="T294" t="s">
        <v>47</v>
      </c>
      <c r="U294" t="s">
        <v>48</v>
      </c>
      <c r="V294" t="s">
        <v>114</v>
      </c>
      <c r="Y294" t="s">
        <v>229</v>
      </c>
      <c r="Z294">
        <v>11960</v>
      </c>
      <c r="AA294" t="s">
        <v>47</v>
      </c>
      <c r="AB294" t="s">
        <v>518</v>
      </c>
      <c r="AC294" t="s">
        <v>53</v>
      </c>
      <c r="AD294" s="16">
        <f>IF(P294&lt;=1,4.9,4.9+0.8*ROUNDUP(P294-1,0))</f>
        <v>5.7</v>
      </c>
      <c r="AE294" s="15">
        <v>0</v>
      </c>
      <c r="AF294" s="15">
        <v>0</v>
      </c>
      <c r="AG294" s="15">
        <v>0</v>
      </c>
      <c r="AH294" s="15">
        <v>0</v>
      </c>
      <c r="AI294" s="15">
        <f t="shared" si="8"/>
        <v>0.34199999999999997</v>
      </c>
      <c r="AJ294" s="15">
        <f t="shared" si="9"/>
        <v>6.0419999999999998</v>
      </c>
      <c r="AK294" t="s">
        <v>47</v>
      </c>
    </row>
    <row r="295" spans="1:37" ht="15" customHeight="1" x14ac:dyDescent="0.35">
      <c r="A295">
        <v>690929</v>
      </c>
      <c r="B295" t="s">
        <v>37</v>
      </c>
      <c r="C295" t="s">
        <v>38</v>
      </c>
      <c r="D295" s="9" t="s">
        <v>39</v>
      </c>
      <c r="E295" s="10" t="s">
        <v>37</v>
      </c>
      <c r="F295" s="11"/>
      <c r="G295" t="s">
        <v>966</v>
      </c>
      <c r="I295" t="s">
        <v>41</v>
      </c>
      <c r="J295" t="s">
        <v>967</v>
      </c>
      <c r="K295" t="s">
        <v>43</v>
      </c>
      <c r="L295">
        <v>2</v>
      </c>
      <c r="M295" t="s">
        <v>44</v>
      </c>
      <c r="N295" t="s">
        <v>45</v>
      </c>
      <c r="O295" t="s">
        <v>46</v>
      </c>
      <c r="P295" s="5">
        <v>1</v>
      </c>
      <c r="Q295" s="12">
        <v>44700.731342592589</v>
      </c>
      <c r="R295" s="13">
        <v>44708</v>
      </c>
      <c r="T295" t="s">
        <v>47</v>
      </c>
      <c r="U295" t="s">
        <v>58</v>
      </c>
      <c r="V295" t="s">
        <v>407</v>
      </c>
      <c r="Y295" t="s">
        <v>968</v>
      </c>
      <c r="Z295">
        <v>71800</v>
      </c>
      <c r="AA295" t="s">
        <v>47</v>
      </c>
      <c r="AB295" t="s">
        <v>969</v>
      </c>
      <c r="AC295" t="s">
        <v>53</v>
      </c>
      <c r="AD295" s="16">
        <f>IF(P295&lt;=1,4.9,4.9+0.8*ROUNDUP(P295-1,0))</f>
        <v>4.9000000000000004</v>
      </c>
      <c r="AE295" s="15">
        <v>0</v>
      </c>
      <c r="AF295" s="15">
        <v>0</v>
      </c>
      <c r="AG295" s="15">
        <v>0</v>
      </c>
      <c r="AH295" s="15">
        <v>0</v>
      </c>
      <c r="AI295" s="15">
        <f t="shared" si="8"/>
        <v>0.29399999999999998</v>
      </c>
      <c r="AJ295" s="15">
        <f t="shared" si="9"/>
        <v>5.194</v>
      </c>
      <c r="AK295" t="s">
        <v>47</v>
      </c>
    </row>
    <row r="296" spans="1:37" ht="15" customHeight="1" x14ac:dyDescent="0.35">
      <c r="A296">
        <v>690929</v>
      </c>
      <c r="B296" t="s">
        <v>37</v>
      </c>
      <c r="C296" t="s">
        <v>38</v>
      </c>
      <c r="D296" s="9" t="s">
        <v>39</v>
      </c>
      <c r="E296" s="10" t="s">
        <v>37</v>
      </c>
      <c r="F296" s="11"/>
      <c r="G296" t="s">
        <v>970</v>
      </c>
      <c r="I296" t="s">
        <v>41</v>
      </c>
      <c r="J296" t="s">
        <v>971</v>
      </c>
      <c r="K296" t="s">
        <v>43</v>
      </c>
      <c r="L296">
        <v>2</v>
      </c>
      <c r="M296" t="s">
        <v>44</v>
      </c>
      <c r="N296" t="s">
        <v>45</v>
      </c>
      <c r="O296" t="s">
        <v>46</v>
      </c>
      <c r="P296" s="5">
        <v>1</v>
      </c>
      <c r="Q296" s="12">
        <v>44700.722511574073</v>
      </c>
      <c r="R296" s="13">
        <v>44708</v>
      </c>
      <c r="T296" t="s">
        <v>47</v>
      </c>
      <c r="U296" t="s">
        <v>58</v>
      </c>
      <c r="V296" t="s">
        <v>70</v>
      </c>
      <c r="Y296" t="s">
        <v>972</v>
      </c>
      <c r="Z296">
        <v>48300</v>
      </c>
      <c r="AA296" t="s">
        <v>47</v>
      </c>
      <c r="AB296" t="s">
        <v>973</v>
      </c>
      <c r="AC296" t="s">
        <v>53</v>
      </c>
      <c r="AD296" s="16">
        <f>IF(P296&lt;=1,4.9,4.9+0.8*ROUNDUP(P296-1,0))</f>
        <v>4.9000000000000004</v>
      </c>
      <c r="AE296" s="15">
        <v>0</v>
      </c>
      <c r="AF296" s="15">
        <v>0</v>
      </c>
      <c r="AG296" s="15">
        <v>0</v>
      </c>
      <c r="AH296" s="15">
        <v>0</v>
      </c>
      <c r="AI296" s="15">
        <f t="shared" si="8"/>
        <v>0.29399999999999998</v>
      </c>
      <c r="AJ296" s="15">
        <f t="shared" si="9"/>
        <v>5.194</v>
      </c>
      <c r="AK296" t="s">
        <v>47</v>
      </c>
    </row>
    <row r="297" spans="1:37" ht="15" customHeight="1" x14ac:dyDescent="0.35">
      <c r="A297">
        <v>690929</v>
      </c>
      <c r="B297" t="s">
        <v>37</v>
      </c>
      <c r="C297" t="s">
        <v>38</v>
      </c>
      <c r="D297" s="9" t="s">
        <v>39</v>
      </c>
      <c r="E297" s="10" t="s">
        <v>37</v>
      </c>
      <c r="F297" s="11"/>
      <c r="G297" t="s">
        <v>974</v>
      </c>
      <c r="I297" t="s">
        <v>41</v>
      </c>
      <c r="J297" t="s">
        <v>975</v>
      </c>
      <c r="K297" t="s">
        <v>43</v>
      </c>
      <c r="L297">
        <v>2</v>
      </c>
      <c r="M297" t="s">
        <v>44</v>
      </c>
      <c r="N297" t="s">
        <v>45</v>
      </c>
      <c r="O297" t="s">
        <v>92</v>
      </c>
      <c r="P297" s="5">
        <v>13</v>
      </c>
      <c r="Q297" s="12">
        <v>44705.685740740744</v>
      </c>
      <c r="R297" s="13">
        <v>44708</v>
      </c>
      <c r="T297" t="s">
        <v>47</v>
      </c>
      <c r="U297" t="s">
        <v>48</v>
      </c>
      <c r="V297" t="s">
        <v>88</v>
      </c>
      <c r="Y297" t="s">
        <v>976</v>
      </c>
      <c r="Z297">
        <v>56000</v>
      </c>
      <c r="AA297" t="s">
        <v>47</v>
      </c>
      <c r="AB297" t="s">
        <v>52</v>
      </c>
      <c r="AC297" t="s">
        <v>53</v>
      </c>
      <c r="AD297" s="16">
        <f>IF(P297&lt;=1,4.9,4.9+0.8*ROUNDUP(P297-1,0))</f>
        <v>14.500000000000002</v>
      </c>
      <c r="AE297" s="15">
        <v>0</v>
      </c>
      <c r="AF297" s="15">
        <v>0</v>
      </c>
      <c r="AG297" s="15">
        <v>0</v>
      </c>
      <c r="AH297" s="15">
        <v>0</v>
      </c>
      <c r="AI297" s="15">
        <f t="shared" si="8"/>
        <v>0.87000000000000011</v>
      </c>
      <c r="AJ297" s="15">
        <f t="shared" si="9"/>
        <v>15.370000000000001</v>
      </c>
      <c r="AK297" t="s">
        <v>47</v>
      </c>
    </row>
    <row r="298" spans="1:37" ht="15" customHeight="1" x14ac:dyDescent="0.35">
      <c r="A298">
        <v>690929</v>
      </c>
      <c r="B298" t="s">
        <v>37</v>
      </c>
      <c r="C298" t="s">
        <v>38</v>
      </c>
      <c r="D298" s="9" t="s">
        <v>39</v>
      </c>
      <c r="E298" s="10" t="s">
        <v>37</v>
      </c>
      <c r="F298" s="11"/>
      <c r="G298" t="s">
        <v>977</v>
      </c>
      <c r="I298" t="s">
        <v>41</v>
      </c>
      <c r="J298" t="s">
        <v>978</v>
      </c>
      <c r="K298" t="s">
        <v>43</v>
      </c>
      <c r="L298">
        <v>2</v>
      </c>
      <c r="M298" t="s">
        <v>44</v>
      </c>
      <c r="N298" t="s">
        <v>45</v>
      </c>
      <c r="O298" t="s">
        <v>46</v>
      </c>
      <c r="P298" s="5">
        <v>1</v>
      </c>
      <c r="Q298" s="12">
        <v>44706.387245370373</v>
      </c>
      <c r="R298" s="13">
        <v>44708</v>
      </c>
      <c r="T298" t="s">
        <v>47</v>
      </c>
      <c r="U298" t="s">
        <v>48</v>
      </c>
      <c r="V298" t="s">
        <v>114</v>
      </c>
      <c r="Y298" t="s">
        <v>979</v>
      </c>
      <c r="Z298">
        <v>11900</v>
      </c>
      <c r="AA298" t="s">
        <v>47</v>
      </c>
      <c r="AB298" t="s">
        <v>52</v>
      </c>
      <c r="AC298" t="s">
        <v>53</v>
      </c>
      <c r="AD298" s="16">
        <f>IF(P298&lt;=1,4.9,4.9+0.8*ROUNDUP(P298-1,0))</f>
        <v>4.9000000000000004</v>
      </c>
      <c r="AE298" s="15">
        <v>0</v>
      </c>
      <c r="AF298" s="15">
        <v>0</v>
      </c>
      <c r="AG298" s="15">
        <v>0</v>
      </c>
      <c r="AH298" s="15">
        <v>0</v>
      </c>
      <c r="AI298" s="15">
        <f t="shared" si="8"/>
        <v>0.29399999999999998</v>
      </c>
      <c r="AJ298" s="15">
        <f t="shared" si="9"/>
        <v>5.194</v>
      </c>
      <c r="AK298" t="s">
        <v>47</v>
      </c>
    </row>
    <row r="299" spans="1:37" ht="15" customHeight="1" x14ac:dyDescent="0.35">
      <c r="A299">
        <v>690929</v>
      </c>
      <c r="B299" t="s">
        <v>37</v>
      </c>
      <c r="C299" t="s">
        <v>38</v>
      </c>
      <c r="D299" s="9" t="s">
        <v>39</v>
      </c>
      <c r="E299" s="10" t="s">
        <v>37</v>
      </c>
      <c r="F299" s="11"/>
      <c r="G299" t="s">
        <v>980</v>
      </c>
      <c r="I299" t="s">
        <v>41</v>
      </c>
      <c r="J299" t="s">
        <v>981</v>
      </c>
      <c r="K299" t="s">
        <v>43</v>
      </c>
      <c r="L299">
        <v>2</v>
      </c>
      <c r="M299" t="s">
        <v>44</v>
      </c>
      <c r="N299" t="s">
        <v>45</v>
      </c>
      <c r="O299" t="s">
        <v>46</v>
      </c>
      <c r="P299" s="5">
        <v>1</v>
      </c>
      <c r="Q299" s="12">
        <v>44703.714513888888</v>
      </c>
      <c r="R299" s="13">
        <v>44708</v>
      </c>
      <c r="T299" t="s">
        <v>47</v>
      </c>
      <c r="U299" t="s">
        <v>48</v>
      </c>
      <c r="V299" t="s">
        <v>88</v>
      </c>
      <c r="Y299" t="s">
        <v>982</v>
      </c>
      <c r="Z299">
        <v>56100</v>
      </c>
      <c r="AA299" t="s">
        <v>47</v>
      </c>
      <c r="AB299" t="s">
        <v>52</v>
      </c>
      <c r="AC299" t="s">
        <v>53</v>
      </c>
      <c r="AD299" s="16">
        <f>IF(P299&lt;=1,4.9,4.9+0.8*ROUNDUP(P299-1,0))</f>
        <v>4.9000000000000004</v>
      </c>
      <c r="AE299" s="15">
        <v>0</v>
      </c>
      <c r="AF299" s="15">
        <v>0</v>
      </c>
      <c r="AG299" s="15">
        <v>0</v>
      </c>
      <c r="AH299" s="15">
        <v>0</v>
      </c>
      <c r="AI299" s="15">
        <f t="shared" si="8"/>
        <v>0.29399999999999998</v>
      </c>
      <c r="AJ299" s="15">
        <f t="shared" si="9"/>
        <v>5.194</v>
      </c>
      <c r="AK299" t="s">
        <v>47</v>
      </c>
    </row>
    <row r="300" spans="1:37" ht="15" customHeight="1" x14ac:dyDescent="0.35">
      <c r="A300">
        <v>690929</v>
      </c>
      <c r="B300" t="s">
        <v>37</v>
      </c>
      <c r="C300" t="s">
        <v>38</v>
      </c>
      <c r="D300" s="9" t="s">
        <v>39</v>
      </c>
      <c r="E300" s="10" t="s">
        <v>37</v>
      </c>
      <c r="F300" s="11"/>
      <c r="G300" t="s">
        <v>983</v>
      </c>
      <c r="I300" t="s">
        <v>41</v>
      </c>
      <c r="J300" t="s">
        <v>984</v>
      </c>
      <c r="K300" t="s">
        <v>43</v>
      </c>
      <c r="L300">
        <v>2</v>
      </c>
      <c r="M300" t="s">
        <v>44</v>
      </c>
      <c r="N300" t="s">
        <v>45</v>
      </c>
      <c r="O300" t="s">
        <v>46</v>
      </c>
      <c r="P300" s="5">
        <v>1</v>
      </c>
      <c r="Q300" s="12">
        <v>44700.617152777777</v>
      </c>
      <c r="R300" s="13">
        <v>44708</v>
      </c>
      <c r="T300" t="s">
        <v>47</v>
      </c>
      <c r="U300" t="s">
        <v>48</v>
      </c>
      <c r="V300" t="s">
        <v>88</v>
      </c>
      <c r="Y300" t="s">
        <v>985</v>
      </c>
      <c r="Z300">
        <v>59990</v>
      </c>
      <c r="AA300" t="s">
        <v>47</v>
      </c>
      <c r="AB300" t="s">
        <v>58</v>
      </c>
      <c r="AC300" t="s">
        <v>53</v>
      </c>
      <c r="AD300" s="16">
        <f>IF(P300&lt;=1,4.9,4.9+0.8*ROUNDUP(P300-1,0))</f>
        <v>4.9000000000000004</v>
      </c>
      <c r="AE300" s="15">
        <v>0</v>
      </c>
      <c r="AF300" s="15">
        <v>0</v>
      </c>
      <c r="AG300" s="15">
        <v>0</v>
      </c>
      <c r="AH300" s="15">
        <v>0</v>
      </c>
      <c r="AI300" s="15">
        <f t="shared" si="8"/>
        <v>0.29399999999999998</v>
      </c>
      <c r="AJ300" s="15">
        <f t="shared" si="9"/>
        <v>5.194</v>
      </c>
      <c r="AK300" t="s">
        <v>47</v>
      </c>
    </row>
    <row r="301" spans="1:37" ht="15" customHeight="1" x14ac:dyDescent="0.35">
      <c r="A301">
        <v>690929</v>
      </c>
      <c r="B301" t="s">
        <v>37</v>
      </c>
      <c r="C301" t="s">
        <v>38</v>
      </c>
      <c r="D301" s="9" t="s">
        <v>39</v>
      </c>
      <c r="E301" s="10" t="s">
        <v>37</v>
      </c>
      <c r="F301" s="11"/>
      <c r="G301" t="s">
        <v>986</v>
      </c>
      <c r="I301" t="s">
        <v>41</v>
      </c>
      <c r="J301" t="s">
        <v>987</v>
      </c>
      <c r="K301" t="s">
        <v>43</v>
      </c>
      <c r="L301">
        <v>2</v>
      </c>
      <c r="M301" t="s">
        <v>44</v>
      </c>
      <c r="N301" t="s">
        <v>45</v>
      </c>
      <c r="O301" t="s">
        <v>46</v>
      </c>
      <c r="P301" s="5">
        <v>1</v>
      </c>
      <c r="Q301" s="12">
        <v>44707.396562499998</v>
      </c>
      <c r="R301" s="13">
        <v>44709</v>
      </c>
      <c r="T301" t="s">
        <v>47</v>
      </c>
      <c r="U301" t="s">
        <v>48</v>
      </c>
      <c r="V301" t="s">
        <v>93</v>
      </c>
      <c r="Y301" t="s">
        <v>780</v>
      </c>
      <c r="Z301">
        <v>83500</v>
      </c>
      <c r="AA301" t="s">
        <v>47</v>
      </c>
      <c r="AB301" t="s">
        <v>52</v>
      </c>
      <c r="AC301" t="s">
        <v>53</v>
      </c>
      <c r="AD301" s="16">
        <f>IF(P301&lt;=1,4.9,4.9+0.8*ROUNDUP(P301-1,0))</f>
        <v>4.9000000000000004</v>
      </c>
      <c r="AE301" s="15">
        <v>0</v>
      </c>
      <c r="AF301" s="15">
        <v>0</v>
      </c>
      <c r="AG301" s="15">
        <v>0</v>
      </c>
      <c r="AH301" s="15">
        <v>0</v>
      </c>
      <c r="AI301" s="15">
        <f t="shared" si="8"/>
        <v>0.29399999999999998</v>
      </c>
      <c r="AJ301" s="15">
        <f t="shared" si="9"/>
        <v>5.194</v>
      </c>
      <c r="AK301" t="s">
        <v>47</v>
      </c>
    </row>
    <row r="302" spans="1:37" ht="15" customHeight="1" x14ac:dyDescent="0.35">
      <c r="A302">
        <v>690929</v>
      </c>
      <c r="B302" t="s">
        <v>37</v>
      </c>
      <c r="C302" t="s">
        <v>38</v>
      </c>
      <c r="D302" s="9" t="s">
        <v>39</v>
      </c>
      <c r="E302" s="10" t="s">
        <v>37</v>
      </c>
      <c r="F302" s="11"/>
      <c r="G302" t="s">
        <v>988</v>
      </c>
      <c r="I302" t="s">
        <v>41</v>
      </c>
      <c r="J302" t="s">
        <v>989</v>
      </c>
      <c r="K302" t="s">
        <v>43</v>
      </c>
      <c r="L302">
        <v>2</v>
      </c>
      <c r="M302" t="s">
        <v>44</v>
      </c>
      <c r="N302" t="s">
        <v>45</v>
      </c>
      <c r="O302" t="s">
        <v>46</v>
      </c>
      <c r="P302" s="5">
        <v>4</v>
      </c>
      <c r="Q302" s="12">
        <v>44707.703622685185</v>
      </c>
      <c r="R302" s="13">
        <v>44709</v>
      </c>
      <c r="T302" t="s">
        <v>47</v>
      </c>
      <c r="U302" t="s">
        <v>58</v>
      </c>
      <c r="V302" t="s">
        <v>110</v>
      </c>
      <c r="Y302" t="s">
        <v>990</v>
      </c>
      <c r="Z302">
        <v>21800</v>
      </c>
      <c r="AA302" t="s">
        <v>47</v>
      </c>
      <c r="AB302" t="s">
        <v>279</v>
      </c>
      <c r="AC302" t="s">
        <v>53</v>
      </c>
      <c r="AD302" s="16">
        <f>IF(P302&lt;=1,4.9,4.9+0.8*ROUNDUP(P302-1,0))</f>
        <v>7.3000000000000007</v>
      </c>
      <c r="AE302" s="15">
        <v>0</v>
      </c>
      <c r="AF302" s="15">
        <v>0</v>
      </c>
      <c r="AG302" s="15">
        <v>0</v>
      </c>
      <c r="AH302" s="15">
        <v>0</v>
      </c>
      <c r="AI302" s="15">
        <f t="shared" si="8"/>
        <v>0.438</v>
      </c>
      <c r="AJ302" s="15">
        <f t="shared" si="9"/>
        <v>7.7380000000000004</v>
      </c>
      <c r="AK302" t="s">
        <v>47</v>
      </c>
    </row>
    <row r="303" spans="1:37" ht="15" customHeight="1" x14ac:dyDescent="0.35">
      <c r="A303">
        <v>690929</v>
      </c>
      <c r="B303" t="s">
        <v>37</v>
      </c>
      <c r="C303" t="s">
        <v>38</v>
      </c>
      <c r="D303" s="9" t="s">
        <v>39</v>
      </c>
      <c r="E303" s="10" t="s">
        <v>37</v>
      </c>
      <c r="F303" s="11"/>
      <c r="G303" t="s">
        <v>991</v>
      </c>
      <c r="I303" t="s">
        <v>41</v>
      </c>
      <c r="J303" t="s">
        <v>992</v>
      </c>
      <c r="K303" t="s">
        <v>43</v>
      </c>
      <c r="L303">
        <v>2</v>
      </c>
      <c r="M303" t="s">
        <v>44</v>
      </c>
      <c r="N303" t="s">
        <v>45</v>
      </c>
      <c r="O303" t="s">
        <v>46</v>
      </c>
      <c r="P303" s="5">
        <v>4</v>
      </c>
      <c r="Q303" s="12">
        <v>44707.677939814814</v>
      </c>
      <c r="R303" s="13">
        <v>44709</v>
      </c>
      <c r="T303" t="s">
        <v>47</v>
      </c>
      <c r="U303" t="s">
        <v>58</v>
      </c>
      <c r="V303" t="s">
        <v>110</v>
      </c>
      <c r="Y303" t="s">
        <v>993</v>
      </c>
      <c r="Z303">
        <v>22200</v>
      </c>
      <c r="AA303" t="s">
        <v>47</v>
      </c>
      <c r="AB303" t="s">
        <v>548</v>
      </c>
      <c r="AC303" t="s">
        <v>53</v>
      </c>
      <c r="AD303" s="16">
        <f>IF(P303&lt;=1,4.9,4.9+0.8*ROUNDUP(P303-1,0))</f>
        <v>7.3000000000000007</v>
      </c>
      <c r="AE303" s="15">
        <v>0</v>
      </c>
      <c r="AF303" s="15">
        <v>0</v>
      </c>
      <c r="AG303" s="15">
        <v>0</v>
      </c>
      <c r="AH303" s="15">
        <v>0</v>
      </c>
      <c r="AI303" s="15">
        <f t="shared" si="8"/>
        <v>0.438</v>
      </c>
      <c r="AJ303" s="15">
        <f t="shared" si="9"/>
        <v>7.7380000000000004</v>
      </c>
      <c r="AK303" t="s">
        <v>47</v>
      </c>
    </row>
    <row r="304" spans="1:37" ht="15" customHeight="1" x14ac:dyDescent="0.35">
      <c r="A304">
        <v>690929</v>
      </c>
      <c r="B304" t="s">
        <v>37</v>
      </c>
      <c r="C304" t="s">
        <v>38</v>
      </c>
      <c r="D304" s="9" t="s">
        <v>39</v>
      </c>
      <c r="E304" s="10" t="s">
        <v>37</v>
      </c>
      <c r="F304" s="11"/>
      <c r="G304" t="s">
        <v>994</v>
      </c>
      <c r="I304" t="s">
        <v>41</v>
      </c>
      <c r="J304" t="s">
        <v>995</v>
      </c>
      <c r="K304" t="s">
        <v>43</v>
      </c>
      <c r="L304">
        <v>2</v>
      </c>
      <c r="M304" t="s">
        <v>44</v>
      </c>
      <c r="N304" t="s">
        <v>45</v>
      </c>
      <c r="O304" t="s">
        <v>46</v>
      </c>
      <c r="P304" s="5">
        <v>1</v>
      </c>
      <c r="Q304" s="12">
        <v>44706.38994212963</v>
      </c>
      <c r="R304" s="13">
        <v>44709</v>
      </c>
      <c r="T304" t="s">
        <v>47</v>
      </c>
      <c r="U304" t="s">
        <v>48</v>
      </c>
      <c r="V304" t="s">
        <v>70</v>
      </c>
      <c r="Y304" t="s">
        <v>996</v>
      </c>
      <c r="Z304">
        <v>40100</v>
      </c>
      <c r="AA304" t="s">
        <v>47</v>
      </c>
      <c r="AB304" t="s">
        <v>58</v>
      </c>
      <c r="AC304" t="s">
        <v>53</v>
      </c>
      <c r="AD304" s="16">
        <f>IF(P304&lt;=1,4.9,4.9+0.8*ROUNDUP(P304-1,0))</f>
        <v>4.9000000000000004</v>
      </c>
      <c r="AE304" s="15">
        <v>0</v>
      </c>
      <c r="AF304" s="15">
        <v>0</v>
      </c>
      <c r="AG304" s="15">
        <v>0</v>
      </c>
      <c r="AH304" s="15">
        <v>0</v>
      </c>
      <c r="AI304" s="15">
        <f t="shared" si="8"/>
        <v>0.29399999999999998</v>
      </c>
      <c r="AJ304" s="15">
        <f t="shared" si="9"/>
        <v>5.194</v>
      </c>
      <c r="AK304" t="s">
        <v>47</v>
      </c>
    </row>
    <row r="305" spans="1:37" ht="15" customHeight="1" x14ac:dyDescent="0.35">
      <c r="A305">
        <v>690929</v>
      </c>
      <c r="B305" t="s">
        <v>37</v>
      </c>
      <c r="C305" t="s">
        <v>38</v>
      </c>
      <c r="D305" s="9" t="s">
        <v>39</v>
      </c>
      <c r="E305" s="10" t="s">
        <v>37</v>
      </c>
      <c r="F305" s="11"/>
      <c r="G305" t="s">
        <v>997</v>
      </c>
      <c r="I305" t="s">
        <v>41</v>
      </c>
      <c r="J305" t="s">
        <v>998</v>
      </c>
      <c r="K305" t="s">
        <v>43</v>
      </c>
      <c r="L305">
        <v>2</v>
      </c>
      <c r="M305" t="s">
        <v>44</v>
      </c>
      <c r="N305" t="s">
        <v>45</v>
      </c>
      <c r="O305" t="s">
        <v>46</v>
      </c>
      <c r="P305" s="5">
        <v>2</v>
      </c>
      <c r="Q305" s="12">
        <v>44707.735821759263</v>
      </c>
      <c r="R305" s="13">
        <v>44709</v>
      </c>
      <c r="T305" t="s">
        <v>47</v>
      </c>
      <c r="U305" t="s">
        <v>58</v>
      </c>
      <c r="V305" t="s">
        <v>56</v>
      </c>
      <c r="Y305" t="s">
        <v>999</v>
      </c>
      <c r="Z305">
        <v>26400</v>
      </c>
      <c r="AA305" t="s">
        <v>47</v>
      </c>
      <c r="AB305" t="s">
        <v>579</v>
      </c>
      <c r="AC305" t="s">
        <v>53</v>
      </c>
      <c r="AD305" s="16">
        <f>IF(P305&lt;=1,4.9,4.9+0.8*ROUNDUP(P305-1,0))</f>
        <v>5.7</v>
      </c>
      <c r="AE305" s="15">
        <v>0</v>
      </c>
      <c r="AF305" s="15">
        <v>0</v>
      </c>
      <c r="AG305" s="15">
        <v>0</v>
      </c>
      <c r="AH305" s="15">
        <v>0</v>
      </c>
      <c r="AI305" s="15">
        <f t="shared" si="8"/>
        <v>0.34199999999999997</v>
      </c>
      <c r="AJ305" s="15">
        <f t="shared" si="9"/>
        <v>6.0419999999999998</v>
      </c>
      <c r="AK305" t="s">
        <v>47</v>
      </c>
    </row>
    <row r="306" spans="1:37" ht="15" customHeight="1" x14ac:dyDescent="0.35">
      <c r="A306">
        <v>690929</v>
      </c>
      <c r="B306" t="s">
        <v>37</v>
      </c>
      <c r="C306" t="s">
        <v>38</v>
      </c>
      <c r="D306" s="9" t="s">
        <v>39</v>
      </c>
      <c r="E306" s="10" t="s">
        <v>37</v>
      </c>
      <c r="F306" s="11"/>
      <c r="G306" t="s">
        <v>1000</v>
      </c>
      <c r="I306" t="s">
        <v>41</v>
      </c>
      <c r="J306" t="s">
        <v>1001</v>
      </c>
      <c r="K306" t="s">
        <v>43</v>
      </c>
      <c r="L306">
        <v>2</v>
      </c>
      <c r="M306" t="s">
        <v>44</v>
      </c>
      <c r="N306" t="s">
        <v>45</v>
      </c>
      <c r="O306" t="s">
        <v>46</v>
      </c>
      <c r="P306" s="5">
        <v>1</v>
      </c>
      <c r="Q306" s="12">
        <v>44707.753981481481</v>
      </c>
      <c r="R306" s="13">
        <v>44709</v>
      </c>
      <c r="T306" t="s">
        <v>47</v>
      </c>
      <c r="U306" t="s">
        <v>58</v>
      </c>
      <c r="V306" t="s">
        <v>61</v>
      </c>
      <c r="Y306" t="s">
        <v>1002</v>
      </c>
      <c r="Z306">
        <v>17509</v>
      </c>
      <c r="AA306" t="s">
        <v>47</v>
      </c>
      <c r="AB306" t="s">
        <v>58</v>
      </c>
      <c r="AC306" t="s">
        <v>53</v>
      </c>
      <c r="AD306" s="16">
        <f>IF(P306&lt;=1,4.9,4.9+0.8*ROUNDUP(P306-1,0))</f>
        <v>4.9000000000000004</v>
      </c>
      <c r="AE306" s="15">
        <v>0</v>
      </c>
      <c r="AF306" s="15">
        <v>0</v>
      </c>
      <c r="AG306" s="15">
        <v>0</v>
      </c>
      <c r="AH306" s="15">
        <v>0</v>
      </c>
      <c r="AI306" s="15">
        <f t="shared" si="8"/>
        <v>0.29399999999999998</v>
      </c>
      <c r="AJ306" s="15">
        <f t="shared" si="9"/>
        <v>5.194</v>
      </c>
      <c r="AK306" t="s">
        <v>47</v>
      </c>
    </row>
    <row r="307" spans="1:37" ht="15" customHeight="1" x14ac:dyDescent="0.35">
      <c r="A307">
        <v>690929</v>
      </c>
      <c r="B307" t="s">
        <v>37</v>
      </c>
      <c r="C307" t="s">
        <v>38</v>
      </c>
      <c r="D307" s="9" t="s">
        <v>39</v>
      </c>
      <c r="E307" s="10" t="s">
        <v>37</v>
      </c>
      <c r="F307" s="11"/>
      <c r="G307" t="s">
        <v>1003</v>
      </c>
      <c r="I307" t="s">
        <v>41</v>
      </c>
      <c r="J307" t="s">
        <v>543</v>
      </c>
      <c r="K307" t="s">
        <v>43</v>
      </c>
      <c r="L307">
        <v>2</v>
      </c>
      <c r="M307" t="s">
        <v>44</v>
      </c>
      <c r="N307" t="s">
        <v>45</v>
      </c>
      <c r="O307" t="s">
        <v>46</v>
      </c>
      <c r="P307" s="5">
        <v>1</v>
      </c>
      <c r="Q307" s="12">
        <v>44707.695729166669</v>
      </c>
      <c r="R307" s="13">
        <v>44709</v>
      </c>
      <c r="T307" t="s">
        <v>47</v>
      </c>
      <c r="U307" t="s">
        <v>58</v>
      </c>
      <c r="V307" t="s">
        <v>56</v>
      </c>
      <c r="Y307" t="s">
        <v>1004</v>
      </c>
      <c r="Z307">
        <v>26070</v>
      </c>
      <c r="AA307" t="s">
        <v>47</v>
      </c>
      <c r="AB307" t="s">
        <v>58</v>
      </c>
      <c r="AC307" t="s">
        <v>53</v>
      </c>
      <c r="AD307" s="16">
        <f>IF(P307&lt;=1,4.9,4.9+0.8*ROUNDUP(P307-1,0))</f>
        <v>4.9000000000000004</v>
      </c>
      <c r="AE307" s="15">
        <v>0</v>
      </c>
      <c r="AF307" s="15">
        <v>0</v>
      </c>
      <c r="AG307" s="15">
        <v>0</v>
      </c>
      <c r="AH307" s="15">
        <v>0</v>
      </c>
      <c r="AI307" s="15">
        <f t="shared" si="8"/>
        <v>0.29399999999999998</v>
      </c>
      <c r="AJ307" s="15">
        <f t="shared" si="9"/>
        <v>5.194</v>
      </c>
      <c r="AK307" t="s">
        <v>47</v>
      </c>
    </row>
    <row r="308" spans="1:37" ht="15" customHeight="1" x14ac:dyDescent="0.35">
      <c r="A308">
        <v>690929</v>
      </c>
      <c r="B308" t="s">
        <v>37</v>
      </c>
      <c r="C308" t="s">
        <v>38</v>
      </c>
      <c r="D308" s="9" t="s">
        <v>39</v>
      </c>
      <c r="E308" s="10" t="s">
        <v>37</v>
      </c>
      <c r="F308" s="11"/>
      <c r="G308" t="s">
        <v>1005</v>
      </c>
      <c r="I308" t="s">
        <v>41</v>
      </c>
      <c r="J308" t="s">
        <v>1006</v>
      </c>
      <c r="K308" t="s">
        <v>43</v>
      </c>
      <c r="L308">
        <v>2</v>
      </c>
      <c r="M308" t="s">
        <v>44</v>
      </c>
      <c r="N308" t="s">
        <v>45</v>
      </c>
      <c r="O308" t="s">
        <v>46</v>
      </c>
      <c r="P308" s="5">
        <v>2</v>
      </c>
      <c r="Q308" s="12">
        <v>44707.743148148147</v>
      </c>
      <c r="R308" s="13">
        <v>44709</v>
      </c>
      <c r="T308" t="s">
        <v>47</v>
      </c>
      <c r="U308" t="s">
        <v>58</v>
      </c>
      <c r="V308" t="s">
        <v>110</v>
      </c>
      <c r="Y308" t="s">
        <v>1007</v>
      </c>
      <c r="Z308">
        <v>22000</v>
      </c>
      <c r="AA308" t="s">
        <v>47</v>
      </c>
      <c r="AB308" t="s">
        <v>548</v>
      </c>
      <c r="AC308" t="s">
        <v>53</v>
      </c>
      <c r="AD308" s="16">
        <f>IF(P308&lt;=1,4.9,4.9+0.8*ROUNDUP(P308-1,0))</f>
        <v>5.7</v>
      </c>
      <c r="AE308" s="15">
        <v>0</v>
      </c>
      <c r="AF308" s="15">
        <v>0</v>
      </c>
      <c r="AG308" s="15">
        <v>0</v>
      </c>
      <c r="AH308" s="15">
        <v>0</v>
      </c>
      <c r="AI308" s="15">
        <f t="shared" si="8"/>
        <v>0.34199999999999997</v>
      </c>
      <c r="AJ308" s="15">
        <f t="shared" si="9"/>
        <v>6.0419999999999998</v>
      </c>
      <c r="AK308" t="s">
        <v>47</v>
      </c>
    </row>
    <row r="309" spans="1:37" ht="15" customHeight="1" x14ac:dyDescent="0.35">
      <c r="A309">
        <v>690929</v>
      </c>
      <c r="B309" t="s">
        <v>37</v>
      </c>
      <c r="C309" t="s">
        <v>38</v>
      </c>
      <c r="D309" s="9" t="s">
        <v>39</v>
      </c>
      <c r="E309" s="10" t="s">
        <v>37</v>
      </c>
      <c r="F309" s="11"/>
      <c r="G309" t="s">
        <v>1008</v>
      </c>
      <c r="I309" t="s">
        <v>41</v>
      </c>
      <c r="J309" t="s">
        <v>1009</v>
      </c>
      <c r="K309" t="s">
        <v>43</v>
      </c>
      <c r="L309">
        <v>2</v>
      </c>
      <c r="M309" t="s">
        <v>44</v>
      </c>
      <c r="N309" t="s">
        <v>45</v>
      </c>
      <c r="O309" t="s">
        <v>46</v>
      </c>
      <c r="P309" s="5">
        <v>1</v>
      </c>
      <c r="Q309" s="12">
        <v>44707.549178240741</v>
      </c>
      <c r="R309" s="13">
        <v>44709</v>
      </c>
      <c r="T309" t="s">
        <v>47</v>
      </c>
      <c r="U309" t="s">
        <v>48</v>
      </c>
      <c r="V309" t="s">
        <v>70</v>
      </c>
      <c r="Y309" t="s">
        <v>1010</v>
      </c>
      <c r="Z309">
        <v>40460</v>
      </c>
      <c r="AA309" t="s">
        <v>47</v>
      </c>
      <c r="AB309" t="s">
        <v>52</v>
      </c>
      <c r="AC309" t="s">
        <v>53</v>
      </c>
      <c r="AD309" s="16">
        <f>IF(P309&lt;=1,4.9,4.9+0.8*ROUNDUP(P309-1,0))</f>
        <v>4.9000000000000004</v>
      </c>
      <c r="AE309" s="15">
        <v>0</v>
      </c>
      <c r="AF309" s="15">
        <v>0</v>
      </c>
      <c r="AG309" s="15">
        <v>0</v>
      </c>
      <c r="AH309" s="15">
        <v>0</v>
      </c>
      <c r="AI309" s="15">
        <f t="shared" si="8"/>
        <v>0.29399999999999998</v>
      </c>
      <c r="AJ309" s="15">
        <f t="shared" si="9"/>
        <v>5.194</v>
      </c>
      <c r="AK309" t="s">
        <v>47</v>
      </c>
    </row>
    <row r="310" spans="1:37" ht="15" customHeight="1" x14ac:dyDescent="0.35">
      <c r="A310">
        <v>690929</v>
      </c>
      <c r="B310" t="s">
        <v>37</v>
      </c>
      <c r="C310" t="s">
        <v>38</v>
      </c>
      <c r="D310" s="9" t="s">
        <v>39</v>
      </c>
      <c r="E310" s="10" t="s">
        <v>37</v>
      </c>
      <c r="F310" s="11"/>
      <c r="G310" t="s">
        <v>1011</v>
      </c>
      <c r="I310" t="s">
        <v>41</v>
      </c>
      <c r="J310" t="s">
        <v>1012</v>
      </c>
      <c r="K310" t="s">
        <v>43</v>
      </c>
      <c r="L310">
        <v>2</v>
      </c>
      <c r="M310" t="s">
        <v>44</v>
      </c>
      <c r="N310" t="s">
        <v>45</v>
      </c>
      <c r="O310" t="s">
        <v>46</v>
      </c>
      <c r="P310" s="5">
        <v>4</v>
      </c>
      <c r="Q310" s="12">
        <v>44707.638912037037</v>
      </c>
      <c r="R310" s="13">
        <v>44709</v>
      </c>
      <c r="T310" t="s">
        <v>47</v>
      </c>
      <c r="U310" t="s">
        <v>48</v>
      </c>
      <c r="V310" t="s">
        <v>88</v>
      </c>
      <c r="Y310" t="s">
        <v>1013</v>
      </c>
      <c r="Z310">
        <v>53300</v>
      </c>
      <c r="AA310" t="s">
        <v>47</v>
      </c>
      <c r="AB310" t="s">
        <v>52</v>
      </c>
      <c r="AC310" t="s">
        <v>53</v>
      </c>
      <c r="AD310" s="16">
        <f>IF(P310&lt;=1,4.9,4.9+0.8*ROUNDUP(P310-1,0))</f>
        <v>7.3000000000000007</v>
      </c>
      <c r="AE310" s="15">
        <v>0</v>
      </c>
      <c r="AF310" s="15">
        <v>0</v>
      </c>
      <c r="AG310" s="15">
        <v>0</v>
      </c>
      <c r="AH310" s="15">
        <v>0</v>
      </c>
      <c r="AI310" s="15">
        <f t="shared" si="8"/>
        <v>0.438</v>
      </c>
      <c r="AJ310" s="15">
        <f t="shared" si="9"/>
        <v>7.7380000000000004</v>
      </c>
      <c r="AK310" t="s">
        <v>47</v>
      </c>
    </row>
    <row r="311" spans="1:37" ht="15" customHeight="1" x14ac:dyDescent="0.35">
      <c r="A311">
        <v>690929</v>
      </c>
      <c r="B311" t="s">
        <v>37</v>
      </c>
      <c r="C311" t="s">
        <v>38</v>
      </c>
      <c r="D311" s="9" t="s">
        <v>39</v>
      </c>
      <c r="E311" s="10" t="s">
        <v>37</v>
      </c>
      <c r="F311" s="11"/>
      <c r="G311" t="s">
        <v>1014</v>
      </c>
      <c r="I311" t="s">
        <v>41</v>
      </c>
      <c r="J311" t="s">
        <v>1015</v>
      </c>
      <c r="K311" t="s">
        <v>43</v>
      </c>
      <c r="L311">
        <v>2</v>
      </c>
      <c r="M311" t="s">
        <v>44</v>
      </c>
      <c r="N311" t="s">
        <v>45</v>
      </c>
      <c r="O311" t="s">
        <v>46</v>
      </c>
      <c r="P311" s="5">
        <v>1</v>
      </c>
      <c r="Q311" s="12">
        <v>44707.697199074071</v>
      </c>
      <c r="R311" s="13">
        <v>44709</v>
      </c>
      <c r="T311" t="s">
        <v>47</v>
      </c>
      <c r="U311" t="s">
        <v>58</v>
      </c>
      <c r="V311" t="s">
        <v>110</v>
      </c>
      <c r="Y311" t="s">
        <v>1016</v>
      </c>
      <c r="Z311">
        <v>22200</v>
      </c>
      <c r="AA311" t="s">
        <v>47</v>
      </c>
      <c r="AB311" t="s">
        <v>58</v>
      </c>
      <c r="AC311" t="s">
        <v>53</v>
      </c>
      <c r="AD311" s="16">
        <f>IF(P311&lt;=1,4.9,4.9+0.8*ROUNDUP(P311-1,0))</f>
        <v>4.9000000000000004</v>
      </c>
      <c r="AE311" s="15">
        <v>0</v>
      </c>
      <c r="AF311" s="15">
        <v>0</v>
      </c>
      <c r="AG311" s="15">
        <v>0</v>
      </c>
      <c r="AH311" s="15">
        <v>0</v>
      </c>
      <c r="AI311" s="15">
        <f t="shared" si="8"/>
        <v>0.29399999999999998</v>
      </c>
      <c r="AJ311" s="15">
        <f t="shared" si="9"/>
        <v>5.194</v>
      </c>
      <c r="AK311" t="s">
        <v>47</v>
      </c>
    </row>
    <row r="312" spans="1:37" ht="15" customHeight="1" x14ac:dyDescent="0.35">
      <c r="A312">
        <v>690929</v>
      </c>
      <c r="B312" t="s">
        <v>37</v>
      </c>
      <c r="C312" t="s">
        <v>38</v>
      </c>
      <c r="D312" s="9" t="s">
        <v>39</v>
      </c>
      <c r="E312" s="10" t="s">
        <v>37</v>
      </c>
      <c r="F312" s="11"/>
      <c r="G312" t="s">
        <v>1017</v>
      </c>
      <c r="I312" t="s">
        <v>41</v>
      </c>
      <c r="J312" t="s">
        <v>1018</v>
      </c>
      <c r="K312" t="s">
        <v>43</v>
      </c>
      <c r="L312">
        <v>2</v>
      </c>
      <c r="M312" t="s">
        <v>44</v>
      </c>
      <c r="N312" t="s">
        <v>45</v>
      </c>
      <c r="O312" t="s">
        <v>46</v>
      </c>
      <c r="P312" s="5">
        <v>2</v>
      </c>
      <c r="Q312" s="12">
        <v>44707.650104166663</v>
      </c>
      <c r="R312" s="13">
        <v>44709</v>
      </c>
      <c r="T312" t="s">
        <v>47</v>
      </c>
      <c r="U312" t="s">
        <v>48</v>
      </c>
      <c r="V312" t="s">
        <v>122</v>
      </c>
      <c r="Y312" t="s">
        <v>1019</v>
      </c>
      <c r="Z312">
        <v>8200</v>
      </c>
      <c r="AA312" t="s">
        <v>47</v>
      </c>
      <c r="AB312" t="s">
        <v>52</v>
      </c>
      <c r="AC312" t="s">
        <v>53</v>
      </c>
      <c r="AD312" s="16">
        <f>IF(P312&lt;=1,4.9,4.9+0.8*ROUNDUP(P312-1,0))</f>
        <v>5.7</v>
      </c>
      <c r="AE312" s="15">
        <v>0</v>
      </c>
      <c r="AF312" s="15">
        <v>0</v>
      </c>
      <c r="AG312" s="15">
        <v>0</v>
      </c>
      <c r="AH312" s="15">
        <v>0</v>
      </c>
      <c r="AI312" s="15">
        <f t="shared" si="8"/>
        <v>0.34199999999999997</v>
      </c>
      <c r="AJ312" s="15">
        <f t="shared" si="9"/>
        <v>6.0419999999999998</v>
      </c>
      <c r="AK312" t="s">
        <v>47</v>
      </c>
    </row>
    <row r="313" spans="1:37" ht="15" customHeight="1" x14ac:dyDescent="0.35">
      <c r="A313">
        <v>690929</v>
      </c>
      <c r="B313" t="s">
        <v>37</v>
      </c>
      <c r="C313" t="s">
        <v>38</v>
      </c>
      <c r="D313" s="9" t="s">
        <v>39</v>
      </c>
      <c r="E313" s="10" t="s">
        <v>37</v>
      </c>
      <c r="F313" s="11"/>
      <c r="G313" t="s">
        <v>1020</v>
      </c>
      <c r="I313" t="s">
        <v>41</v>
      </c>
      <c r="J313" t="s">
        <v>1021</v>
      </c>
      <c r="K313" t="s">
        <v>43</v>
      </c>
      <c r="L313">
        <v>2</v>
      </c>
      <c r="M313" t="s">
        <v>44</v>
      </c>
      <c r="N313" t="s">
        <v>45</v>
      </c>
      <c r="O313" t="s">
        <v>46</v>
      </c>
      <c r="P313" s="5">
        <v>1</v>
      </c>
      <c r="Q313" s="12">
        <v>44707.551122685189</v>
      </c>
      <c r="R313" s="13">
        <v>44709</v>
      </c>
      <c r="T313" t="s">
        <v>47</v>
      </c>
      <c r="U313" t="s">
        <v>48</v>
      </c>
      <c r="V313" t="s">
        <v>114</v>
      </c>
      <c r="Y313" t="s">
        <v>1022</v>
      </c>
      <c r="Z313">
        <v>13800</v>
      </c>
      <c r="AA313" t="s">
        <v>47</v>
      </c>
      <c r="AB313" t="s">
        <v>52</v>
      </c>
      <c r="AC313" t="s">
        <v>53</v>
      </c>
      <c r="AD313" s="16">
        <f>IF(P313&lt;=1,4.9,4.9+0.8*ROUNDUP(P313-1,0))</f>
        <v>4.9000000000000004</v>
      </c>
      <c r="AE313" s="15">
        <v>0</v>
      </c>
      <c r="AF313" s="15">
        <v>0</v>
      </c>
      <c r="AG313" s="15">
        <v>0</v>
      </c>
      <c r="AH313" s="15">
        <v>0</v>
      </c>
      <c r="AI313" s="15">
        <f t="shared" si="8"/>
        <v>0.29399999999999998</v>
      </c>
      <c r="AJ313" s="15">
        <f t="shared" si="9"/>
        <v>5.194</v>
      </c>
      <c r="AK313" t="s">
        <v>47</v>
      </c>
    </row>
    <row r="314" spans="1:37" ht="15" customHeight="1" x14ac:dyDescent="0.35">
      <c r="A314">
        <v>690929</v>
      </c>
      <c r="B314" t="s">
        <v>37</v>
      </c>
      <c r="C314" t="s">
        <v>38</v>
      </c>
      <c r="D314" s="9" t="s">
        <v>39</v>
      </c>
      <c r="E314" s="10" t="s">
        <v>37</v>
      </c>
      <c r="F314" s="11"/>
      <c r="G314" t="s">
        <v>1023</v>
      </c>
      <c r="I314" t="s">
        <v>41</v>
      </c>
      <c r="J314" t="s">
        <v>1024</v>
      </c>
      <c r="K314" t="s">
        <v>43</v>
      </c>
      <c r="L314">
        <v>2</v>
      </c>
      <c r="M314" t="s">
        <v>44</v>
      </c>
      <c r="N314" t="s">
        <v>45</v>
      </c>
      <c r="O314" t="s">
        <v>46</v>
      </c>
      <c r="P314" s="5">
        <v>1</v>
      </c>
      <c r="Q314" s="12">
        <v>44706.436840277776</v>
      </c>
      <c r="R314" s="13">
        <v>44709</v>
      </c>
      <c r="T314" t="s">
        <v>47</v>
      </c>
      <c r="U314" t="s">
        <v>48</v>
      </c>
      <c r="V314" t="s">
        <v>70</v>
      </c>
      <c r="Y314" t="s">
        <v>1025</v>
      </c>
      <c r="Z314">
        <v>45800</v>
      </c>
      <c r="AA314" t="s">
        <v>47</v>
      </c>
      <c r="AB314" t="s">
        <v>58</v>
      </c>
      <c r="AC314" t="s">
        <v>53</v>
      </c>
      <c r="AD314" s="16">
        <f>IF(P314&lt;=1,4.9,4.9+0.8*ROUNDUP(P314-1,0))</f>
        <v>4.9000000000000004</v>
      </c>
      <c r="AE314" s="15">
        <v>0</v>
      </c>
      <c r="AF314" s="15">
        <v>0</v>
      </c>
      <c r="AG314" s="15">
        <v>0</v>
      </c>
      <c r="AH314" s="15">
        <v>0</v>
      </c>
      <c r="AI314" s="15">
        <f t="shared" si="8"/>
        <v>0.29399999999999998</v>
      </c>
      <c r="AJ314" s="15">
        <f t="shared" si="9"/>
        <v>5.194</v>
      </c>
      <c r="AK314" t="s">
        <v>47</v>
      </c>
    </row>
    <row r="315" spans="1:37" ht="15" customHeight="1" x14ac:dyDescent="0.35">
      <c r="A315">
        <v>690929</v>
      </c>
      <c r="B315" t="s">
        <v>37</v>
      </c>
      <c r="C315" t="s">
        <v>38</v>
      </c>
      <c r="D315" s="9" t="s">
        <v>39</v>
      </c>
      <c r="E315" s="10" t="s">
        <v>37</v>
      </c>
      <c r="F315" s="11"/>
      <c r="G315" t="s">
        <v>1026</v>
      </c>
      <c r="I315" t="s">
        <v>41</v>
      </c>
      <c r="J315" t="s">
        <v>550</v>
      </c>
      <c r="K315" t="s">
        <v>43</v>
      </c>
      <c r="L315">
        <v>2</v>
      </c>
      <c r="M315" t="s">
        <v>44</v>
      </c>
      <c r="N315" t="s">
        <v>45</v>
      </c>
      <c r="O315" t="s">
        <v>46</v>
      </c>
      <c r="P315" s="5">
        <v>1</v>
      </c>
      <c r="Q315" s="12">
        <v>44707.663495370369</v>
      </c>
      <c r="R315" s="13">
        <v>44709</v>
      </c>
      <c r="T315" t="s">
        <v>47</v>
      </c>
      <c r="U315" t="s">
        <v>58</v>
      </c>
      <c r="V315" t="s">
        <v>56</v>
      </c>
      <c r="Y315" t="s">
        <v>203</v>
      </c>
      <c r="Z315">
        <v>26900</v>
      </c>
      <c r="AA315" t="s">
        <v>47</v>
      </c>
      <c r="AB315" t="s">
        <v>58</v>
      </c>
      <c r="AC315" t="s">
        <v>53</v>
      </c>
      <c r="AD315" s="16">
        <f>IF(P315&lt;=1,4.9,4.9+0.8*ROUNDUP(P315-1,0))</f>
        <v>4.9000000000000004</v>
      </c>
      <c r="AE315" s="15">
        <v>0</v>
      </c>
      <c r="AF315" s="15">
        <v>0</v>
      </c>
      <c r="AG315" s="15">
        <v>0</v>
      </c>
      <c r="AH315" s="15">
        <v>0</v>
      </c>
      <c r="AI315" s="15">
        <f t="shared" si="8"/>
        <v>0.29399999999999998</v>
      </c>
      <c r="AJ315" s="15">
        <f t="shared" si="9"/>
        <v>5.194</v>
      </c>
      <c r="AK315" t="s">
        <v>47</v>
      </c>
    </row>
    <row r="316" spans="1:37" ht="15" customHeight="1" x14ac:dyDescent="0.35">
      <c r="A316">
        <v>690929</v>
      </c>
      <c r="B316" t="s">
        <v>37</v>
      </c>
      <c r="C316" t="s">
        <v>38</v>
      </c>
      <c r="D316" s="9" t="s">
        <v>39</v>
      </c>
      <c r="E316" s="10" t="s">
        <v>37</v>
      </c>
      <c r="F316" s="11"/>
      <c r="G316" t="s">
        <v>1027</v>
      </c>
      <c r="I316" t="s">
        <v>41</v>
      </c>
      <c r="J316" t="s">
        <v>737</v>
      </c>
      <c r="K316" t="s">
        <v>43</v>
      </c>
      <c r="L316">
        <v>2</v>
      </c>
      <c r="M316" t="s">
        <v>44</v>
      </c>
      <c r="N316" t="s">
        <v>45</v>
      </c>
      <c r="O316" t="s">
        <v>46</v>
      </c>
      <c r="P316" s="5">
        <v>3</v>
      </c>
      <c r="Q316" s="12">
        <v>44708.415682870371</v>
      </c>
      <c r="R316" s="13">
        <v>44709</v>
      </c>
      <c r="T316" t="s">
        <v>47</v>
      </c>
      <c r="U316" t="s">
        <v>58</v>
      </c>
      <c r="V316" t="s">
        <v>61</v>
      </c>
      <c r="Y316" t="s">
        <v>1028</v>
      </c>
      <c r="Z316">
        <v>17610</v>
      </c>
      <c r="AA316" t="s">
        <v>47</v>
      </c>
      <c r="AB316" t="s">
        <v>58</v>
      </c>
      <c r="AC316" t="s">
        <v>53</v>
      </c>
      <c r="AD316" s="16">
        <f>IF(P316&lt;=1,4.9,4.9+0.8*ROUNDUP(P316-1,0))</f>
        <v>6.5</v>
      </c>
      <c r="AE316" s="15">
        <v>0</v>
      </c>
      <c r="AF316" s="15">
        <v>0</v>
      </c>
      <c r="AG316" s="15">
        <v>0</v>
      </c>
      <c r="AH316" s="15">
        <v>0</v>
      </c>
      <c r="AI316" s="15">
        <f t="shared" si="8"/>
        <v>0.39</v>
      </c>
      <c r="AJ316" s="15">
        <f t="shared" si="9"/>
        <v>6.89</v>
      </c>
      <c r="AK316" t="s">
        <v>47</v>
      </c>
    </row>
    <row r="317" spans="1:37" ht="15" customHeight="1" x14ac:dyDescent="0.35">
      <c r="A317">
        <v>690929</v>
      </c>
      <c r="B317" t="s">
        <v>37</v>
      </c>
      <c r="C317" t="s">
        <v>38</v>
      </c>
      <c r="D317" s="9" t="s">
        <v>39</v>
      </c>
      <c r="E317" s="10" t="s">
        <v>37</v>
      </c>
      <c r="F317" s="11"/>
      <c r="G317" t="s">
        <v>1029</v>
      </c>
      <c r="I317" t="s">
        <v>41</v>
      </c>
      <c r="J317" t="s">
        <v>1030</v>
      </c>
      <c r="K317" t="s">
        <v>43</v>
      </c>
      <c r="L317">
        <v>2</v>
      </c>
      <c r="M317" t="s">
        <v>44</v>
      </c>
      <c r="N317" t="s">
        <v>45</v>
      </c>
      <c r="O317" t="s">
        <v>92</v>
      </c>
      <c r="P317" s="5">
        <v>5</v>
      </c>
      <c r="Q317" s="12">
        <v>44708.408275462964</v>
      </c>
      <c r="R317" s="13">
        <v>44709</v>
      </c>
      <c r="T317" t="s">
        <v>47</v>
      </c>
      <c r="U317" t="s">
        <v>58</v>
      </c>
      <c r="V317" t="s">
        <v>56</v>
      </c>
      <c r="Y317" t="s">
        <v>1031</v>
      </c>
      <c r="Z317">
        <v>25150</v>
      </c>
      <c r="AA317" t="s">
        <v>47</v>
      </c>
      <c r="AB317" t="s">
        <v>617</v>
      </c>
      <c r="AC317" t="s">
        <v>53</v>
      </c>
      <c r="AD317" s="16">
        <f>IF(P317&lt;=1,4.9,4.9+0.8*ROUNDUP(P317-1,0))</f>
        <v>8.1000000000000014</v>
      </c>
      <c r="AE317" s="15">
        <v>0</v>
      </c>
      <c r="AF317" s="15">
        <v>0</v>
      </c>
      <c r="AG317" s="15">
        <v>0</v>
      </c>
      <c r="AH317" s="15">
        <v>0</v>
      </c>
      <c r="AI317" s="15">
        <f t="shared" si="8"/>
        <v>0.48600000000000004</v>
      </c>
      <c r="AJ317" s="15">
        <f t="shared" si="9"/>
        <v>8.5860000000000021</v>
      </c>
      <c r="AK317" t="s">
        <v>47</v>
      </c>
    </row>
    <row r="318" spans="1:37" ht="15" customHeight="1" x14ac:dyDescent="0.35">
      <c r="A318">
        <v>690929</v>
      </c>
      <c r="B318" t="s">
        <v>37</v>
      </c>
      <c r="C318" t="s">
        <v>38</v>
      </c>
      <c r="D318" s="9" t="s">
        <v>39</v>
      </c>
      <c r="E318" s="10" t="s">
        <v>37</v>
      </c>
      <c r="F318" s="11"/>
      <c r="G318" t="s">
        <v>1032</v>
      </c>
      <c r="I318" t="s">
        <v>41</v>
      </c>
      <c r="J318" t="s">
        <v>1033</v>
      </c>
      <c r="K318" t="s">
        <v>43</v>
      </c>
      <c r="L318">
        <v>2</v>
      </c>
      <c r="M318" t="s">
        <v>44</v>
      </c>
      <c r="N318" t="s">
        <v>45</v>
      </c>
      <c r="O318" t="s">
        <v>46</v>
      </c>
      <c r="P318" s="5">
        <v>1</v>
      </c>
      <c r="Q318" s="12">
        <v>44708.501493055555</v>
      </c>
      <c r="R318" s="13">
        <v>44709</v>
      </c>
      <c r="T318" t="s">
        <v>47</v>
      </c>
      <c r="U318" t="s">
        <v>58</v>
      </c>
      <c r="V318" t="s">
        <v>56</v>
      </c>
      <c r="Y318" t="s">
        <v>1034</v>
      </c>
      <c r="Z318">
        <v>27100</v>
      </c>
      <c r="AA318" t="s">
        <v>47</v>
      </c>
      <c r="AB318" t="s">
        <v>58</v>
      </c>
      <c r="AC318" t="s">
        <v>53</v>
      </c>
      <c r="AD318" s="16">
        <f>IF(P318&lt;=1,4.9,4.9+0.8*ROUNDUP(P318-1,0))</f>
        <v>4.9000000000000004</v>
      </c>
      <c r="AE318" s="15">
        <v>0</v>
      </c>
      <c r="AF318" s="15">
        <v>0</v>
      </c>
      <c r="AG318" s="15">
        <v>0</v>
      </c>
      <c r="AH318" s="15">
        <v>0</v>
      </c>
      <c r="AI318" s="15">
        <f t="shared" si="8"/>
        <v>0.29399999999999998</v>
      </c>
      <c r="AJ318" s="15">
        <f t="shared" si="9"/>
        <v>5.194</v>
      </c>
      <c r="AK318" t="s">
        <v>47</v>
      </c>
    </row>
    <row r="319" spans="1:37" ht="15" customHeight="1" x14ac:dyDescent="0.35">
      <c r="A319">
        <v>690929</v>
      </c>
      <c r="B319" t="s">
        <v>37</v>
      </c>
      <c r="C319" t="s">
        <v>38</v>
      </c>
      <c r="D319" s="9" t="s">
        <v>39</v>
      </c>
      <c r="E319" s="10" t="s">
        <v>37</v>
      </c>
      <c r="F319" s="11"/>
      <c r="G319" t="s">
        <v>1035</v>
      </c>
      <c r="I319" t="s">
        <v>41</v>
      </c>
      <c r="J319" t="s">
        <v>1036</v>
      </c>
      <c r="K319" t="s">
        <v>43</v>
      </c>
      <c r="L319">
        <v>2</v>
      </c>
      <c r="M319" t="s">
        <v>44</v>
      </c>
      <c r="N319" t="s">
        <v>45</v>
      </c>
      <c r="O319" t="s">
        <v>46</v>
      </c>
      <c r="P319" s="5">
        <v>1</v>
      </c>
      <c r="Q319" s="12">
        <v>44707.550046296295</v>
      </c>
      <c r="R319" s="13">
        <v>44709</v>
      </c>
      <c r="T319" t="s">
        <v>47</v>
      </c>
      <c r="U319" t="s">
        <v>48</v>
      </c>
      <c r="V319" t="s">
        <v>122</v>
      </c>
      <c r="Y319" t="s">
        <v>1037</v>
      </c>
      <c r="Z319">
        <v>5300</v>
      </c>
      <c r="AA319" t="s">
        <v>47</v>
      </c>
      <c r="AB319" t="s">
        <v>52</v>
      </c>
      <c r="AC319" t="s">
        <v>53</v>
      </c>
      <c r="AD319" s="16">
        <f>IF(P319&lt;=1,4.9,4.9+0.8*ROUNDUP(P319-1,0))</f>
        <v>4.9000000000000004</v>
      </c>
      <c r="AE319" s="15">
        <v>0</v>
      </c>
      <c r="AF319" s="15">
        <v>0</v>
      </c>
      <c r="AG319" s="15">
        <v>0</v>
      </c>
      <c r="AH319" s="15">
        <v>0</v>
      </c>
      <c r="AI319" s="15">
        <f t="shared" si="8"/>
        <v>0.29399999999999998</v>
      </c>
      <c r="AJ319" s="15">
        <f t="shared" si="9"/>
        <v>5.194</v>
      </c>
      <c r="AK319" t="s">
        <v>47</v>
      </c>
    </row>
    <row r="320" spans="1:37" ht="15" customHeight="1" x14ac:dyDescent="0.35">
      <c r="A320">
        <v>690929</v>
      </c>
      <c r="B320" t="s">
        <v>37</v>
      </c>
      <c r="C320" t="s">
        <v>38</v>
      </c>
      <c r="D320" s="9" t="s">
        <v>39</v>
      </c>
      <c r="E320" s="10" t="s">
        <v>37</v>
      </c>
      <c r="F320" s="11"/>
      <c r="G320" t="s">
        <v>1038</v>
      </c>
      <c r="I320" t="s">
        <v>41</v>
      </c>
      <c r="J320" t="s">
        <v>1039</v>
      </c>
      <c r="K320" t="s">
        <v>43</v>
      </c>
      <c r="L320">
        <v>2</v>
      </c>
      <c r="M320" t="s">
        <v>44</v>
      </c>
      <c r="N320" t="s">
        <v>45</v>
      </c>
      <c r="O320" t="s">
        <v>46</v>
      </c>
      <c r="P320" s="5">
        <v>2</v>
      </c>
      <c r="Q320" s="12">
        <v>44706.435208333336</v>
      </c>
      <c r="R320" s="13">
        <v>44709</v>
      </c>
      <c r="T320" t="s">
        <v>47</v>
      </c>
      <c r="U320" t="s">
        <v>48</v>
      </c>
      <c r="V320" t="s">
        <v>70</v>
      </c>
      <c r="Y320" t="s">
        <v>1040</v>
      </c>
      <c r="Z320">
        <v>56000</v>
      </c>
      <c r="AA320" t="s">
        <v>47</v>
      </c>
      <c r="AB320" t="s">
        <v>58</v>
      </c>
      <c r="AC320" t="s">
        <v>53</v>
      </c>
      <c r="AD320" s="16">
        <f>IF(P320&lt;=1,4.9,4.9+0.8*ROUNDUP(P320-1,0))</f>
        <v>5.7</v>
      </c>
      <c r="AE320" s="15">
        <v>0</v>
      </c>
      <c r="AF320" s="15">
        <v>0</v>
      </c>
      <c r="AG320" s="15">
        <v>0</v>
      </c>
      <c r="AH320" s="15">
        <v>0</v>
      </c>
      <c r="AI320" s="15">
        <f t="shared" si="8"/>
        <v>0.34199999999999997</v>
      </c>
      <c r="AJ320" s="15">
        <f t="shared" si="9"/>
        <v>6.0419999999999998</v>
      </c>
      <c r="AK320" t="s">
        <v>47</v>
      </c>
    </row>
    <row r="321" spans="1:37" ht="15" customHeight="1" x14ac:dyDescent="0.35">
      <c r="A321">
        <v>690929</v>
      </c>
      <c r="B321" t="s">
        <v>37</v>
      </c>
      <c r="C321" t="s">
        <v>38</v>
      </c>
      <c r="D321" s="9" t="s">
        <v>39</v>
      </c>
      <c r="E321" s="10" t="s">
        <v>37</v>
      </c>
      <c r="F321" s="11"/>
      <c r="G321" t="s">
        <v>1041</v>
      </c>
      <c r="I321" t="s">
        <v>41</v>
      </c>
      <c r="J321" t="s">
        <v>1042</v>
      </c>
      <c r="K321" t="s">
        <v>43</v>
      </c>
      <c r="L321">
        <v>2</v>
      </c>
      <c r="M321" t="s">
        <v>44</v>
      </c>
      <c r="N321" t="s">
        <v>45</v>
      </c>
      <c r="O321" t="s">
        <v>46</v>
      </c>
      <c r="P321" s="5">
        <v>1</v>
      </c>
      <c r="Q321" s="12">
        <v>44706.438472222224</v>
      </c>
      <c r="R321" s="13">
        <v>44709</v>
      </c>
      <c r="T321" t="s">
        <v>47</v>
      </c>
      <c r="U321" t="s">
        <v>48</v>
      </c>
      <c r="V321" t="s">
        <v>70</v>
      </c>
      <c r="Y321" t="s">
        <v>1043</v>
      </c>
      <c r="Z321">
        <v>43300</v>
      </c>
      <c r="AA321" t="s">
        <v>47</v>
      </c>
      <c r="AB321" t="s">
        <v>58</v>
      </c>
      <c r="AC321" t="s">
        <v>53</v>
      </c>
      <c r="AD321" s="16">
        <f>IF(P321&lt;=1,4.9,4.9+0.8*ROUNDUP(P321-1,0))</f>
        <v>4.9000000000000004</v>
      </c>
      <c r="AE321" s="15">
        <v>0</v>
      </c>
      <c r="AF321" s="15">
        <v>0</v>
      </c>
      <c r="AG321" s="15">
        <v>0</v>
      </c>
      <c r="AH321" s="15">
        <v>0</v>
      </c>
      <c r="AI321" s="15">
        <f t="shared" si="8"/>
        <v>0.29399999999999998</v>
      </c>
      <c r="AJ321" s="15">
        <f t="shared" si="9"/>
        <v>5.194</v>
      </c>
      <c r="AK321" t="s">
        <v>47</v>
      </c>
    </row>
    <row r="322" spans="1:37" ht="15" customHeight="1" x14ac:dyDescent="0.35">
      <c r="A322">
        <v>690929</v>
      </c>
      <c r="B322" t="s">
        <v>37</v>
      </c>
      <c r="C322" t="s">
        <v>38</v>
      </c>
      <c r="D322" s="9" t="s">
        <v>39</v>
      </c>
      <c r="E322" s="10" t="s">
        <v>37</v>
      </c>
      <c r="F322" s="11"/>
      <c r="G322" t="s">
        <v>1044</v>
      </c>
      <c r="I322" t="s">
        <v>41</v>
      </c>
      <c r="J322" t="s">
        <v>1045</v>
      </c>
      <c r="K322" t="s">
        <v>43</v>
      </c>
      <c r="L322">
        <v>2</v>
      </c>
      <c r="M322" t="s">
        <v>44</v>
      </c>
      <c r="N322" t="s">
        <v>45</v>
      </c>
      <c r="O322" t="s">
        <v>46</v>
      </c>
      <c r="P322" s="5">
        <v>1</v>
      </c>
      <c r="Q322" s="12">
        <v>44707.659988425927</v>
      </c>
      <c r="R322" s="13">
        <v>44709</v>
      </c>
      <c r="T322" t="s">
        <v>47</v>
      </c>
      <c r="U322" t="s">
        <v>58</v>
      </c>
      <c r="V322" t="s">
        <v>61</v>
      </c>
      <c r="Y322" t="s">
        <v>1046</v>
      </c>
      <c r="Z322">
        <v>16400</v>
      </c>
      <c r="AA322" t="s">
        <v>47</v>
      </c>
      <c r="AB322" t="s">
        <v>58</v>
      </c>
      <c r="AC322" t="s">
        <v>53</v>
      </c>
      <c r="AD322" s="16">
        <f>IF(P322&lt;=1,4.9,4.9+0.8*ROUNDUP(P322-1,0))</f>
        <v>4.9000000000000004</v>
      </c>
      <c r="AE322" s="15">
        <v>0</v>
      </c>
      <c r="AF322" s="15">
        <v>0</v>
      </c>
      <c r="AG322" s="15">
        <v>0</v>
      </c>
      <c r="AH322" s="15">
        <v>0</v>
      </c>
      <c r="AI322" s="15">
        <f t="shared" ref="AI322:AI385" si="10">(AD322+AF322+AH322)*6%</f>
        <v>0.29399999999999998</v>
      </c>
      <c r="AJ322" s="15">
        <f t="shared" ref="AJ322:AJ385" si="11">AD322+AF322+AH322+AI322</f>
        <v>5.194</v>
      </c>
      <c r="AK322" t="s">
        <v>47</v>
      </c>
    </row>
    <row r="323" spans="1:37" ht="15" customHeight="1" x14ac:dyDescent="0.35">
      <c r="A323">
        <v>690929</v>
      </c>
      <c r="B323" t="s">
        <v>37</v>
      </c>
      <c r="C323" t="s">
        <v>38</v>
      </c>
      <c r="D323" s="9" t="s">
        <v>39</v>
      </c>
      <c r="E323" s="10" t="s">
        <v>37</v>
      </c>
      <c r="F323" s="11"/>
      <c r="G323" t="s">
        <v>1047</v>
      </c>
      <c r="I323" t="s">
        <v>41</v>
      </c>
      <c r="J323" t="s">
        <v>1048</v>
      </c>
      <c r="K323" t="s">
        <v>43</v>
      </c>
      <c r="L323">
        <v>2</v>
      </c>
      <c r="M323" t="s">
        <v>44</v>
      </c>
      <c r="N323" t="s">
        <v>45</v>
      </c>
      <c r="O323" t="s">
        <v>46</v>
      </c>
      <c r="P323" s="5">
        <v>2</v>
      </c>
      <c r="Q323" s="12">
        <v>44707.733993055554</v>
      </c>
      <c r="R323" s="13">
        <v>44709</v>
      </c>
      <c r="T323" t="s">
        <v>47</v>
      </c>
      <c r="U323" t="s">
        <v>58</v>
      </c>
      <c r="V323" t="s">
        <v>56</v>
      </c>
      <c r="Y323" t="s">
        <v>1049</v>
      </c>
      <c r="Z323">
        <v>26500</v>
      </c>
      <c r="AA323" t="s">
        <v>47</v>
      </c>
      <c r="AB323" t="s">
        <v>579</v>
      </c>
      <c r="AC323" t="s">
        <v>53</v>
      </c>
      <c r="AD323" s="16">
        <f>IF(P323&lt;=1,4.9,4.9+0.8*ROUNDUP(P323-1,0))</f>
        <v>5.7</v>
      </c>
      <c r="AE323" s="15">
        <v>0</v>
      </c>
      <c r="AF323" s="15">
        <v>0</v>
      </c>
      <c r="AG323" s="15">
        <v>0</v>
      </c>
      <c r="AH323" s="15">
        <v>0</v>
      </c>
      <c r="AI323" s="15">
        <f t="shared" si="10"/>
        <v>0.34199999999999997</v>
      </c>
      <c r="AJ323" s="15">
        <f t="shared" si="11"/>
        <v>6.0419999999999998</v>
      </c>
      <c r="AK323" t="s">
        <v>47</v>
      </c>
    </row>
    <row r="324" spans="1:37" ht="15" customHeight="1" x14ac:dyDescent="0.35">
      <c r="A324">
        <v>690929</v>
      </c>
      <c r="B324" t="s">
        <v>37</v>
      </c>
      <c r="C324" t="s">
        <v>38</v>
      </c>
      <c r="D324" s="9" t="s">
        <v>39</v>
      </c>
      <c r="E324" s="10" t="s">
        <v>37</v>
      </c>
      <c r="F324" s="11"/>
      <c r="G324" t="s">
        <v>1050</v>
      </c>
      <c r="I324" t="s">
        <v>41</v>
      </c>
      <c r="J324" t="s">
        <v>1051</v>
      </c>
      <c r="K324" t="s">
        <v>43</v>
      </c>
      <c r="L324">
        <v>2</v>
      </c>
      <c r="M324" t="s">
        <v>44</v>
      </c>
      <c r="N324" t="s">
        <v>45</v>
      </c>
      <c r="O324" t="s">
        <v>46</v>
      </c>
      <c r="P324" s="5">
        <v>1</v>
      </c>
      <c r="Q324" s="12">
        <v>44707.6721875</v>
      </c>
      <c r="R324" s="13">
        <v>44709</v>
      </c>
      <c r="T324" t="s">
        <v>47</v>
      </c>
      <c r="U324" t="s">
        <v>58</v>
      </c>
      <c r="V324" t="s">
        <v>61</v>
      </c>
      <c r="Y324" t="s">
        <v>1052</v>
      </c>
      <c r="Z324">
        <v>16040</v>
      </c>
      <c r="AA324" t="s">
        <v>47</v>
      </c>
      <c r="AB324" t="s">
        <v>58</v>
      </c>
      <c r="AC324" t="s">
        <v>53</v>
      </c>
      <c r="AD324" s="16">
        <f>IF(P324&lt;=1,4.9,4.9+0.8*ROUNDUP(P324-1,0))</f>
        <v>4.9000000000000004</v>
      </c>
      <c r="AE324" s="15">
        <v>0</v>
      </c>
      <c r="AF324" s="15">
        <v>0</v>
      </c>
      <c r="AG324" s="15">
        <v>0</v>
      </c>
      <c r="AH324" s="15">
        <v>0</v>
      </c>
      <c r="AI324" s="15">
        <f t="shared" si="10"/>
        <v>0.29399999999999998</v>
      </c>
      <c r="AJ324" s="15">
        <f t="shared" si="11"/>
        <v>5.194</v>
      </c>
      <c r="AK324" t="s">
        <v>47</v>
      </c>
    </row>
    <row r="325" spans="1:37" ht="15" customHeight="1" x14ac:dyDescent="0.35">
      <c r="A325">
        <v>690929</v>
      </c>
      <c r="B325" t="s">
        <v>37</v>
      </c>
      <c r="C325" t="s">
        <v>38</v>
      </c>
      <c r="D325" s="9" t="s">
        <v>39</v>
      </c>
      <c r="E325" s="10" t="s">
        <v>37</v>
      </c>
      <c r="F325" s="11"/>
      <c r="G325" t="s">
        <v>1053</v>
      </c>
      <c r="I325" t="s">
        <v>41</v>
      </c>
      <c r="J325" t="s">
        <v>1054</v>
      </c>
      <c r="K325" t="s">
        <v>43</v>
      </c>
      <c r="L325">
        <v>2</v>
      </c>
      <c r="M325" t="s">
        <v>44</v>
      </c>
      <c r="N325" t="s">
        <v>45</v>
      </c>
      <c r="O325" t="s">
        <v>92</v>
      </c>
      <c r="P325" s="5">
        <v>1</v>
      </c>
      <c r="Q325" s="12">
        <v>44707.717534722222</v>
      </c>
      <c r="R325" s="13">
        <v>44709</v>
      </c>
      <c r="T325" t="s">
        <v>47</v>
      </c>
      <c r="U325" t="s">
        <v>58</v>
      </c>
      <c r="V325" t="s">
        <v>56</v>
      </c>
      <c r="Y325" t="s">
        <v>1055</v>
      </c>
      <c r="Z325">
        <v>25150</v>
      </c>
      <c r="AA325" t="s">
        <v>47</v>
      </c>
      <c r="AB325" t="s">
        <v>617</v>
      </c>
      <c r="AC325" t="s">
        <v>53</v>
      </c>
      <c r="AD325" s="16">
        <f>IF(P325&lt;=1,4.9,4.9+0.8*ROUNDUP(P325-1,0))</f>
        <v>4.9000000000000004</v>
      </c>
      <c r="AE325" s="15">
        <v>0</v>
      </c>
      <c r="AF325" s="15">
        <v>0</v>
      </c>
      <c r="AG325" s="15">
        <v>0</v>
      </c>
      <c r="AH325" s="15">
        <v>0</v>
      </c>
      <c r="AI325" s="15">
        <f t="shared" si="10"/>
        <v>0.29399999999999998</v>
      </c>
      <c r="AJ325" s="15">
        <f t="shared" si="11"/>
        <v>5.194</v>
      </c>
      <c r="AK325" t="s">
        <v>47</v>
      </c>
    </row>
    <row r="326" spans="1:37" ht="15" customHeight="1" x14ac:dyDescent="0.35">
      <c r="A326">
        <v>690929</v>
      </c>
      <c r="B326" t="s">
        <v>37</v>
      </c>
      <c r="C326" t="s">
        <v>38</v>
      </c>
      <c r="D326" s="9" t="s">
        <v>39</v>
      </c>
      <c r="E326" s="10" t="s">
        <v>37</v>
      </c>
      <c r="F326" s="11"/>
      <c r="G326" t="s">
        <v>1056</v>
      </c>
      <c r="I326" t="s">
        <v>41</v>
      </c>
      <c r="J326" t="s">
        <v>1057</v>
      </c>
      <c r="K326" t="s">
        <v>43</v>
      </c>
      <c r="L326">
        <v>2</v>
      </c>
      <c r="M326" t="s">
        <v>44</v>
      </c>
      <c r="N326" t="s">
        <v>45</v>
      </c>
      <c r="O326" t="s">
        <v>46</v>
      </c>
      <c r="P326" s="5">
        <v>1</v>
      </c>
      <c r="Q326" s="12">
        <v>44700.856458333335</v>
      </c>
      <c r="R326" s="13">
        <v>44709</v>
      </c>
      <c r="T326" t="s">
        <v>47</v>
      </c>
      <c r="U326" t="s">
        <v>58</v>
      </c>
      <c r="V326" t="s">
        <v>70</v>
      </c>
      <c r="Y326" t="s">
        <v>1058</v>
      </c>
      <c r="Z326">
        <v>68100</v>
      </c>
      <c r="AA326" t="s">
        <v>47</v>
      </c>
      <c r="AB326" t="s">
        <v>52</v>
      </c>
      <c r="AC326" t="s">
        <v>53</v>
      </c>
      <c r="AD326" s="16">
        <f>IF(P326&lt;=1,4.9,4.9+0.8*ROUNDUP(P326-1,0))</f>
        <v>4.9000000000000004</v>
      </c>
      <c r="AE326" s="15">
        <v>0</v>
      </c>
      <c r="AF326" s="15">
        <v>0</v>
      </c>
      <c r="AG326" s="15">
        <v>0</v>
      </c>
      <c r="AH326" s="15">
        <v>0</v>
      </c>
      <c r="AI326" s="15">
        <f t="shared" si="10"/>
        <v>0.29399999999999998</v>
      </c>
      <c r="AJ326" s="15">
        <f t="shared" si="11"/>
        <v>5.194</v>
      </c>
      <c r="AK326" t="s">
        <v>47</v>
      </c>
    </row>
    <row r="327" spans="1:37" ht="15" customHeight="1" x14ac:dyDescent="0.35">
      <c r="A327">
        <v>690929</v>
      </c>
      <c r="B327" t="s">
        <v>37</v>
      </c>
      <c r="C327" t="s">
        <v>38</v>
      </c>
      <c r="D327" s="9" t="s">
        <v>39</v>
      </c>
      <c r="E327" s="10" t="s">
        <v>37</v>
      </c>
      <c r="F327" s="11"/>
      <c r="G327" t="s">
        <v>1059</v>
      </c>
      <c r="I327" t="s">
        <v>41</v>
      </c>
      <c r="J327" t="s">
        <v>1060</v>
      </c>
      <c r="K327" t="s">
        <v>43</v>
      </c>
      <c r="L327">
        <v>2</v>
      </c>
      <c r="M327" t="s">
        <v>44</v>
      </c>
      <c r="N327" t="s">
        <v>45</v>
      </c>
      <c r="O327" t="s">
        <v>46</v>
      </c>
      <c r="P327" s="5">
        <v>1</v>
      </c>
      <c r="Q327" s="12">
        <v>44705.599548611113</v>
      </c>
      <c r="R327" s="13">
        <v>44710</v>
      </c>
      <c r="T327" t="s">
        <v>47</v>
      </c>
      <c r="U327" t="s">
        <v>48</v>
      </c>
      <c r="V327" t="s">
        <v>93</v>
      </c>
      <c r="Y327" t="s">
        <v>1061</v>
      </c>
      <c r="Z327">
        <v>81700</v>
      </c>
      <c r="AA327" t="s">
        <v>47</v>
      </c>
      <c r="AB327" t="s">
        <v>52</v>
      </c>
      <c r="AC327" t="s">
        <v>53</v>
      </c>
      <c r="AD327" s="16">
        <f>IF(P327&lt;=1,4.9,4.9+0.8*ROUNDUP(P327-1,0))</f>
        <v>4.9000000000000004</v>
      </c>
      <c r="AE327" s="15">
        <v>0</v>
      </c>
      <c r="AF327" s="15">
        <v>0</v>
      </c>
      <c r="AG327" s="15">
        <v>0</v>
      </c>
      <c r="AH327" s="15">
        <v>0</v>
      </c>
      <c r="AI327" s="15">
        <f t="shared" si="10"/>
        <v>0.29399999999999998</v>
      </c>
      <c r="AJ327" s="15">
        <f t="shared" si="11"/>
        <v>5.194</v>
      </c>
      <c r="AK327" t="s">
        <v>47</v>
      </c>
    </row>
    <row r="328" spans="1:37" ht="15" customHeight="1" x14ac:dyDescent="0.35">
      <c r="A328">
        <v>690929</v>
      </c>
      <c r="B328" t="s">
        <v>37</v>
      </c>
      <c r="C328" t="s">
        <v>38</v>
      </c>
      <c r="D328" s="9" t="s">
        <v>39</v>
      </c>
      <c r="E328" s="10" t="s">
        <v>37</v>
      </c>
      <c r="F328" s="11"/>
      <c r="G328" t="s">
        <v>1062</v>
      </c>
      <c r="I328" t="s">
        <v>41</v>
      </c>
      <c r="J328" t="s">
        <v>1063</v>
      </c>
      <c r="K328" t="s">
        <v>43</v>
      </c>
      <c r="L328">
        <v>2</v>
      </c>
      <c r="M328" t="s">
        <v>44</v>
      </c>
      <c r="N328" t="s">
        <v>45</v>
      </c>
      <c r="O328" t="s">
        <v>46</v>
      </c>
      <c r="P328" s="5">
        <v>1</v>
      </c>
      <c r="Q328" s="12">
        <v>44707.771273148152</v>
      </c>
      <c r="R328" s="13">
        <v>44710</v>
      </c>
      <c r="T328" t="s">
        <v>47</v>
      </c>
      <c r="U328" t="s">
        <v>58</v>
      </c>
      <c r="V328" t="s">
        <v>93</v>
      </c>
      <c r="Y328" t="s">
        <v>1064</v>
      </c>
      <c r="Z328">
        <v>86000</v>
      </c>
      <c r="AA328" t="s">
        <v>47</v>
      </c>
      <c r="AB328" t="s">
        <v>52</v>
      </c>
      <c r="AC328" t="s">
        <v>53</v>
      </c>
      <c r="AD328" s="16">
        <f>IF(P328&lt;=1,4.9,4.9+0.8*ROUNDUP(P328-1,0))</f>
        <v>4.9000000000000004</v>
      </c>
      <c r="AE328" s="15">
        <v>0</v>
      </c>
      <c r="AF328" s="15">
        <v>0</v>
      </c>
      <c r="AG328" s="15">
        <v>0</v>
      </c>
      <c r="AH328" s="15">
        <v>0</v>
      </c>
      <c r="AI328" s="15">
        <f t="shared" si="10"/>
        <v>0.29399999999999998</v>
      </c>
      <c r="AJ328" s="15">
        <f t="shared" si="11"/>
        <v>5.194</v>
      </c>
      <c r="AK328" t="s">
        <v>47</v>
      </c>
    </row>
    <row r="329" spans="1:37" ht="15" customHeight="1" x14ac:dyDescent="0.35">
      <c r="A329">
        <v>690929</v>
      </c>
      <c r="B329" t="s">
        <v>37</v>
      </c>
      <c r="C329" t="s">
        <v>38</v>
      </c>
      <c r="D329" s="9" t="s">
        <v>39</v>
      </c>
      <c r="E329" s="10" t="s">
        <v>37</v>
      </c>
      <c r="F329" s="11"/>
      <c r="G329" t="s">
        <v>1065</v>
      </c>
      <c r="I329" t="s">
        <v>41</v>
      </c>
      <c r="J329" t="s">
        <v>1066</v>
      </c>
      <c r="K329" t="s">
        <v>43</v>
      </c>
      <c r="L329">
        <v>2</v>
      </c>
      <c r="M329" t="s">
        <v>44</v>
      </c>
      <c r="N329" t="s">
        <v>45</v>
      </c>
      <c r="O329" t="s">
        <v>46</v>
      </c>
      <c r="P329" s="5">
        <v>1</v>
      </c>
      <c r="Q329" s="12">
        <v>44707.768043981479</v>
      </c>
      <c r="R329" s="13">
        <v>44710</v>
      </c>
      <c r="T329" t="s">
        <v>47</v>
      </c>
      <c r="U329" t="s">
        <v>58</v>
      </c>
      <c r="V329" t="s">
        <v>93</v>
      </c>
      <c r="Y329" t="s">
        <v>1067</v>
      </c>
      <c r="Z329">
        <v>81700</v>
      </c>
      <c r="AA329" t="s">
        <v>47</v>
      </c>
      <c r="AB329" t="s">
        <v>52</v>
      </c>
      <c r="AC329" t="s">
        <v>53</v>
      </c>
      <c r="AD329" s="16">
        <f>IF(P329&lt;=1,4.9,4.9+0.8*ROUNDUP(P329-1,0))</f>
        <v>4.9000000000000004</v>
      </c>
      <c r="AE329" s="15">
        <v>0</v>
      </c>
      <c r="AF329" s="15">
        <v>0</v>
      </c>
      <c r="AG329" s="15">
        <v>0</v>
      </c>
      <c r="AH329" s="15">
        <v>0</v>
      </c>
      <c r="AI329" s="15">
        <f t="shared" si="10"/>
        <v>0.29399999999999998</v>
      </c>
      <c r="AJ329" s="15">
        <f t="shared" si="11"/>
        <v>5.194</v>
      </c>
      <c r="AK329" t="s">
        <v>47</v>
      </c>
    </row>
    <row r="330" spans="1:37" ht="15" customHeight="1" x14ac:dyDescent="0.35">
      <c r="A330">
        <v>690929</v>
      </c>
      <c r="B330" t="s">
        <v>37</v>
      </c>
      <c r="C330" t="s">
        <v>38</v>
      </c>
      <c r="D330" s="9" t="s">
        <v>39</v>
      </c>
      <c r="E330" s="10" t="s">
        <v>37</v>
      </c>
      <c r="F330" s="11"/>
      <c r="G330" t="s">
        <v>1068</v>
      </c>
      <c r="I330" t="s">
        <v>41</v>
      </c>
      <c r="J330" t="s">
        <v>685</v>
      </c>
      <c r="K330" t="s">
        <v>43</v>
      </c>
      <c r="L330">
        <v>2</v>
      </c>
      <c r="M330" t="s">
        <v>44</v>
      </c>
      <c r="N330" t="s">
        <v>45</v>
      </c>
      <c r="O330" t="s">
        <v>46</v>
      </c>
      <c r="P330" s="5">
        <v>1</v>
      </c>
      <c r="Q330" s="12">
        <v>44708.419895833336</v>
      </c>
      <c r="R330" s="13">
        <v>44710</v>
      </c>
      <c r="T330" t="s">
        <v>47</v>
      </c>
      <c r="U330" t="s">
        <v>58</v>
      </c>
      <c r="V330" t="s">
        <v>164</v>
      </c>
      <c r="Y330" t="s">
        <v>1069</v>
      </c>
      <c r="Z330">
        <v>34750</v>
      </c>
      <c r="AA330" t="s">
        <v>47</v>
      </c>
      <c r="AB330" t="s">
        <v>52</v>
      </c>
      <c r="AC330" t="s">
        <v>53</v>
      </c>
      <c r="AD330" s="16">
        <f>IF(P330&lt;=1,4.9,4.9+0.8*ROUNDUP(P330-1,0))</f>
        <v>4.9000000000000004</v>
      </c>
      <c r="AE330" s="15">
        <v>0</v>
      </c>
      <c r="AF330" s="15">
        <v>0</v>
      </c>
      <c r="AG330" s="15">
        <v>0</v>
      </c>
      <c r="AH330" s="15">
        <v>0</v>
      </c>
      <c r="AI330" s="15">
        <f t="shared" si="10"/>
        <v>0.29399999999999998</v>
      </c>
      <c r="AJ330" s="15">
        <f t="shared" si="11"/>
        <v>5.194</v>
      </c>
      <c r="AK330" t="s">
        <v>47</v>
      </c>
    </row>
    <row r="331" spans="1:37" ht="15" customHeight="1" x14ac:dyDescent="0.35">
      <c r="A331">
        <v>690929</v>
      </c>
      <c r="B331" t="s">
        <v>37</v>
      </c>
      <c r="C331" t="s">
        <v>38</v>
      </c>
      <c r="D331" s="9" t="s">
        <v>39</v>
      </c>
      <c r="E331" s="10" t="s">
        <v>37</v>
      </c>
      <c r="F331" s="11"/>
      <c r="G331" t="s">
        <v>1070</v>
      </c>
      <c r="I331" t="s">
        <v>41</v>
      </c>
      <c r="J331" t="s">
        <v>1071</v>
      </c>
      <c r="K331" t="s">
        <v>43</v>
      </c>
      <c r="L331">
        <v>2</v>
      </c>
      <c r="M331" t="s">
        <v>44</v>
      </c>
      <c r="N331" t="s">
        <v>45</v>
      </c>
      <c r="O331" t="s">
        <v>46</v>
      </c>
      <c r="P331" s="5">
        <v>2</v>
      </c>
      <c r="Q331" s="12">
        <v>44707.773553240739</v>
      </c>
      <c r="R331" s="13">
        <v>44710</v>
      </c>
      <c r="T331" t="s">
        <v>47</v>
      </c>
      <c r="U331" t="s">
        <v>58</v>
      </c>
      <c r="V331" t="s">
        <v>93</v>
      </c>
      <c r="Y331" t="s">
        <v>1072</v>
      </c>
      <c r="Z331">
        <v>84900</v>
      </c>
      <c r="AA331" t="s">
        <v>47</v>
      </c>
      <c r="AB331" t="s">
        <v>52</v>
      </c>
      <c r="AC331" t="s">
        <v>53</v>
      </c>
      <c r="AD331" s="16">
        <f>IF(P331&lt;=1,4.9,4.9+0.8*ROUNDUP(P331-1,0))</f>
        <v>5.7</v>
      </c>
      <c r="AE331" s="15">
        <v>0</v>
      </c>
      <c r="AF331" s="15">
        <v>0</v>
      </c>
      <c r="AG331" s="15">
        <v>0</v>
      </c>
      <c r="AH331" s="15">
        <v>0</v>
      </c>
      <c r="AI331" s="15">
        <f t="shared" si="10"/>
        <v>0.34199999999999997</v>
      </c>
      <c r="AJ331" s="15">
        <f t="shared" si="11"/>
        <v>6.0419999999999998</v>
      </c>
      <c r="AK331" t="s">
        <v>47</v>
      </c>
    </row>
    <row r="332" spans="1:37" ht="15" customHeight="1" x14ac:dyDescent="0.35">
      <c r="A332">
        <v>690929</v>
      </c>
      <c r="B332" t="s">
        <v>37</v>
      </c>
      <c r="C332" t="s">
        <v>38</v>
      </c>
      <c r="D332" s="9" t="s">
        <v>39</v>
      </c>
      <c r="E332" s="10" t="s">
        <v>37</v>
      </c>
      <c r="F332" s="11"/>
      <c r="G332" t="s">
        <v>1073</v>
      </c>
      <c r="I332" t="s">
        <v>41</v>
      </c>
      <c r="J332" t="s">
        <v>1074</v>
      </c>
      <c r="K332" t="s">
        <v>43</v>
      </c>
      <c r="L332">
        <v>2</v>
      </c>
      <c r="M332" t="s">
        <v>44</v>
      </c>
      <c r="N332" t="s">
        <v>45</v>
      </c>
      <c r="O332" t="s">
        <v>46</v>
      </c>
      <c r="P332" s="5">
        <v>1</v>
      </c>
      <c r="Q332" s="12">
        <v>44707.776886574073</v>
      </c>
      <c r="R332" s="13">
        <v>44710</v>
      </c>
      <c r="T332" t="s">
        <v>47</v>
      </c>
      <c r="U332" t="s">
        <v>58</v>
      </c>
      <c r="V332" t="s">
        <v>76</v>
      </c>
      <c r="Y332" t="s">
        <v>1075</v>
      </c>
      <c r="Z332">
        <v>75250</v>
      </c>
      <c r="AA332" t="s">
        <v>47</v>
      </c>
      <c r="AB332" t="s">
        <v>52</v>
      </c>
      <c r="AC332" t="s">
        <v>53</v>
      </c>
      <c r="AD332" s="16">
        <f>IF(P332&lt;=1,4.9,4.9+0.8*ROUNDUP(P332-1,0))</f>
        <v>4.9000000000000004</v>
      </c>
      <c r="AE332" s="15">
        <v>0</v>
      </c>
      <c r="AF332" s="15">
        <v>0</v>
      </c>
      <c r="AG332" s="15">
        <v>0</v>
      </c>
      <c r="AH332" s="15">
        <v>0</v>
      </c>
      <c r="AI332" s="15">
        <f t="shared" si="10"/>
        <v>0.29399999999999998</v>
      </c>
      <c r="AJ332" s="15">
        <f t="shared" si="11"/>
        <v>5.194</v>
      </c>
      <c r="AK332" t="s">
        <v>47</v>
      </c>
    </row>
    <row r="333" spans="1:37" ht="15" customHeight="1" x14ac:dyDescent="0.35">
      <c r="A333">
        <v>690929</v>
      </c>
      <c r="B333" t="s">
        <v>37</v>
      </c>
      <c r="C333" t="s">
        <v>38</v>
      </c>
      <c r="D333" s="9" t="s">
        <v>39</v>
      </c>
      <c r="E333" s="10" t="s">
        <v>37</v>
      </c>
      <c r="F333" s="11"/>
      <c r="G333" t="s">
        <v>1076</v>
      </c>
      <c r="I333" t="s">
        <v>41</v>
      </c>
      <c r="J333" t="s">
        <v>556</v>
      </c>
      <c r="K333" t="s">
        <v>43</v>
      </c>
      <c r="L333">
        <v>2</v>
      </c>
      <c r="M333" t="s">
        <v>44</v>
      </c>
      <c r="N333" t="s">
        <v>45</v>
      </c>
      <c r="O333" t="s">
        <v>46</v>
      </c>
      <c r="P333" s="5">
        <v>2</v>
      </c>
      <c r="Q333" s="12">
        <v>44707.706782407404</v>
      </c>
      <c r="R333" s="13">
        <v>44710</v>
      </c>
      <c r="T333" t="s">
        <v>47</v>
      </c>
      <c r="U333" t="s">
        <v>58</v>
      </c>
      <c r="V333" t="s">
        <v>76</v>
      </c>
      <c r="Y333" t="s">
        <v>1077</v>
      </c>
      <c r="Z333">
        <v>75250</v>
      </c>
      <c r="AA333" t="s">
        <v>47</v>
      </c>
      <c r="AB333" t="s">
        <v>52</v>
      </c>
      <c r="AC333" t="s">
        <v>53</v>
      </c>
      <c r="AD333" s="16">
        <f>IF(P333&lt;=1,4.9,4.9+0.8*ROUNDUP(P333-1,0))</f>
        <v>5.7</v>
      </c>
      <c r="AE333" s="15">
        <v>0</v>
      </c>
      <c r="AF333" s="15">
        <v>0</v>
      </c>
      <c r="AG333" s="15">
        <v>0</v>
      </c>
      <c r="AH333" s="15">
        <v>0</v>
      </c>
      <c r="AI333" s="15">
        <f t="shared" si="10"/>
        <v>0.34199999999999997</v>
      </c>
      <c r="AJ333" s="15">
        <f t="shared" si="11"/>
        <v>6.0419999999999998</v>
      </c>
      <c r="AK333" t="s">
        <v>47</v>
      </c>
    </row>
    <row r="334" spans="1:37" ht="15" customHeight="1" x14ac:dyDescent="0.35">
      <c r="A334">
        <v>690929</v>
      </c>
      <c r="B334" t="s">
        <v>37</v>
      </c>
      <c r="C334" t="s">
        <v>38</v>
      </c>
      <c r="D334" s="9" t="s">
        <v>39</v>
      </c>
      <c r="E334" s="10" t="s">
        <v>37</v>
      </c>
      <c r="F334" s="11"/>
      <c r="G334" t="s">
        <v>1078</v>
      </c>
      <c r="I334" t="s">
        <v>41</v>
      </c>
      <c r="J334" t="s">
        <v>1079</v>
      </c>
      <c r="K334" t="s">
        <v>43</v>
      </c>
      <c r="L334">
        <v>2</v>
      </c>
      <c r="M334" t="s">
        <v>44</v>
      </c>
      <c r="N334" t="s">
        <v>45</v>
      </c>
      <c r="O334" t="s">
        <v>46</v>
      </c>
      <c r="P334" s="5">
        <v>1</v>
      </c>
      <c r="Q334" s="12">
        <v>44707.715069444443</v>
      </c>
      <c r="R334" s="13">
        <v>44710</v>
      </c>
      <c r="T334" t="s">
        <v>47</v>
      </c>
      <c r="U334" t="s">
        <v>58</v>
      </c>
      <c r="V334" t="s">
        <v>164</v>
      </c>
      <c r="Y334" t="s">
        <v>1080</v>
      </c>
      <c r="Z334">
        <v>32040</v>
      </c>
      <c r="AA334" t="s">
        <v>47</v>
      </c>
      <c r="AB334" t="s">
        <v>52</v>
      </c>
      <c r="AC334" t="s">
        <v>53</v>
      </c>
      <c r="AD334" s="16">
        <f>IF(P334&lt;=1,4.9,4.9+0.8*ROUNDUP(P334-1,0))</f>
        <v>4.9000000000000004</v>
      </c>
      <c r="AE334" s="15">
        <v>0</v>
      </c>
      <c r="AF334" s="15">
        <v>0</v>
      </c>
      <c r="AG334" s="15">
        <v>0</v>
      </c>
      <c r="AH334" s="15">
        <v>0</v>
      </c>
      <c r="AI334" s="15">
        <f t="shared" si="10"/>
        <v>0.29399999999999998</v>
      </c>
      <c r="AJ334" s="15">
        <f t="shared" si="11"/>
        <v>5.194</v>
      </c>
      <c r="AK334" t="s">
        <v>47</v>
      </c>
    </row>
    <row r="335" spans="1:37" ht="15" customHeight="1" x14ac:dyDescent="0.35">
      <c r="A335">
        <v>690929</v>
      </c>
      <c r="B335" t="s">
        <v>37</v>
      </c>
      <c r="C335" t="s">
        <v>38</v>
      </c>
      <c r="D335" s="9" t="s">
        <v>39</v>
      </c>
      <c r="E335" s="10" t="s">
        <v>37</v>
      </c>
      <c r="F335" s="11"/>
      <c r="G335" t="s">
        <v>1081</v>
      </c>
      <c r="I335" t="s">
        <v>41</v>
      </c>
      <c r="J335" t="s">
        <v>1082</v>
      </c>
      <c r="K335" t="s">
        <v>43</v>
      </c>
      <c r="L335">
        <v>2</v>
      </c>
      <c r="M335" t="s">
        <v>44</v>
      </c>
      <c r="N335" t="s">
        <v>45</v>
      </c>
      <c r="O335" t="s">
        <v>46</v>
      </c>
      <c r="P335" s="5">
        <v>1</v>
      </c>
      <c r="Q335" s="12">
        <v>44707.705069444448</v>
      </c>
      <c r="R335" s="13">
        <v>44710</v>
      </c>
      <c r="T335" t="s">
        <v>47</v>
      </c>
      <c r="U335" t="s">
        <v>58</v>
      </c>
      <c r="V335" t="s">
        <v>76</v>
      </c>
      <c r="Y335" t="s">
        <v>1083</v>
      </c>
      <c r="Z335">
        <v>75460</v>
      </c>
      <c r="AA335" t="s">
        <v>47</v>
      </c>
      <c r="AB335" t="s">
        <v>52</v>
      </c>
      <c r="AC335" t="s">
        <v>53</v>
      </c>
      <c r="AD335" s="16">
        <f>IF(P335&lt;=1,4.9,4.9+0.8*ROUNDUP(P335-1,0))</f>
        <v>4.9000000000000004</v>
      </c>
      <c r="AE335" s="15">
        <v>0</v>
      </c>
      <c r="AF335" s="15">
        <v>0</v>
      </c>
      <c r="AG335" s="15">
        <v>0</v>
      </c>
      <c r="AH335" s="15">
        <v>0</v>
      </c>
      <c r="AI335" s="15">
        <f t="shared" si="10"/>
        <v>0.29399999999999998</v>
      </c>
      <c r="AJ335" s="15">
        <f t="shared" si="11"/>
        <v>5.194</v>
      </c>
      <c r="AK335" t="s">
        <v>47</v>
      </c>
    </row>
    <row r="336" spans="1:37" ht="15" customHeight="1" x14ac:dyDescent="0.35">
      <c r="A336">
        <v>690929</v>
      </c>
      <c r="B336" t="s">
        <v>37</v>
      </c>
      <c r="C336" t="s">
        <v>38</v>
      </c>
      <c r="D336" s="9" t="s">
        <v>39</v>
      </c>
      <c r="E336" s="10" t="s">
        <v>37</v>
      </c>
      <c r="F336" s="11"/>
      <c r="G336" t="s">
        <v>1084</v>
      </c>
      <c r="I336" t="s">
        <v>41</v>
      </c>
      <c r="J336" t="s">
        <v>1085</v>
      </c>
      <c r="K336" t="s">
        <v>43</v>
      </c>
      <c r="L336">
        <v>2</v>
      </c>
      <c r="M336" t="s">
        <v>44</v>
      </c>
      <c r="N336" t="s">
        <v>45</v>
      </c>
      <c r="O336" t="s">
        <v>46</v>
      </c>
      <c r="P336" s="5">
        <v>1</v>
      </c>
      <c r="Q336" s="12">
        <v>44707.559398148151</v>
      </c>
      <c r="R336" s="13">
        <v>44710</v>
      </c>
      <c r="T336" t="s">
        <v>47</v>
      </c>
      <c r="U336" t="s">
        <v>48</v>
      </c>
      <c r="V336" t="s">
        <v>110</v>
      </c>
      <c r="Y336" t="s">
        <v>1086</v>
      </c>
      <c r="Z336">
        <v>20200</v>
      </c>
      <c r="AA336" t="s">
        <v>47</v>
      </c>
      <c r="AB336" t="s">
        <v>58</v>
      </c>
      <c r="AC336" t="s">
        <v>53</v>
      </c>
      <c r="AD336" s="16">
        <f>IF(P336&lt;=1,4.9,4.9+0.8*ROUNDUP(P336-1,0))</f>
        <v>4.9000000000000004</v>
      </c>
      <c r="AE336" s="15">
        <v>0</v>
      </c>
      <c r="AF336" s="15">
        <v>0</v>
      </c>
      <c r="AG336" s="15">
        <v>0</v>
      </c>
      <c r="AH336" s="15">
        <v>0</v>
      </c>
      <c r="AI336" s="15">
        <f t="shared" si="10"/>
        <v>0.29399999999999998</v>
      </c>
      <c r="AJ336" s="15">
        <f t="shared" si="11"/>
        <v>5.194</v>
      </c>
      <c r="AK336" t="s">
        <v>47</v>
      </c>
    </row>
    <row r="337" spans="1:37" ht="15" customHeight="1" x14ac:dyDescent="0.35">
      <c r="A337">
        <v>690929</v>
      </c>
      <c r="B337" t="s">
        <v>37</v>
      </c>
      <c r="C337" t="s">
        <v>38</v>
      </c>
      <c r="D337" s="9" t="s">
        <v>39</v>
      </c>
      <c r="E337" s="10" t="s">
        <v>37</v>
      </c>
      <c r="F337" s="11"/>
      <c r="G337" t="s">
        <v>1087</v>
      </c>
      <c r="I337" t="s">
        <v>41</v>
      </c>
      <c r="J337" t="s">
        <v>1088</v>
      </c>
      <c r="K337" t="s">
        <v>43</v>
      </c>
      <c r="L337">
        <v>2</v>
      </c>
      <c r="M337" t="s">
        <v>44</v>
      </c>
      <c r="N337" t="s">
        <v>45</v>
      </c>
      <c r="O337" t="s">
        <v>46</v>
      </c>
      <c r="P337" s="5">
        <v>1</v>
      </c>
      <c r="Q337" s="12">
        <v>44707.674328703702</v>
      </c>
      <c r="R337" s="13">
        <v>44710</v>
      </c>
      <c r="T337" t="s">
        <v>47</v>
      </c>
      <c r="U337" t="s">
        <v>58</v>
      </c>
      <c r="V337" t="s">
        <v>164</v>
      </c>
      <c r="Y337" t="s">
        <v>1089</v>
      </c>
      <c r="Z337">
        <v>31450</v>
      </c>
      <c r="AA337" t="s">
        <v>47</v>
      </c>
      <c r="AB337" t="s">
        <v>52</v>
      </c>
      <c r="AC337" t="s">
        <v>53</v>
      </c>
      <c r="AD337" s="16">
        <f>IF(P337&lt;=1,4.9,4.9+0.8*ROUNDUP(P337-1,0))</f>
        <v>4.9000000000000004</v>
      </c>
      <c r="AE337" s="15">
        <v>0</v>
      </c>
      <c r="AF337" s="15">
        <v>0</v>
      </c>
      <c r="AG337" s="15">
        <v>0</v>
      </c>
      <c r="AH337" s="15">
        <v>0</v>
      </c>
      <c r="AI337" s="15">
        <f t="shared" si="10"/>
        <v>0.29399999999999998</v>
      </c>
      <c r="AJ337" s="15">
        <f t="shared" si="11"/>
        <v>5.194</v>
      </c>
      <c r="AK337" t="s">
        <v>47</v>
      </c>
    </row>
    <row r="338" spans="1:37" ht="15" customHeight="1" x14ac:dyDescent="0.35">
      <c r="A338">
        <v>690929</v>
      </c>
      <c r="B338" t="s">
        <v>37</v>
      </c>
      <c r="C338" t="s">
        <v>38</v>
      </c>
      <c r="D338" s="9" t="s">
        <v>39</v>
      </c>
      <c r="E338" s="10" t="s">
        <v>37</v>
      </c>
      <c r="F338" s="11"/>
      <c r="G338" t="s">
        <v>1090</v>
      </c>
      <c r="I338" t="s">
        <v>41</v>
      </c>
      <c r="J338" t="s">
        <v>1091</v>
      </c>
      <c r="K338" t="s">
        <v>43</v>
      </c>
      <c r="L338">
        <v>2</v>
      </c>
      <c r="M338" t="s">
        <v>44</v>
      </c>
      <c r="N338" t="s">
        <v>45</v>
      </c>
      <c r="O338" t="s">
        <v>46</v>
      </c>
      <c r="P338" s="5">
        <v>1</v>
      </c>
      <c r="Q338" s="12">
        <v>44707.739537037036</v>
      </c>
      <c r="R338" s="13">
        <v>44710</v>
      </c>
      <c r="T338" t="s">
        <v>47</v>
      </c>
      <c r="U338" t="s">
        <v>58</v>
      </c>
      <c r="V338" t="s">
        <v>164</v>
      </c>
      <c r="Y338" t="s">
        <v>1092</v>
      </c>
      <c r="Z338">
        <v>31550</v>
      </c>
      <c r="AA338" t="s">
        <v>47</v>
      </c>
      <c r="AB338" t="s">
        <v>52</v>
      </c>
      <c r="AC338" t="s">
        <v>53</v>
      </c>
      <c r="AD338" s="16">
        <f>IF(P338&lt;=1,4.9,4.9+0.8*ROUNDUP(P338-1,0))</f>
        <v>4.9000000000000004</v>
      </c>
      <c r="AE338" s="15">
        <v>0</v>
      </c>
      <c r="AF338" s="15">
        <v>0</v>
      </c>
      <c r="AG338" s="15">
        <v>0</v>
      </c>
      <c r="AH338" s="15">
        <v>0</v>
      </c>
      <c r="AI338" s="15">
        <f t="shared" si="10"/>
        <v>0.29399999999999998</v>
      </c>
      <c r="AJ338" s="15">
        <f t="shared" si="11"/>
        <v>5.194</v>
      </c>
      <c r="AK338" t="s">
        <v>47</v>
      </c>
    </row>
    <row r="339" spans="1:37" ht="15" customHeight="1" x14ac:dyDescent="0.35">
      <c r="A339">
        <v>690929</v>
      </c>
      <c r="B339" t="s">
        <v>37</v>
      </c>
      <c r="C339" t="s">
        <v>38</v>
      </c>
      <c r="D339" s="9" t="s">
        <v>39</v>
      </c>
      <c r="E339" s="10" t="s">
        <v>37</v>
      </c>
      <c r="F339" s="11"/>
      <c r="G339" t="s">
        <v>1093</v>
      </c>
      <c r="I339" t="s">
        <v>41</v>
      </c>
      <c r="J339" t="s">
        <v>1094</v>
      </c>
      <c r="K339" t="s">
        <v>43</v>
      </c>
      <c r="L339">
        <v>2</v>
      </c>
      <c r="M339" t="s">
        <v>44</v>
      </c>
      <c r="N339" t="s">
        <v>45</v>
      </c>
      <c r="O339" t="s">
        <v>46</v>
      </c>
      <c r="P339" s="5">
        <v>2</v>
      </c>
      <c r="Q339" s="12">
        <v>44707.692928240744</v>
      </c>
      <c r="R339" s="13">
        <v>44710</v>
      </c>
      <c r="T339" t="s">
        <v>47</v>
      </c>
      <c r="U339" t="s">
        <v>58</v>
      </c>
      <c r="V339" t="s">
        <v>70</v>
      </c>
      <c r="Y339" t="s">
        <v>1095</v>
      </c>
      <c r="Z339">
        <v>43200</v>
      </c>
      <c r="AA339" t="s">
        <v>47</v>
      </c>
      <c r="AB339" t="s">
        <v>58</v>
      </c>
      <c r="AC339" t="s">
        <v>53</v>
      </c>
      <c r="AD339" s="16">
        <f>IF(P339&lt;=1,4.9,4.9+0.8*ROUNDUP(P339-1,0))</f>
        <v>5.7</v>
      </c>
      <c r="AE339" s="15">
        <v>0</v>
      </c>
      <c r="AF339" s="15">
        <v>0</v>
      </c>
      <c r="AG339" s="15">
        <v>0</v>
      </c>
      <c r="AH339" s="15">
        <v>0</v>
      </c>
      <c r="AI339" s="15">
        <f t="shared" si="10"/>
        <v>0.34199999999999997</v>
      </c>
      <c r="AJ339" s="15">
        <f t="shared" si="11"/>
        <v>6.0419999999999998</v>
      </c>
      <c r="AK339" t="s">
        <v>47</v>
      </c>
    </row>
    <row r="340" spans="1:37" ht="15" customHeight="1" x14ac:dyDescent="0.35">
      <c r="A340">
        <v>690929</v>
      </c>
      <c r="B340" t="s">
        <v>37</v>
      </c>
      <c r="C340" t="s">
        <v>38</v>
      </c>
      <c r="D340" s="9" t="s">
        <v>39</v>
      </c>
      <c r="E340" s="10" t="s">
        <v>37</v>
      </c>
      <c r="F340" s="11"/>
      <c r="G340" t="s">
        <v>1096</v>
      </c>
      <c r="I340" t="s">
        <v>41</v>
      </c>
      <c r="J340" t="s">
        <v>1097</v>
      </c>
      <c r="K340" t="s">
        <v>43</v>
      </c>
      <c r="L340">
        <v>2</v>
      </c>
      <c r="M340" t="s">
        <v>44</v>
      </c>
      <c r="N340" t="s">
        <v>45</v>
      </c>
      <c r="O340" t="s">
        <v>46</v>
      </c>
      <c r="P340" s="5">
        <v>2</v>
      </c>
      <c r="Q340" s="12">
        <v>44707.758321759262</v>
      </c>
      <c r="R340" s="13">
        <v>44710</v>
      </c>
      <c r="T340" t="s">
        <v>47</v>
      </c>
      <c r="U340" t="s">
        <v>58</v>
      </c>
      <c r="V340" t="s">
        <v>93</v>
      </c>
      <c r="Y340" t="s">
        <v>1098</v>
      </c>
      <c r="Z340">
        <v>83000</v>
      </c>
      <c r="AA340" t="s">
        <v>47</v>
      </c>
      <c r="AB340" t="s">
        <v>52</v>
      </c>
      <c r="AC340" t="s">
        <v>53</v>
      </c>
      <c r="AD340" s="16">
        <f>IF(P340&lt;=1,4.9,4.9+0.8*ROUNDUP(P340-1,0))</f>
        <v>5.7</v>
      </c>
      <c r="AE340" s="15">
        <v>0</v>
      </c>
      <c r="AF340" s="15">
        <v>0</v>
      </c>
      <c r="AG340" s="15">
        <v>0</v>
      </c>
      <c r="AH340" s="15">
        <v>0</v>
      </c>
      <c r="AI340" s="15">
        <f t="shared" si="10"/>
        <v>0.34199999999999997</v>
      </c>
      <c r="AJ340" s="15">
        <f t="shared" si="11"/>
        <v>6.0419999999999998</v>
      </c>
      <c r="AK340" t="s">
        <v>47</v>
      </c>
    </row>
    <row r="341" spans="1:37" ht="15" customHeight="1" x14ac:dyDescent="0.35">
      <c r="A341">
        <v>690929</v>
      </c>
      <c r="B341" t="s">
        <v>37</v>
      </c>
      <c r="C341" t="s">
        <v>38</v>
      </c>
      <c r="D341" s="9" t="s">
        <v>39</v>
      </c>
      <c r="E341" s="10" t="s">
        <v>37</v>
      </c>
      <c r="F341" s="11"/>
      <c r="G341" t="s">
        <v>1099</v>
      </c>
      <c r="I341" t="s">
        <v>41</v>
      </c>
      <c r="J341" t="s">
        <v>1100</v>
      </c>
      <c r="K341" t="s">
        <v>43</v>
      </c>
      <c r="L341">
        <v>2</v>
      </c>
      <c r="M341" t="s">
        <v>44</v>
      </c>
      <c r="N341" t="s">
        <v>45</v>
      </c>
      <c r="O341" t="s">
        <v>46</v>
      </c>
      <c r="P341" s="5">
        <v>1</v>
      </c>
      <c r="Q341" s="12">
        <v>44709.548310185186</v>
      </c>
      <c r="R341" s="13">
        <v>44710</v>
      </c>
      <c r="T341" t="s">
        <v>47</v>
      </c>
      <c r="U341" t="s">
        <v>48</v>
      </c>
      <c r="V341" t="s">
        <v>110</v>
      </c>
      <c r="Y341" t="s">
        <v>1101</v>
      </c>
      <c r="Z341">
        <v>21700</v>
      </c>
      <c r="AA341" t="s">
        <v>47</v>
      </c>
      <c r="AB341" t="s">
        <v>58</v>
      </c>
      <c r="AC341" t="s">
        <v>53</v>
      </c>
      <c r="AD341" s="16">
        <f>IF(P341&lt;=1,4.9,4.9+0.8*ROUNDUP(P341-1,0))</f>
        <v>4.9000000000000004</v>
      </c>
      <c r="AE341" s="15">
        <v>0</v>
      </c>
      <c r="AF341" s="15">
        <v>0</v>
      </c>
      <c r="AG341" s="15">
        <v>0</v>
      </c>
      <c r="AH341" s="15">
        <v>0</v>
      </c>
      <c r="AI341" s="15">
        <f t="shared" si="10"/>
        <v>0.29399999999999998</v>
      </c>
      <c r="AJ341" s="15">
        <f t="shared" si="11"/>
        <v>5.194</v>
      </c>
      <c r="AK341" t="s">
        <v>47</v>
      </c>
    </row>
    <row r="342" spans="1:37" ht="15" customHeight="1" x14ac:dyDescent="0.35">
      <c r="A342">
        <v>690929</v>
      </c>
      <c r="B342" t="s">
        <v>37</v>
      </c>
      <c r="C342" t="s">
        <v>38</v>
      </c>
      <c r="D342" s="9" t="s">
        <v>39</v>
      </c>
      <c r="E342" s="10" t="s">
        <v>37</v>
      </c>
      <c r="F342" s="11"/>
      <c r="G342" t="s">
        <v>1102</v>
      </c>
      <c r="I342" t="s">
        <v>41</v>
      </c>
      <c r="J342" t="s">
        <v>1103</v>
      </c>
      <c r="K342" t="s">
        <v>43</v>
      </c>
      <c r="L342">
        <v>2</v>
      </c>
      <c r="M342" t="s">
        <v>44</v>
      </c>
      <c r="N342" t="s">
        <v>45</v>
      </c>
      <c r="O342" t="s">
        <v>531</v>
      </c>
      <c r="P342" s="5">
        <v>4</v>
      </c>
      <c r="Q342" s="12">
        <v>44707.752025462964</v>
      </c>
      <c r="R342" s="13">
        <v>44710</v>
      </c>
      <c r="T342" t="s">
        <v>47</v>
      </c>
      <c r="U342" t="s">
        <v>58</v>
      </c>
      <c r="V342" t="s">
        <v>122</v>
      </c>
      <c r="Y342" t="s">
        <v>1104</v>
      </c>
      <c r="Z342">
        <v>9000</v>
      </c>
      <c r="AA342" t="s">
        <v>47</v>
      </c>
      <c r="AB342" t="s">
        <v>1105</v>
      </c>
      <c r="AC342" t="s">
        <v>53</v>
      </c>
      <c r="AD342" s="16">
        <f>IF(P342&lt;=1,4.9,4.9+0.8*ROUNDUP(P342-1,0))</f>
        <v>7.3000000000000007</v>
      </c>
      <c r="AE342" s="15">
        <v>0</v>
      </c>
      <c r="AF342" s="15">
        <v>0</v>
      </c>
      <c r="AG342" s="15">
        <v>0</v>
      </c>
      <c r="AH342" s="15">
        <v>0</v>
      </c>
      <c r="AI342" s="15">
        <f t="shared" si="10"/>
        <v>0.438</v>
      </c>
      <c r="AJ342" s="15">
        <f t="shared" si="11"/>
        <v>7.7380000000000004</v>
      </c>
      <c r="AK342" t="s">
        <v>47</v>
      </c>
    </row>
    <row r="343" spans="1:37" ht="15" customHeight="1" x14ac:dyDescent="0.35">
      <c r="A343">
        <v>690929</v>
      </c>
      <c r="B343" t="s">
        <v>37</v>
      </c>
      <c r="C343" t="s">
        <v>38</v>
      </c>
      <c r="D343" s="9" t="s">
        <v>39</v>
      </c>
      <c r="E343" s="10" t="s">
        <v>37</v>
      </c>
      <c r="F343" s="11"/>
      <c r="G343" t="s">
        <v>1106</v>
      </c>
      <c r="I343" t="s">
        <v>41</v>
      </c>
      <c r="J343" t="s">
        <v>1107</v>
      </c>
      <c r="K343" t="s">
        <v>43</v>
      </c>
      <c r="L343">
        <v>2</v>
      </c>
      <c r="M343" t="s">
        <v>44</v>
      </c>
      <c r="N343" t="s">
        <v>45</v>
      </c>
      <c r="O343" t="s">
        <v>46</v>
      </c>
      <c r="P343" s="5">
        <v>1</v>
      </c>
      <c r="Q343" s="12">
        <v>44707.760127314818</v>
      </c>
      <c r="R343" s="13">
        <v>44710</v>
      </c>
      <c r="T343" t="s">
        <v>47</v>
      </c>
      <c r="U343" t="s">
        <v>58</v>
      </c>
      <c r="V343" t="s">
        <v>93</v>
      </c>
      <c r="Y343" t="s">
        <v>1108</v>
      </c>
      <c r="Z343">
        <v>85000</v>
      </c>
      <c r="AA343" t="s">
        <v>47</v>
      </c>
      <c r="AB343" t="s">
        <v>1109</v>
      </c>
      <c r="AC343" t="s">
        <v>53</v>
      </c>
      <c r="AD343" s="16">
        <f>IF(P343&lt;=1,4.9,4.9+0.8*ROUNDUP(P343-1,0))</f>
        <v>4.9000000000000004</v>
      </c>
      <c r="AE343" s="15">
        <v>0</v>
      </c>
      <c r="AF343" s="15">
        <v>0</v>
      </c>
      <c r="AG343" s="15">
        <v>0</v>
      </c>
      <c r="AH343" s="15">
        <v>0</v>
      </c>
      <c r="AI343" s="15">
        <f t="shared" si="10"/>
        <v>0.29399999999999998</v>
      </c>
      <c r="AJ343" s="15">
        <f t="shared" si="11"/>
        <v>5.194</v>
      </c>
      <c r="AK343" t="s">
        <v>47</v>
      </c>
    </row>
    <row r="344" spans="1:37" ht="15" customHeight="1" x14ac:dyDescent="0.35">
      <c r="A344">
        <v>690929</v>
      </c>
      <c r="B344" t="s">
        <v>37</v>
      </c>
      <c r="C344" t="s">
        <v>38</v>
      </c>
      <c r="D344" s="9" t="s">
        <v>39</v>
      </c>
      <c r="E344" s="10" t="s">
        <v>37</v>
      </c>
      <c r="F344" s="11"/>
      <c r="G344" t="s">
        <v>1110</v>
      </c>
      <c r="I344" t="s">
        <v>41</v>
      </c>
      <c r="J344" t="s">
        <v>647</v>
      </c>
      <c r="K344" t="s">
        <v>43</v>
      </c>
      <c r="L344">
        <v>2</v>
      </c>
      <c r="M344" t="s">
        <v>44</v>
      </c>
      <c r="N344" t="s">
        <v>45</v>
      </c>
      <c r="O344" t="s">
        <v>46</v>
      </c>
      <c r="P344" s="5">
        <v>2</v>
      </c>
      <c r="Q344" s="12">
        <v>44708.403460648151</v>
      </c>
      <c r="R344" s="13">
        <v>44710</v>
      </c>
      <c r="T344" t="s">
        <v>47</v>
      </c>
      <c r="U344" t="s">
        <v>58</v>
      </c>
      <c r="V344" t="s">
        <v>164</v>
      </c>
      <c r="Y344" t="s">
        <v>648</v>
      </c>
      <c r="Z344">
        <v>34900</v>
      </c>
      <c r="AA344" t="s">
        <v>47</v>
      </c>
      <c r="AB344" t="s">
        <v>52</v>
      </c>
      <c r="AC344" t="s">
        <v>53</v>
      </c>
      <c r="AD344" s="16">
        <f>IF(P344&lt;=1,4.9,4.9+0.8*ROUNDUP(P344-1,0))</f>
        <v>5.7</v>
      </c>
      <c r="AE344" s="15">
        <v>0</v>
      </c>
      <c r="AF344" s="15">
        <v>0</v>
      </c>
      <c r="AG344" s="15">
        <v>0</v>
      </c>
      <c r="AH344" s="15">
        <v>0</v>
      </c>
      <c r="AI344" s="15">
        <f t="shared" si="10"/>
        <v>0.34199999999999997</v>
      </c>
      <c r="AJ344" s="15">
        <f t="shared" si="11"/>
        <v>6.0419999999999998</v>
      </c>
      <c r="AK344" t="s">
        <v>47</v>
      </c>
    </row>
    <row r="345" spans="1:37" ht="15" customHeight="1" x14ac:dyDescent="0.35">
      <c r="A345">
        <v>690929</v>
      </c>
      <c r="B345" t="s">
        <v>37</v>
      </c>
      <c r="C345" t="s">
        <v>38</v>
      </c>
      <c r="D345" s="9" t="s">
        <v>39</v>
      </c>
      <c r="E345" s="10" t="s">
        <v>37</v>
      </c>
      <c r="F345" s="11"/>
      <c r="G345" t="s">
        <v>1111</v>
      </c>
      <c r="I345" t="s">
        <v>41</v>
      </c>
      <c r="J345" t="s">
        <v>635</v>
      </c>
      <c r="K345" t="s">
        <v>43</v>
      </c>
      <c r="L345">
        <v>2</v>
      </c>
      <c r="M345" t="s">
        <v>44</v>
      </c>
      <c r="N345" t="s">
        <v>45</v>
      </c>
      <c r="O345" t="s">
        <v>46</v>
      </c>
      <c r="P345" s="5">
        <v>1</v>
      </c>
      <c r="Q345" s="12">
        <v>44708.398182870369</v>
      </c>
      <c r="R345" s="13">
        <v>44710</v>
      </c>
      <c r="T345" t="s">
        <v>47</v>
      </c>
      <c r="U345" t="s">
        <v>58</v>
      </c>
      <c r="V345" t="s">
        <v>93</v>
      </c>
      <c r="Y345" t="s">
        <v>1112</v>
      </c>
      <c r="Z345">
        <v>85000</v>
      </c>
      <c r="AA345" t="s">
        <v>47</v>
      </c>
      <c r="AB345" t="s">
        <v>52</v>
      </c>
      <c r="AC345" t="s">
        <v>53</v>
      </c>
      <c r="AD345" s="16">
        <f>IF(P345&lt;=1,4.9,4.9+0.8*ROUNDUP(P345-1,0))</f>
        <v>4.9000000000000004</v>
      </c>
      <c r="AE345" s="15">
        <v>0</v>
      </c>
      <c r="AF345" s="15">
        <v>0</v>
      </c>
      <c r="AG345" s="15">
        <v>0</v>
      </c>
      <c r="AH345" s="15">
        <v>0</v>
      </c>
      <c r="AI345" s="15">
        <f t="shared" si="10"/>
        <v>0.29399999999999998</v>
      </c>
      <c r="AJ345" s="15">
        <f t="shared" si="11"/>
        <v>5.194</v>
      </c>
      <c r="AK345" t="s">
        <v>47</v>
      </c>
    </row>
    <row r="346" spans="1:37" ht="15" customHeight="1" x14ac:dyDescent="0.35">
      <c r="A346">
        <v>690929</v>
      </c>
      <c r="B346" t="s">
        <v>37</v>
      </c>
      <c r="C346" t="s">
        <v>38</v>
      </c>
      <c r="D346" s="9" t="s">
        <v>39</v>
      </c>
      <c r="E346" s="10" t="s">
        <v>37</v>
      </c>
      <c r="F346" s="11"/>
      <c r="G346" t="s">
        <v>1113</v>
      </c>
      <c r="I346" t="s">
        <v>41</v>
      </c>
      <c r="J346" t="s">
        <v>1114</v>
      </c>
      <c r="K346" t="s">
        <v>43</v>
      </c>
      <c r="L346">
        <v>2</v>
      </c>
      <c r="M346" t="s">
        <v>44</v>
      </c>
      <c r="N346" t="s">
        <v>45</v>
      </c>
      <c r="O346" t="s">
        <v>46</v>
      </c>
      <c r="P346" s="5">
        <v>1</v>
      </c>
      <c r="Q346" s="12">
        <v>44707.554548611108</v>
      </c>
      <c r="R346" s="13">
        <v>44710</v>
      </c>
      <c r="T346" t="s">
        <v>47</v>
      </c>
      <c r="U346" t="s">
        <v>48</v>
      </c>
      <c r="V346" t="s">
        <v>93</v>
      </c>
      <c r="Y346" t="s">
        <v>1115</v>
      </c>
      <c r="Z346">
        <v>81200</v>
      </c>
      <c r="AA346" t="s">
        <v>47</v>
      </c>
      <c r="AB346" t="s">
        <v>52</v>
      </c>
      <c r="AC346" t="s">
        <v>53</v>
      </c>
      <c r="AD346" s="16">
        <f>IF(P346&lt;=1,4.9,4.9+0.8*ROUNDUP(P346-1,0))</f>
        <v>4.9000000000000004</v>
      </c>
      <c r="AE346" s="15">
        <v>0</v>
      </c>
      <c r="AF346" s="15">
        <v>0</v>
      </c>
      <c r="AG346" s="15">
        <v>0</v>
      </c>
      <c r="AH346" s="15">
        <v>0</v>
      </c>
      <c r="AI346" s="15">
        <f t="shared" si="10"/>
        <v>0.29399999999999998</v>
      </c>
      <c r="AJ346" s="15">
        <f t="shared" si="11"/>
        <v>5.194</v>
      </c>
      <c r="AK346" t="s">
        <v>47</v>
      </c>
    </row>
    <row r="347" spans="1:37" ht="15" customHeight="1" x14ac:dyDescent="0.35">
      <c r="A347">
        <v>690929</v>
      </c>
      <c r="B347" t="s">
        <v>37</v>
      </c>
      <c r="C347" t="s">
        <v>38</v>
      </c>
      <c r="D347" s="9" t="s">
        <v>39</v>
      </c>
      <c r="E347" s="10" t="s">
        <v>37</v>
      </c>
      <c r="F347" s="11"/>
      <c r="G347" t="s">
        <v>1116</v>
      </c>
      <c r="I347" t="s">
        <v>41</v>
      </c>
      <c r="J347" t="s">
        <v>1117</v>
      </c>
      <c r="K347" t="s">
        <v>43</v>
      </c>
      <c r="L347">
        <v>2</v>
      </c>
      <c r="M347" t="s">
        <v>44</v>
      </c>
      <c r="N347" t="s">
        <v>45</v>
      </c>
      <c r="O347" t="s">
        <v>46</v>
      </c>
      <c r="P347" s="5">
        <v>3</v>
      </c>
      <c r="Q347" s="12">
        <v>44706.396655092591</v>
      </c>
      <c r="R347" s="13">
        <v>44710</v>
      </c>
      <c r="T347" t="s">
        <v>47</v>
      </c>
      <c r="U347" t="s">
        <v>48</v>
      </c>
      <c r="V347" t="s">
        <v>407</v>
      </c>
      <c r="Y347" t="s">
        <v>1118</v>
      </c>
      <c r="Z347">
        <v>71800</v>
      </c>
      <c r="AA347" t="s">
        <v>47</v>
      </c>
      <c r="AB347" t="s">
        <v>58</v>
      </c>
      <c r="AC347" t="s">
        <v>53</v>
      </c>
      <c r="AD347" s="16">
        <f>IF(P347&lt;=1,4.9,4.9+0.8*ROUNDUP(P347-1,0))</f>
        <v>6.5</v>
      </c>
      <c r="AE347" s="15">
        <v>0</v>
      </c>
      <c r="AF347" s="15">
        <v>0</v>
      </c>
      <c r="AG347" s="15">
        <v>0</v>
      </c>
      <c r="AH347" s="15">
        <v>0</v>
      </c>
      <c r="AI347" s="15">
        <f t="shared" si="10"/>
        <v>0.39</v>
      </c>
      <c r="AJ347" s="15">
        <f t="shared" si="11"/>
        <v>6.89</v>
      </c>
      <c r="AK347" t="s">
        <v>47</v>
      </c>
    </row>
    <row r="348" spans="1:37" ht="15" customHeight="1" x14ac:dyDescent="0.35">
      <c r="A348">
        <v>690929</v>
      </c>
      <c r="B348" t="s">
        <v>37</v>
      </c>
      <c r="C348" t="s">
        <v>38</v>
      </c>
      <c r="D348" s="9" t="s">
        <v>39</v>
      </c>
      <c r="E348" s="10" t="s">
        <v>37</v>
      </c>
      <c r="F348" s="11"/>
      <c r="G348" t="s">
        <v>1119</v>
      </c>
      <c r="I348" t="s">
        <v>41</v>
      </c>
      <c r="J348" t="s">
        <v>228</v>
      </c>
      <c r="K348" t="s">
        <v>43</v>
      </c>
      <c r="L348">
        <v>2</v>
      </c>
      <c r="M348" t="s">
        <v>44</v>
      </c>
      <c r="N348" t="s">
        <v>45</v>
      </c>
      <c r="O348" t="s">
        <v>531</v>
      </c>
      <c r="P348" s="5">
        <v>5</v>
      </c>
      <c r="Q348" s="12">
        <v>44708.418055555558</v>
      </c>
      <c r="R348" s="13">
        <v>44710</v>
      </c>
      <c r="T348" t="s">
        <v>47</v>
      </c>
      <c r="U348" t="s">
        <v>58</v>
      </c>
      <c r="V348" t="s">
        <v>114</v>
      </c>
      <c r="Y348" t="s">
        <v>1120</v>
      </c>
      <c r="Z348">
        <v>11960</v>
      </c>
      <c r="AA348" t="s">
        <v>47</v>
      </c>
      <c r="AB348" t="s">
        <v>230</v>
      </c>
      <c r="AC348" t="s">
        <v>53</v>
      </c>
      <c r="AD348" s="16">
        <f>IF(P348&lt;=1,4.9,4.9+0.8*ROUNDUP(P348-1,0))</f>
        <v>8.1000000000000014</v>
      </c>
      <c r="AE348" s="15">
        <v>0</v>
      </c>
      <c r="AF348" s="15">
        <v>0</v>
      </c>
      <c r="AG348" s="15">
        <v>0</v>
      </c>
      <c r="AH348" s="15">
        <v>0</v>
      </c>
      <c r="AI348" s="15">
        <f t="shared" si="10"/>
        <v>0.48600000000000004</v>
      </c>
      <c r="AJ348" s="15">
        <f t="shared" si="11"/>
        <v>8.5860000000000021</v>
      </c>
      <c r="AK348" t="s">
        <v>47</v>
      </c>
    </row>
    <row r="349" spans="1:37" ht="15" customHeight="1" x14ac:dyDescent="0.35">
      <c r="A349">
        <v>690929</v>
      </c>
      <c r="B349" t="s">
        <v>37</v>
      </c>
      <c r="C349" t="s">
        <v>38</v>
      </c>
      <c r="D349" s="9" t="s">
        <v>39</v>
      </c>
      <c r="E349" s="10" t="s">
        <v>37</v>
      </c>
      <c r="F349" s="11"/>
      <c r="G349" t="s">
        <v>1121</v>
      </c>
      <c r="I349" t="s">
        <v>41</v>
      </c>
      <c r="J349" t="s">
        <v>1122</v>
      </c>
      <c r="K349" t="s">
        <v>43</v>
      </c>
      <c r="L349">
        <v>2</v>
      </c>
      <c r="M349" t="s">
        <v>44</v>
      </c>
      <c r="N349" t="s">
        <v>45</v>
      </c>
      <c r="O349" t="s">
        <v>46</v>
      </c>
      <c r="P349" s="5">
        <v>1</v>
      </c>
      <c r="Q349" s="12">
        <v>44707.745393518519</v>
      </c>
      <c r="R349" s="13">
        <v>44710</v>
      </c>
      <c r="T349" t="s">
        <v>47</v>
      </c>
      <c r="U349" t="s">
        <v>58</v>
      </c>
      <c r="V349" t="s">
        <v>93</v>
      </c>
      <c r="Y349" t="s">
        <v>1123</v>
      </c>
      <c r="Z349">
        <v>85000</v>
      </c>
      <c r="AA349" t="s">
        <v>47</v>
      </c>
      <c r="AB349" t="s">
        <v>52</v>
      </c>
      <c r="AC349" t="s">
        <v>53</v>
      </c>
      <c r="AD349" s="16">
        <f>IF(P349&lt;=1,4.9,4.9+0.8*ROUNDUP(P349-1,0))</f>
        <v>4.9000000000000004</v>
      </c>
      <c r="AE349" s="15">
        <v>0</v>
      </c>
      <c r="AF349" s="15">
        <v>0</v>
      </c>
      <c r="AG349" s="15">
        <v>0</v>
      </c>
      <c r="AH349" s="15">
        <v>0</v>
      </c>
      <c r="AI349" s="15">
        <f t="shared" si="10"/>
        <v>0.29399999999999998</v>
      </c>
      <c r="AJ349" s="15">
        <f t="shared" si="11"/>
        <v>5.194</v>
      </c>
      <c r="AK349" t="s">
        <v>47</v>
      </c>
    </row>
    <row r="350" spans="1:37" ht="15" customHeight="1" x14ac:dyDescent="0.35">
      <c r="A350">
        <v>690929</v>
      </c>
      <c r="B350" t="s">
        <v>37</v>
      </c>
      <c r="C350" t="s">
        <v>38</v>
      </c>
      <c r="D350" s="9" t="s">
        <v>39</v>
      </c>
      <c r="E350" s="10" t="s">
        <v>37</v>
      </c>
      <c r="F350" s="11"/>
      <c r="G350" t="s">
        <v>1124</v>
      </c>
      <c r="I350" t="s">
        <v>41</v>
      </c>
      <c r="J350" t="s">
        <v>1125</v>
      </c>
      <c r="K350" t="s">
        <v>43</v>
      </c>
      <c r="L350">
        <v>2</v>
      </c>
      <c r="M350" t="s">
        <v>44</v>
      </c>
      <c r="N350" t="s">
        <v>45</v>
      </c>
      <c r="O350" t="s">
        <v>46</v>
      </c>
      <c r="P350" s="5">
        <v>1</v>
      </c>
      <c r="Q350" s="12">
        <v>44707.719606481478</v>
      </c>
      <c r="R350" s="13">
        <v>44710</v>
      </c>
      <c r="T350" t="s">
        <v>47</v>
      </c>
      <c r="U350" t="s">
        <v>58</v>
      </c>
      <c r="V350" t="s">
        <v>70</v>
      </c>
      <c r="Y350" t="s">
        <v>1126</v>
      </c>
      <c r="Z350">
        <v>43700</v>
      </c>
      <c r="AA350" t="s">
        <v>47</v>
      </c>
      <c r="AB350" t="s">
        <v>52</v>
      </c>
      <c r="AC350" t="s">
        <v>53</v>
      </c>
      <c r="AD350" s="16">
        <f>IF(P350&lt;=1,4.9,4.9+0.8*ROUNDUP(P350-1,0))</f>
        <v>4.9000000000000004</v>
      </c>
      <c r="AE350" s="15">
        <v>0</v>
      </c>
      <c r="AF350" s="15">
        <v>0</v>
      </c>
      <c r="AG350" s="15">
        <v>0</v>
      </c>
      <c r="AH350" s="15">
        <v>0</v>
      </c>
      <c r="AI350" s="15">
        <f t="shared" si="10"/>
        <v>0.29399999999999998</v>
      </c>
      <c r="AJ350" s="15">
        <f t="shared" si="11"/>
        <v>5.194</v>
      </c>
      <c r="AK350" t="s">
        <v>47</v>
      </c>
    </row>
    <row r="351" spans="1:37" ht="15" customHeight="1" x14ac:dyDescent="0.35">
      <c r="A351">
        <v>690929</v>
      </c>
      <c r="B351" t="s">
        <v>37</v>
      </c>
      <c r="C351" t="s">
        <v>38</v>
      </c>
      <c r="D351" s="9" t="s">
        <v>39</v>
      </c>
      <c r="E351" s="10" t="s">
        <v>37</v>
      </c>
      <c r="F351" s="11"/>
      <c r="G351" t="s">
        <v>1127</v>
      </c>
      <c r="I351" t="s">
        <v>41</v>
      </c>
      <c r="J351" t="s">
        <v>1128</v>
      </c>
      <c r="K351" t="s">
        <v>43</v>
      </c>
      <c r="L351">
        <v>2</v>
      </c>
      <c r="M351" t="s">
        <v>44</v>
      </c>
      <c r="N351" t="s">
        <v>45</v>
      </c>
      <c r="O351" t="s">
        <v>46</v>
      </c>
      <c r="P351" s="5">
        <v>2</v>
      </c>
      <c r="Q351" s="12">
        <v>44707.737662037034</v>
      </c>
      <c r="R351" s="13">
        <v>44710</v>
      </c>
      <c r="T351" t="s">
        <v>47</v>
      </c>
      <c r="U351" t="s">
        <v>58</v>
      </c>
      <c r="V351" t="s">
        <v>164</v>
      </c>
      <c r="Y351" t="s">
        <v>1129</v>
      </c>
      <c r="Z351">
        <v>32000</v>
      </c>
      <c r="AA351" t="s">
        <v>47</v>
      </c>
      <c r="AB351" t="s">
        <v>52</v>
      </c>
      <c r="AC351" t="s">
        <v>53</v>
      </c>
      <c r="AD351" s="16">
        <f>IF(P351&lt;=1,4.9,4.9+0.8*ROUNDUP(P351-1,0))</f>
        <v>5.7</v>
      </c>
      <c r="AE351" s="15">
        <v>0</v>
      </c>
      <c r="AF351" s="15">
        <v>0</v>
      </c>
      <c r="AG351" s="15">
        <v>0</v>
      </c>
      <c r="AH351" s="15">
        <v>0</v>
      </c>
      <c r="AI351" s="15">
        <f t="shared" si="10"/>
        <v>0.34199999999999997</v>
      </c>
      <c r="AJ351" s="15">
        <f t="shared" si="11"/>
        <v>6.0419999999999998</v>
      </c>
      <c r="AK351" t="s">
        <v>47</v>
      </c>
    </row>
    <row r="352" spans="1:37" ht="15" customHeight="1" x14ac:dyDescent="0.35">
      <c r="A352">
        <v>690929</v>
      </c>
      <c r="B352" t="s">
        <v>37</v>
      </c>
      <c r="C352" t="s">
        <v>38</v>
      </c>
      <c r="D352" s="9" t="s">
        <v>39</v>
      </c>
      <c r="E352" s="10" t="s">
        <v>37</v>
      </c>
      <c r="F352" s="11"/>
      <c r="G352" t="s">
        <v>1130</v>
      </c>
      <c r="I352" t="s">
        <v>41</v>
      </c>
      <c r="J352" t="s">
        <v>1131</v>
      </c>
      <c r="K352" t="s">
        <v>43</v>
      </c>
      <c r="L352">
        <v>2</v>
      </c>
      <c r="M352" t="s">
        <v>44</v>
      </c>
      <c r="N352" t="s">
        <v>45</v>
      </c>
      <c r="O352" t="s">
        <v>46</v>
      </c>
      <c r="P352" s="5">
        <v>1</v>
      </c>
      <c r="Q352" s="12">
        <v>44703.429120370369</v>
      </c>
      <c r="R352" s="13">
        <v>44710</v>
      </c>
      <c r="T352" t="s">
        <v>47</v>
      </c>
      <c r="U352" t="s">
        <v>48</v>
      </c>
      <c r="V352" t="s">
        <v>417</v>
      </c>
      <c r="Y352" t="s">
        <v>1132</v>
      </c>
      <c r="Z352">
        <v>98000</v>
      </c>
      <c r="AA352" t="s">
        <v>51</v>
      </c>
      <c r="AB352" t="s">
        <v>52</v>
      </c>
      <c r="AC352" t="s">
        <v>53</v>
      </c>
      <c r="AD352" s="14">
        <f>IF(P352&lt;=1,13,IF(P352&lt;=2,23,IF(P352&lt;=3,35,IF(P352&lt;=4,43,IF(P352&lt;=5,53,IF(P352&lt;=6,63,IF(P352&lt;=7,71,IF(P352&lt;=8,79,IF(P352&lt;=9,87,IF(P352&lt;=10,95,IF(P352&lt;=11,105,IF(P352&lt;=12,114,IF(P352&lt;=13,119,IF(P352&lt;=14,127,IF(P352&lt;=15,135,IF(P352&lt;=16,143,IF(P352&lt;=17,153,IF(P352&lt;=18,163,IF(P352&lt;=19,171,IF(P352&lt;=20,185,IF(P352&lt;=21,193,IF(P352&lt;=22,201,IF(P352&lt;=23,210,IF(P352&lt;=24,220,IF(P352&lt;=25,230,IF(P352&lt;=26,240,IF(P352&lt;=27,250,IF(P352&lt;=28,260,IF(P352&lt;=29,270,IF(P352&lt;=30,280,280))))))))))))))))))))))))))))))</f>
        <v>13</v>
      </c>
      <c r="AE352" s="15">
        <v>0</v>
      </c>
      <c r="AF352" s="15">
        <v>0</v>
      </c>
      <c r="AG352" s="15">
        <v>0</v>
      </c>
      <c r="AH352" s="15">
        <v>0</v>
      </c>
      <c r="AI352" s="15">
        <f t="shared" si="10"/>
        <v>0.78</v>
      </c>
      <c r="AJ352" s="15">
        <f t="shared" si="11"/>
        <v>13.78</v>
      </c>
      <c r="AK352" t="s">
        <v>51</v>
      </c>
    </row>
    <row r="353" spans="1:37" ht="15" customHeight="1" x14ac:dyDescent="0.35">
      <c r="A353">
        <v>690929</v>
      </c>
      <c r="B353" t="s">
        <v>37</v>
      </c>
      <c r="C353" t="s">
        <v>38</v>
      </c>
      <c r="D353" s="9" t="s">
        <v>39</v>
      </c>
      <c r="E353" s="10" t="s">
        <v>37</v>
      </c>
      <c r="F353" s="11"/>
      <c r="G353" t="s">
        <v>1133</v>
      </c>
      <c r="I353" t="s">
        <v>41</v>
      </c>
      <c r="J353" t="s">
        <v>1134</v>
      </c>
      <c r="K353" t="s">
        <v>43</v>
      </c>
      <c r="L353">
        <v>2</v>
      </c>
      <c r="M353" t="s">
        <v>44</v>
      </c>
      <c r="N353" t="s">
        <v>45</v>
      </c>
      <c r="O353" t="s">
        <v>46</v>
      </c>
      <c r="P353" s="5">
        <v>1</v>
      </c>
      <c r="Q353" s="12">
        <v>44707.676226851851</v>
      </c>
      <c r="R353" s="13">
        <v>44710</v>
      </c>
      <c r="T353" t="s">
        <v>47</v>
      </c>
      <c r="U353" t="s">
        <v>58</v>
      </c>
      <c r="V353" t="s">
        <v>93</v>
      </c>
      <c r="Y353" t="s">
        <v>1135</v>
      </c>
      <c r="Z353">
        <v>81440</v>
      </c>
      <c r="AA353" t="s">
        <v>47</v>
      </c>
      <c r="AB353" t="s">
        <v>52</v>
      </c>
      <c r="AC353" t="s">
        <v>53</v>
      </c>
      <c r="AD353" s="16">
        <f>IF(P353&lt;=1,4.9,4.9+0.8*ROUNDUP(P353-1,0))</f>
        <v>4.9000000000000004</v>
      </c>
      <c r="AE353" s="15">
        <v>0</v>
      </c>
      <c r="AF353" s="15">
        <v>0</v>
      </c>
      <c r="AG353" s="15">
        <v>0</v>
      </c>
      <c r="AH353" s="15">
        <v>0</v>
      </c>
      <c r="AI353" s="15">
        <f t="shared" si="10"/>
        <v>0.29399999999999998</v>
      </c>
      <c r="AJ353" s="15">
        <f t="shared" si="11"/>
        <v>5.194</v>
      </c>
      <c r="AK353" t="s">
        <v>47</v>
      </c>
    </row>
    <row r="354" spans="1:37" ht="15" customHeight="1" x14ac:dyDescent="0.35">
      <c r="A354">
        <v>690929</v>
      </c>
      <c r="B354" t="s">
        <v>37</v>
      </c>
      <c r="C354" t="s">
        <v>38</v>
      </c>
      <c r="D354" s="9" t="s">
        <v>39</v>
      </c>
      <c r="E354" s="10" t="s">
        <v>37</v>
      </c>
      <c r="F354" s="11"/>
      <c r="G354" t="s">
        <v>1136</v>
      </c>
      <c r="I354" t="s">
        <v>41</v>
      </c>
      <c r="J354" t="s">
        <v>1137</v>
      </c>
      <c r="K354" t="s">
        <v>43</v>
      </c>
      <c r="L354">
        <v>2</v>
      </c>
      <c r="M354" t="s">
        <v>44</v>
      </c>
      <c r="N354" t="s">
        <v>45</v>
      </c>
      <c r="O354" t="s">
        <v>92</v>
      </c>
      <c r="P354" s="5">
        <v>9</v>
      </c>
      <c r="Q354" s="12">
        <v>44697.493981481479</v>
      </c>
      <c r="R354" s="13">
        <v>44710</v>
      </c>
      <c r="T354" t="s">
        <v>47</v>
      </c>
      <c r="U354" t="s">
        <v>48</v>
      </c>
      <c r="V354" t="s">
        <v>93</v>
      </c>
      <c r="Y354" t="s">
        <v>1138</v>
      </c>
      <c r="Z354">
        <v>81200</v>
      </c>
      <c r="AA354" t="s">
        <v>47</v>
      </c>
      <c r="AB354" t="s">
        <v>52</v>
      </c>
      <c r="AC354" t="s">
        <v>53</v>
      </c>
      <c r="AD354" s="16">
        <f>IF(P354&lt;=1,4.9,4.9+0.8*ROUNDUP(P354-1,0))</f>
        <v>11.3</v>
      </c>
      <c r="AE354" s="15">
        <v>0</v>
      </c>
      <c r="AF354" s="15">
        <v>0</v>
      </c>
      <c r="AG354" s="15">
        <v>0</v>
      </c>
      <c r="AH354" s="15">
        <v>0</v>
      </c>
      <c r="AI354" s="15">
        <f t="shared" si="10"/>
        <v>0.67800000000000005</v>
      </c>
      <c r="AJ354" s="15">
        <f t="shared" si="11"/>
        <v>11.978000000000002</v>
      </c>
      <c r="AK354" t="s">
        <v>47</v>
      </c>
    </row>
    <row r="355" spans="1:37" ht="15" customHeight="1" x14ac:dyDescent="0.35">
      <c r="A355">
        <v>690929</v>
      </c>
      <c r="B355" t="s">
        <v>37</v>
      </c>
      <c r="C355" t="s">
        <v>38</v>
      </c>
      <c r="D355" s="9" t="s">
        <v>39</v>
      </c>
      <c r="E355" s="10" t="s">
        <v>37</v>
      </c>
      <c r="F355" s="11"/>
      <c r="G355" t="s">
        <v>1139</v>
      </c>
      <c r="I355" t="s">
        <v>41</v>
      </c>
      <c r="J355" t="s">
        <v>1140</v>
      </c>
      <c r="K355" t="s">
        <v>43</v>
      </c>
      <c r="L355">
        <v>2</v>
      </c>
      <c r="M355" t="s">
        <v>44</v>
      </c>
      <c r="N355" t="s">
        <v>45</v>
      </c>
      <c r="O355" t="s">
        <v>46</v>
      </c>
      <c r="P355" s="5">
        <v>1</v>
      </c>
      <c r="Q355" s="12">
        <v>44707.72347222222</v>
      </c>
      <c r="R355" s="13">
        <v>44710</v>
      </c>
      <c r="T355" t="s">
        <v>47</v>
      </c>
      <c r="U355" t="s">
        <v>58</v>
      </c>
      <c r="V355" t="s">
        <v>70</v>
      </c>
      <c r="Y355" t="s">
        <v>1141</v>
      </c>
      <c r="Z355">
        <v>40000</v>
      </c>
      <c r="AA355" t="s">
        <v>47</v>
      </c>
      <c r="AB355" t="s">
        <v>52</v>
      </c>
      <c r="AC355" t="s">
        <v>53</v>
      </c>
      <c r="AD355" s="16">
        <f>IF(P355&lt;=1,4.9,4.9+0.8*ROUNDUP(P355-1,0))</f>
        <v>4.9000000000000004</v>
      </c>
      <c r="AE355" s="15">
        <v>0</v>
      </c>
      <c r="AF355" s="15">
        <v>0</v>
      </c>
      <c r="AG355" s="15">
        <v>0</v>
      </c>
      <c r="AH355" s="15">
        <v>0</v>
      </c>
      <c r="AI355" s="15">
        <f t="shared" si="10"/>
        <v>0.29399999999999998</v>
      </c>
      <c r="AJ355" s="15">
        <f t="shared" si="11"/>
        <v>5.194</v>
      </c>
      <c r="AK355" t="s">
        <v>47</v>
      </c>
    </row>
    <row r="356" spans="1:37" ht="15" customHeight="1" x14ac:dyDescent="0.35">
      <c r="A356">
        <v>690929</v>
      </c>
      <c r="B356" t="s">
        <v>37</v>
      </c>
      <c r="C356" t="s">
        <v>38</v>
      </c>
      <c r="D356" s="9" t="s">
        <v>39</v>
      </c>
      <c r="E356" s="10" t="s">
        <v>37</v>
      </c>
      <c r="F356" s="11"/>
      <c r="G356" t="s">
        <v>1142</v>
      </c>
      <c r="I356" t="s">
        <v>41</v>
      </c>
      <c r="J356" t="s">
        <v>1143</v>
      </c>
      <c r="K356" t="s">
        <v>43</v>
      </c>
      <c r="L356">
        <v>2</v>
      </c>
      <c r="M356" t="s">
        <v>44</v>
      </c>
      <c r="N356" t="s">
        <v>45</v>
      </c>
      <c r="O356" t="s">
        <v>46</v>
      </c>
      <c r="P356" s="5">
        <v>1</v>
      </c>
      <c r="Q356" s="12">
        <v>44707.699016203704</v>
      </c>
      <c r="R356" s="13">
        <v>44710</v>
      </c>
      <c r="T356" t="s">
        <v>47</v>
      </c>
      <c r="U356" t="s">
        <v>58</v>
      </c>
      <c r="V356" t="s">
        <v>93</v>
      </c>
      <c r="Y356" t="s">
        <v>1144</v>
      </c>
      <c r="Z356">
        <v>81000</v>
      </c>
      <c r="AA356" t="s">
        <v>47</v>
      </c>
      <c r="AB356" t="s">
        <v>52</v>
      </c>
      <c r="AC356" t="s">
        <v>53</v>
      </c>
      <c r="AD356" s="16">
        <f>IF(P356&lt;=1,4.9,4.9+0.8*ROUNDUP(P356-1,0))</f>
        <v>4.9000000000000004</v>
      </c>
      <c r="AE356" s="15">
        <v>0</v>
      </c>
      <c r="AF356" s="15">
        <v>0</v>
      </c>
      <c r="AG356" s="15">
        <v>0</v>
      </c>
      <c r="AH356" s="15">
        <v>0</v>
      </c>
      <c r="AI356" s="15">
        <f t="shared" si="10"/>
        <v>0.29399999999999998</v>
      </c>
      <c r="AJ356" s="15">
        <f t="shared" si="11"/>
        <v>5.194</v>
      </c>
      <c r="AK356" t="s">
        <v>47</v>
      </c>
    </row>
    <row r="357" spans="1:37" ht="15" customHeight="1" x14ac:dyDescent="0.35">
      <c r="A357">
        <v>690929</v>
      </c>
      <c r="B357" t="s">
        <v>37</v>
      </c>
      <c r="C357" t="s">
        <v>38</v>
      </c>
      <c r="D357" s="9" t="s">
        <v>39</v>
      </c>
      <c r="E357" s="10" t="s">
        <v>37</v>
      </c>
      <c r="F357" s="11"/>
      <c r="G357" t="s">
        <v>1145</v>
      </c>
      <c r="I357" t="s">
        <v>41</v>
      </c>
      <c r="J357" t="s">
        <v>1146</v>
      </c>
      <c r="K357" t="s">
        <v>43</v>
      </c>
      <c r="L357">
        <v>2</v>
      </c>
      <c r="M357" t="s">
        <v>44</v>
      </c>
      <c r="N357" t="s">
        <v>45</v>
      </c>
      <c r="O357" t="s">
        <v>46</v>
      </c>
      <c r="P357" s="5">
        <v>1</v>
      </c>
      <c r="Q357" s="12">
        <v>44707.708182870374</v>
      </c>
      <c r="R357" s="13">
        <v>44710</v>
      </c>
      <c r="T357" t="s">
        <v>47</v>
      </c>
      <c r="U357" t="s">
        <v>58</v>
      </c>
      <c r="V357" t="s">
        <v>93</v>
      </c>
      <c r="Y357" t="s">
        <v>1147</v>
      </c>
      <c r="Z357">
        <v>81300</v>
      </c>
      <c r="AA357" t="s">
        <v>47</v>
      </c>
      <c r="AB357" t="s">
        <v>58</v>
      </c>
      <c r="AC357" t="s">
        <v>53</v>
      </c>
      <c r="AD357" s="16">
        <f>IF(P357&lt;=1,4.9,4.9+0.8*ROUNDUP(P357-1,0))</f>
        <v>4.9000000000000004</v>
      </c>
      <c r="AE357" s="15">
        <v>0</v>
      </c>
      <c r="AF357" s="15">
        <v>0</v>
      </c>
      <c r="AG357" s="15">
        <v>0</v>
      </c>
      <c r="AH357" s="15">
        <v>0</v>
      </c>
      <c r="AI357" s="15">
        <f t="shared" si="10"/>
        <v>0.29399999999999998</v>
      </c>
      <c r="AJ357" s="15">
        <f t="shared" si="11"/>
        <v>5.194</v>
      </c>
      <c r="AK357" t="s">
        <v>47</v>
      </c>
    </row>
    <row r="358" spans="1:37" ht="15" customHeight="1" x14ac:dyDescent="0.35">
      <c r="A358">
        <v>690929</v>
      </c>
      <c r="B358" t="s">
        <v>37</v>
      </c>
      <c r="C358" t="s">
        <v>38</v>
      </c>
      <c r="D358" s="9" t="s">
        <v>39</v>
      </c>
      <c r="E358" s="10" t="s">
        <v>37</v>
      </c>
      <c r="F358" s="11"/>
      <c r="G358" t="s">
        <v>1148</v>
      </c>
      <c r="I358" t="s">
        <v>41</v>
      </c>
      <c r="J358" t="s">
        <v>1149</v>
      </c>
      <c r="K358" t="s">
        <v>43</v>
      </c>
      <c r="L358">
        <v>2</v>
      </c>
      <c r="M358" t="s">
        <v>44</v>
      </c>
      <c r="N358" t="s">
        <v>45</v>
      </c>
      <c r="O358" t="s">
        <v>46</v>
      </c>
      <c r="P358" s="5">
        <v>3</v>
      </c>
      <c r="Q358" s="12">
        <v>44708.491215277776</v>
      </c>
      <c r="R358" s="13">
        <v>44710</v>
      </c>
      <c r="T358" t="s">
        <v>47</v>
      </c>
      <c r="U358" t="s">
        <v>58</v>
      </c>
      <c r="V358" t="s">
        <v>88</v>
      </c>
      <c r="Y358" t="s">
        <v>1150</v>
      </c>
      <c r="Z358">
        <v>54200</v>
      </c>
      <c r="AA358" t="s">
        <v>47</v>
      </c>
      <c r="AB358" t="s">
        <v>1151</v>
      </c>
      <c r="AC358" t="s">
        <v>53</v>
      </c>
      <c r="AD358" s="16">
        <f>IF(P358&lt;=1,4.9,4.9+0.8*ROUNDUP(P358-1,0))</f>
        <v>6.5</v>
      </c>
      <c r="AE358" s="15">
        <v>0</v>
      </c>
      <c r="AF358" s="15">
        <v>0</v>
      </c>
      <c r="AG358" s="15">
        <v>0</v>
      </c>
      <c r="AH358" s="15">
        <v>0</v>
      </c>
      <c r="AI358" s="15">
        <f t="shared" si="10"/>
        <v>0.39</v>
      </c>
      <c r="AJ358" s="15">
        <f t="shared" si="11"/>
        <v>6.89</v>
      </c>
      <c r="AK358" t="s">
        <v>47</v>
      </c>
    </row>
    <row r="359" spans="1:37" ht="15" customHeight="1" x14ac:dyDescent="0.35">
      <c r="A359">
        <v>690929</v>
      </c>
      <c r="B359" t="s">
        <v>37</v>
      </c>
      <c r="C359" t="s">
        <v>38</v>
      </c>
      <c r="D359" s="9" t="s">
        <v>39</v>
      </c>
      <c r="E359" s="10" t="s">
        <v>37</v>
      </c>
      <c r="F359" s="11"/>
      <c r="G359" t="s">
        <v>1152</v>
      </c>
      <c r="I359" t="s">
        <v>41</v>
      </c>
      <c r="J359" t="s">
        <v>954</v>
      </c>
      <c r="K359" t="s">
        <v>43</v>
      </c>
      <c r="L359">
        <v>2</v>
      </c>
      <c r="M359" t="s">
        <v>44</v>
      </c>
      <c r="N359" t="s">
        <v>45</v>
      </c>
      <c r="O359" t="s">
        <v>46</v>
      </c>
      <c r="P359" s="5">
        <v>3</v>
      </c>
      <c r="Q359" s="12">
        <v>44708.421412037038</v>
      </c>
      <c r="R359" s="13">
        <v>44710</v>
      </c>
      <c r="T359" t="s">
        <v>47</v>
      </c>
      <c r="U359" t="s">
        <v>58</v>
      </c>
      <c r="V359" t="s">
        <v>93</v>
      </c>
      <c r="Y359" t="s">
        <v>955</v>
      </c>
      <c r="Z359">
        <v>81110</v>
      </c>
      <c r="AA359" t="s">
        <v>47</v>
      </c>
      <c r="AB359" t="s">
        <v>52</v>
      </c>
      <c r="AC359" t="s">
        <v>53</v>
      </c>
      <c r="AD359" s="16">
        <f>IF(P359&lt;=1,4.9,4.9+0.8*ROUNDUP(P359-1,0))</f>
        <v>6.5</v>
      </c>
      <c r="AE359" s="15">
        <v>0</v>
      </c>
      <c r="AF359" s="15">
        <v>0</v>
      </c>
      <c r="AG359" s="15">
        <v>0</v>
      </c>
      <c r="AH359" s="15">
        <v>0</v>
      </c>
      <c r="AI359" s="15">
        <f t="shared" si="10"/>
        <v>0.39</v>
      </c>
      <c r="AJ359" s="15">
        <f t="shared" si="11"/>
        <v>6.89</v>
      </c>
      <c r="AK359" t="s">
        <v>47</v>
      </c>
    </row>
    <row r="360" spans="1:37" ht="15" customHeight="1" x14ac:dyDescent="0.35">
      <c r="A360">
        <v>690929</v>
      </c>
      <c r="B360" t="s">
        <v>37</v>
      </c>
      <c r="C360" t="s">
        <v>38</v>
      </c>
      <c r="D360" s="9" t="s">
        <v>39</v>
      </c>
      <c r="E360" s="10" t="s">
        <v>37</v>
      </c>
      <c r="F360" s="11"/>
      <c r="G360" t="s">
        <v>1153</v>
      </c>
      <c r="I360" t="s">
        <v>41</v>
      </c>
      <c r="J360" t="s">
        <v>1154</v>
      </c>
      <c r="K360" t="s">
        <v>43</v>
      </c>
      <c r="L360">
        <v>2</v>
      </c>
      <c r="M360" t="s">
        <v>44</v>
      </c>
      <c r="N360" t="s">
        <v>45</v>
      </c>
      <c r="O360" t="s">
        <v>46</v>
      </c>
      <c r="P360" s="5">
        <v>1</v>
      </c>
      <c r="Q360" s="12">
        <v>44707.741122685184</v>
      </c>
      <c r="R360" s="13">
        <v>44710</v>
      </c>
      <c r="T360" t="s">
        <v>47</v>
      </c>
      <c r="U360" t="s">
        <v>58</v>
      </c>
      <c r="V360" t="s">
        <v>114</v>
      </c>
      <c r="Y360" t="s">
        <v>1155</v>
      </c>
      <c r="Z360">
        <v>11010</v>
      </c>
      <c r="AA360" t="s">
        <v>47</v>
      </c>
      <c r="AB360" t="s">
        <v>230</v>
      </c>
      <c r="AC360" t="s">
        <v>53</v>
      </c>
      <c r="AD360" s="16">
        <f>IF(P360&lt;=1,4.9,4.9+0.8*ROUNDUP(P360-1,0))</f>
        <v>4.9000000000000004</v>
      </c>
      <c r="AE360" s="15">
        <v>0</v>
      </c>
      <c r="AF360" s="15">
        <v>0</v>
      </c>
      <c r="AG360" s="15">
        <v>0</v>
      </c>
      <c r="AH360" s="15">
        <v>0</v>
      </c>
      <c r="AI360" s="15">
        <f t="shared" si="10"/>
        <v>0.29399999999999998</v>
      </c>
      <c r="AJ360" s="15">
        <f t="shared" si="11"/>
        <v>5.194</v>
      </c>
      <c r="AK360" t="s">
        <v>47</v>
      </c>
    </row>
    <row r="361" spans="1:37" ht="15" customHeight="1" x14ac:dyDescent="0.35">
      <c r="A361">
        <v>690929</v>
      </c>
      <c r="B361" t="s">
        <v>37</v>
      </c>
      <c r="C361" t="s">
        <v>38</v>
      </c>
      <c r="D361" s="9" t="s">
        <v>39</v>
      </c>
      <c r="E361" s="10" t="s">
        <v>37</v>
      </c>
      <c r="F361" s="11"/>
      <c r="G361" t="s">
        <v>1156</v>
      </c>
      <c r="I361" t="s">
        <v>41</v>
      </c>
      <c r="J361" t="s">
        <v>1157</v>
      </c>
      <c r="K361" t="s">
        <v>43</v>
      </c>
      <c r="L361">
        <v>2</v>
      </c>
      <c r="M361" t="s">
        <v>44</v>
      </c>
      <c r="N361" t="s">
        <v>45</v>
      </c>
      <c r="O361" t="s">
        <v>46</v>
      </c>
      <c r="P361" s="5">
        <v>4</v>
      </c>
      <c r="Q361" s="12">
        <v>44709.420486111114</v>
      </c>
      <c r="R361" s="13">
        <v>44711</v>
      </c>
      <c r="T361" t="s">
        <v>47</v>
      </c>
      <c r="U361" t="s">
        <v>48</v>
      </c>
      <c r="V361" t="s">
        <v>61</v>
      </c>
      <c r="Y361" t="s">
        <v>1158</v>
      </c>
      <c r="Z361">
        <v>18300</v>
      </c>
      <c r="AA361" t="s">
        <v>47</v>
      </c>
      <c r="AB361" t="s">
        <v>627</v>
      </c>
      <c r="AC361" t="s">
        <v>53</v>
      </c>
      <c r="AD361" s="16">
        <f>IF(P361&lt;=1,4.9,4.9+0.8*ROUNDUP(P361-1,0))</f>
        <v>7.3000000000000007</v>
      </c>
      <c r="AE361" s="15">
        <v>0</v>
      </c>
      <c r="AF361" s="15">
        <v>0</v>
      </c>
      <c r="AG361" s="15">
        <v>0</v>
      </c>
      <c r="AH361" s="15">
        <v>0</v>
      </c>
      <c r="AI361" s="15">
        <f t="shared" si="10"/>
        <v>0.438</v>
      </c>
      <c r="AJ361" s="15">
        <f t="shared" si="11"/>
        <v>7.7380000000000004</v>
      </c>
      <c r="AK361" t="s">
        <v>47</v>
      </c>
    </row>
    <row r="362" spans="1:37" ht="15" customHeight="1" x14ac:dyDescent="0.35">
      <c r="A362">
        <v>690929</v>
      </c>
      <c r="B362" t="s">
        <v>37</v>
      </c>
      <c r="C362" t="s">
        <v>38</v>
      </c>
      <c r="D362" s="9" t="s">
        <v>39</v>
      </c>
      <c r="E362" s="10" t="s">
        <v>37</v>
      </c>
      <c r="F362" s="11"/>
      <c r="G362" t="s">
        <v>1159</v>
      </c>
      <c r="I362" t="s">
        <v>41</v>
      </c>
      <c r="J362" t="s">
        <v>1160</v>
      </c>
      <c r="K362" t="s">
        <v>43</v>
      </c>
      <c r="L362">
        <v>2</v>
      </c>
      <c r="M362" t="s">
        <v>44</v>
      </c>
      <c r="N362" t="s">
        <v>45</v>
      </c>
      <c r="O362" t="s">
        <v>46</v>
      </c>
      <c r="P362" s="5">
        <v>1</v>
      </c>
      <c r="Q362" s="12">
        <v>44709.55028935185</v>
      </c>
      <c r="R362" s="13">
        <v>44711</v>
      </c>
      <c r="T362" t="s">
        <v>47</v>
      </c>
      <c r="U362" t="s">
        <v>48</v>
      </c>
      <c r="V362" t="s">
        <v>122</v>
      </c>
      <c r="Y362" t="s">
        <v>1161</v>
      </c>
      <c r="Z362">
        <v>6300</v>
      </c>
      <c r="AA362" t="s">
        <v>47</v>
      </c>
      <c r="AB362" t="s">
        <v>52</v>
      </c>
      <c r="AC362" t="s">
        <v>53</v>
      </c>
      <c r="AD362" s="16">
        <f>IF(P362&lt;=1,4.9,4.9+0.8*ROUNDUP(P362-1,0))</f>
        <v>4.9000000000000004</v>
      </c>
      <c r="AE362" s="15">
        <v>0</v>
      </c>
      <c r="AF362" s="15">
        <v>0</v>
      </c>
      <c r="AG362" s="15">
        <v>0</v>
      </c>
      <c r="AH362" s="15">
        <v>0</v>
      </c>
      <c r="AI362" s="15">
        <f t="shared" si="10"/>
        <v>0.29399999999999998</v>
      </c>
      <c r="AJ362" s="15">
        <f t="shared" si="11"/>
        <v>5.194</v>
      </c>
      <c r="AK362" t="s">
        <v>47</v>
      </c>
    </row>
    <row r="363" spans="1:37" ht="15" customHeight="1" x14ac:dyDescent="0.35">
      <c r="A363">
        <v>690929</v>
      </c>
      <c r="B363" t="s">
        <v>37</v>
      </c>
      <c r="C363" t="s">
        <v>38</v>
      </c>
      <c r="D363" s="9" t="s">
        <v>39</v>
      </c>
      <c r="E363" s="10" t="s">
        <v>37</v>
      </c>
      <c r="F363" s="11"/>
      <c r="G363" t="s">
        <v>1162</v>
      </c>
      <c r="I363" t="s">
        <v>41</v>
      </c>
      <c r="J363" t="s">
        <v>1163</v>
      </c>
      <c r="K363" t="s">
        <v>43</v>
      </c>
      <c r="L363">
        <v>2</v>
      </c>
      <c r="M363" t="s">
        <v>44</v>
      </c>
      <c r="N363" t="s">
        <v>45</v>
      </c>
      <c r="O363" t="s">
        <v>46</v>
      </c>
      <c r="P363" s="5">
        <v>1</v>
      </c>
      <c r="Q363" s="12">
        <v>44709.658807870372</v>
      </c>
      <c r="R363" s="13">
        <v>44711</v>
      </c>
      <c r="T363" t="s">
        <v>47</v>
      </c>
      <c r="U363" t="s">
        <v>48</v>
      </c>
      <c r="V363" t="s">
        <v>164</v>
      </c>
      <c r="Y363" t="s">
        <v>1164</v>
      </c>
      <c r="Z363">
        <v>31300</v>
      </c>
      <c r="AA363" t="s">
        <v>47</v>
      </c>
      <c r="AB363" t="s">
        <v>52</v>
      </c>
      <c r="AC363" t="s">
        <v>53</v>
      </c>
      <c r="AD363" s="16">
        <f>IF(P363&lt;=1,4.9,4.9+0.8*ROUNDUP(P363-1,0))</f>
        <v>4.9000000000000004</v>
      </c>
      <c r="AE363" s="15">
        <v>0</v>
      </c>
      <c r="AF363" s="15">
        <v>0</v>
      </c>
      <c r="AG363" s="15">
        <v>0</v>
      </c>
      <c r="AH363" s="15">
        <v>0</v>
      </c>
      <c r="AI363" s="15">
        <f t="shared" si="10"/>
        <v>0.29399999999999998</v>
      </c>
      <c r="AJ363" s="15">
        <f t="shared" si="11"/>
        <v>5.194</v>
      </c>
      <c r="AK363" t="s">
        <v>47</v>
      </c>
    </row>
    <row r="364" spans="1:37" ht="15" customHeight="1" x14ac:dyDescent="0.35">
      <c r="A364">
        <v>690929</v>
      </c>
      <c r="B364" t="s">
        <v>37</v>
      </c>
      <c r="C364" t="s">
        <v>38</v>
      </c>
      <c r="D364" s="9" t="s">
        <v>39</v>
      </c>
      <c r="E364" s="10" t="s">
        <v>37</v>
      </c>
      <c r="F364" s="11"/>
      <c r="G364" t="s">
        <v>1165</v>
      </c>
      <c r="I364" t="s">
        <v>41</v>
      </c>
      <c r="J364" t="s">
        <v>1166</v>
      </c>
      <c r="K364" t="s">
        <v>43</v>
      </c>
      <c r="L364">
        <v>2</v>
      </c>
      <c r="M364" t="s">
        <v>44</v>
      </c>
      <c r="N364" t="s">
        <v>45</v>
      </c>
      <c r="O364" t="s">
        <v>46</v>
      </c>
      <c r="P364" s="5">
        <v>1</v>
      </c>
      <c r="Q364" s="12">
        <v>44706.515451388892</v>
      </c>
      <c r="R364" s="13">
        <v>44711</v>
      </c>
      <c r="T364" t="s">
        <v>47</v>
      </c>
      <c r="U364" t="s">
        <v>48</v>
      </c>
      <c r="V364" t="s">
        <v>88</v>
      </c>
      <c r="Y364" t="s">
        <v>1167</v>
      </c>
      <c r="Z364">
        <v>53000</v>
      </c>
      <c r="AA364" t="s">
        <v>47</v>
      </c>
      <c r="AB364" t="s">
        <v>58</v>
      </c>
      <c r="AC364" t="s">
        <v>53</v>
      </c>
      <c r="AD364" s="16">
        <f>IF(P364&lt;=1,4.9,4.9+0.8*ROUNDUP(P364-1,0))</f>
        <v>4.9000000000000004</v>
      </c>
      <c r="AE364" s="15">
        <v>0</v>
      </c>
      <c r="AF364" s="15">
        <v>0</v>
      </c>
      <c r="AG364" s="15">
        <v>0</v>
      </c>
      <c r="AH364" s="15">
        <v>0</v>
      </c>
      <c r="AI364" s="15">
        <f t="shared" si="10"/>
        <v>0.29399999999999998</v>
      </c>
      <c r="AJ364" s="15">
        <f t="shared" si="11"/>
        <v>5.194</v>
      </c>
      <c r="AK364" t="s">
        <v>47</v>
      </c>
    </row>
    <row r="365" spans="1:37" ht="15" customHeight="1" x14ac:dyDescent="0.35">
      <c r="A365">
        <v>690929</v>
      </c>
      <c r="B365" t="s">
        <v>37</v>
      </c>
      <c r="C365" t="s">
        <v>38</v>
      </c>
      <c r="D365" s="9" t="s">
        <v>39</v>
      </c>
      <c r="E365" s="10" t="s">
        <v>37</v>
      </c>
      <c r="F365" s="11"/>
      <c r="G365" t="s">
        <v>1168</v>
      </c>
      <c r="I365" t="s">
        <v>41</v>
      </c>
      <c r="J365" t="s">
        <v>1169</v>
      </c>
      <c r="K365" t="s">
        <v>43</v>
      </c>
      <c r="L365">
        <v>2</v>
      </c>
      <c r="M365" t="s">
        <v>44</v>
      </c>
      <c r="N365" t="s">
        <v>45</v>
      </c>
      <c r="O365" t="s">
        <v>46</v>
      </c>
      <c r="P365" s="5">
        <v>1</v>
      </c>
      <c r="Q365" s="12">
        <v>44710.5627662037</v>
      </c>
      <c r="R365" s="13">
        <v>44711</v>
      </c>
      <c r="T365" t="s">
        <v>47</v>
      </c>
      <c r="U365" t="s">
        <v>48</v>
      </c>
      <c r="V365" t="s">
        <v>61</v>
      </c>
      <c r="Y365" t="s">
        <v>1170</v>
      </c>
      <c r="Z365">
        <v>17500</v>
      </c>
      <c r="AA365" t="s">
        <v>47</v>
      </c>
      <c r="AB365" t="s">
        <v>58</v>
      </c>
      <c r="AC365" t="s">
        <v>53</v>
      </c>
      <c r="AD365" s="16">
        <f>IF(P365&lt;=1,4.9,4.9+0.8*ROUNDUP(P365-1,0))</f>
        <v>4.9000000000000004</v>
      </c>
      <c r="AE365" s="15">
        <v>0</v>
      </c>
      <c r="AF365" s="15">
        <v>0</v>
      </c>
      <c r="AG365" s="15">
        <v>0</v>
      </c>
      <c r="AH365" s="15">
        <v>0</v>
      </c>
      <c r="AI365" s="15">
        <f t="shared" si="10"/>
        <v>0.29399999999999998</v>
      </c>
      <c r="AJ365" s="15">
        <f t="shared" si="11"/>
        <v>5.194</v>
      </c>
      <c r="AK365" t="s">
        <v>47</v>
      </c>
    </row>
    <row r="366" spans="1:37" ht="15" customHeight="1" x14ac:dyDescent="0.35">
      <c r="A366">
        <v>690929</v>
      </c>
      <c r="B366" t="s">
        <v>37</v>
      </c>
      <c r="C366" t="s">
        <v>38</v>
      </c>
      <c r="D366" s="9" t="s">
        <v>39</v>
      </c>
      <c r="E366" s="10" t="s">
        <v>37</v>
      </c>
      <c r="F366" s="11"/>
      <c r="G366" t="s">
        <v>1171</v>
      </c>
      <c r="I366" t="s">
        <v>41</v>
      </c>
      <c r="J366" t="s">
        <v>1137</v>
      </c>
      <c r="K366" t="s">
        <v>43</v>
      </c>
      <c r="L366">
        <v>2</v>
      </c>
      <c r="M366" t="s">
        <v>44</v>
      </c>
      <c r="N366" t="s">
        <v>45</v>
      </c>
      <c r="O366" t="s">
        <v>92</v>
      </c>
      <c r="P366" s="5">
        <v>9</v>
      </c>
      <c r="Q366" s="12">
        <v>44697.492465277777</v>
      </c>
      <c r="R366" s="13">
        <v>44711</v>
      </c>
      <c r="T366" t="s">
        <v>47</v>
      </c>
      <c r="U366" t="s">
        <v>48</v>
      </c>
      <c r="V366" t="s">
        <v>93</v>
      </c>
      <c r="Y366" t="s">
        <v>1138</v>
      </c>
      <c r="Z366">
        <v>81200</v>
      </c>
      <c r="AA366" t="s">
        <v>47</v>
      </c>
      <c r="AB366" t="s">
        <v>52</v>
      </c>
      <c r="AC366" t="s">
        <v>53</v>
      </c>
      <c r="AD366" s="16">
        <f>IF(P366&lt;=1,4.9,4.9+0.8*ROUNDUP(P366-1,0))</f>
        <v>11.3</v>
      </c>
      <c r="AE366" s="15">
        <v>0</v>
      </c>
      <c r="AF366" s="15">
        <v>0</v>
      </c>
      <c r="AG366" s="15">
        <v>0</v>
      </c>
      <c r="AH366" s="15">
        <v>0</v>
      </c>
      <c r="AI366" s="15">
        <f t="shared" si="10"/>
        <v>0.67800000000000005</v>
      </c>
      <c r="AJ366" s="15">
        <f t="shared" si="11"/>
        <v>11.978000000000002</v>
      </c>
      <c r="AK366" t="s">
        <v>47</v>
      </c>
    </row>
    <row r="367" spans="1:37" ht="15" customHeight="1" x14ac:dyDescent="0.35">
      <c r="A367">
        <v>690929</v>
      </c>
      <c r="B367" t="s">
        <v>37</v>
      </c>
      <c r="C367" t="s">
        <v>38</v>
      </c>
      <c r="D367" s="9" t="s">
        <v>39</v>
      </c>
      <c r="E367" s="10" t="s">
        <v>37</v>
      </c>
      <c r="F367" s="11"/>
      <c r="G367" t="s">
        <v>1172</v>
      </c>
      <c r="I367" t="s">
        <v>41</v>
      </c>
      <c r="J367" t="s">
        <v>258</v>
      </c>
      <c r="K367" t="s">
        <v>43</v>
      </c>
      <c r="L367">
        <v>2</v>
      </c>
      <c r="M367" t="s">
        <v>44</v>
      </c>
      <c r="N367" t="s">
        <v>45</v>
      </c>
      <c r="O367" t="s">
        <v>46</v>
      </c>
      <c r="P367" s="5">
        <v>1</v>
      </c>
      <c r="Q367" s="12">
        <v>44707.769895833335</v>
      </c>
      <c r="R367" s="13">
        <v>44711</v>
      </c>
      <c r="T367" t="s">
        <v>47</v>
      </c>
      <c r="U367" t="s">
        <v>58</v>
      </c>
      <c r="V367" t="s">
        <v>70</v>
      </c>
      <c r="Y367" t="s">
        <v>1173</v>
      </c>
      <c r="Z367">
        <v>47130</v>
      </c>
      <c r="AA367" t="s">
        <v>47</v>
      </c>
      <c r="AB367" t="s">
        <v>592</v>
      </c>
      <c r="AC367" t="s">
        <v>53</v>
      </c>
      <c r="AD367" s="16">
        <f>IF(P367&lt;=1,4.9,4.9+0.8*ROUNDUP(P367-1,0))</f>
        <v>4.9000000000000004</v>
      </c>
      <c r="AE367" s="15">
        <v>0</v>
      </c>
      <c r="AF367" s="15">
        <v>0</v>
      </c>
      <c r="AG367" s="15">
        <v>0</v>
      </c>
      <c r="AH367" s="15">
        <v>0</v>
      </c>
      <c r="AI367" s="15">
        <f t="shared" si="10"/>
        <v>0.29399999999999998</v>
      </c>
      <c r="AJ367" s="15">
        <f t="shared" si="11"/>
        <v>5.194</v>
      </c>
      <c r="AK367" t="s">
        <v>47</v>
      </c>
    </row>
    <row r="368" spans="1:37" ht="15" customHeight="1" x14ac:dyDescent="0.35">
      <c r="A368">
        <v>690929</v>
      </c>
      <c r="B368" t="s">
        <v>37</v>
      </c>
      <c r="C368" t="s">
        <v>38</v>
      </c>
      <c r="D368" s="9" t="s">
        <v>39</v>
      </c>
      <c r="E368" s="10" t="s">
        <v>37</v>
      </c>
      <c r="F368" s="11"/>
      <c r="G368" t="s">
        <v>1174</v>
      </c>
      <c r="I368" t="s">
        <v>41</v>
      </c>
      <c r="J368" t="s">
        <v>1175</v>
      </c>
      <c r="K368" t="s">
        <v>43</v>
      </c>
      <c r="L368">
        <v>2</v>
      </c>
      <c r="M368" t="s">
        <v>44</v>
      </c>
      <c r="N368" t="s">
        <v>45</v>
      </c>
      <c r="O368" t="s">
        <v>46</v>
      </c>
      <c r="P368" s="5">
        <v>2</v>
      </c>
      <c r="Q368" s="12">
        <v>44707.686388888891</v>
      </c>
      <c r="R368" s="13">
        <v>44711</v>
      </c>
      <c r="T368" t="s">
        <v>47</v>
      </c>
      <c r="U368" t="s">
        <v>58</v>
      </c>
      <c r="V368" t="s">
        <v>114</v>
      </c>
      <c r="Y368" t="s">
        <v>1176</v>
      </c>
      <c r="Z368">
        <v>13200</v>
      </c>
      <c r="AA368" t="s">
        <v>47</v>
      </c>
      <c r="AB368" t="s">
        <v>52</v>
      </c>
      <c r="AC368" t="s">
        <v>53</v>
      </c>
      <c r="AD368" s="16">
        <f>IF(P368&lt;=1,4.9,4.9+0.8*ROUNDUP(P368-1,0))</f>
        <v>5.7</v>
      </c>
      <c r="AE368" s="15">
        <v>0</v>
      </c>
      <c r="AF368" s="15">
        <v>0</v>
      </c>
      <c r="AG368" s="15">
        <v>0</v>
      </c>
      <c r="AH368" s="15">
        <v>0</v>
      </c>
      <c r="AI368" s="15">
        <f t="shared" si="10"/>
        <v>0.34199999999999997</v>
      </c>
      <c r="AJ368" s="15">
        <f t="shared" si="11"/>
        <v>6.0419999999999998</v>
      </c>
      <c r="AK368" t="s">
        <v>47</v>
      </c>
    </row>
    <row r="369" spans="1:37" ht="15" customHeight="1" x14ac:dyDescent="0.35">
      <c r="A369">
        <v>690929</v>
      </c>
      <c r="B369" t="s">
        <v>37</v>
      </c>
      <c r="C369" t="s">
        <v>38</v>
      </c>
      <c r="D369" s="9" t="s">
        <v>39</v>
      </c>
      <c r="E369" s="10" t="s">
        <v>37</v>
      </c>
      <c r="F369" s="11"/>
      <c r="G369" t="s">
        <v>1177</v>
      </c>
      <c r="I369" t="s">
        <v>41</v>
      </c>
      <c r="J369" t="s">
        <v>1178</v>
      </c>
      <c r="K369" t="s">
        <v>43</v>
      </c>
      <c r="L369">
        <v>2</v>
      </c>
      <c r="M369" t="s">
        <v>44</v>
      </c>
      <c r="N369" t="s">
        <v>45</v>
      </c>
      <c r="O369" t="s">
        <v>92</v>
      </c>
      <c r="P369" s="5">
        <v>7</v>
      </c>
      <c r="Q369" s="12">
        <v>44708.411539351851</v>
      </c>
      <c r="R369" s="13">
        <v>44711</v>
      </c>
      <c r="T369" t="s">
        <v>47</v>
      </c>
      <c r="U369" t="s">
        <v>58</v>
      </c>
      <c r="V369" t="s">
        <v>70</v>
      </c>
      <c r="Y369" t="s">
        <v>1179</v>
      </c>
      <c r="Z369">
        <v>47130</v>
      </c>
      <c r="AA369" t="s">
        <v>47</v>
      </c>
      <c r="AB369" t="s">
        <v>1180</v>
      </c>
      <c r="AC369" t="s">
        <v>53</v>
      </c>
      <c r="AD369" s="16">
        <f>IF(P369&lt;=1,4.9,4.9+0.8*ROUNDUP(P369-1,0))</f>
        <v>9.7000000000000011</v>
      </c>
      <c r="AE369" s="15">
        <v>0</v>
      </c>
      <c r="AF369" s="15">
        <v>0</v>
      </c>
      <c r="AG369" s="15">
        <v>0</v>
      </c>
      <c r="AH369" s="15">
        <v>0</v>
      </c>
      <c r="AI369" s="15">
        <f t="shared" si="10"/>
        <v>0.58200000000000007</v>
      </c>
      <c r="AJ369" s="15">
        <f t="shared" si="11"/>
        <v>10.282000000000002</v>
      </c>
      <c r="AK369" t="s">
        <v>47</v>
      </c>
    </row>
    <row r="370" spans="1:37" ht="15" customHeight="1" x14ac:dyDescent="0.35">
      <c r="A370">
        <v>690929</v>
      </c>
      <c r="B370" t="s">
        <v>37</v>
      </c>
      <c r="C370" t="s">
        <v>38</v>
      </c>
      <c r="D370" s="9" t="s">
        <v>39</v>
      </c>
      <c r="E370" s="10" t="s">
        <v>37</v>
      </c>
      <c r="F370" s="11"/>
      <c r="G370" t="s">
        <v>1181</v>
      </c>
      <c r="I370" t="s">
        <v>41</v>
      </c>
      <c r="J370" t="s">
        <v>1182</v>
      </c>
      <c r="K370" t="s">
        <v>43</v>
      </c>
      <c r="L370">
        <v>2</v>
      </c>
      <c r="M370" t="s">
        <v>44</v>
      </c>
      <c r="N370" t="s">
        <v>45</v>
      </c>
      <c r="O370" t="s">
        <v>46</v>
      </c>
      <c r="P370" s="5">
        <v>1</v>
      </c>
      <c r="Q370" s="12">
        <v>44706.750844907408</v>
      </c>
      <c r="R370" s="13">
        <v>44711</v>
      </c>
      <c r="T370" t="s">
        <v>47</v>
      </c>
      <c r="U370" t="s">
        <v>48</v>
      </c>
      <c r="V370" t="s">
        <v>56</v>
      </c>
      <c r="Y370" t="s">
        <v>1183</v>
      </c>
      <c r="Z370">
        <v>26700</v>
      </c>
      <c r="AA370" t="s">
        <v>47</v>
      </c>
      <c r="AB370" t="s">
        <v>58</v>
      </c>
      <c r="AC370" t="s">
        <v>53</v>
      </c>
      <c r="AD370" s="16">
        <f>IF(P370&lt;=1,4.9,4.9+0.8*ROUNDUP(P370-1,0))</f>
        <v>4.9000000000000004</v>
      </c>
      <c r="AE370" s="15">
        <v>0</v>
      </c>
      <c r="AF370" s="15">
        <v>0</v>
      </c>
      <c r="AG370" s="15">
        <v>0</v>
      </c>
      <c r="AH370" s="15">
        <v>0</v>
      </c>
      <c r="AI370" s="15">
        <f t="shared" si="10"/>
        <v>0.29399999999999998</v>
      </c>
      <c r="AJ370" s="15">
        <f t="shared" si="11"/>
        <v>5.194</v>
      </c>
      <c r="AK370" t="s">
        <v>47</v>
      </c>
    </row>
    <row r="371" spans="1:37" ht="15" customHeight="1" x14ac:dyDescent="0.35">
      <c r="A371">
        <v>690929</v>
      </c>
      <c r="B371" t="s">
        <v>37</v>
      </c>
      <c r="C371" t="s">
        <v>38</v>
      </c>
      <c r="D371" s="9" t="s">
        <v>39</v>
      </c>
      <c r="E371" s="10" t="s">
        <v>37</v>
      </c>
      <c r="F371" s="11"/>
      <c r="G371" t="s">
        <v>1184</v>
      </c>
      <c r="I371" t="s">
        <v>41</v>
      </c>
      <c r="J371" t="s">
        <v>1185</v>
      </c>
      <c r="K371" t="s">
        <v>43</v>
      </c>
      <c r="L371">
        <v>2</v>
      </c>
      <c r="M371" t="s">
        <v>44</v>
      </c>
      <c r="N371" t="s">
        <v>45</v>
      </c>
      <c r="O371" t="s">
        <v>46</v>
      </c>
      <c r="P371" s="5">
        <v>4</v>
      </c>
      <c r="Q371" s="12">
        <v>44709.393136574072</v>
      </c>
      <c r="R371" s="13">
        <v>44711</v>
      </c>
      <c r="T371" t="s">
        <v>47</v>
      </c>
      <c r="U371" t="s">
        <v>48</v>
      </c>
      <c r="V371" t="s">
        <v>164</v>
      </c>
      <c r="Y371" t="s">
        <v>1186</v>
      </c>
      <c r="Z371">
        <v>31500</v>
      </c>
      <c r="AA371" t="s">
        <v>47</v>
      </c>
      <c r="AB371" t="s">
        <v>52</v>
      </c>
      <c r="AC371" t="s">
        <v>53</v>
      </c>
      <c r="AD371" s="16">
        <f>IF(P371&lt;=1,4.9,4.9+0.8*ROUNDUP(P371-1,0))</f>
        <v>7.3000000000000007</v>
      </c>
      <c r="AE371" s="15">
        <v>0</v>
      </c>
      <c r="AF371" s="15">
        <v>0</v>
      </c>
      <c r="AG371" s="15">
        <v>0</v>
      </c>
      <c r="AH371" s="15">
        <v>0</v>
      </c>
      <c r="AI371" s="15">
        <f t="shared" si="10"/>
        <v>0.438</v>
      </c>
      <c r="AJ371" s="15">
        <f t="shared" si="11"/>
        <v>7.7380000000000004</v>
      </c>
      <c r="AK371" t="s">
        <v>47</v>
      </c>
    </row>
    <row r="372" spans="1:37" ht="15" customHeight="1" x14ac:dyDescent="0.35">
      <c r="A372">
        <v>690929</v>
      </c>
      <c r="B372" t="s">
        <v>37</v>
      </c>
      <c r="C372" t="s">
        <v>38</v>
      </c>
      <c r="D372" s="9" t="s">
        <v>39</v>
      </c>
      <c r="E372" s="10" t="s">
        <v>37</v>
      </c>
      <c r="F372" s="11"/>
      <c r="G372" t="s">
        <v>1187</v>
      </c>
      <c r="I372" t="s">
        <v>41</v>
      </c>
      <c r="J372" t="s">
        <v>1188</v>
      </c>
      <c r="K372" t="s">
        <v>43</v>
      </c>
      <c r="L372">
        <v>2</v>
      </c>
      <c r="M372" t="s">
        <v>44</v>
      </c>
      <c r="N372" t="s">
        <v>45</v>
      </c>
      <c r="O372" t="s">
        <v>46</v>
      </c>
      <c r="P372" s="5">
        <v>1</v>
      </c>
      <c r="Q372" s="12">
        <v>44707.781180555554</v>
      </c>
      <c r="R372" s="13">
        <v>44711</v>
      </c>
      <c r="T372" t="s">
        <v>47</v>
      </c>
      <c r="U372" t="s">
        <v>58</v>
      </c>
      <c r="V372" t="s">
        <v>70</v>
      </c>
      <c r="Y372" t="s">
        <v>1189</v>
      </c>
      <c r="Z372">
        <v>55100</v>
      </c>
      <c r="AA372" t="s">
        <v>47</v>
      </c>
      <c r="AB372" t="s">
        <v>52</v>
      </c>
      <c r="AC372" t="s">
        <v>53</v>
      </c>
      <c r="AD372" s="16">
        <f>IF(P372&lt;=1,4.9,4.9+0.8*ROUNDUP(P372-1,0))</f>
        <v>4.9000000000000004</v>
      </c>
      <c r="AE372" s="15">
        <v>0</v>
      </c>
      <c r="AF372" s="15">
        <v>0</v>
      </c>
      <c r="AG372" s="15">
        <v>0</v>
      </c>
      <c r="AH372" s="15">
        <v>0</v>
      </c>
      <c r="AI372" s="15">
        <f t="shared" si="10"/>
        <v>0.29399999999999998</v>
      </c>
      <c r="AJ372" s="15">
        <f t="shared" si="11"/>
        <v>5.194</v>
      </c>
      <c r="AK372" t="s">
        <v>47</v>
      </c>
    </row>
    <row r="373" spans="1:37" ht="15" customHeight="1" x14ac:dyDescent="0.35">
      <c r="A373">
        <v>690929</v>
      </c>
      <c r="B373" t="s">
        <v>37</v>
      </c>
      <c r="C373" t="s">
        <v>38</v>
      </c>
      <c r="D373" s="9" t="s">
        <v>39</v>
      </c>
      <c r="E373" s="10" t="s">
        <v>37</v>
      </c>
      <c r="F373" s="11"/>
      <c r="G373" t="s">
        <v>1190</v>
      </c>
      <c r="I373" t="s">
        <v>41</v>
      </c>
      <c r="J373" t="s">
        <v>1191</v>
      </c>
      <c r="K373" t="s">
        <v>43</v>
      </c>
      <c r="L373">
        <v>2</v>
      </c>
      <c r="M373" t="s">
        <v>44</v>
      </c>
      <c r="N373" t="s">
        <v>45</v>
      </c>
      <c r="O373" t="s">
        <v>46</v>
      </c>
      <c r="P373" s="5">
        <v>1</v>
      </c>
      <c r="Q373" s="12">
        <v>44700.711631944447</v>
      </c>
      <c r="R373" s="13">
        <v>44711</v>
      </c>
      <c r="T373" t="s">
        <v>47</v>
      </c>
      <c r="U373" t="s">
        <v>58</v>
      </c>
      <c r="V373" t="s">
        <v>70</v>
      </c>
      <c r="Y373" t="s">
        <v>1192</v>
      </c>
      <c r="Z373">
        <v>43000</v>
      </c>
      <c r="AA373" t="s">
        <v>47</v>
      </c>
      <c r="AB373" t="s">
        <v>1193</v>
      </c>
      <c r="AC373" t="s">
        <v>53</v>
      </c>
      <c r="AD373" s="16">
        <f>IF(P373&lt;=1,4.9,4.9+0.8*ROUNDUP(P373-1,0))</f>
        <v>4.9000000000000004</v>
      </c>
      <c r="AE373" s="15">
        <v>0</v>
      </c>
      <c r="AF373" s="15">
        <v>0</v>
      </c>
      <c r="AG373" s="15">
        <v>0</v>
      </c>
      <c r="AH373" s="15">
        <v>0</v>
      </c>
      <c r="AI373" s="15">
        <f t="shared" si="10"/>
        <v>0.29399999999999998</v>
      </c>
      <c r="AJ373" s="15">
        <f t="shared" si="11"/>
        <v>5.194</v>
      </c>
      <c r="AK373" t="s">
        <v>47</v>
      </c>
    </row>
    <row r="374" spans="1:37" ht="15" customHeight="1" x14ac:dyDescent="0.35">
      <c r="A374">
        <v>690929</v>
      </c>
      <c r="B374" t="s">
        <v>37</v>
      </c>
      <c r="C374" t="s">
        <v>38</v>
      </c>
      <c r="D374" s="9" t="s">
        <v>39</v>
      </c>
      <c r="E374" s="10" t="s">
        <v>37</v>
      </c>
      <c r="F374" s="11"/>
      <c r="G374" t="s">
        <v>1194</v>
      </c>
      <c r="I374" t="s">
        <v>41</v>
      </c>
      <c r="J374" t="s">
        <v>1195</v>
      </c>
      <c r="K374" t="s">
        <v>43</v>
      </c>
      <c r="L374">
        <v>2</v>
      </c>
      <c r="M374" t="s">
        <v>44</v>
      </c>
      <c r="N374" t="s">
        <v>45</v>
      </c>
      <c r="O374" t="s">
        <v>46</v>
      </c>
      <c r="P374" s="5">
        <v>1</v>
      </c>
      <c r="Q374" s="12">
        <v>44703.740995370368</v>
      </c>
      <c r="R374" s="13">
        <v>44711</v>
      </c>
      <c r="T374" t="s">
        <v>47</v>
      </c>
      <c r="U374" t="s">
        <v>48</v>
      </c>
      <c r="V374" t="s">
        <v>70</v>
      </c>
      <c r="Y374" t="s">
        <v>1196</v>
      </c>
      <c r="Z374">
        <v>40150</v>
      </c>
      <c r="AA374" t="s">
        <v>47</v>
      </c>
      <c r="AB374" t="s">
        <v>52</v>
      </c>
      <c r="AC374" t="s">
        <v>53</v>
      </c>
      <c r="AD374" s="16">
        <f>IF(P374&lt;=1,4.9,4.9+0.8*ROUNDUP(P374-1,0))</f>
        <v>4.9000000000000004</v>
      </c>
      <c r="AE374" s="15">
        <v>0</v>
      </c>
      <c r="AF374" s="15">
        <v>0</v>
      </c>
      <c r="AG374" s="15">
        <v>0</v>
      </c>
      <c r="AH374" s="15">
        <v>0</v>
      </c>
      <c r="AI374" s="15">
        <f t="shared" si="10"/>
        <v>0.29399999999999998</v>
      </c>
      <c r="AJ374" s="15">
        <f t="shared" si="11"/>
        <v>5.194</v>
      </c>
      <c r="AK374" t="s">
        <v>47</v>
      </c>
    </row>
    <row r="375" spans="1:37" ht="15" customHeight="1" x14ac:dyDescent="0.35">
      <c r="A375">
        <v>690929</v>
      </c>
      <c r="B375" t="s">
        <v>37</v>
      </c>
      <c r="C375" t="s">
        <v>38</v>
      </c>
      <c r="D375" s="9" t="s">
        <v>39</v>
      </c>
      <c r="E375" s="10" t="s">
        <v>37</v>
      </c>
      <c r="F375" s="11"/>
      <c r="G375" t="s">
        <v>1197</v>
      </c>
      <c r="I375" t="s">
        <v>41</v>
      </c>
      <c r="J375" t="s">
        <v>1198</v>
      </c>
      <c r="K375" t="s">
        <v>43</v>
      </c>
      <c r="L375">
        <v>2</v>
      </c>
      <c r="M375" t="s">
        <v>44</v>
      </c>
      <c r="N375" t="s">
        <v>45</v>
      </c>
      <c r="O375" t="s">
        <v>46</v>
      </c>
      <c r="P375" s="5">
        <v>1</v>
      </c>
      <c r="Q375" s="12">
        <v>44707.779131944444</v>
      </c>
      <c r="R375" s="13">
        <v>44711</v>
      </c>
      <c r="T375" t="s">
        <v>47</v>
      </c>
      <c r="U375" t="s">
        <v>58</v>
      </c>
      <c r="V375" t="s">
        <v>70</v>
      </c>
      <c r="Y375" t="s">
        <v>1199</v>
      </c>
      <c r="Z375">
        <v>40460</v>
      </c>
      <c r="AA375" t="s">
        <v>47</v>
      </c>
      <c r="AB375" t="s">
        <v>52</v>
      </c>
      <c r="AC375" t="s">
        <v>53</v>
      </c>
      <c r="AD375" s="16">
        <f>IF(P375&lt;=1,4.9,4.9+0.8*ROUNDUP(P375-1,0))</f>
        <v>4.9000000000000004</v>
      </c>
      <c r="AE375" s="15">
        <v>0</v>
      </c>
      <c r="AF375" s="15">
        <v>0</v>
      </c>
      <c r="AG375" s="15">
        <v>0</v>
      </c>
      <c r="AH375" s="15">
        <v>0</v>
      </c>
      <c r="AI375" s="15">
        <f t="shared" si="10"/>
        <v>0.29399999999999998</v>
      </c>
      <c r="AJ375" s="15">
        <f t="shared" si="11"/>
        <v>5.194</v>
      </c>
      <c r="AK375" t="s">
        <v>47</v>
      </c>
    </row>
    <row r="376" spans="1:37" ht="15" customHeight="1" x14ac:dyDescent="0.35">
      <c r="A376">
        <v>690929</v>
      </c>
      <c r="B376" t="s">
        <v>37</v>
      </c>
      <c r="C376" t="s">
        <v>38</v>
      </c>
      <c r="D376" s="9" t="s">
        <v>39</v>
      </c>
      <c r="E376" s="10" t="s">
        <v>37</v>
      </c>
      <c r="F376" s="11"/>
      <c r="G376" t="s">
        <v>1200</v>
      </c>
      <c r="I376" t="s">
        <v>41</v>
      </c>
      <c r="J376" t="s">
        <v>1201</v>
      </c>
      <c r="K376" t="s">
        <v>43</v>
      </c>
      <c r="L376">
        <v>2</v>
      </c>
      <c r="M376" t="s">
        <v>44</v>
      </c>
      <c r="N376" t="s">
        <v>45</v>
      </c>
      <c r="O376" t="s">
        <v>46</v>
      </c>
      <c r="P376" s="5">
        <v>1</v>
      </c>
      <c r="Q376" s="12">
        <v>44710.565567129626</v>
      </c>
      <c r="R376" s="13">
        <v>44711</v>
      </c>
      <c r="T376" t="s">
        <v>47</v>
      </c>
      <c r="U376" t="s">
        <v>48</v>
      </c>
      <c r="V376" t="s">
        <v>70</v>
      </c>
      <c r="Y376" t="s">
        <v>1202</v>
      </c>
      <c r="Z376">
        <v>40100</v>
      </c>
      <c r="AA376" t="s">
        <v>47</v>
      </c>
      <c r="AB376" t="s">
        <v>52</v>
      </c>
      <c r="AC376" t="s">
        <v>53</v>
      </c>
      <c r="AD376" s="16">
        <f>IF(P376&lt;=1,4.9,4.9+0.8*ROUNDUP(P376-1,0))</f>
        <v>4.9000000000000004</v>
      </c>
      <c r="AE376" s="15">
        <v>0</v>
      </c>
      <c r="AF376" s="15">
        <v>0</v>
      </c>
      <c r="AG376" s="15">
        <v>0</v>
      </c>
      <c r="AH376" s="15">
        <v>0</v>
      </c>
      <c r="AI376" s="15">
        <f t="shared" si="10"/>
        <v>0.29399999999999998</v>
      </c>
      <c r="AJ376" s="15">
        <f t="shared" si="11"/>
        <v>5.194</v>
      </c>
      <c r="AK376" t="s">
        <v>47</v>
      </c>
    </row>
    <row r="377" spans="1:37" ht="15" customHeight="1" x14ac:dyDescent="0.35">
      <c r="A377">
        <v>690929</v>
      </c>
      <c r="B377" t="s">
        <v>37</v>
      </c>
      <c r="C377" t="s">
        <v>38</v>
      </c>
      <c r="D377" s="9" t="s">
        <v>39</v>
      </c>
      <c r="E377" s="10" t="s">
        <v>37</v>
      </c>
      <c r="F377" s="11"/>
      <c r="G377" t="s">
        <v>1203</v>
      </c>
      <c r="I377" t="s">
        <v>41</v>
      </c>
      <c r="J377" t="s">
        <v>1204</v>
      </c>
      <c r="K377" t="s">
        <v>43</v>
      </c>
      <c r="L377">
        <v>2</v>
      </c>
      <c r="M377" t="s">
        <v>44</v>
      </c>
      <c r="N377" t="s">
        <v>45</v>
      </c>
      <c r="O377" t="s">
        <v>46</v>
      </c>
      <c r="P377" s="5">
        <v>1</v>
      </c>
      <c r="Q377" s="12">
        <v>44707.721504629626</v>
      </c>
      <c r="R377" s="13">
        <v>44711</v>
      </c>
      <c r="T377" t="s">
        <v>47</v>
      </c>
      <c r="U377" t="s">
        <v>58</v>
      </c>
      <c r="V377" t="s">
        <v>70</v>
      </c>
      <c r="Y377" t="s">
        <v>1205</v>
      </c>
      <c r="Z377">
        <v>43000</v>
      </c>
      <c r="AA377" t="s">
        <v>47</v>
      </c>
      <c r="AB377" t="s">
        <v>52</v>
      </c>
      <c r="AC377" t="s">
        <v>53</v>
      </c>
      <c r="AD377" s="16">
        <f>IF(P377&lt;=1,4.9,4.9+0.8*ROUNDUP(P377-1,0))</f>
        <v>4.9000000000000004</v>
      </c>
      <c r="AE377" s="15">
        <v>0</v>
      </c>
      <c r="AF377" s="15">
        <v>0</v>
      </c>
      <c r="AG377" s="15">
        <v>0</v>
      </c>
      <c r="AH377" s="15">
        <v>0</v>
      </c>
      <c r="AI377" s="15">
        <f t="shared" si="10"/>
        <v>0.29399999999999998</v>
      </c>
      <c r="AJ377" s="15">
        <f t="shared" si="11"/>
        <v>5.194</v>
      </c>
      <c r="AK377" t="s">
        <v>47</v>
      </c>
    </row>
    <row r="378" spans="1:37" ht="15" customHeight="1" x14ac:dyDescent="0.35">
      <c r="A378">
        <v>690929</v>
      </c>
      <c r="B378" t="s">
        <v>37</v>
      </c>
      <c r="C378" t="s">
        <v>38</v>
      </c>
      <c r="D378" s="9" t="s">
        <v>39</v>
      </c>
      <c r="E378" s="10" t="s">
        <v>37</v>
      </c>
      <c r="F378" s="11"/>
      <c r="G378" t="s">
        <v>1206</v>
      </c>
      <c r="I378" t="s">
        <v>41</v>
      </c>
      <c r="J378" t="s">
        <v>1207</v>
      </c>
      <c r="K378" t="s">
        <v>43</v>
      </c>
      <c r="L378">
        <v>2</v>
      </c>
      <c r="M378" t="s">
        <v>44</v>
      </c>
      <c r="N378" t="s">
        <v>45</v>
      </c>
      <c r="O378" t="s">
        <v>46</v>
      </c>
      <c r="P378" s="5">
        <v>3</v>
      </c>
      <c r="Q378" s="12">
        <v>44700.585659722223</v>
      </c>
      <c r="R378" s="13">
        <v>44711</v>
      </c>
      <c r="T378" t="s">
        <v>47</v>
      </c>
      <c r="U378" t="s">
        <v>48</v>
      </c>
      <c r="V378" t="s">
        <v>70</v>
      </c>
      <c r="Y378" t="s">
        <v>1208</v>
      </c>
      <c r="Z378">
        <v>40150</v>
      </c>
      <c r="AA378" t="s">
        <v>47</v>
      </c>
      <c r="AB378" t="s">
        <v>52</v>
      </c>
      <c r="AC378" t="s">
        <v>53</v>
      </c>
      <c r="AD378" s="16">
        <f>IF(P378&lt;=1,4.9,4.9+0.8*ROUNDUP(P378-1,0))</f>
        <v>6.5</v>
      </c>
      <c r="AE378" s="15">
        <v>0</v>
      </c>
      <c r="AF378" s="15">
        <v>0</v>
      </c>
      <c r="AG378" s="15">
        <v>0</v>
      </c>
      <c r="AH378" s="15">
        <v>0</v>
      </c>
      <c r="AI378" s="15">
        <f t="shared" si="10"/>
        <v>0.39</v>
      </c>
      <c r="AJ378" s="15">
        <f t="shared" si="11"/>
        <v>6.89</v>
      </c>
      <c r="AK378" t="s">
        <v>47</v>
      </c>
    </row>
    <row r="379" spans="1:37" ht="15" customHeight="1" x14ac:dyDescent="0.35">
      <c r="A379">
        <v>690929</v>
      </c>
      <c r="B379" t="s">
        <v>37</v>
      </c>
      <c r="C379" t="s">
        <v>38</v>
      </c>
      <c r="D379" s="9" t="s">
        <v>39</v>
      </c>
      <c r="E379" s="10" t="s">
        <v>37</v>
      </c>
      <c r="F379" s="11"/>
      <c r="G379" t="s">
        <v>1209</v>
      </c>
      <c r="I379" t="s">
        <v>41</v>
      </c>
      <c r="J379" t="s">
        <v>1210</v>
      </c>
      <c r="K379" t="s">
        <v>43</v>
      </c>
      <c r="L379">
        <v>2</v>
      </c>
      <c r="M379" t="s">
        <v>44</v>
      </c>
      <c r="N379" t="s">
        <v>45</v>
      </c>
      <c r="O379" t="s">
        <v>531</v>
      </c>
      <c r="P379" s="5">
        <v>2</v>
      </c>
      <c r="Q379" s="12">
        <v>44707.732002314813</v>
      </c>
      <c r="R379" s="13">
        <v>44711</v>
      </c>
      <c r="T379" t="s">
        <v>47</v>
      </c>
      <c r="U379" t="s">
        <v>58</v>
      </c>
      <c r="V379" t="s">
        <v>70</v>
      </c>
      <c r="Y379" t="s">
        <v>1211</v>
      </c>
      <c r="Z379">
        <v>52100</v>
      </c>
      <c r="AA379" t="s">
        <v>47</v>
      </c>
      <c r="AB379" t="s">
        <v>665</v>
      </c>
      <c r="AC379" t="s">
        <v>53</v>
      </c>
      <c r="AD379" s="16">
        <f>IF(P379&lt;=1,4.9,4.9+0.8*ROUNDUP(P379-1,0))</f>
        <v>5.7</v>
      </c>
      <c r="AE379" s="15">
        <v>0</v>
      </c>
      <c r="AF379" s="15">
        <v>0</v>
      </c>
      <c r="AG379" s="15">
        <v>0</v>
      </c>
      <c r="AH379" s="15">
        <v>0</v>
      </c>
      <c r="AI379" s="15">
        <f t="shared" si="10"/>
        <v>0.34199999999999997</v>
      </c>
      <c r="AJ379" s="15">
        <f t="shared" si="11"/>
        <v>6.0419999999999998</v>
      </c>
      <c r="AK379" t="s">
        <v>47</v>
      </c>
    </row>
    <row r="380" spans="1:37" ht="15" customHeight="1" x14ac:dyDescent="0.35">
      <c r="A380">
        <v>690929</v>
      </c>
      <c r="B380" t="s">
        <v>37</v>
      </c>
      <c r="C380" t="s">
        <v>38</v>
      </c>
      <c r="D380" s="9" t="s">
        <v>39</v>
      </c>
      <c r="E380" s="10" t="s">
        <v>37</v>
      </c>
      <c r="F380" s="11"/>
      <c r="G380" t="s">
        <v>1212</v>
      </c>
      <c r="I380" t="s">
        <v>41</v>
      </c>
      <c r="J380" t="s">
        <v>1213</v>
      </c>
      <c r="K380" t="s">
        <v>43</v>
      </c>
      <c r="L380">
        <v>2</v>
      </c>
      <c r="M380" t="s">
        <v>44</v>
      </c>
      <c r="N380" t="s">
        <v>45</v>
      </c>
      <c r="O380" t="s">
        <v>46</v>
      </c>
      <c r="P380" s="5">
        <v>1</v>
      </c>
      <c r="Q380" s="12">
        <v>44707.55541666667</v>
      </c>
      <c r="R380" s="13">
        <v>44711</v>
      </c>
      <c r="T380" t="s">
        <v>47</v>
      </c>
      <c r="U380" t="s">
        <v>48</v>
      </c>
      <c r="V380" t="s">
        <v>70</v>
      </c>
      <c r="Y380" t="s">
        <v>1214</v>
      </c>
      <c r="Z380">
        <v>48300</v>
      </c>
      <c r="AA380" t="s">
        <v>47</v>
      </c>
      <c r="AB380" t="s">
        <v>52</v>
      </c>
      <c r="AC380" t="s">
        <v>53</v>
      </c>
      <c r="AD380" s="16">
        <f>IF(P380&lt;=1,4.9,4.9+0.8*ROUNDUP(P380-1,0))</f>
        <v>4.9000000000000004</v>
      </c>
      <c r="AE380" s="15">
        <v>0</v>
      </c>
      <c r="AF380" s="15">
        <v>0</v>
      </c>
      <c r="AG380" s="15">
        <v>0</v>
      </c>
      <c r="AH380" s="15">
        <v>0</v>
      </c>
      <c r="AI380" s="15">
        <f t="shared" si="10"/>
        <v>0.29399999999999998</v>
      </c>
      <c r="AJ380" s="15">
        <f t="shared" si="11"/>
        <v>5.194</v>
      </c>
      <c r="AK380" t="s">
        <v>47</v>
      </c>
    </row>
    <row r="381" spans="1:37" ht="15" customHeight="1" x14ac:dyDescent="0.35">
      <c r="A381">
        <v>690929</v>
      </c>
      <c r="B381" t="s">
        <v>37</v>
      </c>
      <c r="C381" t="s">
        <v>38</v>
      </c>
      <c r="D381" s="9" t="s">
        <v>39</v>
      </c>
      <c r="E381" s="10" t="s">
        <v>37</v>
      </c>
      <c r="F381" s="11"/>
      <c r="G381" t="s">
        <v>1215</v>
      </c>
      <c r="I381" t="s">
        <v>41</v>
      </c>
      <c r="J381" t="s">
        <v>1216</v>
      </c>
      <c r="K381" t="s">
        <v>43</v>
      </c>
      <c r="L381">
        <v>2</v>
      </c>
      <c r="M381" t="s">
        <v>44</v>
      </c>
      <c r="N381" t="s">
        <v>45</v>
      </c>
      <c r="O381" t="s">
        <v>46</v>
      </c>
      <c r="P381" s="5">
        <v>1</v>
      </c>
      <c r="Q381" s="12">
        <v>44707.700370370374</v>
      </c>
      <c r="R381" s="13">
        <v>44712</v>
      </c>
      <c r="T381" t="s">
        <v>47</v>
      </c>
      <c r="U381" t="s">
        <v>58</v>
      </c>
      <c r="V381" t="s">
        <v>407</v>
      </c>
      <c r="Y381" t="s">
        <v>1217</v>
      </c>
      <c r="Z381">
        <v>72000</v>
      </c>
      <c r="AA381" t="s">
        <v>47</v>
      </c>
      <c r="AB381" t="s">
        <v>52</v>
      </c>
      <c r="AC381" t="s">
        <v>53</v>
      </c>
      <c r="AD381" s="16">
        <f>IF(P381&lt;=1,4.9,4.9+0.8*ROUNDUP(P381-1,0))</f>
        <v>4.9000000000000004</v>
      </c>
      <c r="AE381" s="15">
        <v>0</v>
      </c>
      <c r="AF381" s="15">
        <v>0</v>
      </c>
      <c r="AG381" s="15">
        <v>0</v>
      </c>
      <c r="AH381" s="15">
        <v>0</v>
      </c>
      <c r="AI381" s="15">
        <f t="shared" si="10"/>
        <v>0.29399999999999998</v>
      </c>
      <c r="AJ381" s="15">
        <f t="shared" si="11"/>
        <v>5.194</v>
      </c>
      <c r="AK381" t="s">
        <v>47</v>
      </c>
    </row>
    <row r="382" spans="1:37" ht="15" customHeight="1" x14ac:dyDescent="0.35">
      <c r="A382">
        <v>690929</v>
      </c>
      <c r="B382" t="s">
        <v>37</v>
      </c>
      <c r="C382" t="s">
        <v>38</v>
      </c>
      <c r="D382" s="9" t="s">
        <v>39</v>
      </c>
      <c r="E382" s="10" t="s">
        <v>37</v>
      </c>
      <c r="F382" s="11"/>
      <c r="G382" t="s">
        <v>1218</v>
      </c>
      <c r="I382" t="s">
        <v>41</v>
      </c>
      <c r="J382" t="s">
        <v>1219</v>
      </c>
      <c r="K382" t="s">
        <v>43</v>
      </c>
      <c r="L382">
        <v>2</v>
      </c>
      <c r="M382" t="s">
        <v>44</v>
      </c>
      <c r="N382" t="s">
        <v>45</v>
      </c>
      <c r="O382" t="s">
        <v>46</v>
      </c>
      <c r="P382" s="5">
        <v>1</v>
      </c>
      <c r="Q382" s="12">
        <v>44707.511261574073</v>
      </c>
      <c r="R382" s="13">
        <v>44711</v>
      </c>
      <c r="T382" t="s">
        <v>47</v>
      </c>
      <c r="U382" t="s">
        <v>48</v>
      </c>
      <c r="V382" t="s">
        <v>88</v>
      </c>
      <c r="Y382" t="s">
        <v>1220</v>
      </c>
      <c r="Z382">
        <v>53000</v>
      </c>
      <c r="AA382" t="s">
        <v>47</v>
      </c>
      <c r="AB382" t="s">
        <v>52</v>
      </c>
      <c r="AC382" t="s">
        <v>53</v>
      </c>
      <c r="AD382" s="16">
        <f>IF(P382&lt;=1,4.9,4.9+0.8*ROUNDUP(P382-1,0))</f>
        <v>4.9000000000000004</v>
      </c>
      <c r="AE382" s="15">
        <v>0</v>
      </c>
      <c r="AF382" s="15">
        <v>0</v>
      </c>
      <c r="AG382" s="15">
        <v>0</v>
      </c>
      <c r="AH382" s="15">
        <v>0</v>
      </c>
      <c r="AI382" s="15">
        <f t="shared" si="10"/>
        <v>0.29399999999999998</v>
      </c>
      <c r="AJ382" s="15">
        <f t="shared" si="11"/>
        <v>5.194</v>
      </c>
      <c r="AK382" t="s">
        <v>47</v>
      </c>
    </row>
    <row r="383" spans="1:37" ht="15" customHeight="1" x14ac:dyDescent="0.35">
      <c r="A383">
        <v>690929</v>
      </c>
      <c r="B383" t="s">
        <v>37</v>
      </c>
      <c r="C383" t="s">
        <v>38</v>
      </c>
      <c r="D383" s="9" t="s">
        <v>39</v>
      </c>
      <c r="E383" s="10" t="s">
        <v>37</v>
      </c>
      <c r="F383" s="11"/>
      <c r="G383" t="s">
        <v>1221</v>
      </c>
      <c r="I383" t="s">
        <v>41</v>
      </c>
      <c r="J383" t="s">
        <v>1222</v>
      </c>
      <c r="K383" t="s">
        <v>43</v>
      </c>
      <c r="L383">
        <v>2</v>
      </c>
      <c r="M383" t="s">
        <v>44</v>
      </c>
      <c r="N383" t="s">
        <v>45</v>
      </c>
      <c r="O383" t="s">
        <v>46</v>
      </c>
      <c r="P383" s="5">
        <v>2</v>
      </c>
      <c r="Q383" s="12">
        <v>44707.763912037037</v>
      </c>
      <c r="R383" s="13">
        <v>44711</v>
      </c>
      <c r="T383" t="s">
        <v>47</v>
      </c>
      <c r="U383" t="s">
        <v>58</v>
      </c>
      <c r="V383" t="s">
        <v>93</v>
      </c>
      <c r="Y383" t="s">
        <v>1223</v>
      </c>
      <c r="Z383">
        <v>81100</v>
      </c>
      <c r="AA383" t="s">
        <v>47</v>
      </c>
      <c r="AB383" t="s">
        <v>52</v>
      </c>
      <c r="AC383" t="s">
        <v>53</v>
      </c>
      <c r="AD383" s="16">
        <f>IF(P383&lt;=1,4.9,4.9+0.8*ROUNDUP(P383-1,0))</f>
        <v>5.7</v>
      </c>
      <c r="AE383" s="15">
        <v>0</v>
      </c>
      <c r="AF383" s="15">
        <v>0</v>
      </c>
      <c r="AG383" s="15">
        <v>0</v>
      </c>
      <c r="AH383" s="15">
        <v>0</v>
      </c>
      <c r="AI383" s="15">
        <f t="shared" si="10"/>
        <v>0.34199999999999997</v>
      </c>
      <c r="AJ383" s="15">
        <f t="shared" si="11"/>
        <v>6.0419999999999998</v>
      </c>
      <c r="AK383" t="s">
        <v>47</v>
      </c>
    </row>
    <row r="384" spans="1:37" ht="15" customHeight="1" x14ac:dyDescent="0.35">
      <c r="A384">
        <v>690929</v>
      </c>
      <c r="B384" t="s">
        <v>37</v>
      </c>
      <c r="C384" t="s">
        <v>38</v>
      </c>
      <c r="D384" s="9" t="s">
        <v>39</v>
      </c>
      <c r="E384" s="10" t="s">
        <v>37</v>
      </c>
      <c r="F384" s="11"/>
      <c r="G384" t="s">
        <v>1224</v>
      </c>
      <c r="I384" t="s">
        <v>41</v>
      </c>
      <c r="J384" t="s">
        <v>1225</v>
      </c>
      <c r="K384" t="s">
        <v>43</v>
      </c>
      <c r="L384">
        <v>2</v>
      </c>
      <c r="M384" t="s">
        <v>44</v>
      </c>
      <c r="N384" t="s">
        <v>45</v>
      </c>
      <c r="O384" t="s">
        <v>46</v>
      </c>
      <c r="P384" s="5">
        <v>1</v>
      </c>
      <c r="Q384" s="12">
        <v>44707.510196759256</v>
      </c>
      <c r="R384" s="13">
        <v>44711</v>
      </c>
      <c r="T384" t="s">
        <v>47</v>
      </c>
      <c r="U384" t="s">
        <v>48</v>
      </c>
      <c r="V384" t="s">
        <v>88</v>
      </c>
      <c r="Y384" t="s">
        <v>1226</v>
      </c>
      <c r="Z384">
        <v>56000</v>
      </c>
      <c r="AA384" t="s">
        <v>47</v>
      </c>
      <c r="AB384" t="s">
        <v>52</v>
      </c>
      <c r="AC384" t="s">
        <v>53</v>
      </c>
      <c r="AD384" s="16">
        <f>IF(P384&lt;=1,4.9,4.9+0.8*ROUNDUP(P384-1,0))</f>
        <v>4.9000000000000004</v>
      </c>
      <c r="AE384" s="15">
        <v>0</v>
      </c>
      <c r="AF384" s="15">
        <v>0</v>
      </c>
      <c r="AG384" s="15">
        <v>0</v>
      </c>
      <c r="AH384" s="15">
        <v>0</v>
      </c>
      <c r="AI384" s="15">
        <f t="shared" si="10"/>
        <v>0.29399999999999998</v>
      </c>
      <c r="AJ384" s="15">
        <f t="shared" si="11"/>
        <v>5.194</v>
      </c>
      <c r="AK384" t="s">
        <v>47</v>
      </c>
    </row>
    <row r="385" spans="1:37" ht="15" customHeight="1" x14ac:dyDescent="0.35">
      <c r="A385">
        <v>690929</v>
      </c>
      <c r="B385" t="s">
        <v>37</v>
      </c>
      <c r="C385" t="s">
        <v>38</v>
      </c>
      <c r="D385" s="9" t="s">
        <v>39</v>
      </c>
      <c r="E385" s="10" t="s">
        <v>37</v>
      </c>
      <c r="F385" s="11"/>
      <c r="G385" t="s">
        <v>1227</v>
      </c>
      <c r="I385" t="s">
        <v>41</v>
      </c>
      <c r="J385" t="s">
        <v>1228</v>
      </c>
      <c r="K385" t="s">
        <v>43</v>
      </c>
      <c r="L385">
        <v>2</v>
      </c>
      <c r="M385" t="s">
        <v>44</v>
      </c>
      <c r="N385" t="s">
        <v>45</v>
      </c>
      <c r="O385" t="s">
        <v>46</v>
      </c>
      <c r="P385" s="5">
        <v>1</v>
      </c>
      <c r="Q385" s="12">
        <v>44709.726284722223</v>
      </c>
      <c r="R385" s="13">
        <v>44712</v>
      </c>
      <c r="T385" t="s">
        <v>47</v>
      </c>
      <c r="U385" t="s">
        <v>48</v>
      </c>
      <c r="V385" t="s">
        <v>70</v>
      </c>
      <c r="Y385" t="s">
        <v>1229</v>
      </c>
      <c r="Z385">
        <v>47150</v>
      </c>
      <c r="AA385" t="s">
        <v>47</v>
      </c>
      <c r="AB385" t="s">
        <v>52</v>
      </c>
      <c r="AC385" t="s">
        <v>53</v>
      </c>
      <c r="AD385" s="16">
        <f>IF(P385&lt;=1,4.9,4.9+0.8*ROUNDUP(P385-1,0))</f>
        <v>4.9000000000000004</v>
      </c>
      <c r="AE385" s="15">
        <v>0</v>
      </c>
      <c r="AF385" s="15">
        <v>0</v>
      </c>
      <c r="AG385" s="15">
        <v>0</v>
      </c>
      <c r="AH385" s="15">
        <v>0</v>
      </c>
      <c r="AI385" s="15">
        <f t="shared" si="10"/>
        <v>0.29399999999999998</v>
      </c>
      <c r="AJ385" s="15">
        <f t="shared" si="11"/>
        <v>5.194</v>
      </c>
      <c r="AK385" t="s">
        <v>47</v>
      </c>
    </row>
    <row r="386" spans="1:37" ht="15" customHeight="1" x14ac:dyDescent="0.35">
      <c r="A386">
        <v>690929</v>
      </c>
      <c r="B386" t="s">
        <v>37</v>
      </c>
      <c r="C386" t="s">
        <v>38</v>
      </c>
      <c r="D386" s="9" t="s">
        <v>39</v>
      </c>
      <c r="E386" s="10" t="s">
        <v>37</v>
      </c>
      <c r="F386" s="11"/>
      <c r="G386" t="s">
        <v>1230</v>
      </c>
      <c r="I386" t="s">
        <v>41</v>
      </c>
      <c r="J386" t="s">
        <v>1231</v>
      </c>
      <c r="K386" t="s">
        <v>43</v>
      </c>
      <c r="L386">
        <v>2</v>
      </c>
      <c r="M386" t="s">
        <v>44</v>
      </c>
      <c r="N386" t="s">
        <v>45</v>
      </c>
      <c r="O386" t="s">
        <v>46</v>
      </c>
      <c r="P386" s="5">
        <v>2</v>
      </c>
      <c r="Q386" s="12">
        <v>44709.7655787037</v>
      </c>
      <c r="R386" s="13">
        <v>44712</v>
      </c>
      <c r="T386" t="s">
        <v>47</v>
      </c>
      <c r="U386" t="s">
        <v>58</v>
      </c>
      <c r="V386" t="s">
        <v>110</v>
      </c>
      <c r="Y386" t="s">
        <v>1232</v>
      </c>
      <c r="Z386">
        <v>24000</v>
      </c>
      <c r="AA386" t="s">
        <v>47</v>
      </c>
      <c r="AB386" t="s">
        <v>58</v>
      </c>
      <c r="AC386" t="s">
        <v>53</v>
      </c>
      <c r="AD386" s="16">
        <f>IF(P386&lt;=1,4.9,4.9+0.8*ROUNDUP(P386-1,0))</f>
        <v>5.7</v>
      </c>
      <c r="AE386" s="15">
        <v>0</v>
      </c>
      <c r="AF386" s="15">
        <v>0</v>
      </c>
      <c r="AG386" s="15">
        <v>0</v>
      </c>
      <c r="AH386" s="15">
        <v>0</v>
      </c>
      <c r="AI386" s="15">
        <f t="shared" ref="AI386:AI410" si="12">(AD386+AF386+AH386)*6%</f>
        <v>0.34199999999999997</v>
      </c>
      <c r="AJ386" s="15">
        <f t="shared" ref="AJ386:AJ410" si="13">AD386+AF386+AH386+AI386</f>
        <v>6.0419999999999998</v>
      </c>
      <c r="AK386" t="s">
        <v>47</v>
      </c>
    </row>
    <row r="387" spans="1:37" ht="15" customHeight="1" x14ac:dyDescent="0.35">
      <c r="A387">
        <v>690929</v>
      </c>
      <c r="B387" t="s">
        <v>37</v>
      </c>
      <c r="C387" t="s">
        <v>38</v>
      </c>
      <c r="D387" s="9" t="s">
        <v>39</v>
      </c>
      <c r="E387" s="10" t="s">
        <v>37</v>
      </c>
      <c r="F387" s="11"/>
      <c r="G387" t="s">
        <v>1233</v>
      </c>
      <c r="I387" t="s">
        <v>41</v>
      </c>
      <c r="J387" t="s">
        <v>1234</v>
      </c>
      <c r="K387" t="s">
        <v>43</v>
      </c>
      <c r="L387">
        <v>2</v>
      </c>
      <c r="M387" t="s">
        <v>44</v>
      </c>
      <c r="N387" t="s">
        <v>45</v>
      </c>
      <c r="O387" t="s">
        <v>46</v>
      </c>
      <c r="P387" s="5">
        <v>1</v>
      </c>
      <c r="Q387" s="12">
        <v>44711.594849537039</v>
      </c>
      <c r="R387" s="13">
        <v>44712</v>
      </c>
      <c r="T387" t="s">
        <v>47</v>
      </c>
      <c r="U387" t="s">
        <v>48</v>
      </c>
      <c r="V387" t="s">
        <v>110</v>
      </c>
      <c r="Y387" t="s">
        <v>990</v>
      </c>
      <c r="Z387">
        <v>21800</v>
      </c>
      <c r="AA387" t="s">
        <v>47</v>
      </c>
      <c r="AB387" t="s">
        <v>58</v>
      </c>
      <c r="AC387" t="s">
        <v>53</v>
      </c>
      <c r="AD387" s="16">
        <f>IF(P387&lt;=1,4.9,4.9+0.8*ROUNDUP(P387-1,0))</f>
        <v>4.9000000000000004</v>
      </c>
      <c r="AE387" s="15">
        <v>0</v>
      </c>
      <c r="AF387" s="15">
        <v>0</v>
      </c>
      <c r="AG387" s="15">
        <v>0</v>
      </c>
      <c r="AH387" s="15">
        <v>0</v>
      </c>
      <c r="AI387" s="15">
        <f t="shared" si="12"/>
        <v>0.29399999999999998</v>
      </c>
      <c r="AJ387" s="15">
        <f t="shared" si="13"/>
        <v>5.194</v>
      </c>
      <c r="AK387" t="s">
        <v>47</v>
      </c>
    </row>
    <row r="388" spans="1:37" ht="15" customHeight="1" x14ac:dyDescent="0.35">
      <c r="A388">
        <v>690929</v>
      </c>
      <c r="B388" t="s">
        <v>37</v>
      </c>
      <c r="C388" t="s">
        <v>38</v>
      </c>
      <c r="D388" s="9" t="s">
        <v>39</v>
      </c>
      <c r="E388" s="10" t="s">
        <v>37</v>
      </c>
      <c r="F388" s="11"/>
      <c r="G388" t="s">
        <v>1235</v>
      </c>
      <c r="I388" t="s">
        <v>41</v>
      </c>
      <c r="J388" t="s">
        <v>1236</v>
      </c>
      <c r="K388" t="s">
        <v>43</v>
      </c>
      <c r="L388">
        <v>2</v>
      </c>
      <c r="M388" t="s">
        <v>44</v>
      </c>
      <c r="N388" t="s">
        <v>45</v>
      </c>
      <c r="O388" t="s">
        <v>46</v>
      </c>
      <c r="P388" s="5">
        <v>1</v>
      </c>
      <c r="Q388" s="12">
        <v>44709.752442129633</v>
      </c>
      <c r="R388" s="13">
        <v>44712</v>
      </c>
      <c r="T388" t="s">
        <v>47</v>
      </c>
      <c r="U388" t="s">
        <v>48</v>
      </c>
      <c r="V388" t="s">
        <v>70</v>
      </c>
      <c r="Y388" t="s">
        <v>1237</v>
      </c>
      <c r="Z388">
        <v>42450</v>
      </c>
      <c r="AA388" t="s">
        <v>47</v>
      </c>
      <c r="AB388" t="s">
        <v>52</v>
      </c>
      <c r="AC388" t="s">
        <v>53</v>
      </c>
      <c r="AD388" s="16">
        <f>IF(P388&lt;=1,4.9,4.9+0.8*ROUNDUP(P388-1,0))</f>
        <v>4.9000000000000004</v>
      </c>
      <c r="AE388" s="15">
        <v>0</v>
      </c>
      <c r="AF388" s="15">
        <v>0</v>
      </c>
      <c r="AG388" s="15">
        <v>0</v>
      </c>
      <c r="AH388" s="15">
        <v>0</v>
      </c>
      <c r="AI388" s="15">
        <f t="shared" si="12"/>
        <v>0.29399999999999998</v>
      </c>
      <c r="AJ388" s="15">
        <f t="shared" si="13"/>
        <v>5.194</v>
      </c>
      <c r="AK388" t="s">
        <v>47</v>
      </c>
    </row>
    <row r="389" spans="1:37" ht="15" customHeight="1" x14ac:dyDescent="0.35">
      <c r="A389">
        <v>690929</v>
      </c>
      <c r="B389" t="s">
        <v>37</v>
      </c>
      <c r="C389" t="s">
        <v>38</v>
      </c>
      <c r="D389" s="9" t="s">
        <v>39</v>
      </c>
      <c r="E389" s="10" t="s">
        <v>37</v>
      </c>
      <c r="F389" s="11"/>
      <c r="G389" t="s">
        <v>1238</v>
      </c>
      <c r="I389" t="s">
        <v>41</v>
      </c>
      <c r="J389" t="s">
        <v>1239</v>
      </c>
      <c r="K389" t="s">
        <v>43</v>
      </c>
      <c r="L389">
        <v>2</v>
      </c>
      <c r="M389" t="s">
        <v>44</v>
      </c>
      <c r="N389" t="s">
        <v>45</v>
      </c>
      <c r="O389" t="s">
        <v>46</v>
      </c>
      <c r="P389" s="5">
        <v>1</v>
      </c>
      <c r="Q389" s="12">
        <v>44711.62363425926</v>
      </c>
      <c r="R389" s="13">
        <v>44712</v>
      </c>
      <c r="T389" t="s">
        <v>47</v>
      </c>
      <c r="U389" t="s">
        <v>48</v>
      </c>
      <c r="V389" t="s">
        <v>56</v>
      </c>
      <c r="Y389" t="s">
        <v>1240</v>
      </c>
      <c r="Z389">
        <v>26100</v>
      </c>
      <c r="AA389" t="s">
        <v>47</v>
      </c>
      <c r="AB389" t="s">
        <v>1241</v>
      </c>
      <c r="AC389" t="s">
        <v>53</v>
      </c>
      <c r="AD389" s="16">
        <f>IF(P389&lt;=1,4.9,4.9+0.8*ROUNDUP(P389-1,0))</f>
        <v>4.9000000000000004</v>
      </c>
      <c r="AE389" s="15">
        <v>0</v>
      </c>
      <c r="AF389" s="15">
        <v>0</v>
      </c>
      <c r="AG389" s="15">
        <v>0</v>
      </c>
      <c r="AH389" s="15">
        <v>0</v>
      </c>
      <c r="AI389" s="15">
        <f t="shared" si="12"/>
        <v>0.29399999999999998</v>
      </c>
      <c r="AJ389" s="15">
        <f t="shared" si="13"/>
        <v>5.194</v>
      </c>
      <c r="AK389" t="s">
        <v>47</v>
      </c>
    </row>
    <row r="390" spans="1:37" ht="15" customHeight="1" x14ac:dyDescent="0.35">
      <c r="A390">
        <v>690929</v>
      </c>
      <c r="B390" t="s">
        <v>37</v>
      </c>
      <c r="C390" t="s">
        <v>38</v>
      </c>
      <c r="D390" s="9" t="s">
        <v>39</v>
      </c>
      <c r="E390" s="10" t="s">
        <v>37</v>
      </c>
      <c r="F390" s="11"/>
      <c r="G390" t="s">
        <v>1242</v>
      </c>
      <c r="I390" t="s">
        <v>41</v>
      </c>
      <c r="J390" t="s">
        <v>1243</v>
      </c>
      <c r="K390" t="s">
        <v>43</v>
      </c>
      <c r="L390">
        <v>2</v>
      </c>
      <c r="M390" t="s">
        <v>44</v>
      </c>
      <c r="N390" t="s">
        <v>45</v>
      </c>
      <c r="O390" t="s">
        <v>46</v>
      </c>
      <c r="P390" s="5">
        <v>1</v>
      </c>
      <c r="Q390" s="12">
        <v>44709.7346412037</v>
      </c>
      <c r="R390" s="13">
        <v>44712</v>
      </c>
      <c r="T390" t="s">
        <v>47</v>
      </c>
      <c r="U390" t="s">
        <v>48</v>
      </c>
      <c r="V390" t="s">
        <v>70</v>
      </c>
      <c r="Y390" t="s">
        <v>1244</v>
      </c>
      <c r="Z390">
        <v>42000</v>
      </c>
      <c r="AA390" t="s">
        <v>47</v>
      </c>
      <c r="AB390" t="s">
        <v>52</v>
      </c>
      <c r="AC390" t="s">
        <v>53</v>
      </c>
      <c r="AD390" s="16">
        <f>IF(P390&lt;=1,4.9,4.9+0.8*ROUNDUP(P390-1,0))</f>
        <v>4.9000000000000004</v>
      </c>
      <c r="AE390" s="15">
        <v>0</v>
      </c>
      <c r="AF390" s="15">
        <v>0</v>
      </c>
      <c r="AG390" s="15">
        <v>0</v>
      </c>
      <c r="AH390" s="15">
        <v>0</v>
      </c>
      <c r="AI390" s="15">
        <f t="shared" si="12"/>
        <v>0.29399999999999998</v>
      </c>
      <c r="AJ390" s="15">
        <f t="shared" si="13"/>
        <v>5.194</v>
      </c>
      <c r="AK390" t="s">
        <v>47</v>
      </c>
    </row>
    <row r="391" spans="1:37" ht="15" customHeight="1" x14ac:dyDescent="0.35">
      <c r="A391">
        <v>690929</v>
      </c>
      <c r="B391" t="s">
        <v>37</v>
      </c>
      <c r="C391" t="s">
        <v>38</v>
      </c>
      <c r="D391" s="9" t="s">
        <v>39</v>
      </c>
      <c r="E391" s="10" t="s">
        <v>37</v>
      </c>
      <c r="F391" s="11"/>
      <c r="G391" t="s">
        <v>1245</v>
      </c>
      <c r="I391" t="s">
        <v>41</v>
      </c>
      <c r="J391" t="s">
        <v>1246</v>
      </c>
      <c r="K391" t="s">
        <v>43</v>
      </c>
      <c r="L391">
        <v>2</v>
      </c>
      <c r="M391" t="s">
        <v>44</v>
      </c>
      <c r="N391" t="s">
        <v>45</v>
      </c>
      <c r="O391" t="s">
        <v>46</v>
      </c>
      <c r="P391" s="5">
        <v>1</v>
      </c>
      <c r="Q391" s="12">
        <v>44710.737523148149</v>
      </c>
      <c r="R391" s="13">
        <v>44712</v>
      </c>
      <c r="T391" t="s">
        <v>47</v>
      </c>
      <c r="U391" t="s">
        <v>48</v>
      </c>
      <c r="V391" t="s">
        <v>110</v>
      </c>
      <c r="Y391" t="s">
        <v>1247</v>
      </c>
      <c r="Z391">
        <v>21080</v>
      </c>
      <c r="AA391" t="s">
        <v>47</v>
      </c>
      <c r="AB391" t="s">
        <v>58</v>
      </c>
      <c r="AC391" t="s">
        <v>53</v>
      </c>
      <c r="AD391" s="16">
        <f>IF(P391&lt;=1,4.9,4.9+0.8*ROUNDUP(P391-1,0))</f>
        <v>4.9000000000000004</v>
      </c>
      <c r="AE391" s="15">
        <v>0</v>
      </c>
      <c r="AF391" s="15">
        <v>0</v>
      </c>
      <c r="AG391" s="15">
        <v>0</v>
      </c>
      <c r="AH391" s="15">
        <v>0</v>
      </c>
      <c r="AI391" s="15">
        <f t="shared" si="12"/>
        <v>0.29399999999999998</v>
      </c>
      <c r="AJ391" s="15">
        <f t="shared" si="13"/>
        <v>5.194</v>
      </c>
      <c r="AK391" t="s">
        <v>47</v>
      </c>
    </row>
    <row r="392" spans="1:37" ht="15" customHeight="1" x14ac:dyDescent="0.35">
      <c r="A392">
        <v>690929</v>
      </c>
      <c r="B392" t="s">
        <v>37</v>
      </c>
      <c r="C392" t="s">
        <v>38</v>
      </c>
      <c r="D392" s="9" t="s">
        <v>39</v>
      </c>
      <c r="E392" s="10" t="s">
        <v>37</v>
      </c>
      <c r="F392" s="11"/>
      <c r="G392" t="s">
        <v>1248</v>
      </c>
      <c r="I392" t="s">
        <v>41</v>
      </c>
      <c r="J392" t="s">
        <v>1249</v>
      </c>
      <c r="K392" t="s">
        <v>43</v>
      </c>
      <c r="L392">
        <v>2</v>
      </c>
      <c r="M392" t="s">
        <v>44</v>
      </c>
      <c r="N392" t="s">
        <v>45</v>
      </c>
      <c r="O392" t="s">
        <v>46</v>
      </c>
      <c r="P392" s="5">
        <v>1</v>
      </c>
      <c r="Q392" s="12">
        <v>44709.722974537035</v>
      </c>
      <c r="R392" s="13">
        <v>44712</v>
      </c>
      <c r="T392" t="s">
        <v>47</v>
      </c>
      <c r="U392" t="s">
        <v>48</v>
      </c>
      <c r="V392" t="s">
        <v>76</v>
      </c>
      <c r="Y392" t="s">
        <v>1250</v>
      </c>
      <c r="Z392">
        <v>75250</v>
      </c>
      <c r="AA392" t="s">
        <v>47</v>
      </c>
      <c r="AB392" t="s">
        <v>52</v>
      </c>
      <c r="AC392" t="s">
        <v>53</v>
      </c>
      <c r="AD392" s="16">
        <f>IF(P392&lt;=1,4.9,4.9+0.8*ROUNDUP(P392-1,0))</f>
        <v>4.9000000000000004</v>
      </c>
      <c r="AE392" s="15">
        <v>0</v>
      </c>
      <c r="AF392" s="15">
        <v>0</v>
      </c>
      <c r="AG392" s="15">
        <v>0</v>
      </c>
      <c r="AH392" s="15">
        <v>0</v>
      </c>
      <c r="AI392" s="15">
        <f t="shared" si="12"/>
        <v>0.29399999999999998</v>
      </c>
      <c r="AJ392" s="15">
        <f t="shared" si="13"/>
        <v>5.194</v>
      </c>
      <c r="AK392" t="s">
        <v>47</v>
      </c>
    </row>
    <row r="393" spans="1:37" ht="15" customHeight="1" x14ac:dyDescent="0.35">
      <c r="A393">
        <v>690929</v>
      </c>
      <c r="B393" t="s">
        <v>37</v>
      </c>
      <c r="C393" t="s">
        <v>38</v>
      </c>
      <c r="D393" s="9" t="s">
        <v>39</v>
      </c>
      <c r="E393" s="10" t="s">
        <v>37</v>
      </c>
      <c r="F393" s="11"/>
      <c r="G393" t="s">
        <v>1251</v>
      </c>
      <c r="I393" t="s">
        <v>41</v>
      </c>
      <c r="J393" t="s">
        <v>1252</v>
      </c>
      <c r="K393" t="s">
        <v>43</v>
      </c>
      <c r="L393">
        <v>2</v>
      </c>
      <c r="M393" t="s">
        <v>44</v>
      </c>
      <c r="N393" t="s">
        <v>45</v>
      </c>
      <c r="O393" t="s">
        <v>46</v>
      </c>
      <c r="P393" s="5">
        <v>1</v>
      </c>
      <c r="Q393" s="12">
        <v>44709.745694444442</v>
      </c>
      <c r="R393" s="13">
        <v>44712</v>
      </c>
      <c r="T393" t="s">
        <v>47</v>
      </c>
      <c r="U393" t="s">
        <v>48</v>
      </c>
      <c r="V393" t="s">
        <v>122</v>
      </c>
      <c r="Y393" t="s">
        <v>1253</v>
      </c>
      <c r="Z393">
        <v>5350</v>
      </c>
      <c r="AA393" t="s">
        <v>47</v>
      </c>
      <c r="AB393" t="s">
        <v>52</v>
      </c>
      <c r="AC393" t="s">
        <v>53</v>
      </c>
      <c r="AD393" s="16">
        <f>IF(P393&lt;=1,4.9,4.9+0.8*ROUNDUP(P393-1,0))</f>
        <v>4.9000000000000004</v>
      </c>
      <c r="AE393" s="15">
        <v>0</v>
      </c>
      <c r="AF393" s="15">
        <v>0</v>
      </c>
      <c r="AG393" s="15">
        <v>0</v>
      </c>
      <c r="AH393" s="15">
        <v>0</v>
      </c>
      <c r="AI393" s="15">
        <f t="shared" si="12"/>
        <v>0.29399999999999998</v>
      </c>
      <c r="AJ393" s="15">
        <f t="shared" si="13"/>
        <v>5.194</v>
      </c>
      <c r="AK393" t="s">
        <v>47</v>
      </c>
    </row>
    <row r="394" spans="1:37" ht="15" customHeight="1" x14ac:dyDescent="0.35">
      <c r="A394">
        <v>690929</v>
      </c>
      <c r="B394" t="s">
        <v>37</v>
      </c>
      <c r="C394" t="s">
        <v>38</v>
      </c>
      <c r="D394" s="9" t="s">
        <v>39</v>
      </c>
      <c r="E394" s="10" t="s">
        <v>37</v>
      </c>
      <c r="F394" s="11"/>
      <c r="G394" t="s">
        <v>1254</v>
      </c>
      <c r="I394" t="s">
        <v>41</v>
      </c>
      <c r="J394" t="s">
        <v>1255</v>
      </c>
      <c r="K394" t="s">
        <v>43</v>
      </c>
      <c r="L394">
        <v>2</v>
      </c>
      <c r="M394" t="s">
        <v>44</v>
      </c>
      <c r="N394" t="s">
        <v>45</v>
      </c>
      <c r="O394" t="s">
        <v>46</v>
      </c>
      <c r="P394" s="5">
        <v>1</v>
      </c>
      <c r="Q394" s="12">
        <v>44710.718634259261</v>
      </c>
      <c r="R394" s="13">
        <v>44712</v>
      </c>
      <c r="T394" t="s">
        <v>47</v>
      </c>
      <c r="U394" t="s">
        <v>48</v>
      </c>
      <c r="V394" t="s">
        <v>61</v>
      </c>
      <c r="Y394" t="s">
        <v>1256</v>
      </c>
      <c r="Z394">
        <v>16800</v>
      </c>
      <c r="AA394" t="s">
        <v>47</v>
      </c>
      <c r="AB394" t="s">
        <v>58</v>
      </c>
      <c r="AC394" t="s">
        <v>53</v>
      </c>
      <c r="AD394" s="16">
        <f>IF(P394&lt;=1,4.9,4.9+0.8*ROUNDUP(P394-1,0))</f>
        <v>4.9000000000000004</v>
      </c>
      <c r="AE394" s="15">
        <v>0</v>
      </c>
      <c r="AF394" s="15">
        <v>0</v>
      </c>
      <c r="AG394" s="15">
        <v>0</v>
      </c>
      <c r="AH394" s="15">
        <v>0</v>
      </c>
      <c r="AI394" s="15">
        <f t="shared" si="12"/>
        <v>0.29399999999999998</v>
      </c>
      <c r="AJ394" s="15">
        <f t="shared" si="13"/>
        <v>5.194</v>
      </c>
      <c r="AK394" t="s">
        <v>47</v>
      </c>
    </row>
    <row r="395" spans="1:37" ht="15" customHeight="1" x14ac:dyDescent="0.35">
      <c r="A395">
        <v>690929</v>
      </c>
      <c r="B395" t="s">
        <v>37</v>
      </c>
      <c r="C395" t="s">
        <v>38</v>
      </c>
      <c r="D395" s="9" t="s">
        <v>39</v>
      </c>
      <c r="E395" s="10" t="s">
        <v>37</v>
      </c>
      <c r="F395" s="11"/>
      <c r="G395" t="s">
        <v>1257</v>
      </c>
      <c r="I395" t="s">
        <v>41</v>
      </c>
      <c r="J395" t="s">
        <v>1258</v>
      </c>
      <c r="K395" t="s">
        <v>43</v>
      </c>
      <c r="L395">
        <v>2</v>
      </c>
      <c r="M395" t="s">
        <v>44</v>
      </c>
      <c r="N395" t="s">
        <v>45</v>
      </c>
      <c r="O395" t="s">
        <v>46</v>
      </c>
      <c r="P395" s="5">
        <v>1</v>
      </c>
      <c r="Q395" s="12">
        <v>44710.675358796296</v>
      </c>
      <c r="R395" s="13">
        <v>44712</v>
      </c>
      <c r="T395" t="s">
        <v>47</v>
      </c>
      <c r="U395" t="s">
        <v>48</v>
      </c>
      <c r="V395" t="s">
        <v>110</v>
      </c>
      <c r="Y395" t="s">
        <v>1259</v>
      </c>
      <c r="Z395">
        <v>21010</v>
      </c>
      <c r="AA395" t="s">
        <v>47</v>
      </c>
      <c r="AB395" t="s">
        <v>58</v>
      </c>
      <c r="AC395" t="s">
        <v>53</v>
      </c>
      <c r="AD395" s="16">
        <f>IF(P395&lt;=1,4.9,4.9+0.8*ROUNDUP(P395-1,0))</f>
        <v>4.9000000000000004</v>
      </c>
      <c r="AE395" s="15">
        <v>0</v>
      </c>
      <c r="AF395" s="15">
        <v>0</v>
      </c>
      <c r="AG395" s="15">
        <v>0</v>
      </c>
      <c r="AH395" s="15">
        <v>0</v>
      </c>
      <c r="AI395" s="15">
        <f t="shared" si="12"/>
        <v>0.29399999999999998</v>
      </c>
      <c r="AJ395" s="15">
        <f t="shared" si="13"/>
        <v>5.194</v>
      </c>
      <c r="AK395" t="s">
        <v>47</v>
      </c>
    </row>
    <row r="396" spans="1:37" ht="15" customHeight="1" x14ac:dyDescent="0.35">
      <c r="A396">
        <v>690929</v>
      </c>
      <c r="B396" t="s">
        <v>37</v>
      </c>
      <c r="C396" t="s">
        <v>38</v>
      </c>
      <c r="D396" s="9" t="s">
        <v>39</v>
      </c>
      <c r="E396" s="10" t="s">
        <v>37</v>
      </c>
      <c r="F396" s="11"/>
      <c r="G396" t="s">
        <v>1260</v>
      </c>
      <c r="I396" t="s">
        <v>41</v>
      </c>
      <c r="J396" t="s">
        <v>1261</v>
      </c>
      <c r="K396" t="s">
        <v>43</v>
      </c>
      <c r="L396">
        <v>2</v>
      </c>
      <c r="M396" t="s">
        <v>44</v>
      </c>
      <c r="N396" t="s">
        <v>45</v>
      </c>
      <c r="O396" t="s">
        <v>46</v>
      </c>
      <c r="P396" s="5">
        <v>3</v>
      </c>
      <c r="Q396" s="12">
        <v>44710.574097222219</v>
      </c>
      <c r="R396" s="13">
        <v>44712</v>
      </c>
      <c r="T396" t="s">
        <v>47</v>
      </c>
      <c r="U396" t="s">
        <v>48</v>
      </c>
      <c r="V396" t="s">
        <v>114</v>
      </c>
      <c r="Y396" t="s">
        <v>1262</v>
      </c>
      <c r="Z396">
        <v>10200</v>
      </c>
      <c r="AA396" t="s">
        <v>47</v>
      </c>
      <c r="AB396" t="s">
        <v>52</v>
      </c>
      <c r="AC396" t="s">
        <v>53</v>
      </c>
      <c r="AD396" s="16">
        <f>IF(P396&lt;=1,4.9,4.9+0.8*ROUNDUP(P396-1,0))</f>
        <v>6.5</v>
      </c>
      <c r="AE396" s="15">
        <v>0</v>
      </c>
      <c r="AF396" s="15">
        <v>0</v>
      </c>
      <c r="AG396" s="15">
        <v>0</v>
      </c>
      <c r="AH396" s="15">
        <v>0</v>
      </c>
      <c r="AI396" s="15">
        <f t="shared" si="12"/>
        <v>0.39</v>
      </c>
      <c r="AJ396" s="15">
        <f t="shared" si="13"/>
        <v>6.89</v>
      </c>
      <c r="AK396" t="s">
        <v>47</v>
      </c>
    </row>
    <row r="397" spans="1:37" ht="15" customHeight="1" x14ac:dyDescent="0.35">
      <c r="A397">
        <v>690929</v>
      </c>
      <c r="B397" t="s">
        <v>37</v>
      </c>
      <c r="C397" t="s">
        <v>38</v>
      </c>
      <c r="D397" s="9" t="s">
        <v>39</v>
      </c>
      <c r="E397" s="10" t="s">
        <v>37</v>
      </c>
      <c r="F397" s="11"/>
      <c r="G397" t="s">
        <v>1263</v>
      </c>
      <c r="I397" t="s">
        <v>41</v>
      </c>
      <c r="J397" t="s">
        <v>1264</v>
      </c>
      <c r="K397" t="s">
        <v>43</v>
      </c>
      <c r="L397">
        <v>2</v>
      </c>
      <c r="M397" t="s">
        <v>44</v>
      </c>
      <c r="N397" t="s">
        <v>45</v>
      </c>
      <c r="O397" t="s">
        <v>46</v>
      </c>
      <c r="P397" s="5">
        <v>1</v>
      </c>
      <c r="Q397" s="12">
        <v>44709.76226851852</v>
      </c>
      <c r="R397" s="13">
        <v>44712</v>
      </c>
      <c r="T397" t="s">
        <v>47</v>
      </c>
      <c r="U397" t="s">
        <v>48</v>
      </c>
      <c r="V397" t="s">
        <v>93</v>
      </c>
      <c r="Y397" t="s">
        <v>1265</v>
      </c>
      <c r="Z397">
        <v>81500</v>
      </c>
      <c r="AA397" t="s">
        <v>47</v>
      </c>
      <c r="AB397" t="s">
        <v>52</v>
      </c>
      <c r="AC397" t="s">
        <v>53</v>
      </c>
      <c r="AD397" s="16">
        <f>IF(P397&lt;=1,4.9,4.9+0.8*ROUNDUP(P397-1,0))</f>
        <v>4.9000000000000004</v>
      </c>
      <c r="AE397" s="15">
        <v>0</v>
      </c>
      <c r="AF397" s="15">
        <v>0</v>
      </c>
      <c r="AG397" s="15">
        <v>0</v>
      </c>
      <c r="AH397" s="15">
        <v>0</v>
      </c>
      <c r="AI397" s="15">
        <f t="shared" si="12"/>
        <v>0.29399999999999998</v>
      </c>
      <c r="AJ397" s="15">
        <f t="shared" si="13"/>
        <v>5.194</v>
      </c>
      <c r="AK397" t="s">
        <v>47</v>
      </c>
    </row>
    <row r="398" spans="1:37" ht="15" customHeight="1" x14ac:dyDescent="0.35">
      <c r="A398">
        <v>690929</v>
      </c>
      <c r="B398" t="s">
        <v>37</v>
      </c>
      <c r="C398" t="s">
        <v>38</v>
      </c>
      <c r="D398" s="9" t="s">
        <v>39</v>
      </c>
      <c r="E398" s="10" t="s">
        <v>37</v>
      </c>
      <c r="F398" s="11"/>
      <c r="G398" t="s">
        <v>1266</v>
      </c>
      <c r="I398" t="s">
        <v>41</v>
      </c>
      <c r="J398" t="s">
        <v>644</v>
      </c>
      <c r="K398" t="s">
        <v>43</v>
      </c>
      <c r="L398">
        <v>2</v>
      </c>
      <c r="M398" t="s">
        <v>44</v>
      </c>
      <c r="N398" t="s">
        <v>45</v>
      </c>
      <c r="O398" t="s">
        <v>46</v>
      </c>
      <c r="P398" s="5">
        <v>1</v>
      </c>
      <c r="Q398" s="12">
        <v>44706.433553240742</v>
      </c>
      <c r="R398" s="13">
        <v>44712</v>
      </c>
      <c r="T398" t="s">
        <v>47</v>
      </c>
      <c r="U398" t="s">
        <v>48</v>
      </c>
      <c r="V398" t="s">
        <v>70</v>
      </c>
      <c r="Y398" t="s">
        <v>1267</v>
      </c>
      <c r="Z398">
        <v>48300</v>
      </c>
      <c r="AA398" t="s">
        <v>47</v>
      </c>
      <c r="AB398" t="s">
        <v>58</v>
      </c>
      <c r="AC398" t="s">
        <v>53</v>
      </c>
      <c r="AD398" s="16">
        <f>IF(P398&lt;=1,4.9,4.9+0.8*ROUNDUP(P398-1,0))</f>
        <v>4.9000000000000004</v>
      </c>
      <c r="AE398" s="15">
        <v>0</v>
      </c>
      <c r="AF398" s="15">
        <v>0</v>
      </c>
      <c r="AG398" s="15">
        <v>0</v>
      </c>
      <c r="AH398" s="15">
        <v>0</v>
      </c>
      <c r="AI398" s="15">
        <f t="shared" si="12"/>
        <v>0.29399999999999998</v>
      </c>
      <c r="AJ398" s="15">
        <f t="shared" si="13"/>
        <v>5.194</v>
      </c>
      <c r="AK398" t="s">
        <v>47</v>
      </c>
    </row>
    <row r="399" spans="1:37" ht="15" customHeight="1" x14ac:dyDescent="0.35">
      <c r="A399">
        <v>690929</v>
      </c>
      <c r="B399" t="s">
        <v>37</v>
      </c>
      <c r="C399" t="s">
        <v>38</v>
      </c>
      <c r="D399" s="9" t="s">
        <v>39</v>
      </c>
      <c r="E399" s="10" t="s">
        <v>37</v>
      </c>
      <c r="F399" s="11"/>
      <c r="G399" t="s">
        <v>1268</v>
      </c>
      <c r="I399" t="s">
        <v>41</v>
      </c>
      <c r="J399" t="s">
        <v>893</v>
      </c>
      <c r="K399" t="s">
        <v>43</v>
      </c>
      <c r="L399">
        <v>2</v>
      </c>
      <c r="M399" t="s">
        <v>44</v>
      </c>
      <c r="N399" t="s">
        <v>45</v>
      </c>
      <c r="O399" t="s">
        <v>46</v>
      </c>
      <c r="P399" s="5">
        <v>2</v>
      </c>
      <c r="Q399" s="12">
        <v>44709.77542824074</v>
      </c>
      <c r="R399" s="13">
        <v>44712</v>
      </c>
      <c r="T399" t="s">
        <v>47</v>
      </c>
      <c r="U399" t="s">
        <v>48</v>
      </c>
      <c r="V399" t="s">
        <v>70</v>
      </c>
      <c r="Y399" t="s">
        <v>1269</v>
      </c>
      <c r="Z399">
        <v>43000</v>
      </c>
      <c r="AA399" t="s">
        <v>47</v>
      </c>
      <c r="AB399" t="s">
        <v>52</v>
      </c>
      <c r="AC399" t="s">
        <v>53</v>
      </c>
      <c r="AD399" s="16">
        <f>IF(P399&lt;=1,4.9,4.9+0.8*ROUNDUP(P399-1,0))</f>
        <v>5.7</v>
      </c>
      <c r="AE399" s="15">
        <v>0</v>
      </c>
      <c r="AF399" s="15">
        <v>0</v>
      </c>
      <c r="AG399" s="15">
        <v>0</v>
      </c>
      <c r="AH399" s="15">
        <v>0</v>
      </c>
      <c r="AI399" s="15">
        <f t="shared" si="12"/>
        <v>0.34199999999999997</v>
      </c>
      <c r="AJ399" s="15">
        <f t="shared" si="13"/>
        <v>6.0419999999999998</v>
      </c>
      <c r="AK399" t="s">
        <v>47</v>
      </c>
    </row>
    <row r="400" spans="1:37" ht="15" customHeight="1" x14ac:dyDescent="0.35">
      <c r="A400">
        <v>690929</v>
      </c>
      <c r="B400" t="s">
        <v>37</v>
      </c>
      <c r="C400" t="s">
        <v>38</v>
      </c>
      <c r="D400" s="9" t="s">
        <v>39</v>
      </c>
      <c r="E400" s="10" t="s">
        <v>37</v>
      </c>
      <c r="F400" s="11"/>
      <c r="G400" t="s">
        <v>1270</v>
      </c>
      <c r="I400" t="s">
        <v>41</v>
      </c>
      <c r="J400" t="s">
        <v>1271</v>
      </c>
      <c r="K400" t="s">
        <v>43</v>
      </c>
      <c r="L400">
        <v>2</v>
      </c>
      <c r="M400" t="s">
        <v>44</v>
      </c>
      <c r="N400" t="s">
        <v>45</v>
      </c>
      <c r="O400" t="s">
        <v>46</v>
      </c>
      <c r="P400" s="5">
        <v>1</v>
      </c>
      <c r="Q400" s="12">
        <v>44709.749884259261</v>
      </c>
      <c r="R400" s="13">
        <v>44712</v>
      </c>
      <c r="T400" t="s">
        <v>47</v>
      </c>
      <c r="U400" t="s">
        <v>48</v>
      </c>
      <c r="V400" t="s">
        <v>76</v>
      </c>
      <c r="Y400" t="s">
        <v>1272</v>
      </c>
      <c r="Z400">
        <v>75350</v>
      </c>
      <c r="AA400" t="s">
        <v>47</v>
      </c>
      <c r="AB400" t="s">
        <v>52</v>
      </c>
      <c r="AC400" t="s">
        <v>53</v>
      </c>
      <c r="AD400" s="16">
        <f>IF(P400&lt;=1,4.9,4.9+0.8*ROUNDUP(P400-1,0))</f>
        <v>4.9000000000000004</v>
      </c>
      <c r="AE400" s="15">
        <v>0</v>
      </c>
      <c r="AF400" s="15">
        <v>0</v>
      </c>
      <c r="AG400" s="15">
        <v>0</v>
      </c>
      <c r="AH400" s="15">
        <v>0</v>
      </c>
      <c r="AI400" s="15">
        <f t="shared" si="12"/>
        <v>0.29399999999999998</v>
      </c>
      <c r="AJ400" s="15">
        <f t="shared" si="13"/>
        <v>5.194</v>
      </c>
      <c r="AK400" t="s">
        <v>47</v>
      </c>
    </row>
    <row r="401" spans="1:37" ht="15" customHeight="1" x14ac:dyDescent="0.35">
      <c r="A401">
        <v>690929</v>
      </c>
      <c r="B401" t="s">
        <v>37</v>
      </c>
      <c r="C401" t="s">
        <v>38</v>
      </c>
      <c r="D401" s="9" t="s">
        <v>39</v>
      </c>
      <c r="E401" s="10" t="s">
        <v>37</v>
      </c>
      <c r="F401" s="11"/>
      <c r="G401" t="s">
        <v>1273</v>
      </c>
      <c r="I401" t="s">
        <v>41</v>
      </c>
      <c r="J401" t="s">
        <v>1274</v>
      </c>
      <c r="K401" t="s">
        <v>43</v>
      </c>
      <c r="L401">
        <v>2</v>
      </c>
      <c r="M401" t="s">
        <v>44</v>
      </c>
      <c r="N401" t="s">
        <v>45</v>
      </c>
      <c r="O401" t="s">
        <v>46</v>
      </c>
      <c r="P401" s="5">
        <v>2</v>
      </c>
      <c r="Q401" s="12">
        <v>44709.769861111112</v>
      </c>
      <c r="R401" s="13">
        <v>44712</v>
      </c>
      <c r="T401" t="s">
        <v>47</v>
      </c>
      <c r="U401" t="s">
        <v>48</v>
      </c>
      <c r="V401" t="s">
        <v>56</v>
      </c>
      <c r="Y401" t="s">
        <v>1275</v>
      </c>
      <c r="Z401">
        <v>25200</v>
      </c>
      <c r="AA401" t="s">
        <v>47</v>
      </c>
      <c r="AB401" t="s">
        <v>52</v>
      </c>
      <c r="AC401" t="s">
        <v>53</v>
      </c>
      <c r="AD401" s="16">
        <f>IF(P401&lt;=1,4.9,4.9+0.8*ROUNDUP(P401-1,0))</f>
        <v>5.7</v>
      </c>
      <c r="AE401" s="15">
        <v>0</v>
      </c>
      <c r="AF401" s="15">
        <v>0</v>
      </c>
      <c r="AG401" s="15">
        <v>0</v>
      </c>
      <c r="AH401" s="15">
        <v>0</v>
      </c>
      <c r="AI401" s="15">
        <f t="shared" si="12"/>
        <v>0.34199999999999997</v>
      </c>
      <c r="AJ401" s="15">
        <f t="shared" si="13"/>
        <v>6.0419999999999998</v>
      </c>
      <c r="AK401" t="s">
        <v>47</v>
      </c>
    </row>
    <row r="402" spans="1:37" ht="15" customHeight="1" x14ac:dyDescent="0.35">
      <c r="A402">
        <v>690929</v>
      </c>
      <c r="B402" t="s">
        <v>37</v>
      </c>
      <c r="C402" t="s">
        <v>38</v>
      </c>
      <c r="D402" s="9" t="s">
        <v>39</v>
      </c>
      <c r="E402" s="10" t="s">
        <v>37</v>
      </c>
      <c r="F402" s="11"/>
      <c r="G402" t="s">
        <v>1276</v>
      </c>
      <c r="I402" t="s">
        <v>41</v>
      </c>
      <c r="J402" t="s">
        <v>1277</v>
      </c>
      <c r="K402" t="s">
        <v>43</v>
      </c>
      <c r="L402">
        <v>2</v>
      </c>
      <c r="M402" t="s">
        <v>44</v>
      </c>
      <c r="N402" t="s">
        <v>45</v>
      </c>
      <c r="O402" t="s">
        <v>46</v>
      </c>
      <c r="P402" s="5">
        <v>1</v>
      </c>
      <c r="Q402" s="12">
        <v>44709.74019675926</v>
      </c>
      <c r="R402" s="13">
        <v>44712</v>
      </c>
      <c r="T402" t="s">
        <v>47</v>
      </c>
      <c r="U402" t="s">
        <v>48</v>
      </c>
      <c r="V402" t="s">
        <v>70</v>
      </c>
      <c r="Y402" t="s">
        <v>1278</v>
      </c>
      <c r="Z402">
        <v>43200</v>
      </c>
      <c r="AA402" t="s">
        <v>47</v>
      </c>
      <c r="AB402" t="s">
        <v>52</v>
      </c>
      <c r="AC402" t="s">
        <v>53</v>
      </c>
      <c r="AD402" s="16">
        <f>IF(P402&lt;=1,4.9,4.9+0.8*ROUNDUP(P402-1,0))</f>
        <v>4.9000000000000004</v>
      </c>
      <c r="AE402" s="15">
        <v>0</v>
      </c>
      <c r="AF402" s="15">
        <v>0</v>
      </c>
      <c r="AG402" s="15">
        <v>0</v>
      </c>
      <c r="AH402" s="15">
        <v>0</v>
      </c>
      <c r="AI402" s="15">
        <f t="shared" si="12"/>
        <v>0.29399999999999998</v>
      </c>
      <c r="AJ402" s="15">
        <f t="shared" si="13"/>
        <v>5.194</v>
      </c>
      <c r="AK402" t="s">
        <v>47</v>
      </c>
    </row>
    <row r="403" spans="1:37" ht="15" customHeight="1" x14ac:dyDescent="0.35">
      <c r="A403">
        <v>690929</v>
      </c>
      <c r="B403" t="s">
        <v>37</v>
      </c>
      <c r="C403" t="s">
        <v>38</v>
      </c>
      <c r="D403" s="9" t="s">
        <v>39</v>
      </c>
      <c r="E403" s="10" t="s">
        <v>37</v>
      </c>
      <c r="F403" s="11"/>
      <c r="G403" t="s">
        <v>1279</v>
      </c>
      <c r="I403" t="s">
        <v>41</v>
      </c>
      <c r="J403" t="s">
        <v>1280</v>
      </c>
      <c r="K403" t="s">
        <v>43</v>
      </c>
      <c r="L403">
        <v>2</v>
      </c>
      <c r="M403" t="s">
        <v>44</v>
      </c>
      <c r="N403" t="s">
        <v>45</v>
      </c>
      <c r="O403" t="s">
        <v>46</v>
      </c>
      <c r="P403" s="5">
        <v>1</v>
      </c>
      <c r="Q403" s="12">
        <v>44710.56386574074</v>
      </c>
      <c r="R403" s="13">
        <v>44712</v>
      </c>
      <c r="T403" t="s">
        <v>47</v>
      </c>
      <c r="U403" t="s">
        <v>48</v>
      </c>
      <c r="V403" t="s">
        <v>93</v>
      </c>
      <c r="Y403" t="s">
        <v>1281</v>
      </c>
      <c r="Z403">
        <v>81850</v>
      </c>
      <c r="AA403" t="s">
        <v>47</v>
      </c>
      <c r="AB403" t="s">
        <v>52</v>
      </c>
      <c r="AC403" t="s">
        <v>53</v>
      </c>
      <c r="AD403" s="16">
        <f>IF(P403&lt;=1,4.9,4.9+0.8*ROUNDUP(P403-1,0))</f>
        <v>4.9000000000000004</v>
      </c>
      <c r="AE403" s="15">
        <v>0</v>
      </c>
      <c r="AF403" s="15">
        <v>0</v>
      </c>
      <c r="AG403" s="15">
        <v>0</v>
      </c>
      <c r="AH403" s="15">
        <v>0</v>
      </c>
      <c r="AI403" s="15">
        <f t="shared" si="12"/>
        <v>0.29399999999999998</v>
      </c>
      <c r="AJ403" s="15">
        <f t="shared" si="13"/>
        <v>5.194</v>
      </c>
      <c r="AK403" t="s">
        <v>47</v>
      </c>
    </row>
    <row r="404" spans="1:37" ht="15" customHeight="1" x14ac:dyDescent="0.35">
      <c r="A404">
        <v>690929</v>
      </c>
      <c r="B404" t="s">
        <v>37</v>
      </c>
      <c r="C404" t="s">
        <v>38</v>
      </c>
      <c r="D404" s="9" t="s">
        <v>39</v>
      </c>
      <c r="E404" s="10" t="s">
        <v>37</v>
      </c>
      <c r="F404" s="11"/>
      <c r="G404" t="s">
        <v>1282</v>
      </c>
      <c r="I404" t="s">
        <v>41</v>
      </c>
      <c r="J404" t="s">
        <v>1283</v>
      </c>
      <c r="K404" t="s">
        <v>43</v>
      </c>
      <c r="L404">
        <v>2</v>
      </c>
      <c r="M404" t="s">
        <v>44</v>
      </c>
      <c r="N404" t="s">
        <v>45</v>
      </c>
      <c r="O404" t="s">
        <v>46</v>
      </c>
      <c r="P404" s="5">
        <v>1</v>
      </c>
      <c r="Q404" s="12">
        <v>44706.758113425924</v>
      </c>
      <c r="R404" s="13">
        <v>44712</v>
      </c>
      <c r="T404" t="s">
        <v>47</v>
      </c>
      <c r="U404" t="s">
        <v>48</v>
      </c>
      <c r="V404" t="s">
        <v>407</v>
      </c>
      <c r="Y404" t="s">
        <v>1284</v>
      </c>
      <c r="Z404">
        <v>70450</v>
      </c>
      <c r="AA404" t="s">
        <v>47</v>
      </c>
      <c r="AB404" t="s">
        <v>52</v>
      </c>
      <c r="AC404" t="s">
        <v>53</v>
      </c>
      <c r="AD404" s="16">
        <f>IF(P404&lt;=1,4.9,4.9+0.8*ROUNDUP(P404-1,0))</f>
        <v>4.9000000000000004</v>
      </c>
      <c r="AE404" s="15">
        <v>0</v>
      </c>
      <c r="AF404" s="15">
        <v>0</v>
      </c>
      <c r="AG404" s="15">
        <v>0</v>
      </c>
      <c r="AH404" s="15">
        <v>0</v>
      </c>
      <c r="AI404" s="15">
        <f t="shared" si="12"/>
        <v>0.29399999999999998</v>
      </c>
      <c r="AJ404" s="15">
        <f t="shared" si="13"/>
        <v>5.194</v>
      </c>
      <c r="AK404" t="s">
        <v>47</v>
      </c>
    </row>
    <row r="405" spans="1:37" ht="15" customHeight="1" x14ac:dyDescent="0.35">
      <c r="A405">
        <v>690929</v>
      </c>
      <c r="B405" t="s">
        <v>37</v>
      </c>
      <c r="C405" t="s">
        <v>38</v>
      </c>
      <c r="D405" s="9" t="s">
        <v>39</v>
      </c>
      <c r="E405" s="10" t="s">
        <v>37</v>
      </c>
      <c r="F405" s="11"/>
      <c r="G405" t="s">
        <v>1285</v>
      </c>
      <c r="I405" t="s">
        <v>41</v>
      </c>
      <c r="J405" t="s">
        <v>1286</v>
      </c>
      <c r="K405" t="s">
        <v>43</v>
      </c>
      <c r="L405">
        <v>2</v>
      </c>
      <c r="M405" t="s">
        <v>44</v>
      </c>
      <c r="N405" t="s">
        <v>45</v>
      </c>
      <c r="O405" t="s">
        <v>46</v>
      </c>
      <c r="P405" s="5">
        <v>1</v>
      </c>
      <c r="Q405" s="12">
        <v>44709.772812499999</v>
      </c>
      <c r="R405" s="13">
        <v>44712</v>
      </c>
      <c r="T405" t="s">
        <v>47</v>
      </c>
      <c r="U405" t="s">
        <v>48</v>
      </c>
      <c r="V405" t="s">
        <v>122</v>
      </c>
      <c r="Y405" t="s">
        <v>1287</v>
      </c>
      <c r="Z405">
        <v>8000</v>
      </c>
      <c r="AA405" t="s">
        <v>47</v>
      </c>
      <c r="AB405" t="s">
        <v>52</v>
      </c>
      <c r="AC405" t="s">
        <v>53</v>
      </c>
      <c r="AD405" s="16">
        <f>IF(P405&lt;=1,4.9,4.9+0.8*ROUNDUP(P405-1,0))</f>
        <v>4.9000000000000004</v>
      </c>
      <c r="AE405" s="15">
        <v>0</v>
      </c>
      <c r="AF405" s="15">
        <v>0</v>
      </c>
      <c r="AG405" s="15">
        <v>0</v>
      </c>
      <c r="AH405" s="15">
        <v>0</v>
      </c>
      <c r="AI405" s="15">
        <f t="shared" si="12"/>
        <v>0.29399999999999998</v>
      </c>
      <c r="AJ405" s="15">
        <f t="shared" si="13"/>
        <v>5.194</v>
      </c>
      <c r="AK405" t="s">
        <v>47</v>
      </c>
    </row>
    <row r="406" spans="1:37" ht="15" customHeight="1" x14ac:dyDescent="0.35">
      <c r="A406">
        <v>690929</v>
      </c>
      <c r="B406" t="s">
        <v>37</v>
      </c>
      <c r="C406" t="s">
        <v>38</v>
      </c>
      <c r="D406" s="9" t="s">
        <v>39</v>
      </c>
      <c r="E406" s="10" t="s">
        <v>37</v>
      </c>
      <c r="F406" s="11"/>
      <c r="G406" t="s">
        <v>1288</v>
      </c>
      <c r="I406" t="s">
        <v>41</v>
      </c>
      <c r="J406" t="s">
        <v>1289</v>
      </c>
      <c r="K406" t="s">
        <v>43</v>
      </c>
      <c r="L406">
        <v>2</v>
      </c>
      <c r="M406" t="s">
        <v>44</v>
      </c>
      <c r="N406" t="s">
        <v>45</v>
      </c>
      <c r="O406" t="s">
        <v>46</v>
      </c>
      <c r="P406" s="5">
        <v>1</v>
      </c>
      <c r="Q406" s="12">
        <v>44709.742511574077</v>
      </c>
      <c r="R406" s="13">
        <v>44712</v>
      </c>
      <c r="T406" t="s">
        <v>47</v>
      </c>
      <c r="U406" t="s">
        <v>48</v>
      </c>
      <c r="V406" t="s">
        <v>70</v>
      </c>
      <c r="Y406" t="s">
        <v>1290</v>
      </c>
      <c r="Z406">
        <v>40200</v>
      </c>
      <c r="AA406" t="s">
        <v>47</v>
      </c>
      <c r="AB406" t="s">
        <v>52</v>
      </c>
      <c r="AC406" t="s">
        <v>53</v>
      </c>
      <c r="AD406" s="16">
        <f>IF(P406&lt;=1,4.9,4.9+0.8*ROUNDUP(P406-1,0))</f>
        <v>4.9000000000000004</v>
      </c>
      <c r="AE406" s="15">
        <v>0</v>
      </c>
      <c r="AF406" s="15">
        <v>0</v>
      </c>
      <c r="AG406" s="15">
        <v>0</v>
      </c>
      <c r="AH406" s="15">
        <v>0</v>
      </c>
      <c r="AI406" s="15">
        <f t="shared" si="12"/>
        <v>0.29399999999999998</v>
      </c>
      <c r="AJ406" s="15">
        <f t="shared" si="13"/>
        <v>5.194</v>
      </c>
      <c r="AK406" t="s">
        <v>47</v>
      </c>
    </row>
    <row r="407" spans="1:37" ht="15" customHeight="1" x14ac:dyDescent="0.35">
      <c r="A407">
        <v>690929</v>
      </c>
      <c r="B407" t="s">
        <v>37</v>
      </c>
      <c r="C407" t="s">
        <v>38</v>
      </c>
      <c r="D407" s="9" t="s">
        <v>39</v>
      </c>
      <c r="E407" s="10" t="s">
        <v>37</v>
      </c>
      <c r="F407" s="11"/>
      <c r="G407" t="s">
        <v>1291</v>
      </c>
      <c r="I407" t="s">
        <v>41</v>
      </c>
      <c r="J407" t="s">
        <v>1292</v>
      </c>
      <c r="K407" t="s">
        <v>43</v>
      </c>
      <c r="L407">
        <v>2</v>
      </c>
      <c r="M407" t="s">
        <v>44</v>
      </c>
      <c r="N407" t="s">
        <v>45</v>
      </c>
      <c r="O407" t="s">
        <v>46</v>
      </c>
      <c r="P407" s="5">
        <v>1</v>
      </c>
      <c r="Q407" s="12">
        <v>44706.440011574072</v>
      </c>
      <c r="R407" s="13">
        <v>44712</v>
      </c>
      <c r="T407" t="s">
        <v>47</v>
      </c>
      <c r="U407" t="s">
        <v>48</v>
      </c>
      <c r="V407" t="s">
        <v>70</v>
      </c>
      <c r="Y407" t="s">
        <v>1293</v>
      </c>
      <c r="Z407">
        <v>43000</v>
      </c>
      <c r="AA407" t="s">
        <v>47</v>
      </c>
      <c r="AB407" t="s">
        <v>58</v>
      </c>
      <c r="AC407" t="s">
        <v>53</v>
      </c>
      <c r="AD407" s="16">
        <f>IF(P407&lt;=1,4.9,4.9+0.8*ROUNDUP(P407-1,0))</f>
        <v>4.9000000000000004</v>
      </c>
      <c r="AE407" s="15">
        <v>0</v>
      </c>
      <c r="AF407" s="15">
        <v>0</v>
      </c>
      <c r="AG407" s="15">
        <v>0</v>
      </c>
      <c r="AH407" s="15">
        <v>0</v>
      </c>
      <c r="AI407" s="15">
        <f t="shared" si="12"/>
        <v>0.29399999999999998</v>
      </c>
      <c r="AJ407" s="15">
        <f t="shared" si="13"/>
        <v>5.194</v>
      </c>
      <c r="AK407" t="s">
        <v>47</v>
      </c>
    </row>
    <row r="408" spans="1:37" ht="15" customHeight="1" x14ac:dyDescent="0.35">
      <c r="A408">
        <v>690929</v>
      </c>
      <c r="B408" t="s">
        <v>37</v>
      </c>
      <c r="C408" t="s">
        <v>38</v>
      </c>
      <c r="D408" s="9" t="s">
        <v>39</v>
      </c>
      <c r="E408" s="10" t="s">
        <v>37</v>
      </c>
      <c r="F408" s="11"/>
      <c r="G408" t="s">
        <v>1294</v>
      </c>
      <c r="I408" t="s">
        <v>41</v>
      </c>
      <c r="J408" t="s">
        <v>1295</v>
      </c>
      <c r="K408" t="s">
        <v>43</v>
      </c>
      <c r="L408">
        <v>2</v>
      </c>
      <c r="M408" t="s">
        <v>44</v>
      </c>
      <c r="N408" t="s">
        <v>45</v>
      </c>
      <c r="O408" t="s">
        <v>46</v>
      </c>
      <c r="P408" s="5">
        <v>1</v>
      </c>
      <c r="Q408" s="12">
        <v>44709.747754629629</v>
      </c>
      <c r="R408" s="13">
        <v>44712</v>
      </c>
      <c r="T408" t="s">
        <v>47</v>
      </c>
      <c r="U408" t="s">
        <v>48</v>
      </c>
      <c r="V408" t="s">
        <v>70</v>
      </c>
      <c r="Y408" t="s">
        <v>1296</v>
      </c>
      <c r="Z408">
        <v>42000</v>
      </c>
      <c r="AA408" t="s">
        <v>47</v>
      </c>
      <c r="AB408" t="s">
        <v>52</v>
      </c>
      <c r="AC408" t="s">
        <v>53</v>
      </c>
      <c r="AD408" s="16">
        <f>IF(P408&lt;=1,4.9,4.9+0.8*ROUNDUP(P408-1,0))</f>
        <v>4.9000000000000004</v>
      </c>
      <c r="AE408" s="15">
        <v>0</v>
      </c>
      <c r="AF408" s="15">
        <v>0</v>
      </c>
      <c r="AG408" s="15">
        <v>0</v>
      </c>
      <c r="AH408" s="15">
        <v>0</v>
      </c>
      <c r="AI408" s="15">
        <f t="shared" si="12"/>
        <v>0.29399999999999998</v>
      </c>
      <c r="AJ408" s="15">
        <f t="shared" si="13"/>
        <v>5.194</v>
      </c>
      <c r="AK408" t="s">
        <v>47</v>
      </c>
    </row>
    <row r="409" spans="1:37" ht="15" customHeight="1" x14ac:dyDescent="0.35">
      <c r="A409">
        <v>690929</v>
      </c>
      <c r="B409" t="s">
        <v>37</v>
      </c>
      <c r="C409" t="s">
        <v>38</v>
      </c>
      <c r="D409" s="9" t="s">
        <v>39</v>
      </c>
      <c r="E409" s="10" t="s">
        <v>37</v>
      </c>
      <c r="F409" s="11"/>
      <c r="G409" t="s">
        <v>1297</v>
      </c>
      <c r="I409" t="s">
        <v>41</v>
      </c>
      <c r="J409" t="s">
        <v>1298</v>
      </c>
      <c r="K409" t="s">
        <v>43</v>
      </c>
      <c r="L409">
        <v>2</v>
      </c>
      <c r="M409" t="s">
        <v>44</v>
      </c>
      <c r="N409" t="s">
        <v>45</v>
      </c>
      <c r="O409" t="s">
        <v>46</v>
      </c>
      <c r="P409" s="5">
        <v>1</v>
      </c>
      <c r="Q409" s="12">
        <v>44710.727719907409</v>
      </c>
      <c r="R409" s="13">
        <v>44712</v>
      </c>
      <c r="T409" t="s">
        <v>47</v>
      </c>
      <c r="U409" t="s">
        <v>48</v>
      </c>
      <c r="V409" t="s">
        <v>56</v>
      </c>
      <c r="Y409" t="s">
        <v>1299</v>
      </c>
      <c r="Z409">
        <v>25150</v>
      </c>
      <c r="AA409" t="s">
        <v>47</v>
      </c>
      <c r="AB409" t="s">
        <v>58</v>
      </c>
      <c r="AC409" t="s">
        <v>53</v>
      </c>
      <c r="AD409" s="16">
        <f>IF(P409&lt;=1,4.9,4.9+0.8*ROUNDUP(P409-1,0))</f>
        <v>4.9000000000000004</v>
      </c>
      <c r="AE409" s="15">
        <v>0</v>
      </c>
      <c r="AF409" s="15">
        <v>0</v>
      </c>
      <c r="AG409" s="15">
        <v>0</v>
      </c>
      <c r="AH409" s="15">
        <v>0</v>
      </c>
      <c r="AI409" s="15">
        <f t="shared" si="12"/>
        <v>0.29399999999999998</v>
      </c>
      <c r="AJ409" s="15">
        <f t="shared" si="13"/>
        <v>5.194</v>
      </c>
      <c r="AK409" t="s">
        <v>47</v>
      </c>
    </row>
    <row r="410" spans="1:37" ht="15" customHeight="1" x14ac:dyDescent="0.35">
      <c r="A410">
        <v>690929</v>
      </c>
      <c r="B410" t="s">
        <v>37</v>
      </c>
      <c r="C410" t="s">
        <v>38</v>
      </c>
      <c r="D410" s="9" t="s">
        <v>39</v>
      </c>
      <c r="E410" s="10" t="s">
        <v>37</v>
      </c>
      <c r="F410" s="11"/>
      <c r="G410" t="s">
        <v>1300</v>
      </c>
      <c r="I410" t="s">
        <v>41</v>
      </c>
      <c r="J410" t="s">
        <v>1301</v>
      </c>
      <c r="K410" t="s">
        <v>43</v>
      </c>
      <c r="L410">
        <v>2</v>
      </c>
      <c r="M410" t="s">
        <v>44</v>
      </c>
      <c r="N410" t="s">
        <v>45</v>
      </c>
      <c r="O410" t="s">
        <v>46</v>
      </c>
      <c r="P410" s="5">
        <v>1</v>
      </c>
      <c r="Q410" s="12">
        <v>44709.729328703703</v>
      </c>
      <c r="R410" s="13">
        <v>44712</v>
      </c>
      <c r="T410" t="s">
        <v>47</v>
      </c>
      <c r="U410" t="s">
        <v>48</v>
      </c>
      <c r="V410" t="s">
        <v>70</v>
      </c>
      <c r="Y410" t="s">
        <v>1302</v>
      </c>
      <c r="Z410">
        <v>42700</v>
      </c>
      <c r="AA410" t="s">
        <v>47</v>
      </c>
      <c r="AB410" t="s">
        <v>52</v>
      </c>
      <c r="AC410" t="s">
        <v>53</v>
      </c>
      <c r="AD410" s="16">
        <f>IF(P410&lt;=1,4.9,4.9+0.8*ROUNDUP(P410-1,0))</f>
        <v>4.9000000000000004</v>
      </c>
      <c r="AE410" s="15">
        <v>0</v>
      </c>
      <c r="AF410" s="15">
        <v>0</v>
      </c>
      <c r="AG410" s="15">
        <v>0</v>
      </c>
      <c r="AH410" s="15">
        <v>0</v>
      </c>
      <c r="AI410" s="15">
        <f t="shared" si="12"/>
        <v>0.29399999999999998</v>
      </c>
      <c r="AJ410" s="15">
        <f t="shared" si="13"/>
        <v>5.194</v>
      </c>
      <c r="AK410" t="s">
        <v>47</v>
      </c>
    </row>
    <row r="412" spans="1:37" x14ac:dyDescent="0.35">
      <c r="AD412" s="17">
        <f>SUM(AD2:AD410)</f>
        <v>2695.6000000000136</v>
      </c>
      <c r="AE412" s="18">
        <f>SUM(AE2:AE410)</f>
        <v>0</v>
      </c>
      <c r="AF412" s="18">
        <f>SUM(AF2:AF410)</f>
        <v>0</v>
      </c>
      <c r="AG412" s="18">
        <f>SUM(AG2:AG410)</f>
        <v>0</v>
      </c>
      <c r="AH412" s="18">
        <f>SUM(AH2:AH410)</f>
        <v>0</v>
      </c>
      <c r="AI412" s="18">
        <f>SUM(AI2:AI410)</f>
        <v>161.73600000000047</v>
      </c>
      <c r="AJ412" s="18">
        <f>SUM(AJ2:AJ410)</f>
        <v>2857.3359999999875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NinjaVan</dc:creator>
  <cp:lastModifiedBy>NinjaVan</cp:lastModifiedBy>
  <dcterms:created xsi:type="dcterms:W3CDTF">2022-06-15T05:12:36Z</dcterms:created>
  <dcterms:modified xsi:type="dcterms:W3CDTF">2022-06-15T05:12:36Z</dcterms:modified>
</cp:coreProperties>
</file>