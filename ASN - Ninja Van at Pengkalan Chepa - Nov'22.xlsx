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javan\Downloads\AHMAD SPLIT FILE\Nov'22\ASN Partner Nov'22\"/>
    </mc:Choice>
  </mc:AlternateContent>
  <xr:revisionPtr revIDLastSave="0" documentId="8_{115761BF-6DD8-4E94-A24D-105F1CA105EE}" xr6:coauthVersionLast="47" xr6:coauthVersionMax="47" xr10:uidLastSave="{00000000-0000-0000-0000-000000000000}"/>
  <bookViews>
    <workbookView xWindow="-110" yWindow="-110" windowWidth="38620" windowHeight="21220" xr2:uid="{3488770F-9832-4048-9B25-D285E894FA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23" i="1" l="1"/>
  <c r="AI223" i="1"/>
  <c r="AH223" i="1"/>
  <c r="AG223" i="1"/>
  <c r="AF223" i="1"/>
  <c r="AE223" i="1"/>
  <c r="AD223" i="1"/>
  <c r="AD221" i="1"/>
  <c r="AD220" i="1"/>
  <c r="AD219" i="1"/>
  <c r="AD218" i="1"/>
  <c r="AD217" i="1"/>
  <c r="AD216" i="1"/>
  <c r="AI216" i="1" s="1"/>
  <c r="AJ216" i="1" s="1"/>
  <c r="AD215" i="1"/>
  <c r="AI215" i="1" s="1"/>
  <c r="AJ215" i="1" s="1"/>
  <c r="AD214" i="1"/>
  <c r="AD213" i="1"/>
  <c r="AD212" i="1"/>
  <c r="AJ211" i="1"/>
  <c r="AI211" i="1"/>
  <c r="AD211" i="1"/>
  <c r="AI210" i="1"/>
  <c r="AD210" i="1"/>
  <c r="AJ210" i="1" s="1"/>
  <c r="AI209" i="1"/>
  <c r="AD209" i="1"/>
  <c r="AJ209" i="1" s="1"/>
  <c r="AD208" i="1"/>
  <c r="AD207" i="1"/>
  <c r="AI206" i="1"/>
  <c r="AJ206" i="1" s="1"/>
  <c r="AD206" i="1"/>
  <c r="AD205" i="1"/>
  <c r="AD204" i="1"/>
  <c r="AD203" i="1"/>
  <c r="AD202" i="1"/>
  <c r="AD201" i="1"/>
  <c r="AD200" i="1"/>
  <c r="AI200" i="1" s="1"/>
  <c r="AJ200" i="1" s="1"/>
  <c r="AD199" i="1"/>
  <c r="AI199" i="1" s="1"/>
  <c r="AJ199" i="1" s="1"/>
  <c r="AD198" i="1"/>
  <c r="AI198" i="1" s="1"/>
  <c r="AJ198" i="1" s="1"/>
  <c r="AD197" i="1"/>
  <c r="AD196" i="1"/>
  <c r="AJ195" i="1"/>
  <c r="AI195" i="1"/>
  <c r="AD195" i="1"/>
  <c r="AI194" i="1"/>
  <c r="AJ194" i="1" s="1"/>
  <c r="AD194" i="1"/>
  <c r="AI193" i="1"/>
  <c r="AJ193" i="1" s="1"/>
  <c r="AD193" i="1"/>
  <c r="AD192" i="1"/>
  <c r="AD191" i="1"/>
  <c r="AI190" i="1"/>
  <c r="AJ190" i="1" s="1"/>
  <c r="AD190" i="1"/>
  <c r="AD189" i="1"/>
  <c r="AD188" i="1"/>
  <c r="AD187" i="1"/>
  <c r="AD186" i="1"/>
  <c r="AD185" i="1"/>
  <c r="AD184" i="1"/>
  <c r="AI184" i="1" s="1"/>
  <c r="AJ184" i="1" s="1"/>
  <c r="AD183" i="1"/>
  <c r="AI183" i="1" s="1"/>
  <c r="AJ183" i="1" s="1"/>
  <c r="AD182" i="1"/>
  <c r="AI182" i="1" s="1"/>
  <c r="AJ182" i="1" s="1"/>
  <c r="AD181" i="1"/>
  <c r="AD180" i="1"/>
  <c r="AJ179" i="1"/>
  <c r="AI179" i="1"/>
  <c r="AD179" i="1"/>
  <c r="AI178" i="1"/>
  <c r="AD178" i="1"/>
  <c r="AJ178" i="1" s="1"/>
  <c r="AI177" i="1"/>
  <c r="AJ177" i="1" s="1"/>
  <c r="AD177" i="1"/>
  <c r="AD176" i="1"/>
  <c r="AD175" i="1"/>
  <c r="AI174" i="1"/>
  <c r="AJ174" i="1" s="1"/>
  <c r="AD174" i="1"/>
  <c r="AD173" i="1"/>
  <c r="AD172" i="1"/>
  <c r="AD171" i="1"/>
  <c r="AD170" i="1"/>
  <c r="AD169" i="1"/>
  <c r="AD168" i="1"/>
  <c r="AI168" i="1" s="1"/>
  <c r="AJ168" i="1" s="1"/>
  <c r="AD167" i="1"/>
  <c r="AI167" i="1" s="1"/>
  <c r="AJ167" i="1" s="1"/>
  <c r="AD166" i="1"/>
  <c r="AI166" i="1" s="1"/>
  <c r="AJ166" i="1" s="1"/>
  <c r="AD165" i="1"/>
  <c r="AD164" i="1"/>
  <c r="AJ163" i="1"/>
  <c r="AI163" i="1"/>
  <c r="AD163" i="1"/>
  <c r="AI162" i="1"/>
  <c r="AD162" i="1"/>
  <c r="AJ162" i="1" s="1"/>
  <c r="AI161" i="1"/>
  <c r="AJ161" i="1" s="1"/>
  <c r="AD161" i="1"/>
  <c r="AD160" i="1"/>
  <c r="AD159" i="1"/>
  <c r="AI158" i="1"/>
  <c r="AJ158" i="1" s="1"/>
  <c r="AD158" i="1"/>
  <c r="AD157" i="1"/>
  <c r="AD156" i="1"/>
  <c r="AD155" i="1"/>
  <c r="AD154" i="1"/>
  <c r="AD153" i="1"/>
  <c r="AD152" i="1"/>
  <c r="AI152" i="1" s="1"/>
  <c r="AJ152" i="1" s="1"/>
  <c r="AD151" i="1"/>
  <c r="AI151" i="1" s="1"/>
  <c r="AJ151" i="1" s="1"/>
  <c r="AD150" i="1"/>
  <c r="AI150" i="1" s="1"/>
  <c r="AJ150" i="1" s="1"/>
  <c r="AD149" i="1"/>
  <c r="AD148" i="1"/>
  <c r="AJ147" i="1"/>
  <c r="AI147" i="1"/>
  <c r="AD147" i="1"/>
  <c r="AI146" i="1"/>
  <c r="AD146" i="1"/>
  <c r="AJ146" i="1" s="1"/>
  <c r="AI145" i="1"/>
  <c r="AJ145" i="1" s="1"/>
  <c r="AD145" i="1"/>
  <c r="AD144" i="1"/>
  <c r="AD143" i="1"/>
  <c r="AI142" i="1"/>
  <c r="AJ142" i="1" s="1"/>
  <c r="AD142" i="1"/>
  <c r="AD141" i="1"/>
  <c r="AD140" i="1"/>
  <c r="AD139" i="1"/>
  <c r="AD138" i="1"/>
  <c r="AD137" i="1"/>
  <c r="AD136" i="1"/>
  <c r="AI136" i="1" s="1"/>
  <c r="AJ136" i="1" s="1"/>
  <c r="AD135" i="1"/>
  <c r="AI135" i="1" s="1"/>
  <c r="AJ135" i="1" s="1"/>
  <c r="AD134" i="1"/>
  <c r="AI134" i="1" s="1"/>
  <c r="AJ134" i="1" s="1"/>
  <c r="AD133" i="1"/>
  <c r="AD132" i="1"/>
  <c r="AJ131" i="1"/>
  <c r="AI131" i="1"/>
  <c r="AD131" i="1"/>
  <c r="AI130" i="1"/>
  <c r="AJ130" i="1" s="1"/>
  <c r="AD130" i="1"/>
  <c r="AI129" i="1"/>
  <c r="AJ129" i="1" s="1"/>
  <c r="AD129" i="1"/>
  <c r="AD128" i="1"/>
  <c r="AD127" i="1"/>
  <c r="AI126" i="1"/>
  <c r="AJ126" i="1" s="1"/>
  <c r="AD126" i="1"/>
  <c r="AD125" i="1"/>
  <c r="AD124" i="1"/>
  <c r="AD123" i="1"/>
  <c r="AD122" i="1"/>
  <c r="AD121" i="1"/>
  <c r="AD120" i="1"/>
  <c r="AI120" i="1" s="1"/>
  <c r="AJ120" i="1" s="1"/>
  <c r="AD119" i="1"/>
  <c r="AI119" i="1" s="1"/>
  <c r="AJ119" i="1" s="1"/>
  <c r="AD118" i="1"/>
  <c r="AI118" i="1" s="1"/>
  <c r="AJ118" i="1" s="1"/>
  <c r="AD117" i="1"/>
  <c r="AD116" i="1"/>
  <c r="AJ115" i="1"/>
  <c r="AI115" i="1"/>
  <c r="AD115" i="1"/>
  <c r="AI114" i="1"/>
  <c r="AJ114" i="1" s="1"/>
  <c r="AD114" i="1"/>
  <c r="AI113" i="1"/>
  <c r="AJ113" i="1" s="1"/>
  <c r="AD113" i="1"/>
  <c r="AD112" i="1"/>
  <c r="AI111" i="1"/>
  <c r="AD111" i="1"/>
  <c r="AJ111" i="1" s="1"/>
  <c r="AI110" i="1"/>
  <c r="AJ110" i="1" s="1"/>
  <c r="AD110" i="1"/>
  <c r="AD109" i="1"/>
  <c r="AD108" i="1"/>
  <c r="AD107" i="1"/>
  <c r="AD106" i="1"/>
  <c r="AD105" i="1"/>
  <c r="AD104" i="1"/>
  <c r="AI104" i="1" s="1"/>
  <c r="AJ104" i="1" s="1"/>
  <c r="AD103" i="1"/>
  <c r="AI103" i="1" s="1"/>
  <c r="AJ103" i="1" s="1"/>
  <c r="AD102" i="1"/>
  <c r="AI102" i="1" s="1"/>
  <c r="AJ102" i="1" s="1"/>
  <c r="AD101" i="1"/>
  <c r="AD100" i="1"/>
  <c r="AJ99" i="1"/>
  <c r="AI99" i="1"/>
  <c r="AD99" i="1"/>
  <c r="AI98" i="1"/>
  <c r="AJ98" i="1" s="1"/>
  <c r="AD98" i="1"/>
  <c r="AI97" i="1"/>
  <c r="AJ97" i="1" s="1"/>
  <c r="AD97" i="1"/>
  <c r="AD96" i="1"/>
  <c r="AI95" i="1"/>
  <c r="AD95" i="1"/>
  <c r="AJ95" i="1" s="1"/>
  <c r="AI94" i="1"/>
  <c r="AJ94" i="1" s="1"/>
  <c r="AD94" i="1"/>
  <c r="AD93" i="1"/>
  <c r="AD92" i="1"/>
  <c r="AD91" i="1"/>
  <c r="AD90" i="1"/>
  <c r="AD89" i="1"/>
  <c r="AD88" i="1"/>
  <c r="AI88" i="1" s="1"/>
  <c r="AJ88" i="1" s="1"/>
  <c r="AD87" i="1"/>
  <c r="AI87" i="1" s="1"/>
  <c r="AJ87" i="1" s="1"/>
  <c r="AD86" i="1"/>
  <c r="AI86" i="1" s="1"/>
  <c r="AJ86" i="1" s="1"/>
  <c r="AD85" i="1"/>
  <c r="AI85" i="1" s="1"/>
  <c r="AJ85" i="1" s="1"/>
  <c r="AD84" i="1"/>
  <c r="AJ83" i="1"/>
  <c r="AI83" i="1"/>
  <c r="AD83" i="1"/>
  <c r="AI82" i="1"/>
  <c r="AJ82" i="1" s="1"/>
  <c r="AD82" i="1"/>
  <c r="AI81" i="1"/>
  <c r="AJ81" i="1" s="1"/>
  <c r="AD81" i="1"/>
  <c r="AI80" i="1"/>
  <c r="AD80" i="1"/>
  <c r="AJ80" i="1" s="1"/>
  <c r="AI79" i="1"/>
  <c r="AD79" i="1"/>
  <c r="AJ79" i="1" s="1"/>
  <c r="AI78" i="1"/>
  <c r="AJ78" i="1" s="1"/>
  <c r="AD78" i="1"/>
  <c r="AD77" i="1"/>
  <c r="AD76" i="1"/>
  <c r="AD75" i="1"/>
  <c r="AD74" i="1"/>
  <c r="AD73" i="1"/>
  <c r="AD72" i="1"/>
  <c r="AI72" i="1" s="1"/>
  <c r="AJ72" i="1" s="1"/>
  <c r="AD71" i="1"/>
  <c r="AI71" i="1" s="1"/>
  <c r="AJ71" i="1" s="1"/>
  <c r="AD70" i="1"/>
  <c r="AI70" i="1" s="1"/>
  <c r="AJ70" i="1" s="1"/>
  <c r="AD69" i="1"/>
  <c r="AI69" i="1" s="1"/>
  <c r="AJ69" i="1" s="1"/>
  <c r="AD68" i="1"/>
  <c r="AJ67" i="1"/>
  <c r="AI67" i="1"/>
  <c r="AD67" i="1"/>
  <c r="AI66" i="1"/>
  <c r="AJ66" i="1" s="1"/>
  <c r="AD66" i="1"/>
  <c r="AI65" i="1"/>
  <c r="AJ65" i="1" s="1"/>
  <c r="AD65" i="1"/>
  <c r="AI64" i="1"/>
  <c r="AD64" i="1"/>
  <c r="AJ64" i="1" s="1"/>
  <c r="AI63" i="1"/>
  <c r="AD63" i="1"/>
  <c r="AJ63" i="1" s="1"/>
  <c r="AI62" i="1"/>
  <c r="AJ62" i="1" s="1"/>
  <c r="AD62" i="1"/>
  <c r="AD61" i="1"/>
  <c r="AD60" i="1"/>
  <c r="AD59" i="1"/>
  <c r="AD58" i="1"/>
  <c r="AD57" i="1"/>
  <c r="AD56" i="1"/>
  <c r="AI56" i="1" s="1"/>
  <c r="AJ56" i="1" s="1"/>
  <c r="AD55" i="1"/>
  <c r="AI55" i="1" s="1"/>
  <c r="AJ55" i="1" s="1"/>
  <c r="AD54" i="1"/>
  <c r="AI54" i="1" s="1"/>
  <c r="AJ54" i="1" s="1"/>
  <c r="AD53" i="1"/>
  <c r="AI53" i="1" s="1"/>
  <c r="AJ53" i="1" s="1"/>
  <c r="AD52" i="1"/>
  <c r="AJ51" i="1"/>
  <c r="AI51" i="1"/>
  <c r="AD51" i="1"/>
  <c r="AI50" i="1"/>
  <c r="AJ50" i="1" s="1"/>
  <c r="AD50" i="1"/>
  <c r="AI49" i="1"/>
  <c r="AJ49" i="1" s="1"/>
  <c r="AD49" i="1"/>
  <c r="AI48" i="1"/>
  <c r="AD48" i="1"/>
  <c r="AJ48" i="1" s="1"/>
  <c r="AI47" i="1"/>
  <c r="AD47" i="1"/>
  <c r="AJ47" i="1" s="1"/>
  <c r="AI46" i="1"/>
  <c r="AJ46" i="1" s="1"/>
  <c r="AD46" i="1"/>
  <c r="AD45" i="1"/>
  <c r="AD44" i="1"/>
  <c r="AD43" i="1"/>
  <c r="AD42" i="1"/>
  <c r="AD41" i="1"/>
  <c r="AD40" i="1"/>
  <c r="AI40" i="1" s="1"/>
  <c r="AJ40" i="1" s="1"/>
  <c r="AD39" i="1"/>
  <c r="AI39" i="1" s="1"/>
  <c r="AJ39" i="1" s="1"/>
  <c r="AD38" i="1"/>
  <c r="AI38" i="1" s="1"/>
  <c r="AJ38" i="1" s="1"/>
  <c r="AD37" i="1"/>
  <c r="AI37" i="1" s="1"/>
  <c r="AJ37" i="1" s="1"/>
  <c r="AD36" i="1"/>
  <c r="AJ35" i="1"/>
  <c r="AI35" i="1"/>
  <c r="AD35" i="1"/>
  <c r="AI34" i="1"/>
  <c r="AJ34" i="1" s="1"/>
  <c r="AD34" i="1"/>
  <c r="AI33" i="1"/>
  <c r="AJ33" i="1" s="1"/>
  <c r="AD33" i="1"/>
  <c r="AI32" i="1"/>
  <c r="AJ32" i="1" s="1"/>
  <c r="AD32" i="1"/>
  <c r="AI31" i="1"/>
  <c r="AD31" i="1"/>
  <c r="AJ31" i="1" s="1"/>
  <c r="AI30" i="1"/>
  <c r="AJ30" i="1" s="1"/>
  <c r="AD30" i="1"/>
  <c r="AD29" i="1"/>
  <c r="AD28" i="1"/>
  <c r="AD27" i="1"/>
  <c r="AD26" i="1"/>
  <c r="AD25" i="1"/>
  <c r="AD24" i="1"/>
  <c r="AI24" i="1" s="1"/>
  <c r="AJ24" i="1" s="1"/>
  <c r="AD23" i="1"/>
  <c r="AI23" i="1" s="1"/>
  <c r="AJ23" i="1" s="1"/>
  <c r="AD22" i="1"/>
  <c r="AI22" i="1" s="1"/>
  <c r="AJ22" i="1" s="1"/>
  <c r="AD21" i="1"/>
  <c r="AI21" i="1" s="1"/>
  <c r="AJ21" i="1" s="1"/>
  <c r="AD20" i="1"/>
  <c r="AJ19" i="1"/>
  <c r="AI19" i="1"/>
  <c r="AD19" i="1"/>
  <c r="AI18" i="1"/>
  <c r="AJ18" i="1" s="1"/>
  <c r="AD18" i="1"/>
  <c r="AI17" i="1"/>
  <c r="AJ17" i="1" s="1"/>
  <c r="AD17" i="1"/>
  <c r="AI16" i="1"/>
  <c r="AJ16" i="1" s="1"/>
  <c r="AD16" i="1"/>
  <c r="AI15" i="1"/>
  <c r="AD15" i="1"/>
  <c r="AJ15" i="1" s="1"/>
  <c r="AI14" i="1"/>
  <c r="AJ14" i="1" s="1"/>
  <c r="AD14" i="1"/>
  <c r="AD13" i="1"/>
  <c r="AD12" i="1"/>
  <c r="AD11" i="1"/>
  <c r="AD10" i="1"/>
  <c r="AD9" i="1"/>
  <c r="AD8" i="1"/>
  <c r="AI8" i="1" s="1"/>
  <c r="AJ8" i="1" s="1"/>
  <c r="AD7" i="1"/>
  <c r="AI7" i="1" s="1"/>
  <c r="AJ7" i="1" s="1"/>
  <c r="AD6" i="1"/>
  <c r="AI6" i="1" s="1"/>
  <c r="AJ6" i="1" s="1"/>
  <c r="AD5" i="1"/>
  <c r="AI5" i="1" s="1"/>
  <c r="AJ5" i="1" s="1"/>
  <c r="AD4" i="1"/>
  <c r="AJ3" i="1"/>
  <c r="AI3" i="1"/>
  <c r="AD3" i="1"/>
  <c r="AI2" i="1"/>
  <c r="AJ2" i="1" s="1"/>
  <c r="AD2" i="1"/>
  <c r="AJ101" i="1" l="1"/>
  <c r="AJ93" i="1"/>
  <c r="AJ105" i="1"/>
  <c r="AJ164" i="1"/>
  <c r="AJ202" i="1"/>
  <c r="AJ213" i="1"/>
  <c r="AJ107" i="1"/>
  <c r="AJ143" i="1"/>
  <c r="AJ155" i="1"/>
  <c r="AJ192" i="1"/>
  <c r="AJ169" i="1"/>
  <c r="AJ121" i="1"/>
  <c r="AJ52" i="1"/>
  <c r="AJ122" i="1"/>
  <c r="AI9" i="1"/>
  <c r="AJ9" i="1" s="1"/>
  <c r="AI25" i="1"/>
  <c r="AJ25" i="1" s="1"/>
  <c r="AI41" i="1"/>
  <c r="AJ41" i="1" s="1"/>
  <c r="AI57" i="1"/>
  <c r="AJ57" i="1" s="1"/>
  <c r="AI73" i="1"/>
  <c r="AJ73" i="1" s="1"/>
  <c r="AI89" i="1"/>
  <c r="AJ89" i="1" s="1"/>
  <c r="AI105" i="1"/>
  <c r="AI121" i="1"/>
  <c r="AI137" i="1"/>
  <c r="AJ137" i="1" s="1"/>
  <c r="AI153" i="1"/>
  <c r="AJ153" i="1" s="1"/>
  <c r="AI169" i="1"/>
  <c r="AI185" i="1"/>
  <c r="AJ185" i="1" s="1"/>
  <c r="AI201" i="1"/>
  <c r="AJ201" i="1" s="1"/>
  <c r="AI217" i="1"/>
  <c r="AJ217" i="1" s="1"/>
  <c r="AI4" i="1"/>
  <c r="AJ4" i="1" s="1"/>
  <c r="AI20" i="1"/>
  <c r="AJ20" i="1" s="1"/>
  <c r="AI36" i="1"/>
  <c r="AJ36" i="1" s="1"/>
  <c r="AI52" i="1"/>
  <c r="AI68" i="1"/>
  <c r="AJ68" i="1" s="1"/>
  <c r="AI84" i="1"/>
  <c r="AJ84" i="1" s="1"/>
  <c r="AI100" i="1"/>
  <c r="AJ100" i="1" s="1"/>
  <c r="AI116" i="1"/>
  <c r="AJ116" i="1" s="1"/>
  <c r="AI132" i="1"/>
  <c r="AJ132" i="1" s="1"/>
  <c r="AI148" i="1"/>
  <c r="AJ148" i="1" s="1"/>
  <c r="AI164" i="1"/>
  <c r="AI180" i="1"/>
  <c r="AJ180" i="1" s="1"/>
  <c r="AI196" i="1"/>
  <c r="AJ196" i="1" s="1"/>
  <c r="AI212" i="1"/>
  <c r="AJ212" i="1" s="1"/>
  <c r="AI127" i="1"/>
  <c r="AJ127" i="1" s="1"/>
  <c r="AI143" i="1"/>
  <c r="AI159" i="1"/>
  <c r="AJ159" i="1" s="1"/>
  <c r="AI175" i="1"/>
  <c r="AJ175" i="1" s="1"/>
  <c r="AI191" i="1"/>
  <c r="AJ191" i="1" s="1"/>
  <c r="AI207" i="1"/>
  <c r="AJ207" i="1" s="1"/>
  <c r="AI10" i="1"/>
  <c r="AJ10" i="1" s="1"/>
  <c r="AI26" i="1"/>
  <c r="AJ26" i="1" s="1"/>
  <c r="AI42" i="1"/>
  <c r="AJ42" i="1" s="1"/>
  <c r="AI58" i="1"/>
  <c r="AJ58" i="1" s="1"/>
  <c r="AI74" i="1"/>
  <c r="AJ74" i="1" s="1"/>
  <c r="AI90" i="1"/>
  <c r="AJ90" i="1" s="1"/>
  <c r="AI106" i="1"/>
  <c r="AJ106" i="1" s="1"/>
  <c r="AI122" i="1"/>
  <c r="AI138" i="1"/>
  <c r="AJ138" i="1" s="1"/>
  <c r="AI154" i="1"/>
  <c r="AJ154" i="1" s="1"/>
  <c r="AI170" i="1"/>
  <c r="AJ170" i="1" s="1"/>
  <c r="AI186" i="1"/>
  <c r="AJ186" i="1" s="1"/>
  <c r="AI202" i="1"/>
  <c r="AI218" i="1"/>
  <c r="AJ218" i="1" s="1"/>
  <c r="AI101" i="1"/>
  <c r="AI117" i="1"/>
  <c r="AJ117" i="1" s="1"/>
  <c r="AI133" i="1"/>
  <c r="AJ133" i="1" s="1"/>
  <c r="AI149" i="1"/>
  <c r="AJ149" i="1" s="1"/>
  <c r="AI165" i="1"/>
  <c r="AJ165" i="1" s="1"/>
  <c r="AI181" i="1"/>
  <c r="AJ181" i="1" s="1"/>
  <c r="AI197" i="1"/>
  <c r="AJ197" i="1" s="1"/>
  <c r="AI213" i="1"/>
  <c r="AI96" i="1"/>
  <c r="AJ96" i="1" s="1"/>
  <c r="AI112" i="1"/>
  <c r="AJ112" i="1" s="1"/>
  <c r="AI128" i="1"/>
  <c r="AJ128" i="1" s="1"/>
  <c r="AI144" i="1"/>
  <c r="AJ144" i="1" s="1"/>
  <c r="AI160" i="1"/>
  <c r="AJ160" i="1" s="1"/>
  <c r="AI176" i="1"/>
  <c r="AJ176" i="1" s="1"/>
  <c r="AI192" i="1"/>
  <c r="AI208" i="1"/>
  <c r="AJ208" i="1" s="1"/>
  <c r="AI11" i="1"/>
  <c r="AJ11" i="1" s="1"/>
  <c r="AI27" i="1"/>
  <c r="AJ27" i="1" s="1"/>
  <c r="AI43" i="1"/>
  <c r="AJ43" i="1" s="1"/>
  <c r="AI59" i="1"/>
  <c r="AJ59" i="1" s="1"/>
  <c r="AI75" i="1"/>
  <c r="AJ75" i="1" s="1"/>
  <c r="AI91" i="1"/>
  <c r="AJ91" i="1" s="1"/>
  <c r="AI107" i="1"/>
  <c r="AI123" i="1"/>
  <c r="AJ123" i="1" s="1"/>
  <c r="AI139" i="1"/>
  <c r="AJ139" i="1" s="1"/>
  <c r="AI155" i="1"/>
  <c r="AI171" i="1"/>
  <c r="AJ171" i="1" s="1"/>
  <c r="AI187" i="1"/>
  <c r="AJ187" i="1" s="1"/>
  <c r="AI203" i="1"/>
  <c r="AJ203" i="1" s="1"/>
  <c r="AI219" i="1"/>
  <c r="AJ219" i="1" s="1"/>
  <c r="AI214" i="1"/>
  <c r="AJ214" i="1" s="1"/>
  <c r="AI12" i="1"/>
  <c r="AJ12" i="1" s="1"/>
  <c r="AI28" i="1"/>
  <c r="AJ28" i="1" s="1"/>
  <c r="AI44" i="1"/>
  <c r="AJ44" i="1" s="1"/>
  <c r="AI60" i="1"/>
  <c r="AJ60" i="1" s="1"/>
  <c r="AI76" i="1"/>
  <c r="AJ76" i="1" s="1"/>
  <c r="AI92" i="1"/>
  <c r="AJ92" i="1" s="1"/>
  <c r="AI108" i="1"/>
  <c r="AJ108" i="1" s="1"/>
  <c r="AI124" i="1"/>
  <c r="AJ124" i="1" s="1"/>
  <c r="AI140" i="1"/>
  <c r="AJ140" i="1" s="1"/>
  <c r="AI156" i="1"/>
  <c r="AJ156" i="1" s="1"/>
  <c r="AI172" i="1"/>
  <c r="AJ172" i="1" s="1"/>
  <c r="AI188" i="1"/>
  <c r="AJ188" i="1" s="1"/>
  <c r="AI204" i="1"/>
  <c r="AJ204" i="1" s="1"/>
  <c r="AI220" i="1"/>
  <c r="AJ220" i="1" s="1"/>
  <c r="AI13" i="1"/>
  <c r="AJ13" i="1" s="1"/>
  <c r="AI29" i="1"/>
  <c r="AJ29" i="1" s="1"/>
  <c r="AI45" i="1"/>
  <c r="AJ45" i="1" s="1"/>
  <c r="AI61" i="1"/>
  <c r="AJ61" i="1" s="1"/>
  <c r="AI77" i="1"/>
  <c r="AJ77" i="1" s="1"/>
  <c r="AI93" i="1"/>
  <c r="AI109" i="1"/>
  <c r="AJ109" i="1" s="1"/>
  <c r="AI125" i="1"/>
  <c r="AJ125" i="1" s="1"/>
  <c r="AI141" i="1"/>
  <c r="AJ141" i="1" s="1"/>
  <c r="AI157" i="1"/>
  <c r="AJ157" i="1" s="1"/>
  <c r="AI173" i="1"/>
  <c r="AJ173" i="1" s="1"/>
  <c r="AI189" i="1"/>
  <c r="AJ189" i="1" s="1"/>
  <c r="AI205" i="1"/>
  <c r="AJ205" i="1" s="1"/>
  <c r="AI221" i="1"/>
  <c r="AJ221" i="1" s="1"/>
</calcChain>
</file>

<file path=xl/sharedStrings.xml><?xml version="1.0" encoding="utf-8"?>
<sst xmlns="http://schemas.openxmlformats.org/spreadsheetml/2006/main" count="4657" uniqueCount="756">
  <si>
    <t>Shipper ID</t>
  </si>
  <si>
    <t>Shipper Name</t>
  </si>
  <si>
    <t>Billing Name</t>
  </si>
  <si>
    <t>TYPE</t>
  </si>
  <si>
    <t>MAIN AGENT</t>
  </si>
  <si>
    <t>ASN AGENT FOR PREPAID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</si>
  <si>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</si>
  <si>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</si>
  <si>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</si>
  <si>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</si>
  <si>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</si>
  <si>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</si>
  <si>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</si>
  <si>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</si>
  <si>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</si>
  <si>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Original Weight</t>
  </si>
  <si>
    <t>Create Time</t>
  </si>
  <si>
    <t>Delivery Date</t>
  </si>
  <si>
    <t>From City</t>
  </si>
  <si>
    <t>From Billing Zone</t>
  </si>
  <si>
    <t>Origin Hub</t>
  </si>
  <si>
    <t>L1 Name</t>
  </si>
  <si>
    <t>L2 Name</t>
  </si>
  <si>
    <t>L3 Name</t>
  </si>
  <si>
    <t>To Address</t>
  </si>
  <si>
    <t>To Postcode</t>
  </si>
  <si>
    <t>To Billing Zone</t>
  </si>
  <si>
    <t>Destination Hub</t>
  </si>
  <si>
    <t>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</si>
  <si>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</si>
  <si>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</si>
  <si>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</si>
  <si>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</si>
  <si>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</si>
  <si>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</si>
  <si>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</si>
  <si>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</si>
  <si>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</si>
  <si>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</si>
  <si>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Partner</t>
  </si>
  <si>
    <t>NVMY34535000003424</t>
  </si>
  <si>
    <t/>
  </si>
  <si>
    <t>Completed</t>
  </si>
  <si>
    <t>SADIQ SIGARAGAA</t>
  </si>
  <si>
    <t>DELIVERY_THREE_DAYS_ANYTIME</t>
  </si>
  <si>
    <t>Parcel</t>
  </si>
  <si>
    <t>STANDARD</t>
  </si>
  <si>
    <t>SMALL</t>
  </si>
  <si>
    <t>WMSIA</t>
  </si>
  <si>
    <t>KBR1-KBR1</t>
  </si>
  <si>
    <t>Perak</t>
  </si>
  <si>
    <t>NO 84A KAMPUNG SINDU 31300 KAMPUNG KEPAYANG PERAK DARUL RIDZUAN   Perak my 31300</t>
  </si>
  <si>
    <t>8-HLD-139</t>
  </si>
  <si>
    <t>AHMAD ASN</t>
  </si>
  <si>
    <t>NVMY34535000003420</t>
  </si>
  <si>
    <t>MASLAN ABDULLAH</t>
  </si>
  <si>
    <t>Sabah</t>
  </si>
  <si>
    <t>Taman jaya diri blok 8 tkt 3 no 11 jalan sepanggar menggatal 88450 kota kinabalu sabah   Sabah my 88450</t>
  </si>
  <si>
    <t>EMSIA</t>
  </si>
  <si>
    <t>15-INM-107</t>
  </si>
  <si>
    <t>NVMY34535000003433</t>
  </si>
  <si>
    <t>WAN NABIHAH BINTI WAN HASHIM</t>
  </si>
  <si>
    <t>Kuala Lumpur</t>
  </si>
  <si>
    <t>1-1-3 KELUMPUK MERPATI B JALAN AU3 AMPANG ULU KELANG 54200 KUALA LUMPUR   Kuala Lumpur my 54200</t>
  </si>
  <si>
    <t>NVMY34535000003415</t>
  </si>
  <si>
    <t>NO SYEKILA BINTI PONLIMAN</t>
  </si>
  <si>
    <t>Sarawak</t>
  </si>
  <si>
    <t>KHM LOT 399 2ND FLOOR KCH SENTRAL 6TH MILE JALAN PENRISSEN 93250 KUCHING SARAWAK   Sarawak my 93250</t>
  </si>
  <si>
    <t>16-SAM-149</t>
  </si>
  <si>
    <t>NVMY34535000003426</t>
  </si>
  <si>
    <t>INA SYAZWAN</t>
  </si>
  <si>
    <t>Selangor</t>
  </si>
  <si>
    <t>A-13-14 PPR HILIRAN AMPANG NO 2, JLN AMPANG PUTRA 55100 KUALA LUMPUR   Kuala Lumpur my 55100</t>
  </si>
  <si>
    <t>MM-MM</t>
  </si>
  <si>
    <t>NVMY34535000003435</t>
  </si>
  <si>
    <t>SYAFIQAH FAIZUL</t>
  </si>
  <si>
    <t>34 lorong 1 kg pak darus jalan pengkalan aur 34000 taiping perak   Perak my 34000</t>
  </si>
  <si>
    <t>PRK-PRK</t>
  </si>
  <si>
    <t>NVMY34535000003431</t>
  </si>
  <si>
    <t>MISS TAN HUEY JUEN</t>
  </si>
  <si>
    <t>Melaka</t>
  </si>
  <si>
    <t>XEPA-SOUL PATTINSON MALAYSIA SDN BHD 1-5 CHENG INDUSTRIAL ESTATE 75250 MELAKA MALAYSIA   Melaka my 75250</t>
  </si>
  <si>
    <t>MKZ-MKZ</t>
  </si>
  <si>
    <t>NVMY34535000003434</t>
  </si>
  <si>
    <t>Lailatusyahirah affendi</t>
  </si>
  <si>
    <t>Pulau Pinang</t>
  </si>
  <si>
    <t>30B-10-2, Lilitan Sungai Ara, Idaman Lavender 3, Sungai Ara, 11900, Bayan Lepas, Penang   Pulau Pinang my 11900</t>
  </si>
  <si>
    <t>PEN-PEN</t>
  </si>
  <si>
    <t>NVMY34535000003436</t>
  </si>
  <si>
    <t>Erwan mustafa</t>
  </si>
  <si>
    <t>20, Jalan Permai 8 Taman Lestari Permai 43300 Seri kemabangn Selangor (182670704)   Selangor my 43300</t>
  </si>
  <si>
    <t>NVMY34535000003444</t>
  </si>
  <si>
    <t>Nurul Aida binti zainal</t>
  </si>
  <si>
    <t>MEASAT Satellite Systems Sdn Bhd Jalan Teknokrat 1/2, Cyberjaya, 63000 Cyberjaya, Selangor   Selangor my 63000</t>
  </si>
  <si>
    <t>NVMY34535000003442</t>
  </si>
  <si>
    <t>FADHLI</t>
  </si>
  <si>
    <t>Terengganu</t>
  </si>
  <si>
    <t>1131-A lorong chempaka, kuala ibai 20400 kuala terengganu, terengganu   Terengganu my 20400</t>
  </si>
  <si>
    <t>NVMY34535000003432</t>
  </si>
  <si>
    <t>SHARIFAH MURSHITA BINTI SYED MUSTAPA</t>
  </si>
  <si>
    <t>Kedah</t>
  </si>
  <si>
    <t>NO 2 KG LANGSAT 7 06010 CHANGLUN KEDAH   Kedah my 06010</t>
  </si>
  <si>
    <t>KDH-KDH</t>
  </si>
  <si>
    <t>NVMY34535000003441</t>
  </si>
  <si>
    <t>NS WAREHOUSE (EXCHANGE)</t>
  </si>
  <si>
    <t>2-9, LEVEL 2, SENTUL VILLAGE (SHOPLOTS), JALAN SENTUL PERDANA 51000 SENTUL KUALA LUMPUR   Kuala Lumpur my 51000</t>
  </si>
  <si>
    <t>NVMY34535000003438</t>
  </si>
  <si>
    <t>NORFAZILAH BINTI JOHANIS</t>
  </si>
  <si>
    <t>KG PINTAS 89808 BEAUFORT SABAH   Sabah my 89808</t>
  </si>
  <si>
    <t>15-BFT-155</t>
  </si>
  <si>
    <t>NVMY34535000003440</t>
  </si>
  <si>
    <t>HASLIZA BINTI OSMAN</t>
  </si>
  <si>
    <t>NO 29, PERSIARAN JANGGUS, TAMAN MUTIARA 14000 BUKIT MERTAJAM PULAU PINANG   Pulau Pinang my 14000</t>
  </si>
  <si>
    <t>NVMY34535000003429</t>
  </si>
  <si>
    <t>JULYANA MOHAMED LIZAH</t>
  </si>
  <si>
    <t>Johor</t>
  </si>
  <si>
    <t>NO.4 LORONG SEKOLAH JLN KESANG LAUT 84000 TANGKAK JOHOR   Johor my 84000</t>
  </si>
  <si>
    <t>JHB-JHB</t>
  </si>
  <si>
    <t>NVMY34535000003443</t>
  </si>
  <si>
    <t>Hafidah Abu Bakar</t>
  </si>
  <si>
    <t>AEON CO (M) BHD (126926-H) NO 1 JALAN PERMAS UTARA BANDAR BARU PERMAS JAYA 81750 JOHOR BAHRU JOHOR   Johor my 81750</t>
  </si>
  <si>
    <t>4A-PSG-24</t>
  </si>
  <si>
    <t>NVMY34535000003448</t>
  </si>
  <si>
    <t>NUR NADIRA</t>
  </si>
  <si>
    <t>KEL-KEL</t>
  </si>
  <si>
    <t>B-2-16 FLAT CEMPAKA PERSIARAN BUKIT RAJA BANDAR BARU KLANG 41150 KLANG SELANGOR   Selangor my 41150</t>
  </si>
  <si>
    <t>NVMY34535000003447</t>
  </si>
  <si>
    <t>EMA AKMAL</t>
  </si>
  <si>
    <t>Kelantan</t>
  </si>
  <si>
    <t>101A KG LUBOK BONGOR 17600 JELI KELANTAN   Kelantan my 17600</t>
  </si>
  <si>
    <t>NVMY34535000003439</t>
  </si>
  <si>
    <t>IMRAN HAMSILANI</t>
  </si>
  <si>
    <t>Labuan</t>
  </si>
  <si>
    <t>C/O WILHELMSEN TECHNICAL SERVICE-LAYUP DIVISION PRESTON SHIPYARD SDN BHD KM9 BLOK 4 JALAN RANCA-RANCA 87031 WP LABUAN   Labuan my 87031</t>
  </si>
  <si>
    <t>15B-LBN-111</t>
  </si>
  <si>
    <t>NVMY34535000003458</t>
  </si>
  <si>
    <t>Athirah Izzati</t>
  </si>
  <si>
    <t>Nautica Medicare Sdn Bhd, No 32-2, Jalan Wangsa Setia 4, Wangsa Melawati, 53300 Kuala Lumpur   Kuala Lumpur my 53300</t>
  </si>
  <si>
    <t>NVMY34535000003451</t>
  </si>
  <si>
    <t>CHE MOHD ZAHID YUSOF</t>
  </si>
  <si>
    <t>LOT 1483 KAMPUNG GONG DATUK JALAN MENGABANG TELIPOT 21030 KUALA NERUS TERENGGANU   Terengganu my 21030</t>
  </si>
  <si>
    <t>2-GBK-8</t>
  </si>
  <si>
    <t>NVMY34535000003452</t>
  </si>
  <si>
    <t>NVMY34535000003437</t>
  </si>
  <si>
    <t>ROZARINA GANI</t>
  </si>
  <si>
    <t>KFC GARDEN CITY, GARDEN CITY, JALAN APAS, 91007 TAWAU SABAH   Sabah my 91007</t>
  </si>
  <si>
    <t>NVMY34535000003450</t>
  </si>
  <si>
    <t>ALIFF UMAR MOHD SAKRI</t>
  </si>
  <si>
    <t>PUSAT SERVICE SHELL LOT 10240 KM 13 TAMAN SERI BATU CAVES BATU CAVES 40160 SELANGOR   Selangor my 40160</t>
  </si>
  <si>
    <t>10-CAV-75</t>
  </si>
  <si>
    <t>NVMY34535000003446</t>
  </si>
  <si>
    <t>IRDINA IRFAN BTE NOORBIN</t>
  </si>
  <si>
    <t>MAHKAMAH-MAHKAMAH SABAH MAHKAMAH MAJISTRET LAHAD DATU PETI SURAT 60166 91111 LAHAD DATU SABAH   Sabah my 91111</t>
  </si>
  <si>
    <t>15A-LDU-110</t>
  </si>
  <si>
    <t>NVMY34535000003453</t>
  </si>
  <si>
    <t>WAN ZAINAB</t>
  </si>
  <si>
    <t>LOBBY BLOK A C 12 03 THE MAIN PLACE RESIDENCE JALAN USJ 21/10 47630 SUBANG JAYA SELANGOR   Selangor my 47630</t>
  </si>
  <si>
    <t>12-HTC-153</t>
  </si>
  <si>
    <t>NVMY34535000003454</t>
  </si>
  <si>
    <t>AZEANTY SULAIMAN</t>
  </si>
  <si>
    <t>AD-9 JALAN SAMPADI SETAPAK GARDEN 53000 KUALA LUMPUR   Kuala Lumpur my 53000</t>
  </si>
  <si>
    <t>NVMY34535000003445</t>
  </si>
  <si>
    <t>KARSUM USMAN</t>
  </si>
  <si>
    <t>173 MARKETPLACE @ DESA SERI TONG TALUN 91308 SEMPORNA SABAH   Sabah my 91308</t>
  </si>
  <si>
    <t>NVMY34535000003465</t>
  </si>
  <si>
    <t>NIK ANISAH BINTI MAT JUSOH</t>
  </si>
  <si>
    <t>LOT PT 1369 RUMAH TERES BATU 9 17500 TANAH MERAH KELANTAN   Kelantan my 17500</t>
  </si>
  <si>
    <t>NVMY34535000003449</t>
  </si>
  <si>
    <t>EDE AND RAVENSCROFT (M) SDN BHD</t>
  </si>
  <si>
    <t>BLOCK F 1ST FLOOR 16-1-2 DIAMOND SQUARE JALAN SEMARAK API 3 OFF JALAN GOMBAK 53000 KUALA LUMPUR   Kuala Lumpur my 53000</t>
  </si>
  <si>
    <t>NVMY34535000003455</t>
  </si>
  <si>
    <t>Adibah bte Ahmad</t>
  </si>
  <si>
    <t>No. 11 Jalan Sri Bahagia 9, Taman Sri Bahagia, 81200 Johor Bahru, Johor   Johor my 81200</t>
  </si>
  <si>
    <t>NVMY34535000003460</t>
  </si>
  <si>
    <t>KFAR</t>
  </si>
  <si>
    <t>No 8, Jalan Batu Lapan, Taman Desa Kelisa, 08200 Sik, Kedah   Kedah my 08200</t>
  </si>
  <si>
    <t>NVMY34535000003463</t>
  </si>
  <si>
    <t>CATHERINE</t>
  </si>
  <si>
    <t>THE PARK RESISTANCES B-21-08 BANGSAR SOUTH 59200 KUALA LUMPUR    Kuala Lumpur my 59200</t>
  </si>
  <si>
    <t>NVMY34535000003466</t>
  </si>
  <si>
    <t>NorFaizah binti mohamad yadi</t>
  </si>
  <si>
    <t>Pangsapuri Tropicana Aman 1, D-05-03 blok D, jalan aman simfoni 1, bandar tropicana aman, 42500 Teluk Panglima Garang Selangor   Selangor my 42500</t>
  </si>
  <si>
    <t>NVMY34535000003457</t>
  </si>
  <si>
    <t>AMIN</t>
  </si>
  <si>
    <t>no 5 blok 2 jln jujur 2 bandar Tun Razak 56000 WP Kuala Lumpur   Kuala Lumpur my 56000</t>
  </si>
  <si>
    <t>12A-BTR-88</t>
  </si>
  <si>
    <t>NVMY34535000003468</t>
  </si>
  <si>
    <t>FITRI AZHAR</t>
  </si>
  <si>
    <t>NO 13 SOLOK RAIA 5 TAMAN SERI RAIA 31300 KG KEPAYANG IPOH PERAK    Perak my 31300</t>
  </si>
  <si>
    <t>NVMY34535000003462</t>
  </si>
  <si>
    <t>SUSANTI IMAN</t>
  </si>
  <si>
    <t>LOT 12 LORONG 7 TAMAN SRI PANGLIMA 89808 BEAUFORT SABAH   Sabah my 89808</t>
  </si>
  <si>
    <t>NVMY34535000003464</t>
  </si>
  <si>
    <t>MOHD AIDIL RAMLI</t>
  </si>
  <si>
    <t>NO 4, JALAN PERJIRANAN 10/3, BANDAR DATO' ONN 81100 JOHOR BAHRU, JOHOR   Johor my 81100</t>
  </si>
  <si>
    <t>NVMY34535000003470</t>
  </si>
  <si>
    <t>ZULEHA MUDA</t>
  </si>
  <si>
    <t>665-A JLN TAHA KG BANGGOL 24000 KEMAMAN TERENGGANU   Terengganu my 24000</t>
  </si>
  <si>
    <t>NVMY34535000003461</t>
  </si>
  <si>
    <t>AZLYNA LADJALINO</t>
  </si>
  <si>
    <t>KAMPUNG TANJUNG KAPOR 89050 KUDAT SABAH   Sabah my 89050</t>
  </si>
  <si>
    <t>15-KDT-156</t>
  </si>
  <si>
    <t>NVMY34535000003456</t>
  </si>
  <si>
    <t>YUVENT</t>
  </si>
  <si>
    <t>Block 11-6-12,tingkat paya Terubong 2,paya Terubong, 11060 ayer itam, pulau pinang   Pulau Pinang my 11060</t>
  </si>
  <si>
    <t>NVMY34535000003459</t>
  </si>
  <si>
    <t>Asraffi redza</t>
  </si>
  <si>
    <t>BATU 31 1/2 KAMPUNG RELAU, 77100 ASAHAN MELAKA  Melaka  Melaka my 77100</t>
  </si>
  <si>
    <t>NVMY34535000003467</t>
  </si>
  <si>
    <t>Ustaz Danial Jasni</t>
  </si>
  <si>
    <t>Lot 1418, Kompleks Islam Darul Faizin (KIDAF), Mukim, Lubok Buntar Bandar Baharu,  09800 Kedah   Kedah my 09800</t>
  </si>
  <si>
    <t>NVMY34535000003479</t>
  </si>
  <si>
    <t>PUAN AMIRA</t>
  </si>
  <si>
    <t>DIRECT LENDING SDN BHD 22-3A OVAL TOWER DAMANSARA 685 JALAN DAMANSARA TAMAN TUN DR ISMAIL  60000 KUALA LUMPUR   Kuala Lumpur my 60000</t>
  </si>
  <si>
    <t>NVMY34535000003478</t>
  </si>
  <si>
    <t>marziah</t>
  </si>
  <si>
    <t>No 18-12-3 Jalan Tengku Ampuan Rahimah Condominium Sri Mahligai 9/20 40100 Shah Alam Selangor   Selangor my 40100</t>
  </si>
  <si>
    <t>NVMY34535000003471</t>
  </si>
  <si>
    <t>SELVAKUMAR</t>
  </si>
  <si>
    <t>2 JALAN INANG 9B BANDAR BUKIT RAJA 41050 KLANG SELANGOR   Selangor my 41050</t>
  </si>
  <si>
    <t>NVMY34535000003481</t>
  </si>
  <si>
    <t>NIK FATINAH BINTI NIK SOH</t>
  </si>
  <si>
    <t>PEJABAT SENGGARA KOMPLEKS AKADEMI TENTERA UDARA IPOH JALAN MAJU JAYA 31350 IPOH PERAK   Perak my 31350</t>
  </si>
  <si>
    <t>NVMY34535000003474</t>
  </si>
  <si>
    <t>U/P: JABATAN PENTADBIRAN KREDIT 2</t>
  </si>
  <si>
    <t>LEMBAGA PEMBIAYAAN PERUMAHAN SEKTOR AWAM KOMPLEKS KEMENTERIAN KEWANGAN NO 9 PERSIARAN PERDANA PRESINT 2 PUSAT PENTADBIRAN KERAJAAN PERSEKUTUAN 62592 PUTRAJAYA   Putrajaya  my 62592</t>
  </si>
  <si>
    <t>NVMY34535000003476</t>
  </si>
  <si>
    <t>Norzehan Binti Saril</t>
  </si>
  <si>
    <t>F-G-06 Apartment Sri Kayangan, Jalan Ukay Perdana, Ukay Perdana, 68000, Ampang, Selangor   Selangor my 68000</t>
  </si>
  <si>
    <t>NVMY34535000003477</t>
  </si>
  <si>
    <t>Muhd Faizrul Haikal</t>
  </si>
  <si>
    <t>Blok E-4-3 kuarters guru smk jalan kebun, 40460 Shah Alam selangor   Selangor my 40460</t>
  </si>
  <si>
    <t>NVMY34535000003472</t>
  </si>
  <si>
    <t>WAZE IXCELLENCE</t>
  </si>
  <si>
    <t>RETURN DEPARTMENT 1057 BLOCK A LEVEL 1 KOMPLEKS SENTRAL 51200 SEGAMAT KUALA LUMPUR   Kuala Lumpur my 51200</t>
  </si>
  <si>
    <t>NVMY34535000003482</t>
  </si>
  <si>
    <t>KHADIJAH BT MAT ALI</t>
  </si>
  <si>
    <t>NO 5 JALAN SEMBILANG 17/31 SEKSYEN 17, 40500 SHAH ALA SELANGOR   Selangor my 40500</t>
  </si>
  <si>
    <t>11-KLG-83</t>
  </si>
  <si>
    <t>NVMY34535000003272</t>
  </si>
  <si>
    <t>MAHALLAH MARYAM</t>
  </si>
  <si>
    <t>UNIVERSITI ISLAM ANTARABANGSA MALAYSIA 53100 GOMBAK SELANGOR  Selangor   Selangor  my 53100</t>
  </si>
  <si>
    <t>NVMY34535000003496</t>
  </si>
  <si>
    <t>DR KRISHNA VENI A/P VELOO</t>
  </si>
  <si>
    <t>LOT 16641 TAMAN RIYADUL ILMI 17600 JELI KELANTAN   Kelantan my 17600</t>
  </si>
  <si>
    <t>1A-MAC-3</t>
  </si>
  <si>
    <t>NVMY34535000003469</t>
  </si>
  <si>
    <t>NUR HAYATI BT MARZUKI</t>
  </si>
  <si>
    <t>LOT 2002 SKIM PEMBESARAN KAMPUMAM 94300 KOTA SEMARAHAN SARAWAK  Sarawak  Sarawak my 94300</t>
  </si>
  <si>
    <t>NVMY34535000003500</t>
  </si>
  <si>
    <t>Muhammad fitri b md isa</t>
  </si>
  <si>
    <t>Pahang</t>
  </si>
  <si>
    <t>No 61 jln Tas 10 Taman Tas 25150 kuantan Pahang   Pahang my 25150</t>
  </si>
  <si>
    <t>6A-KUA-33</t>
  </si>
  <si>
    <t>NVMY34535000003473</t>
  </si>
  <si>
    <t>Returned to Sender</t>
  </si>
  <si>
    <t>JASMADI, IZHAN &amp; AZWANI</t>
  </si>
  <si>
    <t>PT 1128, Perumahan PKINK Pengkalan Chepa, Kota Bharu, Kelantan  MY 16100</t>
  </si>
  <si>
    <t>NVMY34535000003484</t>
  </si>
  <si>
    <t>HIDAYATUL BASIRAH ADLI</t>
  </si>
  <si>
    <t>2-11-2, BLOCK 2 PANTAI PANORAMA CONDOMINIUM, KAMPUNG KERINCHI 59200 KUALA LUMPUR   Kuala Lumpur my 59200</t>
  </si>
  <si>
    <t>11-DSA-86</t>
  </si>
  <si>
    <t>NVMY34535000003475</t>
  </si>
  <si>
    <t>Jesslyn Laiju</t>
  </si>
  <si>
    <t>No. 116 Taman wijaya Menggatal 88450 Kota Kinabalu Sabah   Sabah my 88450</t>
  </si>
  <si>
    <t>NVMY34535000003488</t>
  </si>
  <si>
    <t>HUSZAIRIE BIN YAAKOB</t>
  </si>
  <si>
    <t>LOT 2699 SIMPANG CHENGKENIK KUALA KRAU 28050 TEMERLOH PAHANG   Pahang my 28050</t>
  </si>
  <si>
    <t>6A-TMH-35</t>
  </si>
  <si>
    <t>NVMY34535000003494</t>
  </si>
  <si>
    <t>ABRINA</t>
  </si>
  <si>
    <t>No 36A, Taman Mawar, 06700, Pendang, Kedah Darul Aman   Kedah my 06700</t>
  </si>
  <si>
    <t>NVMY34535000003522</t>
  </si>
  <si>
    <t>GAN POH XIAN</t>
  </si>
  <si>
    <t>SJKC CHUKAI KEMAMAN, KAMPUNG KUBANG KURUS, 24000 CHUKAI, TERENGGANU.    Terengganu my 24000</t>
  </si>
  <si>
    <t>NVMY34535000003486</t>
  </si>
  <si>
    <t>FAUZI WAN CHIK</t>
  </si>
  <si>
    <t>JABATAN PERTANIAN NEGERI PULAU PINANG, JALAN KULIM, CHEROK TOK KUN, 14000 BUKIT MERTAJAM PULAU PINANG   Pulau Pinang my 14000</t>
  </si>
  <si>
    <t>NVMY34535000003501</t>
  </si>
  <si>
    <t>Norfazlina izzati binti noorzaman</t>
  </si>
  <si>
    <t>Klinik kesihatan seri kembangan, jalan besar, taman muhibbah, Petaling Jaya, 43300, Selangor   Selangor my 43300</t>
  </si>
  <si>
    <t>NVMY34535000003489</t>
  </si>
  <si>
    <t>LEEMARSTUDIO</t>
  </si>
  <si>
    <t>NO 39 JALAN JAMBU BATU 4 TAMAN MERU PERMAI MERU 41050 KLANG SELANGOR   Selangor my 41050</t>
  </si>
  <si>
    <t>NVMY34535000003517</t>
  </si>
  <si>
    <t>ZULYANA BINTI ZAKARIA</t>
  </si>
  <si>
    <t>LOT 2586 A JALAN TENGAH TAWANG 16020 BACHOK KELANTAN   Kelantan my 16020</t>
  </si>
  <si>
    <t>NVMY34535000003509</t>
  </si>
  <si>
    <t>LT M NUR EMANINA BINTI KAMARUDIN</t>
  </si>
  <si>
    <t>TLDM KD PAHANG PENGKALAN TLDM TANJUNG GELANG 25990 KUANTAN PAHANG   Pahang my 25990</t>
  </si>
  <si>
    <t>NVMY34535000003511</t>
  </si>
  <si>
    <t>ZALEHA MUDA</t>
  </si>
  <si>
    <t>665A JALAN TAHAR 1 KAMPUNG BANGGOL 24000 KEMAMAN TERENGGANU   Terengganu my 24000</t>
  </si>
  <si>
    <t>NVMY34535000003513</t>
  </si>
  <si>
    <t>KEMENTERIAN PENDIDIKAN MALAYSIA BAHAGIAN PEMBANGUNAN</t>
  </si>
  <si>
    <t>ARAS 1,3 &amp; 6 BLOK E2 KOMPLEKS E PUSAT PENTADBIRAN KERAJAAN PRSEKUTUAN 62604 WP PUTRAJAYA (AT: ISHAMARUL IMAN/SHAFIRUL AZWAN)   Putrajaya  my 62604</t>
  </si>
  <si>
    <t>NVMY34535000003504</t>
  </si>
  <si>
    <t>UMMI ZULAIKHA BINTI JEFRI</t>
  </si>
  <si>
    <t>LOT 9967 TAMAN BUKIT INDAH 3 RHU RENGGEH 21080 MARANG TERENGGANU   Terengganu my 21080</t>
  </si>
  <si>
    <t>NVMY34535000003506</t>
  </si>
  <si>
    <t>Muhammad shafiq bin zakaria</t>
  </si>
  <si>
    <t>153 FELDA KOTA GELANGGI 03 27000 JERANTUT PAHANG   Pahang my 27000</t>
  </si>
  <si>
    <t>6A-JER-38</t>
  </si>
  <si>
    <t>NVMY34535000003507</t>
  </si>
  <si>
    <t>JOAB</t>
  </si>
  <si>
    <t>NO 5 JALAN ASTA UTAMA KAWASAN PERINDUSTRIAN ASTA 43000 KAJANG SELANGOR   Selangor my 43000</t>
  </si>
  <si>
    <t>10A-KAJ-68</t>
  </si>
  <si>
    <t>NVMY34535000003503</t>
  </si>
  <si>
    <t>MOHD FARIZAN BIN YUSOF</t>
  </si>
  <si>
    <t>15 JLN P11 C/3 PRESINT 11 62300 PUTRAJAYA   Putrajaya my 62300</t>
  </si>
  <si>
    <t>NVMY34535000003495</t>
  </si>
  <si>
    <t>SITI ATHIRAH</t>
  </si>
  <si>
    <t>BLOK F ASRAMA PELATIH PEREMPUAN INSTITUT LATIHAN KEMENTRIAN KESIHATAN MALAYSIA (ILKKM) SULTAN AZLAN SHAH 31250 TANJUNG RAMBUTAN PERAK   Perak my 31250</t>
  </si>
  <si>
    <t>NVMY34535000003493</t>
  </si>
  <si>
    <t>Hajar (S211)</t>
  </si>
  <si>
    <t xml:space="preserve"> Unit Kediaman, IPG Kampus Tengku Ampuan Afzan, KM 10, Jalan Padang Tengku, Kampung Tempoyang 27200 Kuala Lipis, Pahang  Pahang  Pahang my 27200</t>
  </si>
  <si>
    <t>NVMY34535000003492</t>
  </si>
  <si>
    <t>SITI ZALIAH</t>
  </si>
  <si>
    <t>NO 668 PONGSU SERIBU 13200 KEPALA BATAS PULAU PINANG   Pulau Pinang my 13200</t>
  </si>
  <si>
    <t>NVMY34535000003510</t>
  </si>
  <si>
    <t>SAFRAN JAMIL BIN ZANUDIN</t>
  </si>
  <si>
    <t>LOT 1439 KAMPUNG KAYU RENDANG MELOR KOTA BHARU 16400 KELANTAN   Kelantan my 16400</t>
  </si>
  <si>
    <t>1-KET-141</t>
  </si>
  <si>
    <t>NVMY34535000003502</t>
  </si>
  <si>
    <t>AMIR AIZAD SHAH BIN ROSLIMAN SHAH</t>
  </si>
  <si>
    <t>NO.264 FASA 3C 32040 SERI MANJUNG, PERAK   Perak my 32040</t>
  </si>
  <si>
    <t>8A-STW-52</t>
  </si>
  <si>
    <t>NVMY34535000003499</t>
  </si>
  <si>
    <t>Mohd Rahmat bin Md Halid</t>
  </si>
  <si>
    <t>Batu 13 1/2,kampung lanjut manis,krubong 75350 melaka   Melaka my 75350</t>
  </si>
  <si>
    <t>NVMY34535000003497</t>
  </si>
  <si>
    <t>JAMIE AZNIZI</t>
  </si>
  <si>
    <t>No 20 Jalan Melati 3 Taman Melati Bukit Siput 85000 Segamat Johor   Johor my 85000</t>
  </si>
  <si>
    <t>NVMY34535000003490</t>
  </si>
  <si>
    <t>ZOEY (SHEIN RETURN)</t>
  </si>
  <si>
    <t>36 JALAN TS 6/7 TAMAN PERINDUSTRIAN SUBANG 47500 SUBANG JAYA SELANGOR   Selangor my 47500</t>
  </si>
  <si>
    <t>NVMY34535000003508</t>
  </si>
  <si>
    <t>AMIR</t>
  </si>
  <si>
    <t>BLOK C NO C-101 JLN SG CHANDONG 9 BANDAR ARMADA PUTRA PULAU INDAH 42100 PELABUHAN KLANG SELANGOR   Selangor my 42100</t>
  </si>
  <si>
    <t>NVMY34535000003487</t>
  </si>
  <si>
    <t>MOHD HAFIZ</t>
  </si>
  <si>
    <t>B-7-9 PV3 PLATINUM HILL CONDO JALAN MELATI UTAMA SETAPAK 53100 KUALA LUMPUR   Kuala Lumpur my 53100</t>
  </si>
  <si>
    <t>NVMY34535000003512</t>
  </si>
  <si>
    <t>NORHAMIZAH BT SHAARI</t>
  </si>
  <si>
    <t>Negeri Sembilan</t>
  </si>
  <si>
    <t>NO 69 LORONG UTAMA KG JIMAH BARU 71200 SILIAU NEGERI SEMBILAN   Negeri Sembilan my 71200</t>
  </si>
  <si>
    <t>NVMY34535000003498</t>
  </si>
  <si>
    <t>SYAHIDA NABILLAH</t>
  </si>
  <si>
    <t>A06-05 APARTMENT TAMAN BUKIT PELANGI JALAN TBP1 OFF JALAN BATU 3 LAMA 47610 SUBANG JAYA SELANGOR   Selangor my 47610</t>
  </si>
  <si>
    <t>NVMY34535000003491</t>
  </si>
  <si>
    <t>MAT MINAH</t>
  </si>
  <si>
    <t>51 JALAN RAJA ABDULLAH 50300 KAMPUNG BARU KUALA LUMPUR   Kuala Lumpur my 50300</t>
  </si>
  <si>
    <t>NVMY34535000003480</t>
  </si>
  <si>
    <t>ALLITA</t>
  </si>
  <si>
    <t>ELBEN BEAUTY REFLEXOLOGY 2ND FLOOR LOT B 13 CENTER POINT SABAH KOTA KINABALU 88000  SABAH    Sabah my 88000</t>
  </si>
  <si>
    <t>NVMY34535000003515</t>
  </si>
  <si>
    <t>ABDUL HAMIN BIN SITAM</t>
  </si>
  <si>
    <t>DAYANG ZURAIDAH BINTI MAKSIN VIKING PACKGING SDN BHD P.O BOX 120 BEAUFORT 89807 SABAH   Sabah my 89807</t>
  </si>
  <si>
    <t>NVMY34535000003505</t>
  </si>
  <si>
    <t>ROSMAWATI BINTI SABANA</t>
  </si>
  <si>
    <t>JABATAN PERKHIDMATAN KOMPUTER NEGERI SABAH ARAS 7 BLOK A BANGUNAN PPNS JLN UMS TELUK LIKAS BEG BERKUNCI 2057 KOTA KINABALU 83400 SABAH   Sabah my 83400</t>
  </si>
  <si>
    <t>NVMY34535000003516</t>
  </si>
  <si>
    <t>AZIE</t>
  </si>
  <si>
    <t>B3-15-17 KEPONG SENTRAL CONDO JLN PUNCAK DESA 2 TAMAN PUNCAK DESA KEPONG 52100 KUALA LUMPUR   Kuala Lumpur my 52100</t>
  </si>
  <si>
    <t>NVMY34535000003523</t>
  </si>
  <si>
    <t>amirah romli</t>
  </si>
  <si>
    <t>F 193 KAMPUNG BATU 34 JALAN BUKIT SELAMBAU JENIANG 08700 GURUN KEDAH   Kedah my 08700</t>
  </si>
  <si>
    <t>NVMY34535000003521</t>
  </si>
  <si>
    <t>Eby Musa</t>
  </si>
  <si>
    <t>no 69 jalan kesuma 5/12D 43700 beranang selangor   Selangor my 43700</t>
  </si>
  <si>
    <t>NVMY34535000003535</t>
  </si>
  <si>
    <t>DANISH AHNAF</t>
  </si>
  <si>
    <t>NO 6 JALAN MAHANG 5 TAMAN MUTIARA MERU 41050 KLANG SELANGOR   Selangor my 41050</t>
  </si>
  <si>
    <t>NVMY34535000003534</t>
  </si>
  <si>
    <t>NUIAM RIFQI</t>
  </si>
  <si>
    <t>NO 8 JALAN SG 8/5 TAMAN SERI GOMBAK 68100 BATU CAVES SELANGOR   Selangor my 68100</t>
  </si>
  <si>
    <t>NVMY34535000003514</t>
  </si>
  <si>
    <t>Diya paglin</t>
  </si>
  <si>
    <t>Taman pengalat besar, Phase 4, Lorong 8, Lot 17, 89600 Papar Sabah   Sabah my 89600</t>
  </si>
  <si>
    <t>15-PPR-122</t>
  </si>
  <si>
    <t>NVMY34535000003307</t>
  </si>
  <si>
    <t>HAKKEE CAFETERIA ( ATTEND : LENA )</t>
  </si>
  <si>
    <t>174G JALAN KEPAYANG MERU 41050 KLANG SELANGOR   Selangor my 41050</t>
  </si>
  <si>
    <t>NVMY34535000003300</t>
  </si>
  <si>
    <t>NOOR HUDA BT MAT NOOR</t>
  </si>
  <si>
    <t>21 JALAN MM 1/4,TAMAN MERAK MAS, 75450 BUKIT KATIL MELAKA   Melaka my 75450</t>
  </si>
  <si>
    <t>NVMY34535000003308</t>
  </si>
  <si>
    <t>NIK ZULAIKHA BT JUSOH</t>
  </si>
  <si>
    <t>NO 15 SP 1/2 SERI PRISTANA SUNGAI BULOH 47000 SELANGOR   Selangor my 47000</t>
  </si>
  <si>
    <t>NVMY34535000003313</t>
  </si>
  <si>
    <t>NADHIRAH</t>
  </si>
  <si>
    <t>LOT 1929 KAMPUNG LOSONG HAJI MAT SHAFIE 21000 KUALA TERENGGANU TERENGGANU   Terengganu my 21000</t>
  </si>
  <si>
    <t>NVMY34535000003310</t>
  </si>
  <si>
    <t>ALWINA EDWARD</t>
  </si>
  <si>
    <t>KIMS MART 7 &amp; 9 JALAN SOLARIS 2, SOLARIS MONT KIARA 50480 KUALA LUMPUR   Kuala Lumpur my 50480</t>
  </si>
  <si>
    <t>NVMY34535000003298</t>
  </si>
  <si>
    <t>FAEZ BT ZA BAR</t>
  </si>
  <si>
    <t>NO 45 JALAN BAYAM 4 , FELDA MAOKIL 3 ,85300 LABIS SEGAMAT JOHOR   Johor my 85300</t>
  </si>
  <si>
    <t>NVMY34535000003314</t>
  </si>
  <si>
    <t>NORSHAFARINA BINTI ASAARI</t>
  </si>
  <si>
    <t>KEMENTERIAN PEMBANGUNAN WANITA KELUARGA DAN MASYARAKAT NO 55 PERSIARAN OERDANA PRESINT 4 62100 PUTRAJAYA   Putrajaya my 62100</t>
  </si>
  <si>
    <t>NVMY34535000003301</t>
  </si>
  <si>
    <t>ROSNI BT ABDULLAH</t>
  </si>
  <si>
    <t>B53-5-3 PANGSAPURI MARIN JALAN AKUARIUM 11700 GELUGOR PULAU PINANG   Pulau Pinang my 11700</t>
  </si>
  <si>
    <t>NVMY34535000003315</t>
  </si>
  <si>
    <t>FAKRUL SHUHAIMI</t>
  </si>
  <si>
    <t>BLOCK A 6-04 D'CASA CONDOMINIUM JALAN WAWASAN BANDAR BARU AMPANG 1/10 68000 SELANGOR   Selangor my 68000</t>
  </si>
  <si>
    <t>11-TMJ-186</t>
  </si>
  <si>
    <t>NVMY34535000003311</t>
  </si>
  <si>
    <t>MOHD FITRI FAHMI BIN ABDULLAH</t>
  </si>
  <si>
    <t>PUSAT LATIHAN TEKNOLOGI TINGGI ADTEC KEMAMAN PAYAH 24210 KEMASIK TERENGGANU   Terengganu my 24210</t>
  </si>
  <si>
    <t>6A-CHU-34</t>
  </si>
  <si>
    <t>NVMY34535000003219</t>
  </si>
  <si>
    <t>DANIELLA WANI</t>
  </si>
  <si>
    <t>LOT 3567 JALAN TAMAN DELIGHT 1 TAMAN DELIGHT UTAMA 98000 MIRI SARAWAK  Sarawak   Sarawak  my 98000</t>
  </si>
  <si>
    <t>NVMY34535000003324</t>
  </si>
  <si>
    <t>Batrisyia</t>
  </si>
  <si>
    <t>Unit 3A01, Block A, Apartment Kampung Tunku, Jalan SS1/5, Kampung Tunku, 47300 Petaling Jaya Selangor   Selangor my 47300</t>
  </si>
  <si>
    <t>NVMY34535000003309</t>
  </si>
  <si>
    <t>ELEENA BINTI JAIHAN</t>
  </si>
  <si>
    <t>POS 255 PARIT MOIN 2 BAGAN 83000 BATU PAHAT JOHOR   Johor my 83000</t>
  </si>
  <si>
    <t>7-BPT-47</t>
  </si>
  <si>
    <t>NVMY34535000003325</t>
  </si>
  <si>
    <t>TENGKU ZARILL</t>
  </si>
  <si>
    <t>No 13 jalan tsp 6c Taman sri puchong 47100 puchong Selangor    Selangor my 47100</t>
  </si>
  <si>
    <t>14-TPK-118</t>
  </si>
  <si>
    <t>NVMY34535000003322</t>
  </si>
  <si>
    <t>Muhammad Fahim Mukhlis</t>
  </si>
  <si>
    <t>Muhammad Fahim Mukhlis (sem3)  Kolej Kediaman Al Jazari, Darul Quran Jakim, Jalan Hamzah, Ampang Pecah 44000 Kuala Kubu Bharu, Selangor   Selangor my 44000</t>
  </si>
  <si>
    <t>NVMY34535000003321</t>
  </si>
  <si>
    <t>WAN AB SAIFUL BAHRI</t>
  </si>
  <si>
    <t xml:space="preserve"> 140 KAMPUNG LUBOK BONGOR KUALA BALAH 17610 JELI KELANTAN   Kelantan my 17610</t>
  </si>
  <si>
    <t>1A-RAI-4</t>
  </si>
  <si>
    <t>NVMY34535000003335</t>
  </si>
  <si>
    <t>SUZYHONEY</t>
  </si>
  <si>
    <t>61464 TAMAN KOP. PERDANA BINJAI 24000 KEMAMAN TERENGGANU   Terengganu my 24000</t>
  </si>
  <si>
    <t>NVMY34535000003297</t>
  </si>
  <si>
    <t>C/O WILHELMSEN TECHNICAL SERVICE-LAYUP DIVISION PRESTON SHIPYARD SDN BHD KM9 BLOK 4 JLN RANCA-RANCA 87031 W.P.LABUAN   Labuan my 87031</t>
  </si>
  <si>
    <t>NVMY34535000003332</t>
  </si>
  <si>
    <t>BANK PERTANIAN MALAYSIAN BERHAD (AGROBANK) ATTN TRADE OPERATION SECTION</t>
  </si>
  <si>
    <t>TRADE FINANCE DEPARTMENT SUITE 8.0 8TH FLOOR WISMA MARAN NO 28 MEDAN PASAR 50050 KUALA LUMPUR   Kuala Lumpur my 50050</t>
  </si>
  <si>
    <t>NVMY34535000003316</t>
  </si>
  <si>
    <t>ALIF</t>
  </si>
  <si>
    <t>3C-21-04 PPA1M LARAI JALAN KAJANGAN P6  62200 PUTRAJAYA   Putrajaya my 62200</t>
  </si>
  <si>
    <t>NVMY34535000003326</t>
  </si>
  <si>
    <t>MOHAMAD AISAR AKMAL BIN OTHMAN</t>
  </si>
  <si>
    <t>No 27 lorong panglima 6,bertam perdana 3,13200 kepala batas pulau pinang   Pulau Pinang my 13200</t>
  </si>
  <si>
    <t>NVMY34535000003320</t>
  </si>
  <si>
    <t>MOHD HAIRIL HISYAM BIN ISHAK</t>
  </si>
  <si>
    <t>NO 1223, JALAN NUSA INTAN 1/10, TAMAN NUSA INTAN, SENAWANG, 70450 SEREMBAN, NEGERI SEMBILAN   Negeri Sembilan my 70450</t>
  </si>
  <si>
    <t>9-SWG-60</t>
  </si>
  <si>
    <t>NVMY34535000003317</t>
  </si>
  <si>
    <t>MUHAMMAD FAIZ BIN ALI BERDIN</t>
  </si>
  <si>
    <t>375,JALAN MATAHARI INDAH 7  TAMAN MATAHARI INDAH,  SENAWANG 70450 SEREMBAN NEGERI SEMBILAN   Negeri Sembilan my 70450</t>
  </si>
  <si>
    <t>NVMY34535000003306</t>
  </si>
  <si>
    <t>FARIZZA NATASHA ALKAP</t>
  </si>
  <si>
    <t>D/A KPL SYAFIQ MAHADI JP&amp;P 299-01 BLOK PUDING RKAT KEM KABOTA 91000 TAWAU SABAH   Sabah my 91000</t>
  </si>
  <si>
    <t>15A-TWU-109</t>
  </si>
  <si>
    <t>NVMY34535000003329</t>
  </si>
  <si>
    <t>A1-04-06 JLN TKK 2/5 TAMAN PUNCAK KINRARA 47180 PUCHONG SELANGOR   Selangor my 47180</t>
  </si>
  <si>
    <t>NVMY34535000003328</t>
  </si>
  <si>
    <t>ANILAH  BT MAT SEH</t>
  </si>
  <si>
    <t>NO 11 JALAN INTAN 8 TAMAN SERI INTAN SEKYEN 7 BANDAR BARU BANGI 43650 SELANGOR   Selangor my 43650</t>
  </si>
  <si>
    <t>NVMY34535000003333</t>
  </si>
  <si>
    <t>WAN WANA</t>
  </si>
  <si>
    <t>222-1A JALAN PINGGIR OFF JALAN KOLAM AIR BATU 2 1/2, JALAN IPOH 51200 KUALA LUMPUR   Kuala Lumpur my 51200</t>
  </si>
  <si>
    <t>NVMY34535000003344</t>
  </si>
  <si>
    <t>NUR AUNIE BT MALEKI</t>
  </si>
  <si>
    <t>C2-7-22 APARTMENT CEMARA 2 TAMAN BUKIT SEGAR 2 CHERAS 43200 HULU LANGAT SELANGOR   Selangor my 43200</t>
  </si>
  <si>
    <t>NVMY34535000003318</t>
  </si>
  <si>
    <t>MOHAMMAD AZIZI</t>
  </si>
  <si>
    <t>NO85 JALAN SERI NAKHODA 7 TAMAN SERI NAKHODA 1 86800 MERSING JOHOR   Johor my 86800</t>
  </si>
  <si>
    <t>7-MSG-42</t>
  </si>
  <si>
    <t>NVMY34535000003331</t>
  </si>
  <si>
    <t>NURUL HAINI BT MOHD KHOZI</t>
  </si>
  <si>
    <t>NOC132A KAMPUNG CHANGKAT SETOL MUKIM TEMIN CHANGLUN 06010 KEDAH   Kedah my 06010</t>
  </si>
  <si>
    <t>NVMY34535000003330</t>
  </si>
  <si>
    <t>NVMY34535000003343</t>
  </si>
  <si>
    <t>SHALLY</t>
  </si>
  <si>
    <t>A-3-45 (VISTA BAYU APARTMENT) JALAN BATU UNJUR 9 TAMAN BAYU PERDANA 41200 KLANG SELANGOR   Selangor my 41200</t>
  </si>
  <si>
    <t>NVMY34535000003338</t>
  </si>
  <si>
    <t>NUR HIKMAH HAMID</t>
  </si>
  <si>
    <t>KAMPUNG KUALA BESAR 15350 KOTA BHARU KELANTAN (LORONG DEPAN KEDAI DOMAK)   Kelantan my 15350</t>
  </si>
  <si>
    <t>NVMY34535000003312</t>
  </si>
  <si>
    <t>HADIF IFRAN</t>
  </si>
  <si>
    <t>NO 9 JALAN KEMPAS MERU 1 41050 KLANG SELANGOR  Selangor  Selangor my 41050</t>
  </si>
  <si>
    <t>NVMY34535000003319</t>
  </si>
  <si>
    <t>RANIZAH BT ALISKAL</t>
  </si>
  <si>
    <t>Taman khazanah indah lorong 6 A5-12,mdld 9629 jalan tengah nipah tungku,91100 lahad datu sabah   Sabah my 91100</t>
  </si>
  <si>
    <t>NVMY34535000003345</t>
  </si>
  <si>
    <t>RAFIDAH ARIFFIN</t>
  </si>
  <si>
    <t>NO 57 KUARTERS JABATAN HUTANLENTANG KM 52 LEBUHRAYA KUALA LUMPUR - KARAK 28750 BENTONG PAHANG  Pahang  Pahang my 28750</t>
  </si>
  <si>
    <t>14A-BEN-104</t>
  </si>
  <si>
    <t>NVMY34535000003342</t>
  </si>
  <si>
    <t>ZARINA BT MOHD UMOR</t>
  </si>
  <si>
    <t>NO 10A KAMPUNG SUNGAI SAMAK 36400 HUTAN MELINTANG PERAK   Perak my 36400</t>
  </si>
  <si>
    <t>NVMY34535000003327</t>
  </si>
  <si>
    <t>SITI NOR HAJAR BINTI MOHD ZAKI</t>
  </si>
  <si>
    <t>NO 3 SRI KLEBANG F/10, BANDAR BARU SRI KLEBANG 31200 IPOH, PERAK   Perak my 31200</t>
  </si>
  <si>
    <t>NVMY34535000003346</t>
  </si>
  <si>
    <t>NIK AIMI NIK FAUZI POLIKLINIK SUFFI</t>
  </si>
  <si>
    <t>A9 JALAN DELIMA EMAS 1 TAMAN DELIMA EMAS 08000 SUNGAI PETANI KEDAH   Kedah my 08000</t>
  </si>
  <si>
    <t>NVMY34535000003349</t>
  </si>
  <si>
    <t>ROKIAH BT MAT NOOR</t>
  </si>
  <si>
    <t>2854, KG RAPAT JAYA TAMBAHAN, PERSIARAN RAPAT BARU 20, 31350 IPOH PERAK   Perak my 31350</t>
  </si>
  <si>
    <t>NVMY34535000003354</t>
  </si>
  <si>
    <t>HASMAH MAT</t>
  </si>
  <si>
    <t>A766 KAMPUNG BUKIT TOK BENG, SEBERANG TAKIR 21300 KUALA NERUS, TERENGGANU   Terengganu my 21300</t>
  </si>
  <si>
    <t>NVMY34535000003353</t>
  </si>
  <si>
    <t>NVMY34535000003357</t>
  </si>
  <si>
    <t>WOK BINTI NAIM</t>
  </si>
  <si>
    <t>NO 136 (BLOK 4), FELDA BUKIT KEPAYANG 28300 TRIANG, PAHANG   Pahang my 28300</t>
  </si>
  <si>
    <t>6A-TRI-36</t>
  </si>
  <si>
    <t>NVMY34535000003358</t>
  </si>
  <si>
    <t>AHMAD NUJAIDI AFFITRI BIN AB LLAH</t>
  </si>
  <si>
    <t>PT 2209, TAMAN RUSHDAN YUSOFF BALOH, JALAN SEKOLAH CHUNG HWA, KOK LANAS, 16450 KOTA BHARU, KELANTAN   Kelantan my 16450</t>
  </si>
  <si>
    <t>NVMY34535000003334</t>
  </si>
  <si>
    <t>HASLINDA</t>
  </si>
  <si>
    <t>NO 2 JALAN CENDANA TAMAN INDERA BARAT 32600 BOTA PERAK   Perak my 32600</t>
  </si>
  <si>
    <t>NVMY34535000003350</t>
  </si>
  <si>
    <t>NORZILAWATI BINTI SARIP</t>
  </si>
  <si>
    <t>KPMC PUCHONG, NO 1&amp;3, JLN PUTERI 2/1, BANDAR PUTERI, PETALING JAYA 47100 SELANGOR   Selangor my 47100</t>
  </si>
  <si>
    <t>NVMY34535000003351</t>
  </si>
  <si>
    <t>NURLIYANA BINTI MAT TAJUDIN</t>
  </si>
  <si>
    <t>970MK9, KAMPUNG PAYA TELUK KUMBAR BARAT DAYA 11920 PULAU PINANG   Pulau Pinang my 11920</t>
  </si>
  <si>
    <t>NVMY34535000003337</t>
  </si>
  <si>
    <t>HEME PAHING</t>
  </si>
  <si>
    <t>JASARIA HOTEL 1ST FLOOR LOT 1-5 BLOK K BEAUFORT JAYA PHASE 1 COMMERCIAL DEVELOPMENT P O BOX 123 89808 BEAUFORT INTERIOR DIVISON SABAH   Sabah my 89808</t>
  </si>
  <si>
    <t>NVMY34535000003361</t>
  </si>
  <si>
    <t>SYAH PUTERA BIN MAT ZAIN</t>
  </si>
  <si>
    <t>LOT 377A BT 21 1/2 JALAN SUNGAI LALANG, SEMENYIH 43500 SELANGOR   Selangor my 43500</t>
  </si>
  <si>
    <t>13-SYH-102</t>
  </si>
  <si>
    <t>NVMY34535000003339</t>
  </si>
  <si>
    <t>SHARIFAH NORHAYATI BINTI SYED MAFDZOT</t>
  </si>
  <si>
    <t>NO 151 TAMAN DAYANG JALAN AYER HANGAT MUKIM KUAH 07100 LANGKAWI KEDAH   Kedah my 07100</t>
  </si>
  <si>
    <t>NVMY34535000003340</t>
  </si>
  <si>
    <t>RAFIDAH TALIP</t>
  </si>
  <si>
    <t>KG BEKARANG 89760 MENUMBOK SABAH   Sabah my 89760</t>
  </si>
  <si>
    <t>NVMY34535000003341</t>
  </si>
  <si>
    <t>NVMY34535000003359</t>
  </si>
  <si>
    <t>TANIA MARSELLA</t>
  </si>
  <si>
    <t>D-2-11 APARTMENT SIANTAN, JALAN PUTRA PERDANA 3A, 47130 PUCHONG, SELANGOR   Selangor my 47130</t>
  </si>
  <si>
    <t>12-CJY-96</t>
  </si>
  <si>
    <t>NVMY34535000003367</t>
  </si>
  <si>
    <t>ASMIN NUR IZZATI</t>
  </si>
  <si>
    <t>MALAYSIAN SHEET GLASS SDN BHD 21KM, BANDAR BARU SUNGAI BULOH, 47000 SUNGAI BULOH, SELANGOR  , Selangor Selangor MY 47000</t>
  </si>
  <si>
    <t>NVMY34535000003368</t>
  </si>
  <si>
    <t>AJENSI RIAZ SDN BHD</t>
  </si>
  <si>
    <t>LOT NO 15 JALAN 2 118 C DESA TUN RAZAK 56000 CHERAS KUALA LUMPUR   Kuala Lumpur my 56000</t>
  </si>
  <si>
    <t>NVMY34535000003352</t>
  </si>
  <si>
    <t>MUHAMMAD ADAM CHWA BIN ABDULLAH</t>
  </si>
  <si>
    <t>1ST FLOOR, PLAZA MWE, 8, FARQUHAR STREET, 10200 PULAU PINANG   Pulau Pinang my 10200</t>
  </si>
  <si>
    <t>5-GEO-31</t>
  </si>
  <si>
    <t>NVMY34535000003336</t>
  </si>
  <si>
    <t>SUAIDAH BINTI ABDUL BANI</t>
  </si>
  <si>
    <t>KAMPUNG PANGKALAN WDT 43 91207 KUNAK SABAH   Sabah my 91207</t>
  </si>
  <si>
    <t>15A-KNK-160</t>
  </si>
  <si>
    <t>NVMY34535000003364</t>
  </si>
  <si>
    <t>COSTUMES EMPIRE</t>
  </si>
  <si>
    <t>LOT 2.36 &amp; 2.37 1ST FLOOR WISMA CENTRAL JALAN AMPANG 50450 KUALA LUMPUR  , Kuala Lumpur Kuala Lumpur MY 50450</t>
  </si>
  <si>
    <t>11-CKT-87</t>
  </si>
  <si>
    <t>NVMY34535000003362</t>
  </si>
  <si>
    <t>NOR AMIRAH ATHIFAH BT AZAHAR</t>
  </si>
  <si>
    <t>D-12-12 PANGSAPURI SRI PENARA, BANDAR SRI PERMAISURI 56000 KUALA LUMPUR   Kuala Lumpur my 56000</t>
  </si>
  <si>
    <t>11A-ECO-183</t>
  </si>
  <si>
    <t>NVMY34535000003323</t>
  </si>
  <si>
    <t>Aiman Syafik</t>
  </si>
  <si>
    <t>Markas Tentera Udara Bahagian Tadbir Cawangan Istiadat  d/a Pangkalan Udara Subang 40150 Shah Alam Selangor   Selangor my 40150</t>
  </si>
  <si>
    <t>MM-XDK</t>
  </si>
  <si>
    <t>NVMY34535000003363</t>
  </si>
  <si>
    <t>KAK ANI</t>
  </si>
  <si>
    <t>LOT 715 BATU 23 JALAN REDAN UJUNG KANCHONG DARAT 42700 BANTING SELANGOR   Selangor my 42700</t>
  </si>
  <si>
    <t>NVMY34535000003360</t>
  </si>
  <si>
    <t>BLOK 11-6-12, TINGKAT PAYA TERUBONG 2, PAYA TERUBONG 11060 AYER ITAM, PULAU PINANG   Pulau Pinang my 11060</t>
  </si>
  <si>
    <t>NVMY34535000003348</t>
  </si>
  <si>
    <t>MAZLINA MOHAMMAD</t>
  </si>
  <si>
    <t>JLN PUSAT TERNAKAN LEMBU KG BOMBOL 89000 KENINGAU SABAH   Sabah my 89000</t>
  </si>
  <si>
    <t>NVMY34535000003356</t>
  </si>
  <si>
    <t>NORSIDAH AHMAD</t>
  </si>
  <si>
    <t>VIKING PACKAGING SDN BHD, PETI SURAT 120, 89807 BEAUFORT SABAH   Sabah my 89807</t>
  </si>
  <si>
    <t>NVMY34535000003355</t>
  </si>
  <si>
    <t>AZLYNA BINTI LADJALINO</t>
  </si>
  <si>
    <t>NVMY34535000003371</t>
  </si>
  <si>
    <t>AHMAD ZAIDI ZAINAL</t>
  </si>
  <si>
    <t>NO 19 JLN BU 12/5 BANDAR UTAMA DAMANSARA 47800 P.JAYA SELANGOR   Selangor my 47800</t>
  </si>
  <si>
    <t>NVMY34535000003375</t>
  </si>
  <si>
    <t>RUBINA KHAIDIR</t>
  </si>
  <si>
    <t>KOLEH TINGKATAN ENAM TAPAH JALAN BIDOR LAMA 35000 TAPAH PERAK   Perak my 35000</t>
  </si>
  <si>
    <t>NVMY34535000003366</t>
  </si>
  <si>
    <t>ANDI SITI HASMAH</t>
  </si>
  <si>
    <t>CELCOM BLUECUBE TAWAU TB309 BLOCK 36 GROUND FLOOR FAJAR COMPLEX 91000 TAWAU SABAH   Sabah my 91000</t>
  </si>
  <si>
    <t>NVMY34535000003372</t>
  </si>
  <si>
    <t>BANK PERTANIAN MALAYSIA BERHAD (AGROBANK)</t>
  </si>
  <si>
    <t>TRADE FINANCE DEPARTMENT, SUITE 8.0, 8TH FLOOR, WISMA MARAN, NO 28 MEDAN PASAR, 50050 KUALA LUMPUR    Kuala Lumpur my 50050</t>
  </si>
  <si>
    <t>NVMY34535000003385</t>
  </si>
  <si>
    <t>aliyahmai</t>
  </si>
  <si>
    <t>Mahallah Azdah Pusat asasi UIAM Gambang 26300 Kuantan, Pahang.   Pahang my 26300</t>
  </si>
  <si>
    <t>NVMY34535000003369</t>
  </si>
  <si>
    <t>MUHD DANIAL</t>
  </si>
  <si>
    <t>NO 46 MUKIM 5 KUBANG SEMAN BUKIT MERTAJAM 14400 KUBANG SEMAN PULAU PINANG   Pulau Pinang my 14400</t>
  </si>
  <si>
    <t>NVMY34535000003376</t>
  </si>
  <si>
    <t>MARIAM BT OMAR</t>
  </si>
  <si>
    <t>A 148 KAMPUNG PADANG MIDIN JALAN PAYA RESAK 21400 KUALA TERENGGANU TERENGGANU   Terengganu my 21400</t>
  </si>
  <si>
    <t>NVMY34535000003384</t>
  </si>
  <si>
    <t>Norjehan binti Mehdzar</t>
  </si>
  <si>
    <t>No 38 Jalan Metro 1/9, Bandar Metro Puchong, 47160 Puchong Selangor   Selangor my 47160</t>
  </si>
  <si>
    <t>NVMY34535000003393</t>
  </si>
  <si>
    <t>NOR ASHIKIN BINTI AHMAD</t>
  </si>
  <si>
    <t>LOT 1550 KAMPUNG PULAU SERAI, JALAN BENTAN 26600 PEKAN, PAHANG   Pahang my 26600</t>
  </si>
  <si>
    <t>NVMY34535000003381</t>
  </si>
  <si>
    <t>IRMI ZARINA ISMAIL</t>
  </si>
  <si>
    <t>430 TAMAN ENGLAND 70400 SEREMBAN NEGERI SEMBILAN   Negeri Sembilan my 70400</t>
  </si>
  <si>
    <t>NVMY34535000003365</t>
  </si>
  <si>
    <t>DR. NUR AMIRAH BINTI SANIGAPOR</t>
  </si>
  <si>
    <t>KLINIK PERGIGIAN PADANG MAT SIRAT, KAMPUNG PADANG MAT SIRAT 07100 LANGKAWI, KEDAH  , Kedah Kedah MY 07100</t>
  </si>
  <si>
    <t>NVMY34535000003380</t>
  </si>
  <si>
    <t>NO 4 LORONG SEKOLAH JLN KESANG LAUT 84000 TANGKAK JOHOR   Johor my 84000</t>
  </si>
  <si>
    <t>7-MUA-46</t>
  </si>
  <si>
    <t>NVMY34535000003382</t>
  </si>
  <si>
    <t>KPL 107140 RUSLIN BINTI MIHAT</t>
  </si>
  <si>
    <t>CAWANGAN PENDAKWAAN IBU PEJABAT POLIS DAERAH 85000 SEGAMAT JOHOR   Johor my 85000</t>
  </si>
  <si>
    <t>NVMY34535000003383</t>
  </si>
  <si>
    <t>KAK FAZ</t>
  </si>
  <si>
    <t>458 JALAN SENIMAS 14 TAMAN SENIMAS 7200 KUALA PILAH NEGERI SEMBILAN   Negeri Sembilan my 72000</t>
  </si>
  <si>
    <t>9-BHU-59</t>
  </si>
  <si>
    <t>NVMY34535000003374</t>
  </si>
  <si>
    <t>MARSHA SHAHIRAH</t>
  </si>
  <si>
    <t>NO 602 JALAN BERSATU 1/7 TAMAN BERSATU FASA 2 06000 JITRA KEDAH   Kedah my 06000</t>
  </si>
  <si>
    <t>NVMY34535000003390</t>
  </si>
  <si>
    <t>Ezuwan shuhairy</t>
  </si>
  <si>
    <t>257 felda tenang 22010 jerteh besut Terengganu    Terengganu my 22010</t>
  </si>
  <si>
    <t>1A-JTH-6</t>
  </si>
  <si>
    <t>NVMY34535000003387</t>
  </si>
  <si>
    <t>RAJA MOHD AZHAN BIN RAJA BIDIN</t>
  </si>
  <si>
    <t>NO. 6663-2-1 kuarters JKR  Batu 4 1/2 Jalan Sg. Besi 57100 Kuala Lumpur   Kuala Lumpur my 57100</t>
  </si>
  <si>
    <t>NVMY34535000003392</t>
  </si>
  <si>
    <t>MUHAMMAD ZAIDDI BIN HILMI</t>
  </si>
  <si>
    <t>7-1-6 KELUMPUK KENANGA JLN 20/56 TMN SETIAWANGSA 54200  WP KUALA LUMPUR   Kuala Lumpur my 54200</t>
  </si>
  <si>
    <t>NVMY34535000003386</t>
  </si>
  <si>
    <t>SHAWN TAI</t>
  </si>
  <si>
    <t>NO 5 LORONG SAMRINDA 35A TAMAN MESRA 41000 KLANG SELANGOR   Selangor my 41000</t>
  </si>
  <si>
    <t>11A-KMU-81</t>
  </si>
  <si>
    <t>NVMY34535000003378</t>
  </si>
  <si>
    <t>SITI NORAZLINA HUSAIN</t>
  </si>
  <si>
    <t>BLOCK AKG 2-2 PERUMAHAN KASTAM BUKIT GELUGOR 11700 GELUGOR PULAU PINANG   Pulau Pinang my 11700</t>
  </si>
  <si>
    <t>NVMY34535000003388</t>
  </si>
  <si>
    <t>Muhammad Nizam Bin Ali</t>
  </si>
  <si>
    <t>A-101, De Rozelle Condominium, Seksyen 10, Jalan Merbah 10/1, Kota Damansara, 47810 Petaling Jaya, Selangor.   Selangor my 47810</t>
  </si>
  <si>
    <t>10A-DAM-72</t>
  </si>
  <si>
    <t>NVMY34535000003377</t>
  </si>
  <si>
    <t>NVMY34535000003389</t>
  </si>
  <si>
    <t>Luqman Nur Hakim Bin Darmizam</t>
  </si>
  <si>
    <t xml:space="preserve"> Jkr 2289, kuarters pegawai kanan penjara taiping, jalan pecah batu lama, 34000 Taiping perak.   Perak my 34000</t>
  </si>
  <si>
    <t>8A-TPG-51</t>
  </si>
  <si>
    <t>NVMY34535000003370</t>
  </si>
  <si>
    <t>MAHKAMAH MAHKAMAH SABAH MAHKHAMAH MAJISTRET LAHAD DAYU PETI SURAT 60166 91111 LAHAD DATU SABAH   Sabah my 91111</t>
  </si>
  <si>
    <t>NVMY34535000003394</t>
  </si>
  <si>
    <t>NADDY</t>
  </si>
  <si>
    <t>Perlis</t>
  </si>
  <si>
    <t>PT 3687 kg baru panggas ,  Lorong tok kamis Jalan kilang gula 02500 Chuping Perlis   Perlis my 02500</t>
  </si>
  <si>
    <t>NVMY34535000003395</t>
  </si>
  <si>
    <t>Sabrina Nazarudin</t>
  </si>
  <si>
    <t>no 281 Blok 12 Felda Sg Mas 81930 Bandar Penawar Johor   Johor my 81930</t>
  </si>
  <si>
    <t>NVMY34535000003398</t>
  </si>
  <si>
    <t>Mohd.ridzuan bin othman</t>
  </si>
  <si>
    <t>No 62c kampung sungai tepus,parit nibong,34950 bandar baharu kedah   Kedah my 34950</t>
  </si>
  <si>
    <t>8A-BAG-50</t>
  </si>
  <si>
    <t>NVMY34535000003400</t>
  </si>
  <si>
    <t>Azilawaty bt muda</t>
  </si>
  <si>
    <t>Blok 1, Tingkat 2 ,unit 2, Apartment 5R6, Parcel 5R6, Presint 5, 62200 Putrajaya   Putrajaya my 62200</t>
  </si>
  <si>
    <t>NVMY34535000003396</t>
  </si>
  <si>
    <t>Muhammad Haziq bin Md Shah</t>
  </si>
  <si>
    <t>51, Jalan Surian 8, Taman Desaru Utama, Bandar Penawar, 81930, Johor   Johor my 81930</t>
  </si>
  <si>
    <t>4-PWR-26</t>
  </si>
  <si>
    <t>NVMY34535000003379</t>
  </si>
  <si>
    <t>AWRITA SAIDUL</t>
  </si>
  <si>
    <t>KG TARAP BONGAWAN 89709 BONGAWAN SABAH   Sabah my 89709</t>
  </si>
  <si>
    <t>NVMY34535000003391</t>
  </si>
  <si>
    <t>Kfc garden city,garden city ,jalan apas,91007 Tawau Sabah    Sabah my 91007</t>
  </si>
  <si>
    <t>NVMY34535000003410</t>
  </si>
  <si>
    <t>ALISYA BATRISYA</t>
  </si>
  <si>
    <t>LOT15004 KAMPUNG ALOR PULAI JELAWAT 16070 BACHOK KELANTAN   Kelantan my 16070</t>
  </si>
  <si>
    <t>NVMY34535000003408</t>
  </si>
  <si>
    <t>NVMY34535000003399</t>
  </si>
  <si>
    <t>NVMY34535000003373</t>
  </si>
  <si>
    <t>ADZLAN</t>
  </si>
  <si>
    <t>20-G, PERSIARAN PERMATANG RAWA BUKIT MERTAJAM WELLESLEY, 14000 BUKIT MERTAJAM, PULAU PINANG  Pulau Pinang  Pulau Pinang my 14000</t>
  </si>
  <si>
    <t>NVMY34535000003403</t>
  </si>
  <si>
    <t>YASMIN FARHANA</t>
  </si>
  <si>
    <t>NO 158 FELDA KEMASUL,28310 TRIANG PAHANG   Pahang my 28310</t>
  </si>
  <si>
    <t>NVMY34535000003401</t>
  </si>
  <si>
    <t>KU NURUL ATHIRAH BT KU FAUZI</t>
  </si>
  <si>
    <t>TOWER B(LEVEL 09-09) CENTRA RESIDENCE/PANGSAPURI PALMA@NASA CITY,JALAN DESA PALMA,81100JOHOR BAHRU,JOHOR   Johor my 81100</t>
  </si>
  <si>
    <t>NVMY34535000003409</t>
  </si>
  <si>
    <t>ASHRAAF</t>
  </si>
  <si>
    <t>LOT 5876 KAMPUNG TELOK PENCHALANG 32040 SERI MANJUNG PERAK   Perak my 32040</t>
  </si>
  <si>
    <t>NVMY34535000003405</t>
  </si>
  <si>
    <t>ZALIKHA NEZELI</t>
  </si>
  <si>
    <t>A-17-07 BLOK A KELANA MAHKOTA CONDO JALAN 557/19,47301 KELANA JAYA SELANGOR   Selangor my 47301</t>
  </si>
  <si>
    <t>NVMY34535000003402</t>
  </si>
  <si>
    <t>FARADILA</t>
  </si>
  <si>
    <t>NO 39 JALAN 29 SELAYANG BARU 68100 BATU CAVES SELANGOR   Selangor my 68100</t>
  </si>
  <si>
    <t>NVMY34535000003421</t>
  </si>
  <si>
    <t>NUR FATINI BINTI MOHD ISA</t>
  </si>
  <si>
    <t>786-1 JALAN OLONG 1, KAMPUNG BINJAI 24000 KEMAMAN TERENGGANU   Terengganu my 24000</t>
  </si>
  <si>
    <t>NVMY34535000003423</t>
  </si>
  <si>
    <t>NORA AZUNI BT MOHD NOR</t>
  </si>
  <si>
    <t>QRTS TAMAN HARAPAN BATU 2 JLN MARAN 28000 TEMERLOH PAHANG   Pahang my 28000</t>
  </si>
  <si>
    <t>NVMY34535000003419</t>
  </si>
  <si>
    <t>HUDA</t>
  </si>
  <si>
    <t>No.6, Rumah Pangsa Bunga Raya Pandamaran, 42000 Pelabuhan Klang, Selangor   Selangor my 42000</t>
  </si>
  <si>
    <t>NVMY34535000003417</t>
  </si>
  <si>
    <t>LEA</t>
  </si>
  <si>
    <t>76, Jalan F4, Fasa 5, Taman Melawati, 53100, KL, Wilayah Persekutuan (KL)   Kuala Lumpur my 53100</t>
  </si>
  <si>
    <t>NVMY34535000003416</t>
  </si>
  <si>
    <t>B3-15-17 KEPONG SENTRAL CONDO JLN PUNCAK DESA 2 TAMAN PUNCAK  DESA KEPONG 52100 KL   Kuala Lumpur my 52100</t>
  </si>
  <si>
    <t>NVMY34535000003406</t>
  </si>
  <si>
    <t>HEME PAHANG</t>
  </si>
  <si>
    <t>JASARIA HOTEL 1ST FLOOR LOT 1-5 BLOK K BEAUFORT JAYA PHASE 1 COMMERCIAL DEVELOPMENT P.O.BOV 123 , 89808 BEAUFORT SABAH   Sabah my 89808</t>
  </si>
  <si>
    <t>NVMY34535000003404</t>
  </si>
  <si>
    <t>C/O WILHELSMEN TECHNICAL SERVICE-LAYUP DIVISION PRESTON SHIPYARD SDN.BHD KM9 ,BLOK 4 ,JALAN RANCA RANCA 87081 LABUAN   Labuan my 87081</t>
  </si>
  <si>
    <t>NVMY34535000003418</t>
  </si>
  <si>
    <t>NUR ARISSA DANIA</t>
  </si>
  <si>
    <t>No 245, Jalan Kasih Putera 7, Taman Kasih Putera, 72100 bahau, Negeri Sembilan   Negeri Sembilan my 72100</t>
  </si>
  <si>
    <t>NVMY34535000003411</t>
  </si>
  <si>
    <t>ZURA</t>
  </si>
  <si>
    <t>HOCK ENG SPORTS M SDN BHD NO 13 &amp; 15 GF JALAN 15/1A SEKSYEN 15 BANDAR BARU BANGI 43650 SELANGOR   Selangor my 43650</t>
  </si>
  <si>
    <t>NVMY34535000003412</t>
  </si>
  <si>
    <t>CHOIZES CONCEPT STORE SDN BHD</t>
  </si>
  <si>
    <t>UNIT NO D6-3A-17 BANGUNAN PERDAGANGAN D6, SENTUL RAYA, 801 JLN SENTUL 51100 KUALA LUMPUR   Kuala Lumpur my 51100</t>
  </si>
  <si>
    <t>NVMY34535000003422</t>
  </si>
  <si>
    <t>AZIE EZANY</t>
  </si>
  <si>
    <t>Cafe Sinar Hijjaz Kea Garden Kea Farm 39100 Cameron highlands Pahang   Pahang my 39100</t>
  </si>
  <si>
    <t>NVMY34535000003425</t>
  </si>
  <si>
    <t>SYUACTIVE SDN BHD</t>
  </si>
  <si>
    <t>65-2 JLN DATARAN SURIA 15/7/1 SEKSYEN 15 BANDAR PUNCAK ALAM 42300 SELANGOR   Selangor my 42300</t>
  </si>
  <si>
    <t>NVMY34535000003430</t>
  </si>
  <si>
    <t>ROSLINA BINTI JUSOH</t>
  </si>
  <si>
    <t>32-219 LORONG SENTOSA KIRI 3 ,DESA KENANGA 26700 MUADZAM SHAH PAHANG   Pahang my 26700</t>
  </si>
  <si>
    <t>NVMY34535000003413</t>
  </si>
  <si>
    <t>INTAN ZAMRI</t>
  </si>
  <si>
    <t>NO 216 (C) JALAN SAUJANA 3/1 TAMAN SAUJANA JOHOR BAHRU 81750 JOHOR   Johor my 81750</t>
  </si>
  <si>
    <t>NVMY34535000003414</t>
  </si>
  <si>
    <t>NURUL FATIN ZAMILAH BT ZAMZURI</t>
  </si>
  <si>
    <t>NO 13 TAMAN BAHAGIA BALAI BARU 02400 BERSERI PERLIS   Perlis my 02400</t>
  </si>
  <si>
    <t>NVMY34535000003347</t>
  </si>
  <si>
    <t>MISLIHA BINTI LATIP</t>
  </si>
  <si>
    <t>D/A SUJIMAN BIN KEMAN FGV REFINERIES OIL PRODUCT SAHABAT OIL PRODUCTS PETI SURAT 150 POS CENDERAWASIH 91150 LAHAD DATU SABAH   Sabah my 91150</t>
  </si>
  <si>
    <t>NVMY34535000003407</t>
  </si>
  <si>
    <t>MOHD SAZZWANN SUNNY</t>
  </si>
  <si>
    <t>AKER SOLUTION APAC SB RANCA-RANCA INDUSTRIAL ESTATE LOT10 OF CL205350250 JALAN PATAU-PATAU 87000 LABUAN   Labuan my 87000</t>
  </si>
  <si>
    <t>NVMY34535000003428</t>
  </si>
  <si>
    <t>NVMY34535000003427</t>
  </si>
  <si>
    <t>LADYE DIANA BINTI IMAN</t>
  </si>
  <si>
    <t>SU281 JLN INDAH 15 TMN INDAH 76300 SG UDNG MELAKA TENGAH MELAKA   Melaka my 76300</t>
  </si>
  <si>
    <t>9A-MYK-63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</si>
</sst>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/>
    </xf>
    <xf numFmtId="0" fontId="3" fillId="3" borderId="0" xfId="0" applyFont="1" applyFill="1"/>
    <xf numFmtId="0" fontId="1" fillId="4" borderId="0" xfId="0" applyFont="1" applyFill="1"/>
    <xf numFmtId="0" fontId="0" fillId="5" borderId="0" xfId="0" applyFill="1"/>
    <xf numFmtId="0" fontId="2" fillId="6" borderId="0" xfId="0" applyFont="1" applyFill="1"/>
    <xf numFmtId="164" fontId="3" fillId="7" borderId="0" xfId="0" applyNumberFormat="1" applyFont="1" applyFill="1" applyAlignment="1">
      <alignment horizontal="left"/>
    </xf>
    <xf numFmtId="0" fontId="3" fillId="8" borderId="0" xfId="0" applyFont="1" applyFill="1"/>
    <xf numFmtId="0" fontId="0" fillId="9" borderId="0" xfId="0" applyFill="1"/>
    <xf numFmtId="0" fontId="0" fillId="10" borderId="0" xfId="0" applyFill="1"/>
    <xf numFmtId="0" fontId="0" fillId="4" borderId="0" xfId="0" applyFill="1"/>
    <xf numFmtId="0" fontId="0" fillId="11" borderId="0" xfId="0" applyFill="1"/>
    <xf numFmtId="22" fontId="0" fillId="0" borderId="0" xfId="0" applyNumberFormat="1"/>
    <xf numFmtId="14" fontId="0" fillId="0" borderId="0" xfId="0" applyNumberFormat="1"/>
    <xf numFmtId="43" fontId="2" fillId="7" borderId="0" xfId="0" applyNumberFormat="1" applyFont="1" applyFill="1"/>
    <xf numFmtId="43" fontId="0" fillId="12" borderId="0" xfId="0" applyNumberFormat="1" applyFill="1"/>
    <xf numFmtId="164" fontId="2" fillId="6" borderId="0" xfId="0" applyNumberFormat="1" applyFont="1" applyFill="1"/>
    <xf numFmtId="4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CAC0-F31D-4C46-9EF2-C2C720F8140B}">
  <dimension ref="A1:AK223"/>
  <sheetViews>
    <sheetView tabSelected="1" workbookViewId="0">
      <selection sqref="A1:AK221"/>
    </sheetView>
  </sheetViews>
  <sheetFormatPr defaultRowHeight="14.5" x14ac:dyDescent="0.35"/>
  <cols>
    <col min="1" max="37" width="9.08984375" customWidth="1"/>
  </cols>
  <sheetData>
    <row r="1" spans="1:37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</row>
    <row r="2" spans="1:37" ht="15" customHeight="1" x14ac:dyDescent="0.35">
      <c r="A2">
        <v>690929</v>
      </c>
      <c r="B2" t="s">
        <v>37</v>
      </c>
      <c r="C2" t="s">
        <v>38</v>
      </c>
      <c r="D2" s="9" t="s">
        <v>39</v>
      </c>
      <c r="E2" s="10" t="s">
        <v>37</v>
      </c>
      <c r="F2" s="11"/>
      <c r="G2" t="s">
        <v>40</v>
      </c>
      <c r="H2" t="s">
        <v>41</v>
      </c>
      <c r="I2" t="s">
        <v>42</v>
      </c>
      <c r="J2" t="s">
        <v>43</v>
      </c>
      <c r="K2" t="s">
        <v>44</v>
      </c>
      <c r="L2">
        <v>2</v>
      </c>
      <c r="M2" t="s">
        <v>45</v>
      </c>
      <c r="N2" t="s">
        <v>46</v>
      </c>
      <c r="O2" t="s">
        <v>47</v>
      </c>
      <c r="P2" s="12">
        <v>1</v>
      </c>
      <c r="Q2" s="13">
        <v>44879.696250000001</v>
      </c>
      <c r="R2" s="14">
        <v>44882</v>
      </c>
      <c r="S2" t="s">
        <v>41</v>
      </c>
      <c r="T2" t="s">
        <v>48</v>
      </c>
      <c r="U2" t="s">
        <v>49</v>
      </c>
      <c r="V2" t="s">
        <v>50</v>
      </c>
      <c r="Y2" t="s">
        <v>51</v>
      </c>
      <c r="Z2">
        <v>31300</v>
      </c>
      <c r="AA2" t="s">
        <v>48</v>
      </c>
      <c r="AB2" t="s">
        <v>52</v>
      </c>
      <c r="AC2" t="s">
        <v>53</v>
      </c>
      <c r="AD2" s="15">
        <f>IF(P2&lt;=1,7,7+0.8*ROUNDUP(P2-1,0))</f>
        <v>7</v>
      </c>
      <c r="AE2" s="16">
        <v>0</v>
      </c>
      <c r="AF2" s="16">
        <v>0</v>
      </c>
      <c r="AG2" s="16">
        <v>0</v>
      </c>
      <c r="AH2" s="16">
        <v>0</v>
      </c>
      <c r="AI2" s="16">
        <f t="shared" ref="AI2:AI62" si="0">(AD2+AF2+AH2)*6%</f>
        <v>0.42</v>
      </c>
      <c r="AJ2" s="16">
        <f t="shared" ref="AJ2:AJ65" si="1">AD2+AF2+AH2+AI2</f>
        <v>7.42</v>
      </c>
      <c r="AK2" t="s">
        <v>48</v>
      </c>
    </row>
    <row r="3" spans="1:37" ht="15" customHeight="1" x14ac:dyDescent="0.35">
      <c r="A3">
        <v>690929</v>
      </c>
      <c r="B3" t="s">
        <v>37</v>
      </c>
      <c r="C3" t="s">
        <v>38</v>
      </c>
      <c r="D3" s="9" t="s">
        <v>39</v>
      </c>
      <c r="E3" s="10" t="s">
        <v>37</v>
      </c>
      <c r="F3" s="11"/>
      <c r="G3" t="s">
        <v>54</v>
      </c>
      <c r="H3" t="s">
        <v>41</v>
      </c>
      <c r="I3" t="s">
        <v>42</v>
      </c>
      <c r="J3" t="s">
        <v>55</v>
      </c>
      <c r="K3" t="s">
        <v>44</v>
      </c>
      <c r="L3">
        <v>2</v>
      </c>
      <c r="M3" t="s">
        <v>45</v>
      </c>
      <c r="N3" t="s">
        <v>46</v>
      </c>
      <c r="O3" t="s">
        <v>47</v>
      </c>
      <c r="P3" s="12">
        <v>1</v>
      </c>
      <c r="Q3" s="13">
        <v>44879.573125000003</v>
      </c>
      <c r="R3" s="14">
        <v>44882</v>
      </c>
      <c r="S3" t="s">
        <v>41</v>
      </c>
      <c r="T3" t="s">
        <v>48</v>
      </c>
      <c r="U3" t="s">
        <v>49</v>
      </c>
      <c r="V3" t="s">
        <v>56</v>
      </c>
      <c r="Y3" t="s">
        <v>57</v>
      </c>
      <c r="Z3">
        <v>88450</v>
      </c>
      <c r="AA3" t="s">
        <v>58</v>
      </c>
      <c r="AB3" t="s">
        <v>59</v>
      </c>
      <c r="AC3" t="s">
        <v>53</v>
      </c>
      <c r="AD3" s="17">
        <f>IF(P3&lt;=1,13,IF(P3&lt;=2,23,IF(P3&lt;=3,35,IF(P3&lt;=4,43,IF(P3&lt;=5,53,IF(P3&lt;=6,63,IF(P3&lt;=7,71,IF(P3&lt;=8,79,IF(P3&lt;=9,87,IF(P3&lt;=10,95,IF(P3&lt;=11,105,IF(P3&lt;=12,114,IF(P3&lt;=13,119,IF(P3&lt;=14,127,IF(P3&lt;=15,135,IF(P3&lt;=16,143,IF(P3&lt;=17,153,IF(P3&lt;=18,163,IF(P3&lt;=19,171,IF(P3&lt;=20,185,IF(P3&lt;=21,193,IF(P3&lt;=22,201,IF(P3&lt;=23,210,IF(P3&lt;=24,220,IF(P3&lt;=25,230,IF(P3&lt;=26,240,IF(P3&lt;=27,250,IF(P3&lt;=28,260,IF(P3&lt;=29,270,IF(P3&lt;=30,280,280))))))))))))))))))))))))))))))</f>
        <v>13</v>
      </c>
      <c r="AE3" s="16">
        <v>0</v>
      </c>
      <c r="AF3" s="16">
        <v>0</v>
      </c>
      <c r="AG3" s="16">
        <v>0</v>
      </c>
      <c r="AH3" s="16">
        <v>0</v>
      </c>
      <c r="AI3" s="16">
        <f t="shared" si="0"/>
        <v>0.78</v>
      </c>
      <c r="AJ3" s="16">
        <f t="shared" si="1"/>
        <v>13.78</v>
      </c>
      <c r="AK3" t="s">
        <v>58</v>
      </c>
    </row>
    <row r="4" spans="1:37" ht="15" customHeight="1" x14ac:dyDescent="0.35">
      <c r="A4">
        <v>690929</v>
      </c>
      <c r="B4" t="s">
        <v>37</v>
      </c>
      <c r="C4" t="s">
        <v>38</v>
      </c>
      <c r="D4" s="9" t="s">
        <v>39</v>
      </c>
      <c r="E4" s="10" t="s">
        <v>37</v>
      </c>
      <c r="F4" s="11"/>
      <c r="G4" t="s">
        <v>60</v>
      </c>
      <c r="H4" t="s">
        <v>41</v>
      </c>
      <c r="I4" t="s">
        <v>42</v>
      </c>
      <c r="J4" t="s">
        <v>61</v>
      </c>
      <c r="K4" t="s">
        <v>44</v>
      </c>
      <c r="L4">
        <v>2</v>
      </c>
      <c r="M4" t="s">
        <v>45</v>
      </c>
      <c r="N4" t="s">
        <v>46</v>
      </c>
      <c r="O4" t="s">
        <v>47</v>
      </c>
      <c r="P4" s="12">
        <v>1</v>
      </c>
      <c r="Q4" s="13">
        <v>44881.524398148147</v>
      </c>
      <c r="R4" s="14">
        <v>44882</v>
      </c>
      <c r="S4" t="s">
        <v>41</v>
      </c>
      <c r="T4" t="s">
        <v>48</v>
      </c>
      <c r="U4" t="s">
        <v>49</v>
      </c>
      <c r="V4" t="s">
        <v>62</v>
      </c>
      <c r="Y4" t="s">
        <v>63</v>
      </c>
      <c r="Z4">
        <v>54200</v>
      </c>
      <c r="AA4" t="s">
        <v>48</v>
      </c>
      <c r="AB4" t="s">
        <v>49</v>
      </c>
      <c r="AC4" t="s">
        <v>53</v>
      </c>
      <c r="AD4" s="15">
        <f>IF(P4&lt;=1,7,7+0.8*ROUNDUP(P4-1,0))</f>
        <v>7</v>
      </c>
      <c r="AE4" s="16">
        <v>0</v>
      </c>
      <c r="AF4" s="16">
        <v>0</v>
      </c>
      <c r="AG4" s="16">
        <v>0</v>
      </c>
      <c r="AH4" s="16">
        <v>0</v>
      </c>
      <c r="AI4" s="16">
        <f t="shared" si="0"/>
        <v>0.42</v>
      </c>
      <c r="AJ4" s="16">
        <f t="shared" si="1"/>
        <v>7.42</v>
      </c>
      <c r="AK4" t="s">
        <v>48</v>
      </c>
    </row>
    <row r="5" spans="1:37" ht="15" customHeight="1" x14ac:dyDescent="0.35">
      <c r="A5">
        <v>690929</v>
      </c>
      <c r="B5" t="s">
        <v>37</v>
      </c>
      <c r="C5" t="s">
        <v>38</v>
      </c>
      <c r="D5" s="9" t="s">
        <v>39</v>
      </c>
      <c r="E5" s="10" t="s">
        <v>37</v>
      </c>
      <c r="F5" s="11"/>
      <c r="G5" t="s">
        <v>64</v>
      </c>
      <c r="H5" t="s">
        <v>41</v>
      </c>
      <c r="I5" t="s">
        <v>42</v>
      </c>
      <c r="J5" t="s">
        <v>65</v>
      </c>
      <c r="K5" t="s">
        <v>44</v>
      </c>
      <c r="L5">
        <v>2</v>
      </c>
      <c r="M5" t="s">
        <v>45</v>
      </c>
      <c r="N5" t="s">
        <v>46</v>
      </c>
      <c r="O5" t="s">
        <v>47</v>
      </c>
      <c r="P5" s="12">
        <v>1</v>
      </c>
      <c r="Q5" s="13">
        <v>44879.564166666663</v>
      </c>
      <c r="R5" s="14">
        <v>44882</v>
      </c>
      <c r="S5" t="s">
        <v>41</v>
      </c>
      <c r="T5" t="s">
        <v>48</v>
      </c>
      <c r="U5" t="s">
        <v>49</v>
      </c>
      <c r="V5" t="s">
        <v>66</v>
      </c>
      <c r="Y5" t="s">
        <v>67</v>
      </c>
      <c r="Z5">
        <v>93250</v>
      </c>
      <c r="AA5" t="s">
        <v>58</v>
      </c>
      <c r="AB5" t="s">
        <v>68</v>
      </c>
      <c r="AC5" t="s">
        <v>53</v>
      </c>
      <c r="AD5" s="17">
        <f>IF(P5&lt;=1,13,IF(P5&lt;=2,23,IF(P5&lt;=3,35,IF(P5&lt;=4,43,IF(P5&lt;=5,53,IF(P5&lt;=6,63,IF(P5&lt;=7,71,IF(P5&lt;=8,79,IF(P5&lt;=9,87,IF(P5&lt;=10,95,IF(P5&lt;=11,105,IF(P5&lt;=12,114,IF(P5&lt;=13,119,IF(P5&lt;=14,127,IF(P5&lt;=15,135,IF(P5&lt;=16,143,IF(P5&lt;=17,153,IF(P5&lt;=18,163,IF(P5&lt;=19,171,IF(P5&lt;=20,185,IF(P5&lt;=21,193,IF(P5&lt;=22,201,IF(P5&lt;=23,210,IF(P5&lt;=24,220,IF(P5&lt;=25,230,IF(P5&lt;=26,240,IF(P5&lt;=27,250,IF(P5&lt;=28,260,IF(P5&lt;=29,270,IF(P5&lt;=30,280,280))))))))))))))))))))))))))))))</f>
        <v>13</v>
      </c>
      <c r="AE5" s="16">
        <v>0</v>
      </c>
      <c r="AF5" s="16">
        <v>0</v>
      </c>
      <c r="AG5" s="16">
        <v>0</v>
      </c>
      <c r="AH5" s="16">
        <v>0</v>
      </c>
      <c r="AI5" s="16">
        <f t="shared" si="0"/>
        <v>0.78</v>
      </c>
      <c r="AJ5" s="16">
        <f t="shared" si="1"/>
        <v>13.78</v>
      </c>
      <c r="AK5" t="s">
        <v>58</v>
      </c>
    </row>
    <row r="6" spans="1:37" ht="15" customHeight="1" x14ac:dyDescent="0.35">
      <c r="A6">
        <v>690929</v>
      </c>
      <c r="B6" t="s">
        <v>37</v>
      </c>
      <c r="C6" t="s">
        <v>38</v>
      </c>
      <c r="D6" s="9" t="s">
        <v>39</v>
      </c>
      <c r="E6" s="10" t="s">
        <v>37</v>
      </c>
      <c r="F6" s="11"/>
      <c r="G6" t="s">
        <v>69</v>
      </c>
      <c r="H6" t="s">
        <v>41</v>
      </c>
      <c r="I6" t="s">
        <v>42</v>
      </c>
      <c r="J6" t="s">
        <v>70</v>
      </c>
      <c r="K6" t="s">
        <v>44</v>
      </c>
      <c r="L6">
        <v>2</v>
      </c>
      <c r="M6" t="s">
        <v>45</v>
      </c>
      <c r="N6" t="s">
        <v>46</v>
      </c>
      <c r="O6" t="s">
        <v>47</v>
      </c>
      <c r="P6" s="12">
        <v>1</v>
      </c>
      <c r="Q6" s="13">
        <v>44880.623842592591</v>
      </c>
      <c r="R6" s="14">
        <v>44882</v>
      </c>
      <c r="S6" t="s">
        <v>41</v>
      </c>
      <c r="T6" t="s">
        <v>48</v>
      </c>
      <c r="U6" t="s">
        <v>49</v>
      </c>
      <c r="V6" t="s">
        <v>71</v>
      </c>
      <c r="Y6" t="s">
        <v>72</v>
      </c>
      <c r="Z6">
        <v>55100</v>
      </c>
      <c r="AA6" t="s">
        <v>48</v>
      </c>
      <c r="AB6" t="s">
        <v>73</v>
      </c>
      <c r="AC6" t="s">
        <v>53</v>
      </c>
      <c r="AD6" s="15">
        <f>IF(P6&lt;=1,7,7+0.8*ROUNDUP(P6-1,0))</f>
        <v>7</v>
      </c>
      <c r="AE6" s="16">
        <v>0</v>
      </c>
      <c r="AF6" s="16">
        <v>0</v>
      </c>
      <c r="AG6" s="16">
        <v>0</v>
      </c>
      <c r="AH6" s="16">
        <v>0</v>
      </c>
      <c r="AI6" s="16">
        <f t="shared" si="0"/>
        <v>0.42</v>
      </c>
      <c r="AJ6" s="16">
        <f t="shared" si="1"/>
        <v>7.42</v>
      </c>
      <c r="AK6" t="s">
        <v>48</v>
      </c>
    </row>
    <row r="7" spans="1:37" ht="15" customHeight="1" x14ac:dyDescent="0.35">
      <c r="A7">
        <v>690929</v>
      </c>
      <c r="B7" t="s">
        <v>37</v>
      </c>
      <c r="C7" t="s">
        <v>38</v>
      </c>
      <c r="D7" s="9" t="s">
        <v>39</v>
      </c>
      <c r="E7" s="10" t="s">
        <v>37</v>
      </c>
      <c r="F7" s="11"/>
      <c r="G7" t="s">
        <v>74</v>
      </c>
      <c r="H7" t="s">
        <v>41</v>
      </c>
      <c r="I7" t="s">
        <v>42</v>
      </c>
      <c r="J7" t="s">
        <v>75</v>
      </c>
      <c r="K7" t="s">
        <v>44</v>
      </c>
      <c r="L7">
        <v>2</v>
      </c>
      <c r="M7" t="s">
        <v>45</v>
      </c>
      <c r="N7" t="s">
        <v>46</v>
      </c>
      <c r="O7" t="s">
        <v>47</v>
      </c>
      <c r="P7" s="12">
        <v>1</v>
      </c>
      <c r="Q7" s="13">
        <v>44881.582233796296</v>
      </c>
      <c r="R7" s="14">
        <v>44883</v>
      </c>
      <c r="S7" t="s">
        <v>41</v>
      </c>
      <c r="T7" t="s">
        <v>48</v>
      </c>
      <c r="U7" t="s">
        <v>49</v>
      </c>
      <c r="V7" t="s">
        <v>50</v>
      </c>
      <c r="Y7" t="s">
        <v>76</v>
      </c>
      <c r="Z7">
        <v>34000</v>
      </c>
      <c r="AA7" t="s">
        <v>48</v>
      </c>
      <c r="AB7" t="s">
        <v>77</v>
      </c>
      <c r="AC7" t="s">
        <v>53</v>
      </c>
      <c r="AD7" s="15">
        <f>IF(P7&lt;=1,7,7+0.8*ROUNDUP(P7-1,0))</f>
        <v>7</v>
      </c>
      <c r="AE7" s="16">
        <v>0</v>
      </c>
      <c r="AF7" s="16">
        <v>0</v>
      </c>
      <c r="AG7" s="16">
        <v>0</v>
      </c>
      <c r="AH7" s="16">
        <v>0</v>
      </c>
      <c r="AI7" s="16">
        <f t="shared" si="0"/>
        <v>0.42</v>
      </c>
      <c r="AJ7" s="16">
        <f t="shared" si="1"/>
        <v>7.42</v>
      </c>
      <c r="AK7" t="s">
        <v>48</v>
      </c>
    </row>
    <row r="8" spans="1:37" ht="15" customHeight="1" x14ac:dyDescent="0.35">
      <c r="A8">
        <v>690929</v>
      </c>
      <c r="B8" t="s">
        <v>37</v>
      </c>
      <c r="C8" t="s">
        <v>38</v>
      </c>
      <c r="D8" s="9" t="s">
        <v>39</v>
      </c>
      <c r="E8" s="10" t="s">
        <v>37</v>
      </c>
      <c r="F8" s="11"/>
      <c r="G8" t="s">
        <v>78</v>
      </c>
      <c r="H8" t="s">
        <v>41</v>
      </c>
      <c r="I8" t="s">
        <v>42</v>
      </c>
      <c r="J8" t="s">
        <v>79</v>
      </c>
      <c r="K8" t="s">
        <v>44</v>
      </c>
      <c r="L8">
        <v>2</v>
      </c>
      <c r="M8" t="s">
        <v>45</v>
      </c>
      <c r="N8" t="s">
        <v>46</v>
      </c>
      <c r="O8" t="s">
        <v>47</v>
      </c>
      <c r="P8" s="12">
        <v>1</v>
      </c>
      <c r="Q8" s="13">
        <v>44880.691921296297</v>
      </c>
      <c r="R8" s="14">
        <v>44883</v>
      </c>
      <c r="S8" t="s">
        <v>41</v>
      </c>
      <c r="T8" t="s">
        <v>48</v>
      </c>
      <c r="U8" t="s">
        <v>49</v>
      </c>
      <c r="V8" t="s">
        <v>80</v>
      </c>
      <c r="Y8" t="s">
        <v>81</v>
      </c>
      <c r="Z8">
        <v>75250</v>
      </c>
      <c r="AA8" t="s">
        <v>48</v>
      </c>
      <c r="AB8" t="s">
        <v>82</v>
      </c>
      <c r="AC8" t="s">
        <v>53</v>
      </c>
      <c r="AD8" s="15">
        <f>IF(P8&lt;=1,7,7+0.8*ROUNDUP(P8-1,0))</f>
        <v>7</v>
      </c>
      <c r="AE8" s="16">
        <v>0</v>
      </c>
      <c r="AF8" s="16">
        <v>0</v>
      </c>
      <c r="AG8" s="16">
        <v>0</v>
      </c>
      <c r="AH8" s="16">
        <v>0</v>
      </c>
      <c r="AI8" s="16">
        <f t="shared" si="0"/>
        <v>0.42</v>
      </c>
      <c r="AJ8" s="16">
        <f t="shared" si="1"/>
        <v>7.42</v>
      </c>
      <c r="AK8" t="s">
        <v>48</v>
      </c>
    </row>
    <row r="9" spans="1:37" ht="15" customHeight="1" x14ac:dyDescent="0.35">
      <c r="A9">
        <v>690929</v>
      </c>
      <c r="B9" t="s">
        <v>37</v>
      </c>
      <c r="C9" t="s">
        <v>38</v>
      </c>
      <c r="D9" s="9" t="s">
        <v>39</v>
      </c>
      <c r="E9" s="10" t="s">
        <v>37</v>
      </c>
      <c r="F9" s="11"/>
      <c r="G9" t="s">
        <v>83</v>
      </c>
      <c r="H9" t="s">
        <v>41</v>
      </c>
      <c r="I9" t="s">
        <v>42</v>
      </c>
      <c r="J9" t="s">
        <v>84</v>
      </c>
      <c r="K9" t="s">
        <v>44</v>
      </c>
      <c r="L9">
        <v>2</v>
      </c>
      <c r="M9" t="s">
        <v>45</v>
      </c>
      <c r="N9" t="s">
        <v>46</v>
      </c>
      <c r="O9" t="s">
        <v>47</v>
      </c>
      <c r="P9" s="12">
        <v>1</v>
      </c>
      <c r="Q9" s="13">
        <v>44881.581608796296</v>
      </c>
      <c r="R9" s="14">
        <v>44883</v>
      </c>
      <c r="S9" t="s">
        <v>41</v>
      </c>
      <c r="T9" t="s">
        <v>48</v>
      </c>
      <c r="U9" t="s">
        <v>49</v>
      </c>
      <c r="V9" t="s">
        <v>85</v>
      </c>
      <c r="Y9" t="s">
        <v>86</v>
      </c>
      <c r="Z9">
        <v>11900</v>
      </c>
      <c r="AA9" t="s">
        <v>48</v>
      </c>
      <c r="AB9" t="s">
        <v>87</v>
      </c>
      <c r="AC9" t="s">
        <v>53</v>
      </c>
      <c r="AD9" s="15">
        <f>IF(P9&lt;=1,7,7+0.8*ROUNDUP(P9-1,0))</f>
        <v>7</v>
      </c>
      <c r="AE9" s="16">
        <v>0</v>
      </c>
      <c r="AF9" s="16">
        <v>0</v>
      </c>
      <c r="AG9" s="16">
        <v>0</v>
      </c>
      <c r="AH9" s="16">
        <v>0</v>
      </c>
      <c r="AI9" s="16">
        <f t="shared" si="0"/>
        <v>0.42</v>
      </c>
      <c r="AJ9" s="16">
        <f t="shared" si="1"/>
        <v>7.42</v>
      </c>
      <c r="AK9" t="s">
        <v>48</v>
      </c>
    </row>
    <row r="10" spans="1:37" ht="15" customHeight="1" x14ac:dyDescent="0.35">
      <c r="A10">
        <v>690929</v>
      </c>
      <c r="B10" t="s">
        <v>37</v>
      </c>
      <c r="C10" t="s">
        <v>38</v>
      </c>
      <c r="D10" s="9" t="s">
        <v>39</v>
      </c>
      <c r="E10" s="10" t="s">
        <v>37</v>
      </c>
      <c r="F10" s="11"/>
      <c r="G10" t="s">
        <v>88</v>
      </c>
      <c r="H10" t="s">
        <v>41</v>
      </c>
      <c r="I10" t="s">
        <v>42</v>
      </c>
      <c r="J10" t="s">
        <v>89</v>
      </c>
      <c r="K10" t="s">
        <v>44</v>
      </c>
      <c r="L10">
        <v>2</v>
      </c>
      <c r="M10" t="s">
        <v>45</v>
      </c>
      <c r="N10" t="s">
        <v>46</v>
      </c>
      <c r="O10" t="s">
        <v>47</v>
      </c>
      <c r="P10" s="12">
        <v>2</v>
      </c>
      <c r="Q10" s="13">
        <v>44881.629803240743</v>
      </c>
      <c r="R10" s="14">
        <v>44883</v>
      </c>
      <c r="S10" t="s">
        <v>41</v>
      </c>
      <c r="T10" t="s">
        <v>48</v>
      </c>
      <c r="U10" t="s">
        <v>49</v>
      </c>
      <c r="V10" t="s">
        <v>71</v>
      </c>
      <c r="Y10" t="s">
        <v>90</v>
      </c>
      <c r="Z10">
        <v>43300</v>
      </c>
      <c r="AA10" t="s">
        <v>48</v>
      </c>
      <c r="AB10" t="s">
        <v>73</v>
      </c>
      <c r="AC10" t="s">
        <v>53</v>
      </c>
      <c r="AD10" s="15">
        <f>IF(P10&lt;=1,7,7+0.8*ROUNDUP(P10-1,0))</f>
        <v>7.8</v>
      </c>
      <c r="AE10" s="16">
        <v>0</v>
      </c>
      <c r="AF10" s="16">
        <v>0</v>
      </c>
      <c r="AG10" s="16">
        <v>0</v>
      </c>
      <c r="AH10" s="16">
        <v>0</v>
      </c>
      <c r="AI10" s="16">
        <f t="shared" si="0"/>
        <v>0.46799999999999997</v>
      </c>
      <c r="AJ10" s="16">
        <f t="shared" si="1"/>
        <v>8.2680000000000007</v>
      </c>
      <c r="AK10" t="s">
        <v>48</v>
      </c>
    </row>
    <row r="11" spans="1:37" ht="15" customHeight="1" x14ac:dyDescent="0.35">
      <c r="A11">
        <v>690929</v>
      </c>
      <c r="B11" t="s">
        <v>37</v>
      </c>
      <c r="C11" t="s">
        <v>38</v>
      </c>
      <c r="D11" s="9" t="s">
        <v>39</v>
      </c>
      <c r="E11" s="10" t="s">
        <v>37</v>
      </c>
      <c r="F11" s="11"/>
      <c r="G11" t="s">
        <v>91</v>
      </c>
      <c r="H11" t="s">
        <v>41</v>
      </c>
      <c r="I11" t="s">
        <v>42</v>
      </c>
      <c r="J11" t="s">
        <v>92</v>
      </c>
      <c r="K11" t="s">
        <v>44</v>
      </c>
      <c r="L11">
        <v>2</v>
      </c>
      <c r="M11" t="s">
        <v>45</v>
      </c>
      <c r="N11" t="s">
        <v>46</v>
      </c>
      <c r="O11" t="s">
        <v>47</v>
      </c>
      <c r="P11" s="12">
        <v>1</v>
      </c>
      <c r="Q11" s="13">
        <v>44882.705023148148</v>
      </c>
      <c r="R11" s="14">
        <v>44883</v>
      </c>
      <c r="S11" t="s">
        <v>41</v>
      </c>
      <c r="T11" t="s">
        <v>48</v>
      </c>
      <c r="U11" t="s">
        <v>49</v>
      </c>
      <c r="V11" t="s">
        <v>71</v>
      </c>
      <c r="Y11" t="s">
        <v>93</v>
      </c>
      <c r="Z11">
        <v>63000</v>
      </c>
      <c r="AA11" t="s">
        <v>48</v>
      </c>
      <c r="AB11" t="s">
        <v>49</v>
      </c>
      <c r="AC11" t="s">
        <v>53</v>
      </c>
      <c r="AD11" s="15">
        <f>IF(P11&lt;=1,7,7+0.8*ROUNDUP(P11-1,0))</f>
        <v>7</v>
      </c>
      <c r="AE11" s="16">
        <v>0</v>
      </c>
      <c r="AF11" s="16">
        <v>0</v>
      </c>
      <c r="AG11" s="16">
        <v>0</v>
      </c>
      <c r="AH11" s="16">
        <v>0</v>
      </c>
      <c r="AI11" s="16">
        <f t="shared" si="0"/>
        <v>0.42</v>
      </c>
      <c r="AJ11" s="16">
        <f t="shared" si="1"/>
        <v>7.42</v>
      </c>
      <c r="AK11" t="s">
        <v>48</v>
      </c>
    </row>
    <row r="12" spans="1:37" ht="15" customHeight="1" x14ac:dyDescent="0.35">
      <c r="A12">
        <v>690929</v>
      </c>
      <c r="B12" t="s">
        <v>37</v>
      </c>
      <c r="C12" t="s">
        <v>38</v>
      </c>
      <c r="D12" s="9" t="s">
        <v>39</v>
      </c>
      <c r="E12" s="10" t="s">
        <v>37</v>
      </c>
      <c r="F12" s="11"/>
      <c r="G12" t="s">
        <v>94</v>
      </c>
      <c r="H12" t="s">
        <v>41</v>
      </c>
      <c r="I12" t="s">
        <v>42</v>
      </c>
      <c r="J12" t="s">
        <v>95</v>
      </c>
      <c r="K12" t="s">
        <v>44</v>
      </c>
      <c r="L12">
        <v>2</v>
      </c>
      <c r="M12" t="s">
        <v>45</v>
      </c>
      <c r="N12" t="s">
        <v>46</v>
      </c>
      <c r="O12" t="s">
        <v>47</v>
      </c>
      <c r="P12" s="12">
        <v>1</v>
      </c>
      <c r="Q12" s="13">
        <v>44882.544409722221</v>
      </c>
      <c r="R12" s="14">
        <v>44883</v>
      </c>
      <c r="S12" t="s">
        <v>41</v>
      </c>
      <c r="T12" t="s">
        <v>48</v>
      </c>
      <c r="U12" t="s">
        <v>49</v>
      </c>
      <c r="V12" t="s">
        <v>96</v>
      </c>
      <c r="Y12" t="s">
        <v>97</v>
      </c>
      <c r="Z12">
        <v>20400</v>
      </c>
      <c r="AA12" t="s">
        <v>48</v>
      </c>
      <c r="AB12" t="s">
        <v>49</v>
      </c>
      <c r="AC12" t="s">
        <v>53</v>
      </c>
      <c r="AD12" s="15">
        <f>IF(P12&lt;=1,7,7+0.8*ROUNDUP(P12-1,0))</f>
        <v>7</v>
      </c>
      <c r="AE12" s="16">
        <v>0</v>
      </c>
      <c r="AF12" s="16">
        <v>0</v>
      </c>
      <c r="AG12" s="16">
        <v>0</v>
      </c>
      <c r="AH12" s="16">
        <v>0</v>
      </c>
      <c r="AI12" s="16">
        <f t="shared" si="0"/>
        <v>0.42</v>
      </c>
      <c r="AJ12" s="16">
        <f t="shared" si="1"/>
        <v>7.42</v>
      </c>
      <c r="AK12" t="s">
        <v>48</v>
      </c>
    </row>
    <row r="13" spans="1:37" ht="15" customHeight="1" x14ac:dyDescent="0.35">
      <c r="A13">
        <v>690929</v>
      </c>
      <c r="B13" t="s">
        <v>37</v>
      </c>
      <c r="C13" t="s">
        <v>38</v>
      </c>
      <c r="D13" s="9" t="s">
        <v>39</v>
      </c>
      <c r="E13" s="10" t="s">
        <v>37</v>
      </c>
      <c r="F13" s="11"/>
      <c r="G13" t="s">
        <v>98</v>
      </c>
      <c r="H13" t="s">
        <v>41</v>
      </c>
      <c r="I13" t="s">
        <v>42</v>
      </c>
      <c r="J13" t="s">
        <v>99</v>
      </c>
      <c r="K13" t="s">
        <v>44</v>
      </c>
      <c r="L13">
        <v>2</v>
      </c>
      <c r="M13" t="s">
        <v>45</v>
      </c>
      <c r="N13" t="s">
        <v>46</v>
      </c>
      <c r="O13" t="s">
        <v>47</v>
      </c>
      <c r="P13" s="12">
        <v>1</v>
      </c>
      <c r="Q13" s="13">
        <v>44881.410162037035</v>
      </c>
      <c r="R13" s="14">
        <v>44883</v>
      </c>
      <c r="S13" t="s">
        <v>41</v>
      </c>
      <c r="T13" t="s">
        <v>48</v>
      </c>
      <c r="U13" t="s">
        <v>49</v>
      </c>
      <c r="V13" t="s">
        <v>100</v>
      </c>
      <c r="Y13" t="s">
        <v>101</v>
      </c>
      <c r="Z13">
        <v>6010</v>
      </c>
      <c r="AA13" t="s">
        <v>48</v>
      </c>
      <c r="AB13" t="s">
        <v>102</v>
      </c>
      <c r="AC13" t="s">
        <v>53</v>
      </c>
      <c r="AD13" s="15">
        <f>IF(P13&lt;=1,7,7+0.8*ROUNDUP(P13-1,0))</f>
        <v>7</v>
      </c>
      <c r="AE13" s="16">
        <v>0</v>
      </c>
      <c r="AF13" s="16">
        <v>0</v>
      </c>
      <c r="AG13" s="16">
        <v>0</v>
      </c>
      <c r="AH13" s="16">
        <v>0</v>
      </c>
      <c r="AI13" s="16">
        <f t="shared" si="0"/>
        <v>0.42</v>
      </c>
      <c r="AJ13" s="16">
        <f t="shared" si="1"/>
        <v>7.42</v>
      </c>
      <c r="AK13" t="s">
        <v>48</v>
      </c>
    </row>
    <row r="14" spans="1:37" ht="15" customHeight="1" x14ac:dyDescent="0.35">
      <c r="A14">
        <v>690929</v>
      </c>
      <c r="B14" t="s">
        <v>37</v>
      </c>
      <c r="C14" t="s">
        <v>38</v>
      </c>
      <c r="D14" s="9" t="s">
        <v>39</v>
      </c>
      <c r="E14" s="10" t="s">
        <v>37</v>
      </c>
      <c r="F14" s="11"/>
      <c r="G14" t="s">
        <v>103</v>
      </c>
      <c r="H14" t="s">
        <v>41</v>
      </c>
      <c r="I14" t="s">
        <v>42</v>
      </c>
      <c r="J14" t="s">
        <v>104</v>
      </c>
      <c r="K14" t="s">
        <v>44</v>
      </c>
      <c r="L14">
        <v>2</v>
      </c>
      <c r="M14" t="s">
        <v>45</v>
      </c>
      <c r="N14" t="s">
        <v>46</v>
      </c>
      <c r="O14" t="s">
        <v>47</v>
      </c>
      <c r="P14" s="12">
        <v>1</v>
      </c>
      <c r="Q14" s="13">
        <v>44881.758125</v>
      </c>
      <c r="R14" s="14">
        <v>44883</v>
      </c>
      <c r="S14" t="s">
        <v>41</v>
      </c>
      <c r="T14" t="s">
        <v>48</v>
      </c>
      <c r="U14" t="s">
        <v>49</v>
      </c>
      <c r="V14" t="s">
        <v>62</v>
      </c>
      <c r="Y14" t="s">
        <v>105</v>
      </c>
      <c r="Z14">
        <v>51000</v>
      </c>
      <c r="AA14" t="s">
        <v>48</v>
      </c>
      <c r="AB14" t="s">
        <v>49</v>
      </c>
      <c r="AC14" t="s">
        <v>53</v>
      </c>
      <c r="AD14" s="15">
        <f>IF(P14&lt;=1,7,7+0.8*ROUNDUP(P14-1,0))</f>
        <v>7</v>
      </c>
      <c r="AE14" s="16">
        <v>0</v>
      </c>
      <c r="AF14" s="16">
        <v>0</v>
      </c>
      <c r="AG14" s="16">
        <v>0</v>
      </c>
      <c r="AH14" s="16">
        <v>0</v>
      </c>
      <c r="AI14" s="16">
        <f t="shared" si="0"/>
        <v>0.42</v>
      </c>
      <c r="AJ14" s="16">
        <f t="shared" si="1"/>
        <v>7.42</v>
      </c>
      <c r="AK14" t="s">
        <v>48</v>
      </c>
    </row>
    <row r="15" spans="1:37" ht="15" customHeight="1" x14ac:dyDescent="0.35">
      <c r="A15">
        <v>690929</v>
      </c>
      <c r="B15" t="s">
        <v>37</v>
      </c>
      <c r="C15" t="s">
        <v>38</v>
      </c>
      <c r="D15" s="9" t="s">
        <v>39</v>
      </c>
      <c r="E15" s="10" t="s">
        <v>37</v>
      </c>
      <c r="F15" s="11"/>
      <c r="G15" t="s">
        <v>106</v>
      </c>
      <c r="H15" t="s">
        <v>41</v>
      </c>
      <c r="I15" t="s">
        <v>42</v>
      </c>
      <c r="J15" t="s">
        <v>107</v>
      </c>
      <c r="K15" t="s">
        <v>44</v>
      </c>
      <c r="L15">
        <v>2</v>
      </c>
      <c r="M15" t="s">
        <v>45</v>
      </c>
      <c r="N15" t="s">
        <v>46</v>
      </c>
      <c r="O15" t="s">
        <v>47</v>
      </c>
      <c r="P15" s="12">
        <v>1</v>
      </c>
      <c r="Q15" s="13">
        <v>44881.667453703703</v>
      </c>
      <c r="R15" s="14">
        <v>44886</v>
      </c>
      <c r="S15" t="s">
        <v>41</v>
      </c>
      <c r="T15" t="s">
        <v>48</v>
      </c>
      <c r="U15" t="s">
        <v>49</v>
      </c>
      <c r="V15" t="s">
        <v>56</v>
      </c>
      <c r="Y15" t="s">
        <v>108</v>
      </c>
      <c r="Z15">
        <v>89808</v>
      </c>
      <c r="AA15" t="s">
        <v>58</v>
      </c>
      <c r="AB15" t="s">
        <v>109</v>
      </c>
      <c r="AC15" t="s">
        <v>53</v>
      </c>
      <c r="AD15" s="17">
        <f>IF(P15&lt;=1,13,IF(P15&lt;=2,23,IF(P15&lt;=3,35,IF(P15&lt;=4,43,IF(P15&lt;=5,53,IF(P15&lt;=6,63,IF(P15&lt;=7,71,IF(P15&lt;=8,79,IF(P15&lt;=9,87,IF(P15&lt;=10,95,IF(P15&lt;=11,105,IF(P15&lt;=12,114,IF(P15&lt;=13,119,IF(P15&lt;=14,127,IF(P15&lt;=15,135,IF(P15&lt;=16,143,IF(P15&lt;=17,153,IF(P15&lt;=18,163,IF(P15&lt;=19,171,IF(P15&lt;=20,185,IF(P15&lt;=21,193,IF(P15&lt;=22,201,IF(P15&lt;=23,210,IF(P15&lt;=24,220,IF(P15&lt;=25,230,IF(P15&lt;=26,240,IF(P15&lt;=27,250,IF(P15&lt;=28,260,IF(P15&lt;=29,270,IF(P15&lt;=30,280,280))))))))))))))))))))))))))))))</f>
        <v>13</v>
      </c>
      <c r="AE15" s="16">
        <v>0</v>
      </c>
      <c r="AF15" s="16">
        <v>0</v>
      </c>
      <c r="AG15" s="16">
        <v>0</v>
      </c>
      <c r="AH15" s="16">
        <v>0</v>
      </c>
      <c r="AI15" s="16">
        <f t="shared" si="0"/>
        <v>0.78</v>
      </c>
      <c r="AJ15" s="16">
        <f t="shared" si="1"/>
        <v>13.78</v>
      </c>
      <c r="AK15" t="s">
        <v>58</v>
      </c>
    </row>
    <row r="16" spans="1:37" ht="15" customHeight="1" x14ac:dyDescent="0.35">
      <c r="A16">
        <v>690929</v>
      </c>
      <c r="B16" t="s">
        <v>37</v>
      </c>
      <c r="C16" t="s">
        <v>38</v>
      </c>
      <c r="D16" s="9" t="s">
        <v>39</v>
      </c>
      <c r="E16" s="10" t="s">
        <v>37</v>
      </c>
      <c r="F16" s="11"/>
      <c r="G16" t="s">
        <v>110</v>
      </c>
      <c r="H16" t="s">
        <v>41</v>
      </c>
      <c r="I16" t="s">
        <v>42</v>
      </c>
      <c r="J16" t="s">
        <v>111</v>
      </c>
      <c r="K16" t="s">
        <v>44</v>
      </c>
      <c r="L16">
        <v>2</v>
      </c>
      <c r="M16" t="s">
        <v>45</v>
      </c>
      <c r="N16" t="s">
        <v>46</v>
      </c>
      <c r="O16" t="s">
        <v>47</v>
      </c>
      <c r="P16" s="12">
        <v>1</v>
      </c>
      <c r="Q16" s="13">
        <v>44881.708182870374</v>
      </c>
      <c r="R16" s="14">
        <v>44886</v>
      </c>
      <c r="S16" t="s">
        <v>41</v>
      </c>
      <c r="T16" t="s">
        <v>48</v>
      </c>
      <c r="U16" t="s">
        <v>49</v>
      </c>
      <c r="V16" t="s">
        <v>85</v>
      </c>
      <c r="Y16" t="s">
        <v>112</v>
      </c>
      <c r="Z16">
        <v>14000</v>
      </c>
      <c r="AA16" t="s">
        <v>48</v>
      </c>
      <c r="AB16" t="s">
        <v>87</v>
      </c>
      <c r="AC16" t="s">
        <v>53</v>
      </c>
      <c r="AD16" s="15">
        <f>IF(P16&lt;=1,7,7+0.8*ROUNDUP(P16-1,0))</f>
        <v>7</v>
      </c>
      <c r="AE16" s="16">
        <v>0</v>
      </c>
      <c r="AF16" s="16">
        <v>0</v>
      </c>
      <c r="AG16" s="16">
        <v>0</v>
      </c>
      <c r="AH16" s="16">
        <v>0</v>
      </c>
      <c r="AI16" s="16">
        <f t="shared" si="0"/>
        <v>0.42</v>
      </c>
      <c r="AJ16" s="16">
        <f t="shared" si="1"/>
        <v>7.42</v>
      </c>
      <c r="AK16" t="s">
        <v>48</v>
      </c>
    </row>
    <row r="17" spans="1:37" ht="15" customHeight="1" x14ac:dyDescent="0.35">
      <c r="A17">
        <v>690929</v>
      </c>
      <c r="B17" t="s">
        <v>37</v>
      </c>
      <c r="C17" t="s">
        <v>38</v>
      </c>
      <c r="D17" s="9" t="s">
        <v>39</v>
      </c>
      <c r="E17" s="10" t="s">
        <v>37</v>
      </c>
      <c r="F17" s="11"/>
      <c r="G17" t="s">
        <v>113</v>
      </c>
      <c r="H17" t="s">
        <v>41</v>
      </c>
      <c r="I17" t="s">
        <v>42</v>
      </c>
      <c r="J17" t="s">
        <v>114</v>
      </c>
      <c r="K17" t="s">
        <v>44</v>
      </c>
      <c r="L17">
        <v>2</v>
      </c>
      <c r="M17" t="s">
        <v>45</v>
      </c>
      <c r="N17" t="s">
        <v>46</v>
      </c>
      <c r="O17" t="s">
        <v>47</v>
      </c>
      <c r="P17" s="12">
        <v>4</v>
      </c>
      <c r="Q17" s="13">
        <v>44880.642546296294</v>
      </c>
      <c r="R17" s="14">
        <v>44886</v>
      </c>
      <c r="S17" t="s">
        <v>41</v>
      </c>
      <c r="T17" t="s">
        <v>48</v>
      </c>
      <c r="U17" t="s">
        <v>49</v>
      </c>
      <c r="V17" t="s">
        <v>115</v>
      </c>
      <c r="Y17" t="s">
        <v>116</v>
      </c>
      <c r="Z17">
        <v>84000</v>
      </c>
      <c r="AA17" t="s">
        <v>48</v>
      </c>
      <c r="AB17" t="s">
        <v>117</v>
      </c>
      <c r="AC17" t="s">
        <v>53</v>
      </c>
      <c r="AD17" s="15">
        <f>IF(P17&lt;=1,7,7+0.8*ROUNDUP(P17-1,0))</f>
        <v>9.4</v>
      </c>
      <c r="AE17" s="16">
        <v>0</v>
      </c>
      <c r="AF17" s="16">
        <v>0</v>
      </c>
      <c r="AG17" s="16">
        <v>0</v>
      </c>
      <c r="AH17" s="16">
        <v>0</v>
      </c>
      <c r="AI17" s="16">
        <f t="shared" si="0"/>
        <v>0.56399999999999995</v>
      </c>
      <c r="AJ17" s="16">
        <f t="shared" si="1"/>
        <v>9.9640000000000004</v>
      </c>
      <c r="AK17" t="s">
        <v>48</v>
      </c>
    </row>
    <row r="18" spans="1:37" ht="15" customHeight="1" x14ac:dyDescent="0.35">
      <c r="A18">
        <v>690929</v>
      </c>
      <c r="B18" t="s">
        <v>37</v>
      </c>
      <c r="C18" t="s">
        <v>38</v>
      </c>
      <c r="D18" s="9" t="s">
        <v>39</v>
      </c>
      <c r="E18" s="10" t="s">
        <v>37</v>
      </c>
      <c r="F18" s="11"/>
      <c r="G18" t="s">
        <v>118</v>
      </c>
      <c r="H18" t="s">
        <v>41</v>
      </c>
      <c r="I18" t="s">
        <v>42</v>
      </c>
      <c r="J18" t="s">
        <v>119</v>
      </c>
      <c r="K18" t="s">
        <v>44</v>
      </c>
      <c r="L18">
        <v>2</v>
      </c>
      <c r="M18" t="s">
        <v>45</v>
      </c>
      <c r="N18" t="s">
        <v>46</v>
      </c>
      <c r="O18" t="s">
        <v>47</v>
      </c>
      <c r="P18" s="12">
        <v>1</v>
      </c>
      <c r="Q18" s="13">
        <v>44882.703726851854</v>
      </c>
      <c r="R18" s="14">
        <v>44886</v>
      </c>
      <c r="S18" t="s">
        <v>41</v>
      </c>
      <c r="T18" t="s">
        <v>48</v>
      </c>
      <c r="U18" t="s">
        <v>49</v>
      </c>
      <c r="V18" t="s">
        <v>115</v>
      </c>
      <c r="Y18" t="s">
        <v>120</v>
      </c>
      <c r="Z18">
        <v>81750</v>
      </c>
      <c r="AA18" t="s">
        <v>48</v>
      </c>
      <c r="AB18" t="s">
        <v>121</v>
      </c>
      <c r="AC18" t="s">
        <v>53</v>
      </c>
      <c r="AD18" s="15">
        <f>IF(P18&lt;=1,7,7+0.8*ROUNDUP(P18-1,0))</f>
        <v>7</v>
      </c>
      <c r="AE18" s="16">
        <v>0</v>
      </c>
      <c r="AF18" s="16">
        <v>0</v>
      </c>
      <c r="AG18" s="16">
        <v>0</v>
      </c>
      <c r="AH18" s="16">
        <v>0</v>
      </c>
      <c r="AI18" s="16">
        <f t="shared" si="0"/>
        <v>0.42</v>
      </c>
      <c r="AJ18" s="16">
        <f t="shared" si="1"/>
        <v>7.42</v>
      </c>
      <c r="AK18" t="s">
        <v>48</v>
      </c>
    </row>
    <row r="19" spans="1:37" ht="15" customHeight="1" x14ac:dyDescent="0.35">
      <c r="A19">
        <v>690929</v>
      </c>
      <c r="B19" t="s">
        <v>37</v>
      </c>
      <c r="C19" t="s">
        <v>38</v>
      </c>
      <c r="D19" s="9" t="s">
        <v>39</v>
      </c>
      <c r="E19" s="10" t="s">
        <v>37</v>
      </c>
      <c r="F19" s="11"/>
      <c r="G19" t="s">
        <v>122</v>
      </c>
      <c r="H19" t="s">
        <v>41</v>
      </c>
      <c r="I19" t="s">
        <v>42</v>
      </c>
      <c r="J19" t="s">
        <v>123</v>
      </c>
      <c r="K19" t="s">
        <v>44</v>
      </c>
      <c r="L19">
        <v>2</v>
      </c>
      <c r="M19" t="s">
        <v>45</v>
      </c>
      <c r="N19" t="s">
        <v>46</v>
      </c>
      <c r="O19" t="s">
        <v>47</v>
      </c>
      <c r="P19" s="12">
        <v>1</v>
      </c>
      <c r="Q19" s="13">
        <v>44882.730266203704</v>
      </c>
      <c r="R19" s="14">
        <v>44886</v>
      </c>
      <c r="S19" t="s">
        <v>41</v>
      </c>
      <c r="T19" t="s">
        <v>48</v>
      </c>
      <c r="U19" t="s">
        <v>124</v>
      </c>
      <c r="V19" t="s">
        <v>71</v>
      </c>
      <c r="Y19" t="s">
        <v>125</v>
      </c>
      <c r="Z19">
        <v>41150</v>
      </c>
      <c r="AA19" t="s">
        <v>48</v>
      </c>
      <c r="AB19" t="s">
        <v>73</v>
      </c>
      <c r="AC19" t="s">
        <v>53</v>
      </c>
      <c r="AD19" s="15">
        <f>IF(P19&lt;=1,7,7+0.8*ROUNDUP(P19-1,0))</f>
        <v>7</v>
      </c>
      <c r="AE19" s="16">
        <v>0</v>
      </c>
      <c r="AF19" s="16">
        <v>0</v>
      </c>
      <c r="AG19" s="16">
        <v>0</v>
      </c>
      <c r="AH19" s="16">
        <v>0</v>
      </c>
      <c r="AI19" s="16">
        <f t="shared" si="0"/>
        <v>0.42</v>
      </c>
      <c r="AJ19" s="16">
        <f t="shared" si="1"/>
        <v>7.42</v>
      </c>
      <c r="AK19" t="s">
        <v>48</v>
      </c>
    </row>
    <row r="20" spans="1:37" ht="15" customHeight="1" x14ac:dyDescent="0.35">
      <c r="A20">
        <v>690929</v>
      </c>
      <c r="B20" t="s">
        <v>37</v>
      </c>
      <c r="C20" t="s">
        <v>38</v>
      </c>
      <c r="D20" s="9" t="s">
        <v>39</v>
      </c>
      <c r="E20" s="10" t="s">
        <v>37</v>
      </c>
      <c r="F20" s="11"/>
      <c r="G20" t="s">
        <v>126</v>
      </c>
      <c r="H20" t="s">
        <v>41</v>
      </c>
      <c r="I20" t="s">
        <v>42</v>
      </c>
      <c r="J20" t="s">
        <v>127</v>
      </c>
      <c r="K20" t="s">
        <v>44</v>
      </c>
      <c r="L20">
        <v>2</v>
      </c>
      <c r="M20" t="s">
        <v>45</v>
      </c>
      <c r="N20" t="s">
        <v>46</v>
      </c>
      <c r="O20" t="s">
        <v>47</v>
      </c>
      <c r="P20" s="12">
        <v>2</v>
      </c>
      <c r="Q20" s="13">
        <v>44882.727442129632</v>
      </c>
      <c r="R20" s="14">
        <v>44886</v>
      </c>
      <c r="S20" t="s">
        <v>41</v>
      </c>
      <c r="T20" t="s">
        <v>48</v>
      </c>
      <c r="U20" t="s">
        <v>124</v>
      </c>
      <c r="V20" t="s">
        <v>128</v>
      </c>
      <c r="Y20" t="s">
        <v>129</v>
      </c>
      <c r="Z20">
        <v>17600</v>
      </c>
      <c r="AA20" t="s">
        <v>48</v>
      </c>
      <c r="AB20" t="s">
        <v>124</v>
      </c>
      <c r="AC20" t="s">
        <v>53</v>
      </c>
      <c r="AD20" s="15">
        <f>IF(P20&lt;=1,7,7+0.8*ROUNDUP(P20-1,0))</f>
        <v>7.8</v>
      </c>
      <c r="AE20" s="16">
        <v>0</v>
      </c>
      <c r="AF20" s="16">
        <v>0</v>
      </c>
      <c r="AG20" s="16">
        <v>0</v>
      </c>
      <c r="AH20" s="16">
        <v>0</v>
      </c>
      <c r="AI20" s="16">
        <f t="shared" si="0"/>
        <v>0.46799999999999997</v>
      </c>
      <c r="AJ20" s="16">
        <f t="shared" si="1"/>
        <v>8.2680000000000007</v>
      </c>
      <c r="AK20" t="s">
        <v>48</v>
      </c>
    </row>
    <row r="21" spans="1:37" ht="15" customHeight="1" x14ac:dyDescent="0.35">
      <c r="A21">
        <v>690929</v>
      </c>
      <c r="B21" t="s">
        <v>37</v>
      </c>
      <c r="C21" t="s">
        <v>38</v>
      </c>
      <c r="D21" s="9" t="s">
        <v>39</v>
      </c>
      <c r="E21" s="10" t="s">
        <v>37</v>
      </c>
      <c r="F21" s="11"/>
      <c r="G21" t="s">
        <v>130</v>
      </c>
      <c r="H21" t="s">
        <v>41</v>
      </c>
      <c r="I21" t="s">
        <v>42</v>
      </c>
      <c r="J21" t="s">
        <v>131</v>
      </c>
      <c r="K21" t="s">
        <v>44</v>
      </c>
      <c r="L21">
        <v>2</v>
      </c>
      <c r="M21" t="s">
        <v>45</v>
      </c>
      <c r="N21" t="s">
        <v>46</v>
      </c>
      <c r="O21" t="s">
        <v>47</v>
      </c>
      <c r="P21" s="12">
        <v>2</v>
      </c>
      <c r="Q21" s="13">
        <v>44881.670127314814</v>
      </c>
      <c r="R21" s="14">
        <v>44887</v>
      </c>
      <c r="S21" t="s">
        <v>41</v>
      </c>
      <c r="T21" t="s">
        <v>48</v>
      </c>
      <c r="U21" t="s">
        <v>49</v>
      </c>
      <c r="V21" t="s">
        <v>132</v>
      </c>
      <c r="Y21" t="s">
        <v>133</v>
      </c>
      <c r="Z21">
        <v>87031</v>
      </c>
      <c r="AA21" t="s">
        <v>58</v>
      </c>
      <c r="AB21" t="s">
        <v>134</v>
      </c>
      <c r="AC21" t="s">
        <v>53</v>
      </c>
      <c r="AD21" s="17">
        <f>IF(P21&lt;=1,13,IF(P21&lt;=2,23,IF(P21&lt;=3,35,IF(P21&lt;=4,43,IF(P21&lt;=5,53,IF(P21&lt;=6,63,IF(P21&lt;=7,71,IF(P21&lt;=8,79,IF(P21&lt;=9,87,IF(P21&lt;=10,95,IF(P21&lt;=11,105,IF(P21&lt;=12,114,IF(P21&lt;=13,119,IF(P21&lt;=14,127,IF(P21&lt;=15,135,IF(P21&lt;=16,143,IF(P21&lt;=17,153,IF(P21&lt;=18,163,IF(P21&lt;=19,171,IF(P21&lt;=20,185,IF(P21&lt;=21,193,IF(P21&lt;=22,201,IF(P21&lt;=23,210,IF(P21&lt;=24,220,IF(P21&lt;=25,230,IF(P21&lt;=26,240,IF(P21&lt;=27,250,IF(P21&lt;=28,260,IF(P21&lt;=29,270,IF(P21&lt;=30,280,280))))))))))))))))))))))))))))))</f>
        <v>23</v>
      </c>
      <c r="AE21" s="16">
        <v>0</v>
      </c>
      <c r="AF21" s="16">
        <v>0</v>
      </c>
      <c r="AG21" s="16">
        <v>0</v>
      </c>
      <c r="AH21" s="16">
        <v>0</v>
      </c>
      <c r="AI21" s="16">
        <f t="shared" si="0"/>
        <v>1.38</v>
      </c>
      <c r="AJ21" s="16">
        <f t="shared" si="1"/>
        <v>24.38</v>
      </c>
      <c r="AK21" t="s">
        <v>58</v>
      </c>
    </row>
    <row r="22" spans="1:37" ht="15" customHeight="1" x14ac:dyDescent="0.35">
      <c r="A22">
        <v>690929</v>
      </c>
      <c r="B22" t="s">
        <v>37</v>
      </c>
      <c r="C22" t="s">
        <v>38</v>
      </c>
      <c r="D22" s="9" t="s">
        <v>39</v>
      </c>
      <c r="E22" s="10" t="s">
        <v>37</v>
      </c>
      <c r="F22" s="11"/>
      <c r="G22" t="s">
        <v>135</v>
      </c>
      <c r="H22" t="s">
        <v>41</v>
      </c>
      <c r="I22" t="s">
        <v>42</v>
      </c>
      <c r="J22" t="s">
        <v>136</v>
      </c>
      <c r="K22" t="s">
        <v>44</v>
      </c>
      <c r="L22">
        <v>2</v>
      </c>
      <c r="M22" t="s">
        <v>45</v>
      </c>
      <c r="N22" t="s">
        <v>46</v>
      </c>
      <c r="O22" t="s">
        <v>47</v>
      </c>
      <c r="P22" s="12">
        <v>1</v>
      </c>
      <c r="Q22" s="13">
        <v>44886.613113425927</v>
      </c>
      <c r="R22" s="14">
        <v>44887</v>
      </c>
      <c r="S22" t="s">
        <v>41</v>
      </c>
      <c r="T22" t="s">
        <v>48</v>
      </c>
      <c r="U22" t="s">
        <v>49</v>
      </c>
      <c r="V22" t="s">
        <v>71</v>
      </c>
      <c r="Y22" t="s">
        <v>137</v>
      </c>
      <c r="Z22">
        <v>53300</v>
      </c>
      <c r="AA22" t="s">
        <v>48</v>
      </c>
      <c r="AB22" t="s">
        <v>73</v>
      </c>
      <c r="AC22" t="s">
        <v>53</v>
      </c>
      <c r="AD22" s="15">
        <f>IF(P22&lt;=1,7,7+0.8*ROUNDUP(P22-1,0))</f>
        <v>7</v>
      </c>
      <c r="AE22" s="16">
        <v>0</v>
      </c>
      <c r="AF22" s="16">
        <v>0</v>
      </c>
      <c r="AG22" s="16">
        <v>0</v>
      </c>
      <c r="AH22" s="16">
        <v>0</v>
      </c>
      <c r="AI22" s="16">
        <f t="shared" si="0"/>
        <v>0.42</v>
      </c>
      <c r="AJ22" s="16">
        <f t="shared" si="1"/>
        <v>7.42</v>
      </c>
      <c r="AK22" t="s">
        <v>48</v>
      </c>
    </row>
    <row r="23" spans="1:37" ht="15" customHeight="1" x14ac:dyDescent="0.35">
      <c r="A23">
        <v>690929</v>
      </c>
      <c r="B23" t="s">
        <v>37</v>
      </c>
      <c r="C23" t="s">
        <v>38</v>
      </c>
      <c r="D23" s="9" t="s">
        <v>39</v>
      </c>
      <c r="E23" s="10" t="s">
        <v>37</v>
      </c>
      <c r="F23" s="11"/>
      <c r="G23" t="s">
        <v>138</v>
      </c>
      <c r="H23" t="s">
        <v>41</v>
      </c>
      <c r="I23" t="s">
        <v>42</v>
      </c>
      <c r="J23" t="s">
        <v>139</v>
      </c>
      <c r="K23" t="s">
        <v>44</v>
      </c>
      <c r="L23">
        <v>2</v>
      </c>
      <c r="M23" t="s">
        <v>45</v>
      </c>
      <c r="N23" t="s">
        <v>46</v>
      </c>
      <c r="O23" t="s">
        <v>47</v>
      </c>
      <c r="P23" s="12">
        <v>20</v>
      </c>
      <c r="Q23" s="13">
        <v>44886.535185185188</v>
      </c>
      <c r="R23" s="14">
        <v>44887</v>
      </c>
      <c r="S23" t="s">
        <v>41</v>
      </c>
      <c r="T23" t="s">
        <v>48</v>
      </c>
      <c r="U23" t="s">
        <v>49</v>
      </c>
      <c r="V23" t="s">
        <v>96</v>
      </c>
      <c r="Y23" t="s">
        <v>140</v>
      </c>
      <c r="Z23">
        <v>21030</v>
      </c>
      <c r="AA23" t="s">
        <v>48</v>
      </c>
      <c r="AB23" t="s">
        <v>141</v>
      </c>
      <c r="AC23" t="s">
        <v>53</v>
      </c>
      <c r="AD23" s="15">
        <f>IF(P23&lt;=1,7,7+0.8*ROUNDUP(P23-1,0))</f>
        <v>22.200000000000003</v>
      </c>
      <c r="AE23" s="16">
        <v>0</v>
      </c>
      <c r="AF23" s="16">
        <v>0</v>
      </c>
      <c r="AG23" s="16">
        <v>0</v>
      </c>
      <c r="AH23" s="16">
        <v>0</v>
      </c>
      <c r="AI23" s="16">
        <f t="shared" si="0"/>
        <v>1.3320000000000001</v>
      </c>
      <c r="AJ23" s="16">
        <f t="shared" si="1"/>
        <v>23.532000000000004</v>
      </c>
      <c r="AK23" t="s">
        <v>48</v>
      </c>
    </row>
    <row r="24" spans="1:37" ht="15" customHeight="1" x14ac:dyDescent="0.35">
      <c r="A24">
        <v>690929</v>
      </c>
      <c r="B24" t="s">
        <v>37</v>
      </c>
      <c r="C24" t="s">
        <v>38</v>
      </c>
      <c r="D24" s="9" t="s">
        <v>39</v>
      </c>
      <c r="E24" s="10" t="s">
        <v>37</v>
      </c>
      <c r="F24" s="11"/>
      <c r="G24" t="s">
        <v>142</v>
      </c>
      <c r="H24" t="s">
        <v>41</v>
      </c>
      <c r="I24" t="s">
        <v>42</v>
      </c>
      <c r="J24" t="s">
        <v>139</v>
      </c>
      <c r="K24" t="s">
        <v>44</v>
      </c>
      <c r="L24">
        <v>2</v>
      </c>
      <c r="M24" t="s">
        <v>45</v>
      </c>
      <c r="N24" t="s">
        <v>46</v>
      </c>
      <c r="O24" t="s">
        <v>47</v>
      </c>
      <c r="P24" s="12">
        <v>14</v>
      </c>
      <c r="Q24" s="13">
        <v>44886.536053240743</v>
      </c>
      <c r="R24" s="14">
        <v>44887</v>
      </c>
      <c r="S24" t="s">
        <v>41</v>
      </c>
      <c r="T24" t="s">
        <v>48</v>
      </c>
      <c r="U24" t="s">
        <v>49</v>
      </c>
      <c r="V24" t="s">
        <v>96</v>
      </c>
      <c r="Y24" t="s">
        <v>140</v>
      </c>
      <c r="Z24">
        <v>21030</v>
      </c>
      <c r="AA24" t="s">
        <v>48</v>
      </c>
      <c r="AB24" t="s">
        <v>141</v>
      </c>
      <c r="AC24" t="s">
        <v>53</v>
      </c>
      <c r="AD24" s="15">
        <f>IF(P24&lt;=1,7,7+0.8*ROUNDUP(P24-1,0))</f>
        <v>17.399999999999999</v>
      </c>
      <c r="AE24" s="16">
        <v>0</v>
      </c>
      <c r="AF24" s="16">
        <v>0</v>
      </c>
      <c r="AG24" s="16">
        <v>0</v>
      </c>
      <c r="AH24" s="16">
        <v>0</v>
      </c>
      <c r="AI24" s="16">
        <f t="shared" si="0"/>
        <v>1.0439999999999998</v>
      </c>
      <c r="AJ24" s="16">
        <f t="shared" si="1"/>
        <v>18.443999999999999</v>
      </c>
      <c r="AK24" t="s">
        <v>48</v>
      </c>
    </row>
    <row r="25" spans="1:37" ht="15" customHeight="1" x14ac:dyDescent="0.35">
      <c r="A25">
        <v>690929</v>
      </c>
      <c r="B25" t="s">
        <v>37</v>
      </c>
      <c r="C25" t="s">
        <v>38</v>
      </c>
      <c r="D25" s="9" t="s">
        <v>39</v>
      </c>
      <c r="E25" s="10" t="s">
        <v>37</v>
      </c>
      <c r="F25" s="11"/>
      <c r="G25" t="s">
        <v>143</v>
      </c>
      <c r="H25" t="s">
        <v>41</v>
      </c>
      <c r="I25" t="s">
        <v>42</v>
      </c>
      <c r="J25" t="s">
        <v>144</v>
      </c>
      <c r="K25" t="s">
        <v>44</v>
      </c>
      <c r="L25">
        <v>2</v>
      </c>
      <c r="M25" t="s">
        <v>45</v>
      </c>
      <c r="N25" t="s">
        <v>46</v>
      </c>
      <c r="O25" t="s">
        <v>47</v>
      </c>
      <c r="P25" s="12">
        <v>3</v>
      </c>
      <c r="Q25" s="13">
        <v>44881.632106481484</v>
      </c>
      <c r="R25" s="14">
        <v>44887</v>
      </c>
      <c r="S25" t="s">
        <v>41</v>
      </c>
      <c r="T25" t="s">
        <v>48</v>
      </c>
      <c r="U25" t="s">
        <v>49</v>
      </c>
      <c r="V25" t="s">
        <v>56</v>
      </c>
      <c r="Y25" t="s">
        <v>145</v>
      </c>
      <c r="Z25">
        <v>91007</v>
      </c>
      <c r="AA25" t="s">
        <v>58</v>
      </c>
      <c r="AB25" t="s">
        <v>73</v>
      </c>
      <c r="AC25" t="s">
        <v>53</v>
      </c>
      <c r="AD25" s="17">
        <f>IF(P25&lt;=1,13,IF(P25&lt;=2,23,IF(P25&lt;=3,35,IF(P25&lt;=4,43,IF(P25&lt;=5,53,IF(P25&lt;=6,63,IF(P25&lt;=7,71,IF(P25&lt;=8,79,IF(P25&lt;=9,87,IF(P25&lt;=10,95,IF(P25&lt;=11,105,IF(P25&lt;=12,114,IF(P25&lt;=13,119,IF(P25&lt;=14,127,IF(P25&lt;=15,135,IF(P25&lt;=16,143,IF(P25&lt;=17,153,IF(P25&lt;=18,163,IF(P25&lt;=19,171,IF(P25&lt;=20,185,IF(P25&lt;=21,193,IF(P25&lt;=22,201,IF(P25&lt;=23,210,IF(P25&lt;=24,220,IF(P25&lt;=25,230,IF(P25&lt;=26,240,IF(P25&lt;=27,250,IF(P25&lt;=28,260,IF(P25&lt;=29,270,IF(P25&lt;=30,280,280))))))))))))))))))))))))))))))</f>
        <v>35</v>
      </c>
      <c r="AE25" s="16">
        <v>0</v>
      </c>
      <c r="AF25" s="16">
        <v>0</v>
      </c>
      <c r="AG25" s="16">
        <v>0</v>
      </c>
      <c r="AH25" s="16">
        <v>0</v>
      </c>
      <c r="AI25" s="16">
        <f t="shared" si="0"/>
        <v>2.1</v>
      </c>
      <c r="AJ25" s="16">
        <f t="shared" si="1"/>
        <v>37.1</v>
      </c>
      <c r="AK25" t="s">
        <v>58</v>
      </c>
    </row>
    <row r="26" spans="1:37" ht="15" customHeight="1" x14ac:dyDescent="0.35">
      <c r="A26">
        <v>690929</v>
      </c>
      <c r="B26" t="s">
        <v>37</v>
      </c>
      <c r="C26" t="s">
        <v>38</v>
      </c>
      <c r="D26" s="9" t="s">
        <v>39</v>
      </c>
      <c r="E26" s="10" t="s">
        <v>37</v>
      </c>
      <c r="F26" s="11"/>
      <c r="G26" t="s">
        <v>146</v>
      </c>
      <c r="H26" t="s">
        <v>41</v>
      </c>
      <c r="I26" t="s">
        <v>42</v>
      </c>
      <c r="J26" t="s">
        <v>147</v>
      </c>
      <c r="K26" t="s">
        <v>44</v>
      </c>
      <c r="L26">
        <v>2</v>
      </c>
      <c r="M26" t="s">
        <v>45</v>
      </c>
      <c r="N26" t="s">
        <v>46</v>
      </c>
      <c r="O26" t="s">
        <v>47</v>
      </c>
      <c r="P26" s="12">
        <v>11</v>
      </c>
      <c r="Q26" s="13">
        <v>44886.533321759256</v>
      </c>
      <c r="R26" s="14">
        <v>44887</v>
      </c>
      <c r="S26" t="s">
        <v>41</v>
      </c>
      <c r="T26" t="s">
        <v>48</v>
      </c>
      <c r="U26" t="s">
        <v>49</v>
      </c>
      <c r="V26" t="s">
        <v>71</v>
      </c>
      <c r="Y26" t="s">
        <v>148</v>
      </c>
      <c r="Z26">
        <v>40160</v>
      </c>
      <c r="AA26" t="s">
        <v>48</v>
      </c>
      <c r="AB26" t="s">
        <v>149</v>
      </c>
      <c r="AC26" t="s">
        <v>53</v>
      </c>
      <c r="AD26" s="15">
        <f>IF(P26&lt;=1,7,7+0.8*ROUNDUP(P26-1,0))</f>
        <v>15</v>
      </c>
      <c r="AE26" s="16">
        <v>0</v>
      </c>
      <c r="AF26" s="16">
        <v>0</v>
      </c>
      <c r="AG26" s="16">
        <v>0</v>
      </c>
      <c r="AH26" s="16">
        <v>0</v>
      </c>
      <c r="AI26" s="16">
        <f t="shared" si="0"/>
        <v>0.89999999999999991</v>
      </c>
      <c r="AJ26" s="16">
        <f t="shared" si="1"/>
        <v>15.9</v>
      </c>
      <c r="AK26" t="s">
        <v>48</v>
      </c>
    </row>
    <row r="27" spans="1:37" ht="15" customHeight="1" x14ac:dyDescent="0.35">
      <c r="A27">
        <v>690929</v>
      </c>
      <c r="B27" t="s">
        <v>37</v>
      </c>
      <c r="C27" t="s">
        <v>38</v>
      </c>
      <c r="D27" s="9" t="s">
        <v>39</v>
      </c>
      <c r="E27" s="10" t="s">
        <v>37</v>
      </c>
      <c r="F27" s="11"/>
      <c r="G27" t="s">
        <v>150</v>
      </c>
      <c r="H27" t="s">
        <v>41</v>
      </c>
      <c r="I27" t="s">
        <v>42</v>
      </c>
      <c r="J27" t="s">
        <v>151</v>
      </c>
      <c r="K27" t="s">
        <v>44</v>
      </c>
      <c r="L27">
        <v>2</v>
      </c>
      <c r="M27" t="s">
        <v>45</v>
      </c>
      <c r="N27" t="s">
        <v>46</v>
      </c>
      <c r="O27" t="s">
        <v>47</v>
      </c>
      <c r="P27" s="12">
        <v>1</v>
      </c>
      <c r="Q27" s="13">
        <v>44882.725405092591</v>
      </c>
      <c r="R27" s="14">
        <v>44888</v>
      </c>
      <c r="S27" t="s">
        <v>41</v>
      </c>
      <c r="T27" t="s">
        <v>48</v>
      </c>
      <c r="U27" t="s">
        <v>124</v>
      </c>
      <c r="V27" t="s">
        <v>56</v>
      </c>
      <c r="Y27" t="s">
        <v>152</v>
      </c>
      <c r="Z27">
        <v>91111</v>
      </c>
      <c r="AA27" t="s">
        <v>58</v>
      </c>
      <c r="AB27" t="s">
        <v>153</v>
      </c>
      <c r="AC27" t="s">
        <v>53</v>
      </c>
      <c r="AD27" s="17">
        <f>IF(P27&lt;=1,13,IF(P27&lt;=2,23,IF(P27&lt;=3,35,IF(P27&lt;=4,43,IF(P27&lt;=5,53,IF(P27&lt;=6,63,IF(P27&lt;=7,71,IF(P27&lt;=8,79,IF(P27&lt;=9,87,IF(P27&lt;=10,95,IF(P27&lt;=11,105,IF(P27&lt;=12,114,IF(P27&lt;=13,119,IF(P27&lt;=14,127,IF(P27&lt;=15,135,IF(P27&lt;=16,143,IF(P27&lt;=17,153,IF(P27&lt;=18,163,IF(P27&lt;=19,171,IF(P27&lt;=20,185,IF(P27&lt;=21,193,IF(P27&lt;=22,201,IF(P27&lt;=23,210,IF(P27&lt;=24,220,IF(P27&lt;=25,230,IF(P27&lt;=26,240,IF(P27&lt;=27,250,IF(P27&lt;=28,260,IF(P27&lt;=29,270,IF(P27&lt;=30,280,280))))))))))))))))))))))))))))))</f>
        <v>13</v>
      </c>
      <c r="AE27" s="16">
        <v>0</v>
      </c>
      <c r="AF27" s="16">
        <v>0</v>
      </c>
      <c r="AG27" s="16">
        <v>0</v>
      </c>
      <c r="AH27" s="16">
        <v>0</v>
      </c>
      <c r="AI27" s="16">
        <f t="shared" si="0"/>
        <v>0.78</v>
      </c>
      <c r="AJ27" s="16">
        <f t="shared" si="1"/>
        <v>13.78</v>
      </c>
      <c r="AK27" t="s">
        <v>58</v>
      </c>
    </row>
    <row r="28" spans="1:37" ht="15" customHeight="1" x14ac:dyDescent="0.35">
      <c r="A28">
        <v>690929</v>
      </c>
      <c r="B28" t="s">
        <v>37</v>
      </c>
      <c r="C28" t="s">
        <v>38</v>
      </c>
      <c r="D28" s="9" t="s">
        <v>39</v>
      </c>
      <c r="E28" s="10" t="s">
        <v>37</v>
      </c>
      <c r="F28" s="11"/>
      <c r="G28" t="s">
        <v>154</v>
      </c>
      <c r="H28" t="s">
        <v>41</v>
      </c>
      <c r="I28" t="s">
        <v>42</v>
      </c>
      <c r="J28" t="s">
        <v>155</v>
      </c>
      <c r="K28" t="s">
        <v>44</v>
      </c>
      <c r="L28">
        <v>2</v>
      </c>
      <c r="M28" t="s">
        <v>45</v>
      </c>
      <c r="N28" t="s">
        <v>46</v>
      </c>
      <c r="O28" t="s">
        <v>47</v>
      </c>
      <c r="P28" s="12">
        <v>3</v>
      </c>
      <c r="Q28" s="13">
        <v>44886.540856481479</v>
      </c>
      <c r="R28" s="14">
        <v>44888</v>
      </c>
      <c r="S28" t="s">
        <v>41</v>
      </c>
      <c r="T28" t="s">
        <v>48</v>
      </c>
      <c r="U28" t="s">
        <v>49</v>
      </c>
      <c r="V28" t="s">
        <v>71</v>
      </c>
      <c r="Y28" t="s">
        <v>156</v>
      </c>
      <c r="Z28">
        <v>47630</v>
      </c>
      <c r="AA28" t="s">
        <v>48</v>
      </c>
      <c r="AB28" t="s">
        <v>157</v>
      </c>
      <c r="AC28" t="s">
        <v>53</v>
      </c>
      <c r="AD28" s="15">
        <f>IF(P28&lt;=1,7,7+0.8*ROUNDUP(P28-1,0))</f>
        <v>8.6</v>
      </c>
      <c r="AE28" s="16">
        <v>0</v>
      </c>
      <c r="AF28" s="16">
        <v>0</v>
      </c>
      <c r="AG28" s="16">
        <v>0</v>
      </c>
      <c r="AH28" s="16">
        <v>0</v>
      </c>
      <c r="AI28" s="16">
        <f t="shared" si="0"/>
        <v>0.51600000000000001</v>
      </c>
      <c r="AJ28" s="16">
        <f t="shared" si="1"/>
        <v>9.1159999999999997</v>
      </c>
      <c r="AK28" t="s">
        <v>48</v>
      </c>
    </row>
    <row r="29" spans="1:37" ht="15" customHeight="1" x14ac:dyDescent="0.35">
      <c r="A29">
        <v>690929</v>
      </c>
      <c r="B29" t="s">
        <v>37</v>
      </c>
      <c r="C29" t="s">
        <v>38</v>
      </c>
      <c r="D29" s="9" t="s">
        <v>39</v>
      </c>
      <c r="E29" s="10" t="s">
        <v>37</v>
      </c>
      <c r="F29" s="11"/>
      <c r="G29" t="s">
        <v>158</v>
      </c>
      <c r="H29" t="s">
        <v>41</v>
      </c>
      <c r="I29" t="s">
        <v>42</v>
      </c>
      <c r="J29" t="s">
        <v>159</v>
      </c>
      <c r="K29" t="s">
        <v>44</v>
      </c>
      <c r="L29">
        <v>2</v>
      </c>
      <c r="M29" t="s">
        <v>45</v>
      </c>
      <c r="N29" t="s">
        <v>46</v>
      </c>
      <c r="O29" t="s">
        <v>47</v>
      </c>
      <c r="P29" s="12">
        <v>1</v>
      </c>
      <c r="Q29" s="13">
        <v>44886.573263888888</v>
      </c>
      <c r="R29" s="14">
        <v>44888</v>
      </c>
      <c r="S29" t="s">
        <v>41</v>
      </c>
      <c r="T29" t="s">
        <v>48</v>
      </c>
      <c r="U29" t="s">
        <v>49</v>
      </c>
      <c r="V29" t="s">
        <v>62</v>
      </c>
      <c r="Y29" t="s">
        <v>160</v>
      </c>
      <c r="Z29">
        <v>53000</v>
      </c>
      <c r="AA29" t="s">
        <v>48</v>
      </c>
      <c r="AB29" t="s">
        <v>73</v>
      </c>
      <c r="AC29" t="s">
        <v>53</v>
      </c>
      <c r="AD29" s="15">
        <f>IF(P29&lt;=1,7,7+0.8*ROUNDUP(P29-1,0))</f>
        <v>7</v>
      </c>
      <c r="AE29" s="16">
        <v>0</v>
      </c>
      <c r="AF29" s="16">
        <v>0</v>
      </c>
      <c r="AG29" s="16">
        <v>0</v>
      </c>
      <c r="AH29" s="16">
        <v>0</v>
      </c>
      <c r="AI29" s="16">
        <f t="shared" si="0"/>
        <v>0.42</v>
      </c>
      <c r="AJ29" s="16">
        <f t="shared" si="1"/>
        <v>7.42</v>
      </c>
      <c r="AK29" t="s">
        <v>48</v>
      </c>
    </row>
    <row r="30" spans="1:37" ht="15" customHeight="1" x14ac:dyDescent="0.35">
      <c r="A30">
        <v>690929</v>
      </c>
      <c r="B30" t="s">
        <v>37</v>
      </c>
      <c r="C30" t="s">
        <v>38</v>
      </c>
      <c r="D30" s="9" t="s">
        <v>39</v>
      </c>
      <c r="E30" s="10" t="s">
        <v>37</v>
      </c>
      <c r="F30" s="11"/>
      <c r="G30" t="s">
        <v>161</v>
      </c>
      <c r="H30" t="s">
        <v>41</v>
      </c>
      <c r="I30" t="s">
        <v>42</v>
      </c>
      <c r="J30" t="s">
        <v>162</v>
      </c>
      <c r="K30" t="s">
        <v>44</v>
      </c>
      <c r="L30">
        <v>2</v>
      </c>
      <c r="M30" t="s">
        <v>45</v>
      </c>
      <c r="N30" t="s">
        <v>46</v>
      </c>
      <c r="O30" t="s">
        <v>47</v>
      </c>
      <c r="P30" s="12">
        <v>6</v>
      </c>
      <c r="Q30" s="13">
        <v>44882.722627314812</v>
      </c>
      <c r="R30" s="14">
        <v>44888</v>
      </c>
      <c r="S30" t="s">
        <v>41</v>
      </c>
      <c r="T30" t="s">
        <v>48</v>
      </c>
      <c r="U30" t="s">
        <v>124</v>
      </c>
      <c r="V30" t="s">
        <v>56</v>
      </c>
      <c r="Y30" t="s">
        <v>163</v>
      </c>
      <c r="Z30">
        <v>91308</v>
      </c>
      <c r="AA30" t="s">
        <v>58</v>
      </c>
      <c r="AB30" t="s">
        <v>73</v>
      </c>
      <c r="AC30" t="s">
        <v>53</v>
      </c>
      <c r="AD30" s="17">
        <f>IF(P30&lt;=1,13,IF(P30&lt;=2,23,IF(P30&lt;=3,35,IF(P30&lt;=4,43,IF(P30&lt;=5,53,IF(P30&lt;=6,63,IF(P30&lt;=7,71,IF(P30&lt;=8,79,IF(P30&lt;=9,87,IF(P30&lt;=10,95,IF(P30&lt;=11,105,IF(P30&lt;=12,114,IF(P30&lt;=13,119,IF(P30&lt;=14,127,IF(P30&lt;=15,135,IF(P30&lt;=16,143,IF(P30&lt;=17,153,IF(P30&lt;=18,163,IF(P30&lt;=19,171,IF(P30&lt;=20,185,IF(P30&lt;=21,193,IF(P30&lt;=22,201,IF(P30&lt;=23,210,IF(P30&lt;=24,220,IF(P30&lt;=25,230,IF(P30&lt;=26,240,IF(P30&lt;=27,250,IF(P30&lt;=28,260,IF(P30&lt;=29,270,IF(P30&lt;=30,280,280))))))))))))))))))))))))))))))</f>
        <v>63</v>
      </c>
      <c r="AE30" s="16">
        <v>0</v>
      </c>
      <c r="AF30" s="16">
        <v>0</v>
      </c>
      <c r="AG30" s="16">
        <v>0</v>
      </c>
      <c r="AH30" s="16">
        <v>0</v>
      </c>
      <c r="AI30" s="16">
        <f t="shared" si="0"/>
        <v>3.78</v>
      </c>
      <c r="AJ30" s="16">
        <f t="shared" si="1"/>
        <v>66.78</v>
      </c>
      <c r="AK30" t="s">
        <v>58</v>
      </c>
    </row>
    <row r="31" spans="1:37" ht="15" customHeight="1" x14ac:dyDescent="0.35">
      <c r="A31">
        <v>690929</v>
      </c>
      <c r="B31" t="s">
        <v>37</v>
      </c>
      <c r="C31" t="s">
        <v>38</v>
      </c>
      <c r="D31" s="9" t="s">
        <v>39</v>
      </c>
      <c r="E31" s="10" t="s">
        <v>37</v>
      </c>
      <c r="F31" s="11"/>
      <c r="G31" t="s">
        <v>164</v>
      </c>
      <c r="H31" t="s">
        <v>41</v>
      </c>
      <c r="I31" t="s">
        <v>42</v>
      </c>
      <c r="J31" t="s">
        <v>165</v>
      </c>
      <c r="K31" t="s">
        <v>44</v>
      </c>
      <c r="L31">
        <v>2</v>
      </c>
      <c r="M31" t="s">
        <v>45</v>
      </c>
      <c r="N31" t="s">
        <v>46</v>
      </c>
      <c r="O31" t="s">
        <v>47</v>
      </c>
      <c r="P31" s="12">
        <v>1</v>
      </c>
      <c r="Q31" s="13">
        <v>44887.564710648148</v>
      </c>
      <c r="R31" s="14">
        <v>44888</v>
      </c>
      <c r="S31" t="s">
        <v>41</v>
      </c>
      <c r="T31" t="s">
        <v>48</v>
      </c>
      <c r="U31" t="s">
        <v>49</v>
      </c>
      <c r="V31" t="s">
        <v>128</v>
      </c>
      <c r="Y31" t="s">
        <v>166</v>
      </c>
      <c r="Z31">
        <v>17500</v>
      </c>
      <c r="AA31" t="s">
        <v>48</v>
      </c>
      <c r="AB31" t="s">
        <v>124</v>
      </c>
      <c r="AC31" t="s">
        <v>53</v>
      </c>
      <c r="AD31" s="15">
        <f>IF(P31&lt;=1,7,7+0.8*ROUNDUP(P31-1,0))</f>
        <v>7</v>
      </c>
      <c r="AE31" s="16">
        <v>0</v>
      </c>
      <c r="AF31" s="16">
        <v>0</v>
      </c>
      <c r="AG31" s="16">
        <v>0</v>
      </c>
      <c r="AH31" s="16">
        <v>0</v>
      </c>
      <c r="AI31" s="16">
        <f t="shared" si="0"/>
        <v>0.42</v>
      </c>
      <c r="AJ31" s="16">
        <f t="shared" si="1"/>
        <v>7.42</v>
      </c>
      <c r="AK31" t="s">
        <v>48</v>
      </c>
    </row>
    <row r="32" spans="1:37" ht="15" customHeight="1" x14ac:dyDescent="0.35">
      <c r="A32">
        <v>690929</v>
      </c>
      <c r="B32" t="s">
        <v>37</v>
      </c>
      <c r="C32" t="s">
        <v>38</v>
      </c>
      <c r="D32" s="9" t="s">
        <v>39</v>
      </c>
      <c r="E32" s="10" t="s">
        <v>37</v>
      </c>
      <c r="F32" s="11"/>
      <c r="G32" t="s">
        <v>167</v>
      </c>
      <c r="H32" t="s">
        <v>41</v>
      </c>
      <c r="I32" t="s">
        <v>42</v>
      </c>
      <c r="J32" t="s">
        <v>168</v>
      </c>
      <c r="K32" t="s">
        <v>44</v>
      </c>
      <c r="L32">
        <v>2</v>
      </c>
      <c r="M32" t="s">
        <v>45</v>
      </c>
      <c r="N32" t="s">
        <v>46</v>
      </c>
      <c r="O32" t="s">
        <v>47</v>
      </c>
      <c r="P32" s="12">
        <v>1</v>
      </c>
      <c r="Q32" s="13">
        <v>44886.441701388889</v>
      </c>
      <c r="R32" s="14">
        <v>44888</v>
      </c>
      <c r="S32" t="s">
        <v>41</v>
      </c>
      <c r="T32" t="s">
        <v>48</v>
      </c>
      <c r="U32" t="s">
        <v>49</v>
      </c>
      <c r="V32" t="s">
        <v>62</v>
      </c>
      <c r="Y32" t="s">
        <v>169</v>
      </c>
      <c r="Z32">
        <v>53000</v>
      </c>
      <c r="AA32" t="s">
        <v>48</v>
      </c>
      <c r="AB32" t="s">
        <v>73</v>
      </c>
      <c r="AC32" t="s">
        <v>53</v>
      </c>
      <c r="AD32" s="15">
        <f>IF(P32&lt;=1,7,7+0.8*ROUNDUP(P32-1,0))</f>
        <v>7</v>
      </c>
      <c r="AE32" s="16">
        <v>0</v>
      </c>
      <c r="AF32" s="16">
        <v>0</v>
      </c>
      <c r="AG32" s="16">
        <v>0</v>
      </c>
      <c r="AH32" s="16">
        <v>0</v>
      </c>
      <c r="AI32" s="16">
        <f t="shared" si="0"/>
        <v>0.42</v>
      </c>
      <c r="AJ32" s="16">
        <f t="shared" si="1"/>
        <v>7.42</v>
      </c>
      <c r="AK32" t="s">
        <v>48</v>
      </c>
    </row>
    <row r="33" spans="1:37" ht="15" customHeight="1" x14ac:dyDescent="0.35">
      <c r="A33">
        <v>690929</v>
      </c>
      <c r="B33" t="s">
        <v>37</v>
      </c>
      <c r="C33" t="s">
        <v>38</v>
      </c>
      <c r="D33" s="9" t="s">
        <v>39</v>
      </c>
      <c r="E33" s="10" t="s">
        <v>37</v>
      </c>
      <c r="F33" s="11"/>
      <c r="G33" t="s">
        <v>170</v>
      </c>
      <c r="H33" t="s">
        <v>41</v>
      </c>
      <c r="I33" t="s">
        <v>42</v>
      </c>
      <c r="J33" t="s">
        <v>171</v>
      </c>
      <c r="K33" t="s">
        <v>44</v>
      </c>
      <c r="L33">
        <v>2</v>
      </c>
      <c r="M33" t="s">
        <v>45</v>
      </c>
      <c r="N33" t="s">
        <v>46</v>
      </c>
      <c r="O33" t="s">
        <v>47</v>
      </c>
      <c r="P33" s="12">
        <v>1</v>
      </c>
      <c r="Q33" s="13">
        <v>44886.593495370369</v>
      </c>
      <c r="R33" s="14">
        <v>44888</v>
      </c>
      <c r="S33" t="s">
        <v>41</v>
      </c>
      <c r="T33" t="s">
        <v>48</v>
      </c>
      <c r="U33" t="s">
        <v>49</v>
      </c>
      <c r="V33" t="s">
        <v>115</v>
      </c>
      <c r="Y33" t="s">
        <v>172</v>
      </c>
      <c r="Z33">
        <v>81200</v>
      </c>
      <c r="AA33" t="s">
        <v>48</v>
      </c>
      <c r="AB33" t="s">
        <v>73</v>
      </c>
      <c r="AC33" t="s">
        <v>53</v>
      </c>
      <c r="AD33" s="15">
        <f>IF(P33&lt;=1,7,7+0.8*ROUNDUP(P33-1,0))</f>
        <v>7</v>
      </c>
      <c r="AE33" s="16">
        <v>0</v>
      </c>
      <c r="AF33" s="16">
        <v>0</v>
      </c>
      <c r="AG33" s="16">
        <v>0</v>
      </c>
      <c r="AH33" s="16">
        <v>0</v>
      </c>
      <c r="AI33" s="16">
        <f t="shared" si="0"/>
        <v>0.42</v>
      </c>
      <c r="AJ33" s="16">
        <f t="shared" si="1"/>
        <v>7.42</v>
      </c>
      <c r="AK33" t="s">
        <v>48</v>
      </c>
    </row>
    <row r="34" spans="1:37" ht="15" customHeight="1" x14ac:dyDescent="0.35">
      <c r="A34">
        <v>690929</v>
      </c>
      <c r="B34" t="s">
        <v>37</v>
      </c>
      <c r="C34" t="s">
        <v>38</v>
      </c>
      <c r="D34" s="9" t="s">
        <v>39</v>
      </c>
      <c r="E34" s="10" t="s">
        <v>37</v>
      </c>
      <c r="F34" s="11"/>
      <c r="G34" t="s">
        <v>173</v>
      </c>
      <c r="H34" t="s">
        <v>41</v>
      </c>
      <c r="I34" t="s">
        <v>42</v>
      </c>
      <c r="J34" t="s">
        <v>174</v>
      </c>
      <c r="K34" t="s">
        <v>44</v>
      </c>
      <c r="L34">
        <v>2</v>
      </c>
      <c r="M34" t="s">
        <v>45</v>
      </c>
      <c r="N34" t="s">
        <v>46</v>
      </c>
      <c r="O34" t="s">
        <v>47</v>
      </c>
      <c r="P34" s="12">
        <v>1</v>
      </c>
      <c r="Q34" s="13">
        <v>44886.614351851851</v>
      </c>
      <c r="R34" s="14">
        <v>44888</v>
      </c>
      <c r="S34" t="s">
        <v>41</v>
      </c>
      <c r="T34" t="s">
        <v>48</v>
      </c>
      <c r="U34" t="s">
        <v>49</v>
      </c>
      <c r="V34" t="s">
        <v>100</v>
      </c>
      <c r="Y34" t="s">
        <v>175</v>
      </c>
      <c r="Z34">
        <v>8200</v>
      </c>
      <c r="AA34" t="s">
        <v>48</v>
      </c>
      <c r="AB34" t="s">
        <v>73</v>
      </c>
      <c r="AC34" t="s">
        <v>53</v>
      </c>
      <c r="AD34" s="15">
        <f>IF(P34&lt;=1,7,7+0.8*ROUNDUP(P34-1,0))</f>
        <v>7</v>
      </c>
      <c r="AE34" s="16">
        <v>0</v>
      </c>
      <c r="AF34" s="16">
        <v>0</v>
      </c>
      <c r="AG34" s="16">
        <v>0</v>
      </c>
      <c r="AH34" s="16">
        <v>0</v>
      </c>
      <c r="AI34" s="16">
        <f t="shared" si="0"/>
        <v>0.42</v>
      </c>
      <c r="AJ34" s="16">
        <f t="shared" si="1"/>
        <v>7.42</v>
      </c>
      <c r="AK34" t="s">
        <v>48</v>
      </c>
    </row>
    <row r="35" spans="1:37" ht="15" customHeight="1" x14ac:dyDescent="0.35">
      <c r="A35">
        <v>690929</v>
      </c>
      <c r="B35" t="s">
        <v>37</v>
      </c>
      <c r="C35" t="s">
        <v>38</v>
      </c>
      <c r="D35" s="9" t="s">
        <v>39</v>
      </c>
      <c r="E35" s="10" t="s">
        <v>37</v>
      </c>
      <c r="F35" s="11"/>
      <c r="G35" t="s">
        <v>176</v>
      </c>
      <c r="H35" t="s">
        <v>41</v>
      </c>
      <c r="I35" t="s">
        <v>42</v>
      </c>
      <c r="J35" t="s">
        <v>177</v>
      </c>
      <c r="K35" t="s">
        <v>44</v>
      </c>
      <c r="L35">
        <v>2</v>
      </c>
      <c r="M35" t="s">
        <v>45</v>
      </c>
      <c r="N35" t="s">
        <v>46</v>
      </c>
      <c r="O35" t="s">
        <v>47</v>
      </c>
      <c r="P35" s="12">
        <v>1</v>
      </c>
      <c r="Q35" s="13">
        <v>44886.739247685182</v>
      </c>
      <c r="R35" s="14">
        <v>44888</v>
      </c>
      <c r="S35" t="s">
        <v>41</v>
      </c>
      <c r="T35" t="s">
        <v>48</v>
      </c>
      <c r="U35" t="s">
        <v>49</v>
      </c>
      <c r="V35" t="s">
        <v>62</v>
      </c>
      <c r="Y35" t="s">
        <v>178</v>
      </c>
      <c r="Z35">
        <v>59200</v>
      </c>
      <c r="AA35" t="s">
        <v>48</v>
      </c>
      <c r="AB35" t="s">
        <v>73</v>
      </c>
      <c r="AC35" t="s">
        <v>53</v>
      </c>
      <c r="AD35" s="15">
        <f>IF(P35&lt;=1,7,7+0.8*ROUNDUP(P35-1,0))</f>
        <v>7</v>
      </c>
      <c r="AE35" s="16">
        <v>0</v>
      </c>
      <c r="AF35" s="16">
        <v>0</v>
      </c>
      <c r="AG35" s="16">
        <v>0</v>
      </c>
      <c r="AH35" s="16">
        <v>0</v>
      </c>
      <c r="AI35" s="16">
        <f t="shared" si="0"/>
        <v>0.42</v>
      </c>
      <c r="AJ35" s="16">
        <f t="shared" si="1"/>
        <v>7.42</v>
      </c>
      <c r="AK35" t="s">
        <v>48</v>
      </c>
    </row>
    <row r="36" spans="1:37" ht="15" customHeight="1" x14ac:dyDescent="0.35">
      <c r="A36">
        <v>690929</v>
      </c>
      <c r="B36" t="s">
        <v>37</v>
      </c>
      <c r="C36" t="s">
        <v>38</v>
      </c>
      <c r="D36" s="9" t="s">
        <v>39</v>
      </c>
      <c r="E36" s="10" t="s">
        <v>37</v>
      </c>
      <c r="F36" s="11"/>
      <c r="G36" t="s">
        <v>179</v>
      </c>
      <c r="H36" t="s">
        <v>41</v>
      </c>
      <c r="I36" t="s">
        <v>42</v>
      </c>
      <c r="J36" t="s">
        <v>180</v>
      </c>
      <c r="K36" t="s">
        <v>44</v>
      </c>
      <c r="L36">
        <v>2</v>
      </c>
      <c r="M36" t="s">
        <v>45</v>
      </c>
      <c r="N36" t="s">
        <v>46</v>
      </c>
      <c r="O36" t="s">
        <v>47</v>
      </c>
      <c r="P36" s="12">
        <v>1</v>
      </c>
      <c r="Q36" s="13">
        <v>44887.600648148145</v>
      </c>
      <c r="R36" s="14">
        <v>44888</v>
      </c>
      <c r="S36" t="s">
        <v>41</v>
      </c>
      <c r="T36" t="s">
        <v>48</v>
      </c>
      <c r="U36" t="s">
        <v>49</v>
      </c>
      <c r="V36" t="s">
        <v>71</v>
      </c>
      <c r="Y36" t="s">
        <v>181</v>
      </c>
      <c r="Z36">
        <v>42500</v>
      </c>
      <c r="AA36" t="s">
        <v>48</v>
      </c>
      <c r="AB36" t="s">
        <v>73</v>
      </c>
      <c r="AC36" t="s">
        <v>53</v>
      </c>
      <c r="AD36" s="15">
        <f>IF(P36&lt;=1,7,7+0.8*ROUNDUP(P36-1,0))</f>
        <v>7</v>
      </c>
      <c r="AE36" s="16">
        <v>0</v>
      </c>
      <c r="AF36" s="16">
        <v>0</v>
      </c>
      <c r="AG36" s="16">
        <v>0</v>
      </c>
      <c r="AH36" s="16">
        <v>0</v>
      </c>
      <c r="AI36" s="16">
        <f t="shared" si="0"/>
        <v>0.42</v>
      </c>
      <c r="AJ36" s="16">
        <f t="shared" si="1"/>
        <v>7.42</v>
      </c>
      <c r="AK36" t="s">
        <v>48</v>
      </c>
    </row>
    <row r="37" spans="1:37" ht="15" customHeight="1" x14ac:dyDescent="0.35">
      <c r="A37">
        <v>690929</v>
      </c>
      <c r="B37" t="s">
        <v>37</v>
      </c>
      <c r="C37" t="s">
        <v>38</v>
      </c>
      <c r="D37" s="9" t="s">
        <v>39</v>
      </c>
      <c r="E37" s="10" t="s">
        <v>37</v>
      </c>
      <c r="F37" s="11"/>
      <c r="G37" t="s">
        <v>182</v>
      </c>
      <c r="H37" t="s">
        <v>41</v>
      </c>
      <c r="I37" t="s">
        <v>42</v>
      </c>
      <c r="J37" t="s">
        <v>183</v>
      </c>
      <c r="K37" t="s">
        <v>44</v>
      </c>
      <c r="L37">
        <v>2</v>
      </c>
      <c r="M37" t="s">
        <v>45</v>
      </c>
      <c r="N37" t="s">
        <v>46</v>
      </c>
      <c r="O37" t="s">
        <v>47</v>
      </c>
      <c r="P37" s="12">
        <v>1</v>
      </c>
      <c r="Q37" s="13">
        <v>44886.595590277779</v>
      </c>
      <c r="R37" s="14">
        <v>44888</v>
      </c>
      <c r="S37" t="s">
        <v>41</v>
      </c>
      <c r="T37" t="s">
        <v>48</v>
      </c>
      <c r="U37" t="s">
        <v>49</v>
      </c>
      <c r="V37" t="s">
        <v>62</v>
      </c>
      <c r="Y37" t="s">
        <v>184</v>
      </c>
      <c r="Z37">
        <v>56000</v>
      </c>
      <c r="AA37" t="s">
        <v>48</v>
      </c>
      <c r="AB37" t="s">
        <v>185</v>
      </c>
      <c r="AC37" t="s">
        <v>53</v>
      </c>
      <c r="AD37" s="15">
        <f>IF(P37&lt;=1,7,7+0.8*ROUNDUP(P37-1,0))</f>
        <v>7</v>
      </c>
      <c r="AE37" s="16">
        <v>0</v>
      </c>
      <c r="AF37" s="16">
        <v>0</v>
      </c>
      <c r="AG37" s="16">
        <v>0</v>
      </c>
      <c r="AH37" s="16">
        <v>0</v>
      </c>
      <c r="AI37" s="16">
        <f t="shared" si="0"/>
        <v>0.42</v>
      </c>
      <c r="AJ37" s="16">
        <f t="shared" si="1"/>
        <v>7.42</v>
      </c>
      <c r="AK37" t="s">
        <v>48</v>
      </c>
    </row>
    <row r="38" spans="1:37" ht="15" customHeight="1" x14ac:dyDescent="0.35">
      <c r="A38">
        <v>690929</v>
      </c>
      <c r="B38" t="s">
        <v>37</v>
      </c>
      <c r="C38" t="s">
        <v>38</v>
      </c>
      <c r="D38" s="9" t="s">
        <v>39</v>
      </c>
      <c r="E38" s="10" t="s">
        <v>37</v>
      </c>
      <c r="F38" s="11"/>
      <c r="G38" t="s">
        <v>186</v>
      </c>
      <c r="H38" t="s">
        <v>41</v>
      </c>
      <c r="I38" t="s">
        <v>42</v>
      </c>
      <c r="J38" t="s">
        <v>187</v>
      </c>
      <c r="K38" t="s">
        <v>44</v>
      </c>
      <c r="L38">
        <v>2</v>
      </c>
      <c r="M38" t="s">
        <v>45</v>
      </c>
      <c r="N38" t="s">
        <v>46</v>
      </c>
      <c r="O38" t="s">
        <v>47</v>
      </c>
      <c r="P38" s="12">
        <v>1</v>
      </c>
      <c r="Q38" s="13">
        <v>44887.625324074077</v>
      </c>
      <c r="R38" s="14">
        <v>44888</v>
      </c>
      <c r="S38" t="s">
        <v>41</v>
      </c>
      <c r="T38" t="s">
        <v>48</v>
      </c>
      <c r="U38" t="s">
        <v>49</v>
      </c>
      <c r="V38" t="s">
        <v>50</v>
      </c>
      <c r="Y38" t="s">
        <v>188</v>
      </c>
      <c r="Z38">
        <v>31300</v>
      </c>
      <c r="AA38" t="s">
        <v>48</v>
      </c>
      <c r="AB38" t="s">
        <v>49</v>
      </c>
      <c r="AC38" t="s">
        <v>53</v>
      </c>
      <c r="AD38" s="15">
        <f>IF(P38&lt;=1,7,7+0.8*ROUNDUP(P38-1,0))</f>
        <v>7</v>
      </c>
      <c r="AE38" s="16">
        <v>0</v>
      </c>
      <c r="AF38" s="16">
        <v>0</v>
      </c>
      <c r="AG38" s="16">
        <v>0</v>
      </c>
      <c r="AH38" s="16">
        <v>0</v>
      </c>
      <c r="AI38" s="16">
        <f t="shared" si="0"/>
        <v>0.42</v>
      </c>
      <c r="AJ38" s="16">
        <f t="shared" si="1"/>
        <v>7.42</v>
      </c>
      <c r="AK38" t="s">
        <v>48</v>
      </c>
    </row>
    <row r="39" spans="1:37" ht="15" customHeight="1" x14ac:dyDescent="0.35">
      <c r="A39">
        <v>690929</v>
      </c>
      <c r="B39" t="s">
        <v>37</v>
      </c>
      <c r="C39" t="s">
        <v>38</v>
      </c>
      <c r="D39" s="9" t="s">
        <v>39</v>
      </c>
      <c r="E39" s="10" t="s">
        <v>37</v>
      </c>
      <c r="F39" s="11"/>
      <c r="G39" t="s">
        <v>189</v>
      </c>
      <c r="H39" t="s">
        <v>41</v>
      </c>
      <c r="I39" t="s">
        <v>42</v>
      </c>
      <c r="J39" t="s">
        <v>190</v>
      </c>
      <c r="K39" t="s">
        <v>44</v>
      </c>
      <c r="L39">
        <v>2</v>
      </c>
      <c r="M39" t="s">
        <v>45</v>
      </c>
      <c r="N39" t="s">
        <v>46</v>
      </c>
      <c r="O39" t="s">
        <v>47</v>
      </c>
      <c r="P39" s="12">
        <v>2</v>
      </c>
      <c r="Q39" s="13">
        <v>44886.72446759259</v>
      </c>
      <c r="R39" s="14">
        <v>44889</v>
      </c>
      <c r="S39" t="s">
        <v>41</v>
      </c>
      <c r="T39" t="s">
        <v>48</v>
      </c>
      <c r="U39" t="s">
        <v>49</v>
      </c>
      <c r="V39" t="s">
        <v>56</v>
      </c>
      <c r="Y39" t="s">
        <v>191</v>
      </c>
      <c r="Z39">
        <v>89808</v>
      </c>
      <c r="AA39" t="s">
        <v>58</v>
      </c>
      <c r="AB39" t="s">
        <v>109</v>
      </c>
      <c r="AC39" t="s">
        <v>53</v>
      </c>
      <c r="AD39" s="17">
        <f>IF(P39&lt;=1,13,IF(P39&lt;=2,23,IF(P39&lt;=3,35,IF(P39&lt;=4,43,IF(P39&lt;=5,53,IF(P39&lt;=6,63,IF(P39&lt;=7,71,IF(P39&lt;=8,79,IF(P39&lt;=9,87,IF(P39&lt;=10,95,IF(P39&lt;=11,105,IF(P39&lt;=12,114,IF(P39&lt;=13,119,IF(P39&lt;=14,127,IF(P39&lt;=15,135,IF(P39&lt;=16,143,IF(P39&lt;=17,153,IF(P39&lt;=18,163,IF(P39&lt;=19,171,IF(P39&lt;=20,185,IF(P39&lt;=21,193,IF(P39&lt;=22,201,IF(P39&lt;=23,210,IF(P39&lt;=24,220,IF(P39&lt;=25,230,IF(P39&lt;=26,240,IF(P39&lt;=27,250,IF(P39&lt;=28,260,IF(P39&lt;=29,270,IF(P39&lt;=30,280,280))))))))))))))))))))))))))))))</f>
        <v>23</v>
      </c>
      <c r="AE39" s="16">
        <v>0</v>
      </c>
      <c r="AF39" s="16">
        <v>0</v>
      </c>
      <c r="AG39" s="16">
        <v>0</v>
      </c>
      <c r="AH39" s="16">
        <v>0</v>
      </c>
      <c r="AI39" s="16">
        <f t="shared" si="0"/>
        <v>1.38</v>
      </c>
      <c r="AJ39" s="16">
        <f t="shared" si="1"/>
        <v>24.38</v>
      </c>
      <c r="AK39" t="s">
        <v>58</v>
      </c>
    </row>
    <row r="40" spans="1:37" ht="15" customHeight="1" x14ac:dyDescent="0.35">
      <c r="A40">
        <v>690929</v>
      </c>
      <c r="B40" t="s">
        <v>37</v>
      </c>
      <c r="C40" t="s">
        <v>38</v>
      </c>
      <c r="D40" s="9" t="s">
        <v>39</v>
      </c>
      <c r="E40" s="10" t="s">
        <v>37</v>
      </c>
      <c r="F40" s="11"/>
      <c r="G40" t="s">
        <v>192</v>
      </c>
      <c r="H40" t="s">
        <v>41</v>
      </c>
      <c r="I40" t="s">
        <v>42</v>
      </c>
      <c r="J40" t="s">
        <v>193</v>
      </c>
      <c r="K40" t="s">
        <v>44</v>
      </c>
      <c r="L40">
        <v>2</v>
      </c>
      <c r="M40" t="s">
        <v>45</v>
      </c>
      <c r="N40" t="s">
        <v>46</v>
      </c>
      <c r="O40" t="s">
        <v>47</v>
      </c>
      <c r="P40" s="12">
        <v>1</v>
      </c>
      <c r="Q40" s="13">
        <v>44886.740416666667</v>
      </c>
      <c r="R40" s="14">
        <v>44889</v>
      </c>
      <c r="S40" t="s">
        <v>41</v>
      </c>
      <c r="T40" t="s">
        <v>48</v>
      </c>
      <c r="U40" t="s">
        <v>49</v>
      </c>
      <c r="V40" t="s">
        <v>115</v>
      </c>
      <c r="Y40" t="s">
        <v>194</v>
      </c>
      <c r="Z40">
        <v>81100</v>
      </c>
      <c r="AA40" t="s">
        <v>48</v>
      </c>
      <c r="AB40" t="s">
        <v>49</v>
      </c>
      <c r="AC40" t="s">
        <v>53</v>
      </c>
      <c r="AD40" s="15">
        <f>IF(P40&lt;=1,7,7+0.8*ROUNDUP(P40-1,0))</f>
        <v>7</v>
      </c>
      <c r="AE40" s="16">
        <v>0</v>
      </c>
      <c r="AF40" s="16">
        <v>0</v>
      </c>
      <c r="AG40" s="16">
        <v>0</v>
      </c>
      <c r="AH40" s="16">
        <v>0</v>
      </c>
      <c r="AI40" s="16">
        <f t="shared" si="0"/>
        <v>0.42</v>
      </c>
      <c r="AJ40" s="16">
        <f t="shared" si="1"/>
        <v>7.42</v>
      </c>
      <c r="AK40" t="s">
        <v>48</v>
      </c>
    </row>
    <row r="41" spans="1:37" ht="15" customHeight="1" x14ac:dyDescent="0.35">
      <c r="A41">
        <v>690929</v>
      </c>
      <c r="B41" t="s">
        <v>37</v>
      </c>
      <c r="C41" t="s">
        <v>38</v>
      </c>
      <c r="D41" s="9" t="s">
        <v>39</v>
      </c>
      <c r="E41" s="10" t="s">
        <v>37</v>
      </c>
      <c r="F41" s="11"/>
      <c r="G41" t="s">
        <v>195</v>
      </c>
      <c r="H41" t="s">
        <v>41</v>
      </c>
      <c r="I41" t="s">
        <v>42</v>
      </c>
      <c r="J41" t="s">
        <v>196</v>
      </c>
      <c r="K41" t="s">
        <v>44</v>
      </c>
      <c r="L41">
        <v>2</v>
      </c>
      <c r="M41" t="s">
        <v>45</v>
      </c>
      <c r="N41" t="s">
        <v>46</v>
      </c>
      <c r="O41" t="s">
        <v>47</v>
      </c>
      <c r="P41" s="12">
        <v>1</v>
      </c>
      <c r="Q41" s="13">
        <v>44888.579756944448</v>
      </c>
      <c r="R41" s="14">
        <v>44889</v>
      </c>
      <c r="S41" t="s">
        <v>41</v>
      </c>
      <c r="T41" t="s">
        <v>48</v>
      </c>
      <c r="U41" t="s">
        <v>49</v>
      </c>
      <c r="V41" t="s">
        <v>96</v>
      </c>
      <c r="Y41" t="s">
        <v>197</v>
      </c>
      <c r="Z41">
        <v>24000</v>
      </c>
      <c r="AA41" t="s">
        <v>48</v>
      </c>
      <c r="AB41" t="s">
        <v>49</v>
      </c>
      <c r="AC41" t="s">
        <v>53</v>
      </c>
      <c r="AD41" s="15">
        <f>IF(P41&lt;=1,7,7+0.8*ROUNDUP(P41-1,0))</f>
        <v>7</v>
      </c>
      <c r="AE41" s="16">
        <v>0</v>
      </c>
      <c r="AF41" s="16">
        <v>0</v>
      </c>
      <c r="AG41" s="16">
        <v>0</v>
      </c>
      <c r="AH41" s="16">
        <v>0</v>
      </c>
      <c r="AI41" s="16">
        <f t="shared" si="0"/>
        <v>0.42</v>
      </c>
      <c r="AJ41" s="16">
        <f t="shared" si="1"/>
        <v>7.42</v>
      </c>
      <c r="AK41" t="s">
        <v>48</v>
      </c>
    </row>
    <row r="42" spans="1:37" ht="15" customHeight="1" x14ac:dyDescent="0.35">
      <c r="A42">
        <v>690929</v>
      </c>
      <c r="B42" t="s">
        <v>37</v>
      </c>
      <c r="C42" t="s">
        <v>38</v>
      </c>
      <c r="D42" s="9" t="s">
        <v>39</v>
      </c>
      <c r="E42" s="10" t="s">
        <v>37</v>
      </c>
      <c r="F42" s="11"/>
      <c r="G42" t="s">
        <v>198</v>
      </c>
      <c r="H42" t="s">
        <v>41</v>
      </c>
      <c r="I42" t="s">
        <v>42</v>
      </c>
      <c r="J42" t="s">
        <v>199</v>
      </c>
      <c r="K42" t="s">
        <v>44</v>
      </c>
      <c r="L42">
        <v>2</v>
      </c>
      <c r="M42" t="s">
        <v>45</v>
      </c>
      <c r="N42" t="s">
        <v>46</v>
      </c>
      <c r="O42" t="s">
        <v>47</v>
      </c>
      <c r="P42" s="12">
        <v>3</v>
      </c>
      <c r="Q42" s="13">
        <v>44886.722569444442</v>
      </c>
      <c r="R42" s="14">
        <v>44889</v>
      </c>
      <c r="S42" t="s">
        <v>41</v>
      </c>
      <c r="T42" t="s">
        <v>48</v>
      </c>
      <c r="U42" t="s">
        <v>49</v>
      </c>
      <c r="V42" t="s">
        <v>56</v>
      </c>
      <c r="Y42" t="s">
        <v>200</v>
      </c>
      <c r="Z42">
        <v>89050</v>
      </c>
      <c r="AA42" t="s">
        <v>58</v>
      </c>
      <c r="AB42" t="s">
        <v>201</v>
      </c>
      <c r="AC42" t="s">
        <v>53</v>
      </c>
      <c r="AD42" s="17">
        <f>IF(P42&lt;=1,13,IF(P42&lt;=2,23,IF(P42&lt;=3,35,IF(P42&lt;=4,43,IF(P42&lt;=5,53,IF(P42&lt;=6,63,IF(P42&lt;=7,71,IF(P42&lt;=8,79,IF(P42&lt;=9,87,IF(P42&lt;=10,95,IF(P42&lt;=11,105,IF(P42&lt;=12,114,IF(P42&lt;=13,119,IF(P42&lt;=14,127,IF(P42&lt;=15,135,IF(P42&lt;=16,143,IF(P42&lt;=17,153,IF(P42&lt;=18,163,IF(P42&lt;=19,171,IF(P42&lt;=20,185,IF(P42&lt;=21,193,IF(P42&lt;=22,201,IF(P42&lt;=23,210,IF(P42&lt;=24,220,IF(P42&lt;=25,230,IF(P42&lt;=26,240,IF(P42&lt;=27,250,IF(P42&lt;=28,260,IF(P42&lt;=29,270,IF(P42&lt;=30,280,280))))))))))))))))))))))))))))))</f>
        <v>35</v>
      </c>
      <c r="AE42" s="16">
        <v>0</v>
      </c>
      <c r="AF42" s="16">
        <v>0</v>
      </c>
      <c r="AG42" s="16">
        <v>0</v>
      </c>
      <c r="AH42" s="16">
        <v>0</v>
      </c>
      <c r="AI42" s="16">
        <f t="shared" si="0"/>
        <v>2.1</v>
      </c>
      <c r="AJ42" s="16">
        <f t="shared" si="1"/>
        <v>37.1</v>
      </c>
      <c r="AK42" t="s">
        <v>58</v>
      </c>
    </row>
    <row r="43" spans="1:37" ht="15" customHeight="1" x14ac:dyDescent="0.35">
      <c r="A43">
        <v>690929</v>
      </c>
      <c r="B43" t="s">
        <v>37</v>
      </c>
      <c r="C43" t="s">
        <v>38</v>
      </c>
      <c r="D43" s="9" t="s">
        <v>39</v>
      </c>
      <c r="E43" s="10" t="s">
        <v>37</v>
      </c>
      <c r="F43" s="11"/>
      <c r="G43" t="s">
        <v>202</v>
      </c>
      <c r="H43" t="s">
        <v>41</v>
      </c>
      <c r="I43" t="s">
        <v>42</v>
      </c>
      <c r="J43" t="s">
        <v>203</v>
      </c>
      <c r="K43" t="s">
        <v>44</v>
      </c>
      <c r="L43">
        <v>2</v>
      </c>
      <c r="M43" t="s">
        <v>45</v>
      </c>
      <c r="N43" t="s">
        <v>46</v>
      </c>
      <c r="O43" t="s">
        <v>47</v>
      </c>
      <c r="P43" s="12">
        <v>1</v>
      </c>
      <c r="Q43" s="13">
        <v>44886.594490740739</v>
      </c>
      <c r="R43" s="14">
        <v>44889</v>
      </c>
      <c r="S43" t="s">
        <v>41</v>
      </c>
      <c r="T43" t="s">
        <v>48</v>
      </c>
      <c r="U43" t="s">
        <v>49</v>
      </c>
      <c r="V43" t="s">
        <v>85</v>
      </c>
      <c r="Y43" t="s">
        <v>204</v>
      </c>
      <c r="Z43">
        <v>11060</v>
      </c>
      <c r="AA43" t="s">
        <v>48</v>
      </c>
      <c r="AB43" t="s">
        <v>73</v>
      </c>
      <c r="AC43" t="s">
        <v>53</v>
      </c>
      <c r="AD43" s="15">
        <f>IF(P43&lt;=1,7,7+0.8*ROUNDUP(P43-1,0))</f>
        <v>7</v>
      </c>
      <c r="AE43" s="16">
        <v>0</v>
      </c>
      <c r="AF43" s="16">
        <v>0</v>
      </c>
      <c r="AG43" s="16">
        <v>0</v>
      </c>
      <c r="AH43" s="16">
        <v>0</v>
      </c>
      <c r="AI43" s="16">
        <f t="shared" si="0"/>
        <v>0.42</v>
      </c>
      <c r="AJ43" s="16">
        <f t="shared" si="1"/>
        <v>7.42</v>
      </c>
      <c r="AK43" t="s">
        <v>48</v>
      </c>
    </row>
    <row r="44" spans="1:37" ht="15" customHeight="1" x14ac:dyDescent="0.35">
      <c r="A44">
        <v>690929</v>
      </c>
      <c r="B44" t="s">
        <v>37</v>
      </c>
      <c r="C44" t="s">
        <v>38</v>
      </c>
      <c r="D44" s="9" t="s">
        <v>39</v>
      </c>
      <c r="E44" s="10" t="s">
        <v>37</v>
      </c>
      <c r="F44" s="11"/>
      <c r="G44" t="s">
        <v>205</v>
      </c>
      <c r="H44" t="s">
        <v>41</v>
      </c>
      <c r="I44" t="s">
        <v>42</v>
      </c>
      <c r="J44" t="s">
        <v>206</v>
      </c>
      <c r="K44" t="s">
        <v>44</v>
      </c>
      <c r="L44">
        <v>2</v>
      </c>
      <c r="M44" t="s">
        <v>45</v>
      </c>
      <c r="N44" t="s">
        <v>46</v>
      </c>
      <c r="O44" t="s">
        <v>47</v>
      </c>
      <c r="P44" s="12">
        <v>1</v>
      </c>
      <c r="Q44" s="13">
        <v>44886.61377314815</v>
      </c>
      <c r="R44" s="14">
        <v>44889</v>
      </c>
      <c r="S44" t="s">
        <v>41</v>
      </c>
      <c r="T44" t="s">
        <v>48</v>
      </c>
      <c r="U44" t="s">
        <v>49</v>
      </c>
      <c r="V44" t="s">
        <v>80</v>
      </c>
      <c r="Y44" t="s">
        <v>207</v>
      </c>
      <c r="Z44">
        <v>77100</v>
      </c>
      <c r="AA44" t="s">
        <v>48</v>
      </c>
      <c r="AB44" t="s">
        <v>73</v>
      </c>
      <c r="AC44" t="s">
        <v>53</v>
      </c>
      <c r="AD44" s="15">
        <f>IF(P44&lt;=1,7,7+0.8*ROUNDUP(P44-1,0))</f>
        <v>7</v>
      </c>
      <c r="AE44" s="16">
        <v>0</v>
      </c>
      <c r="AF44" s="16">
        <v>0</v>
      </c>
      <c r="AG44" s="16">
        <v>0</v>
      </c>
      <c r="AH44" s="16">
        <v>0</v>
      </c>
      <c r="AI44" s="16">
        <f t="shared" si="0"/>
        <v>0.42</v>
      </c>
      <c r="AJ44" s="16">
        <f t="shared" si="1"/>
        <v>7.42</v>
      </c>
      <c r="AK44" t="s">
        <v>48</v>
      </c>
    </row>
    <row r="45" spans="1:37" ht="15" customHeight="1" x14ac:dyDescent="0.35">
      <c r="A45">
        <v>690929</v>
      </c>
      <c r="B45" t="s">
        <v>37</v>
      </c>
      <c r="C45" t="s">
        <v>38</v>
      </c>
      <c r="D45" s="9" t="s">
        <v>39</v>
      </c>
      <c r="E45" s="10" t="s">
        <v>37</v>
      </c>
      <c r="F45" s="11"/>
      <c r="G45" t="s">
        <v>208</v>
      </c>
      <c r="H45" t="s">
        <v>41</v>
      </c>
      <c r="I45" t="s">
        <v>42</v>
      </c>
      <c r="J45" t="s">
        <v>209</v>
      </c>
      <c r="K45" t="s">
        <v>44</v>
      </c>
      <c r="L45">
        <v>2</v>
      </c>
      <c r="M45" t="s">
        <v>45</v>
      </c>
      <c r="N45" t="s">
        <v>46</v>
      </c>
      <c r="O45" t="s">
        <v>47</v>
      </c>
      <c r="P45" s="12">
        <v>1</v>
      </c>
      <c r="Q45" s="13">
        <v>44887.601643518516</v>
      </c>
      <c r="R45" s="14">
        <v>44889</v>
      </c>
      <c r="S45" t="s">
        <v>41</v>
      </c>
      <c r="T45" t="s">
        <v>48</v>
      </c>
      <c r="U45" t="s">
        <v>49</v>
      </c>
      <c r="V45" t="s">
        <v>100</v>
      </c>
      <c r="Y45" t="s">
        <v>210</v>
      </c>
      <c r="Z45">
        <v>9800</v>
      </c>
      <c r="AA45" t="s">
        <v>48</v>
      </c>
      <c r="AB45" t="s">
        <v>73</v>
      </c>
      <c r="AC45" t="s">
        <v>53</v>
      </c>
      <c r="AD45" s="15">
        <f>IF(P45&lt;=1,7,7+0.8*ROUNDUP(P45-1,0))</f>
        <v>7</v>
      </c>
      <c r="AE45" s="16">
        <v>0</v>
      </c>
      <c r="AF45" s="16">
        <v>0</v>
      </c>
      <c r="AG45" s="16">
        <v>0</v>
      </c>
      <c r="AH45" s="16">
        <v>0</v>
      </c>
      <c r="AI45" s="16">
        <f t="shared" si="0"/>
        <v>0.42</v>
      </c>
      <c r="AJ45" s="16">
        <f t="shared" si="1"/>
        <v>7.42</v>
      </c>
      <c r="AK45" t="s">
        <v>48</v>
      </c>
    </row>
    <row r="46" spans="1:37" ht="15" customHeight="1" x14ac:dyDescent="0.35">
      <c r="A46">
        <v>690929</v>
      </c>
      <c r="B46" t="s">
        <v>37</v>
      </c>
      <c r="C46" t="s">
        <v>38</v>
      </c>
      <c r="D46" s="9" t="s">
        <v>39</v>
      </c>
      <c r="E46" s="10" t="s">
        <v>37</v>
      </c>
      <c r="F46" s="11"/>
      <c r="G46" t="s">
        <v>211</v>
      </c>
      <c r="H46" t="s">
        <v>41</v>
      </c>
      <c r="I46" t="s">
        <v>42</v>
      </c>
      <c r="J46" t="s">
        <v>212</v>
      </c>
      <c r="K46" t="s">
        <v>44</v>
      </c>
      <c r="L46">
        <v>2</v>
      </c>
      <c r="M46" t="s">
        <v>45</v>
      </c>
      <c r="N46" t="s">
        <v>46</v>
      </c>
      <c r="O46" t="s">
        <v>47</v>
      </c>
      <c r="P46" s="12">
        <v>1</v>
      </c>
      <c r="Q46" s="13">
        <v>44889.572418981479</v>
      </c>
      <c r="R46" s="14">
        <v>44890</v>
      </c>
      <c r="S46" t="s">
        <v>41</v>
      </c>
      <c r="T46" t="s">
        <v>48</v>
      </c>
      <c r="U46" t="s">
        <v>49</v>
      </c>
      <c r="V46" t="s">
        <v>62</v>
      </c>
      <c r="Y46" t="s">
        <v>213</v>
      </c>
      <c r="Z46">
        <v>60000</v>
      </c>
      <c r="AA46" t="s">
        <v>48</v>
      </c>
      <c r="AB46" t="s">
        <v>73</v>
      </c>
      <c r="AC46" t="s">
        <v>53</v>
      </c>
      <c r="AD46" s="15">
        <f>IF(P46&lt;=1,7,7+0.8*ROUNDUP(P46-1,0))</f>
        <v>7</v>
      </c>
      <c r="AE46" s="16">
        <v>0</v>
      </c>
      <c r="AF46" s="16">
        <v>0</v>
      </c>
      <c r="AG46" s="16">
        <v>0</v>
      </c>
      <c r="AH46" s="16">
        <v>0</v>
      </c>
      <c r="AI46" s="16">
        <f t="shared" si="0"/>
        <v>0.42</v>
      </c>
      <c r="AJ46" s="16">
        <f t="shared" si="1"/>
        <v>7.42</v>
      </c>
      <c r="AK46" t="s">
        <v>48</v>
      </c>
    </row>
    <row r="47" spans="1:37" ht="15" customHeight="1" x14ac:dyDescent="0.35">
      <c r="A47">
        <v>690929</v>
      </c>
      <c r="B47" t="s">
        <v>37</v>
      </c>
      <c r="C47" t="s">
        <v>38</v>
      </c>
      <c r="D47" s="9" t="s">
        <v>39</v>
      </c>
      <c r="E47" s="10" t="s">
        <v>37</v>
      </c>
      <c r="F47" s="11"/>
      <c r="G47" t="s">
        <v>214</v>
      </c>
      <c r="H47" t="s">
        <v>41</v>
      </c>
      <c r="I47" t="s">
        <v>42</v>
      </c>
      <c r="J47" t="s">
        <v>215</v>
      </c>
      <c r="K47" t="s">
        <v>44</v>
      </c>
      <c r="L47">
        <v>2</v>
      </c>
      <c r="M47" t="s">
        <v>45</v>
      </c>
      <c r="N47" t="s">
        <v>46</v>
      </c>
      <c r="O47" t="s">
        <v>47</v>
      </c>
      <c r="P47" s="12">
        <v>1</v>
      </c>
      <c r="Q47" s="13">
        <v>44889.557951388888</v>
      </c>
      <c r="R47" s="14">
        <v>44890</v>
      </c>
      <c r="S47" t="s">
        <v>41</v>
      </c>
      <c r="T47" t="s">
        <v>48</v>
      </c>
      <c r="U47" t="s">
        <v>49</v>
      </c>
      <c r="V47" t="s">
        <v>71</v>
      </c>
      <c r="Y47" t="s">
        <v>216</v>
      </c>
      <c r="Z47">
        <v>40100</v>
      </c>
      <c r="AA47" t="s">
        <v>48</v>
      </c>
      <c r="AB47" t="s">
        <v>73</v>
      </c>
      <c r="AC47" t="s">
        <v>53</v>
      </c>
      <c r="AD47" s="15">
        <f>IF(P47&lt;=1,7,7+0.8*ROUNDUP(P47-1,0))</f>
        <v>7</v>
      </c>
      <c r="AE47" s="16">
        <v>0</v>
      </c>
      <c r="AF47" s="16">
        <v>0</v>
      </c>
      <c r="AG47" s="16">
        <v>0</v>
      </c>
      <c r="AH47" s="16">
        <v>0</v>
      </c>
      <c r="AI47" s="16">
        <f t="shared" si="0"/>
        <v>0.42</v>
      </c>
      <c r="AJ47" s="16">
        <f t="shared" si="1"/>
        <v>7.42</v>
      </c>
      <c r="AK47" t="s">
        <v>48</v>
      </c>
    </row>
    <row r="48" spans="1:37" ht="15" customHeight="1" x14ac:dyDescent="0.35">
      <c r="A48">
        <v>690929</v>
      </c>
      <c r="B48" t="s">
        <v>37</v>
      </c>
      <c r="C48" t="s">
        <v>38</v>
      </c>
      <c r="D48" s="9" t="s">
        <v>39</v>
      </c>
      <c r="E48" s="10" t="s">
        <v>37</v>
      </c>
      <c r="F48" s="11"/>
      <c r="G48" t="s">
        <v>217</v>
      </c>
      <c r="H48" t="s">
        <v>41</v>
      </c>
      <c r="I48" t="s">
        <v>42</v>
      </c>
      <c r="J48" t="s">
        <v>218</v>
      </c>
      <c r="K48" t="s">
        <v>44</v>
      </c>
      <c r="L48">
        <v>2</v>
      </c>
      <c r="M48" t="s">
        <v>45</v>
      </c>
      <c r="N48" t="s">
        <v>46</v>
      </c>
      <c r="O48" t="s">
        <v>47</v>
      </c>
      <c r="P48" s="12">
        <v>1</v>
      </c>
      <c r="Q48" s="13">
        <v>44888.627615740741</v>
      </c>
      <c r="R48" s="14">
        <v>44890</v>
      </c>
      <c r="S48" t="s">
        <v>41</v>
      </c>
      <c r="T48" t="s">
        <v>48</v>
      </c>
      <c r="U48" t="s">
        <v>49</v>
      </c>
      <c r="V48" t="s">
        <v>71</v>
      </c>
      <c r="Y48" t="s">
        <v>219</v>
      </c>
      <c r="Z48">
        <v>41050</v>
      </c>
      <c r="AA48" t="s">
        <v>48</v>
      </c>
      <c r="AB48" t="s">
        <v>73</v>
      </c>
      <c r="AC48" t="s">
        <v>53</v>
      </c>
      <c r="AD48" s="15">
        <f>IF(P48&lt;=1,7,7+0.8*ROUNDUP(P48-1,0))</f>
        <v>7</v>
      </c>
      <c r="AE48" s="16">
        <v>0</v>
      </c>
      <c r="AF48" s="16">
        <v>0</v>
      </c>
      <c r="AG48" s="16">
        <v>0</v>
      </c>
      <c r="AH48" s="16">
        <v>0</v>
      </c>
      <c r="AI48" s="16">
        <f t="shared" si="0"/>
        <v>0.42</v>
      </c>
      <c r="AJ48" s="16">
        <f t="shared" si="1"/>
        <v>7.42</v>
      </c>
      <c r="AK48" t="s">
        <v>48</v>
      </c>
    </row>
    <row r="49" spans="1:37" ht="15" customHeight="1" x14ac:dyDescent="0.35">
      <c r="A49">
        <v>690929</v>
      </c>
      <c r="B49" t="s">
        <v>37</v>
      </c>
      <c r="C49" t="s">
        <v>38</v>
      </c>
      <c r="D49" s="9" t="s">
        <v>39</v>
      </c>
      <c r="E49" s="10" t="s">
        <v>37</v>
      </c>
      <c r="F49" s="11"/>
      <c r="G49" t="s">
        <v>220</v>
      </c>
      <c r="H49" t="s">
        <v>41</v>
      </c>
      <c r="I49" t="s">
        <v>42</v>
      </c>
      <c r="J49" t="s">
        <v>221</v>
      </c>
      <c r="K49" t="s">
        <v>44</v>
      </c>
      <c r="L49">
        <v>2</v>
      </c>
      <c r="M49" t="s">
        <v>45</v>
      </c>
      <c r="N49" t="s">
        <v>46</v>
      </c>
      <c r="O49" t="s">
        <v>47</v>
      </c>
      <c r="P49" s="12">
        <v>1</v>
      </c>
      <c r="Q49" s="13">
        <v>44889.627453703702</v>
      </c>
      <c r="R49" s="14">
        <v>44890</v>
      </c>
      <c r="S49" t="s">
        <v>41</v>
      </c>
      <c r="T49" t="s">
        <v>48</v>
      </c>
      <c r="U49" t="s">
        <v>49</v>
      </c>
      <c r="V49" t="s">
        <v>50</v>
      </c>
      <c r="Y49" t="s">
        <v>222</v>
      </c>
      <c r="Z49">
        <v>31350</v>
      </c>
      <c r="AA49" t="s">
        <v>48</v>
      </c>
      <c r="AB49" t="s">
        <v>49</v>
      </c>
      <c r="AC49" t="s">
        <v>53</v>
      </c>
      <c r="AD49" s="15">
        <f>IF(P49&lt;=1,7,7+0.8*ROUNDUP(P49-1,0))</f>
        <v>7</v>
      </c>
      <c r="AE49" s="16">
        <v>0</v>
      </c>
      <c r="AF49" s="16">
        <v>0</v>
      </c>
      <c r="AG49" s="16">
        <v>0</v>
      </c>
      <c r="AH49" s="16">
        <v>0</v>
      </c>
      <c r="AI49" s="16">
        <f t="shared" si="0"/>
        <v>0.42</v>
      </c>
      <c r="AJ49" s="16">
        <f t="shared" si="1"/>
        <v>7.42</v>
      </c>
      <c r="AK49" t="s">
        <v>48</v>
      </c>
    </row>
    <row r="50" spans="1:37" ht="15" customHeight="1" x14ac:dyDescent="0.35">
      <c r="A50">
        <v>690929</v>
      </c>
      <c r="B50" t="s">
        <v>37</v>
      </c>
      <c r="C50" t="s">
        <v>38</v>
      </c>
      <c r="D50" s="9" t="s">
        <v>39</v>
      </c>
      <c r="E50" s="10" t="s">
        <v>37</v>
      </c>
      <c r="F50" s="11"/>
      <c r="G50" t="s">
        <v>223</v>
      </c>
      <c r="H50" t="s">
        <v>41</v>
      </c>
      <c r="I50" t="s">
        <v>42</v>
      </c>
      <c r="J50" t="s">
        <v>224</v>
      </c>
      <c r="K50" t="s">
        <v>44</v>
      </c>
      <c r="L50">
        <v>2</v>
      </c>
      <c r="M50" t="s">
        <v>45</v>
      </c>
      <c r="N50" t="s">
        <v>46</v>
      </c>
      <c r="O50" t="s">
        <v>47</v>
      </c>
      <c r="P50" s="12">
        <v>1</v>
      </c>
      <c r="Q50" s="13">
        <v>44889.536203703705</v>
      </c>
      <c r="R50" s="14">
        <v>44890</v>
      </c>
      <c r="S50" t="s">
        <v>41</v>
      </c>
      <c r="T50" t="s">
        <v>48</v>
      </c>
      <c r="U50" t="s">
        <v>49</v>
      </c>
      <c r="V50" t="s">
        <v>71</v>
      </c>
      <c r="Y50" t="s">
        <v>225</v>
      </c>
      <c r="Z50">
        <v>62592</v>
      </c>
      <c r="AA50" t="s">
        <v>48</v>
      </c>
      <c r="AB50" t="s">
        <v>73</v>
      </c>
      <c r="AC50" t="s">
        <v>53</v>
      </c>
      <c r="AD50" s="15">
        <f>IF(P50&lt;=1,7,7+0.8*ROUNDUP(P50-1,0))</f>
        <v>7</v>
      </c>
      <c r="AE50" s="16">
        <v>0</v>
      </c>
      <c r="AF50" s="16">
        <v>0</v>
      </c>
      <c r="AG50" s="16">
        <v>0</v>
      </c>
      <c r="AH50" s="16">
        <v>0</v>
      </c>
      <c r="AI50" s="16">
        <f t="shared" si="0"/>
        <v>0.42</v>
      </c>
      <c r="AJ50" s="16">
        <f t="shared" si="1"/>
        <v>7.42</v>
      </c>
      <c r="AK50" t="s">
        <v>48</v>
      </c>
    </row>
    <row r="51" spans="1:37" ht="15" customHeight="1" x14ac:dyDescent="0.35">
      <c r="A51">
        <v>690929</v>
      </c>
      <c r="B51" t="s">
        <v>37</v>
      </c>
      <c r="C51" t="s">
        <v>38</v>
      </c>
      <c r="D51" s="9" t="s">
        <v>39</v>
      </c>
      <c r="E51" s="10" t="s">
        <v>37</v>
      </c>
      <c r="F51" s="11"/>
      <c r="G51" t="s">
        <v>226</v>
      </c>
      <c r="H51" t="s">
        <v>41</v>
      </c>
      <c r="I51" t="s">
        <v>42</v>
      </c>
      <c r="J51" t="s">
        <v>227</v>
      </c>
      <c r="K51" t="s">
        <v>44</v>
      </c>
      <c r="L51">
        <v>2</v>
      </c>
      <c r="M51" t="s">
        <v>45</v>
      </c>
      <c r="N51" t="s">
        <v>46</v>
      </c>
      <c r="O51" t="s">
        <v>47</v>
      </c>
      <c r="P51" s="12">
        <v>1</v>
      </c>
      <c r="Q51" s="13">
        <v>44889.556168981479</v>
      </c>
      <c r="R51" s="14">
        <v>44890</v>
      </c>
      <c r="S51" t="s">
        <v>41</v>
      </c>
      <c r="T51" t="s">
        <v>48</v>
      </c>
      <c r="U51" t="s">
        <v>49</v>
      </c>
      <c r="V51" t="s">
        <v>71</v>
      </c>
      <c r="Y51" t="s">
        <v>228</v>
      </c>
      <c r="Z51">
        <v>68000</v>
      </c>
      <c r="AA51" t="s">
        <v>48</v>
      </c>
      <c r="AB51" t="s">
        <v>73</v>
      </c>
      <c r="AC51" t="s">
        <v>53</v>
      </c>
      <c r="AD51" s="15">
        <f>IF(P51&lt;=1,7,7+0.8*ROUNDUP(P51-1,0))</f>
        <v>7</v>
      </c>
      <c r="AE51" s="16">
        <v>0</v>
      </c>
      <c r="AF51" s="16">
        <v>0</v>
      </c>
      <c r="AG51" s="16">
        <v>0</v>
      </c>
      <c r="AH51" s="16">
        <v>0</v>
      </c>
      <c r="AI51" s="16">
        <f t="shared" si="0"/>
        <v>0.42</v>
      </c>
      <c r="AJ51" s="16">
        <f t="shared" si="1"/>
        <v>7.42</v>
      </c>
      <c r="AK51" t="s">
        <v>48</v>
      </c>
    </row>
    <row r="52" spans="1:37" ht="15" customHeight="1" x14ac:dyDescent="0.35">
      <c r="A52">
        <v>690929</v>
      </c>
      <c r="B52" t="s">
        <v>37</v>
      </c>
      <c r="C52" t="s">
        <v>38</v>
      </c>
      <c r="D52" s="9" t="s">
        <v>39</v>
      </c>
      <c r="E52" s="10" t="s">
        <v>37</v>
      </c>
      <c r="F52" s="11"/>
      <c r="G52" t="s">
        <v>229</v>
      </c>
      <c r="H52" t="s">
        <v>41</v>
      </c>
      <c r="I52" t="s">
        <v>42</v>
      </c>
      <c r="J52" t="s">
        <v>230</v>
      </c>
      <c r="K52" t="s">
        <v>44</v>
      </c>
      <c r="L52">
        <v>2</v>
      </c>
      <c r="M52" t="s">
        <v>45</v>
      </c>
      <c r="N52" t="s">
        <v>46</v>
      </c>
      <c r="O52" t="s">
        <v>47</v>
      </c>
      <c r="P52" s="12">
        <v>1</v>
      </c>
      <c r="Q52" s="13">
        <v>44889.557025462964</v>
      </c>
      <c r="R52" s="14">
        <v>44890</v>
      </c>
      <c r="S52" t="s">
        <v>41</v>
      </c>
      <c r="T52" t="s">
        <v>48</v>
      </c>
      <c r="U52" t="s">
        <v>49</v>
      </c>
      <c r="V52" t="s">
        <v>71</v>
      </c>
      <c r="Y52" t="s">
        <v>231</v>
      </c>
      <c r="Z52">
        <v>40460</v>
      </c>
      <c r="AA52" t="s">
        <v>48</v>
      </c>
      <c r="AB52" t="s">
        <v>73</v>
      </c>
      <c r="AC52" t="s">
        <v>53</v>
      </c>
      <c r="AD52" s="15">
        <f>IF(P52&lt;=1,7,7+0.8*ROUNDUP(P52-1,0))</f>
        <v>7</v>
      </c>
      <c r="AE52" s="16">
        <v>0</v>
      </c>
      <c r="AF52" s="16">
        <v>0</v>
      </c>
      <c r="AG52" s="16">
        <v>0</v>
      </c>
      <c r="AH52" s="16">
        <v>0</v>
      </c>
      <c r="AI52" s="16">
        <f t="shared" si="0"/>
        <v>0.42</v>
      </c>
      <c r="AJ52" s="16">
        <f t="shared" si="1"/>
        <v>7.42</v>
      </c>
      <c r="AK52" t="s">
        <v>48</v>
      </c>
    </row>
    <row r="53" spans="1:37" ht="15" customHeight="1" x14ac:dyDescent="0.35">
      <c r="A53">
        <v>690929</v>
      </c>
      <c r="B53" t="s">
        <v>37</v>
      </c>
      <c r="C53" t="s">
        <v>38</v>
      </c>
      <c r="D53" s="9" t="s">
        <v>39</v>
      </c>
      <c r="E53" s="10" t="s">
        <v>37</v>
      </c>
      <c r="F53" s="11"/>
      <c r="G53" t="s">
        <v>232</v>
      </c>
      <c r="H53" t="s">
        <v>41</v>
      </c>
      <c r="I53" t="s">
        <v>42</v>
      </c>
      <c r="J53" t="s">
        <v>233</v>
      </c>
      <c r="K53" t="s">
        <v>44</v>
      </c>
      <c r="L53">
        <v>2</v>
      </c>
      <c r="M53" t="s">
        <v>45</v>
      </c>
      <c r="N53" t="s">
        <v>46</v>
      </c>
      <c r="O53" t="s">
        <v>47</v>
      </c>
      <c r="P53" s="12">
        <v>1</v>
      </c>
      <c r="Q53" s="13">
        <v>44888.674317129633</v>
      </c>
      <c r="R53" s="14">
        <v>44891</v>
      </c>
      <c r="S53" t="s">
        <v>41</v>
      </c>
      <c r="T53" t="s">
        <v>48</v>
      </c>
      <c r="U53" t="s">
        <v>49</v>
      </c>
      <c r="V53" t="s">
        <v>62</v>
      </c>
      <c r="Y53" t="s">
        <v>234</v>
      </c>
      <c r="Z53">
        <v>51200</v>
      </c>
      <c r="AA53" t="s">
        <v>48</v>
      </c>
      <c r="AB53" t="s">
        <v>73</v>
      </c>
      <c r="AC53" t="s">
        <v>53</v>
      </c>
      <c r="AD53" s="15">
        <f>IF(P53&lt;=1,7,7+0.8*ROUNDUP(P53-1,0))</f>
        <v>7</v>
      </c>
      <c r="AE53" s="16">
        <v>0</v>
      </c>
      <c r="AF53" s="16">
        <v>0</v>
      </c>
      <c r="AG53" s="16">
        <v>0</v>
      </c>
      <c r="AH53" s="16">
        <v>0</v>
      </c>
      <c r="AI53" s="16">
        <f t="shared" si="0"/>
        <v>0.42</v>
      </c>
      <c r="AJ53" s="16">
        <f t="shared" si="1"/>
        <v>7.42</v>
      </c>
      <c r="AK53" t="s">
        <v>48</v>
      </c>
    </row>
    <row r="54" spans="1:37" ht="15" customHeight="1" x14ac:dyDescent="0.35">
      <c r="A54">
        <v>690929</v>
      </c>
      <c r="B54" t="s">
        <v>37</v>
      </c>
      <c r="C54" t="s">
        <v>38</v>
      </c>
      <c r="D54" s="9" t="s">
        <v>39</v>
      </c>
      <c r="E54" s="10" t="s">
        <v>37</v>
      </c>
      <c r="F54" s="11"/>
      <c r="G54" t="s">
        <v>235</v>
      </c>
      <c r="H54" t="s">
        <v>41</v>
      </c>
      <c r="I54" t="s">
        <v>42</v>
      </c>
      <c r="J54" t="s">
        <v>236</v>
      </c>
      <c r="K54" t="s">
        <v>44</v>
      </c>
      <c r="L54">
        <v>2</v>
      </c>
      <c r="M54" t="s">
        <v>45</v>
      </c>
      <c r="N54" t="s">
        <v>46</v>
      </c>
      <c r="O54" t="s">
        <v>47</v>
      </c>
      <c r="P54" s="12">
        <v>7</v>
      </c>
      <c r="Q54" s="13">
        <v>44889.660532407404</v>
      </c>
      <c r="R54" s="14">
        <v>44891</v>
      </c>
      <c r="S54" t="s">
        <v>41</v>
      </c>
      <c r="T54" t="s">
        <v>48</v>
      </c>
      <c r="U54" t="s">
        <v>49</v>
      </c>
      <c r="V54" t="s">
        <v>71</v>
      </c>
      <c r="Y54" t="s">
        <v>237</v>
      </c>
      <c r="Z54">
        <v>40500</v>
      </c>
      <c r="AA54" t="s">
        <v>48</v>
      </c>
      <c r="AB54" t="s">
        <v>238</v>
      </c>
      <c r="AC54" t="s">
        <v>53</v>
      </c>
      <c r="AD54" s="15">
        <f>IF(P54&lt;=1,7,7+0.8*ROUNDUP(P54-1,0))</f>
        <v>11.8</v>
      </c>
      <c r="AE54" s="16">
        <v>0</v>
      </c>
      <c r="AF54" s="16">
        <v>0</v>
      </c>
      <c r="AG54" s="16">
        <v>0</v>
      </c>
      <c r="AH54" s="16">
        <v>0</v>
      </c>
      <c r="AI54" s="16">
        <f t="shared" si="0"/>
        <v>0.70799999999999996</v>
      </c>
      <c r="AJ54" s="16">
        <f t="shared" si="1"/>
        <v>12.508000000000001</v>
      </c>
      <c r="AK54" t="s">
        <v>48</v>
      </c>
    </row>
    <row r="55" spans="1:37" ht="15" customHeight="1" x14ac:dyDescent="0.35">
      <c r="A55">
        <v>690929</v>
      </c>
      <c r="B55" t="s">
        <v>37</v>
      </c>
      <c r="C55" t="s">
        <v>38</v>
      </c>
      <c r="D55" s="9" t="s">
        <v>39</v>
      </c>
      <c r="E55" s="10" t="s">
        <v>37</v>
      </c>
      <c r="F55" s="11"/>
      <c r="G55" t="s">
        <v>239</v>
      </c>
      <c r="H55" t="s">
        <v>41</v>
      </c>
      <c r="I55" t="s">
        <v>42</v>
      </c>
      <c r="J55" t="s">
        <v>240</v>
      </c>
      <c r="K55" t="s">
        <v>44</v>
      </c>
      <c r="L55">
        <v>2</v>
      </c>
      <c r="M55" t="s">
        <v>45</v>
      </c>
      <c r="N55" t="s">
        <v>46</v>
      </c>
      <c r="O55" t="s">
        <v>47</v>
      </c>
      <c r="P55" s="12">
        <v>1</v>
      </c>
      <c r="Q55" s="13">
        <v>44859.606886574074</v>
      </c>
      <c r="R55" s="14">
        <v>44891</v>
      </c>
      <c r="S55" t="s">
        <v>41</v>
      </c>
      <c r="T55" t="s">
        <v>48</v>
      </c>
      <c r="U55" t="s">
        <v>49</v>
      </c>
      <c r="V55" t="s">
        <v>71</v>
      </c>
      <c r="Y55" t="s">
        <v>241</v>
      </c>
      <c r="Z55">
        <v>53100</v>
      </c>
      <c r="AA55" t="s">
        <v>48</v>
      </c>
      <c r="AB55" t="s">
        <v>73</v>
      </c>
      <c r="AC55" t="s">
        <v>53</v>
      </c>
      <c r="AD55" s="15">
        <f>IF(P55&lt;=1,7,7+0.8*ROUNDUP(P55-1,0))</f>
        <v>7</v>
      </c>
      <c r="AE55" s="16">
        <v>0</v>
      </c>
      <c r="AF55" s="16">
        <v>0</v>
      </c>
      <c r="AG55" s="16">
        <v>0</v>
      </c>
      <c r="AH55" s="16">
        <v>0</v>
      </c>
      <c r="AI55" s="16">
        <f t="shared" si="0"/>
        <v>0.42</v>
      </c>
      <c r="AJ55" s="16">
        <f t="shared" si="1"/>
        <v>7.42</v>
      </c>
      <c r="AK55" t="s">
        <v>48</v>
      </c>
    </row>
    <row r="56" spans="1:37" ht="15" customHeight="1" x14ac:dyDescent="0.35">
      <c r="A56">
        <v>690929</v>
      </c>
      <c r="B56" t="s">
        <v>37</v>
      </c>
      <c r="C56" t="s">
        <v>38</v>
      </c>
      <c r="D56" s="9" t="s">
        <v>39</v>
      </c>
      <c r="E56" s="10" t="s">
        <v>37</v>
      </c>
      <c r="F56" s="11"/>
      <c r="G56" t="s">
        <v>242</v>
      </c>
      <c r="H56" t="s">
        <v>41</v>
      </c>
      <c r="I56" t="s">
        <v>42</v>
      </c>
      <c r="J56" t="s">
        <v>243</v>
      </c>
      <c r="K56" t="s">
        <v>44</v>
      </c>
      <c r="L56">
        <v>2</v>
      </c>
      <c r="M56" t="s">
        <v>45</v>
      </c>
      <c r="N56" t="s">
        <v>46</v>
      </c>
      <c r="O56" t="s">
        <v>47</v>
      </c>
      <c r="P56" s="12">
        <v>1</v>
      </c>
      <c r="Q56" s="13">
        <v>44891.662152777775</v>
      </c>
      <c r="R56" s="14">
        <v>44892</v>
      </c>
      <c r="S56" t="s">
        <v>41</v>
      </c>
      <c r="T56" t="s">
        <v>48</v>
      </c>
      <c r="U56" t="s">
        <v>49</v>
      </c>
      <c r="V56" t="s">
        <v>128</v>
      </c>
      <c r="Y56" t="s">
        <v>244</v>
      </c>
      <c r="Z56">
        <v>17600</v>
      </c>
      <c r="AA56" t="s">
        <v>48</v>
      </c>
      <c r="AB56" t="s">
        <v>245</v>
      </c>
      <c r="AC56" t="s">
        <v>53</v>
      </c>
      <c r="AD56" s="15">
        <f>IF(P56&lt;=1,7,7+0.8*ROUNDUP(P56-1,0))</f>
        <v>7</v>
      </c>
      <c r="AE56" s="16">
        <v>0</v>
      </c>
      <c r="AF56" s="16">
        <v>0</v>
      </c>
      <c r="AG56" s="16">
        <v>0</v>
      </c>
      <c r="AH56" s="16">
        <v>0</v>
      </c>
      <c r="AI56" s="16">
        <f t="shared" si="0"/>
        <v>0.42</v>
      </c>
      <c r="AJ56" s="16">
        <f t="shared" si="1"/>
        <v>7.42</v>
      </c>
      <c r="AK56" t="s">
        <v>48</v>
      </c>
    </row>
    <row r="57" spans="1:37" ht="15" customHeight="1" x14ac:dyDescent="0.35">
      <c r="A57">
        <v>690929</v>
      </c>
      <c r="B57" t="s">
        <v>37</v>
      </c>
      <c r="C57" t="s">
        <v>38</v>
      </c>
      <c r="D57" s="9" t="s">
        <v>39</v>
      </c>
      <c r="E57" s="10" t="s">
        <v>37</v>
      </c>
      <c r="F57" s="11"/>
      <c r="G57" t="s">
        <v>246</v>
      </c>
      <c r="H57" t="s">
        <v>41</v>
      </c>
      <c r="I57" t="s">
        <v>42</v>
      </c>
      <c r="J57" t="s">
        <v>247</v>
      </c>
      <c r="K57" t="s">
        <v>44</v>
      </c>
      <c r="L57">
        <v>2</v>
      </c>
      <c r="M57" t="s">
        <v>45</v>
      </c>
      <c r="N57" t="s">
        <v>46</v>
      </c>
      <c r="O57" t="s">
        <v>47</v>
      </c>
      <c r="P57" s="12">
        <v>1</v>
      </c>
      <c r="Q57" s="13">
        <v>44887.673460648148</v>
      </c>
      <c r="R57" s="14">
        <v>44892</v>
      </c>
      <c r="S57" t="s">
        <v>41</v>
      </c>
      <c r="T57" t="s">
        <v>48</v>
      </c>
      <c r="U57" t="s">
        <v>49</v>
      </c>
      <c r="V57" t="s">
        <v>66</v>
      </c>
      <c r="Y57" t="s">
        <v>248</v>
      </c>
      <c r="Z57">
        <v>94300</v>
      </c>
      <c r="AA57" t="s">
        <v>58</v>
      </c>
      <c r="AB57" t="s">
        <v>68</v>
      </c>
      <c r="AC57" t="s">
        <v>53</v>
      </c>
      <c r="AD57" s="17">
        <f>IF(P57&lt;=1,13,IF(P57&lt;=2,23,IF(P57&lt;=3,35,IF(P57&lt;=4,43,IF(P57&lt;=5,53,IF(P57&lt;=6,63,IF(P57&lt;=7,71,IF(P57&lt;=8,79,IF(P57&lt;=9,87,IF(P57&lt;=10,95,IF(P57&lt;=11,105,IF(P57&lt;=12,114,IF(P57&lt;=13,119,IF(P57&lt;=14,127,IF(P57&lt;=15,135,IF(P57&lt;=16,143,IF(P57&lt;=17,153,IF(P57&lt;=18,163,IF(P57&lt;=19,171,IF(P57&lt;=20,185,IF(P57&lt;=21,193,IF(P57&lt;=22,201,IF(P57&lt;=23,210,IF(P57&lt;=24,220,IF(P57&lt;=25,230,IF(P57&lt;=26,240,IF(P57&lt;=27,250,IF(P57&lt;=28,260,IF(P57&lt;=29,270,IF(P57&lt;=30,280,280))))))))))))))))))))))))))))))</f>
        <v>13</v>
      </c>
      <c r="AE57" s="16">
        <v>0</v>
      </c>
      <c r="AF57" s="16">
        <v>0</v>
      </c>
      <c r="AG57" s="16">
        <v>0</v>
      </c>
      <c r="AH57" s="16">
        <v>0</v>
      </c>
      <c r="AI57" s="16">
        <f t="shared" si="0"/>
        <v>0.78</v>
      </c>
      <c r="AJ57" s="16">
        <f t="shared" si="1"/>
        <v>13.78</v>
      </c>
      <c r="AK57" t="s">
        <v>58</v>
      </c>
    </row>
    <row r="58" spans="1:37" ht="15" customHeight="1" x14ac:dyDescent="0.35">
      <c r="A58">
        <v>690929</v>
      </c>
      <c r="B58" t="s">
        <v>37</v>
      </c>
      <c r="C58" t="s">
        <v>38</v>
      </c>
      <c r="D58" s="9" t="s">
        <v>39</v>
      </c>
      <c r="E58" s="10" t="s">
        <v>37</v>
      </c>
      <c r="F58" s="11"/>
      <c r="G58" t="s">
        <v>249</v>
      </c>
      <c r="H58" t="s">
        <v>41</v>
      </c>
      <c r="I58" t="s">
        <v>42</v>
      </c>
      <c r="J58" t="s">
        <v>250</v>
      </c>
      <c r="K58" t="s">
        <v>44</v>
      </c>
      <c r="L58">
        <v>2</v>
      </c>
      <c r="M58" t="s">
        <v>45</v>
      </c>
      <c r="N58" t="s">
        <v>46</v>
      </c>
      <c r="O58" t="s">
        <v>47</v>
      </c>
      <c r="P58" s="12">
        <v>1</v>
      </c>
      <c r="Q58" s="13">
        <v>44891.67423611111</v>
      </c>
      <c r="R58" s="14">
        <v>44892</v>
      </c>
      <c r="S58" t="s">
        <v>41</v>
      </c>
      <c r="T58" t="s">
        <v>48</v>
      </c>
      <c r="U58" t="s">
        <v>49</v>
      </c>
      <c r="V58" t="s">
        <v>251</v>
      </c>
      <c r="Y58" t="s">
        <v>252</v>
      </c>
      <c r="Z58">
        <v>25150</v>
      </c>
      <c r="AA58" t="s">
        <v>48</v>
      </c>
      <c r="AB58" t="s">
        <v>253</v>
      </c>
      <c r="AC58" t="s">
        <v>53</v>
      </c>
      <c r="AD58" s="15">
        <f>IF(P58&lt;=1,7,7+0.8*ROUNDUP(P58-1,0))</f>
        <v>7</v>
      </c>
      <c r="AE58" s="16">
        <v>0</v>
      </c>
      <c r="AF58" s="16">
        <v>0</v>
      </c>
      <c r="AG58" s="16">
        <v>0</v>
      </c>
      <c r="AH58" s="16">
        <v>0</v>
      </c>
      <c r="AI58" s="16">
        <f t="shared" si="0"/>
        <v>0.42</v>
      </c>
      <c r="AJ58" s="16">
        <f t="shared" si="1"/>
        <v>7.42</v>
      </c>
      <c r="AK58" t="s">
        <v>48</v>
      </c>
    </row>
    <row r="59" spans="1:37" ht="15" customHeight="1" x14ac:dyDescent="0.35">
      <c r="A59">
        <v>690929</v>
      </c>
      <c r="B59" t="s">
        <v>37</v>
      </c>
      <c r="C59" t="s">
        <v>38</v>
      </c>
      <c r="D59" s="9" t="s">
        <v>39</v>
      </c>
      <c r="E59" s="10" t="s">
        <v>37</v>
      </c>
      <c r="F59" s="11"/>
      <c r="G59" t="s">
        <v>254</v>
      </c>
      <c r="H59" t="s">
        <v>41</v>
      </c>
      <c r="I59" t="s">
        <v>255</v>
      </c>
      <c r="J59" t="s">
        <v>256</v>
      </c>
      <c r="K59" t="s">
        <v>44</v>
      </c>
      <c r="L59">
        <v>2</v>
      </c>
      <c r="M59" t="s">
        <v>45</v>
      </c>
      <c r="N59" t="s">
        <v>46</v>
      </c>
      <c r="O59" t="s">
        <v>47</v>
      </c>
      <c r="P59" s="12">
        <v>1</v>
      </c>
      <c r="Q59" s="13">
        <v>44888.68644675926</v>
      </c>
      <c r="R59" s="14">
        <v>44892</v>
      </c>
      <c r="S59" t="s">
        <v>41</v>
      </c>
      <c r="T59" t="s">
        <v>48</v>
      </c>
      <c r="U59" t="s">
        <v>49</v>
      </c>
      <c r="V59" t="s">
        <v>128</v>
      </c>
      <c r="Y59" t="s">
        <v>257</v>
      </c>
      <c r="Z59">
        <v>16100</v>
      </c>
      <c r="AA59" t="s">
        <v>48</v>
      </c>
      <c r="AB59" t="s">
        <v>73</v>
      </c>
      <c r="AC59" t="s">
        <v>53</v>
      </c>
      <c r="AD59" s="15">
        <f>IF(P59&lt;=1,7,7+0.8*ROUNDUP(P59-1,0))</f>
        <v>7</v>
      </c>
      <c r="AE59" s="16">
        <v>0</v>
      </c>
      <c r="AF59" s="16">
        <v>0</v>
      </c>
      <c r="AG59" s="16">
        <v>0</v>
      </c>
      <c r="AH59" s="16">
        <v>0</v>
      </c>
      <c r="AI59" s="16">
        <f t="shared" si="0"/>
        <v>0.42</v>
      </c>
      <c r="AJ59" s="16">
        <f t="shared" si="1"/>
        <v>7.42</v>
      </c>
      <c r="AK59" t="s">
        <v>48</v>
      </c>
    </row>
    <row r="60" spans="1:37" ht="15" customHeight="1" x14ac:dyDescent="0.35">
      <c r="A60">
        <v>690929</v>
      </c>
      <c r="B60" t="s">
        <v>37</v>
      </c>
      <c r="C60" t="s">
        <v>38</v>
      </c>
      <c r="D60" s="9" t="s">
        <v>39</v>
      </c>
      <c r="E60" s="10" t="s">
        <v>37</v>
      </c>
      <c r="F60" s="11"/>
      <c r="G60" t="s">
        <v>258</v>
      </c>
      <c r="H60" t="s">
        <v>41</v>
      </c>
      <c r="I60" t="s">
        <v>42</v>
      </c>
      <c r="J60" t="s">
        <v>259</v>
      </c>
      <c r="K60" t="s">
        <v>44</v>
      </c>
      <c r="L60">
        <v>2</v>
      </c>
      <c r="M60" t="s">
        <v>45</v>
      </c>
      <c r="N60" t="s">
        <v>46</v>
      </c>
      <c r="O60" t="s">
        <v>47</v>
      </c>
      <c r="P60" s="12">
        <v>21</v>
      </c>
      <c r="Q60" s="13">
        <v>44890.429803240739</v>
      </c>
      <c r="R60" s="14">
        <v>44892</v>
      </c>
      <c r="S60" t="s">
        <v>41</v>
      </c>
      <c r="T60" t="s">
        <v>48</v>
      </c>
      <c r="U60" t="s">
        <v>124</v>
      </c>
      <c r="V60" t="s">
        <v>62</v>
      </c>
      <c r="Y60" t="s">
        <v>260</v>
      </c>
      <c r="Z60">
        <v>59200</v>
      </c>
      <c r="AA60" t="s">
        <v>48</v>
      </c>
      <c r="AB60" t="s">
        <v>261</v>
      </c>
      <c r="AC60" t="s">
        <v>53</v>
      </c>
      <c r="AD60" s="15">
        <f>IF(P60&lt;=1,7,7+0.8*ROUNDUP(P60-1,0))</f>
        <v>23</v>
      </c>
      <c r="AE60" s="16">
        <v>0</v>
      </c>
      <c r="AF60" s="16">
        <v>0</v>
      </c>
      <c r="AG60" s="16">
        <v>0</v>
      </c>
      <c r="AH60" s="16">
        <v>0</v>
      </c>
      <c r="AI60" s="16">
        <f t="shared" si="0"/>
        <v>1.38</v>
      </c>
      <c r="AJ60" s="16">
        <f t="shared" si="1"/>
        <v>24.38</v>
      </c>
      <c r="AK60" t="s">
        <v>48</v>
      </c>
    </row>
    <row r="61" spans="1:37" ht="15" customHeight="1" x14ac:dyDescent="0.35">
      <c r="A61">
        <v>690929</v>
      </c>
      <c r="B61" t="s">
        <v>37</v>
      </c>
      <c r="C61" t="s">
        <v>38</v>
      </c>
      <c r="D61" s="9" t="s">
        <v>39</v>
      </c>
      <c r="E61" s="10" t="s">
        <v>37</v>
      </c>
      <c r="F61" s="11"/>
      <c r="G61" t="s">
        <v>262</v>
      </c>
      <c r="H61" t="s">
        <v>41</v>
      </c>
      <c r="I61" t="s">
        <v>42</v>
      </c>
      <c r="J61" t="s">
        <v>263</v>
      </c>
      <c r="K61" t="s">
        <v>44</v>
      </c>
      <c r="L61">
        <v>2</v>
      </c>
      <c r="M61" t="s">
        <v>45</v>
      </c>
      <c r="N61" t="s">
        <v>46</v>
      </c>
      <c r="O61" t="s">
        <v>47</v>
      </c>
      <c r="P61" s="12">
        <v>3</v>
      </c>
      <c r="Q61" s="13">
        <v>44889.546261574076</v>
      </c>
      <c r="R61" s="14">
        <v>44892</v>
      </c>
      <c r="S61" t="s">
        <v>41</v>
      </c>
      <c r="T61" t="s">
        <v>48</v>
      </c>
      <c r="U61" t="s">
        <v>49</v>
      </c>
      <c r="V61" t="s">
        <v>56</v>
      </c>
      <c r="Y61" t="s">
        <v>264</v>
      </c>
      <c r="Z61">
        <v>88450</v>
      </c>
      <c r="AA61" t="s">
        <v>58</v>
      </c>
      <c r="AB61" t="s">
        <v>73</v>
      </c>
      <c r="AC61" t="s">
        <v>53</v>
      </c>
      <c r="AD61" s="17">
        <f>IF(P61&lt;=1,13,IF(P61&lt;=2,23,IF(P61&lt;=3,35,IF(P61&lt;=4,43,IF(P61&lt;=5,53,IF(P61&lt;=6,63,IF(P61&lt;=7,71,IF(P61&lt;=8,79,IF(P61&lt;=9,87,IF(P61&lt;=10,95,IF(P61&lt;=11,105,IF(P61&lt;=12,114,IF(P61&lt;=13,119,IF(P61&lt;=14,127,IF(P61&lt;=15,135,IF(P61&lt;=16,143,IF(P61&lt;=17,153,IF(P61&lt;=18,163,IF(P61&lt;=19,171,IF(P61&lt;=20,185,IF(P61&lt;=21,193,IF(P61&lt;=22,201,IF(P61&lt;=23,210,IF(P61&lt;=24,220,IF(P61&lt;=25,230,IF(P61&lt;=26,240,IF(P61&lt;=27,250,IF(P61&lt;=28,260,IF(P61&lt;=29,270,IF(P61&lt;=30,280,280))))))))))))))))))))))))))))))</f>
        <v>35</v>
      </c>
      <c r="AE61" s="16">
        <v>0</v>
      </c>
      <c r="AF61" s="16">
        <v>0</v>
      </c>
      <c r="AG61" s="16">
        <v>0</v>
      </c>
      <c r="AH61" s="16">
        <v>0</v>
      </c>
      <c r="AI61" s="16">
        <f t="shared" si="0"/>
        <v>2.1</v>
      </c>
      <c r="AJ61" s="16">
        <f t="shared" si="1"/>
        <v>37.1</v>
      </c>
      <c r="AK61" t="s">
        <v>58</v>
      </c>
    </row>
    <row r="62" spans="1:37" ht="15" customHeight="1" x14ac:dyDescent="0.35">
      <c r="A62">
        <v>690929</v>
      </c>
      <c r="B62" t="s">
        <v>37</v>
      </c>
      <c r="C62" t="s">
        <v>38</v>
      </c>
      <c r="D62" s="9" t="s">
        <v>39</v>
      </c>
      <c r="E62" s="10" t="s">
        <v>37</v>
      </c>
      <c r="F62" s="11"/>
      <c r="G62" t="s">
        <v>265</v>
      </c>
      <c r="H62" t="s">
        <v>41</v>
      </c>
      <c r="I62" t="s">
        <v>42</v>
      </c>
      <c r="J62" t="s">
        <v>266</v>
      </c>
      <c r="K62" t="s">
        <v>44</v>
      </c>
      <c r="L62">
        <v>2</v>
      </c>
      <c r="M62" t="s">
        <v>45</v>
      </c>
      <c r="N62" t="s">
        <v>46</v>
      </c>
      <c r="O62" t="s">
        <v>47</v>
      </c>
      <c r="P62" s="12">
        <v>4</v>
      </c>
      <c r="Q62" s="13">
        <v>44891.391585648147</v>
      </c>
      <c r="R62" s="14">
        <v>44893</v>
      </c>
      <c r="S62" t="s">
        <v>41</v>
      </c>
      <c r="T62" t="s">
        <v>48</v>
      </c>
      <c r="U62" t="s">
        <v>49</v>
      </c>
      <c r="V62" t="s">
        <v>251</v>
      </c>
      <c r="Y62" t="s">
        <v>267</v>
      </c>
      <c r="Z62">
        <v>28050</v>
      </c>
      <c r="AA62" t="s">
        <v>48</v>
      </c>
      <c r="AB62" t="s">
        <v>268</v>
      </c>
      <c r="AC62" t="s">
        <v>53</v>
      </c>
      <c r="AD62" s="15">
        <f>IF(P62&lt;=1,7,7+0.8*ROUNDUP(P62-1,0))</f>
        <v>9.4</v>
      </c>
      <c r="AE62" s="16">
        <v>0</v>
      </c>
      <c r="AF62" s="16">
        <v>0</v>
      </c>
      <c r="AG62" s="16">
        <v>0</v>
      </c>
      <c r="AH62" s="16">
        <v>0</v>
      </c>
      <c r="AI62" s="16">
        <f t="shared" si="0"/>
        <v>0.56399999999999995</v>
      </c>
      <c r="AJ62" s="16">
        <f t="shared" si="1"/>
        <v>9.9640000000000004</v>
      </c>
      <c r="AK62" t="s">
        <v>48</v>
      </c>
    </row>
    <row r="63" spans="1:37" ht="15" customHeight="1" x14ac:dyDescent="0.35">
      <c r="A63">
        <v>690929</v>
      </c>
      <c r="B63" t="s">
        <v>37</v>
      </c>
      <c r="C63" t="s">
        <v>38</v>
      </c>
      <c r="D63" s="9" t="s">
        <v>39</v>
      </c>
      <c r="E63" s="10" t="s">
        <v>37</v>
      </c>
      <c r="F63" s="11"/>
      <c r="G63" t="s">
        <v>269</v>
      </c>
      <c r="H63" t="s">
        <v>41</v>
      </c>
      <c r="I63" t="s">
        <v>42</v>
      </c>
      <c r="J63" t="s">
        <v>270</v>
      </c>
      <c r="K63" t="s">
        <v>44</v>
      </c>
      <c r="L63">
        <v>2</v>
      </c>
      <c r="M63" t="s">
        <v>45</v>
      </c>
      <c r="N63" t="s">
        <v>46</v>
      </c>
      <c r="O63" t="s">
        <v>47</v>
      </c>
      <c r="P63" s="12">
        <v>1</v>
      </c>
      <c r="Q63" s="13">
        <v>44891.635462962964</v>
      </c>
      <c r="R63" s="14">
        <v>44894</v>
      </c>
      <c r="S63" t="s">
        <v>41</v>
      </c>
      <c r="T63" t="s">
        <v>48</v>
      </c>
      <c r="U63" t="s">
        <v>49</v>
      </c>
      <c r="V63" t="s">
        <v>100</v>
      </c>
      <c r="Y63" t="s">
        <v>271</v>
      </c>
      <c r="Z63">
        <v>6700</v>
      </c>
      <c r="AA63" t="s">
        <v>48</v>
      </c>
      <c r="AB63" t="s">
        <v>73</v>
      </c>
      <c r="AC63" t="s">
        <v>53</v>
      </c>
      <c r="AD63" s="15">
        <f>IF(P63&lt;=1,7,7+0.8*ROUNDUP(P63-1,0))</f>
        <v>7</v>
      </c>
      <c r="AE63" s="16">
        <v>0</v>
      </c>
      <c r="AF63" s="16">
        <v>0</v>
      </c>
      <c r="AG63" s="16">
        <v>0</v>
      </c>
      <c r="AH63" s="16">
        <v>0</v>
      </c>
      <c r="AI63" s="16">
        <f>(AD63+AF63+AH63)*6%</f>
        <v>0.42</v>
      </c>
      <c r="AJ63" s="16">
        <f t="shared" si="1"/>
        <v>7.42</v>
      </c>
      <c r="AK63" t="s">
        <v>48</v>
      </c>
    </row>
    <row r="64" spans="1:37" ht="15" customHeight="1" x14ac:dyDescent="0.35">
      <c r="A64">
        <v>690929</v>
      </c>
      <c r="B64" t="s">
        <v>37</v>
      </c>
      <c r="C64" t="s">
        <v>38</v>
      </c>
      <c r="D64" s="9" t="s">
        <v>39</v>
      </c>
      <c r="E64" s="10" t="s">
        <v>37</v>
      </c>
      <c r="F64" s="11"/>
      <c r="G64" t="s">
        <v>272</v>
      </c>
      <c r="H64" t="s">
        <v>41</v>
      </c>
      <c r="I64" t="s">
        <v>42</v>
      </c>
      <c r="J64" t="s">
        <v>273</v>
      </c>
      <c r="K64" t="s">
        <v>44</v>
      </c>
      <c r="L64">
        <v>2</v>
      </c>
      <c r="M64" t="s">
        <v>45</v>
      </c>
      <c r="N64" t="s">
        <v>46</v>
      </c>
      <c r="O64" t="s">
        <v>47</v>
      </c>
      <c r="P64" s="12">
        <v>1</v>
      </c>
      <c r="Q64" s="13">
        <v>44893.582916666666</v>
      </c>
      <c r="R64" s="14">
        <v>44894</v>
      </c>
      <c r="S64" t="s">
        <v>41</v>
      </c>
      <c r="T64" t="s">
        <v>48</v>
      </c>
      <c r="U64" t="s">
        <v>124</v>
      </c>
      <c r="V64" t="s">
        <v>96</v>
      </c>
      <c r="Y64" t="s">
        <v>274</v>
      </c>
      <c r="Z64">
        <v>24000</v>
      </c>
      <c r="AA64" t="s">
        <v>48</v>
      </c>
      <c r="AB64" t="s">
        <v>124</v>
      </c>
      <c r="AC64" t="s">
        <v>53</v>
      </c>
      <c r="AD64" s="15">
        <f>IF(P64&lt;=1,7,7+0.8*ROUNDUP(P64-1,0))</f>
        <v>7</v>
      </c>
      <c r="AE64" s="16">
        <v>0</v>
      </c>
      <c r="AF64" s="16">
        <v>0</v>
      </c>
      <c r="AG64" s="16">
        <v>0</v>
      </c>
      <c r="AH64" s="16">
        <v>0</v>
      </c>
      <c r="AI64" s="16">
        <f t="shared" ref="AI64:AI127" si="2">(AD64+AF64+AH64)*6%</f>
        <v>0.42</v>
      </c>
      <c r="AJ64" s="16">
        <f t="shared" si="1"/>
        <v>7.42</v>
      </c>
      <c r="AK64" t="s">
        <v>48</v>
      </c>
    </row>
    <row r="65" spans="1:37" ht="15" customHeight="1" x14ac:dyDescent="0.35">
      <c r="A65">
        <v>690929</v>
      </c>
      <c r="B65" t="s">
        <v>37</v>
      </c>
      <c r="C65" t="s">
        <v>38</v>
      </c>
      <c r="D65" s="9" t="s">
        <v>39</v>
      </c>
      <c r="E65" s="10" t="s">
        <v>37</v>
      </c>
      <c r="F65" s="11"/>
      <c r="G65" t="s">
        <v>275</v>
      </c>
      <c r="H65" t="s">
        <v>41</v>
      </c>
      <c r="I65" t="s">
        <v>42</v>
      </c>
      <c r="J65" t="s">
        <v>276</v>
      </c>
      <c r="K65" t="s">
        <v>44</v>
      </c>
      <c r="L65">
        <v>2</v>
      </c>
      <c r="M65" t="s">
        <v>45</v>
      </c>
      <c r="N65" t="s">
        <v>46</v>
      </c>
      <c r="O65" t="s">
        <v>47</v>
      </c>
      <c r="P65" s="12">
        <v>5</v>
      </c>
      <c r="Q65" s="13">
        <v>44890.674537037034</v>
      </c>
      <c r="R65" s="14">
        <v>44894</v>
      </c>
      <c r="S65" t="s">
        <v>41</v>
      </c>
      <c r="T65" t="s">
        <v>48</v>
      </c>
      <c r="U65" t="s">
        <v>49</v>
      </c>
      <c r="V65" t="s">
        <v>85</v>
      </c>
      <c r="Y65" t="s">
        <v>277</v>
      </c>
      <c r="Z65">
        <v>14000</v>
      </c>
      <c r="AA65" t="s">
        <v>48</v>
      </c>
      <c r="AB65" t="s">
        <v>73</v>
      </c>
      <c r="AC65" t="s">
        <v>53</v>
      </c>
      <c r="AD65" s="15">
        <f>IF(P65&lt;=1,7,7+0.8*ROUNDUP(P65-1,0))</f>
        <v>10.199999999999999</v>
      </c>
      <c r="AE65" s="16">
        <v>0</v>
      </c>
      <c r="AF65" s="16">
        <v>0</v>
      </c>
      <c r="AG65" s="16">
        <v>0</v>
      </c>
      <c r="AH65" s="16">
        <v>0</v>
      </c>
      <c r="AI65" s="16">
        <f t="shared" si="2"/>
        <v>0.61199999999999999</v>
      </c>
      <c r="AJ65" s="16">
        <f t="shared" si="1"/>
        <v>10.811999999999999</v>
      </c>
      <c r="AK65" t="s">
        <v>48</v>
      </c>
    </row>
    <row r="66" spans="1:37" ht="15" customHeight="1" x14ac:dyDescent="0.35">
      <c r="A66">
        <v>690929</v>
      </c>
      <c r="B66" t="s">
        <v>37</v>
      </c>
      <c r="C66" t="s">
        <v>38</v>
      </c>
      <c r="D66" s="9" t="s">
        <v>39</v>
      </c>
      <c r="E66" s="10" t="s">
        <v>37</v>
      </c>
      <c r="F66" s="11"/>
      <c r="G66" t="s">
        <v>278</v>
      </c>
      <c r="H66" t="s">
        <v>41</v>
      </c>
      <c r="I66" t="s">
        <v>42</v>
      </c>
      <c r="J66" t="s">
        <v>279</v>
      </c>
      <c r="K66" t="s">
        <v>44</v>
      </c>
      <c r="L66">
        <v>2</v>
      </c>
      <c r="M66" t="s">
        <v>45</v>
      </c>
      <c r="N66" t="s">
        <v>46</v>
      </c>
      <c r="O66" t="s">
        <v>47</v>
      </c>
      <c r="P66" s="12">
        <v>1</v>
      </c>
      <c r="Q66" s="13">
        <v>44891.676099537035</v>
      </c>
      <c r="R66" s="14">
        <v>44894</v>
      </c>
      <c r="S66" t="s">
        <v>41</v>
      </c>
      <c r="T66" t="s">
        <v>48</v>
      </c>
      <c r="U66" t="s">
        <v>49</v>
      </c>
      <c r="V66" t="s">
        <v>71</v>
      </c>
      <c r="Y66" t="s">
        <v>280</v>
      </c>
      <c r="Z66">
        <v>43300</v>
      </c>
      <c r="AA66" t="s">
        <v>48</v>
      </c>
      <c r="AB66" t="s">
        <v>73</v>
      </c>
      <c r="AC66" t="s">
        <v>53</v>
      </c>
      <c r="AD66" s="15">
        <f>IF(P66&lt;=1,7,7+0.8*ROUNDUP(P66-1,0))</f>
        <v>7</v>
      </c>
      <c r="AE66" s="16">
        <v>0</v>
      </c>
      <c r="AF66" s="16">
        <v>0</v>
      </c>
      <c r="AG66" s="16">
        <v>0</v>
      </c>
      <c r="AH66" s="16">
        <v>0</v>
      </c>
      <c r="AI66" s="16">
        <f t="shared" si="2"/>
        <v>0.42</v>
      </c>
      <c r="AJ66" s="16">
        <f t="shared" ref="AJ66:AJ129" si="3">AD66+AF66+AH66+AI66</f>
        <v>7.42</v>
      </c>
      <c r="AK66" t="s">
        <v>48</v>
      </c>
    </row>
    <row r="67" spans="1:37" ht="15" customHeight="1" x14ac:dyDescent="0.35">
      <c r="A67">
        <v>690929</v>
      </c>
      <c r="B67" t="s">
        <v>37</v>
      </c>
      <c r="C67" t="s">
        <v>38</v>
      </c>
      <c r="D67" s="9" t="s">
        <v>39</v>
      </c>
      <c r="E67" s="10" t="s">
        <v>37</v>
      </c>
      <c r="F67" s="11"/>
      <c r="G67" t="s">
        <v>281</v>
      </c>
      <c r="H67" t="s">
        <v>41</v>
      </c>
      <c r="I67" t="s">
        <v>42</v>
      </c>
      <c r="J67" t="s">
        <v>282</v>
      </c>
      <c r="K67" t="s">
        <v>44</v>
      </c>
      <c r="L67">
        <v>2</v>
      </c>
      <c r="M67" t="s">
        <v>45</v>
      </c>
      <c r="N67" t="s">
        <v>46</v>
      </c>
      <c r="O67" t="s">
        <v>47</v>
      </c>
      <c r="P67" s="12">
        <v>1</v>
      </c>
      <c r="Q67" s="13">
        <v>44891.435844907406</v>
      </c>
      <c r="R67" s="14">
        <v>44894</v>
      </c>
      <c r="S67" t="s">
        <v>41</v>
      </c>
      <c r="T67" t="s">
        <v>48</v>
      </c>
      <c r="U67" t="s">
        <v>49</v>
      </c>
      <c r="V67" t="s">
        <v>71</v>
      </c>
      <c r="Y67" t="s">
        <v>283</v>
      </c>
      <c r="Z67">
        <v>41050</v>
      </c>
      <c r="AA67" t="s">
        <v>48</v>
      </c>
      <c r="AB67" t="s">
        <v>73</v>
      </c>
      <c r="AC67" t="s">
        <v>53</v>
      </c>
      <c r="AD67" s="15">
        <f>IF(P67&lt;=1,7,7+0.8*ROUNDUP(P67-1,0))</f>
        <v>7</v>
      </c>
      <c r="AE67" s="16">
        <v>0</v>
      </c>
      <c r="AF67" s="16">
        <v>0</v>
      </c>
      <c r="AG67" s="16">
        <v>0</v>
      </c>
      <c r="AH67" s="16">
        <v>0</v>
      </c>
      <c r="AI67" s="16">
        <f t="shared" si="2"/>
        <v>0.42</v>
      </c>
      <c r="AJ67" s="16">
        <f t="shared" si="3"/>
        <v>7.42</v>
      </c>
      <c r="AK67" t="s">
        <v>48</v>
      </c>
    </row>
    <row r="68" spans="1:37" ht="15" customHeight="1" x14ac:dyDescent="0.35">
      <c r="A68">
        <v>690929</v>
      </c>
      <c r="B68" t="s">
        <v>37</v>
      </c>
      <c r="C68" t="s">
        <v>38</v>
      </c>
      <c r="D68" s="9" t="s">
        <v>39</v>
      </c>
      <c r="E68" s="10" t="s">
        <v>37</v>
      </c>
      <c r="F68" s="11"/>
      <c r="G68" t="s">
        <v>284</v>
      </c>
      <c r="H68" t="s">
        <v>41</v>
      </c>
      <c r="I68" t="s">
        <v>42</v>
      </c>
      <c r="J68" t="s">
        <v>285</v>
      </c>
      <c r="K68" t="s">
        <v>44</v>
      </c>
      <c r="L68">
        <v>2</v>
      </c>
      <c r="M68" t="s">
        <v>45</v>
      </c>
      <c r="N68" t="s">
        <v>46</v>
      </c>
      <c r="O68" t="s">
        <v>47</v>
      </c>
      <c r="P68" s="12">
        <v>1</v>
      </c>
      <c r="Q68" s="13">
        <v>44892.755752314813</v>
      </c>
      <c r="R68" s="14">
        <v>44894</v>
      </c>
      <c r="S68" t="s">
        <v>41</v>
      </c>
      <c r="T68" t="s">
        <v>48</v>
      </c>
      <c r="U68" t="s">
        <v>124</v>
      </c>
      <c r="V68" t="s">
        <v>128</v>
      </c>
      <c r="Y68" t="s">
        <v>286</v>
      </c>
      <c r="Z68">
        <v>16020</v>
      </c>
      <c r="AA68" t="s">
        <v>48</v>
      </c>
      <c r="AB68" t="s">
        <v>124</v>
      </c>
      <c r="AC68" t="s">
        <v>53</v>
      </c>
      <c r="AD68" s="15">
        <f>IF(P68&lt;=1,7,7+0.8*ROUNDUP(P68-1,0))</f>
        <v>7</v>
      </c>
      <c r="AE68" s="16">
        <v>0</v>
      </c>
      <c r="AF68" s="16">
        <v>0</v>
      </c>
      <c r="AG68" s="16">
        <v>0</v>
      </c>
      <c r="AH68" s="16">
        <v>0</v>
      </c>
      <c r="AI68" s="16">
        <f t="shared" si="2"/>
        <v>0.42</v>
      </c>
      <c r="AJ68" s="16">
        <f t="shared" si="3"/>
        <v>7.42</v>
      </c>
      <c r="AK68" t="s">
        <v>48</v>
      </c>
    </row>
    <row r="69" spans="1:37" ht="15" customHeight="1" x14ac:dyDescent="0.35">
      <c r="A69">
        <v>690929</v>
      </c>
      <c r="B69" t="s">
        <v>37</v>
      </c>
      <c r="C69" t="s">
        <v>38</v>
      </c>
      <c r="D69" s="9" t="s">
        <v>39</v>
      </c>
      <c r="E69" s="10" t="s">
        <v>37</v>
      </c>
      <c r="F69" s="11"/>
      <c r="G69" t="s">
        <v>287</v>
      </c>
      <c r="H69" t="s">
        <v>41</v>
      </c>
      <c r="I69" t="s">
        <v>42</v>
      </c>
      <c r="J69" t="s">
        <v>288</v>
      </c>
      <c r="K69" t="s">
        <v>44</v>
      </c>
      <c r="L69">
        <v>2</v>
      </c>
      <c r="M69" t="s">
        <v>45</v>
      </c>
      <c r="N69" t="s">
        <v>46</v>
      </c>
      <c r="O69" t="s">
        <v>47</v>
      </c>
      <c r="P69" s="12">
        <v>1</v>
      </c>
      <c r="Q69" s="13">
        <v>44891.76358796296</v>
      </c>
      <c r="R69" s="14">
        <v>44894</v>
      </c>
      <c r="S69" t="s">
        <v>41</v>
      </c>
      <c r="T69" t="s">
        <v>48</v>
      </c>
      <c r="U69" t="s">
        <v>49</v>
      </c>
      <c r="V69" t="s">
        <v>251</v>
      </c>
      <c r="Y69" t="s">
        <v>289</v>
      </c>
      <c r="Z69">
        <v>25990</v>
      </c>
      <c r="AA69" t="s">
        <v>48</v>
      </c>
      <c r="AB69" t="s">
        <v>49</v>
      </c>
      <c r="AC69" t="s">
        <v>53</v>
      </c>
      <c r="AD69" s="15">
        <f>IF(P69&lt;=1,7,7+0.8*ROUNDUP(P69-1,0))</f>
        <v>7</v>
      </c>
      <c r="AE69" s="16">
        <v>0</v>
      </c>
      <c r="AF69" s="16">
        <v>0</v>
      </c>
      <c r="AG69" s="16">
        <v>0</v>
      </c>
      <c r="AH69" s="16">
        <v>0</v>
      </c>
      <c r="AI69" s="16">
        <f t="shared" si="2"/>
        <v>0.42</v>
      </c>
      <c r="AJ69" s="16">
        <f t="shared" si="3"/>
        <v>7.42</v>
      </c>
      <c r="AK69" t="s">
        <v>48</v>
      </c>
    </row>
    <row r="70" spans="1:37" ht="15" customHeight="1" x14ac:dyDescent="0.35">
      <c r="A70">
        <v>690929</v>
      </c>
      <c r="B70" t="s">
        <v>37</v>
      </c>
      <c r="C70" t="s">
        <v>38</v>
      </c>
      <c r="D70" s="9" t="s">
        <v>39</v>
      </c>
      <c r="E70" s="10" t="s">
        <v>37</v>
      </c>
      <c r="F70" s="11"/>
      <c r="G70" t="s">
        <v>290</v>
      </c>
      <c r="H70" t="s">
        <v>41</v>
      </c>
      <c r="I70" t="s">
        <v>42</v>
      </c>
      <c r="J70" t="s">
        <v>291</v>
      </c>
      <c r="K70" t="s">
        <v>44</v>
      </c>
      <c r="L70">
        <v>2</v>
      </c>
      <c r="M70" t="s">
        <v>45</v>
      </c>
      <c r="N70" t="s">
        <v>46</v>
      </c>
      <c r="O70" t="s">
        <v>47</v>
      </c>
      <c r="P70" s="12">
        <v>1</v>
      </c>
      <c r="Q70" s="13">
        <v>44892.474374999998</v>
      </c>
      <c r="R70" s="14">
        <v>44894</v>
      </c>
      <c r="S70" t="s">
        <v>41</v>
      </c>
      <c r="T70" t="s">
        <v>48</v>
      </c>
      <c r="U70" t="s">
        <v>49</v>
      </c>
      <c r="V70" t="s">
        <v>96</v>
      </c>
      <c r="Y70" t="s">
        <v>292</v>
      </c>
      <c r="Z70">
        <v>24000</v>
      </c>
      <c r="AA70" t="s">
        <v>48</v>
      </c>
      <c r="AB70" t="s">
        <v>49</v>
      </c>
      <c r="AC70" t="s">
        <v>53</v>
      </c>
      <c r="AD70" s="15">
        <f>IF(P70&lt;=1,7,7+0.8*ROUNDUP(P70-1,0))</f>
        <v>7</v>
      </c>
      <c r="AE70" s="16">
        <v>0</v>
      </c>
      <c r="AF70" s="16">
        <v>0</v>
      </c>
      <c r="AG70" s="16">
        <v>0</v>
      </c>
      <c r="AH70" s="16">
        <v>0</v>
      </c>
      <c r="AI70" s="16">
        <f t="shared" si="2"/>
        <v>0.42</v>
      </c>
      <c r="AJ70" s="16">
        <f t="shared" si="3"/>
        <v>7.42</v>
      </c>
      <c r="AK70" t="s">
        <v>48</v>
      </c>
    </row>
    <row r="71" spans="1:37" ht="15" customHeight="1" x14ac:dyDescent="0.35">
      <c r="A71">
        <v>690929</v>
      </c>
      <c r="B71" t="s">
        <v>37</v>
      </c>
      <c r="C71" t="s">
        <v>38</v>
      </c>
      <c r="D71" s="9" t="s">
        <v>39</v>
      </c>
      <c r="E71" s="10" t="s">
        <v>37</v>
      </c>
      <c r="F71" s="11"/>
      <c r="G71" t="s">
        <v>293</v>
      </c>
      <c r="H71" t="s">
        <v>41</v>
      </c>
      <c r="I71" t="s">
        <v>42</v>
      </c>
      <c r="J71" t="s">
        <v>294</v>
      </c>
      <c r="K71" t="s">
        <v>44</v>
      </c>
      <c r="L71">
        <v>2</v>
      </c>
      <c r="M71" t="s">
        <v>45</v>
      </c>
      <c r="N71" t="s">
        <v>46</v>
      </c>
      <c r="O71" t="s">
        <v>47</v>
      </c>
      <c r="P71" s="12">
        <v>1</v>
      </c>
      <c r="Q71" s="13">
        <v>44892.534537037034</v>
      </c>
      <c r="R71" s="14">
        <v>44894</v>
      </c>
      <c r="S71" t="s">
        <v>41</v>
      </c>
      <c r="T71" t="s">
        <v>48</v>
      </c>
      <c r="U71" t="s">
        <v>49</v>
      </c>
      <c r="V71" t="s">
        <v>71</v>
      </c>
      <c r="Y71" t="s">
        <v>295</v>
      </c>
      <c r="Z71">
        <v>62604</v>
      </c>
      <c r="AA71" t="s">
        <v>48</v>
      </c>
      <c r="AB71" t="s">
        <v>73</v>
      </c>
      <c r="AC71" t="s">
        <v>53</v>
      </c>
      <c r="AD71" s="15">
        <f>IF(P71&lt;=1,7,7+0.8*ROUNDUP(P71-1,0))</f>
        <v>7</v>
      </c>
      <c r="AE71" s="16">
        <v>0</v>
      </c>
      <c r="AF71" s="16">
        <v>0</v>
      </c>
      <c r="AG71" s="16">
        <v>0</v>
      </c>
      <c r="AH71" s="16">
        <v>0</v>
      </c>
      <c r="AI71" s="16">
        <f t="shared" si="2"/>
        <v>0.42</v>
      </c>
      <c r="AJ71" s="16">
        <f t="shared" si="3"/>
        <v>7.42</v>
      </c>
      <c r="AK71" t="s">
        <v>48</v>
      </c>
    </row>
    <row r="72" spans="1:37" ht="15" customHeight="1" x14ac:dyDescent="0.35">
      <c r="A72">
        <v>690929</v>
      </c>
      <c r="B72" t="s">
        <v>37</v>
      </c>
      <c r="C72" t="s">
        <v>38</v>
      </c>
      <c r="D72" s="9" t="s">
        <v>39</v>
      </c>
      <c r="E72" s="10" t="s">
        <v>37</v>
      </c>
      <c r="F72" s="11"/>
      <c r="G72" t="s">
        <v>296</v>
      </c>
      <c r="H72" t="s">
        <v>41</v>
      </c>
      <c r="I72" t="s">
        <v>42</v>
      </c>
      <c r="J72" t="s">
        <v>297</v>
      </c>
      <c r="K72" t="s">
        <v>44</v>
      </c>
      <c r="L72">
        <v>2</v>
      </c>
      <c r="M72" t="s">
        <v>45</v>
      </c>
      <c r="N72" t="s">
        <v>46</v>
      </c>
      <c r="O72" t="s">
        <v>47</v>
      </c>
      <c r="P72" s="12">
        <v>1</v>
      </c>
      <c r="Q72" s="13">
        <v>44891.690925925926</v>
      </c>
      <c r="R72" s="14">
        <v>44894</v>
      </c>
      <c r="S72" t="s">
        <v>41</v>
      </c>
      <c r="T72" t="s">
        <v>48</v>
      </c>
      <c r="U72" t="s">
        <v>49</v>
      </c>
      <c r="V72" t="s">
        <v>96</v>
      </c>
      <c r="Y72" t="s">
        <v>298</v>
      </c>
      <c r="Z72">
        <v>21080</v>
      </c>
      <c r="AA72" t="s">
        <v>48</v>
      </c>
      <c r="AB72" t="s">
        <v>49</v>
      </c>
      <c r="AC72" t="s">
        <v>53</v>
      </c>
      <c r="AD72" s="15">
        <f>IF(P72&lt;=1,7,7+0.8*ROUNDUP(P72-1,0))</f>
        <v>7</v>
      </c>
      <c r="AE72" s="16">
        <v>0</v>
      </c>
      <c r="AF72" s="16">
        <v>0</v>
      </c>
      <c r="AG72" s="16">
        <v>0</v>
      </c>
      <c r="AH72" s="16">
        <v>0</v>
      </c>
      <c r="AI72" s="16">
        <f t="shared" si="2"/>
        <v>0.42</v>
      </c>
      <c r="AJ72" s="16">
        <f t="shared" si="3"/>
        <v>7.42</v>
      </c>
      <c r="AK72" t="s">
        <v>48</v>
      </c>
    </row>
    <row r="73" spans="1:37" ht="15" customHeight="1" x14ac:dyDescent="0.35">
      <c r="A73">
        <v>690929</v>
      </c>
      <c r="B73" t="s">
        <v>37</v>
      </c>
      <c r="C73" t="s">
        <v>38</v>
      </c>
      <c r="D73" s="9" t="s">
        <v>39</v>
      </c>
      <c r="E73" s="10" t="s">
        <v>37</v>
      </c>
      <c r="F73" s="11"/>
      <c r="G73" t="s">
        <v>299</v>
      </c>
      <c r="H73" t="s">
        <v>41</v>
      </c>
      <c r="I73" t="s">
        <v>42</v>
      </c>
      <c r="J73" t="s">
        <v>300</v>
      </c>
      <c r="K73" t="s">
        <v>44</v>
      </c>
      <c r="L73">
        <v>2</v>
      </c>
      <c r="M73" t="s">
        <v>45</v>
      </c>
      <c r="N73" t="s">
        <v>46</v>
      </c>
      <c r="O73" t="s">
        <v>47</v>
      </c>
      <c r="P73" s="12">
        <v>1</v>
      </c>
      <c r="Q73" s="13">
        <v>44891.716886574075</v>
      </c>
      <c r="R73" s="14">
        <v>44894</v>
      </c>
      <c r="S73" t="s">
        <v>41</v>
      </c>
      <c r="T73" t="s">
        <v>48</v>
      </c>
      <c r="U73" t="s">
        <v>49</v>
      </c>
      <c r="V73" t="s">
        <v>251</v>
      </c>
      <c r="Y73" t="s">
        <v>301</v>
      </c>
      <c r="Z73">
        <v>27000</v>
      </c>
      <c r="AA73" t="s">
        <v>48</v>
      </c>
      <c r="AB73" t="s">
        <v>302</v>
      </c>
      <c r="AC73" t="s">
        <v>53</v>
      </c>
      <c r="AD73" s="15">
        <f>IF(P73&lt;=1,7,7+0.8*ROUNDUP(P73-1,0))</f>
        <v>7</v>
      </c>
      <c r="AE73" s="16">
        <v>0</v>
      </c>
      <c r="AF73" s="16">
        <v>0</v>
      </c>
      <c r="AG73" s="16">
        <v>0</v>
      </c>
      <c r="AH73" s="16">
        <v>0</v>
      </c>
      <c r="AI73" s="16">
        <f t="shared" si="2"/>
        <v>0.42</v>
      </c>
      <c r="AJ73" s="16">
        <f t="shared" si="3"/>
        <v>7.42</v>
      </c>
      <c r="AK73" t="s">
        <v>48</v>
      </c>
    </row>
    <row r="74" spans="1:37" ht="15" customHeight="1" x14ac:dyDescent="0.35">
      <c r="A74">
        <v>690929</v>
      </c>
      <c r="B74" t="s">
        <v>37</v>
      </c>
      <c r="C74" t="s">
        <v>38</v>
      </c>
      <c r="D74" s="9" t="s">
        <v>39</v>
      </c>
      <c r="E74" s="10" t="s">
        <v>37</v>
      </c>
      <c r="F74" s="11"/>
      <c r="G74" t="s">
        <v>303</v>
      </c>
      <c r="H74" t="s">
        <v>41</v>
      </c>
      <c r="I74" t="s">
        <v>42</v>
      </c>
      <c r="J74" t="s">
        <v>304</v>
      </c>
      <c r="K74" t="s">
        <v>44</v>
      </c>
      <c r="L74">
        <v>2</v>
      </c>
      <c r="M74" t="s">
        <v>45</v>
      </c>
      <c r="N74" t="s">
        <v>46</v>
      </c>
      <c r="O74" t="s">
        <v>47</v>
      </c>
      <c r="P74" s="12">
        <v>2</v>
      </c>
      <c r="Q74" s="13">
        <v>44891.730717592596</v>
      </c>
      <c r="R74" s="14">
        <v>44894</v>
      </c>
      <c r="S74" t="s">
        <v>41</v>
      </c>
      <c r="T74" t="s">
        <v>48</v>
      </c>
      <c r="U74" t="s">
        <v>49</v>
      </c>
      <c r="V74" t="s">
        <v>71</v>
      </c>
      <c r="Y74" t="s">
        <v>305</v>
      </c>
      <c r="Z74">
        <v>43000</v>
      </c>
      <c r="AA74" t="s">
        <v>48</v>
      </c>
      <c r="AB74" t="s">
        <v>306</v>
      </c>
      <c r="AC74" t="s">
        <v>53</v>
      </c>
      <c r="AD74" s="15">
        <f>IF(P74&lt;=1,7,7+0.8*ROUNDUP(P74-1,0))</f>
        <v>7.8</v>
      </c>
      <c r="AE74" s="16">
        <v>0</v>
      </c>
      <c r="AF74" s="16">
        <v>0</v>
      </c>
      <c r="AG74" s="16">
        <v>0</v>
      </c>
      <c r="AH74" s="16">
        <v>0</v>
      </c>
      <c r="AI74" s="16">
        <f t="shared" si="2"/>
        <v>0.46799999999999997</v>
      </c>
      <c r="AJ74" s="16">
        <f t="shared" si="3"/>
        <v>8.2680000000000007</v>
      </c>
      <c r="AK74" t="s">
        <v>48</v>
      </c>
    </row>
    <row r="75" spans="1:37" ht="15" customHeight="1" x14ac:dyDescent="0.35">
      <c r="A75">
        <v>690929</v>
      </c>
      <c r="B75" t="s">
        <v>37</v>
      </c>
      <c r="C75" t="s">
        <v>38</v>
      </c>
      <c r="D75" s="9" t="s">
        <v>39</v>
      </c>
      <c r="E75" s="10" t="s">
        <v>37</v>
      </c>
      <c r="F75" s="11"/>
      <c r="G75" t="s">
        <v>307</v>
      </c>
      <c r="H75" t="s">
        <v>41</v>
      </c>
      <c r="I75" t="s">
        <v>42</v>
      </c>
      <c r="J75" t="s">
        <v>308</v>
      </c>
      <c r="K75" t="s">
        <v>44</v>
      </c>
      <c r="L75">
        <v>2</v>
      </c>
      <c r="M75" t="s">
        <v>45</v>
      </c>
      <c r="N75" t="s">
        <v>46</v>
      </c>
      <c r="O75" t="s">
        <v>47</v>
      </c>
      <c r="P75" s="12">
        <v>1</v>
      </c>
      <c r="Q75" s="13">
        <v>44891.679305555554</v>
      </c>
      <c r="R75" s="14">
        <v>44894</v>
      </c>
      <c r="S75" t="s">
        <v>41</v>
      </c>
      <c r="T75" t="s">
        <v>48</v>
      </c>
      <c r="U75" t="s">
        <v>49</v>
      </c>
      <c r="V75" t="s">
        <v>71</v>
      </c>
      <c r="Y75" t="s">
        <v>309</v>
      </c>
      <c r="Z75">
        <v>62300</v>
      </c>
      <c r="AA75" t="s">
        <v>48</v>
      </c>
      <c r="AB75" t="s">
        <v>73</v>
      </c>
      <c r="AC75" t="s">
        <v>53</v>
      </c>
      <c r="AD75" s="15">
        <f>IF(P75&lt;=1,7,7+0.8*ROUNDUP(P75-1,0))</f>
        <v>7</v>
      </c>
      <c r="AE75" s="16">
        <v>0</v>
      </c>
      <c r="AF75" s="16">
        <v>0</v>
      </c>
      <c r="AG75" s="16">
        <v>0</v>
      </c>
      <c r="AH75" s="16">
        <v>0</v>
      </c>
      <c r="AI75" s="16">
        <f t="shared" si="2"/>
        <v>0.42</v>
      </c>
      <c r="AJ75" s="16">
        <f t="shared" si="3"/>
        <v>7.42</v>
      </c>
      <c r="AK75" t="s">
        <v>48</v>
      </c>
    </row>
    <row r="76" spans="1:37" ht="15" customHeight="1" x14ac:dyDescent="0.35">
      <c r="A76">
        <v>690929</v>
      </c>
      <c r="B76" t="s">
        <v>37</v>
      </c>
      <c r="C76" t="s">
        <v>38</v>
      </c>
      <c r="D76" s="9" t="s">
        <v>39</v>
      </c>
      <c r="E76" s="10" t="s">
        <v>37</v>
      </c>
      <c r="F76" s="11"/>
      <c r="G76" t="s">
        <v>310</v>
      </c>
      <c r="H76" t="s">
        <v>41</v>
      </c>
      <c r="I76" t="s">
        <v>42</v>
      </c>
      <c r="J76" t="s">
        <v>311</v>
      </c>
      <c r="K76" t="s">
        <v>44</v>
      </c>
      <c r="L76">
        <v>2</v>
      </c>
      <c r="M76" t="s">
        <v>45</v>
      </c>
      <c r="N76" t="s">
        <v>46</v>
      </c>
      <c r="O76" t="s">
        <v>47</v>
      </c>
      <c r="P76" s="12">
        <v>1</v>
      </c>
      <c r="Q76" s="13">
        <v>44891.658402777779</v>
      </c>
      <c r="R76" s="14">
        <v>44894</v>
      </c>
      <c r="S76" t="s">
        <v>41</v>
      </c>
      <c r="T76" t="s">
        <v>48</v>
      </c>
      <c r="U76" t="s">
        <v>49</v>
      </c>
      <c r="V76" t="s">
        <v>50</v>
      </c>
      <c r="Y76" t="s">
        <v>312</v>
      </c>
      <c r="Z76">
        <v>31250</v>
      </c>
      <c r="AA76" t="s">
        <v>48</v>
      </c>
      <c r="AB76" t="s">
        <v>49</v>
      </c>
      <c r="AC76" t="s">
        <v>53</v>
      </c>
      <c r="AD76" s="15">
        <f>IF(P76&lt;=1,7,7+0.8*ROUNDUP(P76-1,0))</f>
        <v>7</v>
      </c>
      <c r="AE76" s="16">
        <v>0</v>
      </c>
      <c r="AF76" s="16">
        <v>0</v>
      </c>
      <c r="AG76" s="16">
        <v>0</v>
      </c>
      <c r="AH76" s="16">
        <v>0</v>
      </c>
      <c r="AI76" s="16">
        <f t="shared" si="2"/>
        <v>0.42</v>
      </c>
      <c r="AJ76" s="16">
        <f t="shared" si="3"/>
        <v>7.42</v>
      </c>
      <c r="AK76" t="s">
        <v>48</v>
      </c>
    </row>
    <row r="77" spans="1:37" ht="15" customHeight="1" x14ac:dyDescent="0.35">
      <c r="A77">
        <v>690929</v>
      </c>
      <c r="B77" t="s">
        <v>37</v>
      </c>
      <c r="C77" t="s">
        <v>38</v>
      </c>
      <c r="D77" s="9" t="s">
        <v>39</v>
      </c>
      <c r="E77" s="10" t="s">
        <v>37</v>
      </c>
      <c r="F77" s="11"/>
      <c r="G77" t="s">
        <v>313</v>
      </c>
      <c r="H77" t="s">
        <v>41</v>
      </c>
      <c r="I77" t="s">
        <v>42</v>
      </c>
      <c r="J77" t="s">
        <v>314</v>
      </c>
      <c r="K77" t="s">
        <v>44</v>
      </c>
      <c r="L77">
        <v>2</v>
      </c>
      <c r="M77" t="s">
        <v>45</v>
      </c>
      <c r="N77" t="s">
        <v>46</v>
      </c>
      <c r="O77" t="s">
        <v>47</v>
      </c>
      <c r="P77" s="12">
        <v>1</v>
      </c>
      <c r="Q77" s="13">
        <v>44891.63449074074</v>
      </c>
      <c r="R77" s="14">
        <v>44894</v>
      </c>
      <c r="S77" t="s">
        <v>41</v>
      </c>
      <c r="T77" t="s">
        <v>48</v>
      </c>
      <c r="U77" t="s">
        <v>49</v>
      </c>
      <c r="V77" t="s">
        <v>251</v>
      </c>
      <c r="Y77" t="s">
        <v>315</v>
      </c>
      <c r="Z77">
        <v>27200</v>
      </c>
      <c r="AA77" t="s">
        <v>48</v>
      </c>
      <c r="AB77" t="s">
        <v>49</v>
      </c>
      <c r="AC77" t="s">
        <v>53</v>
      </c>
      <c r="AD77" s="15">
        <f>IF(P77&lt;=1,7,7+0.8*ROUNDUP(P77-1,0))</f>
        <v>7</v>
      </c>
      <c r="AE77" s="16">
        <v>0</v>
      </c>
      <c r="AF77" s="16">
        <v>0</v>
      </c>
      <c r="AG77" s="16">
        <v>0</v>
      </c>
      <c r="AH77" s="16">
        <v>0</v>
      </c>
      <c r="AI77" s="16">
        <f t="shared" si="2"/>
        <v>0.42</v>
      </c>
      <c r="AJ77" s="16">
        <f t="shared" si="3"/>
        <v>7.42</v>
      </c>
      <c r="AK77" t="s">
        <v>48</v>
      </c>
    </row>
    <row r="78" spans="1:37" ht="15" customHeight="1" x14ac:dyDescent="0.35">
      <c r="A78">
        <v>690929</v>
      </c>
      <c r="B78" t="s">
        <v>37</v>
      </c>
      <c r="C78" t="s">
        <v>38</v>
      </c>
      <c r="D78" s="9" t="s">
        <v>39</v>
      </c>
      <c r="E78" s="10" t="s">
        <v>37</v>
      </c>
      <c r="F78" s="11"/>
      <c r="G78" t="s">
        <v>316</v>
      </c>
      <c r="H78" t="s">
        <v>41</v>
      </c>
      <c r="I78" t="s">
        <v>42</v>
      </c>
      <c r="J78" t="s">
        <v>317</v>
      </c>
      <c r="K78" t="s">
        <v>44</v>
      </c>
      <c r="L78">
        <v>2</v>
      </c>
      <c r="M78" t="s">
        <v>45</v>
      </c>
      <c r="N78" t="s">
        <v>46</v>
      </c>
      <c r="O78" t="s">
        <v>47</v>
      </c>
      <c r="P78" s="12">
        <v>1</v>
      </c>
      <c r="Q78" s="13">
        <v>44891.502384259256</v>
      </c>
      <c r="R78" s="14">
        <v>44894</v>
      </c>
      <c r="S78" t="s">
        <v>41</v>
      </c>
      <c r="T78" t="s">
        <v>48</v>
      </c>
      <c r="U78" t="s">
        <v>49</v>
      </c>
      <c r="V78" t="s">
        <v>85</v>
      </c>
      <c r="Y78" t="s">
        <v>318</v>
      </c>
      <c r="Z78">
        <v>13200</v>
      </c>
      <c r="AA78" t="s">
        <v>48</v>
      </c>
      <c r="AB78" t="s">
        <v>73</v>
      </c>
      <c r="AC78" t="s">
        <v>53</v>
      </c>
      <c r="AD78" s="15">
        <f>IF(P78&lt;=1,7,7+0.8*ROUNDUP(P78-1,0))</f>
        <v>7</v>
      </c>
      <c r="AE78" s="16">
        <v>0</v>
      </c>
      <c r="AF78" s="16">
        <v>0</v>
      </c>
      <c r="AG78" s="16">
        <v>0</v>
      </c>
      <c r="AH78" s="16">
        <v>0</v>
      </c>
      <c r="AI78" s="16">
        <f t="shared" si="2"/>
        <v>0.42</v>
      </c>
      <c r="AJ78" s="16">
        <f t="shared" si="3"/>
        <v>7.42</v>
      </c>
      <c r="AK78" t="s">
        <v>48</v>
      </c>
    </row>
    <row r="79" spans="1:37" ht="15" customHeight="1" x14ac:dyDescent="0.35">
      <c r="A79">
        <v>690929</v>
      </c>
      <c r="B79" t="s">
        <v>37</v>
      </c>
      <c r="C79" t="s">
        <v>38</v>
      </c>
      <c r="D79" s="9" t="s">
        <v>39</v>
      </c>
      <c r="E79" s="10" t="s">
        <v>37</v>
      </c>
      <c r="F79" s="11"/>
      <c r="G79" t="s">
        <v>319</v>
      </c>
      <c r="H79" t="s">
        <v>41</v>
      </c>
      <c r="I79" t="s">
        <v>42</v>
      </c>
      <c r="J79" t="s">
        <v>320</v>
      </c>
      <c r="K79" t="s">
        <v>44</v>
      </c>
      <c r="L79">
        <v>2</v>
      </c>
      <c r="M79" t="s">
        <v>45</v>
      </c>
      <c r="N79" t="s">
        <v>46</v>
      </c>
      <c r="O79" t="s">
        <v>47</v>
      </c>
      <c r="P79" s="12">
        <v>5</v>
      </c>
      <c r="Q79" s="13">
        <v>44892.463055555556</v>
      </c>
      <c r="R79" s="14">
        <v>44894</v>
      </c>
      <c r="S79" t="s">
        <v>41</v>
      </c>
      <c r="T79" t="s">
        <v>48</v>
      </c>
      <c r="U79" t="s">
        <v>49</v>
      </c>
      <c r="V79" t="s">
        <v>128</v>
      </c>
      <c r="Y79" t="s">
        <v>321</v>
      </c>
      <c r="Z79">
        <v>16400</v>
      </c>
      <c r="AA79" t="s">
        <v>48</v>
      </c>
      <c r="AB79" t="s">
        <v>322</v>
      </c>
      <c r="AC79" t="s">
        <v>53</v>
      </c>
      <c r="AD79" s="15">
        <f>IF(P79&lt;=1,7,7+0.8*ROUNDUP(P79-1,0))</f>
        <v>10.199999999999999</v>
      </c>
      <c r="AE79" s="16">
        <v>0</v>
      </c>
      <c r="AF79" s="16">
        <v>0</v>
      </c>
      <c r="AG79" s="16">
        <v>0</v>
      </c>
      <c r="AH79" s="16">
        <v>0</v>
      </c>
      <c r="AI79" s="16">
        <f t="shared" si="2"/>
        <v>0.61199999999999999</v>
      </c>
      <c r="AJ79" s="16">
        <f t="shared" si="3"/>
        <v>10.811999999999999</v>
      </c>
      <c r="AK79" t="s">
        <v>48</v>
      </c>
    </row>
    <row r="80" spans="1:37" ht="15" customHeight="1" x14ac:dyDescent="0.35">
      <c r="A80">
        <v>690929</v>
      </c>
      <c r="B80" t="s">
        <v>37</v>
      </c>
      <c r="C80" t="s">
        <v>38</v>
      </c>
      <c r="D80" s="9" t="s">
        <v>39</v>
      </c>
      <c r="E80" s="10" t="s">
        <v>37</v>
      </c>
      <c r="F80" s="11"/>
      <c r="G80" t="s">
        <v>323</v>
      </c>
      <c r="H80" t="s">
        <v>41</v>
      </c>
      <c r="I80" t="s">
        <v>42</v>
      </c>
      <c r="J80" t="s">
        <v>324</v>
      </c>
      <c r="K80" t="s">
        <v>44</v>
      </c>
      <c r="L80">
        <v>2</v>
      </c>
      <c r="M80" t="s">
        <v>45</v>
      </c>
      <c r="N80" t="s">
        <v>46</v>
      </c>
      <c r="O80" t="s">
        <v>47</v>
      </c>
      <c r="P80" s="12">
        <v>2</v>
      </c>
      <c r="Q80" s="13">
        <v>44891.678101851852</v>
      </c>
      <c r="R80" s="14">
        <v>44894</v>
      </c>
      <c r="S80" t="s">
        <v>41</v>
      </c>
      <c r="T80" t="s">
        <v>48</v>
      </c>
      <c r="U80" t="s">
        <v>49</v>
      </c>
      <c r="V80" t="s">
        <v>50</v>
      </c>
      <c r="Y80" t="s">
        <v>325</v>
      </c>
      <c r="Z80">
        <v>32040</v>
      </c>
      <c r="AA80" t="s">
        <v>48</v>
      </c>
      <c r="AB80" t="s">
        <v>326</v>
      </c>
      <c r="AC80" t="s">
        <v>53</v>
      </c>
      <c r="AD80" s="15">
        <f>IF(P80&lt;=1,7,7+0.8*ROUNDUP(P80-1,0))</f>
        <v>7.8</v>
      </c>
      <c r="AE80" s="16">
        <v>0</v>
      </c>
      <c r="AF80" s="16">
        <v>0</v>
      </c>
      <c r="AG80" s="16">
        <v>0</v>
      </c>
      <c r="AH80" s="16">
        <v>0</v>
      </c>
      <c r="AI80" s="16">
        <f t="shared" si="2"/>
        <v>0.46799999999999997</v>
      </c>
      <c r="AJ80" s="16">
        <f t="shared" si="3"/>
        <v>8.2680000000000007</v>
      </c>
      <c r="AK80" t="s">
        <v>48</v>
      </c>
    </row>
    <row r="81" spans="1:37" ht="15" customHeight="1" x14ac:dyDescent="0.35">
      <c r="A81">
        <v>690929</v>
      </c>
      <c r="B81" t="s">
        <v>37</v>
      </c>
      <c r="C81" t="s">
        <v>38</v>
      </c>
      <c r="D81" s="9" t="s">
        <v>39</v>
      </c>
      <c r="E81" s="10" t="s">
        <v>37</v>
      </c>
      <c r="F81" s="11"/>
      <c r="G81" t="s">
        <v>327</v>
      </c>
      <c r="H81" t="s">
        <v>41</v>
      </c>
      <c r="I81" t="s">
        <v>42</v>
      </c>
      <c r="J81" t="s">
        <v>328</v>
      </c>
      <c r="K81" t="s">
        <v>44</v>
      </c>
      <c r="L81">
        <v>2</v>
      </c>
      <c r="M81" t="s">
        <v>45</v>
      </c>
      <c r="N81" t="s">
        <v>46</v>
      </c>
      <c r="O81" t="s">
        <v>47</v>
      </c>
      <c r="P81" s="12">
        <v>1</v>
      </c>
      <c r="Q81" s="13">
        <v>44891.672581018516</v>
      </c>
      <c r="R81" s="14">
        <v>44894</v>
      </c>
      <c r="S81" t="s">
        <v>41</v>
      </c>
      <c r="T81" t="s">
        <v>48</v>
      </c>
      <c r="U81" t="s">
        <v>49</v>
      </c>
      <c r="V81" t="s">
        <v>80</v>
      </c>
      <c r="Y81" t="s">
        <v>329</v>
      </c>
      <c r="Z81">
        <v>75350</v>
      </c>
      <c r="AA81" t="s">
        <v>48</v>
      </c>
      <c r="AB81" t="s">
        <v>82</v>
      </c>
      <c r="AC81" t="s">
        <v>53</v>
      </c>
      <c r="AD81" s="15">
        <f>IF(P81&lt;=1,7,7+0.8*ROUNDUP(P81-1,0))</f>
        <v>7</v>
      </c>
      <c r="AE81" s="16">
        <v>0</v>
      </c>
      <c r="AF81" s="16">
        <v>0</v>
      </c>
      <c r="AG81" s="16">
        <v>0</v>
      </c>
      <c r="AH81" s="16">
        <v>0</v>
      </c>
      <c r="AI81" s="16">
        <f t="shared" si="2"/>
        <v>0.42</v>
      </c>
      <c r="AJ81" s="16">
        <f t="shared" si="3"/>
        <v>7.42</v>
      </c>
      <c r="AK81" t="s">
        <v>48</v>
      </c>
    </row>
    <row r="82" spans="1:37" ht="15" customHeight="1" x14ac:dyDescent="0.35">
      <c r="A82">
        <v>690929</v>
      </c>
      <c r="B82" t="s">
        <v>37</v>
      </c>
      <c r="C82" t="s">
        <v>38</v>
      </c>
      <c r="D82" s="9" t="s">
        <v>39</v>
      </c>
      <c r="E82" s="10" t="s">
        <v>37</v>
      </c>
      <c r="F82" s="11"/>
      <c r="G82" t="s">
        <v>330</v>
      </c>
      <c r="H82" t="s">
        <v>41</v>
      </c>
      <c r="I82" t="s">
        <v>42</v>
      </c>
      <c r="J82" t="s">
        <v>331</v>
      </c>
      <c r="K82" t="s">
        <v>44</v>
      </c>
      <c r="L82">
        <v>2</v>
      </c>
      <c r="M82" t="s">
        <v>45</v>
      </c>
      <c r="N82" t="s">
        <v>46</v>
      </c>
      <c r="O82" t="s">
        <v>47</v>
      </c>
      <c r="P82" s="12">
        <v>1</v>
      </c>
      <c r="Q82" s="13">
        <v>44891.667812500003</v>
      </c>
      <c r="R82" s="14">
        <v>44894</v>
      </c>
      <c r="S82" t="s">
        <v>41</v>
      </c>
      <c r="T82" t="s">
        <v>48</v>
      </c>
      <c r="U82" t="s">
        <v>49</v>
      </c>
      <c r="V82" t="s">
        <v>115</v>
      </c>
      <c r="Y82" t="s">
        <v>332</v>
      </c>
      <c r="Z82">
        <v>85000</v>
      </c>
      <c r="AA82" t="s">
        <v>48</v>
      </c>
      <c r="AB82" t="s">
        <v>73</v>
      </c>
      <c r="AC82" t="s">
        <v>53</v>
      </c>
      <c r="AD82" s="15">
        <f>IF(P82&lt;=1,7,7+0.8*ROUNDUP(P82-1,0))</f>
        <v>7</v>
      </c>
      <c r="AE82" s="16">
        <v>0</v>
      </c>
      <c r="AF82" s="16">
        <v>0</v>
      </c>
      <c r="AG82" s="16">
        <v>0</v>
      </c>
      <c r="AH82" s="16">
        <v>0</v>
      </c>
      <c r="AI82" s="16">
        <f t="shared" si="2"/>
        <v>0.42</v>
      </c>
      <c r="AJ82" s="16">
        <f t="shared" si="3"/>
        <v>7.42</v>
      </c>
      <c r="AK82" t="s">
        <v>48</v>
      </c>
    </row>
    <row r="83" spans="1:37" ht="15" customHeight="1" x14ac:dyDescent="0.35">
      <c r="A83">
        <v>690929</v>
      </c>
      <c r="B83" t="s">
        <v>37</v>
      </c>
      <c r="C83" t="s">
        <v>38</v>
      </c>
      <c r="D83" s="9" t="s">
        <v>39</v>
      </c>
      <c r="E83" s="10" t="s">
        <v>37</v>
      </c>
      <c r="F83" s="11"/>
      <c r="G83" t="s">
        <v>333</v>
      </c>
      <c r="H83" t="s">
        <v>41</v>
      </c>
      <c r="I83" t="s">
        <v>42</v>
      </c>
      <c r="J83" t="s">
        <v>334</v>
      </c>
      <c r="K83" t="s">
        <v>44</v>
      </c>
      <c r="L83">
        <v>2</v>
      </c>
      <c r="M83" t="s">
        <v>45</v>
      </c>
      <c r="N83" t="s">
        <v>46</v>
      </c>
      <c r="O83" t="s">
        <v>47</v>
      </c>
      <c r="P83" s="12">
        <v>1</v>
      </c>
      <c r="Q83" s="13">
        <v>44891.438622685186</v>
      </c>
      <c r="R83" s="14">
        <v>44894</v>
      </c>
      <c r="S83" t="s">
        <v>41</v>
      </c>
      <c r="T83" t="s">
        <v>48</v>
      </c>
      <c r="U83" t="s">
        <v>49</v>
      </c>
      <c r="V83" t="s">
        <v>71</v>
      </c>
      <c r="Y83" t="s">
        <v>335</v>
      </c>
      <c r="Z83">
        <v>47500</v>
      </c>
      <c r="AA83" t="s">
        <v>48</v>
      </c>
      <c r="AB83" t="s">
        <v>73</v>
      </c>
      <c r="AC83" t="s">
        <v>53</v>
      </c>
      <c r="AD83" s="15">
        <f>IF(P83&lt;=1,7,7+0.8*ROUNDUP(P83-1,0))</f>
        <v>7</v>
      </c>
      <c r="AE83" s="16">
        <v>0</v>
      </c>
      <c r="AF83" s="16">
        <v>0</v>
      </c>
      <c r="AG83" s="16">
        <v>0</v>
      </c>
      <c r="AH83" s="16">
        <v>0</v>
      </c>
      <c r="AI83" s="16">
        <f t="shared" si="2"/>
        <v>0.42</v>
      </c>
      <c r="AJ83" s="16">
        <f t="shared" si="3"/>
        <v>7.42</v>
      </c>
      <c r="AK83" t="s">
        <v>48</v>
      </c>
    </row>
    <row r="84" spans="1:37" ht="15" customHeight="1" x14ac:dyDescent="0.35">
      <c r="A84">
        <v>690929</v>
      </c>
      <c r="B84" t="s">
        <v>37</v>
      </c>
      <c r="C84" t="s">
        <v>38</v>
      </c>
      <c r="D84" s="9" t="s">
        <v>39</v>
      </c>
      <c r="E84" s="10" t="s">
        <v>37</v>
      </c>
      <c r="F84" s="11"/>
      <c r="G84" t="s">
        <v>336</v>
      </c>
      <c r="H84" t="s">
        <v>41</v>
      </c>
      <c r="I84" t="s">
        <v>42</v>
      </c>
      <c r="J84" t="s">
        <v>337</v>
      </c>
      <c r="K84" t="s">
        <v>44</v>
      </c>
      <c r="L84">
        <v>2</v>
      </c>
      <c r="M84" t="s">
        <v>45</v>
      </c>
      <c r="N84" t="s">
        <v>46</v>
      </c>
      <c r="O84" t="s">
        <v>47</v>
      </c>
      <c r="P84" s="12">
        <v>1</v>
      </c>
      <c r="Q84" s="13">
        <v>44891.762430555558</v>
      </c>
      <c r="R84" s="14">
        <v>44894</v>
      </c>
      <c r="S84" t="s">
        <v>41</v>
      </c>
      <c r="T84" t="s">
        <v>48</v>
      </c>
      <c r="U84" t="s">
        <v>49</v>
      </c>
      <c r="V84" t="s">
        <v>71</v>
      </c>
      <c r="Y84" t="s">
        <v>338</v>
      </c>
      <c r="Z84">
        <v>42100</v>
      </c>
      <c r="AA84" t="s">
        <v>48</v>
      </c>
      <c r="AB84" t="s">
        <v>73</v>
      </c>
      <c r="AC84" t="s">
        <v>53</v>
      </c>
      <c r="AD84" s="15">
        <f>IF(P84&lt;=1,7,7+0.8*ROUNDUP(P84-1,0))</f>
        <v>7</v>
      </c>
      <c r="AE84" s="16">
        <v>0</v>
      </c>
      <c r="AF84" s="16">
        <v>0</v>
      </c>
      <c r="AG84" s="16">
        <v>0</v>
      </c>
      <c r="AH84" s="16">
        <v>0</v>
      </c>
      <c r="AI84" s="16">
        <f t="shared" si="2"/>
        <v>0.42</v>
      </c>
      <c r="AJ84" s="16">
        <f t="shared" si="3"/>
        <v>7.42</v>
      </c>
      <c r="AK84" t="s">
        <v>48</v>
      </c>
    </row>
    <row r="85" spans="1:37" ht="15" customHeight="1" x14ac:dyDescent="0.35">
      <c r="A85">
        <v>690929</v>
      </c>
      <c r="B85" t="s">
        <v>37</v>
      </c>
      <c r="C85" t="s">
        <v>38</v>
      </c>
      <c r="D85" s="9" t="s">
        <v>39</v>
      </c>
      <c r="E85" s="10" t="s">
        <v>37</v>
      </c>
      <c r="F85" s="11"/>
      <c r="G85" t="s">
        <v>339</v>
      </c>
      <c r="H85" t="s">
        <v>41</v>
      </c>
      <c r="I85" t="s">
        <v>42</v>
      </c>
      <c r="J85" t="s">
        <v>340</v>
      </c>
      <c r="K85" t="s">
        <v>44</v>
      </c>
      <c r="L85">
        <v>2</v>
      </c>
      <c r="M85" t="s">
        <v>45</v>
      </c>
      <c r="N85" t="s">
        <v>46</v>
      </c>
      <c r="O85" t="s">
        <v>47</v>
      </c>
      <c r="P85" s="12">
        <v>1</v>
      </c>
      <c r="Q85" s="13">
        <v>44890.743043981478</v>
      </c>
      <c r="R85" s="14">
        <v>44894</v>
      </c>
      <c r="S85" t="s">
        <v>41</v>
      </c>
      <c r="T85" t="s">
        <v>48</v>
      </c>
      <c r="U85" t="s">
        <v>49</v>
      </c>
      <c r="V85" t="s">
        <v>62</v>
      </c>
      <c r="Y85" t="s">
        <v>341</v>
      </c>
      <c r="Z85">
        <v>53100</v>
      </c>
      <c r="AA85" t="s">
        <v>48</v>
      </c>
      <c r="AB85" t="s">
        <v>73</v>
      </c>
      <c r="AC85" t="s">
        <v>53</v>
      </c>
      <c r="AD85" s="15">
        <f>IF(P85&lt;=1,7,7+0.8*ROUNDUP(P85-1,0))</f>
        <v>7</v>
      </c>
      <c r="AE85" s="16">
        <v>0</v>
      </c>
      <c r="AF85" s="16">
        <v>0</v>
      </c>
      <c r="AG85" s="16">
        <v>0</v>
      </c>
      <c r="AH85" s="16">
        <v>0</v>
      </c>
      <c r="AI85" s="16">
        <f t="shared" si="2"/>
        <v>0.42</v>
      </c>
      <c r="AJ85" s="16">
        <f t="shared" si="3"/>
        <v>7.42</v>
      </c>
      <c r="AK85" t="s">
        <v>48</v>
      </c>
    </row>
    <row r="86" spans="1:37" ht="15" customHeight="1" x14ac:dyDescent="0.35">
      <c r="A86">
        <v>690929</v>
      </c>
      <c r="B86" t="s">
        <v>37</v>
      </c>
      <c r="C86" t="s">
        <v>38</v>
      </c>
      <c r="D86" s="9" t="s">
        <v>39</v>
      </c>
      <c r="E86" s="10" t="s">
        <v>37</v>
      </c>
      <c r="F86" s="11"/>
      <c r="G86" t="s">
        <v>342</v>
      </c>
      <c r="H86" t="s">
        <v>41</v>
      </c>
      <c r="I86" t="s">
        <v>42</v>
      </c>
      <c r="J86" t="s">
        <v>343</v>
      </c>
      <c r="K86" t="s">
        <v>44</v>
      </c>
      <c r="L86">
        <v>2</v>
      </c>
      <c r="M86" t="s">
        <v>45</v>
      </c>
      <c r="N86" t="s">
        <v>46</v>
      </c>
      <c r="O86" t="s">
        <v>47</v>
      </c>
      <c r="P86" s="12">
        <v>1</v>
      </c>
      <c r="Q86" s="13">
        <v>44892.522824074076</v>
      </c>
      <c r="R86" s="14">
        <v>44894</v>
      </c>
      <c r="S86" t="s">
        <v>41</v>
      </c>
      <c r="T86" t="s">
        <v>48</v>
      </c>
      <c r="U86" t="s">
        <v>49</v>
      </c>
      <c r="V86" t="s">
        <v>344</v>
      </c>
      <c r="Y86" t="s">
        <v>345</v>
      </c>
      <c r="Z86">
        <v>71200</v>
      </c>
      <c r="AA86" t="s">
        <v>48</v>
      </c>
      <c r="AB86" t="s">
        <v>73</v>
      </c>
      <c r="AC86" t="s">
        <v>53</v>
      </c>
      <c r="AD86" s="15">
        <f>IF(P86&lt;=1,7,7+0.8*ROUNDUP(P86-1,0))</f>
        <v>7</v>
      </c>
      <c r="AE86" s="16">
        <v>0</v>
      </c>
      <c r="AF86" s="16">
        <v>0</v>
      </c>
      <c r="AG86" s="16">
        <v>0</v>
      </c>
      <c r="AH86" s="16">
        <v>0</v>
      </c>
      <c r="AI86" s="16">
        <f t="shared" si="2"/>
        <v>0.42</v>
      </c>
      <c r="AJ86" s="16">
        <f t="shared" si="3"/>
        <v>7.42</v>
      </c>
      <c r="AK86" t="s">
        <v>48</v>
      </c>
    </row>
    <row r="87" spans="1:37" ht="15" customHeight="1" x14ac:dyDescent="0.35">
      <c r="A87">
        <v>690929</v>
      </c>
      <c r="B87" t="s">
        <v>37</v>
      </c>
      <c r="C87" t="s">
        <v>38</v>
      </c>
      <c r="D87" s="9" t="s">
        <v>39</v>
      </c>
      <c r="E87" s="10" t="s">
        <v>37</v>
      </c>
      <c r="F87" s="11"/>
      <c r="G87" t="s">
        <v>346</v>
      </c>
      <c r="H87" t="s">
        <v>41</v>
      </c>
      <c r="I87" t="s">
        <v>42</v>
      </c>
      <c r="J87" t="s">
        <v>347</v>
      </c>
      <c r="K87" t="s">
        <v>44</v>
      </c>
      <c r="L87">
        <v>2</v>
      </c>
      <c r="M87" t="s">
        <v>45</v>
      </c>
      <c r="N87" t="s">
        <v>46</v>
      </c>
      <c r="O87" t="s">
        <v>47</v>
      </c>
      <c r="P87" s="12">
        <v>1</v>
      </c>
      <c r="Q87" s="13">
        <v>44891.669618055559</v>
      </c>
      <c r="R87" s="14">
        <v>44894</v>
      </c>
      <c r="S87" t="s">
        <v>41</v>
      </c>
      <c r="T87" t="s">
        <v>48</v>
      </c>
      <c r="U87" t="s">
        <v>49</v>
      </c>
      <c r="V87" t="s">
        <v>71</v>
      </c>
      <c r="Y87" t="s">
        <v>348</v>
      </c>
      <c r="Z87">
        <v>47610</v>
      </c>
      <c r="AA87" t="s">
        <v>48</v>
      </c>
      <c r="AB87" t="s">
        <v>73</v>
      </c>
      <c r="AC87" t="s">
        <v>53</v>
      </c>
      <c r="AD87" s="15">
        <f>IF(P87&lt;=1,7,7+0.8*ROUNDUP(P87-1,0))</f>
        <v>7</v>
      </c>
      <c r="AE87" s="16">
        <v>0</v>
      </c>
      <c r="AF87" s="16">
        <v>0</v>
      </c>
      <c r="AG87" s="16">
        <v>0</v>
      </c>
      <c r="AH87" s="16">
        <v>0</v>
      </c>
      <c r="AI87" s="16">
        <f t="shared" si="2"/>
        <v>0.42</v>
      </c>
      <c r="AJ87" s="16">
        <f t="shared" si="3"/>
        <v>7.42</v>
      </c>
      <c r="AK87" t="s">
        <v>48</v>
      </c>
    </row>
    <row r="88" spans="1:37" ht="15" customHeight="1" x14ac:dyDescent="0.35">
      <c r="A88">
        <v>690929</v>
      </c>
      <c r="B88" t="s">
        <v>37</v>
      </c>
      <c r="C88" t="s">
        <v>38</v>
      </c>
      <c r="D88" s="9" t="s">
        <v>39</v>
      </c>
      <c r="E88" s="10" t="s">
        <v>37</v>
      </c>
      <c r="F88" s="11"/>
      <c r="G88" t="s">
        <v>349</v>
      </c>
      <c r="H88" t="s">
        <v>41</v>
      </c>
      <c r="I88" t="s">
        <v>42</v>
      </c>
      <c r="J88" t="s">
        <v>350</v>
      </c>
      <c r="K88" t="s">
        <v>44</v>
      </c>
      <c r="L88">
        <v>2</v>
      </c>
      <c r="M88" t="s">
        <v>45</v>
      </c>
      <c r="N88" t="s">
        <v>46</v>
      </c>
      <c r="O88" t="s">
        <v>47</v>
      </c>
      <c r="P88" s="12">
        <v>1</v>
      </c>
      <c r="Q88" s="13">
        <v>44891.476712962962</v>
      </c>
      <c r="R88" s="14">
        <v>44894</v>
      </c>
      <c r="S88" t="s">
        <v>41</v>
      </c>
      <c r="T88" t="s">
        <v>48</v>
      </c>
      <c r="U88" t="s">
        <v>49</v>
      </c>
      <c r="V88" t="s">
        <v>62</v>
      </c>
      <c r="Y88" t="s">
        <v>351</v>
      </c>
      <c r="Z88">
        <v>50300</v>
      </c>
      <c r="AA88" t="s">
        <v>48</v>
      </c>
      <c r="AB88" t="s">
        <v>73</v>
      </c>
      <c r="AC88" t="s">
        <v>53</v>
      </c>
      <c r="AD88" s="15">
        <f>IF(P88&lt;=1,7,7+0.8*ROUNDUP(P88-1,0))</f>
        <v>7</v>
      </c>
      <c r="AE88" s="16">
        <v>0</v>
      </c>
      <c r="AF88" s="16">
        <v>0</v>
      </c>
      <c r="AG88" s="16">
        <v>0</v>
      </c>
      <c r="AH88" s="16">
        <v>0</v>
      </c>
      <c r="AI88" s="16">
        <f t="shared" si="2"/>
        <v>0.42</v>
      </c>
      <c r="AJ88" s="16">
        <f t="shared" si="3"/>
        <v>7.42</v>
      </c>
      <c r="AK88" t="s">
        <v>48</v>
      </c>
    </row>
    <row r="89" spans="1:37" ht="15" customHeight="1" x14ac:dyDescent="0.35">
      <c r="A89">
        <v>690929</v>
      </c>
      <c r="B89" t="s">
        <v>37</v>
      </c>
      <c r="C89" t="s">
        <v>38</v>
      </c>
      <c r="D89" s="9" t="s">
        <v>39</v>
      </c>
      <c r="E89" s="10" t="s">
        <v>37</v>
      </c>
      <c r="F89" s="11"/>
      <c r="G89" t="s">
        <v>352</v>
      </c>
      <c r="H89" t="s">
        <v>41</v>
      </c>
      <c r="I89" t="s">
        <v>42</v>
      </c>
      <c r="J89" t="s">
        <v>353</v>
      </c>
      <c r="K89" t="s">
        <v>44</v>
      </c>
      <c r="L89">
        <v>2</v>
      </c>
      <c r="M89" t="s">
        <v>45</v>
      </c>
      <c r="N89" t="s">
        <v>46</v>
      </c>
      <c r="O89" t="s">
        <v>47</v>
      </c>
      <c r="P89" s="12">
        <v>1</v>
      </c>
      <c r="Q89" s="13">
        <v>44889.589687500003</v>
      </c>
      <c r="R89" s="14">
        <v>44894</v>
      </c>
      <c r="S89" t="s">
        <v>41</v>
      </c>
      <c r="T89" t="s">
        <v>48</v>
      </c>
      <c r="U89" t="s">
        <v>49</v>
      </c>
      <c r="V89" t="s">
        <v>56</v>
      </c>
      <c r="Y89" t="s">
        <v>354</v>
      </c>
      <c r="Z89">
        <v>88000</v>
      </c>
      <c r="AA89" t="s">
        <v>58</v>
      </c>
      <c r="AB89" t="s">
        <v>59</v>
      </c>
      <c r="AC89" t="s">
        <v>53</v>
      </c>
      <c r="AD89" s="17">
        <f>IF(P89&lt;=1,13,IF(P89&lt;=2,23,IF(P89&lt;=3,35,IF(P89&lt;=4,43,IF(P89&lt;=5,53,IF(P89&lt;=6,63,IF(P89&lt;=7,71,IF(P89&lt;=8,79,IF(P89&lt;=9,87,IF(P89&lt;=10,95,IF(P89&lt;=11,105,IF(P89&lt;=12,114,IF(P89&lt;=13,119,IF(P89&lt;=14,127,IF(P89&lt;=15,135,IF(P89&lt;=16,143,IF(P89&lt;=17,153,IF(P89&lt;=18,163,IF(P89&lt;=19,171,IF(P89&lt;=20,185,IF(P89&lt;=21,193,IF(P89&lt;=22,201,IF(P89&lt;=23,210,IF(P89&lt;=24,220,IF(P89&lt;=25,230,IF(P89&lt;=26,240,IF(P89&lt;=27,250,IF(P89&lt;=28,260,IF(P89&lt;=29,270,IF(P89&lt;=30,280,280))))))))))))))))))))))))))))))</f>
        <v>13</v>
      </c>
      <c r="AE89" s="16">
        <v>0</v>
      </c>
      <c r="AF89" s="16">
        <v>0</v>
      </c>
      <c r="AG89" s="16">
        <v>0</v>
      </c>
      <c r="AH89" s="16">
        <v>0</v>
      </c>
      <c r="AI89" s="16">
        <f t="shared" si="2"/>
        <v>0.78</v>
      </c>
      <c r="AJ89" s="16">
        <f t="shared" si="3"/>
        <v>13.78</v>
      </c>
      <c r="AK89" t="s">
        <v>58</v>
      </c>
    </row>
    <row r="90" spans="1:37" ht="15" customHeight="1" x14ac:dyDescent="0.35">
      <c r="A90">
        <v>690929</v>
      </c>
      <c r="B90" t="s">
        <v>37</v>
      </c>
      <c r="C90" t="s">
        <v>38</v>
      </c>
      <c r="D90" s="9" t="s">
        <v>39</v>
      </c>
      <c r="E90" s="10" t="s">
        <v>37</v>
      </c>
      <c r="F90" s="11"/>
      <c r="G90" t="s">
        <v>355</v>
      </c>
      <c r="H90" t="s">
        <v>41</v>
      </c>
      <c r="I90" t="s">
        <v>42</v>
      </c>
      <c r="J90" t="s">
        <v>356</v>
      </c>
      <c r="K90" t="s">
        <v>44</v>
      </c>
      <c r="L90">
        <v>2</v>
      </c>
      <c r="M90" t="s">
        <v>45</v>
      </c>
      <c r="N90" t="s">
        <v>46</v>
      </c>
      <c r="O90" t="s">
        <v>47</v>
      </c>
      <c r="P90" s="12">
        <v>1</v>
      </c>
      <c r="Q90" s="13">
        <v>44892.705833333333</v>
      </c>
      <c r="R90" s="14">
        <v>44895</v>
      </c>
      <c r="S90" t="s">
        <v>41</v>
      </c>
      <c r="T90" t="s">
        <v>48</v>
      </c>
      <c r="U90" t="s">
        <v>49</v>
      </c>
      <c r="V90" t="s">
        <v>56</v>
      </c>
      <c r="Y90" t="s">
        <v>357</v>
      </c>
      <c r="Z90">
        <v>89807</v>
      </c>
      <c r="AA90" t="s">
        <v>58</v>
      </c>
      <c r="AB90" t="s">
        <v>109</v>
      </c>
      <c r="AC90" t="s">
        <v>53</v>
      </c>
      <c r="AD90" s="17">
        <f>IF(P90&lt;=1,13,IF(P90&lt;=2,23,IF(P90&lt;=3,35,IF(P90&lt;=4,43,IF(P90&lt;=5,53,IF(P90&lt;=6,63,IF(P90&lt;=7,71,IF(P90&lt;=8,79,IF(P90&lt;=9,87,IF(P90&lt;=10,95,IF(P90&lt;=11,105,IF(P90&lt;=12,114,IF(P90&lt;=13,119,IF(P90&lt;=14,127,IF(P90&lt;=15,135,IF(P90&lt;=16,143,IF(P90&lt;=17,153,IF(P90&lt;=18,163,IF(P90&lt;=19,171,IF(P90&lt;=20,185,IF(P90&lt;=21,193,IF(P90&lt;=22,201,IF(P90&lt;=23,210,IF(P90&lt;=24,220,IF(P90&lt;=25,230,IF(P90&lt;=26,240,IF(P90&lt;=27,250,IF(P90&lt;=28,260,IF(P90&lt;=29,270,IF(P90&lt;=30,280,280))))))))))))))))))))))))))))))</f>
        <v>13</v>
      </c>
      <c r="AE90" s="16">
        <v>0</v>
      </c>
      <c r="AF90" s="16">
        <v>0</v>
      </c>
      <c r="AG90" s="16">
        <v>0</v>
      </c>
      <c r="AH90" s="16">
        <v>0</v>
      </c>
      <c r="AI90" s="16">
        <f t="shared" si="2"/>
        <v>0.78</v>
      </c>
      <c r="AJ90" s="16">
        <f t="shared" si="3"/>
        <v>13.78</v>
      </c>
      <c r="AK90" t="s">
        <v>58</v>
      </c>
    </row>
    <row r="91" spans="1:37" ht="15" customHeight="1" x14ac:dyDescent="0.35">
      <c r="A91">
        <v>690929</v>
      </c>
      <c r="B91" t="s">
        <v>37</v>
      </c>
      <c r="C91" t="s">
        <v>38</v>
      </c>
      <c r="D91" s="9" t="s">
        <v>39</v>
      </c>
      <c r="E91" s="10" t="s">
        <v>37</v>
      </c>
      <c r="F91" s="11"/>
      <c r="G91" t="s">
        <v>358</v>
      </c>
      <c r="H91" t="s">
        <v>41</v>
      </c>
      <c r="I91" t="s">
        <v>42</v>
      </c>
      <c r="J91" t="s">
        <v>359</v>
      </c>
      <c r="K91" t="s">
        <v>44</v>
      </c>
      <c r="L91">
        <v>2</v>
      </c>
      <c r="M91" t="s">
        <v>45</v>
      </c>
      <c r="N91" t="s">
        <v>46</v>
      </c>
      <c r="O91" t="s">
        <v>47</v>
      </c>
      <c r="P91" s="12">
        <v>1</v>
      </c>
      <c r="Q91" s="13">
        <v>44891.711828703701</v>
      </c>
      <c r="R91" s="14">
        <v>44895</v>
      </c>
      <c r="S91" t="s">
        <v>41</v>
      </c>
      <c r="T91" t="s">
        <v>48</v>
      </c>
      <c r="U91" t="s">
        <v>49</v>
      </c>
      <c r="V91" t="s">
        <v>56</v>
      </c>
      <c r="Y91" t="s">
        <v>360</v>
      </c>
      <c r="Z91">
        <v>83400</v>
      </c>
      <c r="AA91" t="s">
        <v>58</v>
      </c>
      <c r="AB91" t="s">
        <v>73</v>
      </c>
      <c r="AC91" t="s">
        <v>53</v>
      </c>
      <c r="AD91" s="17">
        <f>IF(P91&lt;=1,13,IF(P91&lt;=2,23,IF(P91&lt;=3,35,IF(P91&lt;=4,43,IF(P91&lt;=5,53,IF(P91&lt;=6,63,IF(P91&lt;=7,71,IF(P91&lt;=8,79,IF(P91&lt;=9,87,IF(P91&lt;=10,95,IF(P91&lt;=11,105,IF(P91&lt;=12,114,IF(P91&lt;=13,119,IF(P91&lt;=14,127,IF(P91&lt;=15,135,IF(P91&lt;=16,143,IF(P91&lt;=17,153,IF(P91&lt;=18,163,IF(P91&lt;=19,171,IF(P91&lt;=20,185,IF(P91&lt;=21,193,IF(P91&lt;=22,201,IF(P91&lt;=23,210,IF(P91&lt;=24,220,IF(P91&lt;=25,230,IF(P91&lt;=26,240,IF(P91&lt;=27,250,IF(P91&lt;=28,260,IF(P91&lt;=29,270,IF(P91&lt;=30,280,280))))))))))))))))))))))))))))))</f>
        <v>13</v>
      </c>
      <c r="AE91" s="16">
        <v>0</v>
      </c>
      <c r="AF91" s="16">
        <v>0</v>
      </c>
      <c r="AG91" s="16">
        <v>0</v>
      </c>
      <c r="AH91" s="16">
        <v>0</v>
      </c>
      <c r="AI91" s="16">
        <f t="shared" si="2"/>
        <v>0.78</v>
      </c>
      <c r="AJ91" s="16">
        <f t="shared" si="3"/>
        <v>13.78</v>
      </c>
      <c r="AK91" t="s">
        <v>58</v>
      </c>
    </row>
    <row r="92" spans="1:37" ht="15" customHeight="1" x14ac:dyDescent="0.35">
      <c r="A92">
        <v>690929</v>
      </c>
      <c r="B92" t="s">
        <v>37</v>
      </c>
      <c r="C92" t="s">
        <v>38</v>
      </c>
      <c r="D92" s="9" t="s">
        <v>39</v>
      </c>
      <c r="E92" s="10" t="s">
        <v>37</v>
      </c>
      <c r="F92" s="11"/>
      <c r="G92" t="s">
        <v>361</v>
      </c>
      <c r="H92" t="s">
        <v>41</v>
      </c>
      <c r="I92" t="s">
        <v>42</v>
      </c>
      <c r="J92" t="s">
        <v>362</v>
      </c>
      <c r="K92" t="s">
        <v>44</v>
      </c>
      <c r="L92">
        <v>2</v>
      </c>
      <c r="M92" t="s">
        <v>45</v>
      </c>
      <c r="N92" t="s">
        <v>46</v>
      </c>
      <c r="O92" t="s">
        <v>47</v>
      </c>
      <c r="P92" s="12">
        <v>1</v>
      </c>
      <c r="Q92" s="13">
        <v>44892.754745370374</v>
      </c>
      <c r="R92" s="14">
        <v>44895</v>
      </c>
      <c r="S92" t="s">
        <v>41</v>
      </c>
      <c r="T92" t="s">
        <v>48</v>
      </c>
      <c r="U92" t="s">
        <v>124</v>
      </c>
      <c r="V92" t="s">
        <v>71</v>
      </c>
      <c r="Y92" t="s">
        <v>363</v>
      </c>
      <c r="Z92">
        <v>52100</v>
      </c>
      <c r="AA92" t="s">
        <v>48</v>
      </c>
      <c r="AB92" t="s">
        <v>73</v>
      </c>
      <c r="AC92" t="s">
        <v>53</v>
      </c>
      <c r="AD92" s="15">
        <f>IF(P92&lt;=1,7,7+0.8*ROUNDUP(P92-1,0))</f>
        <v>7</v>
      </c>
      <c r="AE92" s="16">
        <v>0</v>
      </c>
      <c r="AF92" s="16">
        <v>0</v>
      </c>
      <c r="AG92" s="16">
        <v>0</v>
      </c>
      <c r="AH92" s="16">
        <v>0</v>
      </c>
      <c r="AI92" s="16">
        <f t="shared" si="2"/>
        <v>0.42</v>
      </c>
      <c r="AJ92" s="16">
        <f t="shared" si="3"/>
        <v>7.42</v>
      </c>
      <c r="AK92" t="s">
        <v>48</v>
      </c>
    </row>
    <row r="93" spans="1:37" ht="15" customHeight="1" x14ac:dyDescent="0.35">
      <c r="A93">
        <v>690929</v>
      </c>
      <c r="B93" t="s">
        <v>37</v>
      </c>
      <c r="C93" t="s">
        <v>38</v>
      </c>
      <c r="D93" s="9" t="s">
        <v>39</v>
      </c>
      <c r="E93" s="10" t="s">
        <v>37</v>
      </c>
      <c r="F93" s="11"/>
      <c r="G93" t="s">
        <v>364</v>
      </c>
      <c r="H93" t="s">
        <v>41</v>
      </c>
      <c r="I93" t="s">
        <v>42</v>
      </c>
      <c r="J93" t="s">
        <v>365</v>
      </c>
      <c r="K93" t="s">
        <v>44</v>
      </c>
      <c r="L93">
        <v>2</v>
      </c>
      <c r="M93" t="s">
        <v>45</v>
      </c>
      <c r="N93" t="s">
        <v>46</v>
      </c>
      <c r="O93" t="s">
        <v>47</v>
      </c>
      <c r="P93" s="12">
        <v>1</v>
      </c>
      <c r="Q93" s="13">
        <v>44893.583854166667</v>
      </c>
      <c r="R93" s="14">
        <v>44895</v>
      </c>
      <c r="S93" t="s">
        <v>41</v>
      </c>
      <c r="T93" t="s">
        <v>48</v>
      </c>
      <c r="U93" t="s">
        <v>124</v>
      </c>
      <c r="V93" t="s">
        <v>100</v>
      </c>
      <c r="Y93" t="s">
        <v>366</v>
      </c>
      <c r="Z93">
        <v>8700</v>
      </c>
      <c r="AA93" t="s">
        <v>48</v>
      </c>
      <c r="AB93" t="s">
        <v>73</v>
      </c>
      <c r="AC93" t="s">
        <v>53</v>
      </c>
      <c r="AD93" s="15">
        <f>IF(P93&lt;=1,7,7+0.8*ROUNDUP(P93-1,0))</f>
        <v>7</v>
      </c>
      <c r="AE93" s="16">
        <v>0</v>
      </c>
      <c r="AF93" s="16">
        <v>0</v>
      </c>
      <c r="AG93" s="16">
        <v>0</v>
      </c>
      <c r="AH93" s="16">
        <v>0</v>
      </c>
      <c r="AI93" s="16">
        <f t="shared" si="2"/>
        <v>0.42</v>
      </c>
      <c r="AJ93" s="16">
        <f t="shared" si="3"/>
        <v>7.42</v>
      </c>
      <c r="AK93" t="s">
        <v>48</v>
      </c>
    </row>
    <row r="94" spans="1:37" ht="15" customHeight="1" x14ac:dyDescent="0.35">
      <c r="A94">
        <v>690929</v>
      </c>
      <c r="B94" t="s">
        <v>37</v>
      </c>
      <c r="C94" t="s">
        <v>38</v>
      </c>
      <c r="D94" s="9" t="s">
        <v>39</v>
      </c>
      <c r="E94" s="10" t="s">
        <v>37</v>
      </c>
      <c r="F94" s="11"/>
      <c r="G94" t="s">
        <v>367</v>
      </c>
      <c r="H94" t="s">
        <v>41</v>
      </c>
      <c r="I94" t="s">
        <v>42</v>
      </c>
      <c r="J94" t="s">
        <v>368</v>
      </c>
      <c r="K94" t="s">
        <v>44</v>
      </c>
      <c r="L94">
        <v>2</v>
      </c>
      <c r="M94" t="s">
        <v>45</v>
      </c>
      <c r="N94" t="s">
        <v>46</v>
      </c>
      <c r="O94" t="s">
        <v>47</v>
      </c>
      <c r="P94" s="12">
        <v>1</v>
      </c>
      <c r="Q94" s="13">
        <v>44892.759270833332</v>
      </c>
      <c r="R94" s="14">
        <v>44895</v>
      </c>
      <c r="S94" t="s">
        <v>41</v>
      </c>
      <c r="T94" t="s">
        <v>48</v>
      </c>
      <c r="U94" t="s">
        <v>124</v>
      </c>
      <c r="V94" t="s">
        <v>71</v>
      </c>
      <c r="Y94" t="s">
        <v>369</v>
      </c>
      <c r="Z94">
        <v>43700</v>
      </c>
      <c r="AA94" t="s">
        <v>48</v>
      </c>
      <c r="AB94" t="s">
        <v>73</v>
      </c>
      <c r="AC94" t="s">
        <v>53</v>
      </c>
      <c r="AD94" s="15">
        <f>IF(P94&lt;=1,7,7+0.8*ROUNDUP(P94-1,0))</f>
        <v>7</v>
      </c>
      <c r="AE94" s="16">
        <v>0</v>
      </c>
      <c r="AF94" s="16">
        <v>0</v>
      </c>
      <c r="AG94" s="16">
        <v>0</v>
      </c>
      <c r="AH94" s="16">
        <v>0</v>
      </c>
      <c r="AI94" s="16">
        <f t="shared" si="2"/>
        <v>0.42</v>
      </c>
      <c r="AJ94" s="16">
        <f t="shared" si="3"/>
        <v>7.42</v>
      </c>
      <c r="AK94" t="s">
        <v>48</v>
      </c>
    </row>
    <row r="95" spans="1:37" ht="15" customHeight="1" x14ac:dyDescent="0.35">
      <c r="A95">
        <v>690929</v>
      </c>
      <c r="B95" t="s">
        <v>37</v>
      </c>
      <c r="C95" t="s">
        <v>38</v>
      </c>
      <c r="D95" s="9" t="s">
        <v>39</v>
      </c>
      <c r="E95" s="10" t="s">
        <v>37</v>
      </c>
      <c r="F95" s="11"/>
      <c r="G95" t="s">
        <v>370</v>
      </c>
      <c r="H95" t="s">
        <v>41</v>
      </c>
      <c r="I95" t="s">
        <v>42</v>
      </c>
      <c r="J95" t="s">
        <v>371</v>
      </c>
      <c r="K95" t="s">
        <v>44</v>
      </c>
      <c r="L95">
        <v>2</v>
      </c>
      <c r="M95" t="s">
        <v>45</v>
      </c>
      <c r="N95" t="s">
        <v>46</v>
      </c>
      <c r="O95" t="s">
        <v>47</v>
      </c>
      <c r="P95" s="12">
        <v>1</v>
      </c>
      <c r="Q95" s="13">
        <v>44894.597986111112</v>
      </c>
      <c r="R95" s="14">
        <v>44895</v>
      </c>
      <c r="S95" t="s">
        <v>41</v>
      </c>
      <c r="T95" t="s">
        <v>48</v>
      </c>
      <c r="U95" t="s">
        <v>49</v>
      </c>
      <c r="V95" t="s">
        <v>71</v>
      </c>
      <c r="Y95" t="s">
        <v>372</v>
      </c>
      <c r="Z95">
        <v>41050</v>
      </c>
      <c r="AA95" t="s">
        <v>48</v>
      </c>
      <c r="AB95" t="s">
        <v>73</v>
      </c>
      <c r="AC95" t="s">
        <v>53</v>
      </c>
      <c r="AD95" s="15">
        <f>IF(P95&lt;=1,7,7+0.8*ROUNDUP(P95-1,0))</f>
        <v>7</v>
      </c>
      <c r="AE95" s="16">
        <v>0</v>
      </c>
      <c r="AF95" s="16">
        <v>0</v>
      </c>
      <c r="AG95" s="16">
        <v>0</v>
      </c>
      <c r="AH95" s="16">
        <v>0</v>
      </c>
      <c r="AI95" s="16">
        <f t="shared" si="2"/>
        <v>0.42</v>
      </c>
      <c r="AJ95" s="16">
        <f t="shared" si="3"/>
        <v>7.42</v>
      </c>
      <c r="AK95" t="s">
        <v>48</v>
      </c>
    </row>
    <row r="96" spans="1:37" ht="15" customHeight="1" x14ac:dyDescent="0.35">
      <c r="A96">
        <v>690929</v>
      </c>
      <c r="B96" t="s">
        <v>37</v>
      </c>
      <c r="C96" t="s">
        <v>38</v>
      </c>
      <c r="D96" s="9" t="s">
        <v>39</v>
      </c>
      <c r="E96" s="10" t="s">
        <v>37</v>
      </c>
      <c r="F96" s="11"/>
      <c r="G96" t="s">
        <v>373</v>
      </c>
      <c r="H96" t="s">
        <v>41</v>
      </c>
      <c r="I96" t="s">
        <v>42</v>
      </c>
      <c r="J96" t="s">
        <v>374</v>
      </c>
      <c r="K96" t="s">
        <v>44</v>
      </c>
      <c r="L96">
        <v>2</v>
      </c>
      <c r="M96" t="s">
        <v>45</v>
      </c>
      <c r="N96" t="s">
        <v>46</v>
      </c>
      <c r="O96" t="s">
        <v>47</v>
      </c>
      <c r="P96" s="12">
        <v>1</v>
      </c>
      <c r="Q96" s="13">
        <v>44894.596944444442</v>
      </c>
      <c r="R96" s="14">
        <v>44895</v>
      </c>
      <c r="S96" t="s">
        <v>41</v>
      </c>
      <c r="T96" t="s">
        <v>48</v>
      </c>
      <c r="U96" t="s">
        <v>49</v>
      </c>
      <c r="V96" t="s">
        <v>71</v>
      </c>
      <c r="Y96" t="s">
        <v>375</v>
      </c>
      <c r="Z96">
        <v>68100</v>
      </c>
      <c r="AA96" t="s">
        <v>48</v>
      </c>
      <c r="AB96" t="s">
        <v>73</v>
      </c>
      <c r="AC96" t="s">
        <v>53</v>
      </c>
      <c r="AD96" s="15">
        <f>IF(P96&lt;=1,7,7+0.8*ROUNDUP(P96-1,0))</f>
        <v>7</v>
      </c>
      <c r="AE96" s="16">
        <v>0</v>
      </c>
      <c r="AF96" s="16">
        <v>0</v>
      </c>
      <c r="AG96" s="16">
        <v>0</v>
      </c>
      <c r="AH96" s="16">
        <v>0</v>
      </c>
      <c r="AI96" s="16">
        <f t="shared" si="2"/>
        <v>0.42</v>
      </c>
      <c r="AJ96" s="16">
        <f t="shared" si="3"/>
        <v>7.42</v>
      </c>
      <c r="AK96" t="s">
        <v>48</v>
      </c>
    </row>
    <row r="97" spans="1:37" ht="15" customHeight="1" x14ac:dyDescent="0.35">
      <c r="A97">
        <v>690929</v>
      </c>
      <c r="B97" t="s">
        <v>37</v>
      </c>
      <c r="C97" t="s">
        <v>38</v>
      </c>
      <c r="D97" s="9" t="s">
        <v>39</v>
      </c>
      <c r="E97" s="10" t="s">
        <v>37</v>
      </c>
      <c r="F97" s="11"/>
      <c r="G97" t="s">
        <v>376</v>
      </c>
      <c r="H97" t="s">
        <v>41</v>
      </c>
      <c r="I97" t="s">
        <v>42</v>
      </c>
      <c r="J97" t="s">
        <v>377</v>
      </c>
      <c r="K97" t="s">
        <v>44</v>
      </c>
      <c r="L97">
        <v>2</v>
      </c>
      <c r="M97" t="s">
        <v>45</v>
      </c>
      <c r="N97" t="s">
        <v>46</v>
      </c>
      <c r="O97" t="s">
        <v>47</v>
      </c>
      <c r="P97" s="12">
        <v>1</v>
      </c>
      <c r="Q97" s="13">
        <v>44892.703981481478</v>
      </c>
      <c r="R97" s="14">
        <v>44895</v>
      </c>
      <c r="S97" t="s">
        <v>41</v>
      </c>
      <c r="T97" t="s">
        <v>48</v>
      </c>
      <c r="U97" t="s">
        <v>49</v>
      </c>
      <c r="V97" t="s">
        <v>56</v>
      </c>
      <c r="Y97" t="s">
        <v>378</v>
      </c>
      <c r="Z97">
        <v>89600</v>
      </c>
      <c r="AA97" t="s">
        <v>58</v>
      </c>
      <c r="AB97" t="s">
        <v>379</v>
      </c>
      <c r="AC97" t="s">
        <v>53</v>
      </c>
      <c r="AD97" s="17">
        <f>IF(P97&lt;=1,13,IF(P97&lt;=2,23,IF(P97&lt;=3,35,IF(P97&lt;=4,43,IF(P97&lt;=5,53,IF(P97&lt;=6,63,IF(P97&lt;=7,71,IF(P97&lt;=8,79,IF(P97&lt;=9,87,IF(P97&lt;=10,95,IF(P97&lt;=11,105,IF(P97&lt;=12,114,IF(P97&lt;=13,119,IF(P97&lt;=14,127,IF(P97&lt;=15,135,IF(P97&lt;=16,143,IF(P97&lt;=17,153,IF(P97&lt;=18,163,IF(P97&lt;=19,171,IF(P97&lt;=20,185,IF(P97&lt;=21,193,IF(P97&lt;=22,201,IF(P97&lt;=23,210,IF(P97&lt;=24,220,IF(P97&lt;=25,230,IF(P97&lt;=26,240,IF(P97&lt;=27,250,IF(P97&lt;=28,260,IF(P97&lt;=29,270,IF(P97&lt;=30,280,280))))))))))))))))))))))))))))))</f>
        <v>13</v>
      </c>
      <c r="AE97" s="16">
        <v>0</v>
      </c>
      <c r="AF97" s="16">
        <v>0</v>
      </c>
      <c r="AG97" s="16">
        <v>0</v>
      </c>
      <c r="AH97" s="16">
        <v>0</v>
      </c>
      <c r="AI97" s="16">
        <f t="shared" si="2"/>
        <v>0.78</v>
      </c>
      <c r="AJ97" s="16">
        <f t="shared" si="3"/>
        <v>13.78</v>
      </c>
      <c r="AK97" t="s">
        <v>58</v>
      </c>
    </row>
    <row r="98" spans="1:37" ht="15" customHeight="1" x14ac:dyDescent="0.35">
      <c r="A98">
        <v>690929</v>
      </c>
      <c r="B98" t="s">
        <v>37</v>
      </c>
      <c r="C98" t="s">
        <v>38</v>
      </c>
      <c r="D98" s="9" t="s">
        <v>39</v>
      </c>
      <c r="E98" s="10" t="s">
        <v>37</v>
      </c>
      <c r="F98" s="11"/>
      <c r="G98" t="s">
        <v>380</v>
      </c>
      <c r="H98" t="s">
        <v>41</v>
      </c>
      <c r="I98" t="s">
        <v>42</v>
      </c>
      <c r="J98" t="s">
        <v>381</v>
      </c>
      <c r="K98" t="s">
        <v>44</v>
      </c>
      <c r="L98">
        <v>2</v>
      </c>
      <c r="M98" t="s">
        <v>45</v>
      </c>
      <c r="N98" t="s">
        <v>46</v>
      </c>
      <c r="O98" t="s">
        <v>47</v>
      </c>
      <c r="P98" s="12">
        <v>25</v>
      </c>
      <c r="Q98" s="13">
        <v>44864.732719907406</v>
      </c>
      <c r="R98" s="14">
        <v>44866</v>
      </c>
      <c r="S98" t="s">
        <v>41</v>
      </c>
      <c r="T98" t="s">
        <v>48</v>
      </c>
      <c r="U98" t="s">
        <v>49</v>
      </c>
      <c r="V98" t="s">
        <v>71</v>
      </c>
      <c r="Y98" t="s">
        <v>382</v>
      </c>
      <c r="Z98">
        <v>41050</v>
      </c>
      <c r="AA98" t="s">
        <v>48</v>
      </c>
      <c r="AB98" t="s">
        <v>238</v>
      </c>
      <c r="AC98" t="s">
        <v>53</v>
      </c>
      <c r="AD98" s="15">
        <f>IF(P98&lt;=1,7,7+0.8*ROUNDUP(P98-1,0))</f>
        <v>26.200000000000003</v>
      </c>
      <c r="AE98" s="16">
        <v>0</v>
      </c>
      <c r="AF98" s="16">
        <v>0</v>
      </c>
      <c r="AG98" s="16">
        <v>0</v>
      </c>
      <c r="AH98" s="16">
        <v>0</v>
      </c>
      <c r="AI98" s="16">
        <f t="shared" si="2"/>
        <v>1.5720000000000001</v>
      </c>
      <c r="AJ98" s="16">
        <f t="shared" si="3"/>
        <v>27.772000000000002</v>
      </c>
      <c r="AK98" t="s">
        <v>48</v>
      </c>
    </row>
    <row r="99" spans="1:37" ht="15" customHeight="1" x14ac:dyDescent="0.35">
      <c r="A99">
        <v>690929</v>
      </c>
      <c r="B99" t="s">
        <v>37</v>
      </c>
      <c r="C99" t="s">
        <v>38</v>
      </c>
      <c r="D99" s="9" t="s">
        <v>39</v>
      </c>
      <c r="E99" s="10" t="s">
        <v>37</v>
      </c>
      <c r="F99" s="11"/>
      <c r="G99" t="s">
        <v>383</v>
      </c>
      <c r="H99" t="s">
        <v>41</v>
      </c>
      <c r="I99" t="s">
        <v>42</v>
      </c>
      <c r="J99" t="s">
        <v>384</v>
      </c>
      <c r="K99" t="s">
        <v>44</v>
      </c>
      <c r="L99">
        <v>2</v>
      </c>
      <c r="M99" t="s">
        <v>45</v>
      </c>
      <c r="N99" t="s">
        <v>46</v>
      </c>
      <c r="O99" t="s">
        <v>47</v>
      </c>
      <c r="P99" s="12">
        <v>1</v>
      </c>
      <c r="Q99" s="13">
        <v>44863.733668981484</v>
      </c>
      <c r="R99" s="14">
        <v>44866</v>
      </c>
      <c r="S99" t="s">
        <v>41</v>
      </c>
      <c r="T99" t="s">
        <v>48</v>
      </c>
      <c r="U99" t="s">
        <v>49</v>
      </c>
      <c r="V99" t="s">
        <v>80</v>
      </c>
      <c r="Y99" t="s">
        <v>385</v>
      </c>
      <c r="Z99">
        <v>75450</v>
      </c>
      <c r="AA99" t="s">
        <v>48</v>
      </c>
      <c r="AB99" t="s">
        <v>49</v>
      </c>
      <c r="AC99" t="s">
        <v>53</v>
      </c>
      <c r="AD99" s="15">
        <f>IF(P99&lt;=1,7,7+0.8*ROUNDUP(P99-1,0))</f>
        <v>7</v>
      </c>
      <c r="AE99" s="16">
        <v>0</v>
      </c>
      <c r="AF99" s="16">
        <v>0</v>
      </c>
      <c r="AG99" s="16">
        <v>0</v>
      </c>
      <c r="AH99" s="16">
        <v>0</v>
      </c>
      <c r="AI99" s="16">
        <f t="shared" si="2"/>
        <v>0.42</v>
      </c>
      <c r="AJ99" s="16">
        <f t="shared" si="3"/>
        <v>7.42</v>
      </c>
      <c r="AK99" t="s">
        <v>48</v>
      </c>
    </row>
    <row r="100" spans="1:37" ht="15" customHeight="1" x14ac:dyDescent="0.35">
      <c r="A100">
        <v>690929</v>
      </c>
      <c r="B100" t="s">
        <v>37</v>
      </c>
      <c r="C100" t="s">
        <v>38</v>
      </c>
      <c r="D100" s="9" t="s">
        <v>39</v>
      </c>
      <c r="E100" s="10" t="s">
        <v>37</v>
      </c>
      <c r="F100" s="11"/>
      <c r="G100" t="s">
        <v>386</v>
      </c>
      <c r="H100" t="s">
        <v>41</v>
      </c>
      <c r="I100" t="s">
        <v>42</v>
      </c>
      <c r="J100" t="s">
        <v>387</v>
      </c>
      <c r="K100" t="s">
        <v>44</v>
      </c>
      <c r="L100">
        <v>2</v>
      </c>
      <c r="M100" t="s">
        <v>45</v>
      </c>
      <c r="N100" t="s">
        <v>46</v>
      </c>
      <c r="O100" t="s">
        <v>47</v>
      </c>
      <c r="P100" s="12">
        <v>1</v>
      </c>
      <c r="Q100" s="13">
        <v>44864.735347222224</v>
      </c>
      <c r="R100" s="14">
        <v>44866</v>
      </c>
      <c r="S100" t="s">
        <v>41</v>
      </c>
      <c r="T100" t="s">
        <v>48</v>
      </c>
      <c r="U100" t="s">
        <v>49</v>
      </c>
      <c r="V100" t="s">
        <v>71</v>
      </c>
      <c r="Y100" t="s">
        <v>388</v>
      </c>
      <c r="Z100">
        <v>47000</v>
      </c>
      <c r="AA100" t="s">
        <v>48</v>
      </c>
      <c r="AB100" t="s">
        <v>73</v>
      </c>
      <c r="AC100" t="s">
        <v>53</v>
      </c>
      <c r="AD100" s="15">
        <f>IF(P100&lt;=1,7,7+0.8*ROUNDUP(P100-1,0))</f>
        <v>7</v>
      </c>
      <c r="AE100" s="16">
        <v>0</v>
      </c>
      <c r="AF100" s="16">
        <v>0</v>
      </c>
      <c r="AG100" s="16">
        <v>0</v>
      </c>
      <c r="AH100" s="16">
        <v>0</v>
      </c>
      <c r="AI100" s="16">
        <f t="shared" si="2"/>
        <v>0.42</v>
      </c>
      <c r="AJ100" s="16">
        <f t="shared" si="3"/>
        <v>7.42</v>
      </c>
      <c r="AK100" t="s">
        <v>48</v>
      </c>
    </row>
    <row r="101" spans="1:37" ht="15" customHeight="1" x14ac:dyDescent="0.35">
      <c r="A101">
        <v>690929</v>
      </c>
      <c r="B101" t="s">
        <v>37</v>
      </c>
      <c r="C101" t="s">
        <v>38</v>
      </c>
      <c r="D101" s="9" t="s">
        <v>39</v>
      </c>
      <c r="E101" s="10" t="s">
        <v>37</v>
      </c>
      <c r="F101" s="11"/>
      <c r="G101" t="s">
        <v>389</v>
      </c>
      <c r="H101" t="s">
        <v>41</v>
      </c>
      <c r="I101" t="s">
        <v>42</v>
      </c>
      <c r="J101" t="s">
        <v>390</v>
      </c>
      <c r="K101" t="s">
        <v>44</v>
      </c>
      <c r="L101">
        <v>2</v>
      </c>
      <c r="M101" t="s">
        <v>45</v>
      </c>
      <c r="N101" t="s">
        <v>46</v>
      </c>
      <c r="O101" t="s">
        <v>47</v>
      </c>
      <c r="P101" s="12">
        <v>1</v>
      </c>
      <c r="Q101" s="13">
        <v>44865.584166666667</v>
      </c>
      <c r="R101" s="14">
        <v>44866</v>
      </c>
      <c r="S101" t="s">
        <v>41</v>
      </c>
      <c r="T101" t="s">
        <v>48</v>
      </c>
      <c r="U101" t="s">
        <v>49</v>
      </c>
      <c r="V101" t="s">
        <v>96</v>
      </c>
      <c r="Y101" t="s">
        <v>391</v>
      </c>
      <c r="Z101">
        <v>21000</v>
      </c>
      <c r="AA101" t="s">
        <v>48</v>
      </c>
      <c r="AB101" t="s">
        <v>49</v>
      </c>
      <c r="AC101" t="s">
        <v>53</v>
      </c>
      <c r="AD101" s="15">
        <f>IF(P101&lt;=1,7,7+0.8*ROUNDUP(P101-1,0))</f>
        <v>7</v>
      </c>
      <c r="AE101" s="16">
        <v>0</v>
      </c>
      <c r="AF101" s="16">
        <v>0</v>
      </c>
      <c r="AG101" s="16">
        <v>0</v>
      </c>
      <c r="AH101" s="16">
        <v>0</v>
      </c>
      <c r="AI101" s="16">
        <f t="shared" si="2"/>
        <v>0.42</v>
      </c>
      <c r="AJ101" s="16">
        <f t="shared" si="3"/>
        <v>7.42</v>
      </c>
      <c r="AK101" t="s">
        <v>48</v>
      </c>
    </row>
    <row r="102" spans="1:37" ht="15" customHeight="1" x14ac:dyDescent="0.35">
      <c r="A102">
        <v>690929</v>
      </c>
      <c r="B102" t="s">
        <v>37</v>
      </c>
      <c r="C102" t="s">
        <v>38</v>
      </c>
      <c r="D102" s="9" t="s">
        <v>39</v>
      </c>
      <c r="E102" s="10" t="s">
        <v>37</v>
      </c>
      <c r="F102" s="11"/>
      <c r="G102" t="s">
        <v>392</v>
      </c>
      <c r="H102" t="s">
        <v>41</v>
      </c>
      <c r="I102" t="s">
        <v>42</v>
      </c>
      <c r="J102" t="s">
        <v>393</v>
      </c>
      <c r="K102" t="s">
        <v>44</v>
      </c>
      <c r="L102">
        <v>2</v>
      </c>
      <c r="M102" t="s">
        <v>45</v>
      </c>
      <c r="N102" t="s">
        <v>46</v>
      </c>
      <c r="O102" t="s">
        <v>47</v>
      </c>
      <c r="P102" s="12">
        <v>1</v>
      </c>
      <c r="Q102" s="13">
        <v>44865.4296412037</v>
      </c>
      <c r="R102" s="14">
        <v>44866</v>
      </c>
      <c r="S102" t="s">
        <v>41</v>
      </c>
      <c r="T102" t="s">
        <v>48</v>
      </c>
      <c r="U102" t="s">
        <v>49</v>
      </c>
      <c r="V102" t="s">
        <v>62</v>
      </c>
      <c r="Y102" t="s">
        <v>394</v>
      </c>
      <c r="Z102">
        <v>50480</v>
      </c>
      <c r="AA102" t="s">
        <v>48</v>
      </c>
      <c r="AB102" t="s">
        <v>73</v>
      </c>
      <c r="AC102" t="s">
        <v>53</v>
      </c>
      <c r="AD102" s="15">
        <f>IF(P102&lt;=1,7,7+0.8*ROUNDUP(P102-1,0))</f>
        <v>7</v>
      </c>
      <c r="AE102" s="16">
        <v>0</v>
      </c>
      <c r="AF102" s="16">
        <v>0</v>
      </c>
      <c r="AG102" s="16">
        <v>0</v>
      </c>
      <c r="AH102" s="16">
        <v>0</v>
      </c>
      <c r="AI102" s="16">
        <f t="shared" si="2"/>
        <v>0.42</v>
      </c>
      <c r="AJ102" s="16">
        <f t="shared" si="3"/>
        <v>7.42</v>
      </c>
      <c r="AK102" t="s">
        <v>48</v>
      </c>
    </row>
    <row r="103" spans="1:37" ht="15" customHeight="1" x14ac:dyDescent="0.35">
      <c r="A103">
        <v>690929</v>
      </c>
      <c r="B103" t="s">
        <v>37</v>
      </c>
      <c r="C103" t="s">
        <v>38</v>
      </c>
      <c r="D103" s="9" t="s">
        <v>39</v>
      </c>
      <c r="E103" s="10" t="s">
        <v>37</v>
      </c>
      <c r="F103" s="11"/>
      <c r="G103" t="s">
        <v>395</v>
      </c>
      <c r="H103" t="s">
        <v>41</v>
      </c>
      <c r="I103" t="s">
        <v>42</v>
      </c>
      <c r="J103" t="s">
        <v>396</v>
      </c>
      <c r="K103" t="s">
        <v>44</v>
      </c>
      <c r="L103">
        <v>2</v>
      </c>
      <c r="M103" t="s">
        <v>45</v>
      </c>
      <c r="N103" t="s">
        <v>46</v>
      </c>
      <c r="O103" t="s">
        <v>47</v>
      </c>
      <c r="P103" s="12">
        <v>1</v>
      </c>
      <c r="Q103" s="13">
        <v>44863.729143518518</v>
      </c>
      <c r="R103" s="14">
        <v>44866</v>
      </c>
      <c r="S103" t="s">
        <v>41</v>
      </c>
      <c r="T103" t="s">
        <v>48</v>
      </c>
      <c r="U103" t="s">
        <v>49</v>
      </c>
      <c r="V103" t="s">
        <v>115</v>
      </c>
      <c r="Y103" t="s">
        <v>397</v>
      </c>
      <c r="Z103">
        <v>85300</v>
      </c>
      <c r="AA103" t="s">
        <v>48</v>
      </c>
      <c r="AB103" t="s">
        <v>73</v>
      </c>
      <c r="AC103" t="s">
        <v>53</v>
      </c>
      <c r="AD103" s="15">
        <f>IF(P103&lt;=1,7,7+0.8*ROUNDUP(P103-1,0))</f>
        <v>7</v>
      </c>
      <c r="AE103" s="16">
        <v>0</v>
      </c>
      <c r="AF103" s="16">
        <v>0</v>
      </c>
      <c r="AG103" s="16">
        <v>0</v>
      </c>
      <c r="AH103" s="16">
        <v>0</v>
      </c>
      <c r="AI103" s="16">
        <f t="shared" si="2"/>
        <v>0.42</v>
      </c>
      <c r="AJ103" s="16">
        <f t="shared" si="3"/>
        <v>7.42</v>
      </c>
      <c r="AK103" t="s">
        <v>48</v>
      </c>
    </row>
    <row r="104" spans="1:37" ht="15" customHeight="1" x14ac:dyDescent="0.35">
      <c r="A104">
        <v>690929</v>
      </c>
      <c r="B104" t="s">
        <v>37</v>
      </c>
      <c r="C104" t="s">
        <v>38</v>
      </c>
      <c r="D104" s="9" t="s">
        <v>39</v>
      </c>
      <c r="E104" s="10" t="s">
        <v>37</v>
      </c>
      <c r="F104" s="11"/>
      <c r="G104" t="s">
        <v>398</v>
      </c>
      <c r="H104" t="s">
        <v>41</v>
      </c>
      <c r="I104" t="s">
        <v>42</v>
      </c>
      <c r="J104" t="s">
        <v>399</v>
      </c>
      <c r="K104" t="s">
        <v>44</v>
      </c>
      <c r="L104">
        <v>2</v>
      </c>
      <c r="M104" t="s">
        <v>45</v>
      </c>
      <c r="N104" t="s">
        <v>46</v>
      </c>
      <c r="O104" t="s">
        <v>47</v>
      </c>
      <c r="P104" s="12">
        <v>1</v>
      </c>
      <c r="Q104" s="13">
        <v>44865.591284722221</v>
      </c>
      <c r="R104" s="14">
        <v>44866</v>
      </c>
      <c r="S104" t="s">
        <v>41</v>
      </c>
      <c r="T104" t="s">
        <v>48</v>
      </c>
      <c r="U104" t="s">
        <v>49</v>
      </c>
      <c r="V104" t="s">
        <v>71</v>
      </c>
      <c r="Y104" t="s">
        <v>400</v>
      </c>
      <c r="Z104">
        <v>62100</v>
      </c>
      <c r="AA104" t="s">
        <v>48</v>
      </c>
      <c r="AB104" t="s">
        <v>73</v>
      </c>
      <c r="AC104" t="s">
        <v>53</v>
      </c>
      <c r="AD104" s="15">
        <f>IF(P104&lt;=1,7,7+0.8*ROUNDUP(P104-1,0))</f>
        <v>7</v>
      </c>
      <c r="AE104" s="16">
        <v>0</v>
      </c>
      <c r="AF104" s="16">
        <v>0</v>
      </c>
      <c r="AG104" s="16">
        <v>0</v>
      </c>
      <c r="AH104" s="16">
        <v>0</v>
      </c>
      <c r="AI104" s="16">
        <f t="shared" si="2"/>
        <v>0.42</v>
      </c>
      <c r="AJ104" s="16">
        <f t="shared" si="3"/>
        <v>7.42</v>
      </c>
      <c r="AK104" t="s">
        <v>48</v>
      </c>
    </row>
    <row r="105" spans="1:37" ht="15" customHeight="1" x14ac:dyDescent="0.35">
      <c r="A105">
        <v>690929</v>
      </c>
      <c r="B105" t="s">
        <v>37</v>
      </c>
      <c r="C105" t="s">
        <v>38</v>
      </c>
      <c r="D105" s="9" t="s">
        <v>39</v>
      </c>
      <c r="E105" s="10" t="s">
        <v>37</v>
      </c>
      <c r="F105" s="11"/>
      <c r="G105" t="s">
        <v>401</v>
      </c>
      <c r="H105" t="s">
        <v>41</v>
      </c>
      <c r="I105" t="s">
        <v>42</v>
      </c>
      <c r="J105" t="s">
        <v>402</v>
      </c>
      <c r="K105" t="s">
        <v>44</v>
      </c>
      <c r="L105">
        <v>2</v>
      </c>
      <c r="M105" t="s">
        <v>45</v>
      </c>
      <c r="N105" t="s">
        <v>46</v>
      </c>
      <c r="O105" t="s">
        <v>47</v>
      </c>
      <c r="P105" s="12">
        <v>1</v>
      </c>
      <c r="Q105" s="13">
        <v>44864.501261574071</v>
      </c>
      <c r="R105" s="14">
        <v>44866</v>
      </c>
      <c r="S105" t="s">
        <v>41</v>
      </c>
      <c r="T105" t="s">
        <v>48</v>
      </c>
      <c r="U105" t="s">
        <v>49</v>
      </c>
      <c r="V105" t="s">
        <v>85</v>
      </c>
      <c r="Y105" t="s">
        <v>403</v>
      </c>
      <c r="Z105">
        <v>11700</v>
      </c>
      <c r="AA105" t="s">
        <v>48</v>
      </c>
      <c r="AB105" t="s">
        <v>73</v>
      </c>
      <c r="AC105" t="s">
        <v>53</v>
      </c>
      <c r="AD105" s="15">
        <f>IF(P105&lt;=1,7,7+0.8*ROUNDUP(P105-1,0))</f>
        <v>7</v>
      </c>
      <c r="AE105" s="16">
        <v>0</v>
      </c>
      <c r="AF105" s="16">
        <v>0</v>
      </c>
      <c r="AG105" s="16">
        <v>0</v>
      </c>
      <c r="AH105" s="16">
        <v>0</v>
      </c>
      <c r="AI105" s="16">
        <f t="shared" si="2"/>
        <v>0.42</v>
      </c>
      <c r="AJ105" s="16">
        <f t="shared" si="3"/>
        <v>7.42</v>
      </c>
      <c r="AK105" t="s">
        <v>48</v>
      </c>
    </row>
    <row r="106" spans="1:37" ht="15" customHeight="1" x14ac:dyDescent="0.35">
      <c r="A106">
        <v>690929</v>
      </c>
      <c r="B106" t="s">
        <v>37</v>
      </c>
      <c r="C106" t="s">
        <v>38</v>
      </c>
      <c r="D106" s="9" t="s">
        <v>39</v>
      </c>
      <c r="E106" s="10" t="s">
        <v>37</v>
      </c>
      <c r="F106" s="11"/>
      <c r="G106" t="s">
        <v>404</v>
      </c>
      <c r="H106" t="s">
        <v>41</v>
      </c>
      <c r="I106" t="s">
        <v>42</v>
      </c>
      <c r="J106" t="s">
        <v>405</v>
      </c>
      <c r="K106" t="s">
        <v>44</v>
      </c>
      <c r="L106">
        <v>2</v>
      </c>
      <c r="M106" t="s">
        <v>45</v>
      </c>
      <c r="N106" t="s">
        <v>46</v>
      </c>
      <c r="O106" t="s">
        <v>47</v>
      </c>
      <c r="P106" s="12">
        <v>8</v>
      </c>
      <c r="Q106" s="13">
        <v>44865.593368055554</v>
      </c>
      <c r="R106" s="14">
        <v>44866</v>
      </c>
      <c r="S106" t="s">
        <v>41</v>
      </c>
      <c r="T106" t="s">
        <v>48</v>
      </c>
      <c r="U106" t="s">
        <v>49</v>
      </c>
      <c r="V106" t="s">
        <v>71</v>
      </c>
      <c r="Y106" t="s">
        <v>406</v>
      </c>
      <c r="Z106">
        <v>68000</v>
      </c>
      <c r="AA106" t="s">
        <v>48</v>
      </c>
      <c r="AB106" t="s">
        <v>407</v>
      </c>
      <c r="AC106" t="s">
        <v>53</v>
      </c>
      <c r="AD106" s="15">
        <f>IF(P106&lt;=1,7,7+0.8*ROUNDUP(P106-1,0))</f>
        <v>12.600000000000001</v>
      </c>
      <c r="AE106" s="16">
        <v>0</v>
      </c>
      <c r="AF106" s="16">
        <v>0</v>
      </c>
      <c r="AG106" s="16">
        <v>0</v>
      </c>
      <c r="AH106" s="16">
        <v>0</v>
      </c>
      <c r="AI106" s="16">
        <f t="shared" si="2"/>
        <v>0.75600000000000001</v>
      </c>
      <c r="AJ106" s="16">
        <f t="shared" si="3"/>
        <v>13.356000000000002</v>
      </c>
      <c r="AK106" t="s">
        <v>48</v>
      </c>
    </row>
    <row r="107" spans="1:37" ht="15" customHeight="1" x14ac:dyDescent="0.35">
      <c r="A107">
        <v>690929</v>
      </c>
      <c r="B107" t="s">
        <v>37</v>
      </c>
      <c r="C107" t="s">
        <v>38</v>
      </c>
      <c r="D107" s="9" t="s">
        <v>39</v>
      </c>
      <c r="E107" s="10" t="s">
        <v>37</v>
      </c>
      <c r="F107" s="11"/>
      <c r="G107" t="s">
        <v>408</v>
      </c>
      <c r="H107" t="s">
        <v>41</v>
      </c>
      <c r="I107" t="s">
        <v>42</v>
      </c>
      <c r="J107" t="s">
        <v>409</v>
      </c>
      <c r="K107" t="s">
        <v>44</v>
      </c>
      <c r="L107">
        <v>2</v>
      </c>
      <c r="M107" t="s">
        <v>45</v>
      </c>
      <c r="N107" t="s">
        <v>46</v>
      </c>
      <c r="O107" t="s">
        <v>47</v>
      </c>
      <c r="P107" s="12">
        <v>2</v>
      </c>
      <c r="Q107" s="13">
        <v>44865.511412037034</v>
      </c>
      <c r="R107" s="14">
        <v>44866</v>
      </c>
      <c r="S107" t="s">
        <v>41</v>
      </c>
      <c r="T107" t="s">
        <v>48</v>
      </c>
      <c r="U107" t="s">
        <v>49</v>
      </c>
      <c r="V107" t="s">
        <v>96</v>
      </c>
      <c r="Y107" t="s">
        <v>410</v>
      </c>
      <c r="Z107">
        <v>24210</v>
      </c>
      <c r="AA107" t="s">
        <v>48</v>
      </c>
      <c r="AB107" t="s">
        <v>411</v>
      </c>
      <c r="AC107" t="s">
        <v>53</v>
      </c>
      <c r="AD107" s="15">
        <f>IF(P107&lt;=1,7,7+0.8*ROUNDUP(P107-1,0))</f>
        <v>7.8</v>
      </c>
      <c r="AE107" s="16">
        <v>0</v>
      </c>
      <c r="AF107" s="16">
        <v>0</v>
      </c>
      <c r="AG107" s="16">
        <v>0</v>
      </c>
      <c r="AH107" s="16">
        <v>0</v>
      </c>
      <c r="AI107" s="16">
        <f t="shared" si="2"/>
        <v>0.46799999999999997</v>
      </c>
      <c r="AJ107" s="16">
        <f t="shared" si="3"/>
        <v>8.2680000000000007</v>
      </c>
      <c r="AK107" t="s">
        <v>48</v>
      </c>
    </row>
    <row r="108" spans="1:37" ht="15" customHeight="1" x14ac:dyDescent="0.35">
      <c r="A108">
        <v>690929</v>
      </c>
      <c r="B108" t="s">
        <v>37</v>
      </c>
      <c r="C108" t="s">
        <v>38</v>
      </c>
      <c r="D108" s="9" t="s">
        <v>39</v>
      </c>
      <c r="E108" s="10" t="s">
        <v>37</v>
      </c>
      <c r="F108" s="11"/>
      <c r="G108" t="s">
        <v>412</v>
      </c>
      <c r="H108" t="s">
        <v>41</v>
      </c>
      <c r="I108" t="s">
        <v>42</v>
      </c>
      <c r="J108" t="s">
        <v>413</v>
      </c>
      <c r="K108" t="s">
        <v>44</v>
      </c>
      <c r="L108">
        <v>2</v>
      </c>
      <c r="M108" t="s">
        <v>45</v>
      </c>
      <c r="N108" t="s">
        <v>46</v>
      </c>
      <c r="O108" t="s">
        <v>47</v>
      </c>
      <c r="P108" s="12">
        <v>3</v>
      </c>
      <c r="Q108" s="13">
        <v>44853.507650462961</v>
      </c>
      <c r="R108" s="14">
        <v>44866</v>
      </c>
      <c r="S108" t="s">
        <v>41</v>
      </c>
      <c r="T108" t="s">
        <v>48</v>
      </c>
      <c r="U108" t="s">
        <v>49</v>
      </c>
      <c r="V108" t="s">
        <v>66</v>
      </c>
      <c r="Y108" t="s">
        <v>414</v>
      </c>
      <c r="Z108">
        <v>98000</v>
      </c>
      <c r="AA108" t="s">
        <v>58</v>
      </c>
      <c r="AB108" t="s">
        <v>73</v>
      </c>
      <c r="AC108" t="s">
        <v>53</v>
      </c>
      <c r="AD108" s="17">
        <f>IF(P108&lt;=1,13,IF(P108&lt;=2,23,IF(P108&lt;=3,35,IF(P108&lt;=4,43,IF(P108&lt;=5,53,IF(P108&lt;=6,63,IF(P108&lt;=7,71,IF(P108&lt;=8,79,IF(P108&lt;=9,87,IF(P108&lt;=10,95,IF(P108&lt;=11,105,IF(P108&lt;=12,114,IF(P108&lt;=13,119,IF(P108&lt;=14,127,IF(P108&lt;=15,135,IF(P108&lt;=16,143,IF(P108&lt;=17,153,IF(P108&lt;=18,163,IF(P108&lt;=19,171,IF(P108&lt;=20,185,IF(P108&lt;=21,193,IF(P108&lt;=22,201,IF(P108&lt;=23,210,IF(P108&lt;=24,220,IF(P108&lt;=25,230,IF(P108&lt;=26,240,IF(P108&lt;=27,250,IF(P108&lt;=28,260,IF(P108&lt;=29,270,IF(P108&lt;=30,280,280))))))))))))))))))))))))))))))</f>
        <v>35</v>
      </c>
      <c r="AE108" s="16">
        <v>0</v>
      </c>
      <c r="AF108" s="16">
        <v>0</v>
      </c>
      <c r="AG108" s="16">
        <v>0</v>
      </c>
      <c r="AH108" s="16">
        <v>0</v>
      </c>
      <c r="AI108" s="16">
        <f t="shared" si="2"/>
        <v>2.1</v>
      </c>
      <c r="AJ108" s="16">
        <f t="shared" si="3"/>
        <v>37.1</v>
      </c>
      <c r="AK108" t="s">
        <v>58</v>
      </c>
    </row>
    <row r="109" spans="1:37" ht="15" customHeight="1" x14ac:dyDescent="0.35">
      <c r="A109">
        <v>690929</v>
      </c>
      <c r="B109" t="s">
        <v>37</v>
      </c>
      <c r="C109" t="s">
        <v>38</v>
      </c>
      <c r="D109" s="9" t="s">
        <v>39</v>
      </c>
      <c r="E109" s="10" t="s">
        <v>37</v>
      </c>
      <c r="F109" s="11"/>
      <c r="G109" t="s">
        <v>415</v>
      </c>
      <c r="H109" t="s">
        <v>41</v>
      </c>
      <c r="I109" t="s">
        <v>42</v>
      </c>
      <c r="J109" t="s">
        <v>416</v>
      </c>
      <c r="K109" t="s">
        <v>44</v>
      </c>
      <c r="L109">
        <v>2</v>
      </c>
      <c r="M109" t="s">
        <v>45</v>
      </c>
      <c r="N109" t="s">
        <v>46</v>
      </c>
      <c r="O109" t="s">
        <v>47</v>
      </c>
      <c r="P109" s="12">
        <v>1</v>
      </c>
      <c r="Q109" s="13">
        <v>44866.58452546296</v>
      </c>
      <c r="R109" s="14">
        <v>44867</v>
      </c>
      <c r="S109" t="s">
        <v>41</v>
      </c>
      <c r="T109" t="s">
        <v>48</v>
      </c>
      <c r="U109" t="s">
        <v>49</v>
      </c>
      <c r="V109" t="s">
        <v>71</v>
      </c>
      <c r="Y109" t="s">
        <v>417</v>
      </c>
      <c r="Z109">
        <v>47300</v>
      </c>
      <c r="AA109" t="s">
        <v>48</v>
      </c>
      <c r="AB109" t="s">
        <v>73</v>
      </c>
      <c r="AC109" t="s">
        <v>53</v>
      </c>
      <c r="AD109" s="15">
        <f>IF(P109&lt;=1,7,7+0.8*ROUNDUP(P109-1,0))</f>
        <v>7</v>
      </c>
      <c r="AE109" s="16">
        <v>0</v>
      </c>
      <c r="AF109" s="16">
        <v>0</v>
      </c>
      <c r="AG109" s="16">
        <v>0</v>
      </c>
      <c r="AH109" s="16">
        <v>0</v>
      </c>
      <c r="AI109" s="16">
        <f t="shared" si="2"/>
        <v>0.42</v>
      </c>
      <c r="AJ109" s="16">
        <f t="shared" si="3"/>
        <v>7.42</v>
      </c>
      <c r="AK109" t="s">
        <v>48</v>
      </c>
    </row>
    <row r="110" spans="1:37" ht="15" customHeight="1" x14ac:dyDescent="0.35">
      <c r="A110">
        <v>690929</v>
      </c>
      <c r="B110" t="s">
        <v>37</v>
      </c>
      <c r="C110" t="s">
        <v>38</v>
      </c>
      <c r="D110" s="9" t="s">
        <v>39</v>
      </c>
      <c r="E110" s="10" t="s">
        <v>37</v>
      </c>
      <c r="F110" s="11"/>
      <c r="G110" t="s">
        <v>418</v>
      </c>
      <c r="H110" t="s">
        <v>41</v>
      </c>
      <c r="I110" t="s">
        <v>42</v>
      </c>
      <c r="J110" t="s">
        <v>419</v>
      </c>
      <c r="K110" t="s">
        <v>44</v>
      </c>
      <c r="L110">
        <v>2</v>
      </c>
      <c r="M110" t="s">
        <v>45</v>
      </c>
      <c r="N110" t="s">
        <v>46</v>
      </c>
      <c r="O110" t="s">
        <v>47</v>
      </c>
      <c r="P110" s="12">
        <v>10</v>
      </c>
      <c r="Q110" s="13">
        <v>44865.428240740737</v>
      </c>
      <c r="R110" s="14">
        <v>44867</v>
      </c>
      <c r="S110" t="s">
        <v>41</v>
      </c>
      <c r="T110" t="s">
        <v>48</v>
      </c>
      <c r="U110" t="s">
        <v>49</v>
      </c>
      <c r="V110" t="s">
        <v>115</v>
      </c>
      <c r="Y110" t="s">
        <v>420</v>
      </c>
      <c r="Z110">
        <v>83000</v>
      </c>
      <c r="AA110" t="s">
        <v>48</v>
      </c>
      <c r="AB110" t="s">
        <v>421</v>
      </c>
      <c r="AC110" t="s">
        <v>53</v>
      </c>
      <c r="AD110" s="15">
        <f>IF(P110&lt;=1,7,7+0.8*ROUNDUP(P110-1,0))</f>
        <v>14.2</v>
      </c>
      <c r="AE110" s="16">
        <v>0</v>
      </c>
      <c r="AF110" s="16">
        <v>0</v>
      </c>
      <c r="AG110" s="16">
        <v>0</v>
      </c>
      <c r="AH110" s="16">
        <v>0</v>
      </c>
      <c r="AI110" s="16">
        <f t="shared" si="2"/>
        <v>0.85199999999999998</v>
      </c>
      <c r="AJ110" s="16">
        <f t="shared" si="3"/>
        <v>15.052</v>
      </c>
      <c r="AK110" t="s">
        <v>48</v>
      </c>
    </row>
    <row r="111" spans="1:37" ht="15" customHeight="1" x14ac:dyDescent="0.35">
      <c r="A111">
        <v>690929</v>
      </c>
      <c r="B111" t="s">
        <v>37</v>
      </c>
      <c r="C111" t="s">
        <v>38</v>
      </c>
      <c r="D111" s="9" t="s">
        <v>39</v>
      </c>
      <c r="E111" s="10" t="s">
        <v>37</v>
      </c>
      <c r="F111" s="11"/>
      <c r="G111" t="s">
        <v>422</v>
      </c>
      <c r="H111" t="s">
        <v>41</v>
      </c>
      <c r="I111" t="s">
        <v>42</v>
      </c>
      <c r="J111" t="s">
        <v>423</v>
      </c>
      <c r="K111" t="s">
        <v>44</v>
      </c>
      <c r="L111">
        <v>2</v>
      </c>
      <c r="M111" t="s">
        <v>45</v>
      </c>
      <c r="N111" t="s">
        <v>46</v>
      </c>
      <c r="O111" t="s">
        <v>47</v>
      </c>
      <c r="P111" s="12">
        <v>1</v>
      </c>
      <c r="Q111" s="13">
        <v>44866.596284722225</v>
      </c>
      <c r="R111" s="14">
        <v>44867</v>
      </c>
      <c r="S111" t="s">
        <v>41</v>
      </c>
      <c r="T111" t="s">
        <v>48</v>
      </c>
      <c r="U111" t="s">
        <v>49</v>
      </c>
      <c r="V111" t="s">
        <v>71</v>
      </c>
      <c r="Y111" t="s">
        <v>424</v>
      </c>
      <c r="Z111">
        <v>47100</v>
      </c>
      <c r="AA111" t="s">
        <v>48</v>
      </c>
      <c r="AB111" t="s">
        <v>425</v>
      </c>
      <c r="AC111" t="s">
        <v>53</v>
      </c>
      <c r="AD111" s="15">
        <f>IF(P111&lt;=1,7,7+0.8*ROUNDUP(P111-1,0))</f>
        <v>7</v>
      </c>
      <c r="AE111" s="16">
        <v>0</v>
      </c>
      <c r="AF111" s="16">
        <v>0</v>
      </c>
      <c r="AG111" s="16">
        <v>0</v>
      </c>
      <c r="AH111" s="16">
        <v>0</v>
      </c>
      <c r="AI111" s="16">
        <f t="shared" si="2"/>
        <v>0.42</v>
      </c>
      <c r="AJ111" s="16">
        <f t="shared" si="3"/>
        <v>7.42</v>
      </c>
      <c r="AK111" t="s">
        <v>48</v>
      </c>
    </row>
    <row r="112" spans="1:37" ht="15" customHeight="1" x14ac:dyDescent="0.35">
      <c r="A112">
        <v>690929</v>
      </c>
      <c r="B112" t="s">
        <v>37</v>
      </c>
      <c r="C112" t="s">
        <v>38</v>
      </c>
      <c r="D112" s="9" t="s">
        <v>39</v>
      </c>
      <c r="E112" s="10" t="s">
        <v>37</v>
      </c>
      <c r="F112" s="11"/>
      <c r="G112" t="s">
        <v>426</v>
      </c>
      <c r="H112" t="s">
        <v>41</v>
      </c>
      <c r="I112" t="s">
        <v>42</v>
      </c>
      <c r="J112" t="s">
        <v>427</v>
      </c>
      <c r="K112" t="s">
        <v>44</v>
      </c>
      <c r="L112">
        <v>2</v>
      </c>
      <c r="M112" t="s">
        <v>45</v>
      </c>
      <c r="N112" t="s">
        <v>46</v>
      </c>
      <c r="O112" t="s">
        <v>47</v>
      </c>
      <c r="P112" s="12">
        <v>1</v>
      </c>
      <c r="Q112" s="13">
        <v>44866.582118055558</v>
      </c>
      <c r="R112" s="14">
        <v>44867</v>
      </c>
      <c r="S112" t="s">
        <v>41</v>
      </c>
      <c r="T112" t="s">
        <v>48</v>
      </c>
      <c r="U112" t="s">
        <v>49</v>
      </c>
      <c r="V112" t="s">
        <v>71</v>
      </c>
      <c r="Y112" t="s">
        <v>428</v>
      </c>
      <c r="Z112">
        <v>44000</v>
      </c>
      <c r="AA112" t="s">
        <v>48</v>
      </c>
      <c r="AB112" t="s">
        <v>73</v>
      </c>
      <c r="AC112" t="s">
        <v>53</v>
      </c>
      <c r="AD112" s="15">
        <f>IF(P112&lt;=1,7,7+0.8*ROUNDUP(P112-1,0))</f>
        <v>7</v>
      </c>
      <c r="AE112" s="16">
        <v>0</v>
      </c>
      <c r="AF112" s="16">
        <v>0</v>
      </c>
      <c r="AG112" s="16">
        <v>0</v>
      </c>
      <c r="AH112" s="16">
        <v>0</v>
      </c>
      <c r="AI112" s="16">
        <f t="shared" si="2"/>
        <v>0.42</v>
      </c>
      <c r="AJ112" s="16">
        <f t="shared" si="3"/>
        <v>7.42</v>
      </c>
      <c r="AK112" t="s">
        <v>48</v>
      </c>
    </row>
    <row r="113" spans="1:37" ht="15" customHeight="1" x14ac:dyDescent="0.35">
      <c r="A113">
        <v>690929</v>
      </c>
      <c r="B113" t="s">
        <v>37</v>
      </c>
      <c r="C113" t="s">
        <v>38</v>
      </c>
      <c r="D113" s="9" t="s">
        <v>39</v>
      </c>
      <c r="E113" s="10" t="s">
        <v>37</v>
      </c>
      <c r="F113" s="11"/>
      <c r="G113" t="s">
        <v>429</v>
      </c>
      <c r="H113" t="s">
        <v>41</v>
      </c>
      <c r="I113" t="s">
        <v>42</v>
      </c>
      <c r="J113" t="s">
        <v>430</v>
      </c>
      <c r="K113" t="s">
        <v>44</v>
      </c>
      <c r="L113">
        <v>2</v>
      </c>
      <c r="M113" t="s">
        <v>45</v>
      </c>
      <c r="N113" t="s">
        <v>46</v>
      </c>
      <c r="O113" t="s">
        <v>47</v>
      </c>
      <c r="P113" s="12">
        <v>5</v>
      </c>
      <c r="Q113" s="13">
        <v>44866.444803240738</v>
      </c>
      <c r="R113" s="14">
        <v>44867</v>
      </c>
      <c r="S113" t="s">
        <v>41</v>
      </c>
      <c r="T113" t="s">
        <v>48</v>
      </c>
      <c r="U113" t="s">
        <v>49</v>
      </c>
      <c r="V113" t="s">
        <v>128</v>
      </c>
      <c r="Y113" t="s">
        <v>431</v>
      </c>
      <c r="Z113">
        <v>17610</v>
      </c>
      <c r="AA113" t="s">
        <v>48</v>
      </c>
      <c r="AB113" t="s">
        <v>432</v>
      </c>
      <c r="AC113" t="s">
        <v>53</v>
      </c>
      <c r="AD113" s="15">
        <f>IF(P113&lt;=1,7,7+0.8*ROUNDUP(P113-1,0))</f>
        <v>10.199999999999999</v>
      </c>
      <c r="AE113" s="16">
        <v>0</v>
      </c>
      <c r="AF113" s="16">
        <v>0</v>
      </c>
      <c r="AG113" s="16">
        <v>0</v>
      </c>
      <c r="AH113" s="16">
        <v>0</v>
      </c>
      <c r="AI113" s="16">
        <f t="shared" si="2"/>
        <v>0.61199999999999999</v>
      </c>
      <c r="AJ113" s="16">
        <f t="shared" si="3"/>
        <v>10.811999999999999</v>
      </c>
      <c r="AK113" t="s">
        <v>48</v>
      </c>
    </row>
    <row r="114" spans="1:37" ht="15" customHeight="1" x14ac:dyDescent="0.35">
      <c r="A114">
        <v>690929</v>
      </c>
      <c r="B114" t="s">
        <v>37</v>
      </c>
      <c r="C114" t="s">
        <v>38</v>
      </c>
      <c r="D114" s="9" t="s">
        <v>39</v>
      </c>
      <c r="E114" s="10" t="s">
        <v>37</v>
      </c>
      <c r="F114" s="11"/>
      <c r="G114" t="s">
        <v>433</v>
      </c>
      <c r="H114" t="s">
        <v>41</v>
      </c>
      <c r="I114" t="s">
        <v>42</v>
      </c>
      <c r="J114" t="s">
        <v>434</v>
      </c>
      <c r="K114" t="s">
        <v>44</v>
      </c>
      <c r="L114">
        <v>2</v>
      </c>
      <c r="M114" t="s">
        <v>45</v>
      </c>
      <c r="N114" t="s">
        <v>46</v>
      </c>
      <c r="O114" t="s">
        <v>47</v>
      </c>
      <c r="P114" s="12">
        <v>4</v>
      </c>
      <c r="Q114" s="13">
        <v>44867.56449074074</v>
      </c>
      <c r="R114" s="14">
        <v>44868</v>
      </c>
      <c r="S114" t="s">
        <v>41</v>
      </c>
      <c r="T114" t="s">
        <v>48</v>
      </c>
      <c r="U114" t="s">
        <v>49</v>
      </c>
      <c r="V114" t="s">
        <v>96</v>
      </c>
      <c r="Y114" t="s">
        <v>435</v>
      </c>
      <c r="Z114">
        <v>24000</v>
      </c>
      <c r="AA114" t="s">
        <v>48</v>
      </c>
      <c r="AB114" t="s">
        <v>411</v>
      </c>
      <c r="AC114" t="s">
        <v>53</v>
      </c>
      <c r="AD114" s="15">
        <f>IF(P114&lt;=1,7,7+0.8*ROUNDUP(P114-1,0))</f>
        <v>9.4</v>
      </c>
      <c r="AE114" s="16">
        <v>0</v>
      </c>
      <c r="AF114" s="16">
        <v>0</v>
      </c>
      <c r="AG114" s="16">
        <v>0</v>
      </c>
      <c r="AH114" s="16">
        <v>0</v>
      </c>
      <c r="AI114" s="16">
        <f t="shared" si="2"/>
        <v>0.56399999999999995</v>
      </c>
      <c r="AJ114" s="16">
        <f t="shared" si="3"/>
        <v>9.9640000000000004</v>
      </c>
      <c r="AK114" t="s">
        <v>48</v>
      </c>
    </row>
    <row r="115" spans="1:37" ht="15" customHeight="1" x14ac:dyDescent="0.35">
      <c r="A115">
        <v>690929</v>
      </c>
      <c r="B115" t="s">
        <v>37</v>
      </c>
      <c r="C115" t="s">
        <v>38</v>
      </c>
      <c r="D115" s="9" t="s">
        <v>39</v>
      </c>
      <c r="E115" s="10" t="s">
        <v>37</v>
      </c>
      <c r="F115" s="11"/>
      <c r="G115" t="s">
        <v>436</v>
      </c>
      <c r="H115" t="s">
        <v>41</v>
      </c>
      <c r="I115" t="s">
        <v>42</v>
      </c>
      <c r="J115" t="s">
        <v>131</v>
      </c>
      <c r="K115" t="s">
        <v>44</v>
      </c>
      <c r="L115">
        <v>2</v>
      </c>
      <c r="M115" t="s">
        <v>45</v>
      </c>
      <c r="N115" t="s">
        <v>46</v>
      </c>
      <c r="O115" t="s">
        <v>47</v>
      </c>
      <c r="P115" s="12">
        <v>3</v>
      </c>
      <c r="Q115" s="13">
        <v>44863.660231481481</v>
      </c>
      <c r="R115" s="14">
        <v>44868</v>
      </c>
      <c r="S115" t="s">
        <v>41</v>
      </c>
      <c r="T115" t="s">
        <v>48</v>
      </c>
      <c r="U115" t="s">
        <v>49</v>
      </c>
      <c r="V115" t="s">
        <v>132</v>
      </c>
      <c r="Y115" t="s">
        <v>437</v>
      </c>
      <c r="Z115">
        <v>87031</v>
      </c>
      <c r="AA115" t="s">
        <v>58</v>
      </c>
      <c r="AB115" t="s">
        <v>134</v>
      </c>
      <c r="AC115" t="s">
        <v>53</v>
      </c>
      <c r="AD115" s="17">
        <f>IF(P115&lt;=1,13,IF(P115&lt;=2,23,IF(P115&lt;=3,35,IF(P115&lt;=4,43,IF(P115&lt;=5,53,IF(P115&lt;=6,63,IF(P115&lt;=7,71,IF(P115&lt;=8,79,IF(P115&lt;=9,87,IF(P115&lt;=10,95,IF(P115&lt;=11,105,IF(P115&lt;=12,114,IF(P115&lt;=13,119,IF(P115&lt;=14,127,IF(P115&lt;=15,135,IF(P115&lt;=16,143,IF(P115&lt;=17,153,IF(P115&lt;=18,163,IF(P115&lt;=19,171,IF(P115&lt;=20,185,IF(P115&lt;=21,193,IF(P115&lt;=22,201,IF(P115&lt;=23,210,IF(P115&lt;=24,220,IF(P115&lt;=25,230,IF(P115&lt;=26,240,IF(P115&lt;=27,250,IF(P115&lt;=28,260,IF(P115&lt;=29,270,IF(P115&lt;=30,280,280))))))))))))))))))))))))))))))</f>
        <v>35</v>
      </c>
      <c r="AE115" s="16">
        <v>0</v>
      </c>
      <c r="AF115" s="16">
        <v>0</v>
      </c>
      <c r="AG115" s="16">
        <v>0</v>
      </c>
      <c r="AH115" s="16">
        <v>0</v>
      </c>
      <c r="AI115" s="16">
        <f t="shared" si="2"/>
        <v>2.1</v>
      </c>
      <c r="AJ115" s="16">
        <f t="shared" si="3"/>
        <v>37.1</v>
      </c>
      <c r="AK115" t="s">
        <v>58</v>
      </c>
    </row>
    <row r="116" spans="1:37" ht="15" customHeight="1" x14ac:dyDescent="0.35">
      <c r="A116">
        <v>690929</v>
      </c>
      <c r="B116" t="s">
        <v>37</v>
      </c>
      <c r="C116" t="s">
        <v>38</v>
      </c>
      <c r="D116" s="9" t="s">
        <v>39</v>
      </c>
      <c r="E116" s="10" t="s">
        <v>37</v>
      </c>
      <c r="F116" s="11"/>
      <c r="G116" t="s">
        <v>438</v>
      </c>
      <c r="H116" t="s">
        <v>41</v>
      </c>
      <c r="I116" t="s">
        <v>42</v>
      </c>
      <c r="J116" t="s">
        <v>439</v>
      </c>
      <c r="K116" t="s">
        <v>44</v>
      </c>
      <c r="L116">
        <v>2</v>
      </c>
      <c r="M116" t="s">
        <v>45</v>
      </c>
      <c r="N116" t="s">
        <v>46</v>
      </c>
      <c r="O116" t="s">
        <v>47</v>
      </c>
      <c r="P116" s="12">
        <v>1</v>
      </c>
      <c r="Q116" s="13">
        <v>44866.734085648146</v>
      </c>
      <c r="R116" s="14">
        <v>44868</v>
      </c>
      <c r="S116" t="s">
        <v>41</v>
      </c>
      <c r="T116" t="s">
        <v>48</v>
      </c>
      <c r="U116" t="s">
        <v>49</v>
      </c>
      <c r="V116" t="s">
        <v>62</v>
      </c>
      <c r="Y116" t="s">
        <v>440</v>
      </c>
      <c r="Z116">
        <v>50050</v>
      </c>
      <c r="AA116" t="s">
        <v>48</v>
      </c>
      <c r="AB116" t="s">
        <v>73</v>
      </c>
      <c r="AC116" t="s">
        <v>53</v>
      </c>
      <c r="AD116" s="15">
        <f>IF(P116&lt;=1,7,7+0.8*ROUNDUP(P116-1,0))</f>
        <v>7</v>
      </c>
      <c r="AE116" s="16">
        <v>0</v>
      </c>
      <c r="AF116" s="16">
        <v>0</v>
      </c>
      <c r="AG116" s="16">
        <v>0</v>
      </c>
      <c r="AH116" s="16">
        <v>0</v>
      </c>
      <c r="AI116" s="16">
        <f t="shared" si="2"/>
        <v>0.42</v>
      </c>
      <c r="AJ116" s="16">
        <f t="shared" si="3"/>
        <v>7.42</v>
      </c>
      <c r="AK116" t="s">
        <v>48</v>
      </c>
    </row>
    <row r="117" spans="1:37" ht="15" customHeight="1" x14ac:dyDescent="0.35">
      <c r="A117">
        <v>690929</v>
      </c>
      <c r="B117" t="s">
        <v>37</v>
      </c>
      <c r="C117" t="s">
        <v>38</v>
      </c>
      <c r="D117" s="9" t="s">
        <v>39</v>
      </c>
      <c r="E117" s="10" t="s">
        <v>37</v>
      </c>
      <c r="F117" s="11"/>
      <c r="G117" t="s">
        <v>441</v>
      </c>
      <c r="H117" t="s">
        <v>41</v>
      </c>
      <c r="I117" t="s">
        <v>42</v>
      </c>
      <c r="J117" t="s">
        <v>442</v>
      </c>
      <c r="K117" t="s">
        <v>44</v>
      </c>
      <c r="L117">
        <v>2</v>
      </c>
      <c r="M117" t="s">
        <v>45</v>
      </c>
      <c r="N117" t="s">
        <v>46</v>
      </c>
      <c r="O117" t="s">
        <v>47</v>
      </c>
      <c r="P117" s="12">
        <v>1</v>
      </c>
      <c r="Q117" s="13">
        <v>44865.725624999999</v>
      </c>
      <c r="R117" s="14">
        <v>44868</v>
      </c>
      <c r="S117" t="s">
        <v>41</v>
      </c>
      <c r="T117" t="s">
        <v>48</v>
      </c>
      <c r="U117" t="s">
        <v>49</v>
      </c>
      <c r="V117" t="s">
        <v>71</v>
      </c>
      <c r="Y117" t="s">
        <v>443</v>
      </c>
      <c r="Z117">
        <v>62200</v>
      </c>
      <c r="AA117" t="s">
        <v>48</v>
      </c>
      <c r="AB117" t="s">
        <v>73</v>
      </c>
      <c r="AC117" t="s">
        <v>53</v>
      </c>
      <c r="AD117" s="15">
        <f>IF(P117&lt;=1,7,7+0.8*ROUNDUP(P117-1,0))</f>
        <v>7</v>
      </c>
      <c r="AE117" s="16">
        <v>0</v>
      </c>
      <c r="AF117" s="16">
        <v>0</v>
      </c>
      <c r="AG117" s="16">
        <v>0</v>
      </c>
      <c r="AH117" s="16">
        <v>0</v>
      </c>
      <c r="AI117" s="16">
        <f t="shared" si="2"/>
        <v>0.42</v>
      </c>
      <c r="AJ117" s="16">
        <f t="shared" si="3"/>
        <v>7.42</v>
      </c>
      <c r="AK117" t="s">
        <v>48</v>
      </c>
    </row>
    <row r="118" spans="1:37" ht="15" customHeight="1" x14ac:dyDescent="0.35">
      <c r="A118">
        <v>690929</v>
      </c>
      <c r="B118" t="s">
        <v>37</v>
      </c>
      <c r="C118" t="s">
        <v>38</v>
      </c>
      <c r="D118" s="9" t="s">
        <v>39</v>
      </c>
      <c r="E118" s="10" t="s">
        <v>37</v>
      </c>
      <c r="F118" s="11"/>
      <c r="G118" t="s">
        <v>444</v>
      </c>
      <c r="H118" t="s">
        <v>41</v>
      </c>
      <c r="I118" t="s">
        <v>42</v>
      </c>
      <c r="J118" t="s">
        <v>445</v>
      </c>
      <c r="K118" t="s">
        <v>44</v>
      </c>
      <c r="L118">
        <v>2</v>
      </c>
      <c r="M118" t="s">
        <v>45</v>
      </c>
      <c r="N118" t="s">
        <v>46</v>
      </c>
      <c r="O118" t="s">
        <v>47</v>
      </c>
      <c r="P118" s="12">
        <v>1</v>
      </c>
      <c r="Q118" s="13">
        <v>44866.598414351851</v>
      </c>
      <c r="R118" s="14">
        <v>44868</v>
      </c>
      <c r="S118" t="s">
        <v>41</v>
      </c>
      <c r="T118" t="s">
        <v>48</v>
      </c>
      <c r="U118" t="s">
        <v>49</v>
      </c>
      <c r="V118" t="s">
        <v>85</v>
      </c>
      <c r="Y118" t="s">
        <v>446</v>
      </c>
      <c r="Z118">
        <v>13200</v>
      </c>
      <c r="AA118" t="s">
        <v>48</v>
      </c>
      <c r="AB118" t="s">
        <v>73</v>
      </c>
      <c r="AC118" t="s">
        <v>53</v>
      </c>
      <c r="AD118" s="15">
        <f>IF(P118&lt;=1,7,7+0.8*ROUNDUP(P118-1,0))</f>
        <v>7</v>
      </c>
      <c r="AE118" s="16">
        <v>0</v>
      </c>
      <c r="AF118" s="16">
        <v>0</v>
      </c>
      <c r="AG118" s="16">
        <v>0</v>
      </c>
      <c r="AH118" s="16">
        <v>0</v>
      </c>
      <c r="AI118" s="16">
        <f t="shared" si="2"/>
        <v>0.42</v>
      </c>
      <c r="AJ118" s="16">
        <f t="shared" si="3"/>
        <v>7.42</v>
      </c>
      <c r="AK118" t="s">
        <v>48</v>
      </c>
    </row>
    <row r="119" spans="1:37" ht="15" customHeight="1" x14ac:dyDescent="0.35">
      <c r="A119">
        <v>690929</v>
      </c>
      <c r="B119" t="s">
        <v>37</v>
      </c>
      <c r="C119" t="s">
        <v>38</v>
      </c>
      <c r="D119" s="9" t="s">
        <v>39</v>
      </c>
      <c r="E119" s="10" t="s">
        <v>37</v>
      </c>
      <c r="F119" s="11"/>
      <c r="G119" t="s">
        <v>447</v>
      </c>
      <c r="H119" t="s">
        <v>41</v>
      </c>
      <c r="I119" t="s">
        <v>42</v>
      </c>
      <c r="J119" t="s">
        <v>448</v>
      </c>
      <c r="K119" t="s">
        <v>44</v>
      </c>
      <c r="L119">
        <v>2</v>
      </c>
      <c r="M119" t="s">
        <v>45</v>
      </c>
      <c r="N119" t="s">
        <v>46</v>
      </c>
      <c r="O119" t="s">
        <v>47</v>
      </c>
      <c r="P119" s="12">
        <v>3</v>
      </c>
      <c r="Q119" s="13">
        <v>44865.748761574076</v>
      </c>
      <c r="R119" s="14">
        <v>44868</v>
      </c>
      <c r="S119" t="s">
        <v>41</v>
      </c>
      <c r="T119" t="s">
        <v>48</v>
      </c>
      <c r="U119" t="s">
        <v>49</v>
      </c>
      <c r="V119" t="s">
        <v>344</v>
      </c>
      <c r="Y119" t="s">
        <v>449</v>
      </c>
      <c r="Z119">
        <v>70450</v>
      </c>
      <c r="AA119" t="s">
        <v>48</v>
      </c>
      <c r="AB119" t="s">
        <v>450</v>
      </c>
      <c r="AC119" t="s">
        <v>53</v>
      </c>
      <c r="AD119" s="15">
        <f>IF(P119&lt;=1,7,7+0.8*ROUNDUP(P119-1,0))</f>
        <v>8.6</v>
      </c>
      <c r="AE119" s="16">
        <v>0</v>
      </c>
      <c r="AF119" s="16">
        <v>0</v>
      </c>
      <c r="AG119" s="16">
        <v>0</v>
      </c>
      <c r="AH119" s="16">
        <v>0</v>
      </c>
      <c r="AI119" s="16">
        <f t="shared" si="2"/>
        <v>0.51600000000000001</v>
      </c>
      <c r="AJ119" s="16">
        <f t="shared" si="3"/>
        <v>9.1159999999999997</v>
      </c>
      <c r="AK119" t="s">
        <v>48</v>
      </c>
    </row>
    <row r="120" spans="1:37" ht="15" customHeight="1" x14ac:dyDescent="0.35">
      <c r="A120">
        <v>690929</v>
      </c>
      <c r="B120" t="s">
        <v>37</v>
      </c>
      <c r="C120" t="s">
        <v>38</v>
      </c>
      <c r="D120" s="9" t="s">
        <v>39</v>
      </c>
      <c r="E120" s="10" t="s">
        <v>37</v>
      </c>
      <c r="F120" s="11"/>
      <c r="G120" t="s">
        <v>451</v>
      </c>
      <c r="H120" t="s">
        <v>41</v>
      </c>
      <c r="I120" t="s">
        <v>42</v>
      </c>
      <c r="J120" t="s">
        <v>452</v>
      </c>
      <c r="K120" t="s">
        <v>44</v>
      </c>
      <c r="L120">
        <v>2</v>
      </c>
      <c r="M120" t="s">
        <v>45</v>
      </c>
      <c r="N120" t="s">
        <v>46</v>
      </c>
      <c r="O120" t="s">
        <v>47</v>
      </c>
      <c r="P120" s="12">
        <v>1</v>
      </c>
      <c r="Q120" s="13">
        <v>44865.746527777781</v>
      </c>
      <c r="R120" s="14">
        <v>44868</v>
      </c>
      <c r="S120" t="s">
        <v>41</v>
      </c>
      <c r="T120" t="s">
        <v>48</v>
      </c>
      <c r="U120" t="s">
        <v>49</v>
      </c>
      <c r="V120" t="s">
        <v>344</v>
      </c>
      <c r="Y120" t="s">
        <v>453</v>
      </c>
      <c r="Z120">
        <v>70450</v>
      </c>
      <c r="AA120" t="s">
        <v>48</v>
      </c>
      <c r="AB120" t="s">
        <v>450</v>
      </c>
      <c r="AC120" t="s">
        <v>53</v>
      </c>
      <c r="AD120" s="15">
        <f>IF(P120&lt;=1,7,7+0.8*ROUNDUP(P120-1,0))</f>
        <v>7</v>
      </c>
      <c r="AE120" s="16">
        <v>0</v>
      </c>
      <c r="AF120" s="16">
        <v>0</v>
      </c>
      <c r="AG120" s="16">
        <v>0</v>
      </c>
      <c r="AH120" s="16">
        <v>0</v>
      </c>
      <c r="AI120" s="16">
        <f t="shared" si="2"/>
        <v>0.42</v>
      </c>
      <c r="AJ120" s="16">
        <f t="shared" si="3"/>
        <v>7.42</v>
      </c>
      <c r="AK120" t="s">
        <v>48</v>
      </c>
    </row>
    <row r="121" spans="1:37" ht="15" customHeight="1" x14ac:dyDescent="0.35">
      <c r="A121">
        <v>690929</v>
      </c>
      <c r="B121" t="s">
        <v>37</v>
      </c>
      <c r="C121" t="s">
        <v>38</v>
      </c>
      <c r="D121" s="9" t="s">
        <v>39</v>
      </c>
      <c r="E121" s="10" t="s">
        <v>37</v>
      </c>
      <c r="F121" s="11"/>
      <c r="G121" t="s">
        <v>454</v>
      </c>
      <c r="H121" t="s">
        <v>41</v>
      </c>
      <c r="I121" t="s">
        <v>42</v>
      </c>
      <c r="J121" t="s">
        <v>455</v>
      </c>
      <c r="K121" t="s">
        <v>44</v>
      </c>
      <c r="L121">
        <v>2</v>
      </c>
      <c r="M121" t="s">
        <v>45</v>
      </c>
      <c r="N121" t="s">
        <v>46</v>
      </c>
      <c r="O121" t="s">
        <v>47</v>
      </c>
      <c r="P121" s="12">
        <v>1</v>
      </c>
      <c r="Q121" s="13">
        <v>44864.730011574073</v>
      </c>
      <c r="R121" s="14">
        <v>44868</v>
      </c>
      <c r="S121" t="s">
        <v>41</v>
      </c>
      <c r="T121" t="s">
        <v>48</v>
      </c>
      <c r="U121" t="s">
        <v>49</v>
      </c>
      <c r="V121" t="s">
        <v>56</v>
      </c>
      <c r="Y121" t="s">
        <v>456</v>
      </c>
      <c r="Z121">
        <v>91000</v>
      </c>
      <c r="AA121" t="s">
        <v>58</v>
      </c>
      <c r="AB121" t="s">
        <v>457</v>
      </c>
      <c r="AC121" t="s">
        <v>53</v>
      </c>
      <c r="AD121" s="17">
        <f>IF(P121&lt;=1,13,IF(P121&lt;=2,23,IF(P121&lt;=3,35,IF(P121&lt;=4,43,IF(P121&lt;=5,53,IF(P121&lt;=6,63,IF(P121&lt;=7,71,IF(P121&lt;=8,79,IF(P121&lt;=9,87,IF(P121&lt;=10,95,IF(P121&lt;=11,105,IF(P121&lt;=12,114,IF(P121&lt;=13,119,IF(P121&lt;=14,127,IF(P121&lt;=15,135,IF(P121&lt;=16,143,IF(P121&lt;=17,153,IF(P121&lt;=18,163,IF(P121&lt;=19,171,IF(P121&lt;=20,185,IF(P121&lt;=21,193,IF(P121&lt;=22,201,IF(P121&lt;=23,210,IF(P121&lt;=24,220,IF(P121&lt;=25,230,IF(P121&lt;=26,240,IF(P121&lt;=27,250,IF(P121&lt;=28,260,IF(P121&lt;=29,270,IF(P121&lt;=30,280,280))))))))))))))))))))))))))))))</f>
        <v>13</v>
      </c>
      <c r="AE121" s="16">
        <v>0</v>
      </c>
      <c r="AF121" s="16">
        <v>0</v>
      </c>
      <c r="AG121" s="16">
        <v>0</v>
      </c>
      <c r="AH121" s="16">
        <v>0</v>
      </c>
      <c r="AI121" s="16">
        <f t="shared" si="2"/>
        <v>0.78</v>
      </c>
      <c r="AJ121" s="16">
        <f t="shared" si="3"/>
        <v>13.78</v>
      </c>
      <c r="AK121" t="s">
        <v>58</v>
      </c>
    </row>
    <row r="122" spans="1:37" ht="15" customHeight="1" x14ac:dyDescent="0.35">
      <c r="A122">
        <v>690929</v>
      </c>
      <c r="B122" t="s">
        <v>37</v>
      </c>
      <c r="C122" t="s">
        <v>38</v>
      </c>
      <c r="D122" s="9" t="s">
        <v>39</v>
      </c>
      <c r="E122" s="10" t="s">
        <v>37</v>
      </c>
      <c r="F122" s="11"/>
      <c r="G122" t="s">
        <v>458</v>
      </c>
      <c r="H122" t="s">
        <v>41</v>
      </c>
      <c r="I122" t="s">
        <v>42</v>
      </c>
      <c r="J122" t="s">
        <v>127</v>
      </c>
      <c r="K122" t="s">
        <v>44</v>
      </c>
      <c r="L122">
        <v>2</v>
      </c>
      <c r="M122" t="s">
        <v>45</v>
      </c>
      <c r="N122" t="s">
        <v>46</v>
      </c>
      <c r="O122" t="s">
        <v>47</v>
      </c>
      <c r="P122" s="12">
        <v>3</v>
      </c>
      <c r="Q122" s="13">
        <v>44866.728796296295</v>
      </c>
      <c r="R122" s="14">
        <v>44868</v>
      </c>
      <c r="S122" t="s">
        <v>41</v>
      </c>
      <c r="T122" t="s">
        <v>48</v>
      </c>
      <c r="U122" t="s">
        <v>49</v>
      </c>
      <c r="V122" t="s">
        <v>71</v>
      </c>
      <c r="Y122" t="s">
        <v>459</v>
      </c>
      <c r="Z122">
        <v>47180</v>
      </c>
      <c r="AA122" t="s">
        <v>48</v>
      </c>
      <c r="AB122" t="s">
        <v>73</v>
      </c>
      <c r="AC122" t="s">
        <v>53</v>
      </c>
      <c r="AD122" s="15">
        <f>IF(P122&lt;=1,7,7+0.8*ROUNDUP(P122-1,0))</f>
        <v>8.6</v>
      </c>
      <c r="AE122" s="16">
        <v>0</v>
      </c>
      <c r="AF122" s="16">
        <v>0</v>
      </c>
      <c r="AG122" s="16">
        <v>0</v>
      </c>
      <c r="AH122" s="16">
        <v>0</v>
      </c>
      <c r="AI122" s="16">
        <f t="shared" si="2"/>
        <v>0.51600000000000001</v>
      </c>
      <c r="AJ122" s="16">
        <f t="shared" si="3"/>
        <v>9.1159999999999997</v>
      </c>
      <c r="AK122" t="s">
        <v>48</v>
      </c>
    </row>
    <row r="123" spans="1:37" ht="15" customHeight="1" x14ac:dyDescent="0.35">
      <c r="A123">
        <v>690929</v>
      </c>
      <c r="B123" t="s">
        <v>37</v>
      </c>
      <c r="C123" t="s">
        <v>38</v>
      </c>
      <c r="D123" s="9" t="s">
        <v>39</v>
      </c>
      <c r="E123" s="10" t="s">
        <v>37</v>
      </c>
      <c r="F123" s="11"/>
      <c r="G123" t="s">
        <v>460</v>
      </c>
      <c r="H123" t="s">
        <v>41</v>
      </c>
      <c r="I123" t="s">
        <v>42</v>
      </c>
      <c r="J123" t="s">
        <v>461</v>
      </c>
      <c r="K123" t="s">
        <v>44</v>
      </c>
      <c r="L123">
        <v>2</v>
      </c>
      <c r="M123" t="s">
        <v>45</v>
      </c>
      <c r="N123" t="s">
        <v>46</v>
      </c>
      <c r="O123" t="s">
        <v>47</v>
      </c>
      <c r="P123" s="12">
        <v>6</v>
      </c>
      <c r="Q123" s="13">
        <v>44866.721562500003</v>
      </c>
      <c r="R123" s="14">
        <v>44869</v>
      </c>
      <c r="S123" t="s">
        <v>41</v>
      </c>
      <c r="T123" t="s">
        <v>48</v>
      </c>
      <c r="U123" t="s">
        <v>49</v>
      </c>
      <c r="V123" t="s">
        <v>71</v>
      </c>
      <c r="Y123" t="s">
        <v>462</v>
      </c>
      <c r="Z123">
        <v>43650</v>
      </c>
      <c r="AA123" t="s">
        <v>48</v>
      </c>
      <c r="AB123" t="s">
        <v>73</v>
      </c>
      <c r="AC123" t="s">
        <v>53</v>
      </c>
      <c r="AD123" s="15">
        <f>IF(P123&lt;=1,7,7+0.8*ROUNDUP(P123-1,0))</f>
        <v>11</v>
      </c>
      <c r="AE123" s="16">
        <v>0</v>
      </c>
      <c r="AF123" s="16">
        <v>0</v>
      </c>
      <c r="AG123" s="16">
        <v>0</v>
      </c>
      <c r="AH123" s="16">
        <v>0</v>
      </c>
      <c r="AI123" s="16">
        <f t="shared" si="2"/>
        <v>0.65999999999999992</v>
      </c>
      <c r="AJ123" s="16">
        <f t="shared" si="3"/>
        <v>11.66</v>
      </c>
      <c r="AK123" t="s">
        <v>48</v>
      </c>
    </row>
    <row r="124" spans="1:37" ht="15" customHeight="1" x14ac:dyDescent="0.35">
      <c r="A124">
        <v>690929</v>
      </c>
      <c r="B124" t="s">
        <v>37</v>
      </c>
      <c r="C124" t="s">
        <v>38</v>
      </c>
      <c r="D124" s="9" t="s">
        <v>39</v>
      </c>
      <c r="E124" s="10" t="s">
        <v>37</v>
      </c>
      <c r="F124" s="11"/>
      <c r="G124" t="s">
        <v>463</v>
      </c>
      <c r="H124" t="s">
        <v>41</v>
      </c>
      <c r="I124" t="s">
        <v>42</v>
      </c>
      <c r="J124" t="s">
        <v>464</v>
      </c>
      <c r="K124" t="s">
        <v>44</v>
      </c>
      <c r="L124">
        <v>2</v>
      </c>
      <c r="M124" t="s">
        <v>45</v>
      </c>
      <c r="N124" t="s">
        <v>46</v>
      </c>
      <c r="O124" t="s">
        <v>47</v>
      </c>
      <c r="P124" s="12">
        <v>12</v>
      </c>
      <c r="Q124" s="13">
        <v>44866.747858796298</v>
      </c>
      <c r="R124" s="14">
        <v>44869</v>
      </c>
      <c r="S124" t="s">
        <v>41</v>
      </c>
      <c r="T124" t="s">
        <v>48</v>
      </c>
      <c r="U124" t="s">
        <v>49</v>
      </c>
      <c r="V124" t="s">
        <v>62</v>
      </c>
      <c r="Y124" t="s">
        <v>465</v>
      </c>
      <c r="Z124">
        <v>51200</v>
      </c>
      <c r="AA124" t="s">
        <v>48</v>
      </c>
      <c r="AB124" t="s">
        <v>73</v>
      </c>
      <c r="AC124" t="s">
        <v>53</v>
      </c>
      <c r="AD124" s="15">
        <f>IF(P124&lt;=1,7,7+0.8*ROUNDUP(P124-1,0))</f>
        <v>15.8</v>
      </c>
      <c r="AE124" s="16">
        <v>0</v>
      </c>
      <c r="AF124" s="16">
        <v>0</v>
      </c>
      <c r="AG124" s="16">
        <v>0</v>
      </c>
      <c r="AH124" s="16">
        <v>0</v>
      </c>
      <c r="AI124" s="16">
        <f t="shared" si="2"/>
        <v>0.94799999999999995</v>
      </c>
      <c r="AJ124" s="16">
        <f t="shared" si="3"/>
        <v>16.748000000000001</v>
      </c>
      <c r="AK124" t="s">
        <v>48</v>
      </c>
    </row>
    <row r="125" spans="1:37" ht="15" customHeight="1" x14ac:dyDescent="0.35">
      <c r="A125">
        <v>690929</v>
      </c>
      <c r="B125" t="s">
        <v>37</v>
      </c>
      <c r="C125" t="s">
        <v>38</v>
      </c>
      <c r="D125" s="9" t="s">
        <v>39</v>
      </c>
      <c r="E125" s="10" t="s">
        <v>37</v>
      </c>
      <c r="F125" s="11"/>
      <c r="G125" t="s">
        <v>466</v>
      </c>
      <c r="H125" t="s">
        <v>41</v>
      </c>
      <c r="I125" t="s">
        <v>42</v>
      </c>
      <c r="J125" t="s">
        <v>467</v>
      </c>
      <c r="K125" t="s">
        <v>44</v>
      </c>
      <c r="L125">
        <v>2</v>
      </c>
      <c r="M125" t="s">
        <v>45</v>
      </c>
      <c r="N125" t="s">
        <v>46</v>
      </c>
      <c r="O125" t="s">
        <v>47</v>
      </c>
      <c r="P125" s="12">
        <v>1</v>
      </c>
      <c r="Q125" s="13">
        <v>44868.630046296297</v>
      </c>
      <c r="R125" s="14">
        <v>44869</v>
      </c>
      <c r="S125" t="s">
        <v>41</v>
      </c>
      <c r="T125" t="s">
        <v>48</v>
      </c>
      <c r="U125" t="s">
        <v>49</v>
      </c>
      <c r="V125" t="s">
        <v>71</v>
      </c>
      <c r="Y125" t="s">
        <v>468</v>
      </c>
      <c r="Z125">
        <v>43200</v>
      </c>
      <c r="AA125" t="s">
        <v>48</v>
      </c>
      <c r="AB125" t="s">
        <v>73</v>
      </c>
      <c r="AC125" t="s">
        <v>53</v>
      </c>
      <c r="AD125" s="15">
        <f>IF(P125&lt;=1,7,7+0.8*ROUNDUP(P125-1,0))</f>
        <v>7</v>
      </c>
      <c r="AE125" s="16">
        <v>0</v>
      </c>
      <c r="AF125" s="16">
        <v>0</v>
      </c>
      <c r="AG125" s="16">
        <v>0</v>
      </c>
      <c r="AH125" s="16">
        <v>0</v>
      </c>
      <c r="AI125" s="16">
        <f t="shared" si="2"/>
        <v>0.42</v>
      </c>
      <c r="AJ125" s="16">
        <f t="shared" si="3"/>
        <v>7.42</v>
      </c>
      <c r="AK125" t="s">
        <v>48</v>
      </c>
    </row>
    <row r="126" spans="1:37" ht="15" customHeight="1" x14ac:dyDescent="0.35">
      <c r="A126">
        <v>690929</v>
      </c>
      <c r="B126" t="s">
        <v>37</v>
      </c>
      <c r="C126" t="s">
        <v>38</v>
      </c>
      <c r="D126" s="9" t="s">
        <v>39</v>
      </c>
      <c r="E126" s="10" t="s">
        <v>37</v>
      </c>
      <c r="F126" s="11"/>
      <c r="G126" t="s">
        <v>469</v>
      </c>
      <c r="H126" t="s">
        <v>41</v>
      </c>
      <c r="I126" t="s">
        <v>42</v>
      </c>
      <c r="J126" t="s">
        <v>470</v>
      </c>
      <c r="K126" t="s">
        <v>44</v>
      </c>
      <c r="L126">
        <v>2</v>
      </c>
      <c r="M126" t="s">
        <v>45</v>
      </c>
      <c r="N126" t="s">
        <v>46</v>
      </c>
      <c r="O126" t="s">
        <v>47</v>
      </c>
      <c r="P126" s="12">
        <v>1</v>
      </c>
      <c r="Q126" s="13">
        <v>44865.747256944444</v>
      </c>
      <c r="R126" s="14">
        <v>44869</v>
      </c>
      <c r="S126" t="s">
        <v>41</v>
      </c>
      <c r="T126" t="s">
        <v>48</v>
      </c>
      <c r="U126" t="s">
        <v>49</v>
      </c>
      <c r="V126" t="s">
        <v>115</v>
      </c>
      <c r="Y126" t="s">
        <v>471</v>
      </c>
      <c r="Z126">
        <v>86800</v>
      </c>
      <c r="AA126" t="s">
        <v>48</v>
      </c>
      <c r="AB126" t="s">
        <v>472</v>
      </c>
      <c r="AC126" t="s">
        <v>53</v>
      </c>
      <c r="AD126" s="15">
        <f>IF(P126&lt;=1,7,7+0.8*ROUNDUP(P126-1,0))</f>
        <v>7</v>
      </c>
      <c r="AE126" s="16">
        <v>0</v>
      </c>
      <c r="AF126" s="16">
        <v>0</v>
      </c>
      <c r="AG126" s="16">
        <v>0</v>
      </c>
      <c r="AH126" s="16">
        <v>0</v>
      </c>
      <c r="AI126" s="16">
        <f t="shared" si="2"/>
        <v>0.42</v>
      </c>
      <c r="AJ126" s="16">
        <f t="shared" si="3"/>
        <v>7.42</v>
      </c>
      <c r="AK126" t="s">
        <v>48</v>
      </c>
    </row>
    <row r="127" spans="1:37" ht="15" customHeight="1" x14ac:dyDescent="0.35">
      <c r="A127">
        <v>690929</v>
      </c>
      <c r="B127" t="s">
        <v>37</v>
      </c>
      <c r="C127" t="s">
        <v>38</v>
      </c>
      <c r="D127" s="9" t="s">
        <v>39</v>
      </c>
      <c r="E127" s="10" t="s">
        <v>37</v>
      </c>
      <c r="F127" s="11"/>
      <c r="G127" t="s">
        <v>473</v>
      </c>
      <c r="H127" t="s">
        <v>41</v>
      </c>
      <c r="I127" t="s">
        <v>42</v>
      </c>
      <c r="J127" t="s">
        <v>474</v>
      </c>
      <c r="K127" t="s">
        <v>44</v>
      </c>
      <c r="L127">
        <v>2</v>
      </c>
      <c r="M127" t="s">
        <v>45</v>
      </c>
      <c r="N127" t="s">
        <v>46</v>
      </c>
      <c r="O127" t="s">
        <v>47</v>
      </c>
      <c r="P127" s="12">
        <v>4</v>
      </c>
      <c r="Q127" s="13">
        <v>44866.731296296297</v>
      </c>
      <c r="R127" s="14">
        <v>44869</v>
      </c>
      <c r="S127" t="s">
        <v>41</v>
      </c>
      <c r="T127" t="s">
        <v>48</v>
      </c>
      <c r="U127" t="s">
        <v>49</v>
      </c>
      <c r="V127" t="s">
        <v>100</v>
      </c>
      <c r="Y127" t="s">
        <v>475</v>
      </c>
      <c r="Z127">
        <v>6010</v>
      </c>
      <c r="AA127" t="s">
        <v>48</v>
      </c>
      <c r="AB127" t="s">
        <v>49</v>
      </c>
      <c r="AC127" t="s">
        <v>53</v>
      </c>
      <c r="AD127" s="15">
        <f>IF(P127&lt;=1,7,7+0.8*ROUNDUP(P127-1,0))</f>
        <v>9.4</v>
      </c>
      <c r="AE127" s="16">
        <v>0</v>
      </c>
      <c r="AF127" s="16">
        <v>0</v>
      </c>
      <c r="AG127" s="16">
        <v>0</v>
      </c>
      <c r="AH127" s="16">
        <v>0</v>
      </c>
      <c r="AI127" s="16">
        <f t="shared" si="2"/>
        <v>0.56399999999999995</v>
      </c>
      <c r="AJ127" s="16">
        <f t="shared" si="3"/>
        <v>9.9640000000000004</v>
      </c>
      <c r="AK127" t="s">
        <v>48</v>
      </c>
    </row>
    <row r="128" spans="1:37" ht="15" customHeight="1" x14ac:dyDescent="0.35">
      <c r="A128">
        <v>690929</v>
      </c>
      <c r="B128" t="s">
        <v>37</v>
      </c>
      <c r="C128" t="s">
        <v>38</v>
      </c>
      <c r="D128" s="9" t="s">
        <v>39</v>
      </c>
      <c r="E128" s="10" t="s">
        <v>37</v>
      </c>
      <c r="F128" s="11"/>
      <c r="G128" t="s">
        <v>476</v>
      </c>
      <c r="H128" t="s">
        <v>41</v>
      </c>
      <c r="I128" t="s">
        <v>42</v>
      </c>
      <c r="J128" t="s">
        <v>474</v>
      </c>
      <c r="K128" t="s">
        <v>44</v>
      </c>
      <c r="L128">
        <v>2</v>
      </c>
      <c r="M128" t="s">
        <v>45</v>
      </c>
      <c r="N128" t="s">
        <v>46</v>
      </c>
      <c r="O128" t="s">
        <v>47</v>
      </c>
      <c r="P128" s="12">
        <v>2</v>
      </c>
      <c r="Q128" s="13">
        <v>44866.73027777778</v>
      </c>
      <c r="R128" s="14">
        <v>44869</v>
      </c>
      <c r="S128" t="s">
        <v>41</v>
      </c>
      <c r="T128" t="s">
        <v>48</v>
      </c>
      <c r="U128" t="s">
        <v>49</v>
      </c>
      <c r="V128" t="s">
        <v>100</v>
      </c>
      <c r="Y128" t="s">
        <v>475</v>
      </c>
      <c r="Z128">
        <v>6010</v>
      </c>
      <c r="AA128" t="s">
        <v>48</v>
      </c>
      <c r="AB128" t="s">
        <v>49</v>
      </c>
      <c r="AC128" t="s">
        <v>53</v>
      </c>
      <c r="AD128" s="15">
        <f>IF(P128&lt;=1,7,7+0.8*ROUNDUP(P128-1,0))</f>
        <v>7.8</v>
      </c>
      <c r="AE128" s="16">
        <v>0</v>
      </c>
      <c r="AF128" s="16">
        <v>0</v>
      </c>
      <c r="AG128" s="16">
        <v>0</v>
      </c>
      <c r="AH128" s="16">
        <v>0</v>
      </c>
      <c r="AI128" s="16">
        <f t="shared" ref="AI128:AI190" si="4">(AD128+AF128+AH128)*6%</f>
        <v>0.46799999999999997</v>
      </c>
      <c r="AJ128" s="16">
        <f t="shared" si="3"/>
        <v>8.2680000000000007</v>
      </c>
      <c r="AK128" t="s">
        <v>48</v>
      </c>
    </row>
    <row r="129" spans="1:37" ht="15" customHeight="1" x14ac:dyDescent="0.35">
      <c r="A129">
        <v>690929</v>
      </c>
      <c r="B129" t="s">
        <v>37</v>
      </c>
      <c r="C129" t="s">
        <v>38</v>
      </c>
      <c r="D129" s="9" t="s">
        <v>39</v>
      </c>
      <c r="E129" s="10" t="s">
        <v>37</v>
      </c>
      <c r="F129" s="11"/>
      <c r="G129" t="s">
        <v>477</v>
      </c>
      <c r="H129" t="s">
        <v>41</v>
      </c>
      <c r="I129" t="s">
        <v>42</v>
      </c>
      <c r="J129" t="s">
        <v>478</v>
      </c>
      <c r="K129" t="s">
        <v>44</v>
      </c>
      <c r="L129">
        <v>2</v>
      </c>
      <c r="M129" t="s">
        <v>45</v>
      </c>
      <c r="N129" t="s">
        <v>46</v>
      </c>
      <c r="O129" t="s">
        <v>47</v>
      </c>
      <c r="P129" s="12">
        <v>1</v>
      </c>
      <c r="Q129" s="13">
        <v>44868.628935185188</v>
      </c>
      <c r="R129" s="14">
        <v>44869</v>
      </c>
      <c r="S129" t="s">
        <v>41</v>
      </c>
      <c r="T129" t="s">
        <v>48</v>
      </c>
      <c r="U129" t="s">
        <v>49</v>
      </c>
      <c r="V129" t="s">
        <v>71</v>
      </c>
      <c r="Y129" t="s">
        <v>479</v>
      </c>
      <c r="Z129">
        <v>41200</v>
      </c>
      <c r="AA129" t="s">
        <v>48</v>
      </c>
      <c r="AB129" t="s">
        <v>73</v>
      </c>
      <c r="AC129" t="s">
        <v>53</v>
      </c>
      <c r="AD129" s="15">
        <f>IF(P129&lt;=1,7,7+0.8*ROUNDUP(P129-1,0))</f>
        <v>7</v>
      </c>
      <c r="AE129" s="16">
        <v>0</v>
      </c>
      <c r="AF129" s="16">
        <v>0</v>
      </c>
      <c r="AG129" s="16">
        <v>0</v>
      </c>
      <c r="AH129" s="16">
        <v>0</v>
      </c>
      <c r="AI129" s="16">
        <f t="shared" si="4"/>
        <v>0.42</v>
      </c>
      <c r="AJ129" s="16">
        <f t="shared" si="3"/>
        <v>7.42</v>
      </c>
      <c r="AK129" t="s">
        <v>48</v>
      </c>
    </row>
    <row r="130" spans="1:37" ht="15" customHeight="1" x14ac:dyDescent="0.35">
      <c r="A130">
        <v>690929</v>
      </c>
      <c r="B130" t="s">
        <v>37</v>
      </c>
      <c r="C130" t="s">
        <v>38</v>
      </c>
      <c r="D130" s="9" t="s">
        <v>39</v>
      </c>
      <c r="E130" s="10" t="s">
        <v>37</v>
      </c>
      <c r="F130" s="11"/>
      <c r="G130" t="s">
        <v>480</v>
      </c>
      <c r="H130" t="s">
        <v>41</v>
      </c>
      <c r="I130" t="s">
        <v>42</v>
      </c>
      <c r="J130" t="s">
        <v>481</v>
      </c>
      <c r="K130" t="s">
        <v>44</v>
      </c>
      <c r="L130">
        <v>2</v>
      </c>
      <c r="M130" t="s">
        <v>45</v>
      </c>
      <c r="N130" t="s">
        <v>46</v>
      </c>
      <c r="O130" t="s">
        <v>47</v>
      </c>
      <c r="P130" s="12">
        <v>1</v>
      </c>
      <c r="Q130" s="13">
        <v>44867.708622685182</v>
      </c>
      <c r="R130" s="14">
        <v>44869</v>
      </c>
      <c r="S130" t="s">
        <v>41</v>
      </c>
      <c r="T130" t="s">
        <v>48</v>
      </c>
      <c r="U130" t="s">
        <v>49</v>
      </c>
      <c r="V130" t="s">
        <v>128</v>
      </c>
      <c r="Y130" t="s">
        <v>482</v>
      </c>
      <c r="Z130">
        <v>15350</v>
      </c>
      <c r="AA130" t="s">
        <v>48</v>
      </c>
      <c r="AB130" t="s">
        <v>124</v>
      </c>
      <c r="AC130" t="s">
        <v>53</v>
      </c>
      <c r="AD130" s="15">
        <f>IF(P130&lt;=1,7,7+0.8*ROUNDUP(P130-1,0))</f>
        <v>7</v>
      </c>
      <c r="AE130" s="16">
        <v>0</v>
      </c>
      <c r="AF130" s="16">
        <v>0</v>
      </c>
      <c r="AG130" s="16">
        <v>0</v>
      </c>
      <c r="AH130" s="16">
        <v>0</v>
      </c>
      <c r="AI130" s="16">
        <f t="shared" si="4"/>
        <v>0.42</v>
      </c>
      <c r="AJ130" s="16">
        <f t="shared" ref="AJ130:AJ193" si="5">AD130+AF130+AH130+AI130</f>
        <v>7.42</v>
      </c>
      <c r="AK130" t="s">
        <v>48</v>
      </c>
    </row>
    <row r="131" spans="1:37" ht="15" customHeight="1" x14ac:dyDescent="0.35">
      <c r="A131">
        <v>690929</v>
      </c>
      <c r="B131" t="s">
        <v>37</v>
      </c>
      <c r="C131" t="s">
        <v>38</v>
      </c>
      <c r="D131" s="9" t="s">
        <v>39</v>
      </c>
      <c r="E131" s="10" t="s">
        <v>37</v>
      </c>
      <c r="F131" s="11"/>
      <c r="G131" t="s">
        <v>483</v>
      </c>
      <c r="H131" t="s">
        <v>41</v>
      </c>
      <c r="I131" t="s">
        <v>42</v>
      </c>
      <c r="J131" t="s">
        <v>484</v>
      </c>
      <c r="K131" t="s">
        <v>44</v>
      </c>
      <c r="L131">
        <v>2</v>
      </c>
      <c r="M131" t="s">
        <v>45</v>
      </c>
      <c r="N131" t="s">
        <v>46</v>
      </c>
      <c r="O131" t="s">
        <v>47</v>
      </c>
      <c r="P131" s="12">
        <v>1</v>
      </c>
      <c r="Q131" s="13">
        <v>44865.526990740742</v>
      </c>
      <c r="R131" s="14">
        <v>44869</v>
      </c>
      <c r="S131" t="s">
        <v>41</v>
      </c>
      <c r="T131" t="s">
        <v>48</v>
      </c>
      <c r="U131" t="s">
        <v>49</v>
      </c>
      <c r="V131" t="s">
        <v>71</v>
      </c>
      <c r="Y131" t="s">
        <v>485</v>
      </c>
      <c r="Z131">
        <v>41050</v>
      </c>
      <c r="AA131" t="s">
        <v>48</v>
      </c>
      <c r="AB131" t="s">
        <v>73</v>
      </c>
      <c r="AC131" t="s">
        <v>53</v>
      </c>
      <c r="AD131" s="15">
        <f>IF(P131&lt;=1,7,7+0.8*ROUNDUP(P131-1,0))</f>
        <v>7</v>
      </c>
      <c r="AE131" s="16">
        <v>0</v>
      </c>
      <c r="AF131" s="16">
        <v>0</v>
      </c>
      <c r="AG131" s="16">
        <v>0</v>
      </c>
      <c r="AH131" s="16">
        <v>0</v>
      </c>
      <c r="AI131" s="16">
        <f t="shared" si="4"/>
        <v>0.42</v>
      </c>
      <c r="AJ131" s="16">
        <f t="shared" si="5"/>
        <v>7.42</v>
      </c>
      <c r="AK131" t="s">
        <v>48</v>
      </c>
    </row>
    <row r="132" spans="1:37" ht="15" customHeight="1" x14ac:dyDescent="0.35">
      <c r="A132">
        <v>690929</v>
      </c>
      <c r="B132" t="s">
        <v>37</v>
      </c>
      <c r="C132" t="s">
        <v>38</v>
      </c>
      <c r="D132" s="9" t="s">
        <v>39</v>
      </c>
      <c r="E132" s="10" t="s">
        <v>37</v>
      </c>
      <c r="F132" s="11"/>
      <c r="G132" t="s">
        <v>486</v>
      </c>
      <c r="H132" t="s">
        <v>41</v>
      </c>
      <c r="I132" t="s">
        <v>42</v>
      </c>
      <c r="J132" t="s">
        <v>487</v>
      </c>
      <c r="K132" t="s">
        <v>44</v>
      </c>
      <c r="L132">
        <v>2</v>
      </c>
      <c r="M132" t="s">
        <v>45</v>
      </c>
      <c r="N132" t="s">
        <v>46</v>
      </c>
      <c r="O132" t="s">
        <v>47</v>
      </c>
      <c r="P132" s="12">
        <v>1</v>
      </c>
      <c r="Q132" s="13">
        <v>44865.748090277775</v>
      </c>
      <c r="R132" s="14">
        <v>44870</v>
      </c>
      <c r="S132" t="s">
        <v>41</v>
      </c>
      <c r="T132" t="s">
        <v>48</v>
      </c>
      <c r="U132" t="s">
        <v>49</v>
      </c>
      <c r="V132" t="s">
        <v>56</v>
      </c>
      <c r="Y132" t="s">
        <v>488</v>
      </c>
      <c r="Z132">
        <v>91100</v>
      </c>
      <c r="AA132" t="s">
        <v>58</v>
      </c>
      <c r="AB132" t="s">
        <v>73</v>
      </c>
      <c r="AC132" t="s">
        <v>53</v>
      </c>
      <c r="AD132" s="17">
        <f>IF(P132&lt;=1,13,IF(P132&lt;=2,23,IF(P132&lt;=3,35,IF(P132&lt;=4,43,IF(P132&lt;=5,53,IF(P132&lt;=6,63,IF(P132&lt;=7,71,IF(P132&lt;=8,79,IF(P132&lt;=9,87,IF(P132&lt;=10,95,IF(P132&lt;=11,105,IF(P132&lt;=12,114,IF(P132&lt;=13,119,IF(P132&lt;=14,127,IF(P132&lt;=15,135,IF(P132&lt;=16,143,IF(P132&lt;=17,153,IF(P132&lt;=18,163,IF(P132&lt;=19,171,IF(P132&lt;=20,185,IF(P132&lt;=21,193,IF(P132&lt;=22,201,IF(P132&lt;=23,210,IF(P132&lt;=24,220,IF(P132&lt;=25,230,IF(P132&lt;=26,240,IF(P132&lt;=27,250,IF(P132&lt;=28,260,IF(P132&lt;=29,270,IF(P132&lt;=30,280,280))))))))))))))))))))))))))))))</f>
        <v>13</v>
      </c>
      <c r="AE132" s="16">
        <v>0</v>
      </c>
      <c r="AF132" s="16">
        <v>0</v>
      </c>
      <c r="AG132" s="16">
        <v>0</v>
      </c>
      <c r="AH132" s="16">
        <v>0</v>
      </c>
      <c r="AI132" s="16">
        <f t="shared" si="4"/>
        <v>0.78</v>
      </c>
      <c r="AJ132" s="16">
        <f t="shared" si="5"/>
        <v>13.78</v>
      </c>
      <c r="AK132" t="s">
        <v>58</v>
      </c>
    </row>
    <row r="133" spans="1:37" ht="15" customHeight="1" x14ac:dyDescent="0.35">
      <c r="A133">
        <v>690929</v>
      </c>
      <c r="B133" t="s">
        <v>37</v>
      </c>
      <c r="C133" t="s">
        <v>38</v>
      </c>
      <c r="D133" s="9" t="s">
        <v>39</v>
      </c>
      <c r="E133" s="10" t="s">
        <v>37</v>
      </c>
      <c r="F133" s="11"/>
      <c r="G133" t="s">
        <v>489</v>
      </c>
      <c r="H133" t="s">
        <v>41</v>
      </c>
      <c r="I133" t="s">
        <v>42</v>
      </c>
      <c r="J133" t="s">
        <v>490</v>
      </c>
      <c r="K133" t="s">
        <v>44</v>
      </c>
      <c r="L133">
        <v>2</v>
      </c>
      <c r="M133" t="s">
        <v>45</v>
      </c>
      <c r="N133" t="s">
        <v>46</v>
      </c>
      <c r="O133" t="s">
        <v>47</v>
      </c>
      <c r="P133" s="12">
        <v>1</v>
      </c>
      <c r="Q133" s="13">
        <v>44868.631608796299</v>
      </c>
      <c r="R133" s="14">
        <v>44870</v>
      </c>
      <c r="S133" t="s">
        <v>41</v>
      </c>
      <c r="T133" t="s">
        <v>48</v>
      </c>
      <c r="U133" t="s">
        <v>49</v>
      </c>
      <c r="V133" t="s">
        <v>251</v>
      </c>
      <c r="Y133" t="s">
        <v>491</v>
      </c>
      <c r="Z133">
        <v>28750</v>
      </c>
      <c r="AA133" t="s">
        <v>48</v>
      </c>
      <c r="AB133" t="s">
        <v>492</v>
      </c>
      <c r="AC133" t="s">
        <v>53</v>
      </c>
      <c r="AD133" s="15">
        <f>IF(P133&lt;=1,7,7+0.8*ROUNDUP(P133-1,0))</f>
        <v>7</v>
      </c>
      <c r="AE133" s="16">
        <v>0</v>
      </c>
      <c r="AF133" s="16">
        <v>0</v>
      </c>
      <c r="AG133" s="16">
        <v>0</v>
      </c>
      <c r="AH133" s="16">
        <v>0</v>
      </c>
      <c r="AI133" s="16">
        <f t="shared" si="4"/>
        <v>0.42</v>
      </c>
      <c r="AJ133" s="16">
        <f t="shared" si="5"/>
        <v>7.42</v>
      </c>
      <c r="AK133" t="s">
        <v>48</v>
      </c>
    </row>
    <row r="134" spans="1:37" ht="15" customHeight="1" x14ac:dyDescent="0.35">
      <c r="A134">
        <v>690929</v>
      </c>
      <c r="B134" t="s">
        <v>37</v>
      </c>
      <c r="C134" t="s">
        <v>38</v>
      </c>
      <c r="D134" s="9" t="s">
        <v>39</v>
      </c>
      <c r="E134" s="10" t="s">
        <v>37</v>
      </c>
      <c r="F134" s="11"/>
      <c r="G134" t="s">
        <v>493</v>
      </c>
      <c r="H134" t="s">
        <v>41</v>
      </c>
      <c r="I134" t="s">
        <v>42</v>
      </c>
      <c r="J134" t="s">
        <v>494</v>
      </c>
      <c r="K134" t="s">
        <v>44</v>
      </c>
      <c r="L134">
        <v>2</v>
      </c>
      <c r="M134" t="s">
        <v>45</v>
      </c>
      <c r="N134" t="s">
        <v>46</v>
      </c>
      <c r="O134" t="s">
        <v>47</v>
      </c>
      <c r="P134" s="12">
        <v>1</v>
      </c>
      <c r="Q134" s="13">
        <v>44868.437141203707</v>
      </c>
      <c r="R134" s="14">
        <v>44870</v>
      </c>
      <c r="S134" t="s">
        <v>41</v>
      </c>
      <c r="T134" t="s">
        <v>48</v>
      </c>
      <c r="U134" t="s">
        <v>49</v>
      </c>
      <c r="V134" t="s">
        <v>50</v>
      </c>
      <c r="Y134" t="s">
        <v>495</v>
      </c>
      <c r="Z134">
        <v>36400</v>
      </c>
      <c r="AA134" t="s">
        <v>48</v>
      </c>
      <c r="AB134" t="s">
        <v>49</v>
      </c>
      <c r="AC134" t="s">
        <v>53</v>
      </c>
      <c r="AD134" s="15">
        <f>IF(P134&lt;=1,7,7+0.8*ROUNDUP(P134-1,0))</f>
        <v>7</v>
      </c>
      <c r="AE134" s="16">
        <v>0</v>
      </c>
      <c r="AF134" s="16">
        <v>0</v>
      </c>
      <c r="AG134" s="16">
        <v>0</v>
      </c>
      <c r="AH134" s="16">
        <v>0</v>
      </c>
      <c r="AI134" s="16">
        <f t="shared" si="4"/>
        <v>0.42</v>
      </c>
      <c r="AJ134" s="16">
        <f t="shared" si="5"/>
        <v>7.42</v>
      </c>
      <c r="AK134" t="s">
        <v>48</v>
      </c>
    </row>
    <row r="135" spans="1:37" ht="15" customHeight="1" x14ac:dyDescent="0.35">
      <c r="A135">
        <v>690929</v>
      </c>
      <c r="B135" t="s">
        <v>37</v>
      </c>
      <c r="C135" t="s">
        <v>38</v>
      </c>
      <c r="D135" s="9" t="s">
        <v>39</v>
      </c>
      <c r="E135" s="10" t="s">
        <v>37</v>
      </c>
      <c r="F135" s="11"/>
      <c r="G135" t="s">
        <v>496</v>
      </c>
      <c r="H135" t="s">
        <v>41</v>
      </c>
      <c r="I135" t="s">
        <v>42</v>
      </c>
      <c r="J135" t="s">
        <v>497</v>
      </c>
      <c r="K135" t="s">
        <v>44</v>
      </c>
      <c r="L135">
        <v>2</v>
      </c>
      <c r="M135" t="s">
        <v>45</v>
      </c>
      <c r="N135" t="s">
        <v>46</v>
      </c>
      <c r="O135" t="s">
        <v>47</v>
      </c>
      <c r="P135" s="12">
        <v>2</v>
      </c>
      <c r="Q135" s="13">
        <v>44866.663831018515</v>
      </c>
      <c r="R135" s="14">
        <v>44870</v>
      </c>
      <c r="S135" t="s">
        <v>41</v>
      </c>
      <c r="T135" t="s">
        <v>48</v>
      </c>
      <c r="U135" t="s">
        <v>49</v>
      </c>
      <c r="V135" t="s">
        <v>50</v>
      </c>
      <c r="Y135" t="s">
        <v>498</v>
      </c>
      <c r="Z135">
        <v>31200</v>
      </c>
      <c r="AA135" t="s">
        <v>48</v>
      </c>
      <c r="AB135" t="s">
        <v>49</v>
      </c>
      <c r="AC135" t="s">
        <v>53</v>
      </c>
      <c r="AD135" s="15">
        <f>IF(P135&lt;=1,7,7+0.8*ROUNDUP(P135-1,0))</f>
        <v>7.8</v>
      </c>
      <c r="AE135" s="16">
        <v>0</v>
      </c>
      <c r="AF135" s="16">
        <v>0</v>
      </c>
      <c r="AG135" s="16">
        <v>0</v>
      </c>
      <c r="AH135" s="16">
        <v>0</v>
      </c>
      <c r="AI135" s="16">
        <f t="shared" si="4"/>
        <v>0.46799999999999997</v>
      </c>
      <c r="AJ135" s="16">
        <f t="shared" si="5"/>
        <v>8.2680000000000007</v>
      </c>
      <c r="AK135" t="s">
        <v>48</v>
      </c>
    </row>
    <row r="136" spans="1:37" ht="15" customHeight="1" x14ac:dyDescent="0.35">
      <c r="A136">
        <v>690929</v>
      </c>
      <c r="B136" t="s">
        <v>37</v>
      </c>
      <c r="C136" t="s">
        <v>38</v>
      </c>
      <c r="D136" s="9" t="s">
        <v>39</v>
      </c>
      <c r="E136" s="10" t="s">
        <v>37</v>
      </c>
      <c r="F136" s="11"/>
      <c r="G136" t="s">
        <v>499</v>
      </c>
      <c r="H136" t="s">
        <v>41</v>
      </c>
      <c r="I136" t="s">
        <v>42</v>
      </c>
      <c r="J136" t="s">
        <v>500</v>
      </c>
      <c r="K136" t="s">
        <v>44</v>
      </c>
      <c r="L136">
        <v>2</v>
      </c>
      <c r="M136" t="s">
        <v>45</v>
      </c>
      <c r="N136" t="s">
        <v>46</v>
      </c>
      <c r="O136" t="s">
        <v>47</v>
      </c>
      <c r="P136" s="12">
        <v>3</v>
      </c>
      <c r="Q136" s="13">
        <v>44868.63354166667</v>
      </c>
      <c r="R136" s="14">
        <v>44870</v>
      </c>
      <c r="S136" t="s">
        <v>41</v>
      </c>
      <c r="T136" t="s">
        <v>48</v>
      </c>
      <c r="U136" t="s">
        <v>49</v>
      </c>
      <c r="V136" t="s">
        <v>100</v>
      </c>
      <c r="Y136" t="s">
        <v>501</v>
      </c>
      <c r="Z136">
        <v>8000</v>
      </c>
      <c r="AA136" t="s">
        <v>48</v>
      </c>
      <c r="AB136" t="s">
        <v>49</v>
      </c>
      <c r="AC136" t="s">
        <v>53</v>
      </c>
      <c r="AD136" s="15">
        <f>IF(P136&lt;=1,7,7+0.8*ROUNDUP(P136-1,0))</f>
        <v>8.6</v>
      </c>
      <c r="AE136" s="16">
        <v>0</v>
      </c>
      <c r="AF136" s="16">
        <v>0</v>
      </c>
      <c r="AG136" s="16">
        <v>0</v>
      </c>
      <c r="AH136" s="16">
        <v>0</v>
      </c>
      <c r="AI136" s="16">
        <f t="shared" si="4"/>
        <v>0.51600000000000001</v>
      </c>
      <c r="AJ136" s="16">
        <f t="shared" si="5"/>
        <v>9.1159999999999997</v>
      </c>
      <c r="AK136" t="s">
        <v>48</v>
      </c>
    </row>
    <row r="137" spans="1:37" ht="15" customHeight="1" x14ac:dyDescent="0.35">
      <c r="A137">
        <v>690929</v>
      </c>
      <c r="B137" t="s">
        <v>37</v>
      </c>
      <c r="C137" t="s">
        <v>38</v>
      </c>
      <c r="D137" s="9" t="s">
        <v>39</v>
      </c>
      <c r="E137" s="10" t="s">
        <v>37</v>
      </c>
      <c r="F137" s="11"/>
      <c r="G137" t="s">
        <v>502</v>
      </c>
      <c r="H137" t="s">
        <v>41</v>
      </c>
      <c r="I137" t="s">
        <v>42</v>
      </c>
      <c r="J137" t="s">
        <v>503</v>
      </c>
      <c r="K137" t="s">
        <v>44</v>
      </c>
      <c r="L137">
        <v>2</v>
      </c>
      <c r="M137" t="s">
        <v>45</v>
      </c>
      <c r="N137" t="s">
        <v>46</v>
      </c>
      <c r="O137" t="s">
        <v>47</v>
      </c>
      <c r="P137" s="12">
        <v>1</v>
      </c>
      <c r="Q137" s="13">
        <v>44868.756412037037</v>
      </c>
      <c r="R137" s="14">
        <v>44870</v>
      </c>
      <c r="S137" t="s">
        <v>41</v>
      </c>
      <c r="T137" t="s">
        <v>48</v>
      </c>
      <c r="U137" t="s">
        <v>124</v>
      </c>
      <c r="V137" t="s">
        <v>50</v>
      </c>
      <c r="Y137" t="s">
        <v>504</v>
      </c>
      <c r="Z137">
        <v>31350</v>
      </c>
      <c r="AA137" t="s">
        <v>48</v>
      </c>
      <c r="AB137" t="s">
        <v>124</v>
      </c>
      <c r="AC137" t="s">
        <v>53</v>
      </c>
      <c r="AD137" s="15">
        <f>IF(P137&lt;=1,7,7+0.8*ROUNDUP(P137-1,0))</f>
        <v>7</v>
      </c>
      <c r="AE137" s="16">
        <v>0</v>
      </c>
      <c r="AF137" s="16">
        <v>0</v>
      </c>
      <c r="AG137" s="16">
        <v>0</v>
      </c>
      <c r="AH137" s="16">
        <v>0</v>
      </c>
      <c r="AI137" s="16">
        <f t="shared" si="4"/>
        <v>0.42</v>
      </c>
      <c r="AJ137" s="16">
        <f t="shared" si="5"/>
        <v>7.42</v>
      </c>
      <c r="AK137" t="s">
        <v>48</v>
      </c>
    </row>
    <row r="138" spans="1:37" ht="15" customHeight="1" x14ac:dyDescent="0.35">
      <c r="A138">
        <v>690929</v>
      </c>
      <c r="B138" t="s">
        <v>37</v>
      </c>
      <c r="C138" t="s">
        <v>38</v>
      </c>
      <c r="D138" s="9" t="s">
        <v>39</v>
      </c>
      <c r="E138" s="10" t="s">
        <v>37</v>
      </c>
      <c r="F138" s="11"/>
      <c r="G138" t="s">
        <v>505</v>
      </c>
      <c r="H138" t="s">
        <v>41</v>
      </c>
      <c r="I138" t="s">
        <v>42</v>
      </c>
      <c r="J138" t="s">
        <v>506</v>
      </c>
      <c r="K138" t="s">
        <v>44</v>
      </c>
      <c r="L138">
        <v>2</v>
      </c>
      <c r="M138" t="s">
        <v>45</v>
      </c>
      <c r="N138" t="s">
        <v>46</v>
      </c>
      <c r="O138" t="s">
        <v>47</v>
      </c>
      <c r="P138" s="12">
        <v>14</v>
      </c>
      <c r="Q138" s="13">
        <v>44869.489525462966</v>
      </c>
      <c r="R138" s="14">
        <v>44871</v>
      </c>
      <c r="S138" t="s">
        <v>41</v>
      </c>
      <c r="T138" t="s">
        <v>48</v>
      </c>
      <c r="U138" t="s">
        <v>49</v>
      </c>
      <c r="V138" t="s">
        <v>96</v>
      </c>
      <c r="Y138" t="s">
        <v>507</v>
      </c>
      <c r="Z138">
        <v>21300</v>
      </c>
      <c r="AA138" t="s">
        <v>48</v>
      </c>
      <c r="AB138" t="s">
        <v>141</v>
      </c>
      <c r="AC138" t="s">
        <v>53</v>
      </c>
      <c r="AD138" s="15">
        <f>IF(P138&lt;=1,7,7+0.8*ROUNDUP(P138-1,0))</f>
        <v>17.399999999999999</v>
      </c>
      <c r="AE138" s="16">
        <v>0</v>
      </c>
      <c r="AF138" s="16">
        <v>0</v>
      </c>
      <c r="AG138" s="16">
        <v>0</v>
      </c>
      <c r="AH138" s="16">
        <v>0</v>
      </c>
      <c r="AI138" s="16">
        <f t="shared" si="4"/>
        <v>1.0439999999999998</v>
      </c>
      <c r="AJ138" s="16">
        <f t="shared" si="5"/>
        <v>18.443999999999999</v>
      </c>
      <c r="AK138" t="s">
        <v>48</v>
      </c>
    </row>
    <row r="139" spans="1:37" ht="15" customHeight="1" x14ac:dyDescent="0.35">
      <c r="A139">
        <v>690929</v>
      </c>
      <c r="B139" t="s">
        <v>37</v>
      </c>
      <c r="C139" t="s">
        <v>38</v>
      </c>
      <c r="D139" s="9" t="s">
        <v>39</v>
      </c>
      <c r="E139" s="10" t="s">
        <v>37</v>
      </c>
      <c r="F139" s="11"/>
      <c r="G139" t="s">
        <v>508</v>
      </c>
      <c r="H139" t="s">
        <v>41</v>
      </c>
      <c r="I139" t="s">
        <v>42</v>
      </c>
      <c r="J139" t="s">
        <v>506</v>
      </c>
      <c r="K139" t="s">
        <v>44</v>
      </c>
      <c r="L139">
        <v>2</v>
      </c>
      <c r="M139" t="s">
        <v>45</v>
      </c>
      <c r="N139" t="s">
        <v>46</v>
      </c>
      <c r="O139" t="s">
        <v>47</v>
      </c>
      <c r="P139" s="12">
        <v>14</v>
      </c>
      <c r="Q139" s="13">
        <v>44869.488229166665</v>
      </c>
      <c r="R139" s="14">
        <v>44871</v>
      </c>
      <c r="S139" t="s">
        <v>41</v>
      </c>
      <c r="T139" t="s">
        <v>48</v>
      </c>
      <c r="U139" t="s">
        <v>49</v>
      </c>
      <c r="V139" t="s">
        <v>96</v>
      </c>
      <c r="Y139" t="s">
        <v>507</v>
      </c>
      <c r="Z139">
        <v>21300</v>
      </c>
      <c r="AA139" t="s">
        <v>48</v>
      </c>
      <c r="AB139" t="s">
        <v>141</v>
      </c>
      <c r="AC139" t="s">
        <v>53</v>
      </c>
      <c r="AD139" s="15">
        <f>IF(P139&lt;=1,7,7+0.8*ROUNDUP(P139-1,0))</f>
        <v>17.399999999999999</v>
      </c>
      <c r="AE139" s="16">
        <v>0</v>
      </c>
      <c r="AF139" s="16">
        <v>0</v>
      </c>
      <c r="AG139" s="16">
        <v>0</v>
      </c>
      <c r="AH139" s="16">
        <v>0</v>
      </c>
      <c r="AI139" s="16">
        <f t="shared" si="4"/>
        <v>1.0439999999999998</v>
      </c>
      <c r="AJ139" s="16">
        <f t="shared" si="5"/>
        <v>18.443999999999999</v>
      </c>
      <c r="AK139" t="s">
        <v>48</v>
      </c>
    </row>
    <row r="140" spans="1:37" ht="15" customHeight="1" x14ac:dyDescent="0.35">
      <c r="A140">
        <v>690929</v>
      </c>
      <c r="B140" t="s">
        <v>37</v>
      </c>
      <c r="C140" t="s">
        <v>38</v>
      </c>
      <c r="D140" s="9" t="s">
        <v>39</v>
      </c>
      <c r="E140" s="10" t="s">
        <v>37</v>
      </c>
      <c r="F140" s="11"/>
      <c r="G140" t="s">
        <v>509</v>
      </c>
      <c r="H140" t="s">
        <v>41</v>
      </c>
      <c r="I140" t="s">
        <v>42</v>
      </c>
      <c r="J140" t="s">
        <v>510</v>
      </c>
      <c r="K140" t="s">
        <v>44</v>
      </c>
      <c r="L140">
        <v>2</v>
      </c>
      <c r="M140" t="s">
        <v>45</v>
      </c>
      <c r="N140" t="s">
        <v>46</v>
      </c>
      <c r="O140" t="s">
        <v>47</v>
      </c>
      <c r="P140" s="12">
        <v>1</v>
      </c>
      <c r="Q140" s="13">
        <v>44869.741018518522</v>
      </c>
      <c r="R140" s="14">
        <v>44871</v>
      </c>
      <c r="S140" t="s">
        <v>41</v>
      </c>
      <c r="T140" t="s">
        <v>48</v>
      </c>
      <c r="U140" t="s">
        <v>49</v>
      </c>
      <c r="V140" t="s">
        <v>251</v>
      </c>
      <c r="Y140" t="s">
        <v>511</v>
      </c>
      <c r="Z140">
        <v>28300</v>
      </c>
      <c r="AA140" t="s">
        <v>48</v>
      </c>
      <c r="AB140" t="s">
        <v>512</v>
      </c>
      <c r="AC140" t="s">
        <v>53</v>
      </c>
      <c r="AD140" s="15">
        <f>IF(P140&lt;=1,7,7+0.8*ROUNDUP(P140-1,0))</f>
        <v>7</v>
      </c>
      <c r="AE140" s="16">
        <v>0</v>
      </c>
      <c r="AF140" s="16">
        <v>0</v>
      </c>
      <c r="AG140" s="16">
        <v>0</v>
      </c>
      <c r="AH140" s="16">
        <v>0</v>
      </c>
      <c r="AI140" s="16">
        <f t="shared" si="4"/>
        <v>0.42</v>
      </c>
      <c r="AJ140" s="16">
        <f t="shared" si="5"/>
        <v>7.42</v>
      </c>
      <c r="AK140" t="s">
        <v>48</v>
      </c>
    </row>
    <row r="141" spans="1:37" ht="15" customHeight="1" x14ac:dyDescent="0.35">
      <c r="A141">
        <v>690929</v>
      </c>
      <c r="B141" t="s">
        <v>37</v>
      </c>
      <c r="C141" t="s">
        <v>38</v>
      </c>
      <c r="D141" s="9" t="s">
        <v>39</v>
      </c>
      <c r="E141" s="10" t="s">
        <v>37</v>
      </c>
      <c r="F141" s="11"/>
      <c r="G141" t="s">
        <v>513</v>
      </c>
      <c r="H141" t="s">
        <v>41</v>
      </c>
      <c r="I141" t="s">
        <v>42</v>
      </c>
      <c r="J141" t="s">
        <v>514</v>
      </c>
      <c r="K141" t="s">
        <v>44</v>
      </c>
      <c r="L141">
        <v>2</v>
      </c>
      <c r="M141" t="s">
        <v>45</v>
      </c>
      <c r="N141" t="s">
        <v>46</v>
      </c>
      <c r="O141" t="s">
        <v>47</v>
      </c>
      <c r="P141" s="12">
        <v>1</v>
      </c>
      <c r="Q141" s="13">
        <v>44869.741018518522</v>
      </c>
      <c r="R141" s="14">
        <v>44871</v>
      </c>
      <c r="S141" t="s">
        <v>41</v>
      </c>
      <c r="T141" t="s">
        <v>48</v>
      </c>
      <c r="U141" t="s">
        <v>49</v>
      </c>
      <c r="V141" t="s">
        <v>128</v>
      </c>
      <c r="Y141" t="s">
        <v>515</v>
      </c>
      <c r="Z141">
        <v>16450</v>
      </c>
      <c r="AA141" t="s">
        <v>48</v>
      </c>
      <c r="AB141" t="s">
        <v>124</v>
      </c>
      <c r="AC141" t="s">
        <v>53</v>
      </c>
      <c r="AD141" s="15">
        <f>IF(P141&lt;=1,7,7+0.8*ROUNDUP(P141-1,0))</f>
        <v>7</v>
      </c>
      <c r="AE141" s="16">
        <v>0</v>
      </c>
      <c r="AF141" s="16">
        <v>0</v>
      </c>
      <c r="AG141" s="16">
        <v>0</v>
      </c>
      <c r="AH141" s="16">
        <v>0</v>
      </c>
      <c r="AI141" s="16">
        <f t="shared" si="4"/>
        <v>0.42</v>
      </c>
      <c r="AJ141" s="16">
        <f t="shared" si="5"/>
        <v>7.42</v>
      </c>
      <c r="AK141" t="s">
        <v>48</v>
      </c>
    </row>
    <row r="142" spans="1:37" ht="15" customHeight="1" x14ac:dyDescent="0.35">
      <c r="A142">
        <v>690929</v>
      </c>
      <c r="B142" t="s">
        <v>37</v>
      </c>
      <c r="C142" t="s">
        <v>38</v>
      </c>
      <c r="D142" s="9" t="s">
        <v>39</v>
      </c>
      <c r="E142" s="10" t="s">
        <v>37</v>
      </c>
      <c r="F142" s="11"/>
      <c r="G142" t="s">
        <v>516</v>
      </c>
      <c r="H142" t="s">
        <v>41</v>
      </c>
      <c r="I142" t="s">
        <v>42</v>
      </c>
      <c r="J142" t="s">
        <v>517</v>
      </c>
      <c r="K142" t="s">
        <v>44</v>
      </c>
      <c r="L142">
        <v>2</v>
      </c>
      <c r="M142" t="s">
        <v>45</v>
      </c>
      <c r="N142" t="s">
        <v>46</v>
      </c>
      <c r="O142" t="s">
        <v>47</v>
      </c>
      <c r="P142" s="12">
        <v>1</v>
      </c>
      <c r="Q142" s="13">
        <v>44867.482974537037</v>
      </c>
      <c r="R142" s="14">
        <v>44871</v>
      </c>
      <c r="S142" t="s">
        <v>41</v>
      </c>
      <c r="T142" t="s">
        <v>48</v>
      </c>
      <c r="U142" t="s">
        <v>49</v>
      </c>
      <c r="V142" t="s">
        <v>50</v>
      </c>
      <c r="Y142" t="s">
        <v>518</v>
      </c>
      <c r="Z142">
        <v>32600</v>
      </c>
      <c r="AA142" t="s">
        <v>48</v>
      </c>
      <c r="AB142" t="s">
        <v>49</v>
      </c>
      <c r="AC142" t="s">
        <v>53</v>
      </c>
      <c r="AD142" s="15">
        <f>IF(P142&lt;=1,7,7+0.8*ROUNDUP(P142-1,0))</f>
        <v>7</v>
      </c>
      <c r="AE142" s="16">
        <v>0</v>
      </c>
      <c r="AF142" s="16">
        <v>0</v>
      </c>
      <c r="AG142" s="16">
        <v>0</v>
      </c>
      <c r="AH142" s="16">
        <v>0</v>
      </c>
      <c r="AI142" s="16">
        <f t="shared" si="4"/>
        <v>0.42</v>
      </c>
      <c r="AJ142" s="16">
        <f t="shared" si="5"/>
        <v>7.42</v>
      </c>
      <c r="AK142" t="s">
        <v>48</v>
      </c>
    </row>
    <row r="143" spans="1:37" ht="15" customHeight="1" x14ac:dyDescent="0.35">
      <c r="A143">
        <v>690929</v>
      </c>
      <c r="B143" t="s">
        <v>37</v>
      </c>
      <c r="C143" t="s">
        <v>38</v>
      </c>
      <c r="D143" s="9" t="s">
        <v>39</v>
      </c>
      <c r="E143" s="10" t="s">
        <v>37</v>
      </c>
      <c r="F143" s="11"/>
      <c r="G143" t="s">
        <v>519</v>
      </c>
      <c r="H143" t="s">
        <v>41</v>
      </c>
      <c r="I143" t="s">
        <v>42</v>
      </c>
      <c r="J143" t="s">
        <v>520</v>
      </c>
      <c r="K143" t="s">
        <v>44</v>
      </c>
      <c r="L143">
        <v>2</v>
      </c>
      <c r="M143" t="s">
        <v>45</v>
      </c>
      <c r="N143" t="s">
        <v>46</v>
      </c>
      <c r="O143" t="s">
        <v>47</v>
      </c>
      <c r="P143" s="12">
        <v>1</v>
      </c>
      <c r="Q143" s="13">
        <v>44868.756412037037</v>
      </c>
      <c r="R143" s="14">
        <v>44871</v>
      </c>
      <c r="S143" t="s">
        <v>41</v>
      </c>
      <c r="T143" t="s">
        <v>48</v>
      </c>
      <c r="U143" t="s">
        <v>124</v>
      </c>
      <c r="V143" t="s">
        <v>71</v>
      </c>
      <c r="Y143" t="s">
        <v>521</v>
      </c>
      <c r="Z143">
        <v>47100</v>
      </c>
      <c r="AA143" t="s">
        <v>48</v>
      </c>
      <c r="AB143" t="s">
        <v>73</v>
      </c>
      <c r="AC143" t="s">
        <v>53</v>
      </c>
      <c r="AD143" s="15">
        <f>IF(P143&lt;=1,7,7+0.8*ROUNDUP(P143-1,0))</f>
        <v>7</v>
      </c>
      <c r="AE143" s="16">
        <v>0</v>
      </c>
      <c r="AF143" s="16">
        <v>0</v>
      </c>
      <c r="AG143" s="16">
        <v>0</v>
      </c>
      <c r="AH143" s="16">
        <v>0</v>
      </c>
      <c r="AI143" s="16">
        <f t="shared" si="4"/>
        <v>0.42</v>
      </c>
      <c r="AJ143" s="16">
        <f t="shared" si="5"/>
        <v>7.42</v>
      </c>
      <c r="AK143" t="s">
        <v>48</v>
      </c>
    </row>
    <row r="144" spans="1:37" ht="15" customHeight="1" x14ac:dyDescent="0.35">
      <c r="A144">
        <v>690929</v>
      </c>
      <c r="B144" t="s">
        <v>37</v>
      </c>
      <c r="C144" t="s">
        <v>38</v>
      </c>
      <c r="D144" s="9" t="s">
        <v>39</v>
      </c>
      <c r="E144" s="10" t="s">
        <v>37</v>
      </c>
      <c r="F144" s="11"/>
      <c r="G144" t="s">
        <v>522</v>
      </c>
      <c r="H144" t="s">
        <v>41</v>
      </c>
      <c r="I144" t="s">
        <v>42</v>
      </c>
      <c r="J144" t="s">
        <v>523</v>
      </c>
      <c r="K144" t="s">
        <v>44</v>
      </c>
      <c r="L144">
        <v>2</v>
      </c>
      <c r="M144" t="s">
        <v>45</v>
      </c>
      <c r="N144" t="s">
        <v>46</v>
      </c>
      <c r="O144" t="s">
        <v>47</v>
      </c>
      <c r="P144" s="12">
        <v>1</v>
      </c>
      <c r="Q144" s="13">
        <v>44868.756805555553</v>
      </c>
      <c r="R144" s="14">
        <v>44871</v>
      </c>
      <c r="S144" t="s">
        <v>41</v>
      </c>
      <c r="T144" t="s">
        <v>48</v>
      </c>
      <c r="U144" t="s">
        <v>124</v>
      </c>
      <c r="V144" t="s">
        <v>85</v>
      </c>
      <c r="Y144" t="s">
        <v>524</v>
      </c>
      <c r="Z144">
        <v>11920</v>
      </c>
      <c r="AA144" t="s">
        <v>48</v>
      </c>
      <c r="AB144" t="s">
        <v>124</v>
      </c>
      <c r="AC144" t="s">
        <v>53</v>
      </c>
      <c r="AD144" s="15">
        <f>IF(P144&lt;=1,7,7+0.8*ROUNDUP(P144-1,0))</f>
        <v>7</v>
      </c>
      <c r="AE144" s="16">
        <v>0</v>
      </c>
      <c r="AF144" s="16">
        <v>0</v>
      </c>
      <c r="AG144" s="16">
        <v>0</v>
      </c>
      <c r="AH144" s="16">
        <v>0</v>
      </c>
      <c r="AI144" s="16">
        <f t="shared" si="4"/>
        <v>0.42</v>
      </c>
      <c r="AJ144" s="16">
        <f t="shared" si="5"/>
        <v>7.42</v>
      </c>
      <c r="AK144" t="s">
        <v>48</v>
      </c>
    </row>
    <row r="145" spans="1:37" ht="15" customHeight="1" x14ac:dyDescent="0.35">
      <c r="A145">
        <v>690929</v>
      </c>
      <c r="B145" t="s">
        <v>37</v>
      </c>
      <c r="C145" t="s">
        <v>38</v>
      </c>
      <c r="D145" s="9" t="s">
        <v>39</v>
      </c>
      <c r="E145" s="10" t="s">
        <v>37</v>
      </c>
      <c r="F145" s="11"/>
      <c r="G145" t="s">
        <v>525</v>
      </c>
      <c r="H145" t="s">
        <v>41</v>
      </c>
      <c r="I145" t="s">
        <v>42</v>
      </c>
      <c r="J145" t="s">
        <v>526</v>
      </c>
      <c r="K145" t="s">
        <v>44</v>
      </c>
      <c r="L145">
        <v>2</v>
      </c>
      <c r="M145" t="s">
        <v>45</v>
      </c>
      <c r="N145" t="s">
        <v>46</v>
      </c>
      <c r="O145" t="s">
        <v>47</v>
      </c>
      <c r="P145" s="12">
        <v>2</v>
      </c>
      <c r="Q145" s="13">
        <v>44867.707326388889</v>
      </c>
      <c r="R145" s="14">
        <v>44872</v>
      </c>
      <c r="S145" t="s">
        <v>41</v>
      </c>
      <c r="T145" t="s">
        <v>48</v>
      </c>
      <c r="U145" t="s">
        <v>49</v>
      </c>
      <c r="V145" t="s">
        <v>56</v>
      </c>
      <c r="Y145" t="s">
        <v>527</v>
      </c>
      <c r="Z145">
        <v>89808</v>
      </c>
      <c r="AA145" t="s">
        <v>58</v>
      </c>
      <c r="AB145" t="s">
        <v>109</v>
      </c>
      <c r="AC145" t="s">
        <v>53</v>
      </c>
      <c r="AD145" s="17">
        <f>IF(P145&lt;=1,13,IF(P145&lt;=2,23,IF(P145&lt;=3,35,IF(P145&lt;=4,43,IF(P145&lt;=5,53,IF(P145&lt;=6,63,IF(P145&lt;=7,71,IF(P145&lt;=8,79,IF(P145&lt;=9,87,IF(P145&lt;=10,95,IF(P145&lt;=11,105,IF(P145&lt;=12,114,IF(P145&lt;=13,119,IF(P145&lt;=14,127,IF(P145&lt;=15,135,IF(P145&lt;=16,143,IF(P145&lt;=17,153,IF(P145&lt;=18,163,IF(P145&lt;=19,171,IF(P145&lt;=20,185,IF(P145&lt;=21,193,IF(P145&lt;=22,201,IF(P145&lt;=23,210,IF(P145&lt;=24,220,IF(P145&lt;=25,230,IF(P145&lt;=26,240,IF(P145&lt;=27,250,IF(P145&lt;=28,260,IF(P145&lt;=29,270,IF(P145&lt;=30,280,280))))))))))))))))))))))))))))))</f>
        <v>23</v>
      </c>
      <c r="AE145" s="16">
        <v>0</v>
      </c>
      <c r="AF145" s="16">
        <v>0</v>
      </c>
      <c r="AG145" s="16">
        <v>0</v>
      </c>
      <c r="AH145" s="16">
        <v>0</v>
      </c>
      <c r="AI145" s="16">
        <f t="shared" si="4"/>
        <v>1.38</v>
      </c>
      <c r="AJ145" s="16">
        <f t="shared" si="5"/>
        <v>24.38</v>
      </c>
      <c r="AK145" t="s">
        <v>58</v>
      </c>
    </row>
    <row r="146" spans="1:37" ht="15" customHeight="1" x14ac:dyDescent="0.35">
      <c r="A146">
        <v>690929</v>
      </c>
      <c r="B146" t="s">
        <v>37</v>
      </c>
      <c r="C146" t="s">
        <v>38</v>
      </c>
      <c r="D146" s="9" t="s">
        <v>39</v>
      </c>
      <c r="E146" s="10" t="s">
        <v>37</v>
      </c>
      <c r="F146" s="11"/>
      <c r="G146" t="s">
        <v>528</v>
      </c>
      <c r="H146" t="s">
        <v>41</v>
      </c>
      <c r="I146" t="s">
        <v>42</v>
      </c>
      <c r="J146" t="s">
        <v>529</v>
      </c>
      <c r="K146" t="s">
        <v>44</v>
      </c>
      <c r="L146">
        <v>2</v>
      </c>
      <c r="M146" t="s">
        <v>45</v>
      </c>
      <c r="N146" t="s">
        <v>46</v>
      </c>
      <c r="O146" t="s">
        <v>47</v>
      </c>
      <c r="P146" s="12">
        <v>4</v>
      </c>
      <c r="Q146" s="13">
        <v>44869.744629629633</v>
      </c>
      <c r="R146" s="14">
        <v>44872</v>
      </c>
      <c r="S146" t="s">
        <v>41</v>
      </c>
      <c r="T146" t="s">
        <v>48</v>
      </c>
      <c r="U146" t="s">
        <v>49</v>
      </c>
      <c r="V146" t="s">
        <v>71</v>
      </c>
      <c r="Y146" t="s">
        <v>530</v>
      </c>
      <c r="Z146">
        <v>43500</v>
      </c>
      <c r="AA146" t="s">
        <v>48</v>
      </c>
      <c r="AB146" t="s">
        <v>531</v>
      </c>
      <c r="AC146" t="s">
        <v>53</v>
      </c>
      <c r="AD146" s="15">
        <f>IF(P146&lt;=1,7,7+0.8*ROUNDUP(P146-1,0))</f>
        <v>9.4</v>
      </c>
      <c r="AE146" s="16">
        <v>0</v>
      </c>
      <c r="AF146" s="16">
        <v>0</v>
      </c>
      <c r="AG146" s="16">
        <v>0</v>
      </c>
      <c r="AH146" s="16">
        <v>0</v>
      </c>
      <c r="AI146" s="16">
        <f t="shared" si="4"/>
        <v>0.56399999999999995</v>
      </c>
      <c r="AJ146" s="16">
        <f t="shared" si="5"/>
        <v>9.9640000000000004</v>
      </c>
      <c r="AK146" t="s">
        <v>48</v>
      </c>
    </row>
    <row r="147" spans="1:37" ht="15" customHeight="1" x14ac:dyDescent="0.35">
      <c r="A147">
        <v>690929</v>
      </c>
      <c r="B147" t="s">
        <v>37</v>
      </c>
      <c r="C147" t="s">
        <v>38</v>
      </c>
      <c r="D147" s="9" t="s">
        <v>39</v>
      </c>
      <c r="E147" s="10" t="s">
        <v>37</v>
      </c>
      <c r="F147" s="11"/>
      <c r="G147" t="s">
        <v>532</v>
      </c>
      <c r="H147" t="s">
        <v>41</v>
      </c>
      <c r="I147" t="s">
        <v>42</v>
      </c>
      <c r="J147" t="s">
        <v>533</v>
      </c>
      <c r="K147" t="s">
        <v>44</v>
      </c>
      <c r="L147">
        <v>2</v>
      </c>
      <c r="M147" t="s">
        <v>45</v>
      </c>
      <c r="N147" t="s">
        <v>46</v>
      </c>
      <c r="O147" t="s">
        <v>47</v>
      </c>
      <c r="P147" s="12">
        <v>1</v>
      </c>
      <c r="Q147" s="13">
        <v>44867.710335648146</v>
      </c>
      <c r="R147" s="14">
        <v>44872</v>
      </c>
      <c r="S147" t="s">
        <v>41</v>
      </c>
      <c r="T147" t="s">
        <v>48</v>
      </c>
      <c r="U147" t="s">
        <v>49</v>
      </c>
      <c r="V147" t="s">
        <v>100</v>
      </c>
      <c r="Y147" t="s">
        <v>534</v>
      </c>
      <c r="Z147">
        <v>7100</v>
      </c>
      <c r="AA147" t="s">
        <v>48</v>
      </c>
      <c r="AB147" t="s">
        <v>49</v>
      </c>
      <c r="AC147" t="s">
        <v>53</v>
      </c>
      <c r="AD147" s="15">
        <f>IF(P147&lt;=1,7,7+0.8*ROUNDUP(P147-1,0))</f>
        <v>7</v>
      </c>
      <c r="AE147" s="16">
        <v>0</v>
      </c>
      <c r="AF147" s="16">
        <v>0</v>
      </c>
      <c r="AG147" s="16">
        <v>0</v>
      </c>
      <c r="AH147" s="16">
        <v>0</v>
      </c>
      <c r="AI147" s="16">
        <f t="shared" si="4"/>
        <v>0.42</v>
      </c>
      <c r="AJ147" s="16">
        <f t="shared" si="5"/>
        <v>7.42</v>
      </c>
      <c r="AK147" t="s">
        <v>48</v>
      </c>
    </row>
    <row r="148" spans="1:37" ht="15" customHeight="1" x14ac:dyDescent="0.35">
      <c r="A148">
        <v>690929</v>
      </c>
      <c r="B148" t="s">
        <v>37</v>
      </c>
      <c r="C148" t="s">
        <v>38</v>
      </c>
      <c r="D148" s="9" t="s">
        <v>39</v>
      </c>
      <c r="E148" s="10" t="s">
        <v>37</v>
      </c>
      <c r="F148" s="11"/>
      <c r="G148" t="s">
        <v>535</v>
      </c>
      <c r="H148" t="s">
        <v>41</v>
      </c>
      <c r="I148" t="s">
        <v>42</v>
      </c>
      <c r="J148" t="s">
        <v>536</v>
      </c>
      <c r="K148" t="s">
        <v>44</v>
      </c>
      <c r="L148">
        <v>2</v>
      </c>
      <c r="M148" t="s">
        <v>45</v>
      </c>
      <c r="N148" t="s">
        <v>46</v>
      </c>
      <c r="O148" t="s">
        <v>47</v>
      </c>
      <c r="P148" s="12">
        <v>1</v>
      </c>
      <c r="Q148" s="13">
        <v>44867.711782407408</v>
      </c>
      <c r="R148" s="14">
        <v>44872</v>
      </c>
      <c r="S148" t="s">
        <v>41</v>
      </c>
      <c r="T148" t="s">
        <v>48</v>
      </c>
      <c r="U148" t="s">
        <v>49</v>
      </c>
      <c r="V148" t="s">
        <v>56</v>
      </c>
      <c r="Y148" t="s">
        <v>537</v>
      </c>
      <c r="Z148">
        <v>89760</v>
      </c>
      <c r="AA148" t="s">
        <v>58</v>
      </c>
      <c r="AB148" t="s">
        <v>109</v>
      </c>
      <c r="AC148" t="s">
        <v>53</v>
      </c>
      <c r="AD148" s="17">
        <f>IF(P148&lt;=1,13,IF(P148&lt;=2,23,IF(P148&lt;=3,35,IF(P148&lt;=4,43,IF(P148&lt;=5,53,IF(P148&lt;=6,63,IF(P148&lt;=7,71,IF(P148&lt;=8,79,IF(P148&lt;=9,87,IF(P148&lt;=10,95,IF(P148&lt;=11,105,IF(P148&lt;=12,114,IF(P148&lt;=13,119,IF(P148&lt;=14,127,IF(P148&lt;=15,135,IF(P148&lt;=16,143,IF(P148&lt;=17,153,IF(P148&lt;=18,163,IF(P148&lt;=19,171,IF(P148&lt;=20,185,IF(P148&lt;=21,193,IF(P148&lt;=22,201,IF(P148&lt;=23,210,IF(P148&lt;=24,220,IF(P148&lt;=25,230,IF(P148&lt;=26,240,IF(P148&lt;=27,250,IF(P148&lt;=28,260,IF(P148&lt;=29,270,IF(P148&lt;=30,280,280))))))))))))))))))))))))))))))</f>
        <v>13</v>
      </c>
      <c r="AE148" s="16">
        <v>0</v>
      </c>
      <c r="AF148" s="16">
        <v>0</v>
      </c>
      <c r="AG148" s="16">
        <v>0</v>
      </c>
      <c r="AH148" s="16">
        <v>0</v>
      </c>
      <c r="AI148" s="16">
        <f t="shared" si="4"/>
        <v>0.78</v>
      </c>
      <c r="AJ148" s="16">
        <f t="shared" si="5"/>
        <v>13.78</v>
      </c>
      <c r="AK148" t="s">
        <v>58</v>
      </c>
    </row>
    <row r="149" spans="1:37" ht="15" customHeight="1" x14ac:dyDescent="0.35">
      <c r="A149">
        <v>690929</v>
      </c>
      <c r="B149" t="s">
        <v>37</v>
      </c>
      <c r="C149" t="s">
        <v>38</v>
      </c>
      <c r="D149" s="9" t="s">
        <v>39</v>
      </c>
      <c r="E149" s="10" t="s">
        <v>37</v>
      </c>
      <c r="F149" s="11"/>
      <c r="G149" t="s">
        <v>538</v>
      </c>
      <c r="H149" t="s">
        <v>41</v>
      </c>
      <c r="I149" t="s">
        <v>42</v>
      </c>
      <c r="J149" t="s">
        <v>107</v>
      </c>
      <c r="K149" t="s">
        <v>44</v>
      </c>
      <c r="L149">
        <v>2</v>
      </c>
      <c r="M149" t="s">
        <v>45</v>
      </c>
      <c r="N149" t="s">
        <v>46</v>
      </c>
      <c r="O149" t="s">
        <v>47</v>
      </c>
      <c r="P149" s="12">
        <v>1</v>
      </c>
      <c r="Q149" s="13">
        <v>44867.714594907404</v>
      </c>
      <c r="R149" s="14">
        <v>44872</v>
      </c>
      <c r="S149" t="s">
        <v>41</v>
      </c>
      <c r="T149" t="s">
        <v>48</v>
      </c>
      <c r="U149" t="s">
        <v>49</v>
      </c>
      <c r="V149" t="s">
        <v>56</v>
      </c>
      <c r="Y149" t="s">
        <v>108</v>
      </c>
      <c r="Z149">
        <v>89808</v>
      </c>
      <c r="AA149" t="s">
        <v>58</v>
      </c>
      <c r="AB149" t="s">
        <v>109</v>
      </c>
      <c r="AC149" t="s">
        <v>53</v>
      </c>
      <c r="AD149" s="17">
        <f>IF(P149&lt;=1,13,IF(P149&lt;=2,23,IF(P149&lt;=3,35,IF(P149&lt;=4,43,IF(P149&lt;=5,53,IF(P149&lt;=6,63,IF(P149&lt;=7,71,IF(P149&lt;=8,79,IF(P149&lt;=9,87,IF(P149&lt;=10,95,IF(P149&lt;=11,105,IF(P149&lt;=12,114,IF(P149&lt;=13,119,IF(P149&lt;=14,127,IF(P149&lt;=15,135,IF(P149&lt;=16,143,IF(P149&lt;=17,153,IF(P149&lt;=18,163,IF(P149&lt;=19,171,IF(P149&lt;=20,185,IF(P149&lt;=21,193,IF(P149&lt;=22,201,IF(P149&lt;=23,210,IF(P149&lt;=24,220,IF(P149&lt;=25,230,IF(P149&lt;=26,240,IF(P149&lt;=27,250,IF(P149&lt;=28,260,IF(P149&lt;=29,270,IF(P149&lt;=30,280,280))))))))))))))))))))))))))))))</f>
        <v>13</v>
      </c>
      <c r="AE149" s="16">
        <v>0</v>
      </c>
      <c r="AF149" s="16">
        <v>0</v>
      </c>
      <c r="AG149" s="16">
        <v>0</v>
      </c>
      <c r="AH149" s="16">
        <v>0</v>
      </c>
      <c r="AI149" s="16">
        <f t="shared" si="4"/>
        <v>0.78</v>
      </c>
      <c r="AJ149" s="16">
        <f t="shared" si="5"/>
        <v>13.78</v>
      </c>
      <c r="AK149" t="s">
        <v>58</v>
      </c>
    </row>
    <row r="150" spans="1:37" ht="15" customHeight="1" x14ac:dyDescent="0.35">
      <c r="A150">
        <v>690929</v>
      </c>
      <c r="B150" t="s">
        <v>37</v>
      </c>
      <c r="C150" t="s">
        <v>38</v>
      </c>
      <c r="D150" s="9" t="s">
        <v>39</v>
      </c>
      <c r="E150" s="10" t="s">
        <v>37</v>
      </c>
      <c r="F150" s="11"/>
      <c r="G150" t="s">
        <v>539</v>
      </c>
      <c r="H150" t="s">
        <v>41</v>
      </c>
      <c r="I150" t="s">
        <v>42</v>
      </c>
      <c r="J150" t="s">
        <v>540</v>
      </c>
      <c r="K150" t="s">
        <v>44</v>
      </c>
      <c r="L150">
        <v>2</v>
      </c>
      <c r="M150" t="s">
        <v>45</v>
      </c>
      <c r="N150" t="s">
        <v>46</v>
      </c>
      <c r="O150" t="s">
        <v>47</v>
      </c>
      <c r="P150" s="12">
        <v>1</v>
      </c>
      <c r="Q150" s="13">
        <v>44869.741018518522</v>
      </c>
      <c r="R150" s="14">
        <v>44872</v>
      </c>
      <c r="S150" t="s">
        <v>41</v>
      </c>
      <c r="T150" t="s">
        <v>48</v>
      </c>
      <c r="U150" t="s">
        <v>49</v>
      </c>
      <c r="V150" t="s">
        <v>71</v>
      </c>
      <c r="Y150" t="s">
        <v>541</v>
      </c>
      <c r="Z150">
        <v>47130</v>
      </c>
      <c r="AA150" t="s">
        <v>48</v>
      </c>
      <c r="AB150" t="s">
        <v>542</v>
      </c>
      <c r="AC150" t="s">
        <v>53</v>
      </c>
      <c r="AD150" s="15">
        <f>IF(P150&lt;=1,7,7+0.8*ROUNDUP(P150-1,0))</f>
        <v>7</v>
      </c>
      <c r="AE150" s="16">
        <v>0</v>
      </c>
      <c r="AF150" s="16">
        <v>0</v>
      </c>
      <c r="AG150" s="16">
        <v>0</v>
      </c>
      <c r="AH150" s="16">
        <v>0</v>
      </c>
      <c r="AI150" s="16">
        <f t="shared" si="4"/>
        <v>0.42</v>
      </c>
      <c r="AJ150" s="16">
        <f t="shared" si="5"/>
        <v>7.42</v>
      </c>
      <c r="AK150" t="s">
        <v>48</v>
      </c>
    </row>
    <row r="151" spans="1:37" ht="15" customHeight="1" x14ac:dyDescent="0.35">
      <c r="A151">
        <v>690929</v>
      </c>
      <c r="B151" t="s">
        <v>37</v>
      </c>
      <c r="C151" t="s">
        <v>38</v>
      </c>
      <c r="D151" s="9" t="s">
        <v>39</v>
      </c>
      <c r="E151" s="10" t="s">
        <v>37</v>
      </c>
      <c r="F151" s="11"/>
      <c r="G151" t="s">
        <v>543</v>
      </c>
      <c r="H151" t="s">
        <v>41</v>
      </c>
      <c r="I151" t="s">
        <v>42</v>
      </c>
      <c r="J151" t="s">
        <v>544</v>
      </c>
      <c r="K151" t="s">
        <v>44</v>
      </c>
      <c r="L151">
        <v>2</v>
      </c>
      <c r="M151" t="s">
        <v>45</v>
      </c>
      <c r="N151" t="s">
        <v>46</v>
      </c>
      <c r="O151" t="s">
        <v>47</v>
      </c>
      <c r="P151" s="12">
        <v>1</v>
      </c>
      <c r="Q151" s="13">
        <v>44871.521423611113</v>
      </c>
      <c r="R151" s="14">
        <v>44872</v>
      </c>
      <c r="S151" t="s">
        <v>41</v>
      </c>
      <c r="T151" t="s">
        <v>48</v>
      </c>
      <c r="U151" t="s">
        <v>49</v>
      </c>
      <c r="V151" t="s">
        <v>71</v>
      </c>
      <c r="Y151" t="s">
        <v>545</v>
      </c>
      <c r="Z151">
        <v>47000</v>
      </c>
      <c r="AA151" t="s">
        <v>48</v>
      </c>
      <c r="AB151" t="s">
        <v>73</v>
      </c>
      <c r="AC151" t="s">
        <v>53</v>
      </c>
      <c r="AD151" s="15">
        <f>IF(P151&lt;=1,7,7+0.8*ROUNDUP(P151-1,0))</f>
        <v>7</v>
      </c>
      <c r="AE151" s="16">
        <v>0</v>
      </c>
      <c r="AF151" s="16">
        <v>0</v>
      </c>
      <c r="AG151" s="16">
        <v>0</v>
      </c>
      <c r="AH151" s="16">
        <v>0</v>
      </c>
      <c r="AI151" s="16">
        <f t="shared" si="4"/>
        <v>0.42</v>
      </c>
      <c r="AJ151" s="16">
        <f t="shared" si="5"/>
        <v>7.42</v>
      </c>
      <c r="AK151" t="s">
        <v>48</v>
      </c>
    </row>
    <row r="152" spans="1:37" ht="15" customHeight="1" x14ac:dyDescent="0.35">
      <c r="A152">
        <v>690929</v>
      </c>
      <c r="B152" t="s">
        <v>37</v>
      </c>
      <c r="C152" t="s">
        <v>38</v>
      </c>
      <c r="D152" s="9" t="s">
        <v>39</v>
      </c>
      <c r="E152" s="10" t="s">
        <v>37</v>
      </c>
      <c r="F152" s="11"/>
      <c r="G152" t="s">
        <v>546</v>
      </c>
      <c r="H152" t="s">
        <v>41</v>
      </c>
      <c r="I152" t="s">
        <v>42</v>
      </c>
      <c r="J152" t="s">
        <v>547</v>
      </c>
      <c r="K152" t="s">
        <v>44</v>
      </c>
      <c r="L152">
        <v>2</v>
      </c>
      <c r="M152" t="s">
        <v>45</v>
      </c>
      <c r="N152" t="s">
        <v>46</v>
      </c>
      <c r="O152" t="s">
        <v>47</v>
      </c>
      <c r="P152" s="12">
        <v>1</v>
      </c>
      <c r="Q152" s="13">
        <v>44871.612627314818</v>
      </c>
      <c r="R152" s="14">
        <v>44872</v>
      </c>
      <c r="S152" t="s">
        <v>41</v>
      </c>
      <c r="T152" t="s">
        <v>48</v>
      </c>
      <c r="U152" t="s">
        <v>49</v>
      </c>
      <c r="V152" t="s">
        <v>62</v>
      </c>
      <c r="Y152" t="s">
        <v>548</v>
      </c>
      <c r="Z152">
        <v>56000</v>
      </c>
      <c r="AA152" t="s">
        <v>48</v>
      </c>
      <c r="AB152" t="s">
        <v>73</v>
      </c>
      <c r="AC152" t="s">
        <v>53</v>
      </c>
      <c r="AD152" s="15">
        <f>IF(P152&lt;=1,7,7+0.8*ROUNDUP(P152-1,0))</f>
        <v>7</v>
      </c>
      <c r="AE152" s="16">
        <v>0</v>
      </c>
      <c r="AF152" s="16">
        <v>0</v>
      </c>
      <c r="AG152" s="16">
        <v>0</v>
      </c>
      <c r="AH152" s="16">
        <v>0</v>
      </c>
      <c r="AI152" s="16">
        <f t="shared" si="4"/>
        <v>0.42</v>
      </c>
      <c r="AJ152" s="16">
        <f t="shared" si="5"/>
        <v>7.42</v>
      </c>
      <c r="AK152" t="s">
        <v>48</v>
      </c>
    </row>
    <row r="153" spans="1:37" ht="15" customHeight="1" x14ac:dyDescent="0.35">
      <c r="A153">
        <v>690929</v>
      </c>
      <c r="B153" t="s">
        <v>37</v>
      </c>
      <c r="C153" t="s">
        <v>38</v>
      </c>
      <c r="D153" s="9" t="s">
        <v>39</v>
      </c>
      <c r="E153" s="10" t="s">
        <v>37</v>
      </c>
      <c r="F153" s="11"/>
      <c r="G153" t="s">
        <v>549</v>
      </c>
      <c r="H153" t="s">
        <v>41</v>
      </c>
      <c r="I153" t="s">
        <v>42</v>
      </c>
      <c r="J153" t="s">
        <v>550</v>
      </c>
      <c r="K153" t="s">
        <v>44</v>
      </c>
      <c r="L153">
        <v>2</v>
      </c>
      <c r="M153" t="s">
        <v>45</v>
      </c>
      <c r="N153" t="s">
        <v>46</v>
      </c>
      <c r="O153" t="s">
        <v>47</v>
      </c>
      <c r="P153" s="12">
        <v>2</v>
      </c>
      <c r="Q153" s="13">
        <v>44869.410428240742</v>
      </c>
      <c r="R153" s="14">
        <v>44872</v>
      </c>
      <c r="S153" t="s">
        <v>41</v>
      </c>
      <c r="T153" t="s">
        <v>48</v>
      </c>
      <c r="U153" t="s">
        <v>124</v>
      </c>
      <c r="V153" t="s">
        <v>85</v>
      </c>
      <c r="Y153" t="s">
        <v>551</v>
      </c>
      <c r="Z153">
        <v>10200</v>
      </c>
      <c r="AA153" t="s">
        <v>48</v>
      </c>
      <c r="AB153" t="s">
        <v>552</v>
      </c>
      <c r="AC153" t="s">
        <v>53</v>
      </c>
      <c r="AD153" s="15">
        <f>IF(P153&lt;=1,7,7+0.8*ROUNDUP(P153-1,0))</f>
        <v>7.8</v>
      </c>
      <c r="AE153" s="16">
        <v>0</v>
      </c>
      <c r="AF153" s="16">
        <v>0</v>
      </c>
      <c r="AG153" s="16">
        <v>0</v>
      </c>
      <c r="AH153" s="16">
        <v>0</v>
      </c>
      <c r="AI153" s="16">
        <f t="shared" si="4"/>
        <v>0.46799999999999997</v>
      </c>
      <c r="AJ153" s="16">
        <f t="shared" si="5"/>
        <v>8.2680000000000007</v>
      </c>
      <c r="AK153" t="s">
        <v>48</v>
      </c>
    </row>
    <row r="154" spans="1:37" ht="15" customHeight="1" x14ac:dyDescent="0.35">
      <c r="A154">
        <v>690929</v>
      </c>
      <c r="B154" t="s">
        <v>37</v>
      </c>
      <c r="C154" t="s">
        <v>38</v>
      </c>
      <c r="D154" s="9" t="s">
        <v>39</v>
      </c>
      <c r="E154" s="10" t="s">
        <v>37</v>
      </c>
      <c r="F154" s="11"/>
      <c r="G154" t="s">
        <v>553</v>
      </c>
      <c r="H154" t="s">
        <v>41</v>
      </c>
      <c r="I154" t="s">
        <v>42</v>
      </c>
      <c r="J154" t="s">
        <v>554</v>
      </c>
      <c r="K154" t="s">
        <v>44</v>
      </c>
      <c r="L154">
        <v>2</v>
      </c>
      <c r="M154" t="s">
        <v>45</v>
      </c>
      <c r="N154" t="s">
        <v>46</v>
      </c>
      <c r="O154" t="s">
        <v>47</v>
      </c>
      <c r="P154" s="12">
        <v>1</v>
      </c>
      <c r="Q154" s="13">
        <v>44867.705185185187</v>
      </c>
      <c r="R154" s="14">
        <v>44872</v>
      </c>
      <c r="S154" t="s">
        <v>41</v>
      </c>
      <c r="T154" t="s">
        <v>48</v>
      </c>
      <c r="U154" t="s">
        <v>49</v>
      </c>
      <c r="V154" t="s">
        <v>56</v>
      </c>
      <c r="Y154" t="s">
        <v>555</v>
      </c>
      <c r="Z154">
        <v>91207</v>
      </c>
      <c r="AA154" t="s">
        <v>58</v>
      </c>
      <c r="AB154" t="s">
        <v>556</v>
      </c>
      <c r="AC154" t="s">
        <v>53</v>
      </c>
      <c r="AD154" s="17">
        <f>IF(P154&lt;=1,13,IF(P154&lt;=2,23,IF(P154&lt;=3,35,IF(P154&lt;=4,43,IF(P154&lt;=5,53,IF(P154&lt;=6,63,IF(P154&lt;=7,71,IF(P154&lt;=8,79,IF(P154&lt;=9,87,IF(P154&lt;=10,95,IF(P154&lt;=11,105,IF(P154&lt;=12,114,IF(P154&lt;=13,119,IF(P154&lt;=14,127,IF(P154&lt;=15,135,IF(P154&lt;=16,143,IF(P154&lt;=17,153,IF(P154&lt;=18,163,IF(P154&lt;=19,171,IF(P154&lt;=20,185,IF(P154&lt;=21,193,IF(P154&lt;=22,201,IF(P154&lt;=23,210,IF(P154&lt;=24,220,IF(P154&lt;=25,230,IF(P154&lt;=26,240,IF(P154&lt;=27,250,IF(P154&lt;=28,260,IF(P154&lt;=29,270,IF(P154&lt;=30,280,280))))))))))))))))))))))))))))))</f>
        <v>13</v>
      </c>
      <c r="AE154" s="16">
        <v>0</v>
      </c>
      <c r="AF154" s="16">
        <v>0</v>
      </c>
      <c r="AG154" s="16">
        <v>0</v>
      </c>
      <c r="AH154" s="16">
        <v>0</v>
      </c>
      <c r="AI154" s="16">
        <f t="shared" si="4"/>
        <v>0.78</v>
      </c>
      <c r="AJ154" s="16">
        <f t="shared" si="5"/>
        <v>13.78</v>
      </c>
      <c r="AK154" t="s">
        <v>58</v>
      </c>
    </row>
    <row r="155" spans="1:37" ht="15" customHeight="1" x14ac:dyDescent="0.35">
      <c r="A155">
        <v>690929</v>
      </c>
      <c r="B155" t="s">
        <v>37</v>
      </c>
      <c r="C155" t="s">
        <v>38</v>
      </c>
      <c r="D155" s="9" t="s">
        <v>39</v>
      </c>
      <c r="E155" s="10" t="s">
        <v>37</v>
      </c>
      <c r="F155" s="11"/>
      <c r="G155" t="s">
        <v>557</v>
      </c>
      <c r="H155" t="s">
        <v>41</v>
      </c>
      <c r="I155" t="s">
        <v>42</v>
      </c>
      <c r="J155" t="s">
        <v>558</v>
      </c>
      <c r="K155" t="s">
        <v>44</v>
      </c>
      <c r="L155">
        <v>2</v>
      </c>
      <c r="M155" t="s">
        <v>45</v>
      </c>
      <c r="N155" t="s">
        <v>46</v>
      </c>
      <c r="O155" t="s">
        <v>47</v>
      </c>
      <c r="P155" s="12">
        <v>3</v>
      </c>
      <c r="Q155" s="13">
        <v>44870.499201388891</v>
      </c>
      <c r="R155" s="14">
        <v>44872</v>
      </c>
      <c r="S155" t="s">
        <v>41</v>
      </c>
      <c r="T155" t="s">
        <v>48</v>
      </c>
      <c r="U155" t="s">
        <v>49</v>
      </c>
      <c r="V155" t="s">
        <v>62</v>
      </c>
      <c r="Y155" t="s">
        <v>559</v>
      </c>
      <c r="Z155">
        <v>50450</v>
      </c>
      <c r="AA155" t="s">
        <v>48</v>
      </c>
      <c r="AB155" t="s">
        <v>560</v>
      </c>
      <c r="AC155" t="s">
        <v>53</v>
      </c>
      <c r="AD155" s="15">
        <f>IF(P155&lt;=1,7,7+0.8*ROUNDUP(P155-1,0))</f>
        <v>8.6</v>
      </c>
      <c r="AE155" s="16">
        <v>0</v>
      </c>
      <c r="AF155" s="16">
        <v>0</v>
      </c>
      <c r="AG155" s="16">
        <v>0</v>
      </c>
      <c r="AH155" s="16">
        <v>0</v>
      </c>
      <c r="AI155" s="16">
        <f t="shared" si="4"/>
        <v>0.51600000000000001</v>
      </c>
      <c r="AJ155" s="16">
        <f t="shared" si="5"/>
        <v>9.1159999999999997</v>
      </c>
      <c r="AK155" t="s">
        <v>48</v>
      </c>
    </row>
    <row r="156" spans="1:37" ht="15" customHeight="1" x14ac:dyDescent="0.35">
      <c r="A156">
        <v>690929</v>
      </c>
      <c r="B156" t="s">
        <v>37</v>
      </c>
      <c r="C156" t="s">
        <v>38</v>
      </c>
      <c r="D156" s="9" t="s">
        <v>39</v>
      </c>
      <c r="E156" s="10" t="s">
        <v>37</v>
      </c>
      <c r="F156" s="11"/>
      <c r="G156" t="s">
        <v>561</v>
      </c>
      <c r="H156" t="s">
        <v>41</v>
      </c>
      <c r="I156" t="s">
        <v>42</v>
      </c>
      <c r="J156" t="s">
        <v>562</v>
      </c>
      <c r="K156" t="s">
        <v>44</v>
      </c>
      <c r="L156">
        <v>2</v>
      </c>
      <c r="M156" t="s">
        <v>45</v>
      </c>
      <c r="N156" t="s">
        <v>46</v>
      </c>
      <c r="O156" t="s">
        <v>47</v>
      </c>
      <c r="P156" s="12">
        <v>2</v>
      </c>
      <c r="Q156" s="13">
        <v>44869.74627314815</v>
      </c>
      <c r="R156" s="14">
        <v>44872</v>
      </c>
      <c r="S156" t="s">
        <v>41</v>
      </c>
      <c r="T156" t="s">
        <v>48</v>
      </c>
      <c r="U156" t="s">
        <v>49</v>
      </c>
      <c r="V156" t="s">
        <v>62</v>
      </c>
      <c r="Y156" t="s">
        <v>563</v>
      </c>
      <c r="Z156">
        <v>56000</v>
      </c>
      <c r="AA156" t="s">
        <v>48</v>
      </c>
      <c r="AB156" t="s">
        <v>564</v>
      </c>
      <c r="AC156" t="s">
        <v>53</v>
      </c>
      <c r="AD156" s="15">
        <f>IF(P156&lt;=1,7,7+0.8*ROUNDUP(P156-1,0))</f>
        <v>7.8</v>
      </c>
      <c r="AE156" s="16">
        <v>0</v>
      </c>
      <c r="AF156" s="16">
        <v>0</v>
      </c>
      <c r="AG156" s="16">
        <v>0</v>
      </c>
      <c r="AH156" s="16">
        <v>0</v>
      </c>
      <c r="AI156" s="16">
        <f t="shared" si="4"/>
        <v>0.46799999999999997</v>
      </c>
      <c r="AJ156" s="16">
        <f t="shared" si="5"/>
        <v>8.2680000000000007</v>
      </c>
      <c r="AK156" t="s">
        <v>48</v>
      </c>
    </row>
    <row r="157" spans="1:37" ht="15" customHeight="1" x14ac:dyDescent="0.35">
      <c r="A157">
        <v>690929</v>
      </c>
      <c r="B157" t="s">
        <v>37</v>
      </c>
      <c r="C157" t="s">
        <v>38</v>
      </c>
      <c r="D157" s="9" t="s">
        <v>39</v>
      </c>
      <c r="E157" s="10" t="s">
        <v>37</v>
      </c>
      <c r="F157" s="11"/>
      <c r="G157" t="s">
        <v>565</v>
      </c>
      <c r="H157" t="s">
        <v>41</v>
      </c>
      <c r="I157" t="s">
        <v>42</v>
      </c>
      <c r="J157" t="s">
        <v>566</v>
      </c>
      <c r="K157" t="s">
        <v>44</v>
      </c>
      <c r="L157">
        <v>2</v>
      </c>
      <c r="M157" t="s">
        <v>45</v>
      </c>
      <c r="N157" t="s">
        <v>46</v>
      </c>
      <c r="O157" t="s">
        <v>47</v>
      </c>
      <c r="P157" s="12">
        <v>1</v>
      </c>
      <c r="Q157" s="13">
        <v>44866.583657407406</v>
      </c>
      <c r="R157" s="14">
        <v>44872</v>
      </c>
      <c r="S157" t="s">
        <v>41</v>
      </c>
      <c r="T157" t="s">
        <v>48</v>
      </c>
      <c r="U157" t="s">
        <v>49</v>
      </c>
      <c r="V157" t="s">
        <v>71</v>
      </c>
      <c r="Y157" t="s">
        <v>567</v>
      </c>
      <c r="Z157">
        <v>40150</v>
      </c>
      <c r="AA157" t="s">
        <v>48</v>
      </c>
      <c r="AB157" t="s">
        <v>568</v>
      </c>
      <c r="AC157" t="s">
        <v>53</v>
      </c>
      <c r="AD157" s="15">
        <f>IF(P157&lt;=1,7,7+0.8*ROUNDUP(P157-1,0))</f>
        <v>7</v>
      </c>
      <c r="AE157" s="16">
        <v>0</v>
      </c>
      <c r="AF157" s="16">
        <v>0</v>
      </c>
      <c r="AG157" s="16">
        <v>0</v>
      </c>
      <c r="AH157" s="16">
        <v>0</v>
      </c>
      <c r="AI157" s="16">
        <f t="shared" si="4"/>
        <v>0.42</v>
      </c>
      <c r="AJ157" s="16">
        <f t="shared" si="5"/>
        <v>7.42</v>
      </c>
      <c r="AK157" t="s">
        <v>48</v>
      </c>
    </row>
    <row r="158" spans="1:37" ht="15" customHeight="1" x14ac:dyDescent="0.35">
      <c r="A158">
        <v>690929</v>
      </c>
      <c r="B158" t="s">
        <v>37</v>
      </c>
      <c r="C158" t="s">
        <v>38</v>
      </c>
      <c r="D158" s="9" t="s">
        <v>39</v>
      </c>
      <c r="E158" s="10" t="s">
        <v>37</v>
      </c>
      <c r="F158" s="11"/>
      <c r="G158" t="s">
        <v>569</v>
      </c>
      <c r="H158" t="s">
        <v>41</v>
      </c>
      <c r="I158" t="s">
        <v>42</v>
      </c>
      <c r="J158" t="s">
        <v>570</v>
      </c>
      <c r="K158" t="s">
        <v>44</v>
      </c>
      <c r="L158">
        <v>2</v>
      </c>
      <c r="M158" t="s">
        <v>45</v>
      </c>
      <c r="N158" t="s">
        <v>46</v>
      </c>
      <c r="O158" t="s">
        <v>47</v>
      </c>
      <c r="P158" s="12">
        <v>1</v>
      </c>
      <c r="Q158" s="13">
        <v>44870.469629629632</v>
      </c>
      <c r="R158" s="14">
        <v>44872</v>
      </c>
      <c r="S158" t="s">
        <v>41</v>
      </c>
      <c r="T158" t="s">
        <v>48</v>
      </c>
      <c r="U158" t="s">
        <v>49</v>
      </c>
      <c r="V158" t="s">
        <v>71</v>
      </c>
      <c r="Y158" t="s">
        <v>571</v>
      </c>
      <c r="Z158">
        <v>42700</v>
      </c>
      <c r="AA158" t="s">
        <v>48</v>
      </c>
      <c r="AB158" t="s">
        <v>73</v>
      </c>
      <c r="AC158" t="s">
        <v>53</v>
      </c>
      <c r="AD158" s="15">
        <f>IF(P158&lt;=1,7,7+0.8*ROUNDUP(P158-1,0))</f>
        <v>7</v>
      </c>
      <c r="AE158" s="16">
        <v>0</v>
      </c>
      <c r="AF158" s="16">
        <v>0</v>
      </c>
      <c r="AG158" s="16">
        <v>0</v>
      </c>
      <c r="AH158" s="16">
        <v>0</v>
      </c>
      <c r="AI158" s="16">
        <f t="shared" si="4"/>
        <v>0.42</v>
      </c>
      <c r="AJ158" s="16">
        <f t="shared" si="5"/>
        <v>7.42</v>
      </c>
      <c r="AK158" t="s">
        <v>48</v>
      </c>
    </row>
    <row r="159" spans="1:37" ht="15" customHeight="1" x14ac:dyDescent="0.35">
      <c r="A159">
        <v>690929</v>
      </c>
      <c r="B159" t="s">
        <v>37</v>
      </c>
      <c r="C159" t="s">
        <v>38</v>
      </c>
      <c r="D159" s="9" t="s">
        <v>39</v>
      </c>
      <c r="E159" s="10" t="s">
        <v>37</v>
      </c>
      <c r="F159" s="11"/>
      <c r="G159" t="s">
        <v>572</v>
      </c>
      <c r="H159" t="s">
        <v>41</v>
      </c>
      <c r="I159" t="s">
        <v>42</v>
      </c>
      <c r="J159" t="s">
        <v>203</v>
      </c>
      <c r="K159" t="s">
        <v>44</v>
      </c>
      <c r="L159">
        <v>2</v>
      </c>
      <c r="M159" t="s">
        <v>45</v>
      </c>
      <c r="N159" t="s">
        <v>46</v>
      </c>
      <c r="O159" t="s">
        <v>47</v>
      </c>
      <c r="P159" s="12">
        <v>1</v>
      </c>
      <c r="Q159" s="13">
        <v>44869.741018518522</v>
      </c>
      <c r="R159" s="14">
        <v>44872</v>
      </c>
      <c r="S159" t="s">
        <v>41</v>
      </c>
      <c r="T159" t="s">
        <v>48</v>
      </c>
      <c r="U159" t="s">
        <v>49</v>
      </c>
      <c r="V159" t="s">
        <v>85</v>
      </c>
      <c r="Y159" t="s">
        <v>573</v>
      </c>
      <c r="Z159">
        <v>11060</v>
      </c>
      <c r="AA159" t="s">
        <v>48</v>
      </c>
      <c r="AB159" t="s">
        <v>73</v>
      </c>
      <c r="AC159" t="s">
        <v>53</v>
      </c>
      <c r="AD159" s="15">
        <f>IF(P159&lt;=1,7,7+0.8*ROUNDUP(P159-1,0))</f>
        <v>7</v>
      </c>
      <c r="AE159" s="16">
        <v>0</v>
      </c>
      <c r="AF159" s="16">
        <v>0</v>
      </c>
      <c r="AG159" s="16">
        <v>0</v>
      </c>
      <c r="AH159" s="16">
        <v>0</v>
      </c>
      <c r="AI159" s="16">
        <f t="shared" si="4"/>
        <v>0.42</v>
      </c>
      <c r="AJ159" s="16">
        <f t="shared" si="5"/>
        <v>7.42</v>
      </c>
      <c r="AK159" t="s">
        <v>48</v>
      </c>
    </row>
    <row r="160" spans="1:37" ht="15" customHeight="1" x14ac:dyDescent="0.35">
      <c r="A160">
        <v>690929</v>
      </c>
      <c r="B160" t="s">
        <v>37</v>
      </c>
      <c r="C160" t="s">
        <v>38</v>
      </c>
      <c r="D160" s="9" t="s">
        <v>39</v>
      </c>
      <c r="E160" s="10" t="s">
        <v>37</v>
      </c>
      <c r="F160" s="11"/>
      <c r="G160" t="s">
        <v>574</v>
      </c>
      <c r="H160" t="s">
        <v>41</v>
      </c>
      <c r="I160" t="s">
        <v>42</v>
      </c>
      <c r="J160" t="s">
        <v>575</v>
      </c>
      <c r="K160" t="s">
        <v>44</v>
      </c>
      <c r="L160">
        <v>2</v>
      </c>
      <c r="M160" t="s">
        <v>45</v>
      </c>
      <c r="N160" t="s">
        <v>46</v>
      </c>
      <c r="O160" t="s">
        <v>47</v>
      </c>
      <c r="P160" s="12">
        <v>2</v>
      </c>
      <c r="Q160" s="13">
        <v>44868.653078703705</v>
      </c>
      <c r="R160" s="14">
        <v>44872</v>
      </c>
      <c r="S160" t="s">
        <v>41</v>
      </c>
      <c r="T160" t="s">
        <v>48</v>
      </c>
      <c r="U160" t="s">
        <v>49</v>
      </c>
      <c r="V160" t="s">
        <v>56</v>
      </c>
      <c r="Y160" t="s">
        <v>576</v>
      </c>
      <c r="Z160">
        <v>89000</v>
      </c>
      <c r="AA160" t="s">
        <v>58</v>
      </c>
      <c r="AB160" t="s">
        <v>73</v>
      </c>
      <c r="AC160" t="s">
        <v>53</v>
      </c>
      <c r="AD160" s="17">
        <f>IF(P160&lt;=1,13,IF(P160&lt;=2,23,IF(P160&lt;=3,35,IF(P160&lt;=4,43,IF(P160&lt;=5,53,IF(P160&lt;=6,63,IF(P160&lt;=7,71,IF(P160&lt;=8,79,IF(P160&lt;=9,87,IF(P160&lt;=10,95,IF(P160&lt;=11,105,IF(P160&lt;=12,114,IF(P160&lt;=13,119,IF(P160&lt;=14,127,IF(P160&lt;=15,135,IF(P160&lt;=16,143,IF(P160&lt;=17,153,IF(P160&lt;=18,163,IF(P160&lt;=19,171,IF(P160&lt;=20,185,IF(P160&lt;=21,193,IF(P160&lt;=22,201,IF(P160&lt;=23,210,IF(P160&lt;=24,220,IF(P160&lt;=25,230,IF(P160&lt;=26,240,IF(P160&lt;=27,250,IF(P160&lt;=28,260,IF(P160&lt;=29,270,IF(P160&lt;=30,280,280))))))))))))))))))))))))))))))</f>
        <v>23</v>
      </c>
      <c r="AE160" s="16">
        <v>0</v>
      </c>
      <c r="AF160" s="16">
        <v>0</v>
      </c>
      <c r="AG160" s="16">
        <v>0</v>
      </c>
      <c r="AH160" s="16">
        <v>0</v>
      </c>
      <c r="AI160" s="16">
        <f t="shared" si="4"/>
        <v>1.38</v>
      </c>
      <c r="AJ160" s="16">
        <f t="shared" si="5"/>
        <v>24.38</v>
      </c>
      <c r="AK160" t="s">
        <v>58</v>
      </c>
    </row>
    <row r="161" spans="1:37" ht="15" customHeight="1" x14ac:dyDescent="0.35">
      <c r="A161">
        <v>690929</v>
      </c>
      <c r="B161" t="s">
        <v>37</v>
      </c>
      <c r="C161" t="s">
        <v>38</v>
      </c>
      <c r="D161" s="9" t="s">
        <v>39</v>
      </c>
      <c r="E161" s="10" t="s">
        <v>37</v>
      </c>
      <c r="F161" s="11"/>
      <c r="G161" t="s">
        <v>577</v>
      </c>
      <c r="H161" t="s">
        <v>41</v>
      </c>
      <c r="I161" t="s">
        <v>42</v>
      </c>
      <c r="J161" t="s">
        <v>578</v>
      </c>
      <c r="K161" t="s">
        <v>44</v>
      </c>
      <c r="L161">
        <v>2</v>
      </c>
      <c r="M161" t="s">
        <v>45</v>
      </c>
      <c r="N161" t="s">
        <v>46</v>
      </c>
      <c r="O161" t="s">
        <v>47</v>
      </c>
      <c r="P161" s="12">
        <v>1</v>
      </c>
      <c r="Q161" s="13">
        <v>44869.653252314813</v>
      </c>
      <c r="R161" s="14">
        <v>44873</v>
      </c>
      <c r="S161" t="s">
        <v>41</v>
      </c>
      <c r="T161" t="s">
        <v>48</v>
      </c>
      <c r="U161" t="s">
        <v>49</v>
      </c>
      <c r="V161" t="s">
        <v>56</v>
      </c>
      <c r="Y161" t="s">
        <v>579</v>
      </c>
      <c r="Z161">
        <v>89807</v>
      </c>
      <c r="AA161" t="s">
        <v>58</v>
      </c>
      <c r="AB161" t="s">
        <v>109</v>
      </c>
      <c r="AC161" t="s">
        <v>53</v>
      </c>
      <c r="AD161" s="17">
        <f>IF(P161&lt;=1,13,IF(P161&lt;=2,23,IF(P161&lt;=3,35,IF(P161&lt;=4,43,IF(P161&lt;=5,53,IF(P161&lt;=6,63,IF(P161&lt;=7,71,IF(P161&lt;=8,79,IF(P161&lt;=9,87,IF(P161&lt;=10,95,IF(P161&lt;=11,105,IF(P161&lt;=12,114,IF(P161&lt;=13,119,IF(P161&lt;=14,127,IF(P161&lt;=15,135,IF(P161&lt;=16,143,IF(P161&lt;=17,153,IF(P161&lt;=18,163,IF(P161&lt;=19,171,IF(P161&lt;=20,185,IF(P161&lt;=21,193,IF(P161&lt;=22,201,IF(P161&lt;=23,210,IF(P161&lt;=24,220,IF(P161&lt;=25,230,IF(P161&lt;=26,240,IF(P161&lt;=27,250,IF(P161&lt;=28,260,IF(P161&lt;=29,270,IF(P161&lt;=30,280,280))))))))))))))))))))))))))))))</f>
        <v>13</v>
      </c>
      <c r="AE161" s="16">
        <v>0</v>
      </c>
      <c r="AF161" s="16">
        <v>0</v>
      </c>
      <c r="AG161" s="16">
        <v>0</v>
      </c>
      <c r="AH161" s="16">
        <v>0</v>
      </c>
      <c r="AI161" s="16">
        <f t="shared" si="4"/>
        <v>0.78</v>
      </c>
      <c r="AJ161" s="16">
        <f t="shared" si="5"/>
        <v>13.78</v>
      </c>
      <c r="AK161" t="s">
        <v>58</v>
      </c>
    </row>
    <row r="162" spans="1:37" ht="15" customHeight="1" x14ac:dyDescent="0.35">
      <c r="A162">
        <v>690929</v>
      </c>
      <c r="B162" t="s">
        <v>37</v>
      </c>
      <c r="C162" t="s">
        <v>38</v>
      </c>
      <c r="D162" s="9" t="s">
        <v>39</v>
      </c>
      <c r="E162" s="10" t="s">
        <v>37</v>
      </c>
      <c r="F162" s="11"/>
      <c r="G162" t="s">
        <v>580</v>
      </c>
      <c r="H162" t="s">
        <v>41</v>
      </c>
      <c r="I162" t="s">
        <v>42</v>
      </c>
      <c r="J162" t="s">
        <v>581</v>
      </c>
      <c r="K162" t="s">
        <v>44</v>
      </c>
      <c r="L162">
        <v>2</v>
      </c>
      <c r="M162" t="s">
        <v>45</v>
      </c>
      <c r="N162" t="s">
        <v>46</v>
      </c>
      <c r="O162" t="s">
        <v>47</v>
      </c>
      <c r="P162" s="12">
        <v>1</v>
      </c>
      <c r="Q162" s="13">
        <v>44869.651875000003</v>
      </c>
      <c r="R162" s="14">
        <v>44873</v>
      </c>
      <c r="S162" t="s">
        <v>41</v>
      </c>
      <c r="T162" t="s">
        <v>48</v>
      </c>
      <c r="U162" t="s">
        <v>49</v>
      </c>
      <c r="V162" t="s">
        <v>56</v>
      </c>
      <c r="Y162" t="s">
        <v>200</v>
      </c>
      <c r="Z162">
        <v>89050</v>
      </c>
      <c r="AA162" t="s">
        <v>58</v>
      </c>
      <c r="AB162" t="s">
        <v>201</v>
      </c>
      <c r="AC162" t="s">
        <v>53</v>
      </c>
      <c r="AD162" s="17">
        <f>IF(P162&lt;=1,13,IF(P162&lt;=2,23,IF(P162&lt;=3,35,IF(P162&lt;=4,43,IF(P162&lt;=5,53,IF(P162&lt;=6,63,IF(P162&lt;=7,71,IF(P162&lt;=8,79,IF(P162&lt;=9,87,IF(P162&lt;=10,95,IF(P162&lt;=11,105,IF(P162&lt;=12,114,IF(P162&lt;=13,119,IF(P162&lt;=14,127,IF(P162&lt;=15,135,IF(P162&lt;=16,143,IF(P162&lt;=17,153,IF(P162&lt;=18,163,IF(P162&lt;=19,171,IF(P162&lt;=20,185,IF(P162&lt;=21,193,IF(P162&lt;=22,201,IF(P162&lt;=23,210,IF(P162&lt;=24,220,IF(P162&lt;=25,230,IF(P162&lt;=26,240,IF(P162&lt;=27,250,IF(P162&lt;=28,260,IF(P162&lt;=29,270,IF(P162&lt;=30,280,280))))))))))))))))))))))))))))))</f>
        <v>13</v>
      </c>
      <c r="AE162" s="16">
        <v>0</v>
      </c>
      <c r="AF162" s="16">
        <v>0</v>
      </c>
      <c r="AG162" s="16">
        <v>0</v>
      </c>
      <c r="AH162" s="16">
        <v>0</v>
      </c>
      <c r="AI162" s="16">
        <f t="shared" si="4"/>
        <v>0.78</v>
      </c>
      <c r="AJ162" s="16">
        <f t="shared" si="5"/>
        <v>13.78</v>
      </c>
      <c r="AK162" t="s">
        <v>58</v>
      </c>
    </row>
    <row r="163" spans="1:37" ht="15" customHeight="1" x14ac:dyDescent="0.35">
      <c r="A163">
        <v>690929</v>
      </c>
      <c r="B163" t="s">
        <v>37</v>
      </c>
      <c r="C163" t="s">
        <v>38</v>
      </c>
      <c r="D163" s="9" t="s">
        <v>39</v>
      </c>
      <c r="E163" s="10" t="s">
        <v>37</v>
      </c>
      <c r="F163" s="11"/>
      <c r="G163" t="s">
        <v>582</v>
      </c>
      <c r="H163" t="s">
        <v>41</v>
      </c>
      <c r="I163" t="s">
        <v>42</v>
      </c>
      <c r="J163" t="s">
        <v>583</v>
      </c>
      <c r="K163" t="s">
        <v>44</v>
      </c>
      <c r="L163">
        <v>2</v>
      </c>
      <c r="M163" t="s">
        <v>45</v>
      </c>
      <c r="N163" t="s">
        <v>46</v>
      </c>
      <c r="O163" t="s">
        <v>47</v>
      </c>
      <c r="P163" s="12">
        <v>1</v>
      </c>
      <c r="Q163" s="13">
        <v>44872.475694444445</v>
      </c>
      <c r="R163" s="14">
        <v>44873</v>
      </c>
      <c r="S163" t="s">
        <v>41</v>
      </c>
      <c r="T163" t="s">
        <v>48</v>
      </c>
      <c r="U163" t="s">
        <v>49</v>
      </c>
      <c r="V163" t="s">
        <v>71</v>
      </c>
      <c r="Y163" t="s">
        <v>584</v>
      </c>
      <c r="Z163">
        <v>47800</v>
      </c>
      <c r="AA163" t="s">
        <v>48</v>
      </c>
      <c r="AB163" t="s">
        <v>73</v>
      </c>
      <c r="AC163" t="s">
        <v>53</v>
      </c>
      <c r="AD163" s="15">
        <f>IF(P163&lt;=1,7,7+0.8*ROUNDUP(P163-1,0))</f>
        <v>7</v>
      </c>
      <c r="AE163" s="16">
        <v>0</v>
      </c>
      <c r="AF163" s="16">
        <v>0</v>
      </c>
      <c r="AG163" s="16">
        <v>0</v>
      </c>
      <c r="AH163" s="16">
        <v>0</v>
      </c>
      <c r="AI163" s="16">
        <f t="shared" si="4"/>
        <v>0.42</v>
      </c>
      <c r="AJ163" s="16">
        <f t="shared" si="5"/>
        <v>7.42</v>
      </c>
      <c r="AK163" t="s">
        <v>48</v>
      </c>
    </row>
    <row r="164" spans="1:37" ht="15" customHeight="1" x14ac:dyDescent="0.35">
      <c r="A164">
        <v>690929</v>
      </c>
      <c r="B164" t="s">
        <v>37</v>
      </c>
      <c r="C164" t="s">
        <v>38</v>
      </c>
      <c r="D164" s="9" t="s">
        <v>39</v>
      </c>
      <c r="E164" s="10" t="s">
        <v>37</v>
      </c>
      <c r="F164" s="11"/>
      <c r="G164" t="s">
        <v>585</v>
      </c>
      <c r="H164" t="s">
        <v>41</v>
      </c>
      <c r="I164" t="s">
        <v>42</v>
      </c>
      <c r="J164" t="s">
        <v>586</v>
      </c>
      <c r="K164" t="s">
        <v>44</v>
      </c>
      <c r="L164">
        <v>2</v>
      </c>
      <c r="M164" t="s">
        <v>45</v>
      </c>
      <c r="N164" t="s">
        <v>46</v>
      </c>
      <c r="O164" t="s">
        <v>47</v>
      </c>
      <c r="P164" s="12">
        <v>1</v>
      </c>
      <c r="Q164" s="13">
        <v>44873.51458333333</v>
      </c>
      <c r="R164" s="14">
        <v>44874</v>
      </c>
      <c r="S164" t="s">
        <v>41</v>
      </c>
      <c r="T164" t="s">
        <v>48</v>
      </c>
      <c r="U164" t="s">
        <v>49</v>
      </c>
      <c r="V164" t="s">
        <v>50</v>
      </c>
      <c r="Y164" t="s">
        <v>587</v>
      </c>
      <c r="Z164">
        <v>35000</v>
      </c>
      <c r="AA164" t="s">
        <v>48</v>
      </c>
      <c r="AB164" t="s">
        <v>49</v>
      </c>
      <c r="AC164" t="s">
        <v>53</v>
      </c>
      <c r="AD164" s="15">
        <f>IF(P164&lt;=1,7,7+0.8*ROUNDUP(P164-1,0))</f>
        <v>7</v>
      </c>
      <c r="AE164" s="16">
        <v>0</v>
      </c>
      <c r="AF164" s="16">
        <v>0</v>
      </c>
      <c r="AG164" s="16">
        <v>0</v>
      </c>
      <c r="AH164" s="16">
        <v>0</v>
      </c>
      <c r="AI164" s="16">
        <f t="shared" si="4"/>
        <v>0.42</v>
      </c>
      <c r="AJ164" s="16">
        <f t="shared" si="5"/>
        <v>7.42</v>
      </c>
      <c r="AK164" t="s">
        <v>48</v>
      </c>
    </row>
    <row r="165" spans="1:37" ht="15" customHeight="1" x14ac:dyDescent="0.35">
      <c r="A165">
        <v>690929</v>
      </c>
      <c r="B165" t="s">
        <v>37</v>
      </c>
      <c r="C165" t="s">
        <v>38</v>
      </c>
      <c r="D165" s="9" t="s">
        <v>39</v>
      </c>
      <c r="E165" s="10" t="s">
        <v>37</v>
      </c>
      <c r="F165" s="11"/>
      <c r="G165" t="s">
        <v>588</v>
      </c>
      <c r="H165" t="s">
        <v>41</v>
      </c>
      <c r="I165" t="s">
        <v>42</v>
      </c>
      <c r="J165" t="s">
        <v>589</v>
      </c>
      <c r="K165" t="s">
        <v>44</v>
      </c>
      <c r="L165">
        <v>2</v>
      </c>
      <c r="M165" t="s">
        <v>45</v>
      </c>
      <c r="N165" t="s">
        <v>46</v>
      </c>
      <c r="O165" t="s">
        <v>47</v>
      </c>
      <c r="P165" s="12">
        <v>1</v>
      </c>
      <c r="Q165" s="13">
        <v>44871.520266203705</v>
      </c>
      <c r="R165" s="14">
        <v>44874</v>
      </c>
      <c r="S165" t="s">
        <v>41</v>
      </c>
      <c r="T165" t="s">
        <v>48</v>
      </c>
      <c r="U165" t="s">
        <v>49</v>
      </c>
      <c r="V165" t="s">
        <v>56</v>
      </c>
      <c r="Y165" t="s">
        <v>590</v>
      </c>
      <c r="Z165">
        <v>91000</v>
      </c>
      <c r="AA165" t="s">
        <v>58</v>
      </c>
      <c r="AB165" t="s">
        <v>457</v>
      </c>
      <c r="AC165" t="s">
        <v>53</v>
      </c>
      <c r="AD165" s="17">
        <f>IF(P165&lt;=1,13,IF(P165&lt;=2,23,IF(P165&lt;=3,35,IF(P165&lt;=4,43,IF(P165&lt;=5,53,IF(P165&lt;=6,63,IF(P165&lt;=7,71,IF(P165&lt;=8,79,IF(P165&lt;=9,87,IF(P165&lt;=10,95,IF(P165&lt;=11,105,IF(P165&lt;=12,114,IF(P165&lt;=13,119,IF(P165&lt;=14,127,IF(P165&lt;=15,135,IF(P165&lt;=16,143,IF(P165&lt;=17,153,IF(P165&lt;=18,163,IF(P165&lt;=19,171,IF(P165&lt;=20,185,IF(P165&lt;=21,193,IF(P165&lt;=22,201,IF(P165&lt;=23,210,IF(P165&lt;=24,220,IF(P165&lt;=25,230,IF(P165&lt;=26,240,IF(P165&lt;=27,250,IF(P165&lt;=28,260,IF(P165&lt;=29,270,IF(P165&lt;=30,280,280))))))))))))))))))))))))))))))</f>
        <v>13</v>
      </c>
      <c r="AE165" s="16">
        <v>0</v>
      </c>
      <c r="AF165" s="16">
        <v>0</v>
      </c>
      <c r="AG165" s="16">
        <v>0</v>
      </c>
      <c r="AH165" s="16">
        <v>0</v>
      </c>
      <c r="AI165" s="16">
        <f t="shared" si="4"/>
        <v>0.78</v>
      </c>
      <c r="AJ165" s="16">
        <f t="shared" si="5"/>
        <v>13.78</v>
      </c>
      <c r="AK165" t="s">
        <v>58</v>
      </c>
    </row>
    <row r="166" spans="1:37" ht="15" customHeight="1" x14ac:dyDescent="0.35">
      <c r="A166">
        <v>690929</v>
      </c>
      <c r="B166" t="s">
        <v>37</v>
      </c>
      <c r="C166" t="s">
        <v>38</v>
      </c>
      <c r="D166" s="9" t="s">
        <v>39</v>
      </c>
      <c r="E166" s="10" t="s">
        <v>37</v>
      </c>
      <c r="F166" s="11"/>
      <c r="G166" t="s">
        <v>591</v>
      </c>
      <c r="H166" t="s">
        <v>41</v>
      </c>
      <c r="I166" t="s">
        <v>42</v>
      </c>
      <c r="J166" t="s">
        <v>592</v>
      </c>
      <c r="K166" t="s">
        <v>44</v>
      </c>
      <c r="L166">
        <v>2</v>
      </c>
      <c r="M166" t="s">
        <v>45</v>
      </c>
      <c r="N166" t="s">
        <v>46</v>
      </c>
      <c r="O166" t="s">
        <v>47</v>
      </c>
      <c r="P166" s="12">
        <v>1</v>
      </c>
      <c r="Q166" s="13">
        <v>44872.751932870371</v>
      </c>
      <c r="R166" s="14">
        <v>44874</v>
      </c>
      <c r="S166" t="s">
        <v>41</v>
      </c>
      <c r="T166" t="s">
        <v>48</v>
      </c>
      <c r="U166" t="s">
        <v>49</v>
      </c>
      <c r="V166" t="s">
        <v>62</v>
      </c>
      <c r="Y166" t="s">
        <v>593</v>
      </c>
      <c r="Z166">
        <v>50050</v>
      </c>
      <c r="AA166" t="s">
        <v>48</v>
      </c>
      <c r="AB166" t="s">
        <v>73</v>
      </c>
      <c r="AC166" t="s">
        <v>53</v>
      </c>
      <c r="AD166" s="15">
        <f>IF(P166&lt;=1,7,7+0.8*ROUNDUP(P166-1,0))</f>
        <v>7</v>
      </c>
      <c r="AE166" s="16">
        <v>0</v>
      </c>
      <c r="AF166" s="16">
        <v>0</v>
      </c>
      <c r="AG166" s="16">
        <v>0</v>
      </c>
      <c r="AH166" s="16">
        <v>0</v>
      </c>
      <c r="AI166" s="16">
        <f t="shared" si="4"/>
        <v>0.42</v>
      </c>
      <c r="AJ166" s="16">
        <f t="shared" si="5"/>
        <v>7.42</v>
      </c>
      <c r="AK166" t="s">
        <v>48</v>
      </c>
    </row>
    <row r="167" spans="1:37" ht="15" customHeight="1" x14ac:dyDescent="0.35">
      <c r="A167">
        <v>690929</v>
      </c>
      <c r="B167" t="s">
        <v>37</v>
      </c>
      <c r="C167" t="s">
        <v>38</v>
      </c>
      <c r="D167" s="9" t="s">
        <v>39</v>
      </c>
      <c r="E167" s="10" t="s">
        <v>37</v>
      </c>
      <c r="F167" s="11"/>
      <c r="G167" t="s">
        <v>594</v>
      </c>
      <c r="H167" t="s">
        <v>41</v>
      </c>
      <c r="I167" t="s">
        <v>42</v>
      </c>
      <c r="J167" t="s">
        <v>595</v>
      </c>
      <c r="K167" t="s">
        <v>44</v>
      </c>
      <c r="L167">
        <v>2</v>
      </c>
      <c r="M167" t="s">
        <v>45</v>
      </c>
      <c r="N167" t="s">
        <v>46</v>
      </c>
      <c r="O167" t="s">
        <v>47</v>
      </c>
      <c r="P167" s="12">
        <v>1</v>
      </c>
      <c r="Q167" s="13">
        <v>44873.586898148147</v>
      </c>
      <c r="R167" s="14">
        <v>44874</v>
      </c>
      <c r="S167" t="s">
        <v>41</v>
      </c>
      <c r="T167" t="s">
        <v>48</v>
      </c>
      <c r="U167" t="s">
        <v>49</v>
      </c>
      <c r="V167" t="s">
        <v>251</v>
      </c>
      <c r="Y167" t="s">
        <v>596</v>
      </c>
      <c r="Z167">
        <v>26300</v>
      </c>
      <c r="AA167" t="s">
        <v>48</v>
      </c>
      <c r="AB167" t="s">
        <v>49</v>
      </c>
      <c r="AC167" t="s">
        <v>53</v>
      </c>
      <c r="AD167" s="15">
        <f>IF(P167&lt;=1,7,7+0.8*ROUNDUP(P167-1,0))</f>
        <v>7</v>
      </c>
      <c r="AE167" s="16">
        <v>0</v>
      </c>
      <c r="AF167" s="16">
        <v>0</v>
      </c>
      <c r="AG167" s="16">
        <v>0</v>
      </c>
      <c r="AH167" s="16">
        <v>0</v>
      </c>
      <c r="AI167" s="16">
        <f t="shared" si="4"/>
        <v>0.42</v>
      </c>
      <c r="AJ167" s="16">
        <f t="shared" si="5"/>
        <v>7.42</v>
      </c>
      <c r="AK167" t="s">
        <v>48</v>
      </c>
    </row>
    <row r="168" spans="1:37" ht="15" customHeight="1" x14ac:dyDescent="0.35">
      <c r="A168">
        <v>690929</v>
      </c>
      <c r="B168" t="s">
        <v>37</v>
      </c>
      <c r="C168" t="s">
        <v>38</v>
      </c>
      <c r="D168" s="9" t="s">
        <v>39</v>
      </c>
      <c r="E168" s="10" t="s">
        <v>37</v>
      </c>
      <c r="F168" s="11"/>
      <c r="G168" t="s">
        <v>597</v>
      </c>
      <c r="H168" t="s">
        <v>41</v>
      </c>
      <c r="I168" t="s">
        <v>42</v>
      </c>
      <c r="J168" t="s">
        <v>598</v>
      </c>
      <c r="K168" t="s">
        <v>44</v>
      </c>
      <c r="L168">
        <v>2</v>
      </c>
      <c r="M168" t="s">
        <v>45</v>
      </c>
      <c r="N168" t="s">
        <v>46</v>
      </c>
      <c r="O168" t="s">
        <v>47</v>
      </c>
      <c r="P168" s="12">
        <v>1</v>
      </c>
      <c r="Q168" s="13">
        <v>44871.63690972222</v>
      </c>
      <c r="R168" s="14">
        <v>44874</v>
      </c>
      <c r="S168" t="s">
        <v>41</v>
      </c>
      <c r="T168" t="s">
        <v>48</v>
      </c>
      <c r="U168" t="s">
        <v>49</v>
      </c>
      <c r="V168" t="s">
        <v>85</v>
      </c>
      <c r="Y168" t="s">
        <v>599</v>
      </c>
      <c r="Z168">
        <v>14400</v>
      </c>
      <c r="AA168" t="s">
        <v>48</v>
      </c>
      <c r="AB168" t="s">
        <v>73</v>
      </c>
      <c r="AC168" t="s">
        <v>53</v>
      </c>
      <c r="AD168" s="15">
        <f>IF(P168&lt;=1,7,7+0.8*ROUNDUP(P168-1,0))</f>
        <v>7</v>
      </c>
      <c r="AE168" s="16">
        <v>0</v>
      </c>
      <c r="AF168" s="16">
        <v>0</v>
      </c>
      <c r="AG168" s="16">
        <v>0</v>
      </c>
      <c r="AH168" s="16">
        <v>0</v>
      </c>
      <c r="AI168" s="16">
        <f t="shared" si="4"/>
        <v>0.42</v>
      </c>
      <c r="AJ168" s="16">
        <f t="shared" si="5"/>
        <v>7.42</v>
      </c>
      <c r="AK168" t="s">
        <v>48</v>
      </c>
    </row>
    <row r="169" spans="1:37" ht="15" customHeight="1" x14ac:dyDescent="0.35">
      <c r="A169">
        <v>690929</v>
      </c>
      <c r="B169" t="s">
        <v>37</v>
      </c>
      <c r="C169" t="s">
        <v>38</v>
      </c>
      <c r="D169" s="9" t="s">
        <v>39</v>
      </c>
      <c r="E169" s="10" t="s">
        <v>37</v>
      </c>
      <c r="F169" s="11"/>
      <c r="G169" t="s">
        <v>600</v>
      </c>
      <c r="H169" t="s">
        <v>41</v>
      </c>
      <c r="I169" t="s">
        <v>42</v>
      </c>
      <c r="J169" t="s">
        <v>601</v>
      </c>
      <c r="K169" t="s">
        <v>44</v>
      </c>
      <c r="L169">
        <v>2</v>
      </c>
      <c r="M169" t="s">
        <v>45</v>
      </c>
      <c r="N169" t="s">
        <v>46</v>
      </c>
      <c r="O169" t="s">
        <v>47</v>
      </c>
      <c r="P169" s="12">
        <v>1</v>
      </c>
      <c r="Q169" s="13">
        <v>44873.519548611112</v>
      </c>
      <c r="R169" s="14">
        <v>44874</v>
      </c>
      <c r="S169" t="s">
        <v>41</v>
      </c>
      <c r="T169" t="s">
        <v>48</v>
      </c>
      <c r="U169" t="s">
        <v>49</v>
      </c>
      <c r="V169" t="s">
        <v>96</v>
      </c>
      <c r="Y169" t="s">
        <v>602</v>
      </c>
      <c r="Z169">
        <v>21400</v>
      </c>
      <c r="AA169" t="s">
        <v>48</v>
      </c>
      <c r="AB169" t="s">
        <v>49</v>
      </c>
      <c r="AC169" t="s">
        <v>53</v>
      </c>
      <c r="AD169" s="15">
        <f>IF(P169&lt;=1,7,7+0.8*ROUNDUP(P169-1,0))</f>
        <v>7</v>
      </c>
      <c r="AE169" s="16">
        <v>0</v>
      </c>
      <c r="AF169" s="16">
        <v>0</v>
      </c>
      <c r="AG169" s="16">
        <v>0</v>
      </c>
      <c r="AH169" s="16">
        <v>0</v>
      </c>
      <c r="AI169" s="16">
        <f t="shared" si="4"/>
        <v>0.42</v>
      </c>
      <c r="AJ169" s="16">
        <f t="shared" si="5"/>
        <v>7.42</v>
      </c>
      <c r="AK169" t="s">
        <v>48</v>
      </c>
    </row>
    <row r="170" spans="1:37" ht="15" customHeight="1" x14ac:dyDescent="0.35">
      <c r="A170">
        <v>690929</v>
      </c>
      <c r="B170" t="s">
        <v>37</v>
      </c>
      <c r="C170" t="s">
        <v>38</v>
      </c>
      <c r="D170" s="9" t="s">
        <v>39</v>
      </c>
      <c r="E170" s="10" t="s">
        <v>37</v>
      </c>
      <c r="F170" s="11"/>
      <c r="G170" t="s">
        <v>603</v>
      </c>
      <c r="H170" t="s">
        <v>41</v>
      </c>
      <c r="I170" t="s">
        <v>42</v>
      </c>
      <c r="J170" t="s">
        <v>604</v>
      </c>
      <c r="K170" t="s">
        <v>44</v>
      </c>
      <c r="L170">
        <v>2</v>
      </c>
      <c r="M170" t="s">
        <v>45</v>
      </c>
      <c r="N170" t="s">
        <v>46</v>
      </c>
      <c r="O170" t="s">
        <v>47</v>
      </c>
      <c r="P170" s="12">
        <v>1</v>
      </c>
      <c r="Q170" s="13">
        <v>44873.586354166669</v>
      </c>
      <c r="R170" s="14">
        <v>44874</v>
      </c>
      <c r="S170" t="s">
        <v>41</v>
      </c>
      <c r="T170" t="s">
        <v>48</v>
      </c>
      <c r="U170" t="s">
        <v>49</v>
      </c>
      <c r="V170" t="s">
        <v>71</v>
      </c>
      <c r="Y170" t="s">
        <v>605</v>
      </c>
      <c r="Z170">
        <v>47160</v>
      </c>
      <c r="AA170" t="s">
        <v>48</v>
      </c>
      <c r="AB170" t="s">
        <v>73</v>
      </c>
      <c r="AC170" t="s">
        <v>53</v>
      </c>
      <c r="AD170" s="15">
        <f>IF(P170&lt;=1,7,7+0.8*ROUNDUP(P170-1,0))</f>
        <v>7</v>
      </c>
      <c r="AE170" s="16">
        <v>0</v>
      </c>
      <c r="AF170" s="16">
        <v>0</v>
      </c>
      <c r="AG170" s="16">
        <v>0</v>
      </c>
      <c r="AH170" s="16">
        <v>0</v>
      </c>
      <c r="AI170" s="16">
        <f t="shared" si="4"/>
        <v>0.42</v>
      </c>
      <c r="AJ170" s="16">
        <f t="shared" si="5"/>
        <v>7.42</v>
      </c>
      <c r="AK170" t="s">
        <v>48</v>
      </c>
    </row>
    <row r="171" spans="1:37" ht="15" customHeight="1" x14ac:dyDescent="0.35">
      <c r="A171">
        <v>690929</v>
      </c>
      <c r="B171" t="s">
        <v>37</v>
      </c>
      <c r="C171" t="s">
        <v>38</v>
      </c>
      <c r="D171" s="9" t="s">
        <v>39</v>
      </c>
      <c r="E171" s="10" t="s">
        <v>37</v>
      </c>
      <c r="F171" s="11"/>
      <c r="G171" t="s">
        <v>606</v>
      </c>
      <c r="H171" t="s">
        <v>41</v>
      </c>
      <c r="I171" t="s">
        <v>42</v>
      </c>
      <c r="J171" t="s">
        <v>607</v>
      </c>
      <c r="K171" t="s">
        <v>44</v>
      </c>
      <c r="L171">
        <v>2</v>
      </c>
      <c r="M171" t="s">
        <v>45</v>
      </c>
      <c r="N171" t="s">
        <v>46</v>
      </c>
      <c r="O171" t="s">
        <v>47</v>
      </c>
      <c r="P171" s="12">
        <v>1</v>
      </c>
      <c r="Q171" s="13">
        <v>44874.52721064815</v>
      </c>
      <c r="R171" s="14">
        <v>44875</v>
      </c>
      <c r="S171" t="s">
        <v>41</v>
      </c>
      <c r="T171" t="s">
        <v>48</v>
      </c>
      <c r="U171" t="s">
        <v>49</v>
      </c>
      <c r="V171" t="s">
        <v>251</v>
      </c>
      <c r="Y171" t="s">
        <v>608</v>
      </c>
      <c r="Z171">
        <v>26600</v>
      </c>
      <c r="AA171" t="s">
        <v>48</v>
      </c>
      <c r="AB171" t="s">
        <v>49</v>
      </c>
      <c r="AC171" t="s">
        <v>53</v>
      </c>
      <c r="AD171" s="15">
        <f>IF(P171&lt;=1,7,7+0.8*ROUNDUP(P171-1,0))</f>
        <v>7</v>
      </c>
      <c r="AE171" s="16">
        <v>0</v>
      </c>
      <c r="AF171" s="16">
        <v>0</v>
      </c>
      <c r="AG171" s="16">
        <v>0</v>
      </c>
      <c r="AH171" s="16">
        <v>0</v>
      </c>
      <c r="AI171" s="16">
        <f t="shared" si="4"/>
        <v>0.42</v>
      </c>
      <c r="AJ171" s="16">
        <f t="shared" si="5"/>
        <v>7.42</v>
      </c>
      <c r="AK171" t="s">
        <v>48</v>
      </c>
    </row>
    <row r="172" spans="1:37" ht="15" customHeight="1" x14ac:dyDescent="0.35">
      <c r="A172">
        <v>690929</v>
      </c>
      <c r="B172" t="s">
        <v>37</v>
      </c>
      <c r="C172" t="s">
        <v>38</v>
      </c>
      <c r="D172" s="9" t="s">
        <v>39</v>
      </c>
      <c r="E172" s="10" t="s">
        <v>37</v>
      </c>
      <c r="F172" s="11"/>
      <c r="G172" t="s">
        <v>609</v>
      </c>
      <c r="H172" t="s">
        <v>41</v>
      </c>
      <c r="I172" t="s">
        <v>42</v>
      </c>
      <c r="J172" t="s">
        <v>610</v>
      </c>
      <c r="K172" t="s">
        <v>44</v>
      </c>
      <c r="L172">
        <v>2</v>
      </c>
      <c r="M172" t="s">
        <v>45</v>
      </c>
      <c r="N172" t="s">
        <v>46</v>
      </c>
      <c r="O172" t="s">
        <v>47</v>
      </c>
      <c r="P172" s="12">
        <v>1</v>
      </c>
      <c r="Q172" s="13">
        <v>44873.528101851851</v>
      </c>
      <c r="R172" s="14">
        <v>44875</v>
      </c>
      <c r="S172" t="s">
        <v>41</v>
      </c>
      <c r="T172" t="s">
        <v>48</v>
      </c>
      <c r="U172" t="s">
        <v>49</v>
      </c>
      <c r="V172" t="s">
        <v>344</v>
      </c>
      <c r="Y172" t="s">
        <v>611</v>
      </c>
      <c r="Z172">
        <v>70400</v>
      </c>
      <c r="AA172" t="s">
        <v>48</v>
      </c>
      <c r="AB172" t="s">
        <v>73</v>
      </c>
      <c r="AC172" t="s">
        <v>53</v>
      </c>
      <c r="AD172" s="15">
        <f>IF(P172&lt;=1,7,7+0.8*ROUNDUP(P172-1,0))</f>
        <v>7</v>
      </c>
      <c r="AE172" s="16">
        <v>0</v>
      </c>
      <c r="AF172" s="16">
        <v>0</v>
      </c>
      <c r="AG172" s="16">
        <v>0</v>
      </c>
      <c r="AH172" s="16">
        <v>0</v>
      </c>
      <c r="AI172" s="16">
        <f t="shared" si="4"/>
        <v>0.42</v>
      </c>
      <c r="AJ172" s="16">
        <f t="shared" si="5"/>
        <v>7.42</v>
      </c>
      <c r="AK172" t="s">
        <v>48</v>
      </c>
    </row>
    <row r="173" spans="1:37" ht="15" customHeight="1" x14ac:dyDescent="0.35">
      <c r="A173">
        <v>690929</v>
      </c>
      <c r="B173" t="s">
        <v>37</v>
      </c>
      <c r="C173" t="s">
        <v>38</v>
      </c>
      <c r="D173" s="9" t="s">
        <v>39</v>
      </c>
      <c r="E173" s="10" t="s">
        <v>37</v>
      </c>
      <c r="F173" s="11"/>
      <c r="G173" t="s">
        <v>612</v>
      </c>
      <c r="H173" t="s">
        <v>41</v>
      </c>
      <c r="I173" t="s">
        <v>42</v>
      </c>
      <c r="J173" t="s">
        <v>613</v>
      </c>
      <c r="K173" t="s">
        <v>44</v>
      </c>
      <c r="L173">
        <v>2</v>
      </c>
      <c r="M173" t="s">
        <v>45</v>
      </c>
      <c r="N173" t="s">
        <v>46</v>
      </c>
      <c r="O173" t="s">
        <v>47</v>
      </c>
      <c r="P173" s="12">
        <v>1</v>
      </c>
      <c r="Q173" s="13">
        <v>44870.708645833336</v>
      </c>
      <c r="R173" s="14">
        <v>44875</v>
      </c>
      <c r="S173" t="s">
        <v>41</v>
      </c>
      <c r="T173" t="s">
        <v>48</v>
      </c>
      <c r="U173" t="s">
        <v>49</v>
      </c>
      <c r="V173" t="s">
        <v>100</v>
      </c>
      <c r="Y173" t="s">
        <v>614</v>
      </c>
      <c r="Z173">
        <v>7100</v>
      </c>
      <c r="AA173" t="s">
        <v>48</v>
      </c>
      <c r="AB173" t="s">
        <v>49</v>
      </c>
      <c r="AC173" t="s">
        <v>53</v>
      </c>
      <c r="AD173" s="15">
        <f>IF(P173&lt;=1,7,7+0.8*ROUNDUP(P173-1,0))</f>
        <v>7</v>
      </c>
      <c r="AE173" s="16">
        <v>0</v>
      </c>
      <c r="AF173" s="16">
        <v>0</v>
      </c>
      <c r="AG173" s="16">
        <v>0</v>
      </c>
      <c r="AH173" s="16">
        <v>0</v>
      </c>
      <c r="AI173" s="16">
        <f t="shared" si="4"/>
        <v>0.42</v>
      </c>
      <c r="AJ173" s="16">
        <f t="shared" si="5"/>
        <v>7.42</v>
      </c>
      <c r="AK173" t="s">
        <v>48</v>
      </c>
    </row>
    <row r="174" spans="1:37" ht="15" customHeight="1" x14ac:dyDescent="0.35">
      <c r="A174">
        <v>690929</v>
      </c>
      <c r="B174" t="s">
        <v>37</v>
      </c>
      <c r="C174" t="s">
        <v>38</v>
      </c>
      <c r="D174" s="9" t="s">
        <v>39</v>
      </c>
      <c r="E174" s="10" t="s">
        <v>37</v>
      </c>
      <c r="F174" s="11"/>
      <c r="G174" t="s">
        <v>615</v>
      </c>
      <c r="H174" t="s">
        <v>41</v>
      </c>
      <c r="I174" t="s">
        <v>42</v>
      </c>
      <c r="J174" t="s">
        <v>114</v>
      </c>
      <c r="K174" t="s">
        <v>44</v>
      </c>
      <c r="L174">
        <v>2</v>
      </c>
      <c r="M174" t="s">
        <v>45</v>
      </c>
      <c r="N174" t="s">
        <v>46</v>
      </c>
      <c r="O174" t="s">
        <v>47</v>
      </c>
      <c r="P174" s="12">
        <v>4</v>
      </c>
      <c r="Q174" s="13">
        <v>44873.526898148149</v>
      </c>
      <c r="R174" s="14">
        <v>44875</v>
      </c>
      <c r="S174" t="s">
        <v>41</v>
      </c>
      <c r="T174" t="s">
        <v>48</v>
      </c>
      <c r="U174" t="s">
        <v>49</v>
      </c>
      <c r="V174" t="s">
        <v>115</v>
      </c>
      <c r="Y174" t="s">
        <v>616</v>
      </c>
      <c r="Z174">
        <v>84000</v>
      </c>
      <c r="AA174" t="s">
        <v>48</v>
      </c>
      <c r="AB174" t="s">
        <v>617</v>
      </c>
      <c r="AC174" t="s">
        <v>53</v>
      </c>
      <c r="AD174" s="15">
        <f>IF(P174&lt;=1,7,7+0.8*ROUNDUP(P174-1,0))</f>
        <v>9.4</v>
      </c>
      <c r="AE174" s="16">
        <v>0</v>
      </c>
      <c r="AF174" s="16">
        <v>0</v>
      </c>
      <c r="AG174" s="16">
        <v>0</v>
      </c>
      <c r="AH174" s="16">
        <v>0</v>
      </c>
      <c r="AI174" s="16">
        <f t="shared" si="4"/>
        <v>0.56399999999999995</v>
      </c>
      <c r="AJ174" s="16">
        <f t="shared" si="5"/>
        <v>9.9640000000000004</v>
      </c>
      <c r="AK174" t="s">
        <v>48</v>
      </c>
    </row>
    <row r="175" spans="1:37" ht="15" customHeight="1" x14ac:dyDescent="0.35">
      <c r="A175">
        <v>690929</v>
      </c>
      <c r="B175" t="s">
        <v>37</v>
      </c>
      <c r="C175" t="s">
        <v>38</v>
      </c>
      <c r="D175" s="9" t="s">
        <v>39</v>
      </c>
      <c r="E175" s="10" t="s">
        <v>37</v>
      </c>
      <c r="F175" s="11"/>
      <c r="G175" t="s">
        <v>618</v>
      </c>
      <c r="H175" t="s">
        <v>41</v>
      </c>
      <c r="I175" t="s">
        <v>42</v>
      </c>
      <c r="J175" t="s">
        <v>619</v>
      </c>
      <c r="K175" t="s">
        <v>44</v>
      </c>
      <c r="L175">
        <v>2</v>
      </c>
      <c r="M175" t="s">
        <v>45</v>
      </c>
      <c r="N175" t="s">
        <v>46</v>
      </c>
      <c r="O175" t="s">
        <v>47</v>
      </c>
      <c r="P175" s="12">
        <v>1</v>
      </c>
      <c r="Q175" s="13">
        <v>44873.570486111108</v>
      </c>
      <c r="R175" s="14">
        <v>44875</v>
      </c>
      <c r="S175" t="s">
        <v>41</v>
      </c>
      <c r="T175" t="s">
        <v>48</v>
      </c>
      <c r="U175" t="s">
        <v>49</v>
      </c>
      <c r="V175" t="s">
        <v>115</v>
      </c>
      <c r="Y175" t="s">
        <v>620</v>
      </c>
      <c r="Z175">
        <v>85000</v>
      </c>
      <c r="AA175" t="s">
        <v>48</v>
      </c>
      <c r="AB175" t="s">
        <v>73</v>
      </c>
      <c r="AC175" t="s">
        <v>53</v>
      </c>
      <c r="AD175" s="15">
        <f>IF(P175&lt;=1,7,7+0.8*ROUNDUP(P175-1,0))</f>
        <v>7</v>
      </c>
      <c r="AE175" s="16">
        <v>0</v>
      </c>
      <c r="AF175" s="16">
        <v>0</v>
      </c>
      <c r="AG175" s="16">
        <v>0</v>
      </c>
      <c r="AH175" s="16">
        <v>0</v>
      </c>
      <c r="AI175" s="16">
        <f t="shared" si="4"/>
        <v>0.42</v>
      </c>
      <c r="AJ175" s="16">
        <f t="shared" si="5"/>
        <v>7.42</v>
      </c>
      <c r="AK175" t="s">
        <v>48</v>
      </c>
    </row>
    <row r="176" spans="1:37" ht="15" customHeight="1" x14ac:dyDescent="0.35">
      <c r="A176">
        <v>690929</v>
      </c>
      <c r="B176" t="s">
        <v>37</v>
      </c>
      <c r="C176" t="s">
        <v>38</v>
      </c>
      <c r="D176" s="9" t="s">
        <v>39</v>
      </c>
      <c r="E176" s="10" t="s">
        <v>37</v>
      </c>
      <c r="F176" s="11"/>
      <c r="G176" t="s">
        <v>621</v>
      </c>
      <c r="H176" t="s">
        <v>41</v>
      </c>
      <c r="I176" t="s">
        <v>42</v>
      </c>
      <c r="J176" t="s">
        <v>622</v>
      </c>
      <c r="K176" t="s">
        <v>44</v>
      </c>
      <c r="L176">
        <v>2</v>
      </c>
      <c r="M176" t="s">
        <v>45</v>
      </c>
      <c r="N176" t="s">
        <v>46</v>
      </c>
      <c r="O176" t="s">
        <v>47</v>
      </c>
      <c r="P176" s="12">
        <v>1</v>
      </c>
      <c r="Q176" s="13">
        <v>44873.571712962963</v>
      </c>
      <c r="R176" s="14">
        <v>44875</v>
      </c>
      <c r="S176" t="s">
        <v>41</v>
      </c>
      <c r="T176" t="s">
        <v>48</v>
      </c>
      <c r="U176" t="s">
        <v>49</v>
      </c>
      <c r="V176" t="s">
        <v>344</v>
      </c>
      <c r="Y176" t="s">
        <v>623</v>
      </c>
      <c r="Z176">
        <v>72000</v>
      </c>
      <c r="AA176" t="s">
        <v>48</v>
      </c>
      <c r="AB176" t="s">
        <v>624</v>
      </c>
      <c r="AC176" t="s">
        <v>53</v>
      </c>
      <c r="AD176" s="15">
        <f>IF(P176&lt;=1,7,7+0.8*ROUNDUP(P176-1,0))</f>
        <v>7</v>
      </c>
      <c r="AE176" s="16">
        <v>0</v>
      </c>
      <c r="AF176" s="16">
        <v>0</v>
      </c>
      <c r="AG176" s="16">
        <v>0</v>
      </c>
      <c r="AH176" s="16">
        <v>0</v>
      </c>
      <c r="AI176" s="16">
        <f t="shared" si="4"/>
        <v>0.42</v>
      </c>
      <c r="AJ176" s="16">
        <f t="shared" si="5"/>
        <v>7.42</v>
      </c>
      <c r="AK176" t="s">
        <v>48</v>
      </c>
    </row>
    <row r="177" spans="1:37" ht="15" customHeight="1" x14ac:dyDescent="0.35">
      <c r="A177">
        <v>690929</v>
      </c>
      <c r="B177" t="s">
        <v>37</v>
      </c>
      <c r="C177" t="s">
        <v>38</v>
      </c>
      <c r="D177" s="9" t="s">
        <v>39</v>
      </c>
      <c r="E177" s="10" t="s">
        <v>37</v>
      </c>
      <c r="F177" s="11"/>
      <c r="G177" t="s">
        <v>625</v>
      </c>
      <c r="H177" t="s">
        <v>41</v>
      </c>
      <c r="I177" t="s">
        <v>42</v>
      </c>
      <c r="J177" t="s">
        <v>626</v>
      </c>
      <c r="K177" t="s">
        <v>44</v>
      </c>
      <c r="L177">
        <v>2</v>
      </c>
      <c r="M177" t="s">
        <v>45</v>
      </c>
      <c r="N177" t="s">
        <v>46</v>
      </c>
      <c r="O177" t="s">
        <v>47</v>
      </c>
      <c r="P177" s="12">
        <v>1</v>
      </c>
      <c r="Q177" s="13">
        <v>44873.480208333334</v>
      </c>
      <c r="R177" s="14">
        <v>44875</v>
      </c>
      <c r="S177" t="s">
        <v>41</v>
      </c>
      <c r="T177" t="s">
        <v>48</v>
      </c>
      <c r="U177" t="s">
        <v>49</v>
      </c>
      <c r="V177" t="s">
        <v>100</v>
      </c>
      <c r="Y177" t="s">
        <v>627</v>
      </c>
      <c r="Z177">
        <v>6000</v>
      </c>
      <c r="AA177" t="s">
        <v>48</v>
      </c>
      <c r="AB177" t="s">
        <v>73</v>
      </c>
      <c r="AC177" t="s">
        <v>53</v>
      </c>
      <c r="AD177" s="15">
        <f>IF(P177&lt;=1,7,7+0.8*ROUNDUP(P177-1,0))</f>
        <v>7</v>
      </c>
      <c r="AE177" s="16">
        <v>0</v>
      </c>
      <c r="AF177" s="16">
        <v>0</v>
      </c>
      <c r="AG177" s="16">
        <v>0</v>
      </c>
      <c r="AH177" s="16">
        <v>0</v>
      </c>
      <c r="AI177" s="16">
        <f t="shared" si="4"/>
        <v>0.42</v>
      </c>
      <c r="AJ177" s="16">
        <f t="shared" si="5"/>
        <v>7.42</v>
      </c>
      <c r="AK177" t="s">
        <v>48</v>
      </c>
    </row>
    <row r="178" spans="1:37" ht="15" customHeight="1" x14ac:dyDescent="0.35">
      <c r="A178">
        <v>690929</v>
      </c>
      <c r="B178" t="s">
        <v>37</v>
      </c>
      <c r="C178" t="s">
        <v>38</v>
      </c>
      <c r="D178" s="9" t="s">
        <v>39</v>
      </c>
      <c r="E178" s="10" t="s">
        <v>37</v>
      </c>
      <c r="F178" s="11"/>
      <c r="G178" t="s">
        <v>628</v>
      </c>
      <c r="H178" t="s">
        <v>41</v>
      </c>
      <c r="I178" t="s">
        <v>42</v>
      </c>
      <c r="J178" t="s">
        <v>629</v>
      </c>
      <c r="K178" t="s">
        <v>44</v>
      </c>
      <c r="L178">
        <v>2</v>
      </c>
      <c r="M178" t="s">
        <v>45</v>
      </c>
      <c r="N178" t="s">
        <v>46</v>
      </c>
      <c r="O178" t="s">
        <v>47</v>
      </c>
      <c r="P178" s="12">
        <v>2</v>
      </c>
      <c r="Q178" s="13">
        <v>44873.653703703705</v>
      </c>
      <c r="R178" s="14">
        <v>44875</v>
      </c>
      <c r="S178" t="s">
        <v>41</v>
      </c>
      <c r="T178" t="s">
        <v>48</v>
      </c>
      <c r="U178" t="s">
        <v>49</v>
      </c>
      <c r="V178" t="s">
        <v>96</v>
      </c>
      <c r="Y178" t="s">
        <v>630</v>
      </c>
      <c r="Z178">
        <v>22010</v>
      </c>
      <c r="AA178" t="s">
        <v>48</v>
      </c>
      <c r="AB178" t="s">
        <v>631</v>
      </c>
      <c r="AC178" t="s">
        <v>53</v>
      </c>
      <c r="AD178" s="15">
        <f>IF(P178&lt;=1,7,7+0.8*ROUNDUP(P178-1,0))</f>
        <v>7.8</v>
      </c>
      <c r="AE178" s="16">
        <v>0</v>
      </c>
      <c r="AF178" s="16">
        <v>0</v>
      </c>
      <c r="AG178" s="16">
        <v>0</v>
      </c>
      <c r="AH178" s="16">
        <v>0</v>
      </c>
      <c r="AI178" s="16">
        <f t="shared" si="4"/>
        <v>0.46799999999999997</v>
      </c>
      <c r="AJ178" s="16">
        <f t="shared" si="5"/>
        <v>8.2680000000000007</v>
      </c>
      <c r="AK178" t="s">
        <v>48</v>
      </c>
    </row>
    <row r="179" spans="1:37" ht="15" customHeight="1" x14ac:dyDescent="0.35">
      <c r="A179">
        <v>690929</v>
      </c>
      <c r="B179" t="s">
        <v>37</v>
      </c>
      <c r="C179" t="s">
        <v>38</v>
      </c>
      <c r="D179" s="9" t="s">
        <v>39</v>
      </c>
      <c r="E179" s="10" t="s">
        <v>37</v>
      </c>
      <c r="F179" s="11"/>
      <c r="G179" t="s">
        <v>632</v>
      </c>
      <c r="H179" t="s">
        <v>41</v>
      </c>
      <c r="I179" t="s">
        <v>42</v>
      </c>
      <c r="J179" t="s">
        <v>633</v>
      </c>
      <c r="K179" t="s">
        <v>44</v>
      </c>
      <c r="L179">
        <v>2</v>
      </c>
      <c r="M179" t="s">
        <v>45</v>
      </c>
      <c r="N179" t="s">
        <v>46</v>
      </c>
      <c r="O179" t="s">
        <v>47</v>
      </c>
      <c r="P179" s="12">
        <v>1</v>
      </c>
      <c r="Q179" s="13">
        <v>44873.649189814816</v>
      </c>
      <c r="R179" s="14">
        <v>44875</v>
      </c>
      <c r="S179" t="s">
        <v>41</v>
      </c>
      <c r="T179" t="s">
        <v>48</v>
      </c>
      <c r="U179" t="s">
        <v>49</v>
      </c>
      <c r="V179" t="s">
        <v>62</v>
      </c>
      <c r="Y179" t="s">
        <v>634</v>
      </c>
      <c r="Z179">
        <v>57100</v>
      </c>
      <c r="AA179" t="s">
        <v>48</v>
      </c>
      <c r="AB179" t="s">
        <v>185</v>
      </c>
      <c r="AC179" t="s">
        <v>53</v>
      </c>
      <c r="AD179" s="15">
        <f>IF(P179&lt;=1,7,7+0.8*ROUNDUP(P179-1,0))</f>
        <v>7</v>
      </c>
      <c r="AE179" s="16">
        <v>0</v>
      </c>
      <c r="AF179" s="16">
        <v>0</v>
      </c>
      <c r="AG179" s="16">
        <v>0</v>
      </c>
      <c r="AH179" s="16">
        <v>0</v>
      </c>
      <c r="AI179" s="16">
        <f t="shared" si="4"/>
        <v>0.42</v>
      </c>
      <c r="AJ179" s="16">
        <f t="shared" si="5"/>
        <v>7.42</v>
      </c>
      <c r="AK179" t="s">
        <v>48</v>
      </c>
    </row>
    <row r="180" spans="1:37" ht="15" customHeight="1" x14ac:dyDescent="0.35">
      <c r="A180">
        <v>690929</v>
      </c>
      <c r="B180" t="s">
        <v>37</v>
      </c>
      <c r="C180" t="s">
        <v>38</v>
      </c>
      <c r="D180" s="9" t="s">
        <v>39</v>
      </c>
      <c r="E180" s="10" t="s">
        <v>37</v>
      </c>
      <c r="F180" s="11"/>
      <c r="G180" t="s">
        <v>635</v>
      </c>
      <c r="H180" t="s">
        <v>41</v>
      </c>
      <c r="I180" t="s">
        <v>42</v>
      </c>
      <c r="J180" t="s">
        <v>636</v>
      </c>
      <c r="K180" t="s">
        <v>44</v>
      </c>
      <c r="L180">
        <v>2</v>
      </c>
      <c r="M180" t="s">
        <v>45</v>
      </c>
      <c r="N180" t="s">
        <v>46</v>
      </c>
      <c r="O180" t="s">
        <v>47</v>
      </c>
      <c r="P180" s="12">
        <v>2</v>
      </c>
      <c r="Q180" s="13">
        <v>44873.693807870368</v>
      </c>
      <c r="R180" s="14">
        <v>44875</v>
      </c>
      <c r="S180" t="s">
        <v>41</v>
      </c>
      <c r="T180" t="s">
        <v>48</v>
      </c>
      <c r="U180" t="s">
        <v>49</v>
      </c>
      <c r="V180" t="s">
        <v>62</v>
      </c>
      <c r="Y180" t="s">
        <v>637</v>
      </c>
      <c r="Z180">
        <v>54200</v>
      </c>
      <c r="AA180" t="s">
        <v>48</v>
      </c>
      <c r="AB180" t="s">
        <v>73</v>
      </c>
      <c r="AC180" t="s">
        <v>53</v>
      </c>
      <c r="AD180" s="15">
        <f>IF(P180&lt;=1,7,7+0.8*ROUNDUP(P180-1,0))</f>
        <v>7.8</v>
      </c>
      <c r="AE180" s="16">
        <v>0</v>
      </c>
      <c r="AF180" s="16">
        <v>0</v>
      </c>
      <c r="AG180" s="16">
        <v>0</v>
      </c>
      <c r="AH180" s="16">
        <v>0</v>
      </c>
      <c r="AI180" s="16">
        <f t="shared" si="4"/>
        <v>0.46799999999999997</v>
      </c>
      <c r="AJ180" s="16">
        <f t="shared" si="5"/>
        <v>8.2680000000000007</v>
      </c>
      <c r="AK180" t="s">
        <v>48</v>
      </c>
    </row>
    <row r="181" spans="1:37" ht="15" customHeight="1" x14ac:dyDescent="0.35">
      <c r="A181">
        <v>690929</v>
      </c>
      <c r="B181" t="s">
        <v>37</v>
      </c>
      <c r="C181" t="s">
        <v>38</v>
      </c>
      <c r="D181" s="9" t="s">
        <v>39</v>
      </c>
      <c r="E181" s="10" t="s">
        <v>37</v>
      </c>
      <c r="F181" s="11"/>
      <c r="G181" t="s">
        <v>638</v>
      </c>
      <c r="H181" t="s">
        <v>41</v>
      </c>
      <c r="I181" t="s">
        <v>42</v>
      </c>
      <c r="J181" t="s">
        <v>639</v>
      </c>
      <c r="K181" t="s">
        <v>44</v>
      </c>
      <c r="L181">
        <v>2</v>
      </c>
      <c r="M181" t="s">
        <v>45</v>
      </c>
      <c r="N181" t="s">
        <v>46</v>
      </c>
      <c r="O181" t="s">
        <v>47</v>
      </c>
      <c r="P181" s="12">
        <v>11</v>
      </c>
      <c r="Q181" s="13">
        <v>44873.643518518518</v>
      </c>
      <c r="R181" s="14">
        <v>44875</v>
      </c>
      <c r="S181" t="s">
        <v>41</v>
      </c>
      <c r="T181" t="s">
        <v>48</v>
      </c>
      <c r="U181" t="s">
        <v>49</v>
      </c>
      <c r="V181" t="s">
        <v>71</v>
      </c>
      <c r="Y181" t="s">
        <v>640</v>
      </c>
      <c r="Z181">
        <v>41000</v>
      </c>
      <c r="AA181" t="s">
        <v>48</v>
      </c>
      <c r="AB181" t="s">
        <v>641</v>
      </c>
      <c r="AC181" t="s">
        <v>53</v>
      </c>
      <c r="AD181" s="15">
        <f>IF(P181&lt;=1,7,7+0.8*ROUNDUP(P181-1,0))</f>
        <v>15</v>
      </c>
      <c r="AE181" s="16">
        <v>0</v>
      </c>
      <c r="AF181" s="16">
        <v>0</v>
      </c>
      <c r="AG181" s="16">
        <v>0</v>
      </c>
      <c r="AH181" s="16">
        <v>0</v>
      </c>
      <c r="AI181" s="16">
        <f t="shared" si="4"/>
        <v>0.89999999999999991</v>
      </c>
      <c r="AJ181" s="16">
        <f t="shared" si="5"/>
        <v>15.9</v>
      </c>
      <c r="AK181" t="s">
        <v>48</v>
      </c>
    </row>
    <row r="182" spans="1:37" ht="15" customHeight="1" x14ac:dyDescent="0.35">
      <c r="A182">
        <v>690929</v>
      </c>
      <c r="B182" t="s">
        <v>37</v>
      </c>
      <c r="C182" t="s">
        <v>38</v>
      </c>
      <c r="D182" s="9" t="s">
        <v>39</v>
      </c>
      <c r="E182" s="10" t="s">
        <v>37</v>
      </c>
      <c r="F182" s="11"/>
      <c r="G182" t="s">
        <v>642</v>
      </c>
      <c r="H182" t="s">
        <v>41</v>
      </c>
      <c r="I182" t="s">
        <v>42</v>
      </c>
      <c r="J182" t="s">
        <v>643</v>
      </c>
      <c r="K182" t="s">
        <v>44</v>
      </c>
      <c r="L182">
        <v>2</v>
      </c>
      <c r="M182" t="s">
        <v>45</v>
      </c>
      <c r="N182" t="s">
        <v>46</v>
      </c>
      <c r="O182" t="s">
        <v>47</v>
      </c>
      <c r="P182" s="12">
        <v>1</v>
      </c>
      <c r="Q182" s="13">
        <v>44873.523541666669</v>
      </c>
      <c r="R182" s="14">
        <v>44875</v>
      </c>
      <c r="S182" t="s">
        <v>41</v>
      </c>
      <c r="T182" t="s">
        <v>48</v>
      </c>
      <c r="U182" t="s">
        <v>49</v>
      </c>
      <c r="V182" t="s">
        <v>85</v>
      </c>
      <c r="Y182" t="s">
        <v>644</v>
      </c>
      <c r="Z182">
        <v>11700</v>
      </c>
      <c r="AA182" t="s">
        <v>48</v>
      </c>
      <c r="AB182" t="s">
        <v>73</v>
      </c>
      <c r="AC182" t="s">
        <v>53</v>
      </c>
      <c r="AD182" s="15">
        <f>IF(P182&lt;=1,7,7+0.8*ROUNDUP(P182-1,0))</f>
        <v>7</v>
      </c>
      <c r="AE182" s="16">
        <v>0</v>
      </c>
      <c r="AF182" s="16">
        <v>0</v>
      </c>
      <c r="AG182" s="16">
        <v>0</v>
      </c>
      <c r="AH182" s="16">
        <v>0</v>
      </c>
      <c r="AI182" s="16">
        <f t="shared" si="4"/>
        <v>0.42</v>
      </c>
      <c r="AJ182" s="16">
        <f t="shared" si="5"/>
        <v>7.42</v>
      </c>
      <c r="AK182" t="s">
        <v>48</v>
      </c>
    </row>
    <row r="183" spans="1:37" ht="15" customHeight="1" x14ac:dyDescent="0.35">
      <c r="A183">
        <v>690929</v>
      </c>
      <c r="B183" t="s">
        <v>37</v>
      </c>
      <c r="C183" t="s">
        <v>38</v>
      </c>
      <c r="D183" s="9" t="s">
        <v>39</v>
      </c>
      <c r="E183" s="10" t="s">
        <v>37</v>
      </c>
      <c r="F183" s="11"/>
      <c r="G183" t="s">
        <v>645</v>
      </c>
      <c r="H183" t="s">
        <v>41</v>
      </c>
      <c r="I183" t="s">
        <v>42</v>
      </c>
      <c r="J183" t="s">
        <v>646</v>
      </c>
      <c r="K183" t="s">
        <v>44</v>
      </c>
      <c r="L183">
        <v>2</v>
      </c>
      <c r="M183" t="s">
        <v>45</v>
      </c>
      <c r="N183" t="s">
        <v>46</v>
      </c>
      <c r="O183" t="s">
        <v>47</v>
      </c>
      <c r="P183" s="12">
        <v>1</v>
      </c>
      <c r="Q183" s="13">
        <v>44873.650150462963</v>
      </c>
      <c r="R183" s="14">
        <v>44875</v>
      </c>
      <c r="S183" t="s">
        <v>41</v>
      </c>
      <c r="T183" t="s">
        <v>48</v>
      </c>
      <c r="U183" t="s">
        <v>49</v>
      </c>
      <c r="V183" t="s">
        <v>71</v>
      </c>
      <c r="Y183" t="s">
        <v>647</v>
      </c>
      <c r="Z183">
        <v>47810</v>
      </c>
      <c r="AA183" t="s">
        <v>48</v>
      </c>
      <c r="AB183" t="s">
        <v>648</v>
      </c>
      <c r="AC183" t="s">
        <v>53</v>
      </c>
      <c r="AD183" s="15">
        <f>IF(P183&lt;=1,7,7+0.8*ROUNDUP(P183-1,0))</f>
        <v>7</v>
      </c>
      <c r="AE183" s="16">
        <v>0</v>
      </c>
      <c r="AF183" s="16">
        <v>0</v>
      </c>
      <c r="AG183" s="16">
        <v>0</v>
      </c>
      <c r="AH183" s="16">
        <v>0</v>
      </c>
      <c r="AI183" s="16">
        <f t="shared" si="4"/>
        <v>0.42</v>
      </c>
      <c r="AJ183" s="16">
        <f t="shared" si="5"/>
        <v>7.42</v>
      </c>
      <c r="AK183" t="s">
        <v>48</v>
      </c>
    </row>
    <row r="184" spans="1:37" ht="15" customHeight="1" x14ac:dyDescent="0.35">
      <c r="A184">
        <v>690929</v>
      </c>
      <c r="B184" t="s">
        <v>37</v>
      </c>
      <c r="C184" t="s">
        <v>38</v>
      </c>
      <c r="D184" s="9" t="s">
        <v>39</v>
      </c>
      <c r="E184" s="10" t="s">
        <v>37</v>
      </c>
      <c r="F184" s="11"/>
      <c r="G184" t="s">
        <v>649</v>
      </c>
      <c r="H184" t="s">
        <v>41</v>
      </c>
      <c r="I184" t="s">
        <v>42</v>
      </c>
      <c r="J184" t="s">
        <v>199</v>
      </c>
      <c r="K184" t="s">
        <v>44</v>
      </c>
      <c r="L184">
        <v>2</v>
      </c>
      <c r="M184" t="s">
        <v>45</v>
      </c>
      <c r="N184" t="s">
        <v>46</v>
      </c>
      <c r="O184" t="s">
        <v>47</v>
      </c>
      <c r="P184" s="12">
        <v>1</v>
      </c>
      <c r="Q184" s="13">
        <v>44873.521307870367</v>
      </c>
      <c r="R184" s="14">
        <v>44876</v>
      </c>
      <c r="S184" t="s">
        <v>41</v>
      </c>
      <c r="T184" t="s">
        <v>48</v>
      </c>
      <c r="U184" t="s">
        <v>49</v>
      </c>
      <c r="V184" t="s">
        <v>56</v>
      </c>
      <c r="Y184" t="s">
        <v>200</v>
      </c>
      <c r="Z184">
        <v>89050</v>
      </c>
      <c r="AA184" t="s">
        <v>58</v>
      </c>
      <c r="AB184" t="s">
        <v>201</v>
      </c>
      <c r="AC184" t="s">
        <v>53</v>
      </c>
      <c r="AD184" s="17">
        <f>IF(P184&lt;=1,13,IF(P184&lt;=2,23,IF(P184&lt;=3,35,IF(P184&lt;=4,43,IF(P184&lt;=5,53,IF(P184&lt;=6,63,IF(P184&lt;=7,71,IF(P184&lt;=8,79,IF(P184&lt;=9,87,IF(P184&lt;=10,95,IF(P184&lt;=11,105,IF(P184&lt;=12,114,IF(P184&lt;=13,119,IF(P184&lt;=14,127,IF(P184&lt;=15,135,IF(P184&lt;=16,143,IF(P184&lt;=17,153,IF(P184&lt;=18,163,IF(P184&lt;=19,171,IF(P184&lt;=20,185,IF(P184&lt;=21,193,IF(P184&lt;=22,201,IF(P184&lt;=23,210,IF(P184&lt;=24,220,IF(P184&lt;=25,230,IF(P184&lt;=26,240,IF(P184&lt;=27,250,IF(P184&lt;=28,260,IF(P184&lt;=29,270,IF(P184&lt;=30,280,280))))))))))))))))))))))))))))))</f>
        <v>13</v>
      </c>
      <c r="AE184" s="16">
        <v>0</v>
      </c>
      <c r="AF184" s="16">
        <v>0</v>
      </c>
      <c r="AG184" s="16">
        <v>0</v>
      </c>
      <c r="AH184" s="16">
        <v>0</v>
      </c>
      <c r="AI184" s="16">
        <f t="shared" si="4"/>
        <v>0.78</v>
      </c>
      <c r="AJ184" s="16">
        <f t="shared" si="5"/>
        <v>13.78</v>
      </c>
      <c r="AK184" t="s">
        <v>58</v>
      </c>
    </row>
    <row r="185" spans="1:37" ht="15" customHeight="1" x14ac:dyDescent="0.35">
      <c r="A185">
        <v>690929</v>
      </c>
      <c r="B185" t="s">
        <v>37</v>
      </c>
      <c r="C185" t="s">
        <v>38</v>
      </c>
      <c r="D185" s="9" t="s">
        <v>39</v>
      </c>
      <c r="E185" s="10" t="s">
        <v>37</v>
      </c>
      <c r="F185" s="11"/>
      <c r="G185" t="s">
        <v>650</v>
      </c>
      <c r="H185" t="s">
        <v>41</v>
      </c>
      <c r="I185" t="s">
        <v>42</v>
      </c>
      <c r="J185" t="s">
        <v>651</v>
      </c>
      <c r="K185" t="s">
        <v>44</v>
      </c>
      <c r="L185">
        <v>2</v>
      </c>
      <c r="M185" t="s">
        <v>45</v>
      </c>
      <c r="N185" t="s">
        <v>46</v>
      </c>
      <c r="O185" t="s">
        <v>47</v>
      </c>
      <c r="P185" s="12">
        <v>1</v>
      </c>
      <c r="Q185" s="13">
        <v>44873.651562500003</v>
      </c>
      <c r="R185" s="14">
        <v>44876</v>
      </c>
      <c r="S185" t="s">
        <v>41</v>
      </c>
      <c r="T185" t="s">
        <v>48</v>
      </c>
      <c r="U185" t="s">
        <v>49</v>
      </c>
      <c r="V185" t="s">
        <v>50</v>
      </c>
      <c r="Y185" t="s">
        <v>652</v>
      </c>
      <c r="Z185">
        <v>34000</v>
      </c>
      <c r="AA185" t="s">
        <v>48</v>
      </c>
      <c r="AB185" t="s">
        <v>653</v>
      </c>
      <c r="AC185" t="s">
        <v>53</v>
      </c>
      <c r="AD185" s="15">
        <f>IF(P185&lt;=1,7,7+0.8*ROUNDUP(P185-1,0))</f>
        <v>7</v>
      </c>
      <c r="AE185" s="16">
        <v>0</v>
      </c>
      <c r="AF185" s="16">
        <v>0</v>
      </c>
      <c r="AG185" s="16">
        <v>0</v>
      </c>
      <c r="AH185" s="16">
        <v>0</v>
      </c>
      <c r="AI185" s="16">
        <f t="shared" si="4"/>
        <v>0.42</v>
      </c>
      <c r="AJ185" s="16">
        <f t="shared" si="5"/>
        <v>7.42</v>
      </c>
      <c r="AK185" t="s">
        <v>48</v>
      </c>
    </row>
    <row r="186" spans="1:37" ht="15" customHeight="1" x14ac:dyDescent="0.35">
      <c r="A186">
        <v>690929</v>
      </c>
      <c r="B186" t="s">
        <v>37</v>
      </c>
      <c r="C186" t="s">
        <v>38</v>
      </c>
      <c r="D186" s="9" t="s">
        <v>39</v>
      </c>
      <c r="E186" s="10" t="s">
        <v>37</v>
      </c>
      <c r="F186" s="11"/>
      <c r="G186" t="s">
        <v>654</v>
      </c>
      <c r="H186" t="s">
        <v>41</v>
      </c>
      <c r="I186" t="s">
        <v>42</v>
      </c>
      <c r="J186" t="s">
        <v>151</v>
      </c>
      <c r="K186" t="s">
        <v>44</v>
      </c>
      <c r="L186">
        <v>2</v>
      </c>
      <c r="M186" t="s">
        <v>45</v>
      </c>
      <c r="N186" t="s">
        <v>46</v>
      </c>
      <c r="O186" t="s">
        <v>47</v>
      </c>
      <c r="P186" s="12">
        <v>1</v>
      </c>
      <c r="Q186" s="13">
        <v>44871.703634259262</v>
      </c>
      <c r="R186" s="14">
        <v>44876</v>
      </c>
      <c r="S186" t="s">
        <v>41</v>
      </c>
      <c r="T186" t="s">
        <v>48</v>
      </c>
      <c r="U186" t="s">
        <v>49</v>
      </c>
      <c r="V186" t="s">
        <v>56</v>
      </c>
      <c r="Y186" t="s">
        <v>655</v>
      </c>
      <c r="Z186">
        <v>91111</v>
      </c>
      <c r="AA186" t="s">
        <v>58</v>
      </c>
      <c r="AB186" t="s">
        <v>153</v>
      </c>
      <c r="AC186" t="s">
        <v>53</v>
      </c>
      <c r="AD186" s="17">
        <f>IF(P186&lt;=1,13,IF(P186&lt;=2,23,IF(P186&lt;=3,35,IF(P186&lt;=4,43,IF(P186&lt;=5,53,IF(P186&lt;=6,63,IF(P186&lt;=7,71,IF(P186&lt;=8,79,IF(P186&lt;=9,87,IF(P186&lt;=10,95,IF(P186&lt;=11,105,IF(P186&lt;=12,114,IF(P186&lt;=13,119,IF(P186&lt;=14,127,IF(P186&lt;=15,135,IF(P186&lt;=16,143,IF(P186&lt;=17,153,IF(P186&lt;=18,163,IF(P186&lt;=19,171,IF(P186&lt;=20,185,IF(P186&lt;=21,193,IF(P186&lt;=22,201,IF(P186&lt;=23,210,IF(P186&lt;=24,220,IF(P186&lt;=25,230,IF(P186&lt;=26,240,IF(P186&lt;=27,250,IF(P186&lt;=28,260,IF(P186&lt;=29,270,IF(P186&lt;=30,280,280))))))))))))))))))))))))))))))</f>
        <v>13</v>
      </c>
      <c r="AE186" s="16">
        <v>0</v>
      </c>
      <c r="AF186" s="16">
        <v>0</v>
      </c>
      <c r="AG186" s="16">
        <v>0</v>
      </c>
      <c r="AH186" s="16">
        <v>0</v>
      </c>
      <c r="AI186" s="16">
        <f t="shared" si="4"/>
        <v>0.78</v>
      </c>
      <c r="AJ186" s="16">
        <f t="shared" si="5"/>
        <v>13.78</v>
      </c>
      <c r="AK186" t="s">
        <v>58</v>
      </c>
    </row>
    <row r="187" spans="1:37" ht="15" customHeight="1" x14ac:dyDescent="0.35">
      <c r="A187">
        <v>690929</v>
      </c>
      <c r="B187" t="s">
        <v>37</v>
      </c>
      <c r="C187" t="s">
        <v>38</v>
      </c>
      <c r="D187" s="9" t="s">
        <v>39</v>
      </c>
      <c r="E187" s="10" t="s">
        <v>37</v>
      </c>
      <c r="F187" s="11"/>
      <c r="G187" t="s">
        <v>656</v>
      </c>
      <c r="H187" t="s">
        <v>41</v>
      </c>
      <c r="I187" t="s">
        <v>42</v>
      </c>
      <c r="J187" t="s">
        <v>657</v>
      </c>
      <c r="K187" t="s">
        <v>44</v>
      </c>
      <c r="L187">
        <v>2</v>
      </c>
      <c r="M187" t="s">
        <v>45</v>
      </c>
      <c r="N187" t="s">
        <v>46</v>
      </c>
      <c r="O187" t="s">
        <v>47</v>
      </c>
      <c r="P187" s="12">
        <v>1</v>
      </c>
      <c r="Q187" s="13">
        <v>44874.533946759257</v>
      </c>
      <c r="R187" s="14">
        <v>44876</v>
      </c>
      <c r="S187" t="s">
        <v>41</v>
      </c>
      <c r="T187" t="s">
        <v>48</v>
      </c>
      <c r="U187" t="s">
        <v>49</v>
      </c>
      <c r="V187" t="s">
        <v>658</v>
      </c>
      <c r="Y187" t="s">
        <v>659</v>
      </c>
      <c r="Z187">
        <v>2500</v>
      </c>
      <c r="AA187" t="s">
        <v>48</v>
      </c>
      <c r="AB187" t="s">
        <v>49</v>
      </c>
      <c r="AC187" t="s">
        <v>53</v>
      </c>
      <c r="AD187" s="15">
        <f>IF(P187&lt;=1,7,7+0.8*ROUNDUP(P187-1,0))</f>
        <v>7</v>
      </c>
      <c r="AE187" s="16">
        <v>0</v>
      </c>
      <c r="AF187" s="16">
        <v>0</v>
      </c>
      <c r="AG187" s="16">
        <v>0</v>
      </c>
      <c r="AH187" s="16">
        <v>0</v>
      </c>
      <c r="AI187" s="16">
        <f t="shared" si="4"/>
        <v>0.42</v>
      </c>
      <c r="AJ187" s="16">
        <f t="shared" si="5"/>
        <v>7.42</v>
      </c>
      <c r="AK187" t="s">
        <v>48</v>
      </c>
    </row>
    <row r="188" spans="1:37" ht="15" customHeight="1" x14ac:dyDescent="0.35">
      <c r="A188">
        <v>690929</v>
      </c>
      <c r="B188" t="s">
        <v>37</v>
      </c>
      <c r="C188" t="s">
        <v>38</v>
      </c>
      <c r="D188" s="9" t="s">
        <v>39</v>
      </c>
      <c r="E188" s="10" t="s">
        <v>37</v>
      </c>
      <c r="F188" s="11"/>
      <c r="G188" t="s">
        <v>660</v>
      </c>
      <c r="H188" t="s">
        <v>41</v>
      </c>
      <c r="I188" t="s">
        <v>42</v>
      </c>
      <c r="J188" t="s">
        <v>661</v>
      </c>
      <c r="K188" t="s">
        <v>44</v>
      </c>
      <c r="L188">
        <v>2</v>
      </c>
      <c r="M188" t="s">
        <v>45</v>
      </c>
      <c r="N188" t="s">
        <v>46</v>
      </c>
      <c r="O188" t="s">
        <v>47</v>
      </c>
      <c r="P188" s="12">
        <v>1</v>
      </c>
      <c r="Q188" s="13">
        <v>44874.534583333334</v>
      </c>
      <c r="R188" s="14">
        <v>44876</v>
      </c>
      <c r="S188" t="s">
        <v>41</v>
      </c>
      <c r="T188" t="s">
        <v>48</v>
      </c>
      <c r="U188" t="s">
        <v>49</v>
      </c>
      <c r="V188" t="s">
        <v>115</v>
      </c>
      <c r="Y188" t="s">
        <v>662</v>
      </c>
      <c r="Z188">
        <v>81930</v>
      </c>
      <c r="AA188" t="s">
        <v>48</v>
      </c>
      <c r="AB188" t="s">
        <v>49</v>
      </c>
      <c r="AC188" t="s">
        <v>53</v>
      </c>
      <c r="AD188" s="15">
        <f>IF(P188&lt;=1,7,7+0.8*ROUNDUP(P188-1,0))</f>
        <v>7</v>
      </c>
      <c r="AE188" s="16">
        <v>0</v>
      </c>
      <c r="AF188" s="16">
        <v>0</v>
      </c>
      <c r="AG188" s="16">
        <v>0</v>
      </c>
      <c r="AH188" s="16">
        <v>0</v>
      </c>
      <c r="AI188" s="16">
        <f t="shared" si="4"/>
        <v>0.42</v>
      </c>
      <c r="AJ188" s="16">
        <f t="shared" si="5"/>
        <v>7.42</v>
      </c>
      <c r="AK188" t="s">
        <v>48</v>
      </c>
    </row>
    <row r="189" spans="1:37" ht="15" customHeight="1" x14ac:dyDescent="0.35">
      <c r="A189">
        <v>690929</v>
      </c>
      <c r="B189" t="s">
        <v>37</v>
      </c>
      <c r="C189" t="s">
        <v>38</v>
      </c>
      <c r="D189" s="9" t="s">
        <v>39</v>
      </c>
      <c r="E189" s="10" t="s">
        <v>37</v>
      </c>
      <c r="F189" s="11"/>
      <c r="G189" t="s">
        <v>663</v>
      </c>
      <c r="H189" t="s">
        <v>41</v>
      </c>
      <c r="I189" t="s">
        <v>42</v>
      </c>
      <c r="J189" t="s">
        <v>664</v>
      </c>
      <c r="K189" t="s">
        <v>44</v>
      </c>
      <c r="L189">
        <v>2</v>
      </c>
      <c r="M189" t="s">
        <v>45</v>
      </c>
      <c r="N189" t="s">
        <v>46</v>
      </c>
      <c r="O189" t="s">
        <v>47</v>
      </c>
      <c r="P189" s="12">
        <v>2</v>
      </c>
      <c r="Q189" s="13">
        <v>44874.558483796296</v>
      </c>
      <c r="R189" s="14">
        <v>44876</v>
      </c>
      <c r="S189" t="s">
        <v>41</v>
      </c>
      <c r="T189" t="s">
        <v>48</v>
      </c>
      <c r="U189" t="s">
        <v>49</v>
      </c>
      <c r="V189" t="s">
        <v>100</v>
      </c>
      <c r="Y189" t="s">
        <v>665</v>
      </c>
      <c r="Z189">
        <v>34950</v>
      </c>
      <c r="AA189" t="s">
        <v>48</v>
      </c>
      <c r="AB189" t="s">
        <v>666</v>
      </c>
      <c r="AC189" t="s">
        <v>53</v>
      </c>
      <c r="AD189" s="15">
        <f>IF(P189&lt;=1,7,7+0.8*ROUNDUP(P189-1,0))</f>
        <v>7.8</v>
      </c>
      <c r="AE189" s="16">
        <v>0</v>
      </c>
      <c r="AF189" s="16">
        <v>0</v>
      </c>
      <c r="AG189" s="16">
        <v>0</v>
      </c>
      <c r="AH189" s="16">
        <v>0</v>
      </c>
      <c r="AI189" s="16">
        <f t="shared" si="4"/>
        <v>0.46799999999999997</v>
      </c>
      <c r="AJ189" s="16">
        <f t="shared" si="5"/>
        <v>8.2680000000000007</v>
      </c>
      <c r="AK189" t="s">
        <v>48</v>
      </c>
    </row>
    <row r="190" spans="1:37" ht="15" customHeight="1" x14ac:dyDescent="0.35">
      <c r="A190">
        <v>690929</v>
      </c>
      <c r="B190" t="s">
        <v>37</v>
      </c>
      <c r="C190" t="s">
        <v>38</v>
      </c>
      <c r="D190" s="9" t="s">
        <v>39</v>
      </c>
      <c r="E190" s="10" t="s">
        <v>37</v>
      </c>
      <c r="F190" s="11"/>
      <c r="G190" t="s">
        <v>667</v>
      </c>
      <c r="H190" t="s">
        <v>41</v>
      </c>
      <c r="I190" t="s">
        <v>42</v>
      </c>
      <c r="J190" t="s">
        <v>668</v>
      </c>
      <c r="K190" t="s">
        <v>44</v>
      </c>
      <c r="L190">
        <v>2</v>
      </c>
      <c r="M190" t="s">
        <v>45</v>
      </c>
      <c r="N190" t="s">
        <v>46</v>
      </c>
      <c r="O190" t="s">
        <v>47</v>
      </c>
      <c r="P190" s="12">
        <v>1</v>
      </c>
      <c r="Q190" s="13">
        <v>44875.561666666668</v>
      </c>
      <c r="R190" s="14">
        <v>44876</v>
      </c>
      <c r="S190" t="s">
        <v>41</v>
      </c>
      <c r="T190" t="s">
        <v>48</v>
      </c>
      <c r="U190" t="s">
        <v>49</v>
      </c>
      <c r="V190" t="s">
        <v>71</v>
      </c>
      <c r="Y190" t="s">
        <v>669</v>
      </c>
      <c r="Z190">
        <v>62200</v>
      </c>
      <c r="AA190" t="s">
        <v>48</v>
      </c>
      <c r="AB190" t="s">
        <v>73</v>
      </c>
      <c r="AC190" t="s">
        <v>53</v>
      </c>
      <c r="AD190" s="15">
        <f>IF(P190&lt;=1,7,7+0.8*ROUNDUP(P190-1,0))</f>
        <v>7</v>
      </c>
      <c r="AE190" s="16">
        <v>0</v>
      </c>
      <c r="AF190" s="16">
        <v>0</v>
      </c>
      <c r="AG190" s="16">
        <v>0</v>
      </c>
      <c r="AH190" s="16">
        <v>0</v>
      </c>
      <c r="AI190" s="16">
        <f t="shared" si="4"/>
        <v>0.42</v>
      </c>
      <c r="AJ190" s="16">
        <f t="shared" si="5"/>
        <v>7.42</v>
      </c>
      <c r="AK190" t="s">
        <v>48</v>
      </c>
    </row>
    <row r="191" spans="1:37" ht="15" customHeight="1" x14ac:dyDescent="0.35">
      <c r="A191">
        <v>690929</v>
      </c>
      <c r="B191" t="s">
        <v>37</v>
      </c>
      <c r="C191" t="s">
        <v>38</v>
      </c>
      <c r="D191" s="9" t="s">
        <v>39</v>
      </c>
      <c r="E191" s="10" t="s">
        <v>37</v>
      </c>
      <c r="F191" s="11"/>
      <c r="G191" t="s">
        <v>670</v>
      </c>
      <c r="H191" t="s">
        <v>41</v>
      </c>
      <c r="I191" t="s">
        <v>42</v>
      </c>
      <c r="J191" t="s">
        <v>671</v>
      </c>
      <c r="K191" t="s">
        <v>44</v>
      </c>
      <c r="L191">
        <v>2</v>
      </c>
      <c r="M191" t="s">
        <v>45</v>
      </c>
      <c r="N191" t="s">
        <v>46</v>
      </c>
      <c r="O191" t="s">
        <v>47</v>
      </c>
      <c r="P191" s="12">
        <v>1</v>
      </c>
      <c r="Q191" s="13">
        <v>44874.556527777779</v>
      </c>
      <c r="R191" s="14">
        <v>44876</v>
      </c>
      <c r="S191" t="s">
        <v>41</v>
      </c>
      <c r="T191" t="s">
        <v>48</v>
      </c>
      <c r="U191" t="s">
        <v>49</v>
      </c>
      <c r="V191" t="s">
        <v>115</v>
      </c>
      <c r="Y191" t="s">
        <v>672</v>
      </c>
      <c r="Z191">
        <v>81930</v>
      </c>
      <c r="AA191" t="s">
        <v>48</v>
      </c>
      <c r="AB191" t="s">
        <v>673</v>
      </c>
      <c r="AC191" t="s">
        <v>53</v>
      </c>
      <c r="AD191" s="15">
        <f>IF(P191&lt;=1,7,7+0.8*ROUNDUP(P191-1,0))</f>
        <v>7</v>
      </c>
      <c r="AE191" s="16">
        <v>0</v>
      </c>
      <c r="AF191" s="16">
        <v>0</v>
      </c>
      <c r="AG191" s="16">
        <v>0</v>
      </c>
      <c r="AH191" s="16">
        <v>0</v>
      </c>
      <c r="AI191" s="16">
        <f>(AD191+AF191+AH191)*6%</f>
        <v>0.42</v>
      </c>
      <c r="AJ191" s="16">
        <f t="shared" si="5"/>
        <v>7.42</v>
      </c>
      <c r="AK191" t="s">
        <v>48</v>
      </c>
    </row>
    <row r="192" spans="1:37" ht="15" customHeight="1" x14ac:dyDescent="0.35">
      <c r="A192">
        <v>690929</v>
      </c>
      <c r="B192" t="s">
        <v>37</v>
      </c>
      <c r="C192" t="s">
        <v>38</v>
      </c>
      <c r="D192" s="9" t="s">
        <v>39</v>
      </c>
      <c r="E192" s="10" t="s">
        <v>37</v>
      </c>
      <c r="F192" s="11"/>
      <c r="G192" t="s">
        <v>674</v>
      </c>
      <c r="H192" t="s">
        <v>41</v>
      </c>
      <c r="I192" t="s">
        <v>42</v>
      </c>
      <c r="J192" t="s">
        <v>675</v>
      </c>
      <c r="K192" t="s">
        <v>44</v>
      </c>
      <c r="L192">
        <v>2</v>
      </c>
      <c r="M192" t="s">
        <v>45</v>
      </c>
      <c r="N192" t="s">
        <v>46</v>
      </c>
      <c r="O192" t="s">
        <v>47</v>
      </c>
      <c r="P192" s="12">
        <v>1</v>
      </c>
      <c r="Q192" s="13">
        <v>44873.52511574074</v>
      </c>
      <c r="R192" s="14">
        <v>44877</v>
      </c>
      <c r="S192" t="s">
        <v>41</v>
      </c>
      <c r="T192" t="s">
        <v>48</v>
      </c>
      <c r="U192" t="s">
        <v>49</v>
      </c>
      <c r="V192" t="s">
        <v>56</v>
      </c>
      <c r="Y192" t="s">
        <v>676</v>
      </c>
      <c r="Z192">
        <v>89709</v>
      </c>
      <c r="AA192" t="s">
        <v>58</v>
      </c>
      <c r="AB192" t="s">
        <v>73</v>
      </c>
      <c r="AC192" t="s">
        <v>53</v>
      </c>
      <c r="AD192" s="17">
        <f>IF(P192&lt;=1,13,IF(P192&lt;=2,23,IF(P192&lt;=3,35,IF(P192&lt;=4,43,IF(P192&lt;=5,53,IF(P192&lt;=6,63,IF(P192&lt;=7,71,IF(P192&lt;=8,79,IF(P192&lt;=9,87,IF(P192&lt;=10,95,IF(P192&lt;=11,105,IF(P192&lt;=12,114,IF(P192&lt;=13,119,IF(P192&lt;=14,127,IF(P192&lt;=15,135,IF(P192&lt;=16,143,IF(P192&lt;=17,153,IF(P192&lt;=18,163,IF(P192&lt;=19,171,IF(P192&lt;=20,185,IF(P192&lt;=21,193,IF(P192&lt;=22,201,IF(P192&lt;=23,210,IF(P192&lt;=24,220,IF(P192&lt;=25,230,IF(P192&lt;=26,240,IF(P192&lt;=27,250,IF(P192&lt;=28,260,IF(P192&lt;=29,270,IF(P192&lt;=30,280,280))))))))))))))))))))))))))))))</f>
        <v>13</v>
      </c>
      <c r="AE192" s="16">
        <v>0</v>
      </c>
      <c r="AF192" s="16">
        <v>0</v>
      </c>
      <c r="AG192" s="16">
        <v>0</v>
      </c>
      <c r="AH192" s="16">
        <v>0</v>
      </c>
      <c r="AI192" s="16">
        <f t="shared" ref="AI192:AI221" si="6">(AD192+AF192+AH192)*6%</f>
        <v>0.78</v>
      </c>
      <c r="AJ192" s="16">
        <f t="shared" si="5"/>
        <v>13.78</v>
      </c>
      <c r="AK192" t="s">
        <v>58</v>
      </c>
    </row>
    <row r="193" spans="1:37" ht="15" customHeight="1" x14ac:dyDescent="0.35">
      <c r="A193">
        <v>690929</v>
      </c>
      <c r="B193" t="s">
        <v>37</v>
      </c>
      <c r="C193" t="s">
        <v>38</v>
      </c>
      <c r="D193" s="9" t="s">
        <v>39</v>
      </c>
      <c r="E193" s="10" t="s">
        <v>37</v>
      </c>
      <c r="F193" s="11"/>
      <c r="G193" t="s">
        <v>677</v>
      </c>
      <c r="H193" t="s">
        <v>41</v>
      </c>
      <c r="I193" t="s">
        <v>42</v>
      </c>
      <c r="J193" t="s">
        <v>144</v>
      </c>
      <c r="K193" t="s">
        <v>44</v>
      </c>
      <c r="L193">
        <v>2</v>
      </c>
      <c r="M193" t="s">
        <v>45</v>
      </c>
      <c r="N193" t="s">
        <v>46</v>
      </c>
      <c r="O193" t="s">
        <v>47</v>
      </c>
      <c r="P193" s="12">
        <v>9</v>
      </c>
      <c r="Q193" s="13">
        <v>44873.655543981484</v>
      </c>
      <c r="R193" s="14">
        <v>44877</v>
      </c>
      <c r="S193" t="s">
        <v>41</v>
      </c>
      <c r="T193" t="s">
        <v>48</v>
      </c>
      <c r="U193" t="s">
        <v>49</v>
      </c>
      <c r="V193" t="s">
        <v>56</v>
      </c>
      <c r="Y193" t="s">
        <v>678</v>
      </c>
      <c r="Z193">
        <v>91007</v>
      </c>
      <c r="AA193" t="s">
        <v>58</v>
      </c>
      <c r="AB193" t="s">
        <v>73</v>
      </c>
      <c r="AC193" t="s">
        <v>53</v>
      </c>
      <c r="AD193" s="17">
        <f>IF(P193&lt;=1,13,IF(P193&lt;=2,23,IF(P193&lt;=3,35,IF(P193&lt;=4,43,IF(P193&lt;=5,53,IF(P193&lt;=6,63,IF(P193&lt;=7,71,IF(P193&lt;=8,79,IF(P193&lt;=9,87,IF(P193&lt;=10,95,IF(P193&lt;=11,105,IF(P193&lt;=12,114,IF(P193&lt;=13,119,IF(P193&lt;=14,127,IF(P193&lt;=15,135,IF(P193&lt;=16,143,IF(P193&lt;=17,153,IF(P193&lt;=18,163,IF(P193&lt;=19,171,IF(P193&lt;=20,185,IF(P193&lt;=21,193,IF(P193&lt;=22,201,IF(P193&lt;=23,210,IF(P193&lt;=24,220,IF(P193&lt;=25,230,IF(P193&lt;=26,240,IF(P193&lt;=27,250,IF(P193&lt;=28,260,IF(P193&lt;=29,270,IF(P193&lt;=30,280,280))))))))))))))))))))))))))))))</f>
        <v>87</v>
      </c>
      <c r="AE193" s="16">
        <v>0</v>
      </c>
      <c r="AF193" s="16">
        <v>0</v>
      </c>
      <c r="AG193" s="16">
        <v>0</v>
      </c>
      <c r="AH193" s="16">
        <v>0</v>
      </c>
      <c r="AI193" s="16">
        <f t="shared" si="6"/>
        <v>5.22</v>
      </c>
      <c r="AJ193" s="16">
        <f t="shared" si="5"/>
        <v>92.22</v>
      </c>
      <c r="AK193" t="s">
        <v>58</v>
      </c>
    </row>
    <row r="194" spans="1:37" ht="15" customHeight="1" x14ac:dyDescent="0.35">
      <c r="A194">
        <v>690929</v>
      </c>
      <c r="B194" t="s">
        <v>37</v>
      </c>
      <c r="C194" t="s">
        <v>38</v>
      </c>
      <c r="D194" s="9" t="s">
        <v>39</v>
      </c>
      <c r="E194" s="10" t="s">
        <v>37</v>
      </c>
      <c r="F194" s="11"/>
      <c r="G194" t="s">
        <v>679</v>
      </c>
      <c r="H194" t="s">
        <v>41</v>
      </c>
      <c r="I194" t="s">
        <v>42</v>
      </c>
      <c r="J194" t="s">
        <v>680</v>
      </c>
      <c r="K194" t="s">
        <v>44</v>
      </c>
      <c r="L194">
        <v>2</v>
      </c>
      <c r="M194" t="s">
        <v>45</v>
      </c>
      <c r="N194" t="s">
        <v>46</v>
      </c>
      <c r="O194" t="s">
        <v>47</v>
      </c>
      <c r="P194" s="12">
        <v>1</v>
      </c>
      <c r="Q194" s="13">
        <v>44878.575937499998</v>
      </c>
      <c r="R194" s="14">
        <v>44879</v>
      </c>
      <c r="S194" t="s">
        <v>41</v>
      </c>
      <c r="T194" t="s">
        <v>48</v>
      </c>
      <c r="U194" t="s">
        <v>49</v>
      </c>
      <c r="V194" t="s">
        <v>128</v>
      </c>
      <c r="Y194" t="s">
        <v>681</v>
      </c>
      <c r="Z194">
        <v>16070</v>
      </c>
      <c r="AA194" t="s">
        <v>48</v>
      </c>
      <c r="AB194" t="s">
        <v>124</v>
      </c>
      <c r="AC194" t="s">
        <v>53</v>
      </c>
      <c r="AD194" s="15">
        <f>IF(P194&lt;=1,7,7+0.8*ROUNDUP(P194-1,0))</f>
        <v>7</v>
      </c>
      <c r="AE194" s="16">
        <v>0</v>
      </c>
      <c r="AF194" s="16">
        <v>0</v>
      </c>
      <c r="AG194" s="16">
        <v>0</v>
      </c>
      <c r="AH194" s="16">
        <v>0</v>
      </c>
      <c r="AI194" s="16">
        <f t="shared" si="6"/>
        <v>0.42</v>
      </c>
      <c r="AJ194" s="16">
        <f t="shared" ref="AJ194:AJ221" si="7">AD194+AF194+AH194+AI194</f>
        <v>7.42</v>
      </c>
      <c r="AK194" t="s">
        <v>48</v>
      </c>
    </row>
    <row r="195" spans="1:37" ht="15" customHeight="1" x14ac:dyDescent="0.35">
      <c r="A195">
        <v>690929</v>
      </c>
      <c r="B195" t="s">
        <v>37</v>
      </c>
      <c r="C195" t="s">
        <v>38</v>
      </c>
      <c r="D195" s="9" t="s">
        <v>39</v>
      </c>
      <c r="E195" s="10" t="s">
        <v>37</v>
      </c>
      <c r="F195" s="11"/>
      <c r="G195" t="s">
        <v>682</v>
      </c>
      <c r="H195" t="s">
        <v>41</v>
      </c>
      <c r="I195" t="s">
        <v>42</v>
      </c>
      <c r="J195" t="s">
        <v>165</v>
      </c>
      <c r="K195" t="s">
        <v>44</v>
      </c>
      <c r="L195">
        <v>2</v>
      </c>
      <c r="M195" t="s">
        <v>45</v>
      </c>
      <c r="N195" t="s">
        <v>46</v>
      </c>
      <c r="O195" t="s">
        <v>47</v>
      </c>
      <c r="P195" s="12">
        <v>1</v>
      </c>
      <c r="Q195" s="13">
        <v>44878.563472222224</v>
      </c>
      <c r="R195" s="14">
        <v>44879</v>
      </c>
      <c r="S195" t="s">
        <v>41</v>
      </c>
      <c r="T195" t="s">
        <v>48</v>
      </c>
      <c r="U195" t="s">
        <v>49</v>
      </c>
      <c r="V195" t="s">
        <v>128</v>
      </c>
      <c r="Y195" t="s">
        <v>166</v>
      </c>
      <c r="Z195">
        <v>17500</v>
      </c>
      <c r="AA195" t="s">
        <v>48</v>
      </c>
      <c r="AB195" t="s">
        <v>124</v>
      </c>
      <c r="AC195" t="s">
        <v>53</v>
      </c>
      <c r="AD195" s="15">
        <f>IF(P195&lt;=1,7,7+0.8*ROUNDUP(P195-1,0))</f>
        <v>7</v>
      </c>
      <c r="AE195" s="16">
        <v>0</v>
      </c>
      <c r="AF195" s="16">
        <v>0</v>
      </c>
      <c r="AG195" s="16">
        <v>0</v>
      </c>
      <c r="AH195" s="16">
        <v>0</v>
      </c>
      <c r="AI195" s="16">
        <f t="shared" si="6"/>
        <v>0.42</v>
      </c>
      <c r="AJ195" s="16">
        <f t="shared" si="7"/>
        <v>7.42</v>
      </c>
      <c r="AK195" t="s">
        <v>48</v>
      </c>
    </row>
    <row r="196" spans="1:37" ht="15" customHeight="1" x14ac:dyDescent="0.35">
      <c r="A196">
        <v>690929</v>
      </c>
      <c r="B196" t="s">
        <v>37</v>
      </c>
      <c r="C196" t="s">
        <v>38</v>
      </c>
      <c r="D196" s="9" t="s">
        <v>39</v>
      </c>
      <c r="E196" s="10" t="s">
        <v>37</v>
      </c>
      <c r="F196" s="11"/>
      <c r="G196" t="s">
        <v>683</v>
      </c>
      <c r="H196" t="s">
        <v>41</v>
      </c>
      <c r="I196" t="s">
        <v>42</v>
      </c>
      <c r="J196" t="s">
        <v>65</v>
      </c>
      <c r="K196" t="s">
        <v>44</v>
      </c>
      <c r="L196">
        <v>2</v>
      </c>
      <c r="M196" t="s">
        <v>45</v>
      </c>
      <c r="N196" t="s">
        <v>46</v>
      </c>
      <c r="O196" t="s">
        <v>47</v>
      </c>
      <c r="P196" s="12">
        <v>1</v>
      </c>
      <c r="Q196" s="13">
        <v>44874.718842592592</v>
      </c>
      <c r="R196" s="14">
        <v>44879</v>
      </c>
      <c r="S196" t="s">
        <v>41</v>
      </c>
      <c r="T196" t="s">
        <v>48</v>
      </c>
      <c r="U196" t="s">
        <v>49</v>
      </c>
      <c r="V196" t="s">
        <v>66</v>
      </c>
      <c r="Y196" t="s">
        <v>67</v>
      </c>
      <c r="Z196">
        <v>93250</v>
      </c>
      <c r="AA196" t="s">
        <v>58</v>
      </c>
      <c r="AB196" t="s">
        <v>68</v>
      </c>
      <c r="AC196" t="s">
        <v>53</v>
      </c>
      <c r="AD196" s="17">
        <f>IF(P196&lt;=1,13,IF(P196&lt;=2,23,IF(P196&lt;=3,35,IF(P196&lt;=4,43,IF(P196&lt;=5,53,IF(P196&lt;=6,63,IF(P196&lt;=7,71,IF(P196&lt;=8,79,IF(P196&lt;=9,87,IF(P196&lt;=10,95,IF(P196&lt;=11,105,IF(P196&lt;=12,114,IF(P196&lt;=13,119,IF(P196&lt;=14,127,IF(P196&lt;=15,135,IF(P196&lt;=16,143,IF(P196&lt;=17,153,IF(P196&lt;=18,163,IF(P196&lt;=19,171,IF(P196&lt;=20,185,IF(P196&lt;=21,193,IF(P196&lt;=22,201,IF(P196&lt;=23,210,IF(P196&lt;=24,220,IF(P196&lt;=25,230,IF(P196&lt;=26,240,IF(P196&lt;=27,250,IF(P196&lt;=28,260,IF(P196&lt;=29,270,IF(P196&lt;=30,280,280))))))))))))))))))))))))))))))</f>
        <v>13</v>
      </c>
      <c r="AE196" s="16">
        <v>0</v>
      </c>
      <c r="AF196" s="16">
        <v>0</v>
      </c>
      <c r="AG196" s="16">
        <v>0</v>
      </c>
      <c r="AH196" s="16">
        <v>0</v>
      </c>
      <c r="AI196" s="16">
        <f t="shared" si="6"/>
        <v>0.78</v>
      </c>
      <c r="AJ196" s="16">
        <f t="shared" si="7"/>
        <v>13.78</v>
      </c>
      <c r="AK196" t="s">
        <v>58</v>
      </c>
    </row>
    <row r="197" spans="1:37" ht="15" customHeight="1" x14ac:dyDescent="0.35">
      <c r="A197">
        <v>690929</v>
      </c>
      <c r="B197" t="s">
        <v>37</v>
      </c>
      <c r="C197" t="s">
        <v>38</v>
      </c>
      <c r="D197" s="9" t="s">
        <v>39</v>
      </c>
      <c r="E197" s="10" t="s">
        <v>37</v>
      </c>
      <c r="F197" s="11"/>
      <c r="G197" t="s">
        <v>684</v>
      </c>
      <c r="H197" t="s">
        <v>41</v>
      </c>
      <c r="I197" t="s">
        <v>42</v>
      </c>
      <c r="J197" t="s">
        <v>685</v>
      </c>
      <c r="K197" t="s">
        <v>44</v>
      </c>
      <c r="L197">
        <v>2</v>
      </c>
      <c r="M197" t="s">
        <v>45</v>
      </c>
      <c r="N197" t="s">
        <v>46</v>
      </c>
      <c r="O197" t="s">
        <v>47</v>
      </c>
      <c r="P197" s="12">
        <v>1</v>
      </c>
      <c r="Q197" s="13">
        <v>44872.7578125</v>
      </c>
      <c r="R197" s="14">
        <v>44879</v>
      </c>
      <c r="S197" t="s">
        <v>41</v>
      </c>
      <c r="T197" t="s">
        <v>48</v>
      </c>
      <c r="U197" t="s">
        <v>49</v>
      </c>
      <c r="V197" t="s">
        <v>85</v>
      </c>
      <c r="Y197" t="s">
        <v>686</v>
      </c>
      <c r="Z197">
        <v>14000</v>
      </c>
      <c r="AA197" t="s">
        <v>48</v>
      </c>
      <c r="AB197" t="s">
        <v>73</v>
      </c>
      <c r="AC197" t="s">
        <v>53</v>
      </c>
      <c r="AD197" s="15">
        <f>IF(P197&lt;=1,7,7+0.8*ROUNDUP(P197-1,0))</f>
        <v>7</v>
      </c>
      <c r="AE197" s="16">
        <v>0</v>
      </c>
      <c r="AF197" s="16">
        <v>0</v>
      </c>
      <c r="AG197" s="16">
        <v>0</v>
      </c>
      <c r="AH197" s="16">
        <v>0</v>
      </c>
      <c r="AI197" s="16">
        <f t="shared" si="6"/>
        <v>0.42</v>
      </c>
      <c r="AJ197" s="16">
        <f t="shared" si="7"/>
        <v>7.42</v>
      </c>
      <c r="AK197" t="s">
        <v>48</v>
      </c>
    </row>
    <row r="198" spans="1:37" ht="15" customHeight="1" x14ac:dyDescent="0.35">
      <c r="A198">
        <v>690929</v>
      </c>
      <c r="B198" t="s">
        <v>37</v>
      </c>
      <c r="C198" t="s">
        <v>38</v>
      </c>
      <c r="D198" s="9" t="s">
        <v>39</v>
      </c>
      <c r="E198" s="10" t="s">
        <v>37</v>
      </c>
      <c r="F198" s="11"/>
      <c r="G198" t="s">
        <v>687</v>
      </c>
      <c r="H198" t="s">
        <v>41</v>
      </c>
      <c r="I198" t="s">
        <v>42</v>
      </c>
      <c r="J198" t="s">
        <v>688</v>
      </c>
      <c r="K198" t="s">
        <v>44</v>
      </c>
      <c r="L198">
        <v>2</v>
      </c>
      <c r="M198" t="s">
        <v>45</v>
      </c>
      <c r="N198" t="s">
        <v>46</v>
      </c>
      <c r="O198" t="s">
        <v>47</v>
      </c>
      <c r="P198" s="12">
        <v>1</v>
      </c>
      <c r="Q198" s="13">
        <v>44877.660671296297</v>
      </c>
      <c r="R198" s="14">
        <v>44879</v>
      </c>
      <c r="S198" t="s">
        <v>41</v>
      </c>
      <c r="T198" t="s">
        <v>48</v>
      </c>
      <c r="U198" t="s">
        <v>49</v>
      </c>
      <c r="V198" t="s">
        <v>251</v>
      </c>
      <c r="Y198" t="s">
        <v>689</v>
      </c>
      <c r="Z198">
        <v>28310</v>
      </c>
      <c r="AA198" t="s">
        <v>48</v>
      </c>
      <c r="AB198" t="s">
        <v>49</v>
      </c>
      <c r="AC198" t="s">
        <v>53</v>
      </c>
      <c r="AD198" s="15">
        <f>IF(P198&lt;=1,7,7+0.8*ROUNDUP(P198-1,0))</f>
        <v>7</v>
      </c>
      <c r="AE198" s="16">
        <v>0</v>
      </c>
      <c r="AF198" s="16">
        <v>0</v>
      </c>
      <c r="AG198" s="16">
        <v>0</v>
      </c>
      <c r="AH198" s="16">
        <v>0</v>
      </c>
      <c r="AI198" s="16">
        <f t="shared" si="6"/>
        <v>0.42</v>
      </c>
      <c r="AJ198" s="16">
        <f t="shared" si="7"/>
        <v>7.42</v>
      </c>
      <c r="AK198" t="s">
        <v>48</v>
      </c>
    </row>
    <row r="199" spans="1:37" ht="15" customHeight="1" x14ac:dyDescent="0.35">
      <c r="A199">
        <v>690929</v>
      </c>
      <c r="B199" t="s">
        <v>37</v>
      </c>
      <c r="C199" t="s">
        <v>38</v>
      </c>
      <c r="D199" s="9" t="s">
        <v>39</v>
      </c>
      <c r="E199" s="10" t="s">
        <v>37</v>
      </c>
      <c r="F199" s="11"/>
      <c r="G199" t="s">
        <v>690</v>
      </c>
      <c r="H199" t="s">
        <v>41</v>
      </c>
      <c r="I199" t="s">
        <v>42</v>
      </c>
      <c r="J199" t="s">
        <v>691</v>
      </c>
      <c r="K199" t="s">
        <v>44</v>
      </c>
      <c r="L199">
        <v>2</v>
      </c>
      <c r="M199" t="s">
        <v>45</v>
      </c>
      <c r="N199" t="s">
        <v>46</v>
      </c>
      <c r="O199" t="s">
        <v>47</v>
      </c>
      <c r="P199" s="12">
        <v>2</v>
      </c>
      <c r="Q199" s="13">
        <v>44877.450590277775</v>
      </c>
      <c r="R199" s="14">
        <v>44879</v>
      </c>
      <c r="S199" t="s">
        <v>41</v>
      </c>
      <c r="T199" t="s">
        <v>48</v>
      </c>
      <c r="U199" t="s">
        <v>49</v>
      </c>
      <c r="V199" t="s">
        <v>115</v>
      </c>
      <c r="Y199" t="s">
        <v>692</v>
      </c>
      <c r="Z199">
        <v>81100</v>
      </c>
      <c r="AA199" t="s">
        <v>48</v>
      </c>
      <c r="AB199" t="s">
        <v>73</v>
      </c>
      <c r="AC199" t="s">
        <v>53</v>
      </c>
      <c r="AD199" s="15">
        <f>IF(P199&lt;=1,7,7+0.8*ROUNDUP(P199-1,0))</f>
        <v>7.8</v>
      </c>
      <c r="AE199" s="16">
        <v>0</v>
      </c>
      <c r="AF199" s="16">
        <v>0</v>
      </c>
      <c r="AG199" s="16">
        <v>0</v>
      </c>
      <c r="AH199" s="16">
        <v>0</v>
      </c>
      <c r="AI199" s="16">
        <f t="shared" si="6"/>
        <v>0.46799999999999997</v>
      </c>
      <c r="AJ199" s="16">
        <f t="shared" si="7"/>
        <v>8.2680000000000007</v>
      </c>
      <c r="AK199" t="s">
        <v>48</v>
      </c>
    </row>
    <row r="200" spans="1:37" ht="15" customHeight="1" x14ac:dyDescent="0.35">
      <c r="A200">
        <v>690929</v>
      </c>
      <c r="B200" t="s">
        <v>37</v>
      </c>
      <c r="C200" t="s">
        <v>38</v>
      </c>
      <c r="D200" s="9" t="s">
        <v>39</v>
      </c>
      <c r="E200" s="10" t="s">
        <v>37</v>
      </c>
      <c r="F200" s="11"/>
      <c r="G200" t="s">
        <v>693</v>
      </c>
      <c r="H200" t="s">
        <v>41</v>
      </c>
      <c r="I200" t="s">
        <v>42</v>
      </c>
      <c r="J200" t="s">
        <v>694</v>
      </c>
      <c r="K200" t="s">
        <v>44</v>
      </c>
      <c r="L200">
        <v>2</v>
      </c>
      <c r="M200" t="s">
        <v>45</v>
      </c>
      <c r="N200" t="s">
        <v>46</v>
      </c>
      <c r="O200" t="s">
        <v>47</v>
      </c>
      <c r="P200" s="12">
        <v>1</v>
      </c>
      <c r="Q200" s="13">
        <v>44878.574965277781</v>
      </c>
      <c r="R200" s="14">
        <v>44879</v>
      </c>
      <c r="S200" t="s">
        <v>41</v>
      </c>
      <c r="T200" t="s">
        <v>48</v>
      </c>
      <c r="U200" t="s">
        <v>49</v>
      </c>
      <c r="V200" t="s">
        <v>50</v>
      </c>
      <c r="Y200" t="s">
        <v>695</v>
      </c>
      <c r="Z200">
        <v>32040</v>
      </c>
      <c r="AA200" t="s">
        <v>48</v>
      </c>
      <c r="AB200" t="s">
        <v>49</v>
      </c>
      <c r="AC200" t="s">
        <v>53</v>
      </c>
      <c r="AD200" s="15">
        <f>IF(P200&lt;=1,7,7+0.8*ROUNDUP(P200-1,0))</f>
        <v>7</v>
      </c>
      <c r="AE200" s="16">
        <v>0</v>
      </c>
      <c r="AF200" s="16">
        <v>0</v>
      </c>
      <c r="AG200" s="16">
        <v>0</v>
      </c>
      <c r="AH200" s="16">
        <v>0</v>
      </c>
      <c r="AI200" s="16">
        <f t="shared" si="6"/>
        <v>0.42</v>
      </c>
      <c r="AJ200" s="16">
        <f t="shared" si="7"/>
        <v>7.42</v>
      </c>
      <c r="AK200" t="s">
        <v>48</v>
      </c>
    </row>
    <row r="201" spans="1:37" ht="15" customHeight="1" x14ac:dyDescent="0.35">
      <c r="A201">
        <v>690929</v>
      </c>
      <c r="B201" t="s">
        <v>37</v>
      </c>
      <c r="C201" t="s">
        <v>38</v>
      </c>
      <c r="D201" s="9" t="s">
        <v>39</v>
      </c>
      <c r="E201" s="10" t="s">
        <v>37</v>
      </c>
      <c r="F201" s="11"/>
      <c r="G201" t="s">
        <v>696</v>
      </c>
      <c r="H201" t="s">
        <v>41</v>
      </c>
      <c r="I201" t="s">
        <v>42</v>
      </c>
      <c r="J201" t="s">
        <v>697</v>
      </c>
      <c r="K201" t="s">
        <v>44</v>
      </c>
      <c r="L201">
        <v>2</v>
      </c>
      <c r="M201" t="s">
        <v>45</v>
      </c>
      <c r="N201" t="s">
        <v>46</v>
      </c>
      <c r="O201" t="s">
        <v>47</v>
      </c>
      <c r="P201" s="12">
        <v>1</v>
      </c>
      <c r="Q201" s="13">
        <v>44877.707939814813</v>
      </c>
      <c r="R201" s="14">
        <v>44879</v>
      </c>
      <c r="S201" t="s">
        <v>41</v>
      </c>
      <c r="T201" t="s">
        <v>48</v>
      </c>
      <c r="U201" t="s">
        <v>49</v>
      </c>
      <c r="V201" t="s">
        <v>71</v>
      </c>
      <c r="Y201" t="s">
        <v>698</v>
      </c>
      <c r="Z201">
        <v>47301</v>
      </c>
      <c r="AA201" t="s">
        <v>48</v>
      </c>
      <c r="AB201" t="s">
        <v>73</v>
      </c>
      <c r="AC201" t="s">
        <v>53</v>
      </c>
      <c r="AD201" s="15">
        <f>IF(P201&lt;=1,7,7+0.8*ROUNDUP(P201-1,0))</f>
        <v>7</v>
      </c>
      <c r="AE201" s="16">
        <v>0</v>
      </c>
      <c r="AF201" s="16">
        <v>0</v>
      </c>
      <c r="AG201" s="16">
        <v>0</v>
      </c>
      <c r="AH201" s="16">
        <v>0</v>
      </c>
      <c r="AI201" s="16">
        <f t="shared" si="6"/>
        <v>0.42</v>
      </c>
      <c r="AJ201" s="16">
        <f t="shared" si="7"/>
        <v>7.42</v>
      </c>
      <c r="AK201" t="s">
        <v>48</v>
      </c>
    </row>
    <row r="202" spans="1:37" ht="15" customHeight="1" x14ac:dyDescent="0.35">
      <c r="A202">
        <v>690929</v>
      </c>
      <c r="B202" t="s">
        <v>37</v>
      </c>
      <c r="C202" t="s">
        <v>38</v>
      </c>
      <c r="D202" s="9" t="s">
        <v>39</v>
      </c>
      <c r="E202" s="10" t="s">
        <v>37</v>
      </c>
      <c r="F202" s="11"/>
      <c r="G202" t="s">
        <v>699</v>
      </c>
      <c r="H202" t="s">
        <v>41</v>
      </c>
      <c r="I202" t="s">
        <v>42</v>
      </c>
      <c r="J202" t="s">
        <v>700</v>
      </c>
      <c r="K202" t="s">
        <v>44</v>
      </c>
      <c r="L202">
        <v>2</v>
      </c>
      <c r="M202" t="s">
        <v>45</v>
      </c>
      <c r="N202" t="s">
        <v>46</v>
      </c>
      <c r="O202" t="s">
        <v>47</v>
      </c>
      <c r="P202" s="12">
        <v>1</v>
      </c>
      <c r="Q202" s="13">
        <v>44877.588842592595</v>
      </c>
      <c r="R202" s="14">
        <v>44879</v>
      </c>
      <c r="S202" t="s">
        <v>41</v>
      </c>
      <c r="T202" t="s">
        <v>48</v>
      </c>
      <c r="U202" t="s">
        <v>49</v>
      </c>
      <c r="V202" t="s">
        <v>71</v>
      </c>
      <c r="Y202" t="s">
        <v>701</v>
      </c>
      <c r="Z202">
        <v>68100</v>
      </c>
      <c r="AA202" t="s">
        <v>48</v>
      </c>
      <c r="AB202" t="s">
        <v>73</v>
      </c>
      <c r="AC202" t="s">
        <v>53</v>
      </c>
      <c r="AD202" s="15">
        <f>IF(P202&lt;=1,7,7+0.8*ROUNDUP(P202-1,0))</f>
        <v>7</v>
      </c>
      <c r="AE202" s="16">
        <v>0</v>
      </c>
      <c r="AF202" s="16">
        <v>0</v>
      </c>
      <c r="AG202" s="16">
        <v>0</v>
      </c>
      <c r="AH202" s="16">
        <v>0</v>
      </c>
      <c r="AI202" s="16">
        <f t="shared" si="6"/>
        <v>0.42</v>
      </c>
      <c r="AJ202" s="16">
        <f t="shared" si="7"/>
        <v>7.42</v>
      </c>
      <c r="AK202" t="s">
        <v>48</v>
      </c>
    </row>
    <row r="203" spans="1:37" ht="15" customHeight="1" x14ac:dyDescent="0.35">
      <c r="A203">
        <v>690929</v>
      </c>
      <c r="B203" t="s">
        <v>37</v>
      </c>
      <c r="C203" t="s">
        <v>38</v>
      </c>
      <c r="D203" s="9" t="s">
        <v>39</v>
      </c>
      <c r="E203" s="10" t="s">
        <v>37</v>
      </c>
      <c r="F203" s="11"/>
      <c r="G203" t="s">
        <v>702</v>
      </c>
      <c r="H203" t="s">
        <v>41</v>
      </c>
      <c r="I203" t="s">
        <v>42</v>
      </c>
      <c r="J203" t="s">
        <v>703</v>
      </c>
      <c r="K203" t="s">
        <v>44</v>
      </c>
      <c r="L203">
        <v>2</v>
      </c>
      <c r="M203" t="s">
        <v>45</v>
      </c>
      <c r="N203" t="s">
        <v>46</v>
      </c>
      <c r="O203" t="s">
        <v>47</v>
      </c>
      <c r="P203" s="12">
        <v>1</v>
      </c>
      <c r="Q203" s="13">
        <v>44879.573865740742</v>
      </c>
      <c r="R203" s="14">
        <v>44880</v>
      </c>
      <c r="S203" t="s">
        <v>41</v>
      </c>
      <c r="T203" t="s">
        <v>48</v>
      </c>
      <c r="U203" t="s">
        <v>49</v>
      </c>
      <c r="V203" t="s">
        <v>96</v>
      </c>
      <c r="Y203" t="s">
        <v>704</v>
      </c>
      <c r="Z203">
        <v>24000</v>
      </c>
      <c r="AA203" t="s">
        <v>48</v>
      </c>
      <c r="AB203" t="s">
        <v>49</v>
      </c>
      <c r="AC203" t="s">
        <v>53</v>
      </c>
      <c r="AD203" s="15">
        <f>IF(P203&lt;=1,7,7+0.8*ROUNDUP(P203-1,0))</f>
        <v>7</v>
      </c>
      <c r="AE203" s="16">
        <v>0</v>
      </c>
      <c r="AF203" s="16">
        <v>0</v>
      </c>
      <c r="AG203" s="16">
        <v>0</v>
      </c>
      <c r="AH203" s="16">
        <v>0</v>
      </c>
      <c r="AI203" s="16">
        <f t="shared" si="6"/>
        <v>0.42</v>
      </c>
      <c r="AJ203" s="16">
        <f t="shared" si="7"/>
        <v>7.42</v>
      </c>
      <c r="AK203" t="s">
        <v>48</v>
      </c>
    </row>
    <row r="204" spans="1:37" ht="15" customHeight="1" x14ac:dyDescent="0.35">
      <c r="A204">
        <v>690929</v>
      </c>
      <c r="B204" t="s">
        <v>37</v>
      </c>
      <c r="C204" t="s">
        <v>38</v>
      </c>
      <c r="D204" s="9" t="s">
        <v>39</v>
      </c>
      <c r="E204" s="10" t="s">
        <v>37</v>
      </c>
      <c r="F204" s="11"/>
      <c r="G204" t="s">
        <v>705</v>
      </c>
      <c r="H204" t="s">
        <v>41</v>
      </c>
      <c r="I204" t="s">
        <v>42</v>
      </c>
      <c r="J204" t="s">
        <v>706</v>
      </c>
      <c r="K204" t="s">
        <v>44</v>
      </c>
      <c r="L204">
        <v>2</v>
      </c>
      <c r="M204" t="s">
        <v>45</v>
      </c>
      <c r="N204" t="s">
        <v>46</v>
      </c>
      <c r="O204" t="s">
        <v>47</v>
      </c>
      <c r="P204" s="12">
        <v>12</v>
      </c>
      <c r="Q204" s="13">
        <v>44879.580821759257</v>
      </c>
      <c r="R204" s="14">
        <v>44880</v>
      </c>
      <c r="S204" t="s">
        <v>41</v>
      </c>
      <c r="T204" t="s">
        <v>48</v>
      </c>
      <c r="U204" t="s">
        <v>49</v>
      </c>
      <c r="V204" t="s">
        <v>251</v>
      </c>
      <c r="Y204" t="s">
        <v>707</v>
      </c>
      <c r="Z204">
        <v>28000</v>
      </c>
      <c r="AA204" t="s">
        <v>48</v>
      </c>
      <c r="AB204" t="s">
        <v>268</v>
      </c>
      <c r="AC204" t="s">
        <v>53</v>
      </c>
      <c r="AD204" s="15">
        <f>IF(P204&lt;=1,7,7+0.8*ROUNDUP(P204-1,0))</f>
        <v>15.8</v>
      </c>
      <c r="AE204" s="16">
        <v>0</v>
      </c>
      <c r="AF204" s="16">
        <v>0</v>
      </c>
      <c r="AG204" s="16">
        <v>0</v>
      </c>
      <c r="AH204" s="16">
        <v>0</v>
      </c>
      <c r="AI204" s="16">
        <f t="shared" si="6"/>
        <v>0.94799999999999995</v>
      </c>
      <c r="AJ204" s="16">
        <f t="shared" si="7"/>
        <v>16.748000000000001</v>
      </c>
      <c r="AK204" t="s">
        <v>48</v>
      </c>
    </row>
    <row r="205" spans="1:37" ht="15" customHeight="1" x14ac:dyDescent="0.35">
      <c r="A205">
        <v>690929</v>
      </c>
      <c r="B205" t="s">
        <v>37</v>
      </c>
      <c r="C205" t="s">
        <v>38</v>
      </c>
      <c r="D205" s="9" t="s">
        <v>39</v>
      </c>
      <c r="E205" s="10" t="s">
        <v>37</v>
      </c>
      <c r="F205" s="11"/>
      <c r="G205" t="s">
        <v>708</v>
      </c>
      <c r="H205" t="s">
        <v>41</v>
      </c>
      <c r="I205" t="s">
        <v>42</v>
      </c>
      <c r="J205" t="s">
        <v>709</v>
      </c>
      <c r="K205" t="s">
        <v>44</v>
      </c>
      <c r="L205">
        <v>2</v>
      </c>
      <c r="M205" t="s">
        <v>45</v>
      </c>
      <c r="N205" t="s">
        <v>46</v>
      </c>
      <c r="O205" t="s">
        <v>47</v>
      </c>
      <c r="P205" s="12">
        <v>1</v>
      </c>
      <c r="Q205" s="13">
        <v>44879.572222222225</v>
      </c>
      <c r="R205" s="14">
        <v>44880</v>
      </c>
      <c r="S205" t="s">
        <v>41</v>
      </c>
      <c r="T205" t="s">
        <v>48</v>
      </c>
      <c r="U205" t="s">
        <v>49</v>
      </c>
      <c r="V205" t="s">
        <v>71</v>
      </c>
      <c r="Y205" t="s">
        <v>710</v>
      </c>
      <c r="Z205">
        <v>42000</v>
      </c>
      <c r="AA205" t="s">
        <v>48</v>
      </c>
      <c r="AB205" t="s">
        <v>73</v>
      </c>
      <c r="AC205" t="s">
        <v>53</v>
      </c>
      <c r="AD205" s="15">
        <f>IF(P205&lt;=1,7,7+0.8*ROUNDUP(P205-1,0))</f>
        <v>7</v>
      </c>
      <c r="AE205" s="16">
        <v>0</v>
      </c>
      <c r="AF205" s="16">
        <v>0</v>
      </c>
      <c r="AG205" s="16">
        <v>0</v>
      </c>
      <c r="AH205" s="16">
        <v>0</v>
      </c>
      <c r="AI205" s="16">
        <f t="shared" si="6"/>
        <v>0.42</v>
      </c>
      <c r="AJ205" s="16">
        <f t="shared" si="7"/>
        <v>7.42</v>
      </c>
      <c r="AK205" t="s">
        <v>48</v>
      </c>
    </row>
    <row r="206" spans="1:37" ht="15" customHeight="1" x14ac:dyDescent="0.35">
      <c r="A206">
        <v>690929</v>
      </c>
      <c r="B206" t="s">
        <v>37</v>
      </c>
      <c r="C206" t="s">
        <v>38</v>
      </c>
      <c r="D206" s="9" t="s">
        <v>39</v>
      </c>
      <c r="E206" s="10" t="s">
        <v>37</v>
      </c>
      <c r="F206" s="11"/>
      <c r="G206" t="s">
        <v>711</v>
      </c>
      <c r="H206" t="s">
        <v>41</v>
      </c>
      <c r="I206" t="s">
        <v>42</v>
      </c>
      <c r="J206" t="s">
        <v>712</v>
      </c>
      <c r="K206" t="s">
        <v>44</v>
      </c>
      <c r="L206">
        <v>2</v>
      </c>
      <c r="M206" t="s">
        <v>45</v>
      </c>
      <c r="N206" t="s">
        <v>46</v>
      </c>
      <c r="O206" t="s">
        <v>47</v>
      </c>
      <c r="P206" s="12">
        <v>1</v>
      </c>
      <c r="Q206" s="13">
        <v>44879.570509259262</v>
      </c>
      <c r="R206" s="14">
        <v>44880</v>
      </c>
      <c r="S206" t="s">
        <v>41</v>
      </c>
      <c r="T206" t="s">
        <v>48</v>
      </c>
      <c r="U206" t="s">
        <v>49</v>
      </c>
      <c r="V206" t="s">
        <v>71</v>
      </c>
      <c r="Y206" t="s">
        <v>713</v>
      </c>
      <c r="Z206">
        <v>53100</v>
      </c>
      <c r="AA206" t="s">
        <v>48</v>
      </c>
      <c r="AB206" t="s">
        <v>73</v>
      </c>
      <c r="AC206" t="s">
        <v>53</v>
      </c>
      <c r="AD206" s="15">
        <f>IF(P206&lt;=1,7,7+0.8*ROUNDUP(P206-1,0))</f>
        <v>7</v>
      </c>
      <c r="AE206" s="16">
        <v>0</v>
      </c>
      <c r="AF206" s="16">
        <v>0</v>
      </c>
      <c r="AG206" s="16">
        <v>0</v>
      </c>
      <c r="AH206" s="16">
        <v>0</v>
      </c>
      <c r="AI206" s="16">
        <f t="shared" si="6"/>
        <v>0.42</v>
      </c>
      <c r="AJ206" s="16">
        <f t="shared" si="7"/>
        <v>7.42</v>
      </c>
      <c r="AK206" t="s">
        <v>48</v>
      </c>
    </row>
    <row r="207" spans="1:37" ht="15" customHeight="1" x14ac:dyDescent="0.35">
      <c r="A207">
        <v>690929</v>
      </c>
      <c r="B207" t="s">
        <v>37</v>
      </c>
      <c r="C207" t="s">
        <v>38</v>
      </c>
      <c r="D207" s="9" t="s">
        <v>39</v>
      </c>
      <c r="E207" s="10" t="s">
        <v>37</v>
      </c>
      <c r="F207" s="11"/>
      <c r="G207" t="s">
        <v>714</v>
      </c>
      <c r="H207" t="s">
        <v>41</v>
      </c>
      <c r="I207" t="s">
        <v>42</v>
      </c>
      <c r="J207" t="s">
        <v>362</v>
      </c>
      <c r="K207" t="s">
        <v>44</v>
      </c>
      <c r="L207">
        <v>2</v>
      </c>
      <c r="M207" t="s">
        <v>45</v>
      </c>
      <c r="N207" t="s">
        <v>46</v>
      </c>
      <c r="O207" t="s">
        <v>47</v>
      </c>
      <c r="P207" s="12">
        <v>1</v>
      </c>
      <c r="Q207" s="13">
        <v>44879.565659722219</v>
      </c>
      <c r="R207" s="14">
        <v>44880</v>
      </c>
      <c r="S207" t="s">
        <v>41</v>
      </c>
      <c r="T207" t="s">
        <v>48</v>
      </c>
      <c r="U207" t="s">
        <v>49</v>
      </c>
      <c r="V207" t="s">
        <v>71</v>
      </c>
      <c r="Y207" t="s">
        <v>715</v>
      </c>
      <c r="Z207">
        <v>52100</v>
      </c>
      <c r="AA207" t="s">
        <v>48</v>
      </c>
      <c r="AB207" t="s">
        <v>73</v>
      </c>
      <c r="AC207" t="s">
        <v>53</v>
      </c>
      <c r="AD207" s="15">
        <f>IF(P207&lt;=1,7,7+0.8*ROUNDUP(P207-1,0))</f>
        <v>7</v>
      </c>
      <c r="AE207" s="16">
        <v>0</v>
      </c>
      <c r="AF207" s="16">
        <v>0</v>
      </c>
      <c r="AG207" s="16">
        <v>0</v>
      </c>
      <c r="AH207" s="16">
        <v>0</v>
      </c>
      <c r="AI207" s="16">
        <f t="shared" si="6"/>
        <v>0.42</v>
      </c>
      <c r="AJ207" s="16">
        <f t="shared" si="7"/>
        <v>7.42</v>
      </c>
      <c r="AK207" t="s">
        <v>48</v>
      </c>
    </row>
    <row r="208" spans="1:37" ht="15" customHeight="1" x14ac:dyDescent="0.35">
      <c r="A208">
        <v>690929</v>
      </c>
      <c r="B208" t="s">
        <v>37</v>
      </c>
      <c r="C208" t="s">
        <v>38</v>
      </c>
      <c r="D208" s="9" t="s">
        <v>39</v>
      </c>
      <c r="E208" s="10" t="s">
        <v>37</v>
      </c>
      <c r="F208" s="11"/>
      <c r="G208" t="s">
        <v>716</v>
      </c>
      <c r="H208" t="s">
        <v>41</v>
      </c>
      <c r="I208" t="s">
        <v>42</v>
      </c>
      <c r="J208" t="s">
        <v>717</v>
      </c>
      <c r="K208" t="s">
        <v>44</v>
      </c>
      <c r="L208">
        <v>2</v>
      </c>
      <c r="M208" t="s">
        <v>45</v>
      </c>
      <c r="N208" t="s">
        <v>46</v>
      </c>
      <c r="O208" t="s">
        <v>47</v>
      </c>
      <c r="P208" s="12">
        <v>1</v>
      </c>
      <c r="Q208" s="13">
        <v>44877.712141203701</v>
      </c>
      <c r="R208" s="14">
        <v>44881</v>
      </c>
      <c r="S208" t="s">
        <v>41</v>
      </c>
      <c r="T208" t="s">
        <v>48</v>
      </c>
      <c r="U208" t="s">
        <v>49</v>
      </c>
      <c r="V208" t="s">
        <v>56</v>
      </c>
      <c r="Y208" t="s">
        <v>718</v>
      </c>
      <c r="Z208">
        <v>89808</v>
      </c>
      <c r="AA208" t="s">
        <v>58</v>
      </c>
      <c r="AB208" t="s">
        <v>109</v>
      </c>
      <c r="AC208" t="s">
        <v>53</v>
      </c>
      <c r="AD208" s="17">
        <f>IF(P208&lt;=1,13,IF(P208&lt;=2,23,IF(P208&lt;=3,35,IF(P208&lt;=4,43,IF(P208&lt;=5,53,IF(P208&lt;=6,63,IF(P208&lt;=7,71,IF(P208&lt;=8,79,IF(P208&lt;=9,87,IF(P208&lt;=10,95,IF(P208&lt;=11,105,IF(P208&lt;=12,114,IF(P208&lt;=13,119,IF(P208&lt;=14,127,IF(P208&lt;=15,135,IF(P208&lt;=16,143,IF(P208&lt;=17,153,IF(P208&lt;=18,163,IF(P208&lt;=19,171,IF(P208&lt;=20,185,IF(P208&lt;=21,193,IF(P208&lt;=22,201,IF(P208&lt;=23,210,IF(P208&lt;=24,220,IF(P208&lt;=25,230,IF(P208&lt;=26,240,IF(P208&lt;=27,250,IF(P208&lt;=28,260,IF(P208&lt;=29,270,IF(P208&lt;=30,280,280))))))))))))))))))))))))))))))</f>
        <v>13</v>
      </c>
      <c r="AE208" s="16">
        <v>0</v>
      </c>
      <c r="AF208" s="16">
        <v>0</v>
      </c>
      <c r="AG208" s="16">
        <v>0</v>
      </c>
      <c r="AH208" s="16">
        <v>0</v>
      </c>
      <c r="AI208" s="16">
        <f t="shared" si="6"/>
        <v>0.78</v>
      </c>
      <c r="AJ208" s="16">
        <f t="shared" si="7"/>
        <v>13.78</v>
      </c>
      <c r="AK208" t="s">
        <v>58</v>
      </c>
    </row>
    <row r="209" spans="1:37" ht="15" customHeight="1" x14ac:dyDescent="0.35">
      <c r="A209">
        <v>690929</v>
      </c>
      <c r="B209" t="s">
        <v>37</v>
      </c>
      <c r="C209" t="s">
        <v>38</v>
      </c>
      <c r="D209" s="9" t="s">
        <v>39</v>
      </c>
      <c r="E209" s="10" t="s">
        <v>37</v>
      </c>
      <c r="F209" s="11"/>
      <c r="G209" t="s">
        <v>719</v>
      </c>
      <c r="H209" t="s">
        <v>41</v>
      </c>
      <c r="I209" t="s">
        <v>42</v>
      </c>
      <c r="J209" t="s">
        <v>131</v>
      </c>
      <c r="K209" t="s">
        <v>44</v>
      </c>
      <c r="L209">
        <v>2</v>
      </c>
      <c r="M209" t="s">
        <v>45</v>
      </c>
      <c r="N209" t="s">
        <v>46</v>
      </c>
      <c r="O209" t="s">
        <v>47</v>
      </c>
      <c r="P209" s="12">
        <v>2</v>
      </c>
      <c r="Q209" s="13">
        <v>44877.703449074077</v>
      </c>
      <c r="R209" s="14">
        <v>44881</v>
      </c>
      <c r="S209" t="s">
        <v>41</v>
      </c>
      <c r="T209" t="s">
        <v>48</v>
      </c>
      <c r="U209" t="s">
        <v>49</v>
      </c>
      <c r="V209" t="s">
        <v>132</v>
      </c>
      <c r="Y209" t="s">
        <v>720</v>
      </c>
      <c r="Z209">
        <v>87081</v>
      </c>
      <c r="AA209" t="s">
        <v>58</v>
      </c>
      <c r="AB209" t="s">
        <v>134</v>
      </c>
      <c r="AC209" t="s">
        <v>53</v>
      </c>
      <c r="AD209" s="17">
        <f>IF(P209&lt;=1,13,IF(P209&lt;=2,23,IF(P209&lt;=3,35,IF(P209&lt;=4,43,IF(P209&lt;=5,53,IF(P209&lt;=6,63,IF(P209&lt;=7,71,IF(P209&lt;=8,79,IF(P209&lt;=9,87,IF(P209&lt;=10,95,IF(P209&lt;=11,105,IF(P209&lt;=12,114,IF(P209&lt;=13,119,IF(P209&lt;=14,127,IF(P209&lt;=15,135,IF(P209&lt;=16,143,IF(P209&lt;=17,153,IF(P209&lt;=18,163,IF(P209&lt;=19,171,IF(P209&lt;=20,185,IF(P209&lt;=21,193,IF(P209&lt;=22,201,IF(P209&lt;=23,210,IF(P209&lt;=24,220,IF(P209&lt;=25,230,IF(P209&lt;=26,240,IF(P209&lt;=27,250,IF(P209&lt;=28,260,IF(P209&lt;=29,270,IF(P209&lt;=30,280,280))))))))))))))))))))))))))))))</f>
        <v>23</v>
      </c>
      <c r="AE209" s="16">
        <v>0</v>
      </c>
      <c r="AF209" s="16">
        <v>0</v>
      </c>
      <c r="AG209" s="16">
        <v>0</v>
      </c>
      <c r="AH209" s="16">
        <v>0</v>
      </c>
      <c r="AI209" s="16">
        <f t="shared" si="6"/>
        <v>1.38</v>
      </c>
      <c r="AJ209" s="16">
        <f t="shared" si="7"/>
        <v>24.38</v>
      </c>
      <c r="AK209" t="s">
        <v>58</v>
      </c>
    </row>
    <row r="210" spans="1:37" ht="15" customHeight="1" x14ac:dyDescent="0.35">
      <c r="A210">
        <v>690929</v>
      </c>
      <c r="B210" t="s">
        <v>37</v>
      </c>
      <c r="C210" t="s">
        <v>38</v>
      </c>
      <c r="D210" s="9" t="s">
        <v>39</v>
      </c>
      <c r="E210" s="10" t="s">
        <v>37</v>
      </c>
      <c r="F210" s="11"/>
      <c r="G210" t="s">
        <v>721</v>
      </c>
      <c r="H210" t="s">
        <v>41</v>
      </c>
      <c r="I210" t="s">
        <v>42</v>
      </c>
      <c r="J210" t="s">
        <v>722</v>
      </c>
      <c r="K210" t="s">
        <v>44</v>
      </c>
      <c r="L210">
        <v>2</v>
      </c>
      <c r="M210" t="s">
        <v>45</v>
      </c>
      <c r="N210" t="s">
        <v>46</v>
      </c>
      <c r="O210" t="s">
        <v>47</v>
      </c>
      <c r="P210" s="12">
        <v>1</v>
      </c>
      <c r="Q210" s="13">
        <v>44879.571608796294</v>
      </c>
      <c r="R210" s="14">
        <v>44881</v>
      </c>
      <c r="S210" t="s">
        <v>41</v>
      </c>
      <c r="T210" t="s">
        <v>48</v>
      </c>
      <c r="U210" t="s">
        <v>49</v>
      </c>
      <c r="V210" t="s">
        <v>344</v>
      </c>
      <c r="Y210" t="s">
        <v>723</v>
      </c>
      <c r="Z210">
        <v>72100</v>
      </c>
      <c r="AA210" t="s">
        <v>48</v>
      </c>
      <c r="AB210" t="s">
        <v>73</v>
      </c>
      <c r="AC210" t="s">
        <v>53</v>
      </c>
      <c r="AD210" s="15">
        <f>IF(P210&lt;=1,7,7+0.8*ROUNDUP(P210-1,0))</f>
        <v>7</v>
      </c>
      <c r="AE210" s="16">
        <v>0</v>
      </c>
      <c r="AF210" s="16">
        <v>0</v>
      </c>
      <c r="AG210" s="16">
        <v>0</v>
      </c>
      <c r="AH210" s="16">
        <v>0</v>
      </c>
      <c r="AI210" s="16">
        <f t="shared" si="6"/>
        <v>0.42</v>
      </c>
      <c r="AJ210" s="16">
        <f t="shared" si="7"/>
        <v>7.42</v>
      </c>
      <c r="AK210" t="s">
        <v>48</v>
      </c>
    </row>
    <row r="211" spans="1:37" ht="15" customHeight="1" x14ac:dyDescent="0.35">
      <c r="A211">
        <v>690929</v>
      </c>
      <c r="B211" t="s">
        <v>37</v>
      </c>
      <c r="C211" t="s">
        <v>38</v>
      </c>
      <c r="D211" s="9" t="s">
        <v>39</v>
      </c>
      <c r="E211" s="10" t="s">
        <v>37</v>
      </c>
      <c r="F211" s="11"/>
      <c r="G211" t="s">
        <v>724</v>
      </c>
      <c r="H211" t="s">
        <v>41</v>
      </c>
      <c r="I211" t="s">
        <v>42</v>
      </c>
      <c r="J211" t="s">
        <v>725</v>
      </c>
      <c r="K211" t="s">
        <v>44</v>
      </c>
      <c r="L211">
        <v>2</v>
      </c>
      <c r="M211" t="s">
        <v>45</v>
      </c>
      <c r="N211" t="s">
        <v>46</v>
      </c>
      <c r="O211" t="s">
        <v>47</v>
      </c>
      <c r="P211" s="12">
        <v>1</v>
      </c>
      <c r="Q211" s="13">
        <v>44878.674988425926</v>
      </c>
      <c r="R211" s="14">
        <v>44881</v>
      </c>
      <c r="S211" t="s">
        <v>41</v>
      </c>
      <c r="T211" t="s">
        <v>48</v>
      </c>
      <c r="U211" t="s">
        <v>49</v>
      </c>
      <c r="V211" t="s">
        <v>71</v>
      </c>
      <c r="Y211" t="s">
        <v>726</v>
      </c>
      <c r="Z211">
        <v>43650</v>
      </c>
      <c r="AA211" t="s">
        <v>48</v>
      </c>
      <c r="AB211" t="s">
        <v>73</v>
      </c>
      <c r="AC211" t="s">
        <v>53</v>
      </c>
      <c r="AD211" s="15">
        <f>IF(P211&lt;=1,7,7+0.8*ROUNDUP(P211-1,0))</f>
        <v>7</v>
      </c>
      <c r="AE211" s="16">
        <v>0</v>
      </c>
      <c r="AF211" s="16">
        <v>0</v>
      </c>
      <c r="AG211" s="16">
        <v>0</v>
      </c>
      <c r="AH211" s="16">
        <v>0</v>
      </c>
      <c r="AI211" s="16">
        <f t="shared" si="6"/>
        <v>0.42</v>
      </c>
      <c r="AJ211" s="16">
        <f t="shared" si="7"/>
        <v>7.42</v>
      </c>
      <c r="AK211" t="s">
        <v>48</v>
      </c>
    </row>
    <row r="212" spans="1:37" ht="15" customHeight="1" x14ac:dyDescent="0.35">
      <c r="A212">
        <v>690929</v>
      </c>
      <c r="B212" t="s">
        <v>37</v>
      </c>
      <c r="C212" t="s">
        <v>38</v>
      </c>
      <c r="D212" s="9" t="s">
        <v>39</v>
      </c>
      <c r="E212" s="10" t="s">
        <v>37</v>
      </c>
      <c r="F212" s="11"/>
      <c r="G212" t="s">
        <v>727</v>
      </c>
      <c r="H212" t="s">
        <v>41</v>
      </c>
      <c r="I212" t="s">
        <v>42</v>
      </c>
      <c r="J212" t="s">
        <v>728</v>
      </c>
      <c r="K212" t="s">
        <v>44</v>
      </c>
      <c r="L212">
        <v>2</v>
      </c>
      <c r="M212" t="s">
        <v>45</v>
      </c>
      <c r="N212" t="s">
        <v>46</v>
      </c>
      <c r="O212" t="s">
        <v>47</v>
      </c>
      <c r="P212" s="12">
        <v>1</v>
      </c>
      <c r="Q212" s="13">
        <v>44879.383472222224</v>
      </c>
      <c r="R212" s="14">
        <v>44881</v>
      </c>
      <c r="S212" t="s">
        <v>41</v>
      </c>
      <c r="T212" t="s">
        <v>48</v>
      </c>
      <c r="U212" t="s">
        <v>49</v>
      </c>
      <c r="V212" t="s">
        <v>62</v>
      </c>
      <c r="Y212" t="s">
        <v>729</v>
      </c>
      <c r="Z212">
        <v>51100</v>
      </c>
      <c r="AA212" t="s">
        <v>48</v>
      </c>
      <c r="AB212" t="s">
        <v>73</v>
      </c>
      <c r="AC212" t="s">
        <v>53</v>
      </c>
      <c r="AD212" s="15">
        <f>IF(P212&lt;=1,7,7+0.8*ROUNDUP(P212-1,0))</f>
        <v>7</v>
      </c>
      <c r="AE212" s="16">
        <v>0</v>
      </c>
      <c r="AF212" s="16">
        <v>0</v>
      </c>
      <c r="AG212" s="16">
        <v>0</v>
      </c>
      <c r="AH212" s="16">
        <v>0</v>
      </c>
      <c r="AI212" s="16">
        <f t="shared" si="6"/>
        <v>0.42</v>
      </c>
      <c r="AJ212" s="16">
        <f t="shared" si="7"/>
        <v>7.42</v>
      </c>
      <c r="AK212" t="s">
        <v>48</v>
      </c>
    </row>
    <row r="213" spans="1:37" ht="15" customHeight="1" x14ac:dyDescent="0.35">
      <c r="A213">
        <v>690929</v>
      </c>
      <c r="B213" t="s">
        <v>37</v>
      </c>
      <c r="C213" t="s">
        <v>38</v>
      </c>
      <c r="D213" s="9" t="s">
        <v>39</v>
      </c>
      <c r="E213" s="10" t="s">
        <v>37</v>
      </c>
      <c r="F213" s="11"/>
      <c r="G213" t="s">
        <v>730</v>
      </c>
      <c r="H213" t="s">
        <v>41</v>
      </c>
      <c r="I213" t="s">
        <v>42</v>
      </c>
      <c r="J213" t="s">
        <v>731</v>
      </c>
      <c r="K213" t="s">
        <v>44</v>
      </c>
      <c r="L213">
        <v>2</v>
      </c>
      <c r="M213" t="s">
        <v>45</v>
      </c>
      <c r="N213" t="s">
        <v>46</v>
      </c>
      <c r="O213" t="s">
        <v>47</v>
      </c>
      <c r="P213" s="12">
        <v>1</v>
      </c>
      <c r="Q213" s="13">
        <v>44879.574629629627</v>
      </c>
      <c r="R213" s="14">
        <v>44881</v>
      </c>
      <c r="S213" t="s">
        <v>41</v>
      </c>
      <c r="T213" t="s">
        <v>48</v>
      </c>
      <c r="U213" t="s">
        <v>49</v>
      </c>
      <c r="V213" t="s">
        <v>251</v>
      </c>
      <c r="Y213" t="s">
        <v>732</v>
      </c>
      <c r="Z213">
        <v>39100</v>
      </c>
      <c r="AA213" t="s">
        <v>48</v>
      </c>
      <c r="AB213" t="s">
        <v>49</v>
      </c>
      <c r="AC213" t="s">
        <v>53</v>
      </c>
      <c r="AD213" s="15">
        <f>IF(P213&lt;=1,7,7+0.8*ROUNDUP(P213-1,0))</f>
        <v>7</v>
      </c>
      <c r="AE213" s="16">
        <v>0</v>
      </c>
      <c r="AF213" s="16">
        <v>0</v>
      </c>
      <c r="AG213" s="16">
        <v>0</v>
      </c>
      <c r="AH213" s="16">
        <v>0</v>
      </c>
      <c r="AI213" s="16">
        <f t="shared" si="6"/>
        <v>0.42</v>
      </c>
      <c r="AJ213" s="16">
        <f t="shared" si="7"/>
        <v>7.42</v>
      </c>
      <c r="AK213" t="s">
        <v>48</v>
      </c>
    </row>
    <row r="214" spans="1:37" ht="15" customHeight="1" x14ac:dyDescent="0.35">
      <c r="A214">
        <v>690929</v>
      </c>
      <c r="B214" t="s">
        <v>37</v>
      </c>
      <c r="C214" t="s">
        <v>38</v>
      </c>
      <c r="D214" s="9" t="s">
        <v>39</v>
      </c>
      <c r="E214" s="10" t="s">
        <v>37</v>
      </c>
      <c r="F214" s="11"/>
      <c r="G214" t="s">
        <v>733</v>
      </c>
      <c r="H214" t="s">
        <v>41</v>
      </c>
      <c r="I214" t="s">
        <v>42</v>
      </c>
      <c r="J214" t="s">
        <v>734</v>
      </c>
      <c r="K214" t="s">
        <v>44</v>
      </c>
      <c r="L214">
        <v>2</v>
      </c>
      <c r="M214" t="s">
        <v>45</v>
      </c>
      <c r="N214" t="s">
        <v>46</v>
      </c>
      <c r="O214" t="s">
        <v>47</v>
      </c>
      <c r="P214" s="12">
        <v>1</v>
      </c>
      <c r="Q214" s="13">
        <v>44880.592083333337</v>
      </c>
      <c r="R214" s="14">
        <v>44881</v>
      </c>
      <c r="S214" t="s">
        <v>41</v>
      </c>
      <c r="T214" t="s">
        <v>48</v>
      </c>
      <c r="U214" t="s">
        <v>49</v>
      </c>
      <c r="V214" t="s">
        <v>71</v>
      </c>
      <c r="Y214" t="s">
        <v>735</v>
      </c>
      <c r="Z214">
        <v>42300</v>
      </c>
      <c r="AA214" t="s">
        <v>48</v>
      </c>
      <c r="AB214" t="s">
        <v>73</v>
      </c>
      <c r="AC214" t="s">
        <v>53</v>
      </c>
      <c r="AD214" s="15">
        <f>IF(P214&lt;=1,7,7+0.8*ROUNDUP(P214-1,0))</f>
        <v>7</v>
      </c>
      <c r="AE214" s="16">
        <v>0</v>
      </c>
      <c r="AF214" s="16">
        <v>0</v>
      </c>
      <c r="AG214" s="16">
        <v>0</v>
      </c>
      <c r="AH214" s="16">
        <v>0</v>
      </c>
      <c r="AI214" s="16">
        <f t="shared" si="6"/>
        <v>0.42</v>
      </c>
      <c r="AJ214" s="16">
        <f t="shared" si="7"/>
        <v>7.42</v>
      </c>
      <c r="AK214" t="s">
        <v>48</v>
      </c>
    </row>
    <row r="215" spans="1:37" ht="15" customHeight="1" x14ac:dyDescent="0.35">
      <c r="A215">
        <v>690929</v>
      </c>
      <c r="B215" t="s">
        <v>37</v>
      </c>
      <c r="C215" t="s">
        <v>38</v>
      </c>
      <c r="D215" s="9" t="s">
        <v>39</v>
      </c>
      <c r="E215" s="10" t="s">
        <v>37</v>
      </c>
      <c r="F215" s="11"/>
      <c r="G215" t="s">
        <v>736</v>
      </c>
      <c r="H215" t="s">
        <v>41</v>
      </c>
      <c r="I215" t="s">
        <v>42</v>
      </c>
      <c r="J215" t="s">
        <v>737</v>
      </c>
      <c r="K215" t="s">
        <v>44</v>
      </c>
      <c r="L215">
        <v>2</v>
      </c>
      <c r="M215" t="s">
        <v>45</v>
      </c>
      <c r="N215" t="s">
        <v>46</v>
      </c>
      <c r="O215" t="s">
        <v>47</v>
      </c>
      <c r="P215" s="12">
        <v>1</v>
      </c>
      <c r="Q215" s="13">
        <v>44880.643726851849</v>
      </c>
      <c r="R215" s="14">
        <v>44881</v>
      </c>
      <c r="S215" t="s">
        <v>41</v>
      </c>
      <c r="T215" t="s">
        <v>48</v>
      </c>
      <c r="U215" t="s">
        <v>49</v>
      </c>
      <c r="V215" t="s">
        <v>251</v>
      </c>
      <c r="Y215" t="s">
        <v>738</v>
      </c>
      <c r="Z215">
        <v>26700</v>
      </c>
      <c r="AA215" t="s">
        <v>48</v>
      </c>
      <c r="AB215" t="s">
        <v>49</v>
      </c>
      <c r="AC215" t="s">
        <v>53</v>
      </c>
      <c r="AD215" s="15">
        <f>IF(P215&lt;=1,7,7+0.8*ROUNDUP(P215-1,0))</f>
        <v>7</v>
      </c>
      <c r="AE215" s="16">
        <v>0</v>
      </c>
      <c r="AF215" s="16">
        <v>0</v>
      </c>
      <c r="AG215" s="16">
        <v>0</v>
      </c>
      <c r="AH215" s="16">
        <v>0</v>
      </c>
      <c r="AI215" s="16">
        <f t="shared" si="6"/>
        <v>0.42</v>
      </c>
      <c r="AJ215" s="16">
        <f t="shared" si="7"/>
        <v>7.42</v>
      </c>
      <c r="AK215" t="s">
        <v>48</v>
      </c>
    </row>
    <row r="216" spans="1:37" ht="15" customHeight="1" x14ac:dyDescent="0.35">
      <c r="A216">
        <v>690929</v>
      </c>
      <c r="B216" t="s">
        <v>37</v>
      </c>
      <c r="C216" t="s">
        <v>38</v>
      </c>
      <c r="D216" s="9" t="s">
        <v>39</v>
      </c>
      <c r="E216" s="10" t="s">
        <v>37</v>
      </c>
      <c r="F216" s="11"/>
      <c r="G216" t="s">
        <v>739</v>
      </c>
      <c r="H216" t="s">
        <v>41</v>
      </c>
      <c r="I216" t="s">
        <v>42</v>
      </c>
      <c r="J216" t="s">
        <v>740</v>
      </c>
      <c r="K216" t="s">
        <v>44</v>
      </c>
      <c r="L216">
        <v>2</v>
      </c>
      <c r="M216" t="s">
        <v>45</v>
      </c>
      <c r="N216" t="s">
        <v>46</v>
      </c>
      <c r="O216" t="s">
        <v>47</v>
      </c>
      <c r="P216" s="12">
        <v>1</v>
      </c>
      <c r="Q216" s="13">
        <v>44879.392916666664</v>
      </c>
      <c r="R216" s="14">
        <v>44881</v>
      </c>
      <c r="S216" t="s">
        <v>41</v>
      </c>
      <c r="T216" t="s">
        <v>48</v>
      </c>
      <c r="U216" t="s">
        <v>49</v>
      </c>
      <c r="V216" t="s">
        <v>115</v>
      </c>
      <c r="Y216" t="s">
        <v>741</v>
      </c>
      <c r="Z216">
        <v>81750</v>
      </c>
      <c r="AA216" t="s">
        <v>48</v>
      </c>
      <c r="AB216" t="s">
        <v>49</v>
      </c>
      <c r="AC216" t="s">
        <v>53</v>
      </c>
      <c r="AD216" s="15">
        <f>IF(P216&lt;=1,7,7+0.8*ROUNDUP(P216-1,0))</f>
        <v>7</v>
      </c>
      <c r="AE216" s="16">
        <v>0</v>
      </c>
      <c r="AF216" s="16">
        <v>0</v>
      </c>
      <c r="AG216" s="16">
        <v>0</v>
      </c>
      <c r="AH216" s="16">
        <v>0</v>
      </c>
      <c r="AI216" s="16">
        <f t="shared" si="6"/>
        <v>0.42</v>
      </c>
      <c r="AJ216" s="16">
        <f t="shared" si="7"/>
        <v>7.42</v>
      </c>
      <c r="AK216" t="s">
        <v>48</v>
      </c>
    </row>
    <row r="217" spans="1:37" ht="15" customHeight="1" x14ac:dyDescent="0.35">
      <c r="A217">
        <v>690929</v>
      </c>
      <c r="B217" t="s">
        <v>37</v>
      </c>
      <c r="C217" t="s">
        <v>38</v>
      </c>
      <c r="D217" s="9" t="s">
        <v>39</v>
      </c>
      <c r="E217" s="10" t="s">
        <v>37</v>
      </c>
      <c r="F217" s="11"/>
      <c r="G217" t="s">
        <v>742</v>
      </c>
      <c r="H217" t="s">
        <v>41</v>
      </c>
      <c r="I217" t="s">
        <v>42</v>
      </c>
      <c r="J217" t="s">
        <v>743</v>
      </c>
      <c r="K217" t="s">
        <v>44</v>
      </c>
      <c r="L217">
        <v>2</v>
      </c>
      <c r="M217" t="s">
        <v>45</v>
      </c>
      <c r="N217" t="s">
        <v>46</v>
      </c>
      <c r="O217" t="s">
        <v>47</v>
      </c>
      <c r="P217" s="12">
        <v>1</v>
      </c>
      <c r="Q217" s="13">
        <v>44879.562905092593</v>
      </c>
      <c r="R217" s="14">
        <v>44881</v>
      </c>
      <c r="S217" t="s">
        <v>41</v>
      </c>
      <c r="T217" t="s">
        <v>48</v>
      </c>
      <c r="U217" t="s">
        <v>49</v>
      </c>
      <c r="V217" t="s">
        <v>658</v>
      </c>
      <c r="Y217" t="s">
        <v>744</v>
      </c>
      <c r="Z217">
        <v>2400</v>
      </c>
      <c r="AA217" t="s">
        <v>48</v>
      </c>
      <c r="AB217" t="s">
        <v>73</v>
      </c>
      <c r="AC217" t="s">
        <v>53</v>
      </c>
      <c r="AD217" s="15">
        <f>IF(P217&lt;=1,7,7+0.8*ROUNDUP(P217-1,0))</f>
        <v>7</v>
      </c>
      <c r="AE217" s="16">
        <v>0</v>
      </c>
      <c r="AF217" s="16">
        <v>0</v>
      </c>
      <c r="AG217" s="16">
        <v>0</v>
      </c>
      <c r="AH217" s="16">
        <v>0</v>
      </c>
      <c r="AI217" s="16">
        <f t="shared" si="6"/>
        <v>0.42</v>
      </c>
      <c r="AJ217" s="16">
        <f t="shared" si="7"/>
        <v>7.42</v>
      </c>
      <c r="AK217" t="s">
        <v>48</v>
      </c>
    </row>
    <row r="218" spans="1:37" ht="15" customHeight="1" x14ac:dyDescent="0.35">
      <c r="A218">
        <v>690929</v>
      </c>
      <c r="B218" t="s">
        <v>37</v>
      </c>
      <c r="C218" t="s">
        <v>38</v>
      </c>
      <c r="D218" s="9" t="s">
        <v>39</v>
      </c>
      <c r="E218" s="10" t="s">
        <v>37</v>
      </c>
      <c r="F218" s="11"/>
      <c r="G218" t="s">
        <v>745</v>
      </c>
      <c r="H218" t="s">
        <v>41</v>
      </c>
      <c r="I218" t="s">
        <v>42</v>
      </c>
      <c r="J218" t="s">
        <v>746</v>
      </c>
      <c r="K218" t="s">
        <v>44</v>
      </c>
      <c r="L218">
        <v>2</v>
      </c>
      <c r="M218" t="s">
        <v>45</v>
      </c>
      <c r="N218" t="s">
        <v>46</v>
      </c>
      <c r="O218" t="s">
        <v>47</v>
      </c>
      <c r="P218" s="12">
        <v>2</v>
      </c>
      <c r="Q218" s="13">
        <v>44868.651990740742</v>
      </c>
      <c r="R218" s="14">
        <v>44881</v>
      </c>
      <c r="S218" t="s">
        <v>41</v>
      </c>
      <c r="T218" t="s">
        <v>48</v>
      </c>
      <c r="U218" t="s">
        <v>49</v>
      </c>
      <c r="V218" t="s">
        <v>56</v>
      </c>
      <c r="Y218" t="s">
        <v>747</v>
      </c>
      <c r="Z218">
        <v>91150</v>
      </c>
      <c r="AA218" t="s">
        <v>58</v>
      </c>
      <c r="AB218" t="s">
        <v>73</v>
      </c>
      <c r="AC218" t="s">
        <v>53</v>
      </c>
      <c r="AD218" s="17">
        <f>IF(P218&lt;=1,13,IF(P218&lt;=2,23,IF(P218&lt;=3,35,IF(P218&lt;=4,43,IF(P218&lt;=5,53,IF(P218&lt;=6,63,IF(P218&lt;=7,71,IF(P218&lt;=8,79,IF(P218&lt;=9,87,IF(P218&lt;=10,95,IF(P218&lt;=11,105,IF(P218&lt;=12,114,IF(P218&lt;=13,119,IF(P218&lt;=14,127,IF(P218&lt;=15,135,IF(P218&lt;=16,143,IF(P218&lt;=17,153,IF(P218&lt;=18,163,IF(P218&lt;=19,171,IF(P218&lt;=20,185,IF(P218&lt;=21,193,IF(P218&lt;=22,201,IF(P218&lt;=23,210,IF(P218&lt;=24,220,IF(P218&lt;=25,230,IF(P218&lt;=26,240,IF(P218&lt;=27,250,IF(P218&lt;=28,260,IF(P218&lt;=29,270,IF(P218&lt;=30,280,280))))))))))))))))))))))))))))))</f>
        <v>23</v>
      </c>
      <c r="AE218" s="16">
        <v>0</v>
      </c>
      <c r="AF218" s="16">
        <v>0</v>
      </c>
      <c r="AG218" s="16">
        <v>0</v>
      </c>
      <c r="AH218" s="16">
        <v>0</v>
      </c>
      <c r="AI218" s="16">
        <f t="shared" si="6"/>
        <v>1.38</v>
      </c>
      <c r="AJ218" s="16">
        <f t="shared" si="7"/>
        <v>24.38</v>
      </c>
      <c r="AK218" t="s">
        <v>58</v>
      </c>
    </row>
    <row r="219" spans="1:37" ht="15" customHeight="1" x14ac:dyDescent="0.35">
      <c r="A219">
        <v>690929</v>
      </c>
      <c r="B219" t="s">
        <v>37</v>
      </c>
      <c r="C219" t="s">
        <v>38</v>
      </c>
      <c r="D219" s="9" t="s">
        <v>39</v>
      </c>
      <c r="E219" s="10" t="s">
        <v>37</v>
      </c>
      <c r="F219" s="11"/>
      <c r="G219" t="s">
        <v>748</v>
      </c>
      <c r="H219" t="s">
        <v>41</v>
      </c>
      <c r="I219" t="s">
        <v>42</v>
      </c>
      <c r="J219" t="s">
        <v>749</v>
      </c>
      <c r="K219" t="s">
        <v>44</v>
      </c>
      <c r="L219">
        <v>2</v>
      </c>
      <c r="M219" t="s">
        <v>45</v>
      </c>
      <c r="N219" t="s">
        <v>46</v>
      </c>
      <c r="O219" t="s">
        <v>47</v>
      </c>
      <c r="P219" s="12">
        <v>1</v>
      </c>
      <c r="Q219" s="13">
        <v>44877.715844907405</v>
      </c>
      <c r="R219" s="14">
        <v>44882</v>
      </c>
      <c r="S219" t="s">
        <v>41</v>
      </c>
      <c r="T219" t="s">
        <v>48</v>
      </c>
      <c r="U219" t="s">
        <v>49</v>
      </c>
      <c r="V219" t="s">
        <v>132</v>
      </c>
      <c r="Y219" t="s">
        <v>750</v>
      </c>
      <c r="Z219">
        <v>87000</v>
      </c>
      <c r="AA219" t="s">
        <v>58</v>
      </c>
      <c r="AB219" t="s">
        <v>134</v>
      </c>
      <c r="AC219" t="s">
        <v>53</v>
      </c>
      <c r="AD219" s="17">
        <f>IF(P219&lt;=1,13,IF(P219&lt;=2,23,IF(P219&lt;=3,35,IF(P219&lt;=4,43,IF(P219&lt;=5,53,IF(P219&lt;=6,63,IF(P219&lt;=7,71,IF(P219&lt;=8,79,IF(P219&lt;=9,87,IF(P219&lt;=10,95,IF(P219&lt;=11,105,IF(P219&lt;=12,114,IF(P219&lt;=13,119,IF(P219&lt;=14,127,IF(P219&lt;=15,135,IF(P219&lt;=16,143,IF(P219&lt;=17,153,IF(P219&lt;=18,163,IF(P219&lt;=19,171,IF(P219&lt;=20,185,IF(P219&lt;=21,193,IF(P219&lt;=22,201,IF(P219&lt;=23,210,IF(P219&lt;=24,220,IF(P219&lt;=25,230,IF(P219&lt;=26,240,IF(P219&lt;=27,250,IF(P219&lt;=28,260,IF(P219&lt;=29,270,IF(P219&lt;=30,280,280))))))))))))))))))))))))))))))</f>
        <v>13</v>
      </c>
      <c r="AE219" s="16">
        <v>0</v>
      </c>
      <c r="AF219" s="16">
        <v>0</v>
      </c>
      <c r="AG219" s="16">
        <v>0</v>
      </c>
      <c r="AH219" s="16">
        <v>0</v>
      </c>
      <c r="AI219" s="16">
        <f t="shared" si="6"/>
        <v>0.78</v>
      </c>
      <c r="AJ219" s="16">
        <f t="shared" si="7"/>
        <v>13.78</v>
      </c>
      <c r="AK219" t="s">
        <v>58</v>
      </c>
    </row>
    <row r="220" spans="1:37" ht="15" customHeight="1" x14ac:dyDescent="0.35">
      <c r="A220">
        <v>690929</v>
      </c>
      <c r="B220" t="s">
        <v>37</v>
      </c>
      <c r="C220" t="s">
        <v>38</v>
      </c>
      <c r="D220" s="9" t="s">
        <v>39</v>
      </c>
      <c r="E220" s="10" t="s">
        <v>37</v>
      </c>
      <c r="F220" s="11"/>
      <c r="G220" t="s">
        <v>751</v>
      </c>
      <c r="H220" t="s">
        <v>41</v>
      </c>
      <c r="I220" t="s">
        <v>42</v>
      </c>
      <c r="J220" t="s">
        <v>114</v>
      </c>
      <c r="K220" t="s">
        <v>44</v>
      </c>
      <c r="L220">
        <v>2</v>
      </c>
      <c r="M220" t="s">
        <v>45</v>
      </c>
      <c r="N220" t="s">
        <v>46</v>
      </c>
      <c r="O220" t="s">
        <v>47</v>
      </c>
      <c r="P220" s="12">
        <v>1</v>
      </c>
      <c r="Q220" s="13">
        <v>44880.641342592593</v>
      </c>
      <c r="R220" s="14">
        <v>44882</v>
      </c>
      <c r="S220" t="s">
        <v>41</v>
      </c>
      <c r="T220" t="s">
        <v>48</v>
      </c>
      <c r="U220" t="s">
        <v>49</v>
      </c>
      <c r="V220" t="s">
        <v>115</v>
      </c>
      <c r="Y220" t="s">
        <v>116</v>
      </c>
      <c r="Z220">
        <v>84000</v>
      </c>
      <c r="AA220" t="s">
        <v>48</v>
      </c>
      <c r="AB220" t="s">
        <v>73</v>
      </c>
      <c r="AC220" t="s">
        <v>53</v>
      </c>
      <c r="AD220" s="15">
        <f>IF(P220&lt;=1,7,7+0.8*ROUNDUP(P220-1,0))</f>
        <v>7</v>
      </c>
      <c r="AE220" s="16">
        <v>0</v>
      </c>
      <c r="AF220" s="16">
        <v>0</v>
      </c>
      <c r="AG220" s="16">
        <v>0</v>
      </c>
      <c r="AH220" s="16">
        <v>0</v>
      </c>
      <c r="AI220" s="16">
        <f t="shared" si="6"/>
        <v>0.42</v>
      </c>
      <c r="AJ220" s="16">
        <f t="shared" si="7"/>
        <v>7.42</v>
      </c>
      <c r="AK220" t="s">
        <v>48</v>
      </c>
    </row>
    <row r="221" spans="1:37" ht="15" customHeight="1" x14ac:dyDescent="0.35">
      <c r="A221">
        <v>690929</v>
      </c>
      <c r="B221" t="s">
        <v>37</v>
      </c>
      <c r="C221" t="s">
        <v>38</v>
      </c>
      <c r="D221" s="9" t="s">
        <v>39</v>
      </c>
      <c r="E221" s="10" t="s">
        <v>37</v>
      </c>
      <c r="F221" s="11"/>
      <c r="G221" t="s">
        <v>752</v>
      </c>
      <c r="H221" t="s">
        <v>41</v>
      </c>
      <c r="I221" t="s">
        <v>42</v>
      </c>
      <c r="J221" t="s">
        <v>753</v>
      </c>
      <c r="K221" t="s">
        <v>44</v>
      </c>
      <c r="L221">
        <v>2</v>
      </c>
      <c r="M221" t="s">
        <v>45</v>
      </c>
      <c r="N221" t="s">
        <v>46</v>
      </c>
      <c r="O221" t="s">
        <v>47</v>
      </c>
      <c r="P221" s="12">
        <v>3</v>
      </c>
      <c r="Q221" s="13">
        <v>44880.63962962963</v>
      </c>
      <c r="R221" s="14">
        <v>44882</v>
      </c>
      <c r="S221" t="s">
        <v>41</v>
      </c>
      <c r="T221" t="s">
        <v>48</v>
      </c>
      <c r="U221" t="s">
        <v>49</v>
      </c>
      <c r="V221" t="s">
        <v>80</v>
      </c>
      <c r="Y221" t="s">
        <v>754</v>
      </c>
      <c r="Z221">
        <v>76300</v>
      </c>
      <c r="AA221" t="s">
        <v>48</v>
      </c>
      <c r="AB221" t="s">
        <v>755</v>
      </c>
      <c r="AC221" t="s">
        <v>53</v>
      </c>
      <c r="AD221" s="15">
        <f>IF(P221&lt;=1,7,7+0.8*ROUNDUP(P221-1,0))</f>
        <v>8.6</v>
      </c>
      <c r="AE221" s="16">
        <v>0</v>
      </c>
      <c r="AF221" s="16">
        <v>0</v>
      </c>
      <c r="AG221" s="16">
        <v>0</v>
      </c>
      <c r="AH221" s="16">
        <v>0</v>
      </c>
      <c r="AI221" s="16">
        <f t="shared" si="6"/>
        <v>0.51600000000000001</v>
      </c>
      <c r="AJ221" s="16">
        <f t="shared" si="7"/>
        <v>9.1159999999999997</v>
      </c>
      <c r="AK221" t="s">
        <v>48</v>
      </c>
    </row>
    <row r="223" spans="1:37" x14ac:dyDescent="0.35">
      <c r="AD223" s="18">
        <f>SUM(AD2:AD221)</f>
        <v>2230.7999999999997</v>
      </c>
      <c r="AE223" s="18">
        <f>SUM(AE2:AE221)</f>
        <v>0</v>
      </c>
      <c r="AF223" s="18">
        <f>SUM(AF2:AF221)</f>
        <v>0</v>
      </c>
      <c r="AG223" s="18">
        <f>SUM(AG2:AG221)</f>
        <v>0</v>
      </c>
      <c r="AH223" s="18">
        <f>SUM(AH2:AH221)</f>
        <v>0</v>
      </c>
      <c r="AI223" s="18">
        <f>SUM(AI2:AI221)</f>
        <v>133.8480000000001</v>
      </c>
      <c r="AJ223" s="18">
        <f>SUM(AJ2:AJ221)</f>
        <v>2364.6480000000042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2022-12-06T07:15:48Z</dcterms:created>
  <dcterms:modified xsi:type="dcterms:W3CDTF">2022-12-06T07:15:49Z</dcterms:modified>
</cp:coreProperties>
</file>