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Nov'23\Billing\ASN\Split ASN Walk-in\"/>
    </mc:Choice>
  </mc:AlternateContent>
  <xr:revisionPtr revIDLastSave="0" documentId="8_{3509001F-F8ED-4F2C-A45D-0241A21CF53C}" xr6:coauthVersionLast="47" xr6:coauthVersionMax="47" xr10:uidLastSave="{00000000-0000-0000-0000-000000000000}"/>
  <bookViews>
    <workbookView xWindow="-110" yWindow="490" windowWidth="19420" windowHeight="10420" xr2:uid="{EA01E7AA-DB49-480C-9026-DD412F2D3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64" i="1" l="1"/>
  <c r="AF564" i="1"/>
  <c r="AE564" i="1"/>
  <c r="AD564" i="1"/>
  <c r="AC564" i="1"/>
  <c r="AB564" i="1"/>
  <c r="AA564" i="1"/>
  <c r="AA562" i="1"/>
  <c r="AA561" i="1"/>
  <c r="AA560" i="1"/>
  <c r="AA559" i="1"/>
  <c r="AF558" i="1"/>
  <c r="AG558" i="1" s="1"/>
  <c r="AA558" i="1"/>
  <c r="AA557" i="1"/>
  <c r="AF557" i="1" s="1"/>
  <c r="AA556" i="1"/>
  <c r="AA555" i="1"/>
  <c r="AF555" i="1" s="1"/>
  <c r="AG555" i="1" s="1"/>
  <c r="AF554" i="1"/>
  <c r="AA554" i="1"/>
  <c r="AG554" i="1" s="1"/>
  <c r="AA553" i="1"/>
  <c r="AF552" i="1"/>
  <c r="AA552" i="1"/>
  <c r="AG552" i="1" s="1"/>
  <c r="AA551" i="1"/>
  <c r="AF550" i="1"/>
  <c r="AG550" i="1" s="1"/>
  <c r="AA550" i="1"/>
  <c r="AA549" i="1"/>
  <c r="AF549" i="1" s="1"/>
  <c r="AA548" i="1"/>
  <c r="AA547" i="1"/>
  <c r="AF547" i="1" s="1"/>
  <c r="AG547" i="1" s="1"/>
  <c r="AF546" i="1"/>
  <c r="AA546" i="1"/>
  <c r="AG546" i="1" s="1"/>
  <c r="AA545" i="1"/>
  <c r="AF544" i="1"/>
  <c r="AG544" i="1" s="1"/>
  <c r="AA544" i="1"/>
  <c r="AA543" i="1"/>
  <c r="AF542" i="1"/>
  <c r="AG542" i="1" s="1"/>
  <c r="AA542" i="1"/>
  <c r="AA541" i="1"/>
  <c r="AF541" i="1" s="1"/>
  <c r="AA540" i="1"/>
  <c r="AG539" i="1"/>
  <c r="AA539" i="1"/>
  <c r="AF539" i="1" s="1"/>
  <c r="AF538" i="1"/>
  <c r="AA538" i="1"/>
  <c r="AG538" i="1" s="1"/>
  <c r="AA537" i="1"/>
  <c r="AF536" i="1"/>
  <c r="AG536" i="1" s="1"/>
  <c r="AA536" i="1"/>
  <c r="AA535" i="1"/>
  <c r="AF535" i="1" s="1"/>
  <c r="AG535" i="1" s="1"/>
  <c r="AF534" i="1"/>
  <c r="AG534" i="1" s="1"/>
  <c r="AA534" i="1"/>
  <c r="AA533" i="1"/>
  <c r="AF533" i="1" s="1"/>
  <c r="AA532" i="1"/>
  <c r="AA531" i="1"/>
  <c r="AF531" i="1" s="1"/>
  <c r="AG531" i="1" s="1"/>
  <c r="AF530" i="1"/>
  <c r="AA530" i="1"/>
  <c r="AG530" i="1" s="1"/>
  <c r="AA529" i="1"/>
  <c r="AF528" i="1"/>
  <c r="AG528" i="1" s="1"/>
  <c r="AA528" i="1"/>
  <c r="AA527" i="1"/>
  <c r="AF527" i="1" s="1"/>
  <c r="AG527" i="1" s="1"/>
  <c r="AF526" i="1"/>
  <c r="AG526" i="1" s="1"/>
  <c r="AA526" i="1"/>
  <c r="AA525" i="1"/>
  <c r="AF525" i="1" s="1"/>
  <c r="AA524" i="1"/>
  <c r="AG523" i="1"/>
  <c r="AF523" i="1"/>
  <c r="AA523" i="1"/>
  <c r="AF522" i="1"/>
  <c r="AA522" i="1"/>
  <c r="AG522" i="1" s="1"/>
  <c r="AA521" i="1"/>
  <c r="AG520" i="1"/>
  <c r="AF520" i="1"/>
  <c r="AA520" i="1"/>
  <c r="AA519" i="1"/>
  <c r="AF519" i="1" s="1"/>
  <c r="AG519" i="1" s="1"/>
  <c r="AF518" i="1"/>
  <c r="AG518" i="1" s="1"/>
  <c r="AA518" i="1"/>
  <c r="AA517" i="1"/>
  <c r="AF517" i="1" s="1"/>
  <c r="AA516" i="1"/>
  <c r="AG515" i="1"/>
  <c r="AF515" i="1"/>
  <c r="AA515" i="1"/>
  <c r="AF514" i="1"/>
  <c r="AA514" i="1"/>
  <c r="AG514" i="1" s="1"/>
  <c r="AA513" i="1"/>
  <c r="AG512" i="1"/>
  <c r="AF512" i="1"/>
  <c r="AA512" i="1"/>
  <c r="AA511" i="1"/>
  <c r="AF511" i="1" s="1"/>
  <c r="AG511" i="1" s="1"/>
  <c r="AF510" i="1"/>
  <c r="AG510" i="1" s="1"/>
  <c r="AA510" i="1"/>
  <c r="AA509" i="1"/>
  <c r="AF509" i="1" s="1"/>
  <c r="AA508" i="1"/>
  <c r="AG507" i="1"/>
  <c r="AF507" i="1"/>
  <c r="AA507" i="1"/>
  <c r="AF506" i="1"/>
  <c r="AG506" i="1" s="1"/>
  <c r="AA506" i="1"/>
  <c r="AA505" i="1"/>
  <c r="AG504" i="1"/>
  <c r="AF504" i="1"/>
  <c r="AA504" i="1"/>
  <c r="AA503" i="1"/>
  <c r="AF503" i="1" s="1"/>
  <c r="AG503" i="1" s="1"/>
  <c r="AF502" i="1"/>
  <c r="AG502" i="1" s="1"/>
  <c r="AA502" i="1"/>
  <c r="AA501" i="1"/>
  <c r="AF501" i="1" s="1"/>
  <c r="AA500" i="1"/>
  <c r="AG499" i="1"/>
  <c r="AF499" i="1"/>
  <c r="AA499" i="1"/>
  <c r="AF498" i="1"/>
  <c r="AG498" i="1" s="1"/>
  <c r="AA498" i="1"/>
  <c r="AA497" i="1"/>
  <c r="AG496" i="1"/>
  <c r="AF496" i="1"/>
  <c r="AA496" i="1"/>
  <c r="AA495" i="1"/>
  <c r="AF495" i="1" s="1"/>
  <c r="AG495" i="1" s="1"/>
  <c r="AF494" i="1"/>
  <c r="AG494" i="1" s="1"/>
  <c r="AA494" i="1"/>
  <c r="AA493" i="1"/>
  <c r="AF493" i="1" s="1"/>
  <c r="AA492" i="1"/>
  <c r="AG491" i="1"/>
  <c r="AF491" i="1"/>
  <c r="AA491" i="1"/>
  <c r="AF490" i="1"/>
  <c r="AG490" i="1" s="1"/>
  <c r="AA490" i="1"/>
  <c r="AA489" i="1"/>
  <c r="AG488" i="1"/>
  <c r="AF488" i="1"/>
  <c r="AA488" i="1"/>
  <c r="AA487" i="1"/>
  <c r="AF487" i="1" s="1"/>
  <c r="AG487" i="1" s="1"/>
  <c r="AF486" i="1"/>
  <c r="AG486" i="1" s="1"/>
  <c r="AA486" i="1"/>
  <c r="AA485" i="1"/>
  <c r="AF485" i="1" s="1"/>
  <c r="AA484" i="1"/>
  <c r="AG483" i="1"/>
  <c r="AF483" i="1"/>
  <c r="AA483" i="1"/>
  <c r="AF482" i="1"/>
  <c r="AG482" i="1" s="1"/>
  <c r="AA482" i="1"/>
  <c r="AA481" i="1"/>
  <c r="AG480" i="1"/>
  <c r="AF480" i="1"/>
  <c r="AA480" i="1"/>
  <c r="AA479" i="1"/>
  <c r="AF479" i="1" s="1"/>
  <c r="AG479" i="1" s="1"/>
  <c r="AF478" i="1"/>
  <c r="AG478" i="1" s="1"/>
  <c r="AA478" i="1"/>
  <c r="AA477" i="1"/>
  <c r="AF477" i="1" s="1"/>
  <c r="AA476" i="1"/>
  <c r="AG475" i="1"/>
  <c r="AF475" i="1"/>
  <c r="AA475" i="1"/>
  <c r="AF474" i="1"/>
  <c r="AG474" i="1" s="1"/>
  <c r="AA474" i="1"/>
  <c r="AA473" i="1"/>
  <c r="AA472" i="1"/>
  <c r="AA471" i="1"/>
  <c r="AF471" i="1" s="1"/>
  <c r="AG471" i="1" s="1"/>
  <c r="AF470" i="1"/>
  <c r="AG470" i="1" s="1"/>
  <c r="AA470" i="1"/>
  <c r="AA469" i="1"/>
  <c r="AF469" i="1" s="1"/>
  <c r="AA468" i="1"/>
  <c r="AG467" i="1"/>
  <c r="AF467" i="1"/>
  <c r="AA467" i="1"/>
  <c r="AF466" i="1"/>
  <c r="AG466" i="1" s="1"/>
  <c r="AA466" i="1"/>
  <c r="AA465" i="1"/>
  <c r="AA464" i="1"/>
  <c r="AA463" i="1"/>
  <c r="AF463" i="1" s="1"/>
  <c r="AG463" i="1" s="1"/>
  <c r="AF462" i="1"/>
  <c r="AG462" i="1" s="1"/>
  <c r="AA462" i="1"/>
  <c r="AF461" i="1"/>
  <c r="AA461" i="1"/>
  <c r="AA460" i="1"/>
  <c r="AG459" i="1"/>
  <c r="AA459" i="1"/>
  <c r="AF459" i="1" s="1"/>
  <c r="AG458" i="1"/>
  <c r="AF458" i="1"/>
  <c r="AA458" i="1"/>
  <c r="AA457" i="1"/>
  <c r="AA456" i="1"/>
  <c r="AA455" i="1"/>
  <c r="AF455" i="1" s="1"/>
  <c r="AG455" i="1" s="1"/>
  <c r="AF454" i="1"/>
  <c r="AG454" i="1" s="1"/>
  <c r="AA454" i="1"/>
  <c r="AF453" i="1"/>
  <c r="AA453" i="1"/>
  <c r="AA452" i="1"/>
  <c r="AG451" i="1"/>
  <c r="AA451" i="1"/>
  <c r="AF451" i="1" s="1"/>
  <c r="AG450" i="1"/>
  <c r="AF450" i="1"/>
  <c r="AA450" i="1"/>
  <c r="AA449" i="1"/>
  <c r="AA448" i="1"/>
  <c r="AA447" i="1"/>
  <c r="AF447" i="1" s="1"/>
  <c r="AG447" i="1" s="1"/>
  <c r="AF446" i="1"/>
  <c r="AG446" i="1" s="1"/>
  <c r="AA446" i="1"/>
  <c r="AF445" i="1"/>
  <c r="AA445" i="1"/>
  <c r="AG445" i="1" s="1"/>
  <c r="AA444" i="1"/>
  <c r="AG443" i="1"/>
  <c r="AA443" i="1"/>
  <c r="AF443" i="1" s="1"/>
  <c r="AG442" i="1"/>
  <c r="AF442" i="1"/>
  <c r="AA442" i="1"/>
  <c r="AA441" i="1"/>
  <c r="AA440" i="1"/>
  <c r="AA439" i="1"/>
  <c r="AF439" i="1" s="1"/>
  <c r="AG439" i="1" s="1"/>
  <c r="AF438" i="1"/>
  <c r="AG438" i="1" s="1"/>
  <c r="AA438" i="1"/>
  <c r="AF437" i="1"/>
  <c r="AA437" i="1"/>
  <c r="AG437" i="1" s="1"/>
  <c r="AA436" i="1"/>
  <c r="AA435" i="1"/>
  <c r="AF435" i="1" s="1"/>
  <c r="AG435" i="1" s="1"/>
  <c r="AG434" i="1"/>
  <c r="AF434" i="1"/>
  <c r="AA434" i="1"/>
  <c r="AA433" i="1"/>
  <c r="AA432" i="1"/>
  <c r="AA431" i="1"/>
  <c r="AF431" i="1" s="1"/>
  <c r="AG431" i="1" s="1"/>
  <c r="AF430" i="1"/>
  <c r="AG430" i="1" s="1"/>
  <c r="AA430" i="1"/>
  <c r="AF429" i="1"/>
  <c r="AA429" i="1"/>
  <c r="AG429" i="1" s="1"/>
  <c r="AA428" i="1"/>
  <c r="AG427" i="1"/>
  <c r="AF427" i="1"/>
  <c r="AA427" i="1"/>
  <c r="AG426" i="1"/>
  <c r="AF426" i="1"/>
  <c r="AA426" i="1"/>
  <c r="AA425" i="1"/>
  <c r="AA424" i="1"/>
  <c r="AA423" i="1"/>
  <c r="AF423" i="1" s="1"/>
  <c r="AG423" i="1" s="1"/>
  <c r="AF422" i="1"/>
  <c r="AG422" i="1" s="1"/>
  <c r="AA422" i="1"/>
  <c r="AF421" i="1"/>
  <c r="AA421" i="1"/>
  <c r="AG421" i="1" s="1"/>
  <c r="AA420" i="1"/>
  <c r="AG419" i="1"/>
  <c r="AF419" i="1"/>
  <c r="AA419" i="1"/>
  <c r="AG418" i="1"/>
  <c r="AF418" i="1"/>
  <c r="AA418" i="1"/>
  <c r="AA417" i="1"/>
  <c r="AA416" i="1"/>
  <c r="AA415" i="1"/>
  <c r="AF415" i="1" s="1"/>
  <c r="AG415" i="1" s="1"/>
  <c r="AF414" i="1"/>
  <c r="AG414" i="1" s="1"/>
  <c r="AA414" i="1"/>
  <c r="AF413" i="1"/>
  <c r="AA413" i="1"/>
  <c r="AA412" i="1"/>
  <c r="AG411" i="1"/>
  <c r="AF411" i="1"/>
  <c r="AA411" i="1"/>
  <c r="AG410" i="1"/>
  <c r="AF410" i="1"/>
  <c r="AA410" i="1"/>
  <c r="AA409" i="1"/>
  <c r="AA408" i="1"/>
  <c r="AA407" i="1"/>
  <c r="AF407" i="1" s="1"/>
  <c r="AG407" i="1" s="1"/>
  <c r="AF406" i="1"/>
  <c r="AG406" i="1" s="1"/>
  <c r="AA406" i="1"/>
  <c r="AF405" i="1"/>
  <c r="AA405" i="1"/>
  <c r="AG405" i="1" s="1"/>
  <c r="AA404" i="1"/>
  <c r="AG403" i="1"/>
  <c r="AF403" i="1"/>
  <c r="AA403" i="1"/>
  <c r="AG402" i="1"/>
  <c r="AF402" i="1"/>
  <c r="AA402" i="1"/>
  <c r="AA401" i="1"/>
  <c r="AA400" i="1"/>
  <c r="AA399" i="1"/>
  <c r="AF399" i="1" s="1"/>
  <c r="AG399" i="1" s="1"/>
  <c r="AF398" i="1"/>
  <c r="AG398" i="1" s="1"/>
  <c r="AA398" i="1"/>
  <c r="AF397" i="1"/>
  <c r="AA397" i="1"/>
  <c r="AG397" i="1" s="1"/>
  <c r="AA396" i="1"/>
  <c r="AG395" i="1"/>
  <c r="AF395" i="1"/>
  <c r="AA395" i="1"/>
  <c r="AG394" i="1"/>
  <c r="AF394" i="1"/>
  <c r="AA394" i="1"/>
  <c r="AA393" i="1"/>
  <c r="AA392" i="1"/>
  <c r="AA391" i="1"/>
  <c r="AF391" i="1" s="1"/>
  <c r="AG391" i="1" s="1"/>
  <c r="AF390" i="1"/>
  <c r="AG390" i="1" s="1"/>
  <c r="AA390" i="1"/>
  <c r="AF389" i="1"/>
  <c r="AA389" i="1"/>
  <c r="AG389" i="1" s="1"/>
  <c r="AA388" i="1"/>
  <c r="AG387" i="1"/>
  <c r="AF387" i="1"/>
  <c r="AA387" i="1"/>
  <c r="AG386" i="1"/>
  <c r="AF386" i="1"/>
  <c r="AA386" i="1"/>
  <c r="AA385" i="1"/>
  <c r="AA384" i="1"/>
  <c r="AA383" i="1"/>
  <c r="AF383" i="1" s="1"/>
  <c r="AG383" i="1" s="1"/>
  <c r="AF382" i="1"/>
  <c r="AG382" i="1" s="1"/>
  <c r="AA382" i="1"/>
  <c r="AF381" i="1"/>
  <c r="AA381" i="1"/>
  <c r="AA380" i="1"/>
  <c r="AG379" i="1"/>
  <c r="AF379" i="1"/>
  <c r="AA379" i="1"/>
  <c r="AG378" i="1"/>
  <c r="AF378" i="1"/>
  <c r="AA378" i="1"/>
  <c r="AA377" i="1"/>
  <c r="AA376" i="1"/>
  <c r="AA375" i="1"/>
  <c r="AF375" i="1" s="1"/>
  <c r="AG375" i="1" s="1"/>
  <c r="AF374" i="1"/>
  <c r="AG374" i="1" s="1"/>
  <c r="AA374" i="1"/>
  <c r="AF373" i="1"/>
  <c r="AA373" i="1"/>
  <c r="AG373" i="1" s="1"/>
  <c r="AA372" i="1"/>
  <c r="AG371" i="1"/>
  <c r="AF371" i="1"/>
  <c r="AA371" i="1"/>
  <c r="AG370" i="1"/>
  <c r="AF370" i="1"/>
  <c r="AA370" i="1"/>
  <c r="AA369" i="1"/>
  <c r="AA368" i="1"/>
  <c r="AA367" i="1"/>
  <c r="AF367" i="1" s="1"/>
  <c r="AG367" i="1" s="1"/>
  <c r="AF366" i="1"/>
  <c r="AG366" i="1" s="1"/>
  <c r="AA366" i="1"/>
  <c r="AF365" i="1"/>
  <c r="AA365" i="1"/>
  <c r="AG365" i="1" s="1"/>
  <c r="AA364" i="1"/>
  <c r="AG363" i="1"/>
  <c r="AF363" i="1"/>
  <c r="AA363" i="1"/>
  <c r="AG362" i="1"/>
  <c r="AF362" i="1"/>
  <c r="AA362" i="1"/>
  <c r="AA361" i="1"/>
  <c r="AA360" i="1"/>
  <c r="AA359" i="1"/>
  <c r="AF359" i="1" s="1"/>
  <c r="AG359" i="1" s="1"/>
  <c r="AF358" i="1"/>
  <c r="AG358" i="1" s="1"/>
  <c r="AA358" i="1"/>
  <c r="AF357" i="1"/>
  <c r="AA357" i="1"/>
  <c r="AG357" i="1" s="1"/>
  <c r="AA356" i="1"/>
  <c r="AG355" i="1"/>
  <c r="AF355" i="1"/>
  <c r="AA355" i="1"/>
  <c r="AG354" i="1"/>
  <c r="AF354" i="1"/>
  <c r="AA354" i="1"/>
  <c r="AA353" i="1"/>
  <c r="AA352" i="1"/>
  <c r="AA351" i="1"/>
  <c r="AF351" i="1" s="1"/>
  <c r="AG351" i="1" s="1"/>
  <c r="AF350" i="1"/>
  <c r="AG350" i="1" s="1"/>
  <c r="AA350" i="1"/>
  <c r="AF349" i="1"/>
  <c r="AA349" i="1"/>
  <c r="AA348" i="1"/>
  <c r="AG347" i="1"/>
  <c r="AF347" i="1"/>
  <c r="AA347" i="1"/>
  <c r="AG346" i="1"/>
  <c r="AF346" i="1"/>
  <c r="AA346" i="1"/>
  <c r="AA345" i="1"/>
  <c r="AA344" i="1"/>
  <c r="AA343" i="1"/>
  <c r="AF343" i="1" s="1"/>
  <c r="AG343" i="1" s="1"/>
  <c r="AF342" i="1"/>
  <c r="AG342" i="1" s="1"/>
  <c r="AA342" i="1"/>
  <c r="AF341" i="1"/>
  <c r="AA341" i="1"/>
  <c r="AG341" i="1" s="1"/>
  <c r="AA340" i="1"/>
  <c r="AG339" i="1"/>
  <c r="AF339" i="1"/>
  <c r="AA339" i="1"/>
  <c r="AG338" i="1"/>
  <c r="AF338" i="1"/>
  <c r="AA338" i="1"/>
  <c r="AA337" i="1"/>
  <c r="AA336" i="1"/>
  <c r="AA335" i="1"/>
  <c r="AF335" i="1" s="1"/>
  <c r="AG335" i="1" s="1"/>
  <c r="AF334" i="1"/>
  <c r="AG334" i="1" s="1"/>
  <c r="AA334" i="1"/>
  <c r="AF333" i="1"/>
  <c r="AA333" i="1"/>
  <c r="AG333" i="1" s="1"/>
  <c r="AA332" i="1"/>
  <c r="AG331" i="1"/>
  <c r="AF331" i="1"/>
  <c r="AA331" i="1"/>
  <c r="AG330" i="1"/>
  <c r="AF330" i="1"/>
  <c r="AA330" i="1"/>
  <c r="AA329" i="1"/>
  <c r="AA328" i="1"/>
  <c r="AA327" i="1"/>
  <c r="AF327" i="1" s="1"/>
  <c r="AG327" i="1" s="1"/>
  <c r="AG326" i="1"/>
  <c r="AF326" i="1"/>
  <c r="AA326" i="1"/>
  <c r="AF325" i="1"/>
  <c r="AA325" i="1"/>
  <c r="AG325" i="1" s="1"/>
  <c r="AA324" i="1"/>
  <c r="AG323" i="1"/>
  <c r="AF323" i="1"/>
  <c r="AA323" i="1"/>
  <c r="AG322" i="1"/>
  <c r="AF322" i="1"/>
  <c r="AA322" i="1"/>
  <c r="AA321" i="1"/>
  <c r="AA320" i="1"/>
  <c r="AA319" i="1"/>
  <c r="AF319" i="1" s="1"/>
  <c r="AG319" i="1" s="1"/>
  <c r="AG318" i="1"/>
  <c r="AF318" i="1"/>
  <c r="AA318" i="1"/>
  <c r="AF317" i="1"/>
  <c r="AA317" i="1"/>
  <c r="AG317" i="1" s="1"/>
  <c r="AA316" i="1"/>
  <c r="AG315" i="1"/>
  <c r="AF315" i="1"/>
  <c r="AA315" i="1"/>
  <c r="AG314" i="1"/>
  <c r="AF314" i="1"/>
  <c r="AA314" i="1"/>
  <c r="AA313" i="1"/>
  <c r="AA312" i="1"/>
  <c r="AA311" i="1"/>
  <c r="AF311" i="1" s="1"/>
  <c r="AG311" i="1" s="1"/>
  <c r="AG310" i="1"/>
  <c r="AF310" i="1"/>
  <c r="AA310" i="1"/>
  <c r="AF309" i="1"/>
  <c r="AA309" i="1"/>
  <c r="AG309" i="1" s="1"/>
  <c r="AA308" i="1"/>
  <c r="AG307" i="1"/>
  <c r="AF307" i="1"/>
  <c r="AA307" i="1"/>
  <c r="AG306" i="1"/>
  <c r="AF306" i="1"/>
  <c r="AA306" i="1"/>
  <c r="AA305" i="1"/>
  <c r="AA304" i="1"/>
  <c r="AA303" i="1"/>
  <c r="AF303" i="1" s="1"/>
  <c r="AG303" i="1" s="1"/>
  <c r="AG302" i="1"/>
  <c r="AF302" i="1"/>
  <c r="AA302" i="1"/>
  <c r="AF301" i="1"/>
  <c r="AA301" i="1"/>
  <c r="AG301" i="1" s="1"/>
  <c r="AA300" i="1"/>
  <c r="AG299" i="1"/>
  <c r="AF299" i="1"/>
  <c r="AA299" i="1"/>
  <c r="AG298" i="1"/>
  <c r="AF298" i="1"/>
  <c r="AA298" i="1"/>
  <c r="AA297" i="1"/>
  <c r="AA296" i="1"/>
  <c r="AA295" i="1"/>
  <c r="AF295" i="1" s="1"/>
  <c r="AG295" i="1" s="1"/>
  <c r="AG294" i="1"/>
  <c r="AF294" i="1"/>
  <c r="AA294" i="1"/>
  <c r="AF293" i="1"/>
  <c r="AA293" i="1"/>
  <c r="AG293" i="1" s="1"/>
  <c r="AA292" i="1"/>
  <c r="AG291" i="1"/>
  <c r="AF291" i="1"/>
  <c r="AA291" i="1"/>
  <c r="AG290" i="1"/>
  <c r="AF290" i="1"/>
  <c r="AA290" i="1"/>
  <c r="AA289" i="1"/>
  <c r="AA288" i="1"/>
  <c r="AA287" i="1"/>
  <c r="AF287" i="1" s="1"/>
  <c r="AG287" i="1" s="1"/>
  <c r="AG286" i="1"/>
  <c r="AF286" i="1"/>
  <c r="AA286" i="1"/>
  <c r="AF285" i="1"/>
  <c r="AA285" i="1"/>
  <c r="AG285" i="1" s="1"/>
  <c r="AA284" i="1"/>
  <c r="AG283" i="1"/>
  <c r="AF283" i="1"/>
  <c r="AA283" i="1"/>
  <c r="AG282" i="1"/>
  <c r="AF282" i="1"/>
  <c r="AA282" i="1"/>
  <c r="AA281" i="1"/>
  <c r="AA280" i="1"/>
  <c r="AA279" i="1"/>
  <c r="AF279" i="1" s="1"/>
  <c r="AG279" i="1" s="1"/>
  <c r="AG278" i="1"/>
  <c r="AF278" i="1"/>
  <c r="AA278" i="1"/>
  <c r="AF277" i="1"/>
  <c r="AA277" i="1"/>
  <c r="AG277" i="1" s="1"/>
  <c r="AA276" i="1"/>
  <c r="AG275" i="1"/>
  <c r="AF275" i="1"/>
  <c r="AA275" i="1"/>
  <c r="AG274" i="1"/>
  <c r="AF274" i="1"/>
  <c r="AA274" i="1"/>
  <c r="AA273" i="1"/>
  <c r="AA272" i="1"/>
  <c r="AA271" i="1"/>
  <c r="AF271" i="1" s="1"/>
  <c r="AG271" i="1" s="1"/>
  <c r="AG270" i="1"/>
  <c r="AF270" i="1"/>
  <c r="AA270" i="1"/>
  <c r="AA269" i="1"/>
  <c r="AA268" i="1"/>
  <c r="AG267" i="1"/>
  <c r="AF267" i="1"/>
  <c r="AA267" i="1"/>
  <c r="AG266" i="1"/>
  <c r="AF266" i="1"/>
  <c r="AA266" i="1"/>
  <c r="AA265" i="1"/>
  <c r="AA264" i="1"/>
  <c r="AA263" i="1"/>
  <c r="AF263" i="1" s="1"/>
  <c r="AG263" i="1" s="1"/>
  <c r="AG262" i="1"/>
  <c r="AF262" i="1"/>
  <c r="AA262" i="1"/>
  <c r="AA261" i="1"/>
  <c r="AA260" i="1"/>
  <c r="AG259" i="1"/>
  <c r="AF259" i="1"/>
  <c r="AA259" i="1"/>
  <c r="AF258" i="1"/>
  <c r="AG258" i="1" s="1"/>
  <c r="AA258" i="1"/>
  <c r="AF257" i="1"/>
  <c r="AA257" i="1"/>
  <c r="AA256" i="1"/>
  <c r="AG255" i="1"/>
  <c r="AA255" i="1"/>
  <c r="AF255" i="1" s="1"/>
  <c r="AF254" i="1"/>
  <c r="AG254" i="1" s="1"/>
  <c r="AA254" i="1"/>
  <c r="AF253" i="1"/>
  <c r="AA253" i="1"/>
  <c r="AA252" i="1"/>
  <c r="AG251" i="1"/>
  <c r="AF251" i="1"/>
  <c r="AA251" i="1"/>
  <c r="AF250" i="1"/>
  <c r="AG250" i="1" s="1"/>
  <c r="AA250" i="1"/>
  <c r="AA249" i="1"/>
  <c r="AG248" i="1"/>
  <c r="AA248" i="1"/>
  <c r="AF248" i="1" s="1"/>
  <c r="AA247" i="1"/>
  <c r="AF247" i="1" s="1"/>
  <c r="AG247" i="1" s="1"/>
  <c r="AF246" i="1"/>
  <c r="AG246" i="1" s="1"/>
  <c r="AA246" i="1"/>
  <c r="AA245" i="1"/>
  <c r="AF244" i="1"/>
  <c r="AA244" i="1"/>
  <c r="AF243" i="1"/>
  <c r="AG243" i="1" s="1"/>
  <c r="AA243" i="1"/>
  <c r="AF242" i="1"/>
  <c r="AG242" i="1" s="1"/>
  <c r="AA242" i="1"/>
  <c r="AA241" i="1"/>
  <c r="AF241" i="1" s="1"/>
  <c r="AG241" i="1" s="1"/>
  <c r="AA240" i="1"/>
  <c r="AF240" i="1" s="1"/>
  <c r="AA239" i="1"/>
  <c r="AF239" i="1" s="1"/>
  <c r="AG238" i="1"/>
  <c r="AF238" i="1"/>
  <c r="AA238" i="1"/>
  <c r="AA237" i="1"/>
  <c r="AF236" i="1"/>
  <c r="AA236" i="1"/>
  <c r="AF235" i="1"/>
  <c r="AG235" i="1" s="1"/>
  <c r="AA235" i="1"/>
  <c r="AF234" i="1"/>
  <c r="AG234" i="1" s="1"/>
  <c r="AA234" i="1"/>
  <c r="AA233" i="1"/>
  <c r="AF233" i="1" s="1"/>
  <c r="AG233" i="1" s="1"/>
  <c r="AG232" i="1"/>
  <c r="AA232" i="1"/>
  <c r="AF232" i="1" s="1"/>
  <c r="AA231" i="1"/>
  <c r="AF231" i="1" s="1"/>
  <c r="AF230" i="1"/>
  <c r="AG230" i="1" s="1"/>
  <c r="AA230" i="1"/>
  <c r="AA229" i="1"/>
  <c r="AF228" i="1"/>
  <c r="AA228" i="1"/>
  <c r="AA227" i="1"/>
  <c r="AF226" i="1"/>
  <c r="AG226" i="1" s="1"/>
  <c r="AA226" i="1"/>
  <c r="AA225" i="1"/>
  <c r="AF225" i="1" s="1"/>
  <c r="AG225" i="1" s="1"/>
  <c r="AF224" i="1"/>
  <c r="AG224" i="1" s="1"/>
  <c r="AA224" i="1"/>
  <c r="AA223" i="1"/>
  <c r="AF223" i="1" s="1"/>
  <c r="AA222" i="1"/>
  <c r="AF222" i="1" s="1"/>
  <c r="AG222" i="1" s="1"/>
  <c r="AF221" i="1"/>
  <c r="AG221" i="1" s="1"/>
  <c r="AA221" i="1"/>
  <c r="AF220" i="1"/>
  <c r="AA220" i="1"/>
  <c r="AG220" i="1" s="1"/>
  <c r="AA219" i="1"/>
  <c r="AA218" i="1"/>
  <c r="AF218" i="1" s="1"/>
  <c r="AG218" i="1" s="1"/>
  <c r="AG217" i="1"/>
  <c r="AF217" i="1"/>
  <c r="AA217" i="1"/>
  <c r="AA216" i="1"/>
  <c r="AA215" i="1"/>
  <c r="AA214" i="1"/>
  <c r="AF214" i="1" s="1"/>
  <c r="AG214" i="1" s="1"/>
  <c r="AF213" i="1"/>
  <c r="AG213" i="1" s="1"/>
  <c r="AA213" i="1"/>
  <c r="AF212" i="1"/>
  <c r="AA212" i="1"/>
  <c r="AG212" i="1" s="1"/>
  <c r="AA211" i="1"/>
  <c r="AA210" i="1"/>
  <c r="AF210" i="1" s="1"/>
  <c r="AG210" i="1" s="1"/>
  <c r="AG209" i="1"/>
  <c r="AF209" i="1"/>
  <c r="AA209" i="1"/>
  <c r="AA208" i="1"/>
  <c r="AA207" i="1"/>
  <c r="AA206" i="1"/>
  <c r="AF206" i="1" s="1"/>
  <c r="AG206" i="1" s="1"/>
  <c r="AF205" i="1"/>
  <c r="AG205" i="1" s="1"/>
  <c r="AA205" i="1"/>
  <c r="AF204" i="1"/>
  <c r="AA204" i="1"/>
  <c r="AG204" i="1" s="1"/>
  <c r="AA203" i="1"/>
  <c r="AA202" i="1"/>
  <c r="AF202" i="1" s="1"/>
  <c r="AG202" i="1" s="1"/>
  <c r="AG201" i="1"/>
  <c r="AF201" i="1"/>
  <c r="AA201" i="1"/>
  <c r="AA200" i="1"/>
  <c r="AA199" i="1"/>
  <c r="AA198" i="1"/>
  <c r="AF198" i="1" s="1"/>
  <c r="AG198" i="1" s="1"/>
  <c r="AF197" i="1"/>
  <c r="AG197" i="1" s="1"/>
  <c r="AA197" i="1"/>
  <c r="AF196" i="1"/>
  <c r="AA196" i="1"/>
  <c r="AG196" i="1" s="1"/>
  <c r="AA195" i="1"/>
  <c r="AA194" i="1"/>
  <c r="AF194" i="1" s="1"/>
  <c r="AG194" i="1" s="1"/>
  <c r="AG193" i="1"/>
  <c r="AF193" i="1"/>
  <c r="AA193" i="1"/>
  <c r="AA192" i="1"/>
  <c r="AA191" i="1"/>
  <c r="AA190" i="1"/>
  <c r="AF190" i="1" s="1"/>
  <c r="AG190" i="1" s="1"/>
  <c r="AF189" i="1"/>
  <c r="AG189" i="1" s="1"/>
  <c r="AA189" i="1"/>
  <c r="AF188" i="1"/>
  <c r="AA188" i="1"/>
  <c r="AG188" i="1" s="1"/>
  <c r="AA187" i="1"/>
  <c r="AA186" i="1"/>
  <c r="AF186" i="1" s="1"/>
  <c r="AG186" i="1" s="1"/>
  <c r="AG185" i="1"/>
  <c r="AF185" i="1"/>
  <c r="AA185" i="1"/>
  <c r="AA184" i="1"/>
  <c r="AA183" i="1"/>
  <c r="AA182" i="1"/>
  <c r="AF182" i="1" s="1"/>
  <c r="AG182" i="1" s="1"/>
  <c r="AF181" i="1"/>
  <c r="AG181" i="1" s="1"/>
  <c r="AA181" i="1"/>
  <c r="AF180" i="1"/>
  <c r="AA180" i="1"/>
  <c r="AG180" i="1" s="1"/>
  <c r="AA179" i="1"/>
  <c r="AA178" i="1"/>
  <c r="AF178" i="1" s="1"/>
  <c r="AG178" i="1" s="1"/>
  <c r="AG177" i="1"/>
  <c r="AF177" i="1"/>
  <c r="AA177" i="1"/>
  <c r="AA176" i="1"/>
  <c r="AA175" i="1"/>
  <c r="AA174" i="1"/>
  <c r="AF174" i="1" s="1"/>
  <c r="AG174" i="1" s="1"/>
  <c r="AF173" i="1"/>
  <c r="AG173" i="1" s="1"/>
  <c r="AA173" i="1"/>
  <c r="AF172" i="1"/>
  <c r="AA172" i="1"/>
  <c r="AG172" i="1" s="1"/>
  <c r="AA171" i="1"/>
  <c r="AA170" i="1"/>
  <c r="AF170" i="1" s="1"/>
  <c r="AG170" i="1" s="1"/>
  <c r="AG169" i="1"/>
  <c r="AF169" i="1"/>
  <c r="AA169" i="1"/>
  <c r="AA168" i="1"/>
  <c r="AA167" i="1"/>
  <c r="AA166" i="1"/>
  <c r="AF166" i="1" s="1"/>
  <c r="AG166" i="1" s="1"/>
  <c r="AF165" i="1"/>
  <c r="AG165" i="1" s="1"/>
  <c r="AA165" i="1"/>
  <c r="AF164" i="1"/>
  <c r="AA164" i="1"/>
  <c r="AG164" i="1" s="1"/>
  <c r="AA163" i="1"/>
  <c r="AA162" i="1"/>
  <c r="AF162" i="1" s="1"/>
  <c r="AG162" i="1" s="1"/>
  <c r="AG161" i="1"/>
  <c r="AF161" i="1"/>
  <c r="AA161" i="1"/>
  <c r="AA160" i="1"/>
  <c r="AA159" i="1"/>
  <c r="AA158" i="1"/>
  <c r="AF158" i="1" s="1"/>
  <c r="AG158" i="1" s="1"/>
  <c r="AF157" i="1"/>
  <c r="AG157" i="1" s="1"/>
  <c r="AA157" i="1"/>
  <c r="AF156" i="1"/>
  <c r="AA156" i="1"/>
  <c r="AG156" i="1" s="1"/>
  <c r="AA155" i="1"/>
  <c r="AA154" i="1"/>
  <c r="AF154" i="1" s="1"/>
  <c r="AG154" i="1" s="1"/>
  <c r="AG153" i="1"/>
  <c r="AF153" i="1"/>
  <c r="AA153" i="1"/>
  <c r="AA152" i="1"/>
  <c r="AA151" i="1"/>
  <c r="AA150" i="1"/>
  <c r="AF150" i="1" s="1"/>
  <c r="AG150" i="1" s="1"/>
  <c r="AF149" i="1"/>
  <c r="AG149" i="1" s="1"/>
  <c r="AA149" i="1"/>
  <c r="AF148" i="1"/>
  <c r="AA148" i="1"/>
  <c r="AG148" i="1" s="1"/>
  <c r="AA147" i="1"/>
  <c r="AA146" i="1"/>
  <c r="AF146" i="1" s="1"/>
  <c r="AG146" i="1" s="1"/>
  <c r="AG145" i="1"/>
  <c r="AF145" i="1"/>
  <c r="AA145" i="1"/>
  <c r="AA144" i="1"/>
  <c r="AA143" i="1"/>
  <c r="AA142" i="1"/>
  <c r="AF142" i="1" s="1"/>
  <c r="AG142" i="1" s="1"/>
  <c r="AF141" i="1"/>
  <c r="AG141" i="1" s="1"/>
  <c r="AA141" i="1"/>
  <c r="AF140" i="1"/>
  <c r="AA140" i="1"/>
  <c r="AG140" i="1" s="1"/>
  <c r="AA139" i="1"/>
  <c r="AA138" i="1"/>
  <c r="AF138" i="1" s="1"/>
  <c r="AG138" i="1" s="1"/>
  <c r="AF137" i="1"/>
  <c r="AG137" i="1" s="1"/>
  <c r="AA137" i="1"/>
  <c r="AA136" i="1"/>
  <c r="AA135" i="1"/>
  <c r="AA134" i="1"/>
  <c r="AF134" i="1" s="1"/>
  <c r="AG134" i="1" s="1"/>
  <c r="AF133" i="1"/>
  <c r="AG133" i="1" s="1"/>
  <c r="AA133" i="1"/>
  <c r="AA132" i="1"/>
  <c r="AA131" i="1"/>
  <c r="AA130" i="1"/>
  <c r="AF130" i="1" s="1"/>
  <c r="AG130" i="1" s="1"/>
  <c r="AF129" i="1"/>
  <c r="AG129" i="1" s="1"/>
  <c r="AA129" i="1"/>
  <c r="AA128" i="1"/>
  <c r="AA127" i="1"/>
  <c r="AA126" i="1"/>
  <c r="AF126" i="1" s="1"/>
  <c r="AG126" i="1" s="1"/>
  <c r="AF125" i="1"/>
  <c r="AG125" i="1" s="1"/>
  <c r="AA125" i="1"/>
  <c r="AA124" i="1"/>
  <c r="AA123" i="1"/>
  <c r="AA122" i="1"/>
  <c r="AF122" i="1" s="1"/>
  <c r="AG122" i="1" s="1"/>
  <c r="AF121" i="1"/>
  <c r="AG121" i="1" s="1"/>
  <c r="AA121" i="1"/>
  <c r="AA120" i="1"/>
  <c r="AA119" i="1"/>
  <c r="AA118" i="1"/>
  <c r="AF118" i="1" s="1"/>
  <c r="AG118" i="1" s="1"/>
  <c r="AF117" i="1"/>
  <c r="AG117" i="1" s="1"/>
  <c r="AA117" i="1"/>
  <c r="AA116" i="1"/>
  <c r="AA115" i="1"/>
  <c r="AA114" i="1"/>
  <c r="AF114" i="1" s="1"/>
  <c r="AG114" i="1" s="1"/>
  <c r="AF113" i="1"/>
  <c r="AG113" i="1" s="1"/>
  <c r="AA113" i="1"/>
  <c r="AA112" i="1"/>
  <c r="AA111" i="1"/>
  <c r="AA110" i="1"/>
  <c r="AF110" i="1" s="1"/>
  <c r="AG110" i="1" s="1"/>
  <c r="AF109" i="1"/>
  <c r="AG109" i="1" s="1"/>
  <c r="AA109" i="1"/>
  <c r="AA108" i="1"/>
  <c r="AA107" i="1"/>
  <c r="AA106" i="1"/>
  <c r="AF106" i="1" s="1"/>
  <c r="AG106" i="1" s="1"/>
  <c r="AF105" i="1"/>
  <c r="AG105" i="1" s="1"/>
  <c r="AA105" i="1"/>
  <c r="AA104" i="1"/>
  <c r="AA103" i="1"/>
  <c r="AA102" i="1"/>
  <c r="AF102" i="1" s="1"/>
  <c r="AG102" i="1" s="1"/>
  <c r="AF101" i="1"/>
  <c r="AG101" i="1" s="1"/>
  <c r="AA101" i="1"/>
  <c r="AA100" i="1"/>
  <c r="AA99" i="1"/>
  <c r="AA98" i="1"/>
  <c r="AF98" i="1" s="1"/>
  <c r="AG98" i="1" s="1"/>
  <c r="AF97" i="1"/>
  <c r="AG97" i="1" s="1"/>
  <c r="AA97" i="1"/>
  <c r="AA96" i="1"/>
  <c r="AA95" i="1"/>
  <c r="AA94" i="1"/>
  <c r="AF94" i="1" s="1"/>
  <c r="AG94" i="1" s="1"/>
  <c r="AF93" i="1"/>
  <c r="AG93" i="1" s="1"/>
  <c r="AA93" i="1"/>
  <c r="AA92" i="1"/>
  <c r="AA91" i="1"/>
  <c r="AA90" i="1"/>
  <c r="AF90" i="1" s="1"/>
  <c r="AG90" i="1" s="1"/>
  <c r="AF89" i="1"/>
  <c r="AG89" i="1" s="1"/>
  <c r="AA89" i="1"/>
  <c r="AA88" i="1"/>
  <c r="AA87" i="1"/>
  <c r="AA86" i="1"/>
  <c r="AF86" i="1" s="1"/>
  <c r="AG86" i="1" s="1"/>
  <c r="AF85" i="1"/>
  <c r="AG85" i="1" s="1"/>
  <c r="AA85" i="1"/>
  <c r="AA84" i="1"/>
  <c r="AA83" i="1"/>
  <c r="AG82" i="1"/>
  <c r="AF82" i="1"/>
  <c r="AA82" i="1"/>
  <c r="AF81" i="1"/>
  <c r="AG81" i="1" s="1"/>
  <c r="AA81" i="1"/>
  <c r="AA80" i="1"/>
  <c r="AA79" i="1"/>
  <c r="AA78" i="1"/>
  <c r="AF78" i="1" s="1"/>
  <c r="AG78" i="1" s="1"/>
  <c r="AF77" i="1"/>
  <c r="AG77" i="1" s="1"/>
  <c r="AA77" i="1"/>
  <c r="AA76" i="1"/>
  <c r="AA75" i="1"/>
  <c r="AG74" i="1"/>
  <c r="AF74" i="1"/>
  <c r="AA74" i="1"/>
  <c r="AF73" i="1"/>
  <c r="AG73" i="1" s="1"/>
  <c r="AA73" i="1"/>
  <c r="AA72" i="1"/>
  <c r="AA71" i="1"/>
  <c r="AA70" i="1"/>
  <c r="AF70" i="1" s="1"/>
  <c r="AG70" i="1" s="1"/>
  <c r="AF69" i="1"/>
  <c r="AG69" i="1" s="1"/>
  <c r="AA69" i="1"/>
  <c r="AA68" i="1"/>
  <c r="AA67" i="1"/>
  <c r="AG66" i="1"/>
  <c r="AF66" i="1"/>
  <c r="AA66" i="1"/>
  <c r="AF65" i="1"/>
  <c r="AG65" i="1" s="1"/>
  <c r="AA65" i="1"/>
  <c r="AA64" i="1"/>
  <c r="AA63" i="1"/>
  <c r="AA62" i="1"/>
  <c r="AF62" i="1" s="1"/>
  <c r="AG62" i="1" s="1"/>
  <c r="AF61" i="1"/>
  <c r="AG61" i="1" s="1"/>
  <c r="AA61" i="1"/>
  <c r="AA60" i="1"/>
  <c r="AA59" i="1"/>
  <c r="AA58" i="1"/>
  <c r="AF58" i="1" s="1"/>
  <c r="AG58" i="1" s="1"/>
  <c r="AF57" i="1"/>
  <c r="AG57" i="1" s="1"/>
  <c r="AA57" i="1"/>
  <c r="AA56" i="1"/>
  <c r="AA55" i="1"/>
  <c r="AA54" i="1"/>
  <c r="AF54" i="1" s="1"/>
  <c r="AG54" i="1" s="1"/>
  <c r="AF53" i="1"/>
  <c r="AG53" i="1" s="1"/>
  <c r="AA53" i="1"/>
  <c r="AA52" i="1"/>
  <c r="AA51" i="1"/>
  <c r="AG50" i="1"/>
  <c r="AF50" i="1"/>
  <c r="AA50" i="1"/>
  <c r="AF49" i="1"/>
  <c r="AG49" i="1" s="1"/>
  <c r="AA49" i="1"/>
  <c r="AA48" i="1"/>
  <c r="AA47" i="1"/>
  <c r="AA46" i="1"/>
  <c r="AF46" i="1" s="1"/>
  <c r="AG46" i="1" s="1"/>
  <c r="AF45" i="1"/>
  <c r="AG45" i="1" s="1"/>
  <c r="AA45" i="1"/>
  <c r="AA44" i="1"/>
  <c r="AA43" i="1"/>
  <c r="AG42" i="1"/>
  <c r="AF42" i="1"/>
  <c r="AA42" i="1"/>
  <c r="AF41" i="1"/>
  <c r="AG41" i="1" s="1"/>
  <c r="AA41" i="1"/>
  <c r="AA40" i="1"/>
  <c r="AA39" i="1"/>
  <c r="AA38" i="1"/>
  <c r="AF38" i="1" s="1"/>
  <c r="AG38" i="1" s="1"/>
  <c r="AF37" i="1"/>
  <c r="AG37" i="1" s="1"/>
  <c r="AA37" i="1"/>
  <c r="AA36" i="1"/>
  <c r="AA35" i="1"/>
  <c r="AG34" i="1"/>
  <c r="AF34" i="1"/>
  <c r="AA34" i="1"/>
  <c r="AF33" i="1"/>
  <c r="AG33" i="1" s="1"/>
  <c r="AA33" i="1"/>
  <c r="AA32" i="1"/>
  <c r="AA31" i="1"/>
  <c r="AA30" i="1"/>
  <c r="AF30" i="1" s="1"/>
  <c r="AG30" i="1" s="1"/>
  <c r="AF29" i="1"/>
  <c r="AG29" i="1" s="1"/>
  <c r="AA29" i="1"/>
  <c r="AA28" i="1"/>
  <c r="AA27" i="1"/>
  <c r="AG26" i="1"/>
  <c r="AF26" i="1"/>
  <c r="AA26" i="1"/>
  <c r="AF25" i="1"/>
  <c r="AG25" i="1" s="1"/>
  <c r="AA25" i="1"/>
  <c r="AA24" i="1"/>
  <c r="AA23" i="1"/>
  <c r="AA22" i="1"/>
  <c r="AF22" i="1" s="1"/>
  <c r="AG22" i="1" s="1"/>
  <c r="AF21" i="1"/>
  <c r="AG21" i="1" s="1"/>
  <c r="AA21" i="1"/>
  <c r="AA20" i="1"/>
  <c r="AA19" i="1"/>
  <c r="AG18" i="1"/>
  <c r="AF18" i="1"/>
  <c r="AA18" i="1"/>
  <c r="AF17" i="1"/>
  <c r="AG17" i="1" s="1"/>
  <c r="AA17" i="1"/>
  <c r="AA16" i="1"/>
  <c r="AA15" i="1"/>
  <c r="AA14" i="1"/>
  <c r="AF14" i="1" s="1"/>
  <c r="AG14" i="1" s="1"/>
  <c r="AF13" i="1"/>
  <c r="AG13" i="1" s="1"/>
  <c r="AA13" i="1"/>
  <c r="AA12" i="1"/>
  <c r="AA11" i="1"/>
  <c r="AG10" i="1"/>
  <c r="AF10" i="1"/>
  <c r="AA10" i="1"/>
  <c r="AF9" i="1"/>
  <c r="AG9" i="1" s="1"/>
  <c r="AA9" i="1"/>
  <c r="AA8" i="1"/>
  <c r="AA7" i="1"/>
  <c r="AG6" i="1"/>
  <c r="AF6" i="1"/>
  <c r="AA6" i="1"/>
  <c r="AF5" i="1"/>
  <c r="AG5" i="1" s="1"/>
  <c r="AA5" i="1"/>
  <c r="AA4" i="1"/>
  <c r="AA3" i="1"/>
  <c r="AG2" i="1"/>
  <c r="AF2" i="1"/>
  <c r="AA2" i="1"/>
  <c r="AG32" i="1" l="1"/>
  <c r="AG99" i="1"/>
  <c r="AG159" i="1"/>
  <c r="AG87" i="1"/>
  <c r="AG160" i="1"/>
  <c r="AG27" i="1"/>
  <c r="AG88" i="1"/>
  <c r="AG155" i="1"/>
  <c r="AG219" i="1"/>
  <c r="AG23" i="1"/>
  <c r="AG28" i="1"/>
  <c r="AG95" i="1"/>
  <c r="AG8" i="1"/>
  <c r="AG24" i="1"/>
  <c r="AG115" i="1"/>
  <c r="AG128" i="1"/>
  <c r="AG151" i="1"/>
  <c r="AG199" i="1"/>
  <c r="AG63" i="1"/>
  <c r="AG116" i="1"/>
  <c r="AG200" i="1"/>
  <c r="AG35" i="1"/>
  <c r="AG91" i="1"/>
  <c r="AG227" i="1"/>
  <c r="AG31" i="1"/>
  <c r="AG52" i="1"/>
  <c r="AG92" i="1"/>
  <c r="AG265" i="1"/>
  <c r="AF268" i="1"/>
  <c r="AG268" i="1" s="1"/>
  <c r="AF276" i="1"/>
  <c r="AG276" i="1" s="1"/>
  <c r="AF284" i="1"/>
  <c r="AG284" i="1" s="1"/>
  <c r="AF292" i="1"/>
  <c r="AG292" i="1" s="1"/>
  <c r="AG300" i="1"/>
  <c r="AF300" i="1"/>
  <c r="AG308" i="1"/>
  <c r="AF308" i="1"/>
  <c r="AG316" i="1"/>
  <c r="AF316" i="1"/>
  <c r="AG321" i="1"/>
  <c r="AF324" i="1"/>
  <c r="AG324" i="1" s="1"/>
  <c r="AG329" i="1"/>
  <c r="AF329" i="1"/>
  <c r="AF361" i="1"/>
  <c r="AG361" i="1" s="1"/>
  <c r="AF393" i="1"/>
  <c r="AG393" i="1" s="1"/>
  <c r="AF425" i="1"/>
  <c r="AG425" i="1" s="1"/>
  <c r="AG449" i="1"/>
  <c r="AF449" i="1"/>
  <c r="AF497" i="1"/>
  <c r="AG497" i="1" s="1"/>
  <c r="AF8" i="1"/>
  <c r="AF16" i="1"/>
  <c r="AG16" i="1" s="1"/>
  <c r="AF24" i="1"/>
  <c r="AF32" i="1"/>
  <c r="AF40" i="1"/>
  <c r="AG40" i="1" s="1"/>
  <c r="AF48" i="1"/>
  <c r="AG48" i="1" s="1"/>
  <c r="AF56" i="1"/>
  <c r="AG56" i="1" s="1"/>
  <c r="AF64" i="1"/>
  <c r="AG64" i="1" s="1"/>
  <c r="AF72" i="1"/>
  <c r="AG72" i="1" s="1"/>
  <c r="AF80" i="1"/>
  <c r="AG80" i="1" s="1"/>
  <c r="AF88" i="1"/>
  <c r="AF96" i="1"/>
  <c r="AG96" i="1" s="1"/>
  <c r="AF104" i="1"/>
  <c r="AG104" i="1" s="1"/>
  <c r="AF112" i="1"/>
  <c r="AG112" i="1" s="1"/>
  <c r="AF120" i="1"/>
  <c r="AG120" i="1" s="1"/>
  <c r="AF128" i="1"/>
  <c r="AF136" i="1"/>
  <c r="AG136" i="1" s="1"/>
  <c r="AF144" i="1"/>
  <c r="AG144" i="1" s="1"/>
  <c r="AF152" i="1"/>
  <c r="AG152" i="1" s="1"/>
  <c r="AF160" i="1"/>
  <c r="AF168" i="1"/>
  <c r="AG168" i="1" s="1"/>
  <c r="AF176" i="1"/>
  <c r="AG176" i="1" s="1"/>
  <c r="AF184" i="1"/>
  <c r="AG184" i="1" s="1"/>
  <c r="AF192" i="1"/>
  <c r="AG192" i="1" s="1"/>
  <c r="AF200" i="1"/>
  <c r="AF208" i="1"/>
  <c r="AG208" i="1" s="1"/>
  <c r="AF216" i="1"/>
  <c r="AG216" i="1" s="1"/>
  <c r="AF227" i="1"/>
  <c r="AG237" i="1"/>
  <c r="AG240" i="1"/>
  <c r="AF261" i="1"/>
  <c r="AG261" i="1" s="1"/>
  <c r="AF265" i="1"/>
  <c r="AF273" i="1"/>
  <c r="AG273" i="1" s="1"/>
  <c r="AF281" i="1"/>
  <c r="AG281" i="1" s="1"/>
  <c r="AF289" i="1"/>
  <c r="AG289" i="1" s="1"/>
  <c r="AF297" i="1"/>
  <c r="AG297" i="1" s="1"/>
  <c r="AF305" i="1"/>
  <c r="AG305" i="1" s="1"/>
  <c r="AF313" i="1"/>
  <c r="AG313" i="1" s="1"/>
  <c r="AF321" i="1"/>
  <c r="AF352" i="1"/>
  <c r="AG352" i="1" s="1"/>
  <c r="AF384" i="1"/>
  <c r="AG384" i="1" s="1"/>
  <c r="AG416" i="1"/>
  <c r="AF416" i="1"/>
  <c r="AG444" i="1"/>
  <c r="AF3" i="1"/>
  <c r="AG3" i="1" s="1"/>
  <c r="AF11" i="1"/>
  <c r="AG11" i="1" s="1"/>
  <c r="AF19" i="1"/>
  <c r="AG19" i="1" s="1"/>
  <c r="AF27" i="1"/>
  <c r="AF35" i="1"/>
  <c r="AF43" i="1"/>
  <c r="AG43" i="1" s="1"/>
  <c r="AF51" i="1"/>
  <c r="AG51" i="1" s="1"/>
  <c r="AF59" i="1"/>
  <c r="AG59" i="1" s="1"/>
  <c r="AF67" i="1"/>
  <c r="AG67" i="1" s="1"/>
  <c r="AF75" i="1"/>
  <c r="AG75" i="1" s="1"/>
  <c r="AF83" i="1"/>
  <c r="AG83" i="1" s="1"/>
  <c r="AF91" i="1"/>
  <c r="AF99" i="1"/>
  <c r="AF107" i="1"/>
  <c r="AG107" i="1" s="1"/>
  <c r="AF115" i="1"/>
  <c r="AF123" i="1"/>
  <c r="AG123" i="1" s="1"/>
  <c r="AF131" i="1"/>
  <c r="AG131" i="1" s="1"/>
  <c r="AF139" i="1"/>
  <c r="AG139" i="1" s="1"/>
  <c r="AF147" i="1"/>
  <c r="AG147" i="1" s="1"/>
  <c r="AF155" i="1"/>
  <c r="AF163" i="1"/>
  <c r="AG163" i="1" s="1"/>
  <c r="AF171" i="1"/>
  <c r="AG171" i="1" s="1"/>
  <c r="AF179" i="1"/>
  <c r="AG179" i="1" s="1"/>
  <c r="AF187" i="1"/>
  <c r="AG187" i="1" s="1"/>
  <c r="AF195" i="1"/>
  <c r="AG195" i="1" s="1"/>
  <c r="AF203" i="1"/>
  <c r="AG203" i="1" s="1"/>
  <c r="AF211" i="1"/>
  <c r="AG211" i="1" s="1"/>
  <c r="AF219" i="1"/>
  <c r="AF237" i="1"/>
  <c r="AF269" i="1"/>
  <c r="AG269" i="1" s="1"/>
  <c r="AF353" i="1"/>
  <c r="AG353" i="1" s="1"/>
  <c r="AF385" i="1"/>
  <c r="AG385" i="1" s="1"/>
  <c r="AG417" i="1"/>
  <c r="AF417" i="1"/>
  <c r="AF440" i="1"/>
  <c r="AG440" i="1" s="1"/>
  <c r="AF465" i="1"/>
  <c r="AG465" i="1" s="1"/>
  <c r="AG484" i="1"/>
  <c r="AF489" i="1"/>
  <c r="AG489" i="1" s="1"/>
  <c r="AF521" i="1"/>
  <c r="AG521" i="1" s="1"/>
  <c r="AG228" i="1"/>
  <c r="AG231" i="1"/>
  <c r="AG244" i="1"/>
  <c r="AF344" i="1"/>
  <c r="AG344" i="1" s="1"/>
  <c r="AF376" i="1"/>
  <c r="AG376" i="1" s="1"/>
  <c r="AF408" i="1"/>
  <c r="AG408" i="1" s="1"/>
  <c r="AG412" i="1"/>
  <c r="AG441" i="1"/>
  <c r="AF441" i="1"/>
  <c r="AG537" i="1"/>
  <c r="AF537" i="1"/>
  <c r="AF553" i="1"/>
  <c r="AG553" i="1" s="1"/>
  <c r="AG345" i="1"/>
  <c r="AF345" i="1"/>
  <c r="AG349" i="1"/>
  <c r="AG377" i="1"/>
  <c r="AF377" i="1"/>
  <c r="AG381" i="1"/>
  <c r="AF409" i="1"/>
  <c r="AG409" i="1" s="1"/>
  <c r="AG413" i="1"/>
  <c r="AF456" i="1"/>
  <c r="AG456" i="1" s="1"/>
  <c r="AG461" i="1"/>
  <c r="AF481" i="1"/>
  <c r="AG481" i="1" s="1"/>
  <c r="AG508" i="1"/>
  <c r="AF513" i="1"/>
  <c r="AG513" i="1" s="1"/>
  <c r="AF4" i="1"/>
  <c r="AG4" i="1" s="1"/>
  <c r="AF12" i="1"/>
  <c r="AG12" i="1" s="1"/>
  <c r="AF20" i="1"/>
  <c r="AG20" i="1" s="1"/>
  <c r="AF28" i="1"/>
  <c r="AF36" i="1"/>
  <c r="AG36" i="1" s="1"/>
  <c r="AF44" i="1"/>
  <c r="AG44" i="1" s="1"/>
  <c r="AF52" i="1"/>
  <c r="AF60" i="1"/>
  <c r="AG60" i="1" s="1"/>
  <c r="AF68" i="1"/>
  <c r="AG68" i="1" s="1"/>
  <c r="AF76" i="1"/>
  <c r="AG76" i="1" s="1"/>
  <c r="AF84" i="1"/>
  <c r="AG84" i="1" s="1"/>
  <c r="AF92" i="1"/>
  <c r="AF100" i="1"/>
  <c r="AG100" i="1" s="1"/>
  <c r="AF108" i="1"/>
  <c r="AG108" i="1" s="1"/>
  <c r="AF116" i="1"/>
  <c r="AF124" i="1"/>
  <c r="AG124" i="1" s="1"/>
  <c r="AF132" i="1"/>
  <c r="AG132" i="1" s="1"/>
  <c r="AF336" i="1"/>
  <c r="AG336" i="1" s="1"/>
  <c r="AF368" i="1"/>
  <c r="AG368" i="1" s="1"/>
  <c r="AG372" i="1"/>
  <c r="AG400" i="1"/>
  <c r="AF400" i="1"/>
  <c r="AG432" i="1"/>
  <c r="AF432" i="1"/>
  <c r="AF457" i="1"/>
  <c r="AG457" i="1" s="1"/>
  <c r="AG472" i="1"/>
  <c r="AF7" i="1"/>
  <c r="AG7" i="1" s="1"/>
  <c r="AF15" i="1"/>
  <c r="AG15" i="1" s="1"/>
  <c r="AF23" i="1"/>
  <c r="AF31" i="1"/>
  <c r="AF39" i="1"/>
  <c r="AG39" i="1" s="1"/>
  <c r="AF47" i="1"/>
  <c r="AG47" i="1" s="1"/>
  <c r="AF55" i="1"/>
  <c r="AG55" i="1" s="1"/>
  <c r="AF63" i="1"/>
  <c r="AF71" i="1"/>
  <c r="AG71" i="1" s="1"/>
  <c r="AF79" i="1"/>
  <c r="AG79" i="1" s="1"/>
  <c r="AF87" i="1"/>
  <c r="AF95" i="1"/>
  <c r="AF103" i="1"/>
  <c r="AG103" i="1" s="1"/>
  <c r="AF111" i="1"/>
  <c r="AG111" i="1" s="1"/>
  <c r="AF119" i="1"/>
  <c r="AG119" i="1" s="1"/>
  <c r="AF127" i="1"/>
  <c r="AG127" i="1" s="1"/>
  <c r="AF135" i="1"/>
  <c r="AG135" i="1" s="1"/>
  <c r="AF143" i="1"/>
  <c r="AG143" i="1" s="1"/>
  <c r="AF151" i="1"/>
  <c r="AF159" i="1"/>
  <c r="AF167" i="1"/>
  <c r="AG167" i="1" s="1"/>
  <c r="AF175" i="1"/>
  <c r="AG175" i="1" s="1"/>
  <c r="AF183" i="1"/>
  <c r="AG183" i="1" s="1"/>
  <c r="AF191" i="1"/>
  <c r="AG191" i="1" s="1"/>
  <c r="AF199" i="1"/>
  <c r="AF207" i="1"/>
  <c r="AG207" i="1" s="1"/>
  <c r="AF215" i="1"/>
  <c r="AG215" i="1" s="1"/>
  <c r="AG223" i="1"/>
  <c r="AF229" i="1"/>
  <c r="AG229" i="1" s="1"/>
  <c r="AF245" i="1"/>
  <c r="AG245" i="1" s="1"/>
  <c r="AF252" i="1"/>
  <c r="AG252" i="1" s="1"/>
  <c r="AG256" i="1"/>
  <c r="AF256" i="1"/>
  <c r="AF337" i="1"/>
  <c r="AG337" i="1" s="1"/>
  <c r="AF369" i="1"/>
  <c r="AG369" i="1" s="1"/>
  <c r="AF401" i="1"/>
  <c r="AG401" i="1" s="1"/>
  <c r="AG433" i="1"/>
  <c r="AF433" i="1"/>
  <c r="AF473" i="1"/>
  <c r="AG473" i="1" s="1"/>
  <c r="AG500" i="1"/>
  <c r="AF505" i="1"/>
  <c r="AG505" i="1" s="1"/>
  <c r="AG561" i="1"/>
  <c r="AF561" i="1"/>
  <c r="AG236" i="1"/>
  <c r="AG239" i="1"/>
  <c r="AF249" i="1"/>
  <c r="AG249" i="1" s="1"/>
  <c r="AG253" i="1"/>
  <c r="AG257" i="1"/>
  <c r="AF260" i="1"/>
  <c r="AG260" i="1" s="1"/>
  <c r="AG264" i="1"/>
  <c r="AF264" i="1"/>
  <c r="AF272" i="1"/>
  <c r="AG272" i="1" s="1"/>
  <c r="AG280" i="1"/>
  <c r="AF280" i="1"/>
  <c r="AF288" i="1"/>
  <c r="AG288" i="1" s="1"/>
  <c r="AG296" i="1"/>
  <c r="AF296" i="1"/>
  <c r="AF304" i="1"/>
  <c r="AG304" i="1" s="1"/>
  <c r="AG312" i="1"/>
  <c r="AF312" i="1"/>
  <c r="AF320" i="1"/>
  <c r="AG320" i="1" s="1"/>
  <c r="AG328" i="1"/>
  <c r="AF328" i="1"/>
  <c r="AF360" i="1"/>
  <c r="AG360" i="1" s="1"/>
  <c r="AF392" i="1"/>
  <c r="AG392" i="1" s="1"/>
  <c r="AF424" i="1"/>
  <c r="AG424" i="1" s="1"/>
  <c r="AG448" i="1"/>
  <c r="AF448" i="1"/>
  <c r="AG453" i="1"/>
  <c r="AG529" i="1"/>
  <c r="AF529" i="1"/>
  <c r="AF545" i="1"/>
  <c r="AG545" i="1" s="1"/>
  <c r="AF464" i="1"/>
  <c r="AG464" i="1" s="1"/>
  <c r="AG469" i="1"/>
  <c r="AF472" i="1"/>
  <c r="AG477" i="1"/>
  <c r="AG485" i="1"/>
  <c r="AG493" i="1"/>
  <c r="AG501" i="1"/>
  <c r="AG509" i="1"/>
  <c r="AG517" i="1"/>
  <c r="AG525" i="1"/>
  <c r="AG533" i="1"/>
  <c r="AG541" i="1"/>
  <c r="AG549" i="1"/>
  <c r="AG557" i="1"/>
  <c r="AF560" i="1"/>
  <c r="AG560" i="1" s="1"/>
  <c r="AF332" i="1"/>
  <c r="AG332" i="1" s="1"/>
  <c r="AF340" i="1"/>
  <c r="AG340" i="1" s="1"/>
  <c r="AF348" i="1"/>
  <c r="AG348" i="1" s="1"/>
  <c r="AF356" i="1"/>
  <c r="AG356" i="1" s="1"/>
  <c r="AF364" i="1"/>
  <c r="AG364" i="1" s="1"/>
  <c r="AF372" i="1"/>
  <c r="AF380" i="1"/>
  <c r="AG380" i="1" s="1"/>
  <c r="AF388" i="1"/>
  <c r="AG388" i="1" s="1"/>
  <c r="AF396" i="1"/>
  <c r="AG396" i="1" s="1"/>
  <c r="AF404" i="1"/>
  <c r="AG404" i="1" s="1"/>
  <c r="AF412" i="1"/>
  <c r="AF420" i="1"/>
  <c r="AG420" i="1" s="1"/>
  <c r="AF428" i="1"/>
  <c r="AG428" i="1" s="1"/>
  <c r="AF436" i="1"/>
  <c r="AG436" i="1" s="1"/>
  <c r="AF444" i="1"/>
  <c r="AF452" i="1"/>
  <c r="AG452" i="1" s="1"/>
  <c r="AF460" i="1"/>
  <c r="AG460" i="1" s="1"/>
  <c r="AF468" i="1"/>
  <c r="AG468" i="1" s="1"/>
  <c r="AF476" i="1"/>
  <c r="AG476" i="1" s="1"/>
  <c r="AF484" i="1"/>
  <c r="AF492" i="1"/>
  <c r="AG492" i="1" s="1"/>
  <c r="AF500" i="1"/>
  <c r="AF508" i="1"/>
  <c r="AF516" i="1"/>
  <c r="AG516" i="1" s="1"/>
  <c r="AF524" i="1"/>
  <c r="AG524" i="1" s="1"/>
  <c r="AF532" i="1"/>
  <c r="AG532" i="1" s="1"/>
  <c r="AF540" i="1"/>
  <c r="AG540" i="1" s="1"/>
  <c r="AF548" i="1"/>
  <c r="AG548" i="1" s="1"/>
  <c r="AF556" i="1"/>
  <c r="AG556" i="1" s="1"/>
  <c r="AF543" i="1"/>
  <c r="AG543" i="1" s="1"/>
  <c r="AF551" i="1"/>
  <c r="AG551" i="1" s="1"/>
  <c r="AF559" i="1"/>
  <c r="AG559" i="1" s="1"/>
  <c r="AF562" i="1"/>
  <c r="AG562" i="1" s="1"/>
</calcChain>
</file>

<file path=xl/sharedStrings.xml><?xml version="1.0" encoding="utf-8"?>
<sst xmlns="http://schemas.openxmlformats.org/spreadsheetml/2006/main" count="11136" uniqueCount="1808">
  <si>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</si>
  <si>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</si>
  <si>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</si>
  <si>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</si>
  <si>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</si>
  <si>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</si>
  <si>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</si>
  <si>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</si>
  <si>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</si>
  <si>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</si>
  <si>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</si>
  <si>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</si>
  <si>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</si>
  <si>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</si>
  <si>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</si>
  <si>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</si>
  <si>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</si>
  <si>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</si>
  <si>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</si>
  <si>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</si>
  <si>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</si>
  <si>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</si>
  <si>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</si>
  <si>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</si>
  <si>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</si>
  <si>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</si>
  <si>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</si>
  <si>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</si>
  <si>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</si>
  <si>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</si>
  <si>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</si>
  <si>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</si>
  <si>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</si>
  <si>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</si>
  <si>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</si>
  <si>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</si>
  <si>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NVMY34535000007576</t>
  </si>
  <si>
    <t/>
  </si>
  <si>
    <t>Completed</t>
  </si>
  <si>
    <t>NURUL SAFIKAH BT ZAINAL ABIDIN</t>
  </si>
  <si>
    <t>DELIVERY_THREE_DAYS_ANYTIME</t>
  </si>
  <si>
    <t>Parcel</t>
  </si>
  <si>
    <t>STANDARD</t>
  </si>
  <si>
    <t>SMALL</t>
  </si>
  <si>
    <t>WMSIA</t>
  </si>
  <si>
    <t>KBR1-KBR1</t>
  </si>
  <si>
    <t>Pahang</t>
  </si>
  <si>
    <t>TNB KUALA LIPIS JALAN LIPIS BENTA, 27200 KUALA LIPIS PAHANG DARUL MAKMUR  Kuala Lipis Pahang - my 27200</t>
  </si>
  <si>
    <t>AHMAD RETAIL</t>
  </si>
  <si>
    <t>WM</t>
  </si>
  <si>
    <t>NVMY34535000007584</t>
  </si>
  <si>
    <t>USTAZ HAFIZUDIN HANAFI</t>
  </si>
  <si>
    <t>Terengganu</t>
  </si>
  <si>
    <t>LOT 107 MADRASAH TAHFIZ AL-FAAIZ, KM 19 JLN CHUKAI, AIR PUTEH, PASIR GAJAH 23040 KEMAMAN, TERENGGANU  Ayer Puteh Terengganu - my 24000</t>
  </si>
  <si>
    <t>B1-CHU-19-29</t>
  </si>
  <si>
    <t>NVMY34535000007553</t>
  </si>
  <si>
    <t>MOHD RIDHWAN BIN MOHD ROPI</t>
  </si>
  <si>
    <t>Selangor</t>
  </si>
  <si>
    <t>13 JALAN SURIA S U5/S BANDAR PINGGIRAN SUBANG SEKSYEN U5, 40150 SHAH ALAM SELANGOR  Shah Alam Selangor - my 40150</t>
  </si>
  <si>
    <t>D1-SZB-26-94</t>
  </si>
  <si>
    <t>NVMY34535000007562</t>
  </si>
  <si>
    <t>ATTN LIM MEI LUAN</t>
  </si>
  <si>
    <t>TF VALUE-MART SDN BHD (482123-U) UNIT 4.7, LEVEL 4, WEST LOBBY, MENARA SUNWAY ANNEXE JALAN LAGOON TIMUR, BANDAR SUNWAY 46150 PETALING JAYA, SELANGOR  Petaling Jaya Selangor - my 46150</t>
  </si>
  <si>
    <t>MM-MM</t>
  </si>
  <si>
    <t>NVMY34535000007585</t>
  </si>
  <si>
    <t>SEVENTH-DAY ADVENTIST CORPORATION (M) BHD</t>
  </si>
  <si>
    <t>Kuala Lumpur</t>
  </si>
  <si>
    <t>22-1 JALAN 2/114 KUCHAI BUSINESS CENTRE, JALAN KUCHAI LAMA 58200 KUALA LUMPUR  Kuala Lumpur Kuala Lumpur - my 58200</t>
  </si>
  <si>
    <t>NVMY34535000007571</t>
  </si>
  <si>
    <t>NORAZIMAH BT  MAT LADZIN</t>
  </si>
  <si>
    <t>Melaka</t>
  </si>
  <si>
    <t>KM 14, JALAN KENANGA, KG TAMBAK PAYA 75460 MELAKA TENGAH MELAKA  Ayer Keroh Melaka - my 75460</t>
  </si>
  <si>
    <t>C3-MLM-3-87</t>
  </si>
  <si>
    <t>NVMY34535000007574</t>
  </si>
  <si>
    <t>NOOR AQILAH</t>
  </si>
  <si>
    <t>NO 1233, JLN BESTARI 2, TMN MERLIMAU BESTARI 77300 MERLIMAU MELAKA  Merlimau Melaka - my 77300</t>
  </si>
  <si>
    <t>MKZ-MKZ</t>
  </si>
  <si>
    <t>NVMY34535000007557</t>
  </si>
  <si>
    <t>EN. IR NOOR HARIZAL BIN HUSSEIN</t>
  </si>
  <si>
    <t>D1-21 JALAN PJU 1/41 DATARAN PRIMA KELANA JAYA 47301 PETALING JAYA SELANGOR  Petaling Jaya Selangor - my 47301</t>
  </si>
  <si>
    <t>NVMY34535000007575</t>
  </si>
  <si>
    <t>MAKSU</t>
  </si>
  <si>
    <t>21 JLN MM 1/4 TAMAN MERAK MAS 75450, MELAKA  Ayer Keroh Melaka - my 75450</t>
  </si>
  <si>
    <t>NVMY34535000007583</t>
  </si>
  <si>
    <t>MY-SUTERA SDN BHD</t>
  </si>
  <si>
    <t>LOT NO 9&amp;11, JALAN TUKANG 16/4 KAWASAN PERINDUSTRIAN SEKSYEN 16, 40702 SHAH ALAM, SELANGOR  Shah Alam Selangor - my 40000</t>
  </si>
  <si>
    <t>D1-KLG-22-105</t>
  </si>
  <si>
    <t>NVMY34535000007570</t>
  </si>
  <si>
    <t>AHLIM</t>
  </si>
  <si>
    <t>Johor</t>
  </si>
  <si>
    <t>62, Jalan Hasan kampong Bentong Kluang 86000 Johor  Kluang Johor - my 86000</t>
  </si>
  <si>
    <t>C2-KLU-5-76</t>
  </si>
  <si>
    <t>NVMY34535000007569</t>
  </si>
  <si>
    <t>Ernaliza</t>
  </si>
  <si>
    <t>72 jalan mentimun , taman sri ahmad perang ,81900 kota tinggi , johor  Kota Tinggi Johor - my 81900</t>
  </si>
  <si>
    <t>C1-TGI-9-62</t>
  </si>
  <si>
    <t>NVMY34535000007572</t>
  </si>
  <si>
    <t>LYNN AZLAN</t>
  </si>
  <si>
    <t>LOT 2537, BLOK G5 LORONG KENANGA , KM 28. KUANG 48050 RAWANG SELANGOR  Rawang Selangor - my 48050</t>
  </si>
  <si>
    <t>NVMY34535000007588</t>
  </si>
  <si>
    <t>ATTN : PN MARIZA</t>
  </si>
  <si>
    <t>MAHMOOD SECURITY (M) SDN BHD NO 12 TINGKAT 3, JALAN DANG WANGI 50100 KUALA LUMPUR  Kuala Lumpur Kuala Lumpur - my 50100</t>
  </si>
  <si>
    <t>D2-CKT-18-112</t>
  </si>
  <si>
    <t>NVMY34535000007566</t>
  </si>
  <si>
    <t>Nur Zulaikha</t>
  </si>
  <si>
    <t>D-07-04,BLOK D PPAM PUDINA,PRESINT 17 62150 PUTRAJAYA  Putrajaya Putrajaya - my 62150</t>
  </si>
  <si>
    <t>NVMY34535000007568</t>
  </si>
  <si>
    <t>Kayra kamarul</t>
  </si>
  <si>
    <t>Km10 jalan penghulu telok mas melaka 75460 melaka  Ayer Keroh Melaka - my 75460</t>
  </si>
  <si>
    <t>NVMY34535000007567</t>
  </si>
  <si>
    <t>Siti Hajar Ropihi</t>
  </si>
  <si>
    <t>No 83, Jalan AP 7, Taman Alai Perdana, 75460 Melaka  Ayer Keroh Melaka - my 75460</t>
  </si>
  <si>
    <t>C3-PIA-3-86</t>
  </si>
  <si>
    <t>NVMY34535000007586</t>
  </si>
  <si>
    <t>FAIZALHAIZEET BIN HANAFI</t>
  </si>
  <si>
    <t>NO 32 JALAN TEMBAGA MERAH 9 TAMAN SERI SKUDAI 81300 SKUDAI, JOHOR  Johor Bahru Johor - my 81300</t>
  </si>
  <si>
    <t>C1-NSJ-9-65</t>
  </si>
  <si>
    <t>NVMY34535000007565</t>
  </si>
  <si>
    <t>Nur Munirah</t>
  </si>
  <si>
    <t>Pulau Pinang</t>
  </si>
  <si>
    <t>2289,permatang tok jaya,sungai dua,penang,butterworth,13800  Butterworth Pulau Pinang - my 13800</t>
  </si>
  <si>
    <t>B2-BTS-15-42</t>
  </si>
  <si>
    <t>NVMY34535000007582</t>
  </si>
  <si>
    <t>ANDY CHAN</t>
  </si>
  <si>
    <t>12, JALAN EKOPERNIAGAAN 1/8 TAMAN EKOPERNIAGAAN, 81100 JOHOR BAHRU, JOHOR  Johor Bahru Johor - my 81100</t>
  </si>
  <si>
    <t>C1-AUS-9-67</t>
  </si>
  <si>
    <t>NVMY34535000007599</t>
  </si>
  <si>
    <t>NOORSHAZILA BTE ZAINAL ABIDIN</t>
  </si>
  <si>
    <t>Negeri Sembilan</t>
  </si>
  <si>
    <t>NO 4 JLN D, ARECA 2 TAMAN BANDAR SENAWANG 70450, SEREMBAN, NEGERI SEMBILAN  Seremban Negeri Sembilan - my 70450</t>
  </si>
  <si>
    <t>NVMY34535000007594</t>
  </si>
  <si>
    <t>NORA AZUNI BT MOHD NOR</t>
  </si>
  <si>
    <t>MR 9A JALAN MARAN KAMPUNG BUKIT RESAK 28000 TEMERLOH, PAHANG  Temerloh Pahang - my 28000</t>
  </si>
  <si>
    <t>B1-TMH-19-32</t>
  </si>
  <si>
    <t>NVMY34535000007614</t>
  </si>
  <si>
    <t>NIK ADILAH</t>
  </si>
  <si>
    <t>NO 4 LORONG GAMBANG JAYA 1/9, PERUMAHAN MAKMUR GAMBANG JAYA 1, 26300 KUANTAN, PAHANG  Gambang Pahang - my 26300</t>
  </si>
  <si>
    <t>PHG-PHG</t>
  </si>
  <si>
    <t>NVMY34535000007581</t>
  </si>
  <si>
    <t>SARAH ALYAA</t>
  </si>
  <si>
    <t>NO 254 JALAN ANGGERIK 2/7 BANDAR TENGGARA 81000 BANDAR TENGGARA JOHOR  Kulai Johor - my 81000</t>
  </si>
  <si>
    <t>C1-KLI-7-69</t>
  </si>
  <si>
    <t>NVMY34535000007603</t>
  </si>
  <si>
    <t>NORHIDAYAH MANAF</t>
  </si>
  <si>
    <t>MAHKHAMAH MAJISTRET BESUT KAMPUNG RAJA 22200 BESUT TERENGGANU  Kampung Raja Terengganu - my 22200</t>
  </si>
  <si>
    <t>KEL-KEL</t>
  </si>
  <si>
    <t>NVMY34535000007596</t>
  </si>
  <si>
    <t>SHIDA MAT</t>
  </si>
  <si>
    <t>BLOK A 17-03 KUARTERS INTEGRASI HOSPITAL SUNGAI BULOH 47000 SUNGAI BULOH, SELANGOR  Kuala Lumpur Kuala Lumpur - my 47000</t>
  </si>
  <si>
    <t>D3-SGB-14-121</t>
  </si>
  <si>
    <t>NVMY34535000007597</t>
  </si>
  <si>
    <t>NURUL ATIKAH BT AHMAD</t>
  </si>
  <si>
    <t>LOT 5467 KG SURAU HAJI DAUD 21070 KUALA TERENGGANU, TERENGGANU  Kuala Terengganu Terengganu - my 21070</t>
  </si>
  <si>
    <t>A2-MRG-25-12</t>
  </si>
  <si>
    <t>NVMY34535000007600</t>
  </si>
  <si>
    <t>SHAZWANI</t>
  </si>
  <si>
    <t>Kelantan</t>
  </si>
  <si>
    <t>BELAKANG LOT 1818 KG KEDAI BARU BANGGU 16450 KOTA BHARU, KELANTAN  Ketereh Kelantan - my 16450</t>
  </si>
  <si>
    <t>NVMY34535000007589</t>
  </si>
  <si>
    <t>TUAN HAJI ISMADI</t>
  </si>
  <si>
    <t>LOT MY SUTERA SDN BHD, NO 9&amp;11, JALAN TUKANG 16/4 KAWASAN PERINDUSTRIAN SEKSYEN 16, 40702 SHAH ALAM, SELANGOR  Shah Alam Selangor - my 40000</t>
  </si>
  <si>
    <t>NVMY34535000007577</t>
  </si>
  <si>
    <t>MOHD FAZLY BIN HARUN</t>
  </si>
  <si>
    <t>KLINIK KESIHATAN AU2 KERAMAT, TAMAN SRI KERAMAT KUALA LUMPUR 54200 KL  Kuala Lumpur Kuala Lumpur - my 54200</t>
  </si>
  <si>
    <t>D5-MLT-4-141</t>
  </si>
  <si>
    <t>NVMY34535000007593</t>
  </si>
  <si>
    <t>HASLINDA BINTI ABDULLAH</t>
  </si>
  <si>
    <t>NO 66D KAMPUNG KUBANG IKAN (KEDAI RUNCIT PIE ZINK MERAH DLM KG) CHERATING 26080 KUANTAN, PAHANG  Kuantan Pahang - my 26080</t>
  </si>
  <si>
    <t>B1-BLK-19-30</t>
  </si>
  <si>
    <t>NVMY34535000007609</t>
  </si>
  <si>
    <t>BALQIS</t>
  </si>
  <si>
    <t>NO 114, MANAL JAYA 2, 17500 TANAH MERAH, KELANTAN   Tanah Merah Kelantan - my 17500</t>
  </si>
  <si>
    <t>NVMY34535000007612</t>
  </si>
  <si>
    <t>AZLEE OTHMAN</t>
  </si>
  <si>
    <t>16,LORONG KAMPUNG PADANG 59,JALAN SUNGAI LEMBING 25200 KUANTAN PAHANG  Kuantan Pahang - my 25200</t>
  </si>
  <si>
    <t>NVMY34535000007595</t>
  </si>
  <si>
    <t>SITI MAZLINDA BINTI SA'BAN</t>
  </si>
  <si>
    <t>2155 BLOK 20, FELDA LOK HENG TIMUR, 81900 KOTA TINGGI, JOHOR  Kota Tinggi Johor - my 81900</t>
  </si>
  <si>
    <t>NVMY34535000007598</t>
  </si>
  <si>
    <t>FATIHAH FAUZI</t>
  </si>
  <si>
    <t>NO 8 JALAN INDAH PUTERI 25, 43900 SEPANG SELANGOR  Sepang Selangor - my 43900</t>
  </si>
  <si>
    <t>D4-STG-8-130</t>
  </si>
  <si>
    <t>NVMY34535000007605</t>
  </si>
  <si>
    <t>Hamrita binti Mohd Nor</t>
  </si>
  <si>
    <t>1860-5 kampung geliga baru,24000 Kemaman Terengganu   Ayer Puteh Terengganu - my 24000</t>
  </si>
  <si>
    <t>NVMY34535000007578</t>
  </si>
  <si>
    <t>HAFIZUDDIN BIN SHUKRI</t>
  </si>
  <si>
    <t>Perak</t>
  </si>
  <si>
    <t>NO 84 KG BINTANG 32000 SITIAWAN, PERAK  Sitiawan Perak - my 32000</t>
  </si>
  <si>
    <t>NVMY34535000007592</t>
  </si>
  <si>
    <t>XIAO MENG</t>
  </si>
  <si>
    <t>26 JALAN 3/149A, TAMAN BUKIT INTAN 57000 KUALA LUMPUR  Kuala Lumpur Kuala Lumpur - my 57000</t>
  </si>
  <si>
    <t>D2-OUG-20-108</t>
  </si>
  <si>
    <t>NVMY34535000007617</t>
  </si>
  <si>
    <t>NORASMAWATI BINTI RAMLI</t>
  </si>
  <si>
    <t>UNIT VEKTOR KLINIK LAMA,18300 GUA MUSANG KELANTAN.  Gua Musang Kelantan - my 18300</t>
  </si>
  <si>
    <t>NVMY34535000007608</t>
  </si>
  <si>
    <t>AQRAMEEN ABDULLAH</t>
  </si>
  <si>
    <t>NO 23-4 JALAN ELEKTRON F U16/F, DENAI ALAM 40160 SHAH ALAM, SELANGOR  Shah Alam Selangor - my 40160</t>
  </si>
  <si>
    <t>NVMY34535000007590</t>
  </si>
  <si>
    <t>ZANEE STORE (STORE)</t>
  </si>
  <si>
    <t>LOT 5254 KG GONG KULIM 16800 PASIR PUTEH, KELANTAN  Pasir Puteh Kelantan - my 16800</t>
  </si>
  <si>
    <t>A1-PTH-27-8</t>
  </si>
  <si>
    <t>NVMY34535000007616</t>
  </si>
  <si>
    <t>PN SHIKIN</t>
  </si>
  <si>
    <t>KEM WAWASAN NEGARA BESUT JALAN BUKIT KELUANG 22200 KAMPUNG RAJA TERENGGANU    Kampung Raja Terengganu - my 22200</t>
  </si>
  <si>
    <t>NVMY34535000007618</t>
  </si>
  <si>
    <t>NUR ASYIKIN WONG @ KAKZA</t>
  </si>
  <si>
    <t>KAMPUNG GONG KUA 16800 PASIR PUTIH, KELANTAN  Pasir Puteh Kelantan - my 16800</t>
  </si>
  <si>
    <t>NVMY34535000007606</t>
  </si>
  <si>
    <t>Noor Azlina Binti Ibrahim</t>
  </si>
  <si>
    <t>No.2-722, Blok 2  Jalan Matahari U5/117 Seksyen U5 40150 Shah Alam Selangor  Shah Alam Selangor - my 40150</t>
  </si>
  <si>
    <t>NVMY34535000007607</t>
  </si>
  <si>
    <t>NUR AL FARISYA</t>
  </si>
  <si>
    <t>BLOK A 417 APARTMENT CHERAS PERDANA LORONG CP 2/10, 43200 CHERAS, SELANGOR  Kuala Lumpur Kuala Lumpur - my 43200</t>
  </si>
  <si>
    <t>D2-CHE-18-111</t>
  </si>
  <si>
    <t>NVMY34535000007621</t>
  </si>
  <si>
    <t>AZFAR RUSLAN</t>
  </si>
  <si>
    <t>6-2-5 SRI PERMATA CONDOMINIUM,JALAN SSAAS 9/6 SEKSYEN 9,SHAH ALAM SELANGOR  Shah Alam Selangor - my 40100</t>
  </si>
  <si>
    <t>D1-SHA-26-95</t>
  </si>
  <si>
    <t>NVMY34535000007620</t>
  </si>
  <si>
    <t>TARMIZI DOLAH</t>
  </si>
  <si>
    <t>TAMAN MERU DAMAI 42200 MERU KAPAR SELANGOR  Kapar Selangor - my 42200</t>
  </si>
  <si>
    <t>D3-MRU-10-127</t>
  </si>
  <si>
    <t>NVMY34535000007579</t>
  </si>
  <si>
    <t>MAZLINA MOHAMMAD</t>
  </si>
  <si>
    <t>Sabah</t>
  </si>
  <si>
    <t>JALAN PUSAT TERNAKAN LEMBU KG BOMBOI 89000 KENINGAU, SABAH  Keningau Sabah - my 89000</t>
  </si>
  <si>
    <t>EMSIA</t>
  </si>
  <si>
    <t>EM</t>
  </si>
  <si>
    <t>NVMY34535000007558</t>
  </si>
  <si>
    <t>MASNAIL</t>
  </si>
  <si>
    <t>Sarawak</t>
  </si>
  <si>
    <t>NAJIB/SKE (6738617394) LOT 2222, RESTORAN NASI LEMAK PANDAN CAFE 98700 LIMBANG, SARAWAK  Limbang Sarawak - my 98700</t>
  </si>
  <si>
    <t>NVMY34535000007619</t>
  </si>
  <si>
    <t>MUHAMMAD HANIF ZULQARNAIN</t>
  </si>
  <si>
    <t>Kedah</t>
  </si>
  <si>
    <t>120 TAMAN SERI ALAM PERSIARAN 8, 06700 PENDANG, KEDAH  Pendang Kedah - my 06700</t>
  </si>
  <si>
    <t>A3-PDG-21-26</t>
  </si>
  <si>
    <t>NVMY34535000007613</t>
  </si>
  <si>
    <t>AMIN</t>
  </si>
  <si>
    <t>20, JALAN MELAWIS 1 TAMAN MELAWIS HANG TUAH JAYA 75450 AYER KEROH, MELAKA  Ayer Keroh Melaka - my 75450</t>
  </si>
  <si>
    <t>C3-MTG-3-84</t>
  </si>
  <si>
    <t>NVMY34535000007611</t>
  </si>
  <si>
    <t>NIK HASBOLLAH</t>
  </si>
  <si>
    <t>NIK IKAN BAKAR NO 1 MEDAN SELERA MASJID KAYANGAN BRINCHANG 39100 CAMERON HIGHLANDS PAHANG  Brinchang Pahang - my 39100</t>
  </si>
  <si>
    <t>B3-CMN-13-54</t>
  </si>
  <si>
    <t>NVMY34535000007625</t>
  </si>
  <si>
    <t>MOHAMAD RUZIAMI ADAM</t>
  </si>
  <si>
    <t>1024 JALAN TKP 18,TAMAN KANTAN PERMAI 43000 KAJANG SELANGOR  Kajang Selangor - my 43000</t>
  </si>
  <si>
    <t>D4-BMC-6-135</t>
  </si>
  <si>
    <t>NVMY34535000007587</t>
  </si>
  <si>
    <t>ROHANI SUJAI</t>
  </si>
  <si>
    <t>LOT 244 PUJUT TANJUNG BATU JALAN BYPAS EASY GO, 98000 MIRI, SARAWAK  Miri Sarawak - my 98000</t>
  </si>
  <si>
    <t>NVMY34535000007632</t>
  </si>
  <si>
    <t>KHAIRUN NASUHA</t>
  </si>
  <si>
    <t>132 , JALAN WARISAN INDAH 8/6 , KOTA WARISAN , 43900 SEPANG SELANGOR   Sepang Selangor - my 43900</t>
  </si>
  <si>
    <t>NVMY34535000007659</t>
  </si>
  <si>
    <t>AZIMAH BINTI MUSTAFA</t>
  </si>
  <si>
    <t>328, TAMAN MEGAWAY LORONG KEMBOJA 4 JALAN SIKAMAT 70400 SEREMBAN NEGERI SEMBILAN  Seremban Negeri Sembilan - my 70400</t>
  </si>
  <si>
    <t>NVMY34535000007626</t>
  </si>
  <si>
    <t>MUHAMMAD ZUBIR BIN ZAINUDDIN</t>
  </si>
  <si>
    <t>8556-C KM 12 PAYA RUMPUT 76450 MELAKA  Melaka Melaka - my 76450</t>
  </si>
  <si>
    <t>NVMY34535000007630</t>
  </si>
  <si>
    <t>SITI NUR SYUHADA BT MOHAMED ZAKARIA</t>
  </si>
  <si>
    <t>NO 27 JLN TG BAKTI 6, TMN TG BAKTI 31250 PERAK  Tanjong Rambutan Perak - my 31250</t>
  </si>
  <si>
    <t>B3-IPH-11-61</t>
  </si>
  <si>
    <t>NVMY34535000007634</t>
  </si>
  <si>
    <t>UNI HASMI BIN ISMAIL</t>
  </si>
  <si>
    <t>LOT 1651 LORONG BAHAGIA JLN KOTA BHARU, 16800 PASIR PUTEH, KELANTAN  Pasir Puteh Kelantan - my 16800</t>
  </si>
  <si>
    <t>NVMY34535000007623</t>
  </si>
  <si>
    <t>NURUL NAJHAH</t>
  </si>
  <si>
    <t>LOT 8510 -C LORONG TEPI MASJID KG BUKIT BERANGAN , TEPOH TERENGGANU  Kuala Terengganu Terengganu - my 21030</t>
  </si>
  <si>
    <t>A2-GBK-25-11</t>
  </si>
  <si>
    <t>NVMY34535000007666</t>
  </si>
  <si>
    <t>YSZA ABAS</t>
  </si>
  <si>
    <t>NO 48 JALAN NOVA U5/87, SUBANG BESTARI, 40150 SHAH ALAM, SELANGOR  Shah Alam Selangor - my 40150</t>
  </si>
  <si>
    <t>NVMY34535000007624</t>
  </si>
  <si>
    <t>YAP ENG HEAN</t>
  </si>
  <si>
    <t>85,JALAN i-2 TAMAN MELAWATI,53100 KUALA LUMPUR   Hulu Langat Kuala Lumpur - my 53100</t>
  </si>
  <si>
    <t>NVMY34535000007627</t>
  </si>
  <si>
    <t>NOOR AZNIERA BT DAUD</t>
  </si>
  <si>
    <t>NO 3 VILLA D,RUMAH KOPERASI FELDA KECHAU 01, 27100 KUALA LIPIS PAHANG  Padang Tengku Pahang - my 27100</t>
  </si>
  <si>
    <t>B1-LIP-17-39</t>
  </si>
  <si>
    <t>NVMY34535000007622</t>
  </si>
  <si>
    <t>FAIZATULAINI BT IISMAIL</t>
  </si>
  <si>
    <t>S2-8-18,PANGSAPURI CASSIA,NO.8,JALAN ECOHILL 1/2,SETIA ECOHILL 43500 SEMENYIH SELANGOR ULU LANGAT   Shah Alam Selangor - my 43500</t>
  </si>
  <si>
    <t>NVMY34535000007643</t>
  </si>
  <si>
    <t>Farhanah Bt Abdull Rahim</t>
  </si>
  <si>
    <t>Lot 342 Kampung Larak Pendek 15100 Kota Bharu Kelantan  Kota Bharu Kelantan - my 15100</t>
  </si>
  <si>
    <t>A1-KET-29-2</t>
  </si>
  <si>
    <t>NVMY34535000007633</t>
  </si>
  <si>
    <t>MUHAMMAD IRFAN</t>
  </si>
  <si>
    <t>BLOK A1-2-03 TAMAN SRI JANGGUS, ALMA BUKIT MERTAJAM 14000 PULAU PINANG  Bukit Mertajam Pulau Pinang - my 14000</t>
  </si>
  <si>
    <t>B2-BKM-15-47</t>
  </si>
  <si>
    <t>NVMY34535000007604</t>
  </si>
  <si>
    <t>AHMAD JAFRI BIN GHANI</t>
  </si>
  <si>
    <t>SAGARESS SDN BHD . LOT 1 LINGKARAN SULTAN MOHAMAD 2/KU 18 BANDAR SUHAN SULEIMAN 42000 PORT KLANG SELANGOR   Selangor my 42000</t>
  </si>
  <si>
    <t>NVMY34535000007601</t>
  </si>
  <si>
    <t>ZAMRI BIN AHMAD SIRAJ</t>
  </si>
  <si>
    <t>ARAS B, WISMA PERSEKUTUAN JALAN MITC HANG TUAH JAYA, 75450 AYER KEROH, MELAKA  Ayer Keroh Melaka - my 75450</t>
  </si>
  <si>
    <t>NVMY34535000007628</t>
  </si>
  <si>
    <t>ZAINAB BINTI MAN</t>
  </si>
  <si>
    <t>TASCO BERHAD, 1441 LORONG PERUSAHAAN MAJU 8, PRAI INDUSTRIAL ESTATE, 13600 PRAI, PENANG  Perai Pulau Pinang - my 13600</t>
  </si>
  <si>
    <t>NVMY34535000007631</t>
  </si>
  <si>
    <t>HARTINI BINTI DERAHMAN</t>
  </si>
  <si>
    <t>H2-1-B RUMAH KAKITANGAN UNIVERSITI SAINS ISLAM MALAYSIA 71800 NILAI NEGERI SEMBILAN   Labu Negeri Sembilan - my 71800</t>
  </si>
  <si>
    <t>NVMY34535000007655</t>
  </si>
  <si>
    <t>HASMALINIE</t>
  </si>
  <si>
    <t>PT 1638 TAMAN WARTA RANTAU PANJANG 17200 RANTAU PANJANG, KELANTAN  Rantau Panjang Kelantan - my 17200</t>
  </si>
  <si>
    <t>NVMY34535000007615</t>
  </si>
  <si>
    <t>NABIL FIKRI BIN LEEMON</t>
  </si>
  <si>
    <t>LEMBAGA PERINDUSTRIAN KAYU MALAYSIA BAHAGIAN PEMERKASAAN EKONOMI BUMIPUTRA ARAS 13-17 MENARA PGRM,NO8 JALAN PUDU ULU,CHERAS 56100 KUALA LUMPUR  Kuala Lumpur Kuala Lumpur - my 56100</t>
  </si>
  <si>
    <t>NVMY34535000007591</t>
  </si>
  <si>
    <t>TROOPERS</t>
  </si>
  <si>
    <t>PLAZA HAMODAL, 15, JALAN 13/2, SEKSYEN 13, 46200 PETALING JAYA SELANGOR  Petaling Jaya Selangor - my 46200</t>
  </si>
  <si>
    <t>D1-PJY-22-102</t>
  </si>
  <si>
    <t>NVMY34535000007610</t>
  </si>
  <si>
    <t>WINSON-088</t>
  </si>
  <si>
    <t>NO 54 JALAN METRO BARAT 12, SRI EDARAN INDUSTRIAL PARK, KEPONG 52100 KUALA LUMPUR  Kuala Lumpur Kuala Lumpur - my 52100</t>
  </si>
  <si>
    <t>D1-KEP-22-103</t>
  </si>
  <si>
    <t>NVMY34535000007638</t>
  </si>
  <si>
    <t>RAZEEN IKMAL BIN SHAHRUL IKRAM</t>
  </si>
  <si>
    <t>KOLEJ KEDIAMAN 1 UNIVERSITI SAINS ISLAM MALAYSIA (USIM) 71800 NILAI, NEGERI SEMBILAN  Labu Negeri Sembilan - my 71800</t>
  </si>
  <si>
    <t>NVMY34535000007635</t>
  </si>
  <si>
    <t>TAN HUEY JUEN</t>
  </si>
  <si>
    <t>MM-Bulky</t>
  </si>
  <si>
    <t>XEPA-SOUL PATTINSON MALAYSIA SDN BHD 1-5 CHENG INDUSTRIAL ESTATE 75250 MELAKA  Melaka Melaka - my 75250</t>
  </si>
  <si>
    <t>NVMY34535000007644</t>
  </si>
  <si>
    <t>HALENA GHANI</t>
  </si>
  <si>
    <t>LOT 1210, LORONG AMANAH AREA BALAI POLIS KUBANG KERIAN 16150 KOTA BHARU KELANTAN  Kota Bharu Kelantan - my 16150</t>
  </si>
  <si>
    <t>NVMY34535000007641</t>
  </si>
  <si>
    <t>AMIRAH FARHANI</t>
  </si>
  <si>
    <t>ISLAND HOSPITAL (PEEL WING) BIOMEDICAL DEPARTMENT PEEL AVE, PULAU TIKUS, 10450 GEORGETOWN, PULAU PINANG  Pulau Pinang Pulau Pinang - my 10450</t>
  </si>
  <si>
    <t>NVMY34535000007662</t>
  </si>
  <si>
    <t>FATIN ASYIKIN</t>
  </si>
  <si>
    <t>LOT 685 JALAN BERSATU KAMPUNG SIJANGKANG 42500 TELOK PANGLIMA GARANG, SELANGOR  Telok Panglima Garang Selangor - my 42500</t>
  </si>
  <si>
    <t>D5-RBY-2-143</t>
  </si>
  <si>
    <t>NVMY34535000007637</t>
  </si>
  <si>
    <t>MURNI AZAMI</t>
  </si>
  <si>
    <t>L1-02-22 JLN PENGHULU SEKSYEN 2 BANDAR MAHKOTA CHERAS, 43200 BT 9 CHERAS  Kuala Lumpur Kuala Lumpur - my 43200</t>
  </si>
  <si>
    <t>NVMY34535000007642</t>
  </si>
  <si>
    <t>ROHAINI EMBONG</t>
  </si>
  <si>
    <t>ROHAINI EMBONG 1729-6 KMPG KUALA KEMAMAN 24000 KEMAMAN TERENGGANU  Ayer Puteh Terengganu - my 24000</t>
  </si>
  <si>
    <t>NVMY34535000007653</t>
  </si>
  <si>
    <t>FARATUL AYUNIE</t>
  </si>
  <si>
    <t>HADAPAN MAAHAD TAHFIZ SAINS, KG BENDANG BARU BUKIT PANAU 17500 TANAH MERAH, KELANTAN  Tanah Merah Kelantan - my 17500</t>
  </si>
  <si>
    <t>NVMY34535000007658</t>
  </si>
  <si>
    <t>UMMI FARHANIM ROSDI</t>
  </si>
  <si>
    <t>PT 962 JALAN PASIR PUTEH, KAMPUNG BEMBAN PADANG KALA 161500 KOTA BHARU KELANTAN  Kota Bharu Kelantan - my 16150</t>
  </si>
  <si>
    <t>NVMY34535000007647</t>
  </si>
  <si>
    <t>LAU KOK KUAN</t>
  </si>
  <si>
    <t>Ka Ka Trading PLT, WDT 146, MDKNK 2331, Bangunan Kunak Plaza, 91207 Kunak, Sabah.  Kunak Sabah - my 91207</t>
  </si>
  <si>
    <t>E2-KNK-1-166</t>
  </si>
  <si>
    <t>NVMY34535000007651</t>
  </si>
  <si>
    <t>SUKI</t>
  </si>
  <si>
    <t>NO 3 JALAN SAGA TAMAN SRI AMAN 83700 YONG PENG,JOHOR  Yong Peng Johor - my 83700</t>
  </si>
  <si>
    <t>C2-HTM-5-81</t>
  </si>
  <si>
    <t>NVMY34535000007652</t>
  </si>
  <si>
    <t>RAMADANIA COLLECTION</t>
  </si>
  <si>
    <t>NO 46-3 JALAN IBRAHIM 84000 MUAR, JOHOR  Muar Johor - my 84000</t>
  </si>
  <si>
    <t>C2-MUA-5-79</t>
  </si>
  <si>
    <t>NVMY34535000007668</t>
  </si>
  <si>
    <t>SURIATI BINTI MUSA</t>
  </si>
  <si>
    <t>GOODMORNING GLOBAL SDN BHD, NO 56 TAMAN PERINDUSTRIAN TIONG NAM, JALAN 15/22 SEKSYEN 15, 40200 SHAH ALAM SELANGOR  Shah Alam Selangor - my 40200</t>
  </si>
  <si>
    <t>NVMY34535000007680</t>
  </si>
  <si>
    <t>MOHAMAD EZZAT BIN MOHD JOHARI</t>
  </si>
  <si>
    <t>KOMPONI CHARLIE BATALION KE 18 RAMD (PARA) KEM SRI PANTAI 21300 KUALA NERUS, TERENGGANU  Paka Terengganu - my 23100</t>
  </si>
  <si>
    <t>TGG-TGG</t>
  </si>
  <si>
    <t>NVMY34535000007661</t>
  </si>
  <si>
    <t>NUR SYAZANA ABDULLAH</t>
  </si>
  <si>
    <t>BALAI BOMBA SLIM RIVER, JALAN SUNGKAI 35800 SLIM RIVER, PERAK  Slim River Perak - my 35800</t>
  </si>
  <si>
    <t>B3-SLM-13-50</t>
  </si>
  <si>
    <t>NVMY34535000007640</t>
  </si>
  <si>
    <t>AZMAH BINTI KIPLIN</t>
  </si>
  <si>
    <t>KG TEPI LAUT 89760 MENUMBUK, SABAH, KUALA PENYU, MENUMBUK, SABAH  Menumbok Sabah - my 89760</t>
  </si>
  <si>
    <t>NVMY34535000007660</t>
  </si>
  <si>
    <t>TERATAK AZMIRA</t>
  </si>
  <si>
    <t>NO52 JALAN BI17 TAMAN BERTAM IMPIAN 76450 MELAKA  Melaka Melaka - my 76450</t>
  </si>
  <si>
    <t>C3-MYK-3-82</t>
  </si>
  <si>
    <t>NVMY34535000007654</t>
  </si>
  <si>
    <t>CIK MIERA</t>
  </si>
  <si>
    <t>KUARTERS KLINIK DESA TONG PLU, MUKIM PEDU 06300 KUALA NERANG, KEDAH  Kuala Nerang Kedah - my 06300</t>
  </si>
  <si>
    <t>A3-PSN-23-20</t>
  </si>
  <si>
    <t>NVMY34535000007665</t>
  </si>
  <si>
    <t>SALSABILA</t>
  </si>
  <si>
    <t>F-04-07 JLN HARMONIUM 24/2 TAMAN DESA TEBRAU 81100 JOHOR BAHRU  Johor Bahru Johor - my 81100</t>
  </si>
  <si>
    <t>NVMY34535000007602</t>
  </si>
  <si>
    <t>MOHD JUZAILI BIN MOHAMOOD</t>
  </si>
  <si>
    <t>KLINIK DESA BATU 4 JALAN FELCRA 86600 KLUANG, JOHOR  Paloh Johor - my 86600</t>
  </si>
  <si>
    <t>C1-PWR-9-63</t>
  </si>
  <si>
    <t>NVMY34535000007673</t>
  </si>
  <si>
    <t>MAZLINA BINTI MAT ALI</t>
  </si>
  <si>
    <t>BALAI POLIS CHENOR 28100 CHENOR PAHANG  Chenor Pahang - my 28100</t>
  </si>
  <si>
    <t>B1-JKA-17-34</t>
  </si>
  <si>
    <t>NVMY34535000007675</t>
  </si>
  <si>
    <t>OH CIK DEERA</t>
  </si>
  <si>
    <t>LEVEL 9-12 WISMA TRAXX JALAN CHAN SOW LIN NO 1, JALAN LIMA 55200 KUALA LUMPUR  Kuala Lumpur Kuala Lumpur - my 55200</t>
  </si>
  <si>
    <t>D3-BTR-12-125</t>
  </si>
  <si>
    <t>NVMY34535000007679</t>
  </si>
  <si>
    <t>CELL CARE WAREHOUSE</t>
  </si>
  <si>
    <t>LOT 3.34A, TINGKAT 3 PERTAMA COMPLEX JLN TUANKU ABDUL RAHMAN 50100 KUALA LUMPUR  Kuala Lumpur Kuala Lumpur - my 50100</t>
  </si>
  <si>
    <t>NVMY34535000007674</t>
  </si>
  <si>
    <t>NVMY34535000007636</t>
  </si>
  <si>
    <t>Omar Sakaran</t>
  </si>
  <si>
    <t>Hse no.40, Lot 65, Lorong Kingfisher Sulaman 3A, Taman Kingfisher Sulaman  88450, Kita Kinabalu Sabah  Kota Kinabalu Sabah - my 88450</t>
  </si>
  <si>
    <t>NVMY34535000007681</t>
  </si>
  <si>
    <t>ALIA SYUHADA</t>
  </si>
  <si>
    <t>T 201 TAMAN INDERAPURA, 27000 JERANTUT, PAHANG  Jerantut Pahang - my 27000</t>
  </si>
  <si>
    <t>NVMY34535000007669</t>
  </si>
  <si>
    <t>KAK EFFA</t>
  </si>
  <si>
    <t>PEJABAT SMK SULTAN IBRAHIM (1), 17000 PASIR MAS, KELANTAN  Pasir Mas Kelantan - my 17000</t>
  </si>
  <si>
    <t>NVMY34535000007646</t>
  </si>
  <si>
    <t>HAFIS JAEDIN</t>
  </si>
  <si>
    <t>NO 57 JALAN 224 SEKSYEN 51A 46100 PETALING JAYA SELANGOR  Petaling Jaya Selangor - my 46100</t>
  </si>
  <si>
    <t>NVMY34535000007663</t>
  </si>
  <si>
    <t>MOHAMMAD EDDY BIN MOHD JOHAN</t>
  </si>
  <si>
    <t>9 JALAN KEBANGSAAN 62, TAMAN UNIVERSITI SKUDAI 81300 JOHOR BAHRU JOHOR  Johor Bahru Johor - my 81300</t>
  </si>
  <si>
    <t>NVMY34535000007649</t>
  </si>
  <si>
    <t>ROSMAWATI</t>
  </si>
  <si>
    <t>SEKOLAH KEBANGSAAN KUALA JENGAL 23000 DUNGUN TERENGGANU  Terengganu - Dungun Terengganu - my 23000</t>
  </si>
  <si>
    <t>NVMY34535000007650</t>
  </si>
  <si>
    <t>IRFAN HAKIMI</t>
  </si>
  <si>
    <t>KOLEJ MATRIKULASI PENNAG, JLN PONGSU SERIBU, KAMPUNG PERMATANG HAJI HASAN 13200 KEPALA BATAS, PENANG  Kepala Batas Pulau Pinang - my 13200</t>
  </si>
  <si>
    <t>NVMY34535000007677</t>
  </si>
  <si>
    <t>HARY HAFIEZ</t>
  </si>
  <si>
    <t>NO 8 JLN P14D/1 PRESINT 14, 62050 WP , PUTRAJAYA  Putrajaya Putrajaya - my 62050</t>
  </si>
  <si>
    <t>D5-BGI-4-140</t>
  </si>
  <si>
    <t>NVMY34535000007670</t>
  </si>
  <si>
    <t>RAMLI BIN HASHIM</t>
  </si>
  <si>
    <t>B-10-00-08, FLAT ANGGERIK DESA PANDAN JLN KAMPUNG PANDAN 55100 KUALA LUMPUR  Kuala Lumpur Kuala Lumpur - my 55100</t>
  </si>
  <si>
    <t>D3-SHM-10-128</t>
  </si>
  <si>
    <t>NVMY34535000007693</t>
  </si>
  <si>
    <t>SIRIM QAS INTERNATIONAL SDN BHD</t>
  </si>
  <si>
    <t>SIRIM QAS INTERNATIONAL SDN BHD, MANAGEMENT SYSTEM CERTIFICATION DEPT CHEMICAL AND MATERIALS SECTION BUILDING 4, SIRIM COMPLEX NO 1 PERSIARAN DATO' MENTERI SECTION 2, 40700 SHAH ALAM, SELANGOR  Shah Alam Selangor - my 40000</t>
  </si>
  <si>
    <t>NVMY34535000007671</t>
  </si>
  <si>
    <t>JUST UNI MARKETING</t>
  </si>
  <si>
    <t>3, JALAN PERDANA 4 TAMAN KOTA 83700 YONG PENG JOHOR  Yong Peng Johor - my 83700</t>
  </si>
  <si>
    <t>NVMY34535000007698</t>
  </si>
  <si>
    <t>Faten Liyana Ali</t>
  </si>
  <si>
    <t>Lot 55305, Jln Kelantan, Kampung Tok Jiring, 21060 Kuala Nerus, Terengganu  Kuala Terengganu Terengganu - my 21060</t>
  </si>
  <si>
    <t>NVMY34535000007696</t>
  </si>
  <si>
    <t xml:space="preserve">Nur Hanan bt Mat </t>
  </si>
  <si>
    <t>NO 1055 KAMPUNG BULOH POH, JALAN LUBOK JAKAR 16450, KETEREH, KOTA BHARU, KELANTAN  Ketereh Kelantan - my 16450</t>
  </si>
  <si>
    <t>NVMY34535000007573</t>
  </si>
  <si>
    <t>CORNEYLIUS COLODIUS</t>
  </si>
  <si>
    <t>PETI SURAT 1113 KAMPUNG TIGOT KENINGAU 89007 KENINGAU SABAH  Keningau Sabah - my 89007</t>
  </si>
  <si>
    <t>SBH-SBH</t>
  </si>
  <si>
    <t>NVMY34535000007692</t>
  </si>
  <si>
    <t>LOT NO 9&amp;11 JALAN TUKANG 16/4 KAWASAN PERINDUSTRIAN SEKSYEN 16, 40702 SHAH ALAM, SELANGOR  Shah Alam Selangor - my 40000</t>
  </si>
  <si>
    <t>NVMY34535000007687</t>
  </si>
  <si>
    <t>NOR AIDA BT HJ MD NOR</t>
  </si>
  <si>
    <t>PT 1367 LORONG TAYAR, KG HUTAN KULIM MELOR 16400 KOTA BHARU, KELANTAN  Melor Kelantan - my 16400</t>
  </si>
  <si>
    <t>NVMY34535000007678</t>
  </si>
  <si>
    <t>NVMY34535000007672</t>
  </si>
  <si>
    <t>Siti Aminah Binti Alias</t>
  </si>
  <si>
    <t>No,149 Blok'k' Rumah Awam Pulau Sebang Peringkat 3, 78000 Alor Gajah Melaka  Alor Gajah Melaka - my 78000</t>
  </si>
  <si>
    <t>NVMY34535000007667</t>
  </si>
  <si>
    <t>FARNIZA BINTI BAHARUDIN</t>
  </si>
  <si>
    <t>NO 7 JALAN SINAR EMAS 5 TAMAN SINAR EMAS 85300 LABIS, JOHOR  Labis Johor - my 85300</t>
  </si>
  <si>
    <t>C2-SGT-5-77</t>
  </si>
  <si>
    <t>NVMY34535000007645</t>
  </si>
  <si>
    <t>FATIMAH BTE IDOP</t>
  </si>
  <si>
    <t>LOT 566 KAMPUNG LERENG BUKIT MIRI 98000 MIRI SARAWAK  Miri Sarawak - my 98000</t>
  </si>
  <si>
    <t>NVMY34535000007691</t>
  </si>
  <si>
    <t>PROCUREMENT SERVICES</t>
  </si>
  <si>
    <t>PROCUREMENT SERVICES (CONTRACT MANAGEMENT-ENFORCEMENT UNIT) BAHAGIAN TNB GLOBAL BUSINESS SOLUTION TENAGA NASIONAL BERHAD TINGKAT 3, TOWER 1, UOA BUSINESS PARK 1 JALAN PENGATURCARA U1/51A SECTION U1 KAWASAN PERINDUSTRIAN TEMASYA 40150 SHAH ALAM, SELANGOR  Shah Alam Selangor - my 40150</t>
  </si>
  <si>
    <t>NVMY34535000007686</t>
  </si>
  <si>
    <t>HARUN BIN MUSTAFA</t>
  </si>
  <si>
    <t>PT9289 LORONG TENGAS KG ANAK IKAN 22020 BESUT, TERENGGANU  Jerteh Terengganu - my 22020</t>
  </si>
  <si>
    <t>NVMY34535000007683</t>
  </si>
  <si>
    <t>Nur atiqah binti mohd nordin</t>
  </si>
  <si>
    <t>PJ 9E, taman melor, kuarters penjara marang,21600 marang, terengganu  Marang Terengganu - my 21600</t>
  </si>
  <si>
    <t>NVMY34535000007703</t>
  </si>
  <si>
    <t>NVMY34535000007694</t>
  </si>
  <si>
    <t>SITI LATIFA BT OSMAN</t>
  </si>
  <si>
    <t>PT 37822 RIMBA SQUARE 21300 JALAN PAK DAMAT KUALA TERENGGANU, TERENGGANU  Kuala Terengganu Terengganu - my 21300</t>
  </si>
  <si>
    <t>NVMY34535000007701</t>
  </si>
  <si>
    <t>NORAIZAH ABDUL SAMAH</t>
  </si>
  <si>
    <t>32-04-07 FLAT SRI MELAKA CHERAS 56000 KUALA LUMPUR  Kuala Lumpur Kuala Lumpur - my 56000</t>
  </si>
  <si>
    <t>D5-ECO-2-145</t>
  </si>
  <si>
    <t>NVMY34535000007676</t>
  </si>
  <si>
    <t>FAIZ</t>
  </si>
  <si>
    <t>BENIMA ENGINEERING 7 CUBIC SPACE, JALAN TEKNOLOGI 3/4 TAMAN SAINS SELANGOR 1, 47810 PETALING JAYA, SELANGOR  Petaling Jaya Selangor - my 47810</t>
  </si>
  <si>
    <t>D1-DAM-26-97</t>
  </si>
  <si>
    <t>NVMY34535000007689</t>
  </si>
  <si>
    <t>SUHAIRIATI BINTI MD NAYAN</t>
  </si>
  <si>
    <t>NO 1 JALAN TPS 4/7 TAMAN PELANGI SEMENYIH 43500 SEMENYIH, SELANGOR  Shah Alam Selangor - my 43500</t>
  </si>
  <si>
    <t>D4-SYH-8-131</t>
  </si>
  <si>
    <t>NVMY34535000007714</t>
  </si>
  <si>
    <t>Puan Niza</t>
  </si>
  <si>
    <t xml:space="preserve"> No14 Jalan Desa 4/12 Bandar Country Home,48000 Rawang Selangor  Kuala Lumpur Kuala Lumpur - my 48000</t>
  </si>
  <si>
    <t>D4-RWG-6-134</t>
  </si>
  <si>
    <t>NVMY34535000007688</t>
  </si>
  <si>
    <t>NUR ADAWIYAH BINTI ABDUL MUTALID</t>
  </si>
  <si>
    <t>NO 29A KAMPUNG LELA, KUALA PEGANG 09110 BALING, KEDAH  Kuala Pegang Kedah - my 09110</t>
  </si>
  <si>
    <t>A3-BAL-21-27</t>
  </si>
  <si>
    <t>NVMY34535000007713</t>
  </si>
  <si>
    <t>Siti Sarah binti Shafien</t>
  </si>
  <si>
    <t>No.25, Jalan Ngajat 4/ku5, Bandar Bukit Raja, 41050 Klang, Selangor  Klang Selangor - my 41050</t>
  </si>
  <si>
    <t>D4-ALM-6-136</t>
  </si>
  <si>
    <t>NVMY34535000007697</t>
  </si>
  <si>
    <t>Alia Marissa Binti Mohd Rahim</t>
  </si>
  <si>
    <t xml:space="preserve"> No 5, Lorong AM 22 Taman Aor Mesra, 34000, Taiping, Perak  Taiping Perak - my 34000</t>
  </si>
  <si>
    <t>NVMY34535000007690</t>
  </si>
  <si>
    <t>INTAN SUHADA BINTI SUHAILI</t>
  </si>
  <si>
    <t>154 F KAMPUNG KETIOR DALAM 33000 KUALA KANGSAR, PERAK  Kuala Kangsar Perak - my 33000</t>
  </si>
  <si>
    <t>B3-SAR-11-57</t>
  </si>
  <si>
    <t>NVMY34535000007718</t>
  </si>
  <si>
    <t>NUR ASSYAHIZA BT ABU SAMAH</t>
  </si>
  <si>
    <t>NO 18 LORONG PULAI IDAMAN 5 TAMAN PULAI IDAMAN 28000 TEMERLOH PAHANG DARUL MAKMUR  Temerloh Pahang - my 28000</t>
  </si>
  <si>
    <t>NVMY34535000007717</t>
  </si>
  <si>
    <t>SharmimieZainal</t>
  </si>
  <si>
    <t>No 63, Jalan Aman Bayan 1, Bayan Residence, 42500 Telok Panglima Garang, Selangor  Telok Panglima Garang Selangor - my 42500</t>
  </si>
  <si>
    <t>NVMY34535000007711</t>
  </si>
  <si>
    <t>Fatin Nabila</t>
  </si>
  <si>
    <t>Lot5741,Kampung Gertak Sagu,Panchor 16100,Kota Bharu,Kelantan  Kota Bharu Kelantan - my 16100</t>
  </si>
  <si>
    <t>NVMY34535000007684</t>
  </si>
  <si>
    <t>MAIMUNAH MAAWAL</t>
  </si>
  <si>
    <t>SEKOLAH RENDAH FELDA BUKIT JALOR GEMENCHEH 73200 NEGERI SEMBILAN  Gemencheh Negeri Sembilan - my 73200</t>
  </si>
  <si>
    <t>C4-GMS-28-92</t>
  </si>
  <si>
    <t>NVMY34535000007707</t>
  </si>
  <si>
    <t>ABDUL RAHMAN BIN HARON</t>
  </si>
  <si>
    <t>D-3-3, KUARTERS INSTITUSI PENDIDIKAN BATU 8, JALAN SUNGAI PUSU 53100 GOMBAK, SELANGOR  Hulu Langat Kuala Lumpur - my 53100</t>
  </si>
  <si>
    <t>NVMY34535000007709</t>
  </si>
  <si>
    <t>MOHD ZAUFIL BIN MAT ZAINAL</t>
  </si>
  <si>
    <t>NO 504 JALAN TEPI SUNGAI 17200 RANTAU PANJANG KELANTAN  Rantau Panjang Kelantan - my 17200</t>
  </si>
  <si>
    <t>NVMY34535000007710</t>
  </si>
  <si>
    <t>Imany yusoh</t>
  </si>
  <si>
    <t>15F, 1 R3sidence Condominium Jalan Hospital 15200 Kota Bharu Kelantan  Kota Bharu Kelantan - my 15200</t>
  </si>
  <si>
    <t>NVMY34535000007706</t>
  </si>
  <si>
    <t>DIYANA BINTI OTHMAN</t>
  </si>
  <si>
    <t>355-A KG PALOH, JLN PINTU GENG 15100 KOTA BHARU, KELANTAN  Kota Bharu Kelantan - my 15100</t>
  </si>
  <si>
    <t>NVMY34535000007715</t>
  </si>
  <si>
    <t>Liyana Muhiddin (schizolee)</t>
  </si>
  <si>
    <t>12, Jalan Tiung 6/1E, 40000 Shah Alam, Selangor Darul Ehsan  Shah Alam Selangor - my 40000</t>
  </si>
  <si>
    <t>NVMY34535000007700</t>
  </si>
  <si>
    <t>MOHAMAD EDDY BIN MOHD JOHAN</t>
  </si>
  <si>
    <t>9 JALAN KEBANGSAAN 62, TAMAN UNIVERSITI SKUDAI, 81300 JOHOR BAHRU, JOHOR  Johor Bahru Johor - my 81300</t>
  </si>
  <si>
    <t>NVMY34535000007639</t>
  </si>
  <si>
    <t>JULIA BINTI AHMAD YAET</t>
  </si>
  <si>
    <t>LUAK LOT 8527 GROUND FLOOR XIANG XIANG SHOP HOUSE SES JALAN LUAK BAY 98000 MIRI, SARAWAK  Sarawak Miri Sarawak - my 98000</t>
  </si>
  <si>
    <t>NVMY34535000007699</t>
  </si>
  <si>
    <t>ZAITUN BINTI MOHD TAHRIN</t>
  </si>
  <si>
    <t xml:space="preserve"> KS 39 D, JALAN BENDAHARA 1, FELCRA CHANGKAT LADA, 36800, KAMPUNG GAJAH, PERAK  Kampung Gajah Perak - my 36800</t>
  </si>
  <si>
    <t>NVMY34535000007725</t>
  </si>
  <si>
    <t>AINUN MARDIAH</t>
  </si>
  <si>
    <t>987 JALAN 1/22 TAMAN RASAH JAYA 70300 SEREMBAN, NEGERI SEMBILAN  Seremban Negeri Sembilan - my 70300</t>
  </si>
  <si>
    <t>C4-SBN-28-91</t>
  </si>
  <si>
    <t>NVMY34535000007664</t>
  </si>
  <si>
    <t>Nurliyana sharmimi Umar khalil</t>
  </si>
  <si>
    <t>T1-05 Aloha towers, jalan kolam ayer, nong chik, 80100 johor bahru  Johor Bahru Johor - my 80100</t>
  </si>
  <si>
    <t>C1-LKN-7-72</t>
  </si>
  <si>
    <t>NVMY34535000007719</t>
  </si>
  <si>
    <t>MAZIAH BT MAT</t>
  </si>
  <si>
    <t>NO 245 JLN BANDAR BARU 8, PAKR BANDAR BARU 27000, JERANTUT, PAHANG  Jerantut Pahang - my 27000</t>
  </si>
  <si>
    <t>NVMY34535000007716</t>
  </si>
  <si>
    <t>MAZLINA</t>
  </si>
  <si>
    <t>A 6460 LOT 36 JLN TG MUHAMAD LRG ALOR AKAR 71 25050 KUANTAN PAHANG  Kuantan Pahang - my 25050</t>
  </si>
  <si>
    <t>NVMY34535000007724</t>
  </si>
  <si>
    <t>Seahira atyra</t>
  </si>
  <si>
    <t>No 48 perumahan pprt rkt kesedar sungai asap B ,18300 gua musang ,kelantan  Gua Musang Kelantan - my 18300</t>
  </si>
  <si>
    <t>NVMY34535000007704</t>
  </si>
  <si>
    <t>GUAN JOON HAN</t>
  </si>
  <si>
    <t>NO 7 TAMAN BAUHINIA 2, JALAN BAUHINIA 2/1, 32000 SITIAWAN PERAK, DARUL RIDZUAN  Sitiawan Perak - my 32000</t>
  </si>
  <si>
    <t>B3-STW-11-60</t>
  </si>
  <si>
    <t>NVMY34535000007695</t>
  </si>
  <si>
    <t>AZLIN ARVINA LAMPANIS</t>
  </si>
  <si>
    <t>TAMAN ANGGERIK DESA,JALAN CAHAYA 4,RUMAH NO.5 36900 TANJUNG MALIM,PERAK  Teluk Intan Perak - my 36000</t>
  </si>
  <si>
    <t>NVMY34535000007722</t>
  </si>
  <si>
    <t>NORIDA BT ISMAIL</t>
  </si>
  <si>
    <t>NO 279, KUARTERS GURU SK PENDOK, 17600 JELI, KELANTAN  Jeli Kelantan - my 17600</t>
  </si>
  <si>
    <t>NVMY34535000007682</t>
  </si>
  <si>
    <t>Farah Zuhairah</t>
  </si>
  <si>
    <t xml:space="preserve"> No 9, Jalan Duku 4, Taman Kota Masai, 81700, Pasir Gudang, Johor  Pasir Gudang Johor - my 81700</t>
  </si>
  <si>
    <t>C1-MAS-7-70</t>
  </si>
  <si>
    <t>NVMY34535000007708</t>
  </si>
  <si>
    <t>EN SHAHRIL BIN SHAFIE</t>
  </si>
  <si>
    <t>PIHAK BERKUASA PENERBANGAN AWAM (CCAM), KOMPLEK CAAM, LAPANGAN TERBANG SULTAN ABDUL HALIM DA, 06550 ALOR SETAR, KEDAH  Alor Setar Kedah - my 06550</t>
  </si>
  <si>
    <t>A3-AOR-21-25</t>
  </si>
  <si>
    <t>NVMY34535000007748</t>
  </si>
  <si>
    <t>JOHN MOBILE SPECIALIST</t>
  </si>
  <si>
    <t>20-2-4 BLOCK C, JALAN 2/101C, CHERAS BUSINESS CENTRE 56100 CHERAS, SELANGOR  Kuala Lumpur Kuala Lumpur - my 56100</t>
  </si>
  <si>
    <t>NVMY34535000007743</t>
  </si>
  <si>
    <t>NORSYAKIRAH BT GHANI</t>
  </si>
  <si>
    <t>NO 165B, KAMPUNG PAYA KELADAN, 28000 TEMERLOH, PAHANG  Temerloh Pahang - my 28000</t>
  </si>
  <si>
    <t>NVMY34535000007746</t>
  </si>
  <si>
    <t>NUR SHAZWANI BT MOHD ASHARI</t>
  </si>
  <si>
    <t>NO 39 JALAN TASIK BIRU 15 TAMAN TASIK BIRU 48050 RAWANG, SELANGOR  Rawang Selangor - my 48050</t>
  </si>
  <si>
    <t>NVMY34535000007742</t>
  </si>
  <si>
    <t>ATIRA NATASYA</t>
  </si>
  <si>
    <t>336 JALAN DELIMA 2 LOT 144 GONG LIMAU, 24000 KEMAMAN, TERENGGANU  Ayer Puteh Terengganu - my 24000</t>
  </si>
  <si>
    <t>NVMY34535000007740</t>
  </si>
  <si>
    <t>NUR NABIHAH BINTI NASRUDDIN</t>
  </si>
  <si>
    <t>MEQS LAWO KOSMETIK, BAWAH PUSAT IQRA PULAU RUSA 20050 KUALA TERENGGANU  Kuala Terengganu Terengganu - my 20050</t>
  </si>
  <si>
    <t>NVMY34535000007756</t>
  </si>
  <si>
    <t>ATTN TRADE OPERATIONS SECTION</t>
  </si>
  <si>
    <t xml:space="preserve"> BANK PERTANIAN MALAYSIA BERHAD (AGROBANK), TRADE FINANCE DEPARTMENT SUITE 8.0,8TH FLOOR, WISMA MARAN NO 28 MEDAN PASAR 50050 KUALA LUMPUR  Kuala Lumpur Kuala Lumpur - my 50050</t>
  </si>
  <si>
    <t>NVMY34535000007702</t>
  </si>
  <si>
    <t>NUR HATIKAH</t>
  </si>
  <si>
    <t>NO 176 KG SG BEDIL BESAR PETRAJAYA 93050 KUCHING, SARAWAK  Kuching Sarawak - my 93050</t>
  </si>
  <si>
    <t>NVMY34535000007739</t>
  </si>
  <si>
    <t>LIENMOHD BEAUTYSHOP</t>
  </si>
  <si>
    <t>LOT 1959-B3 JALAN NENAS KG BUKIT KAPAR 42200 KLANG, SELANGOR  Kapar Selangor - my 42200</t>
  </si>
  <si>
    <t>NVMY34535000007733</t>
  </si>
  <si>
    <t>HASAN</t>
  </si>
  <si>
    <t>NR GLOBAL FASHION @ KWC FASHION WHOLESALE SHOP NO 1-06 2, JALAN GELUGOR PUDU 55200 BUKIT BINTANG, KUALA LUMPUR  Kuala Lumpur Kuala Lumpur - my 55200</t>
  </si>
  <si>
    <t>NVMY34535000007737</t>
  </si>
  <si>
    <t>ATTN PN. SALMI</t>
  </si>
  <si>
    <t>MY-SUTERA SDN  BHD LOT NO 9 &amp; 11, JALAN TUKANG 16/4 KAWASAN PERINDUSTRIAN SEKSYEN 16, 40702 SHAH ALAM SELANGOR  Shah Alam Selangor - my 40000</t>
  </si>
  <si>
    <t>NVMY34535000007755</t>
  </si>
  <si>
    <t>NVMY34535000007751</t>
  </si>
  <si>
    <t>NURUL NADHIRAH BT MOHD YAKUB</t>
  </si>
  <si>
    <t>101-3 JALAN AMANSARA 1, TAMAN AMANSARA 48000 RAWANG SELANGOR  Kuala Lumpur Kuala Lumpur - my 48000</t>
  </si>
  <si>
    <t>D5-SLG-2-142</t>
  </si>
  <si>
    <t>NVMY34535000007723</t>
  </si>
  <si>
    <t>IMBRAN (BARANG SHAHRIL)</t>
  </si>
  <si>
    <t>SNJ CARENTAL , NO 6B LALUAN TAMAN MERU 1, TAMAN MERU JELAPANG 30020 IPOH, PERAK  Ipoh Perak - my 30020</t>
  </si>
  <si>
    <t>NVMY34535000007726</t>
  </si>
  <si>
    <t>ROSTI JOY</t>
  </si>
  <si>
    <t>SALAM NOODLES, 43 JALAN WARISAN MEGAH 1/5, KOTA WARISAN MEGAH 1/5, KOTA WARISAN 43900 SEPANG SELANGOR (RUMAH ATAS KEDAI SALAM NOODLES TINGKAT 2 PINTU KIRI)  Sepang Selangor - my 43900</t>
  </si>
  <si>
    <t>NVMY34535000007758</t>
  </si>
  <si>
    <t>MOHAMAD HASRUL NIZAM BIN ZAKARIA</t>
  </si>
  <si>
    <t>LOT 62078A, JLN PDG LUAS KG PAROH 22000 JERTEH BESUT, TERENGGANU  Jerteh Terengganu - my 22000</t>
  </si>
  <si>
    <t>NVMY34535000007738</t>
  </si>
  <si>
    <t>NUR FARAHDIANA AISYA (CHACHA)</t>
  </si>
  <si>
    <t>(RUMAH BELAKANG KN MAJU HARDWARE) 21448 JALAN BESAR KG NYIOR PAKA, DUNGUN 23100 TERENGGANU  Paka Terengganu - my 23100</t>
  </si>
  <si>
    <t>NVMY34535000007745</t>
  </si>
  <si>
    <t>SYAZA NAJLAA</t>
  </si>
  <si>
    <t>DYNATON HOLDINGS, NO 1 TINGKAT BASEMENT, JALAN DAGANG 2 DYNATON BUKIT ANGIN 28000 TEMERLOH, PAHANG  Temerloh Pahang - my 28000</t>
  </si>
  <si>
    <t>NVMY34535000007685</t>
  </si>
  <si>
    <t>Jersmanani</t>
  </si>
  <si>
    <t xml:space="preserve"> P.O Box 39 kilang sawit sampadi,94507 Lundu,Sarawak  Lundu Sarawak - my 94507</t>
  </si>
  <si>
    <t>NVMY34535000007735</t>
  </si>
  <si>
    <t>SITI NARZULA YUSOFF</t>
  </si>
  <si>
    <t>PT 688 TAMAN SHEIKH ABU BAKAR JLN BELAKANG HOSPITAL KG KELABORAN 16200 TUMPAT, KELANTAN  Tumpat Kelantan - my 16200</t>
  </si>
  <si>
    <t>NVMY34535000007731</t>
  </si>
  <si>
    <t>NO 1 JALAN TPS 4/7 TAMAN PELANGI SMENYIH, 43500 SEMENYIH, SELANGOR  Shah Alam Selangor - my 43500</t>
  </si>
  <si>
    <t>NVMY34535000007736</t>
  </si>
  <si>
    <t>NUR AYU ASMAA BT MUHAMMAD</t>
  </si>
  <si>
    <t>D MARD PHOTO STUDIO NO 1 TINGKAT BAWAH LOT 7353 WISMA KOPERASI PEMBANGUNAN DAERAH SETIU 22100 BANDAR PERMAISURI SETIU, TERENGGANU  Permaisuri Terengganu - my 22100</t>
  </si>
  <si>
    <t>NVMY34535000007734</t>
  </si>
  <si>
    <t>SARA AS SAGGAF</t>
  </si>
  <si>
    <t>LOT 99 (PT19522) JALAN KSK UTAMA KG SUNGAI KERTAS 68100 BATU CAVES, SELANGOR  Batu Caves Selangor - my 68100</t>
  </si>
  <si>
    <t>NVMY34535000007727</t>
  </si>
  <si>
    <t>MOHD DALY B DAUD</t>
  </si>
  <si>
    <t>NO 76 JALAN DUVANTA 2, TAMAN DESA DUVANTA JALAN PEROI SENAWANG SEREMBAN NEGERI SEMBILAN  Seremban Negeri Sembilan - my 70450</t>
  </si>
  <si>
    <t>C4-SWG-28-89</t>
  </si>
  <si>
    <t>NVMY34535000007721</t>
  </si>
  <si>
    <t>JENNY LAPOM</t>
  </si>
  <si>
    <t>SMK KENINGAU PETI SURAT 272 89008 KENINGAU, SABAH  Keningau Sabah - my 89008</t>
  </si>
  <si>
    <t>NVMY34535000007732</t>
  </si>
  <si>
    <t>MASIDAYU BINTI ABDUL MUTALID</t>
  </si>
  <si>
    <t>NO 70 JALAN BOTANI 3, TAMAN BIDOR BOTANI 35500 BIDOR, PERAK  Bidor Perak - my 35500</t>
  </si>
  <si>
    <t>B3-TAP-13-51</t>
  </si>
  <si>
    <t>NVMY34535000007729</t>
  </si>
  <si>
    <t>Nur Syahmina</t>
  </si>
  <si>
    <t xml:space="preserve"> Villa Muslimah, Rumah Kelabu dan Putih, (R9), Lot 6080, Kg. Lubuk Batu, Batu 2, Jalan Muar, Segamat, Johor, 85000  Segamat Johor - my 85000</t>
  </si>
  <si>
    <t>NVMY34535000007744</t>
  </si>
  <si>
    <t>TASCO BERHAD, 1441 LORONG PERUSAHAAN MAJU 8, PRAI INDUSTRIAL ESTATE 13600 PRAI, PENANG  Perai Pulau Pinang - my 13600</t>
  </si>
  <si>
    <t>NVMY34535000007728</t>
  </si>
  <si>
    <t>FARAH ALIZA</t>
  </si>
  <si>
    <t>NO 7A BLOK M KUATERS PERUMAHAN POLIS JALAN TANJUNG LABUH 83000 BATU PAHAT JOHOR  Batu Pahat Johor - my 83000</t>
  </si>
  <si>
    <t>YPG-YPG</t>
  </si>
  <si>
    <t>NVMY34535000007757</t>
  </si>
  <si>
    <t>328 TAMAN MEGAWAY, LORONG KEMBOJA 4, JALAN SIKAMAT 70400 SEREMBAN, NEGERI SEMBILAN  Seremban Negeri Sembilan - my 70400</t>
  </si>
  <si>
    <t>NVMY34535000007747</t>
  </si>
  <si>
    <t>SITI NUR SYUHADA BINTI MOHAMED ZAKARIA</t>
  </si>
  <si>
    <t>NVMY34535000007712</t>
  </si>
  <si>
    <t>Ras Adiba Binti Mohamad</t>
  </si>
  <si>
    <t xml:space="preserve"> No 959, Lorong Unigarden 2i2a, Taman Unigarden, 94300 Kota Samarahan, Sarawak  Kota Samarahan Sarawak - my 94300</t>
  </si>
  <si>
    <t>NVMY34535000007752</t>
  </si>
  <si>
    <t>ZULILI BT MUHAMMAD</t>
  </si>
  <si>
    <t>NO 78 PERSIARAN DESA TAMBUN, TAMAN TAMBUN PERMAI 31400 IPOH, PERAK  Ipoh Perak - my 31400</t>
  </si>
  <si>
    <t>NVMY34535000007648</t>
  </si>
  <si>
    <t>MD FIRDAUS HAJI NUALAM</t>
  </si>
  <si>
    <t>POST OFFICE LIMBANG, JALAN BUANGSIOL PEKAL LIMBANG 98700 SARAWAK  Limbang Sarawak - my 98700</t>
  </si>
  <si>
    <t>E4-LMN-1-183</t>
  </si>
  <si>
    <t>NVMY34535000007753</t>
  </si>
  <si>
    <t>SITI AISYAH SAHAIMI</t>
  </si>
  <si>
    <t>NO 352 JALAN 2B, TAMAN PINGGIRAN TANJUNG 71700 MANTIN NEGERI SEMBILAN  Mantin Negeri Sembilan - my 71700</t>
  </si>
  <si>
    <t>NVMY34535000007754</t>
  </si>
  <si>
    <t>NORZAIDA BINTI BUDAT</t>
  </si>
  <si>
    <t>NO 447 JLN B.M 1/21 BANDAR MUTIARA 08000 SUNGAI PETANI, KEDAH  Sungai Petani Kedah - my 8000</t>
  </si>
  <si>
    <t>A3-SPT-23-18</t>
  </si>
  <si>
    <t>NVMY34535000007761</t>
  </si>
  <si>
    <t>MAIZATUL ANIZA BT AWANG</t>
  </si>
  <si>
    <t>2385 KAMPUNG SEBERANG TUAN CHIK HAJI , 21200 KUALA TERENGGANU   Kuala Terengganu Terengganu - my 21200</t>
  </si>
  <si>
    <t>NVMY34535000007629</t>
  </si>
  <si>
    <t>336 JALAN DELIMA 2 LOT 144 GONG LIMAU 24000 KEMAMAN TERENGGANU  Ayer Puteh Terengganu - my 24000</t>
  </si>
  <si>
    <t>NVMY34535000007750</t>
  </si>
  <si>
    <t>MBJ BINA JAYA</t>
  </si>
  <si>
    <t>MBJ BINA JAYA MACHINERY &amp; HARDWARE , JALAN SULTAN YAHYA PETRA, 15200 KOTA BHARU KELANTAN  Kelantan - Kota Bharu Kelantan - my 15200</t>
  </si>
  <si>
    <t>NVMY34535000007730</t>
  </si>
  <si>
    <t>NURFARA SUHANA BINTI MOHAMAD BOSLEE</t>
  </si>
  <si>
    <t>DEPAN TADIKA KEMAS, KAMPUNG TELOI TUA, 08200 SIK, KEDAH  Sik Kedah - my 08200</t>
  </si>
  <si>
    <t>NVMY34535000007705</t>
  </si>
  <si>
    <t>MUHAMMAD FARID ALIFFIANSYAH (276402)</t>
  </si>
  <si>
    <t>UUM PARCEL CENTRE, Inasis Tradewinds, Universiti Utara Malaysia, Sintok  Kedah   MY 06010</t>
  </si>
  <si>
    <t>NVMY34535000007749</t>
  </si>
  <si>
    <t>MAS SABARINA BINTI DUT</t>
  </si>
  <si>
    <t>NO 347 BLOK 15 FELDA SUNGAI MAS 81900 KOTA TINGGI JOHOR  Kota Tinggi Johor - my 81900</t>
  </si>
  <si>
    <t>NVMY34535000007741</t>
  </si>
  <si>
    <t>FAA</t>
  </si>
  <si>
    <t>NO 10 JALAN SCI 1/1 SUNWAY CITY, 31150 ULU KINTAN, PERAK  Ulu Kinta Perak - my 31150</t>
  </si>
  <si>
    <t>NVMY34535000007759</t>
  </si>
  <si>
    <t>NISRIIN NUR HUMAIRAH BINTI AMIRUDIN (1AB)</t>
  </si>
  <si>
    <t>SEKOLAH BERASRAMA PENUH BATU RAKIT (BRAINS) 21020 TERENGGANU, KUALA TERENGGANU  Kuala Terengganu Terengganu - my 21020</t>
  </si>
  <si>
    <t>A2-STU-25-15</t>
  </si>
  <si>
    <t>NVMY34535000007778</t>
  </si>
  <si>
    <t>MISBAH BT MAHAMAD @ MOHD ZAIN</t>
  </si>
  <si>
    <t>KAMPUNG PAYA LADA KADOK,16450 KETEREH KOTA BHARU KELANTAN  Ketereh Kelantan - my 16450</t>
  </si>
  <si>
    <t>NVMY34535000007784</t>
  </si>
  <si>
    <t>MOHD SAYUTI BIN MAT HASSAN</t>
  </si>
  <si>
    <t>1142 KAMPUNG NANGKA, 22300 KUALA BESUT, TERENGGANU  Kuala Besut Terengganu - my 22300</t>
  </si>
  <si>
    <t>NVMY34535000007767</t>
  </si>
  <si>
    <t>Nur Syakila bt Mohd Rasidi</t>
  </si>
  <si>
    <t>D-7-2, Pangsapuri Sutravilla 2 Blok D, Jalan Pelindung Damai 5   Beserah 26100 Kuantan Pahang  Kuantan Pahang - my 26100</t>
  </si>
  <si>
    <t>NVMY34535000007776</t>
  </si>
  <si>
    <t>Zaharah Said</t>
  </si>
  <si>
    <t>E-11-05 Metropolitan Square, Jalan PJU 8/1, Damansara Perdana, 47820 Petaling Jaya, Selangor  Petaling Jaya Selangor - my 47820</t>
  </si>
  <si>
    <t>NVMY34535000007780</t>
  </si>
  <si>
    <t>UMMI FAZIRA BT DERUS</t>
  </si>
  <si>
    <t>LOT 16907B JALAN GERTAK SERATUS 22300 KUALA BESUT TERENGGANU  Kuala Besut Terengganu - my 22300</t>
  </si>
  <si>
    <t>NVMY34535000007774</t>
  </si>
  <si>
    <t>ATHIRAH ZAIDI</t>
  </si>
  <si>
    <t>LOT 4478, KG TUNJONG PULAU TEBU 16010 KOTA BHARU KELANTAN   Kota Bharu Kelantan - my 16010</t>
  </si>
  <si>
    <t>NVMY34535000007770</t>
  </si>
  <si>
    <t>AZLINDA HAIZA HANAFI</t>
  </si>
  <si>
    <t>PT 7884 TAMAN DESA RU RENDANG JALAN BUKIT KOR 21600 MARANG, TERENGGANU  Marang Terengganu - my 21600</t>
  </si>
  <si>
    <t>NVMY34535000007773</t>
  </si>
  <si>
    <t>DAYANG KU HAZIRA BINTI KHAIRI</t>
  </si>
  <si>
    <t>LOT 10460 JALAN KILANG, PEKAN BESTARI JAYA 45600 BATANG BERJUNTAI SELANGOR  Bestari Jaya Selangor - my 45600</t>
  </si>
  <si>
    <t>D3-KSR-14-119</t>
  </si>
  <si>
    <t>NVMY34535000007769</t>
  </si>
  <si>
    <t>Lau Kok Kuan</t>
  </si>
  <si>
    <t>Ka Ka Trading PLT, WDT 146, MDKNK 2331, Bangunan Kunak Plaza, 91207 Kunak, Sabah  Kunak Sabah - my 91207</t>
  </si>
  <si>
    <t>NVMY34535000007762</t>
  </si>
  <si>
    <t>FATIHAH</t>
  </si>
  <si>
    <t>BLOCK F 37-2A JALAN OS 1/1 ONE SELAYANG 68100 BATU CAVES SELANGOR  Batu Caves Selangor - my 68100</t>
  </si>
  <si>
    <t>NVMY34535000007771</t>
  </si>
  <si>
    <t>SHAHRUL NAZRIN BIN NGAH ABD KARIM</t>
  </si>
  <si>
    <t>NO 90 LALUAN DESA PENGKALAN 4, TAMAN DESA PENGKALAN 31500 LAHAT, PERAK  Ipoh Perak - my 31500</t>
  </si>
  <si>
    <t>NVMY34535000007763</t>
  </si>
  <si>
    <t>NURUL FARAHIN BINTI SAINAN</t>
  </si>
  <si>
    <t>NO 34 , JALAN MEWAH RIA 2/6 TAMAN BUKIT MEWAH , 81200 JOHOR BHARU , JOHOR   Johor Bahru Johor - my 81200</t>
  </si>
  <si>
    <t>C1-KEM-7-74</t>
  </si>
  <si>
    <t>NVMY34535000007789</t>
  </si>
  <si>
    <t>MOHD NOH</t>
  </si>
  <si>
    <t>96 LORONG KERAMAT 2, KG DATOK KERAMAT 54000 KUALA LUMPUR  Kuala Lumpur Kuala Lumpur - my 54000</t>
  </si>
  <si>
    <t>NVMY34535000007777</t>
  </si>
  <si>
    <t>Effa Rafek</t>
  </si>
  <si>
    <t>184 Jalan Datuk Sulaiman 4, Taman Tun Dr Ismail, 60000 KL  Kuala Lumpur Kuala Lumpur - my 60000</t>
  </si>
  <si>
    <t>NVMY34535000007765</t>
  </si>
  <si>
    <t>NANA ISMAIL</t>
  </si>
  <si>
    <t xml:space="preserve"> 5, Jalan Ayer Molek, Titiwangsa, 53200, KL  Kuala Lumpur Kuala Lumpur - my 53200</t>
  </si>
  <si>
    <t>D1-WMJ-24-98</t>
  </si>
  <si>
    <t>NVMY34535000007798</t>
  </si>
  <si>
    <t>NUR IFTI ALVIANA/BANG IKHSAN</t>
  </si>
  <si>
    <t>LOT 1275 JALAN AMPANG INDAH, KAMPUNG AMPANG INDAH 68000 AMPANG, SELANGOR  Ampang Selangor - my 68000</t>
  </si>
  <si>
    <t>NVMY34535000007768</t>
  </si>
  <si>
    <t>AYAARIANNA</t>
  </si>
  <si>
    <t>E-1-3-A CONNAUGHT AVENUE NO 38, JALAN 9, TAMAN BUKIT CHERAS 56000 KUALA LUMPUR  Kuala Lumpur Kuala Lumpur - my 56000</t>
  </si>
  <si>
    <t>NVMY34535000007783</t>
  </si>
  <si>
    <t>PinkandBelle Sdn Bhd</t>
  </si>
  <si>
    <t>No 11, Jalan Bestari 3A/KU7, Taman Perindustrian  Kapar Bestari, 42200 Kapar, Selangor  Kapar Selangor - my 42200</t>
  </si>
  <si>
    <t>D5-RPG-2-144</t>
  </si>
  <si>
    <t>NVMY34535000007781</t>
  </si>
  <si>
    <t>WAN NURFARAHANA BINTI WAN MOHD NASIR</t>
  </si>
  <si>
    <t>NO 9 JALAN ST 11 TAMAN SAUJANA TEHEL, 77200 MELAKA  Bemban Melaka - my 77200</t>
  </si>
  <si>
    <t>NVMY34535000007720</t>
  </si>
  <si>
    <t>REJOL LAMUDIN</t>
  </si>
  <si>
    <t>WINAWANG SDN BHD LOT 5-2, 2ND FLOOR LINTAS PLAZA 88300 KOTA KINABALU, SABAH  Sabah Kota Kinabalu Sabah - my 88300</t>
  </si>
  <si>
    <t>NVMY34535000007772</t>
  </si>
  <si>
    <t>MOHD YANI (MOHD SANI)</t>
  </si>
  <si>
    <t>NO 35 JALAN BAKTI 48, TAMAN MUTIARA RINI SKUDAI 81300 JOHOR  Johor Bahru Johor - my 81300</t>
  </si>
  <si>
    <t>NVMY34535000007795</t>
  </si>
  <si>
    <t>WAN AINI BT WAN HARU</t>
  </si>
  <si>
    <t>BLOK 41/02/06 FLAT SRI PERAK BANDAR BARU SENTUL 51000 KUALA LUMPUR  Kuala Lumpur Kuala Lumpur - my 51000</t>
  </si>
  <si>
    <t>D2-SEG-20-107</t>
  </si>
  <si>
    <t>NVMY34535000007764</t>
  </si>
  <si>
    <t>Noradila Abdullah</t>
  </si>
  <si>
    <t>No 30 contours villa,Melawati Height 53100 Kuala Lumpur  Hulu Langat Kuala Lumpur - my 53100</t>
  </si>
  <si>
    <t>NVMY34535000007760</t>
  </si>
  <si>
    <t>ROSLAN BIN FAMRI</t>
  </si>
  <si>
    <t>NO 27 LOT 2105 LORONG 8, KG TENGAH TAMBAHAN KM10, GOMBAK 53100 KUALA LUMPUR  Kuala Lumpur Hulu Langat Kuala Lumpur - my 53100</t>
  </si>
  <si>
    <t>D2-DNK-16-116</t>
  </si>
  <si>
    <t>NVMY34535000007782</t>
  </si>
  <si>
    <t>NORA</t>
  </si>
  <si>
    <t>1, JALAN P15 H4/5, PRESINT 15, 62050 PUTRAJAYA  Putrajaya Putrajaya - my 62050</t>
  </si>
  <si>
    <t>NVMY34535000007775</t>
  </si>
  <si>
    <t>amy</t>
  </si>
  <si>
    <t>no 17 jln aliff harmoni 6/10 taman damansara aliff 81200 johor bahru johor  Johor Bahru Johor - my 81200</t>
  </si>
  <si>
    <t>NVMY34535000007766</t>
  </si>
  <si>
    <t>Siti amnah bt mohd yacob</t>
  </si>
  <si>
    <t>,jalan punai,kampung bukit bangkong,43950 sungai pelek,sepang selangor.  Sungai Pelek Selangor - my 43950</t>
  </si>
  <si>
    <t>NVMY34535000007278</t>
  </si>
  <si>
    <t>MOHD AZIM EDEUARD BIN ABDULLAH</t>
  </si>
  <si>
    <t>GIATMARA LIMBAWANG PETI SURAT 484, JALAN KUARTERS JKR 89800 BEAUFORT SABAH  Beaufort Sabah - my 89800</t>
  </si>
  <si>
    <t>NVMY34535000007319</t>
  </si>
  <si>
    <t>SHITAH AMAY</t>
  </si>
  <si>
    <t>B9-14-21 DESA MENTARI 2, JALAN PJS 2B/1, 46000 PETALING JAYA SELANGOR  Petaling Jaya Selangor - my 46000</t>
  </si>
  <si>
    <t>D1-SUN-24-101</t>
  </si>
  <si>
    <t>NVMY34535000007300</t>
  </si>
  <si>
    <t>CIK SITI MAS MERAH</t>
  </si>
  <si>
    <t>DSA DYNAMICS SDN BHD NO 29 LORONG ABDUL MANAN 2 JALAN HAJI ABDUL MANAN OFF JALAN MERU 41050 KLANG SELANGOR  Klang Selangor - my 41050</t>
  </si>
  <si>
    <t>NVMY34535000007304</t>
  </si>
  <si>
    <t>AZHAR ZAHARI</t>
  </si>
  <si>
    <t>QUARTERS NO 4 BELL SRI LINGGA BATU 32, KUALA LINGGI 78200 KUALA SUNGAI BARU, MELAKA  Kuala Sungai Baru Melaka - my 78200</t>
  </si>
  <si>
    <t>NVMY34535000007311</t>
  </si>
  <si>
    <t>LAU LAY BOAY</t>
  </si>
  <si>
    <t>1454, JALAN JIRAN 7, TAMAN GEMBIRA 58200 KUALA LUMPUR  Kuala Lumpur Kuala Lumpur - my 58200</t>
  </si>
  <si>
    <t>NVMY34535000007295</t>
  </si>
  <si>
    <t>MOMMY FEL</t>
  </si>
  <si>
    <t>B46-A, GROUND FLOOR, LORONG BALUK DARAT 13, 26100 KUANTAN PAHANG  Kuantan Pahang - my 26100</t>
  </si>
  <si>
    <t>NVMY34535000007287</t>
  </si>
  <si>
    <t>NO 29A, KAMPUNG LELA, KUALA PEGANG 09110 BALING KEDAH  Kuala Pegang Kedah - my 09110</t>
  </si>
  <si>
    <t>NVMY34535000007318</t>
  </si>
  <si>
    <t>MISS SHARIFAH (FIK)</t>
  </si>
  <si>
    <t>4, LORONG SS1/20A KG TUNGKU 47300 PETALING JAYA SELANGOR  Petaling Jaya Selangor - my 47300</t>
  </si>
  <si>
    <t>NVMY34535000007285</t>
  </si>
  <si>
    <t>WAN SRI DINI BT WAN KAMARUDIN</t>
  </si>
  <si>
    <t>EMERALD RESIDENCE SDN BHD, D-03-02 PANGSAPURI EMERALD BUKIT BERUANG 75450 MELAKA  Ayer Keroh Melaka - my 75450</t>
  </si>
  <si>
    <t>NVMY34535000007316</t>
  </si>
  <si>
    <t>RAJWANI ZAHAR</t>
  </si>
  <si>
    <t>CHIP NGAI ENGINEERING WORKS SDN BHD LOT 7907 BATU 11 JALAN BALAKONG 43300SERI KEMBANGAN SELANGOR  Seri Kembangan Selangor - my 43300</t>
  </si>
  <si>
    <t>D2-KAJ-16-117</t>
  </si>
  <si>
    <t>NVMY34535000007270</t>
  </si>
  <si>
    <t>SARIMAH BINTI ABIDIN</t>
  </si>
  <si>
    <t>21-6-2 , FAIRWAY VIEW APT , SOLOK BUKIT JAMBUL 11950 PULAU PINANG   Bayan Lepas Pulau Pinang - my 11950</t>
  </si>
  <si>
    <t>NVMY34535000007317</t>
  </si>
  <si>
    <t>NUR AMIRA FARHANA</t>
  </si>
  <si>
    <t>14A JALAN REJANG 7 TAMAN SETAPAK JAYA 53300 KUALA LUMPUR  Kuala Lumpur Kuala Lumpur - my 53300</t>
  </si>
  <si>
    <t>NVMY34535000007301</t>
  </si>
  <si>
    <t>JUHAIDA BINTI HAMZAH</t>
  </si>
  <si>
    <t>NO13 LORONG 15, TMN KAMPONG PADANG JAYA, JALAN SG LEMBING 25200 KUANTAN PAHANG  Kuantan Pahang - my 25200</t>
  </si>
  <si>
    <t>NVMY34535000007281</t>
  </si>
  <si>
    <t>CIK NORAZILAWATI</t>
  </si>
  <si>
    <t>MICRO CARBIDE ENGINEERING SDN BHD 84 A LINTANG BAYAN LEPAS 9 TAMAN PERINDUSTRIAN BAYAN LEPAS PAHSE 4, 11900 BAYAN LEPAS, PULAU PINANG  Bayan Lepas Pulau Pinang - my 11900</t>
  </si>
  <si>
    <t>B2-BAY-15-45</t>
  </si>
  <si>
    <t>NVMY34535000007313</t>
  </si>
  <si>
    <t>AMALINAAZWA</t>
  </si>
  <si>
    <t>LOT 1959-B3 JALAN NENAS KG BUKIT KAPAR 42200 KLANG SELANGOR  Kapar Selangor - my 42200</t>
  </si>
  <si>
    <t>NVMY34535000007308</t>
  </si>
  <si>
    <t>DOSAGROUP VENTURES</t>
  </si>
  <si>
    <t>20A, FIRST FLOOR, JALAN USA 4/1, USJ 4, 47600 SUBANG JAYA SELANGOR  Subang Jaya Selangor - my 47600</t>
  </si>
  <si>
    <t>D2-HTC-16-114</t>
  </si>
  <si>
    <t>NVMY34535000007298</t>
  </si>
  <si>
    <t>PN SALMI</t>
  </si>
  <si>
    <t>LOT NO 9&amp;11, JALAN TUKANG 16/4 KAWASAN PERINDUSTRIAN SEKSYEN 16, 40702 SHAH ALAM, SELANGOR  Shah Alam Selangor - my 40100</t>
  </si>
  <si>
    <t>NVMY34535000007312</t>
  </si>
  <si>
    <t>MR CHAI YU CHOY</t>
  </si>
  <si>
    <t>PT 39142, JLN GONG BADAK, KAWASAN PERINDUSTRIAN GONG BADAK, 21300 KUALA TERENGGANU, TERENGGANU  Kuala Terengganu Terengganu - my 21300</t>
  </si>
  <si>
    <t>NVMY34535000007307</t>
  </si>
  <si>
    <t>CLASSIC BARBER</t>
  </si>
  <si>
    <t>NO 26-1, JALAN ECO MAJESTIC 3A/2, ECO MAJESTIC 43500 SEMENYIH SELANGOR  Shah Alam Selangor - my 43500</t>
  </si>
  <si>
    <t>NVMY34535000007303</t>
  </si>
  <si>
    <t>NORHAYATI BT SALLEH</t>
  </si>
  <si>
    <t>LOT 2387 TMN SAUJANA 22000 PADANG LUAS, JERTIH, TERENGGANU  Jerteh Terengganu - my 22000</t>
  </si>
  <si>
    <t>NVMY34535000007290</t>
  </si>
  <si>
    <t>AZMIRUL BIN AHMAD</t>
  </si>
  <si>
    <t>NO 226 BLOK 11 FELDA BUKIT DAMAR 28500 LAANCHANG PAHANG  Lanchang Pahang - my 28500</t>
  </si>
  <si>
    <t>NVMY34535000007293</t>
  </si>
  <si>
    <t>fateen nadhirah</t>
  </si>
  <si>
    <t>lot 109, jalan tanah raja, kg sg buaya, 42700 banting (belakang mini mart mariam baharom)  Telok Panglima Garang Selangor - my 42700</t>
  </si>
  <si>
    <t>D4-BAN-6-137</t>
  </si>
  <si>
    <t>NVMY34535000007310</t>
  </si>
  <si>
    <t>SHARIFAH MARIAM BT SULAIMAN</t>
  </si>
  <si>
    <t>LOT 976, JALAN SULTAN ALAM SHAH KANAN, KANCHONG DARAT 42700 BANTING SELANGOR  Telok Panglima Garang Selangor - my 42700</t>
  </si>
  <si>
    <t>NVMY34535000007315</t>
  </si>
  <si>
    <t>WATI</t>
  </si>
  <si>
    <t>LOT 2770-12A KG PADANG BALANG 51000 KUALA LUMPUR  Kuala Lumpur Kuala Lumpur - my 51000</t>
  </si>
  <si>
    <t>D1-CAV-24-99</t>
  </si>
  <si>
    <t>NVMY34535000007288</t>
  </si>
  <si>
    <t>NORASIKIN BINTI MOHD AMIR</t>
  </si>
  <si>
    <t>NO 5 JALAN SUNGAI KAPAL 9 TAMAN BAYU DAMAI 81620 PENGERANG, JOHOR  Pengerang Johor - my 81620</t>
  </si>
  <si>
    <t>NVMY34535000007306</t>
  </si>
  <si>
    <t>MEGA NICE ENTERPRISE</t>
  </si>
  <si>
    <t>NO 261 FELDA SUNGAI PANCHING UTARA 26250 KUANTAN PAHANG  Kuantan Pahang - my 26140</t>
  </si>
  <si>
    <t>B1-KUA-19-28</t>
  </si>
  <si>
    <t>NVMY34535000007279</t>
  </si>
  <si>
    <t>NAZURA BT SAARI</t>
  </si>
  <si>
    <t>Perlis</t>
  </si>
  <si>
    <t>98 KG PERMATANG BONGOR 02700 SIMPANG EMPA PERLIS  Simpang Ampat Perlis - my 02700</t>
  </si>
  <si>
    <t>A3-KGR-21-23</t>
  </si>
  <si>
    <t>NVMY34535000007297</t>
  </si>
  <si>
    <t>ELI MARINEI</t>
  </si>
  <si>
    <t>B-13-03 RESIDENSI LAGUNA BIRU 2, JALAN TASIK BIRU 2, TAMAN TASIK BIRU 48050 RAWANG SELANGOR  Rawang Selangor - my 48050</t>
  </si>
  <si>
    <t>NVMY34535000007291</t>
  </si>
  <si>
    <t>HAFISOL BIN HJ ABU BAKAR</t>
  </si>
  <si>
    <t>NO 1 JALAN MAWAR 1/1, ZON MAWAR , PERSIARAN AMANJAYA 3, 08100 SUNGAI PETANI KEDAH  Bedong Kedah - my 08100</t>
  </si>
  <si>
    <t>A3-GRN-23-21</t>
  </si>
  <si>
    <t>NVMY34535000007314</t>
  </si>
  <si>
    <t>MUHAMMAD SYAMIM</t>
  </si>
  <si>
    <t>BLOK D1 P.A.K.R JALAN DEWAN SIVIK BINJAI RENDAH 21400 MARANG TERENGGANU  Bukit Payong Terengganu - my 21400</t>
  </si>
  <si>
    <t>NVMY34535000007305</t>
  </si>
  <si>
    <t>WAN HAIRUL AZREEN BIN WAN HANUDIN</t>
  </si>
  <si>
    <t>LADANG FGVPM ARING 5, 18300 GUA MUSANG KELANTAN  Gua Musang Kelantan - my 18300</t>
  </si>
  <si>
    <t>NVMY34535000007326</t>
  </si>
  <si>
    <t>NUR HANANI IZZATI MUSLIM</t>
  </si>
  <si>
    <t>310, JLN TS , TMN SAGA, BENTONG 28700 BENTONG, PAHANG  Bentong Pahang - my 28700</t>
  </si>
  <si>
    <t>NVMY34535000007336</t>
  </si>
  <si>
    <t>ROSSHAZEL</t>
  </si>
  <si>
    <t>NO 123, JALAN SENTOSA 64, TAMAN BUNGA MELUR BATU BELAH 41050 KLANG SELANGOR  Klang Selangor - my 41050</t>
  </si>
  <si>
    <t>NVMY34535000007280</t>
  </si>
  <si>
    <t>BTK INTEGRATED TRANSPORT SDN BHD (ATTN: MISS SIEW)</t>
  </si>
  <si>
    <t>LOT 1030 &amp; 1070 JALAN KUALA KANGSAR 34700 SIMPANG TAIPING PERAK  Perak Simpang Perak - my 34700</t>
  </si>
  <si>
    <t>NVMY34535000007294</t>
  </si>
  <si>
    <t>Norzaili binti Asbar</t>
  </si>
  <si>
    <t>No.1, Jalan Kiara 3,  Taman Kiara 1, Pekan Nanas, 81500 Pontian , Johor Darul Takzim  Pekan Nenas Johor - my 81500</t>
  </si>
  <si>
    <t>C1-PTN-9-66</t>
  </si>
  <si>
    <t>NVMY34535000007339</t>
  </si>
  <si>
    <t>LOT 976, JLN SULTAN ALAM SHAH KANAN, KANCHONG DARAT 42700 BANTING SELANGOR  Telok Panglima Garang Selangor - my 42700</t>
  </si>
  <si>
    <t>NVMY34535000007292</t>
  </si>
  <si>
    <t>SITI RAFIDAH BINTI ABD HALIM</t>
  </si>
  <si>
    <t>NO 3, JALAN DATOK JALOK, PEKAN TAMPOK, 82200, BENUT, PONTIAN, JOHOR  Benut Johor - my 82200</t>
  </si>
  <si>
    <t>NVMY34535000007334</t>
  </si>
  <si>
    <t>CAHYA</t>
  </si>
  <si>
    <t>NO 5, JALAN JASA MERDEKA 11, TAMAN DATUK TAMBY CHIK KARIM, BATU BERENDAM, 75350 MELAKA  Melaka Melaka - my 75350</t>
  </si>
  <si>
    <t>NVMY34535000007309</t>
  </si>
  <si>
    <t>EN MOHAMED NUSI B ABD RAHMAN</t>
  </si>
  <si>
    <t>NO 8 JALAN SEHARUM 5, TAMAN BUKIT DAHLIA, 81700 PASIR GUDANG JOHOR  Pasir Gudang Johor - my 81700</t>
  </si>
  <si>
    <t>NVMY34535000007338</t>
  </si>
  <si>
    <t>NORIZAHUSAINLI</t>
  </si>
  <si>
    <t>NO 116 BLOCK C, PERUMAHAN KUSIAL BHARU 17500 TANAH MERAH, KELANTAN  Tanah Merah Kelantan - my 17500</t>
  </si>
  <si>
    <t>NVMY34535000007335</t>
  </si>
  <si>
    <t>EN SELAMAT</t>
  </si>
  <si>
    <t>IZZRINA MANAGEMENT NO 1283-1, WISMA SELAMAT ZAINI, BATU 3, 1/4 JALAN SEMABOK 75050, MELAKA  Melaka Melaka - my 75050</t>
  </si>
  <si>
    <t>NVMY34535000007330</t>
  </si>
  <si>
    <t>NADIA (KAKYA)</t>
  </si>
  <si>
    <t>BLOCK A, 13A-01, SKY AWANI II, JALAN 2/12 KAMPUNG BATU MUDA, 51100 KUALA LUMPUR, FEDERAL TERRITORY OFF KUALA LUMPUR  Kuala Lumpur Kuala Lumpur - my 51100</t>
  </si>
  <si>
    <t>D1-GEN-24-100</t>
  </si>
  <si>
    <t>NVMY34535000007329</t>
  </si>
  <si>
    <t>LOT NO 9 &amp; 11, JALAN TUKANG 16/4 KASAWAN PERINDUSTRIAN SEKSYEN 16 40702 SHAH ALAM, SELANGOR  Shah Alam Selangor - my 40100</t>
  </si>
  <si>
    <t>NVMY34535000007302</t>
  </si>
  <si>
    <t>NORLIDA BTE OTHMAN</t>
  </si>
  <si>
    <t>B64, JLN PANGLIMA SALLEH, KG KEN TUN DR ISMAIL 2, SG ABONG 84000 MUAR, JOHOR  Muar Johor - my 84000</t>
  </si>
  <si>
    <t>NVMY34535000007299</t>
  </si>
  <si>
    <t>YUSBASNI BIN YUKIRIN</t>
  </si>
  <si>
    <t>UNIT X-RAY HOSPITAL PAPAR 89607 PAPAR, SABAH  Papar Sabah - my 89607</t>
  </si>
  <si>
    <t>NVMY34535000007296</t>
  </si>
  <si>
    <t>MRS ADDY</t>
  </si>
  <si>
    <t>NO 3 JLN KRISTAL 4 TAMAN JAYA, 86400 PARIT RAJA BATU PAHAT JOHOR  Parit Raja Johor - my 86400</t>
  </si>
  <si>
    <t>NVMY34535000007331</t>
  </si>
  <si>
    <t>NOOR AZRIDA ABU BAKAR</t>
  </si>
  <si>
    <t>NO 1 TINGKAT 1 JALAN KETAPA 1, 28400 MENTAKAB PAHANG  Mentakab Pahang - my 28400</t>
  </si>
  <si>
    <t>NVMY34535000007322</t>
  </si>
  <si>
    <t>MUHD IQBAL</t>
  </si>
  <si>
    <t>BLOK M 013 JALAN BATU NILAM 34 BANDAR BUKIT TINGGI 2, 41200 SELANGOR  Klang Selangor - my 41200</t>
  </si>
  <si>
    <t>D5-BTK-4-139</t>
  </si>
  <si>
    <t>NVMY34535000007275</t>
  </si>
  <si>
    <t>CBOY</t>
  </si>
  <si>
    <t>NO 11 , NUSARI BAYU 1/4 , NUSARI BAYU 1 SENDAYAN 71900 NEGERI SEMBILAN   Negeri Sembilan Labu Negeri Sembilan - my 71900</t>
  </si>
  <si>
    <t>NVMY34535000007327</t>
  </si>
  <si>
    <t>NUR AZLINA BT WAN SUHARI</t>
  </si>
  <si>
    <t>NO 69-1 KGTELOK KALONG 24000 KEMAMAN, TERENGGANU  Ayer Puteh Terengganu - my 24000</t>
  </si>
  <si>
    <t>NVMY34535000007333</t>
  </si>
  <si>
    <t>ALYA ATIRAH</t>
  </si>
  <si>
    <t>THE VERTICAL CORPORATE TOWER, TOWER B, BANGSAR SOUTH CITY UOA, 59200 KL  Kuala Lumpur Kuala Lumpur - my 59200</t>
  </si>
  <si>
    <t>D2-DSA-20-109</t>
  </si>
  <si>
    <t>NVMY34535000007325</t>
  </si>
  <si>
    <t>ANIS AMALINA</t>
  </si>
  <si>
    <t>13, JALAN QAMARI U5/110, TAMAN NUSA SUBANG 40150 SHAH ALAM, SELANGOR  Shah Alam Selangor - my 40150</t>
  </si>
  <si>
    <t>NVMY34535000007321</t>
  </si>
  <si>
    <t>ZAHIRAH</t>
  </si>
  <si>
    <t>NO 35 KECUBUNG 1 TAMAN DAIMAN JAYA 81900 KOTA TINGGI JOHOR  Kota Tinggi Johor - my 81900</t>
  </si>
  <si>
    <t>NVMY34535000007349</t>
  </si>
  <si>
    <t>Laili Ghazali</t>
  </si>
  <si>
    <t>Blok A.4.11 pangsapuri bistari sri perantau 42000 pelabuhan klang Selangor  Pelabuhan Klang Selangor - my 42000</t>
  </si>
  <si>
    <t>D5-PKL-2-146</t>
  </si>
  <si>
    <t>NVMY34535000007357</t>
  </si>
  <si>
    <t>CHE ROSLINDA BINTI CHE ISMAIL</t>
  </si>
  <si>
    <t>LOT 11066A LORONG ABRAR KAMPUNG BANGGOL JENERIH 17500 TANAH MERAH KELANTAN  Tanah Merah Kelantan - my 17500</t>
  </si>
  <si>
    <t>NVMY34535000007350</t>
  </si>
  <si>
    <t>LAILI GHAZALI</t>
  </si>
  <si>
    <t>BLOK A.4.11 PANGSAPURI BISTARI SRI PERANTAU 42000 PELABUHAN KLANG SELANGOR  Pelabuhan Klang Selangor - my 42000</t>
  </si>
  <si>
    <t>NVMY34535000007344</t>
  </si>
  <si>
    <t>SARINA BT ABD MAJID</t>
  </si>
  <si>
    <t>B2-19 APARTMENT IMPIAN INDAH 47000 SUNGAI BULOH SELANGOR  Sungai Buloh Selangor - my 47000</t>
  </si>
  <si>
    <t>NVMY34535000007356</t>
  </si>
  <si>
    <t>NO 13 LORONG 15, TMN KAMPONG PADANG JAYA, JALAN SG LEMBING 25200 KUANTAN PAHANG  Kuantan Pahang - my 25200</t>
  </si>
  <si>
    <t>NVMY34535000007346</t>
  </si>
  <si>
    <t>NOR ANISZA BINTI ZULKEFLI</t>
  </si>
  <si>
    <t>NO 38, TAMAN TERATUR 22000 JERTEH BESUT TERENGGANU  Jerteh Terengganu - my 22000</t>
  </si>
  <si>
    <t>NVMY34535000007282</t>
  </si>
  <si>
    <t>NORFARINI JAMAL</t>
  </si>
  <si>
    <t>CAWANGAN KHAS IBU PEJABAT POLIS KONTINJEN SABAH, 88560 KOTA KINABALU, SABAH  Kota Kinabalu Sabah - my 88560</t>
  </si>
  <si>
    <t>NVMY34535000007354</t>
  </si>
  <si>
    <t>NOR HAMIEDA BT ABD RAZAK</t>
  </si>
  <si>
    <t>NO 115, KG PADANG LALANG FELD NERAM 24060 CENEH TERENGGANU  Ceneh Terengganu - my 24060</t>
  </si>
  <si>
    <t>NVMY34535000007323</t>
  </si>
  <si>
    <t>MOHD ROZI BIN HUSSIN</t>
  </si>
  <si>
    <t>NO 164 JLN SENAI UTAMA 5/16 TAMAN SENAI UTAMA 81400 SENAI JOHOR  Senai Johor - my 81400</t>
  </si>
  <si>
    <t>NVMY34535000007345</t>
  </si>
  <si>
    <t>BLOK A 17-03 KUARTERS INTEGRASI HOSPITAL SUNGAI BULOH 47000 SUNGAI BULOH SELANGOR  Kuala Lumpur Kuala Lumpur - my 47000</t>
  </si>
  <si>
    <t>NVMY34535000007353</t>
  </si>
  <si>
    <t>WAN NURASHA UMAIRAH</t>
  </si>
  <si>
    <t>NO 19 LORONG 10 PAKR TAMAN SRI ROMPIN 26800 KUALA ROMPIN PAHANG  Kuala Rompin Pahang - my 26800</t>
  </si>
  <si>
    <t>NVMY34535000007332</t>
  </si>
  <si>
    <t>C.NAB</t>
  </si>
  <si>
    <t>26, JALAN APOLLO CH U5/CH, SUBANG 2, 40150 SHAH ALAM, SELANGOR  Shah Alam Selangor - my 40150</t>
  </si>
  <si>
    <t>NVMY34535000007337</t>
  </si>
  <si>
    <t>NURUL IZZATI</t>
  </si>
  <si>
    <t>33A JALAN PENAGA 2 TAMAN PENAGA 06010 CHANGLOON, KEDAH  Changloon Kedah - my 06010</t>
  </si>
  <si>
    <t>A3-JIT-21-24</t>
  </si>
  <si>
    <t>NVMY34535000007342</t>
  </si>
  <si>
    <t>ISBERTH NACHIA</t>
  </si>
  <si>
    <t>NO 10, JALAN GP 10, TAMAN GARING PERMAI 48000 RAWANG SELANGOR  Kuala Lumpur Kuala Lumpur - my 48000</t>
  </si>
  <si>
    <t>NVMY34535000007341</t>
  </si>
  <si>
    <t>VANITHA</t>
  </si>
  <si>
    <t>77-03-26, BANDAR BARU SENTUL, KUALA LUMPUR 51000 WILAYAH PERSEKUTUAN KUALA LUMPUR  Kuala Lumpur Kuala Lumpur - my 51000</t>
  </si>
  <si>
    <t>NVMY34535000007348</t>
  </si>
  <si>
    <t>VIVIEN</t>
  </si>
  <si>
    <t>NO5 , JALAN MELATI , AIR HITAM , 86100 AYER HITAM , JOHOR   Ayer Hitam Johor - my 86100</t>
  </si>
  <si>
    <t>NVMY34535000007359</t>
  </si>
  <si>
    <t>FARHANA</t>
  </si>
  <si>
    <t>NO 20 JALAN BIRAI U8-68 BUKIT JELUTONG 40150 SHAH ALAM SELANGOR  Shah Alam Selangor - my 40150</t>
  </si>
  <si>
    <t>NVMY34535000007361</t>
  </si>
  <si>
    <t>SUHAINI ABDUL MUTALIB</t>
  </si>
  <si>
    <t>(SOOKIES STORE) A29 LORONG PERAMU AMAN 30 TANJUNG LUMPUR 26060 KUANTAN PAHANG  Kuantan Pahang - my 26060</t>
  </si>
  <si>
    <t>NVMY34535000007360</t>
  </si>
  <si>
    <t>SALAM NOODLES, 43, JALAN WARISAN MEGAH 1/5, KOTA WARISAN 43900 SEPANG SELANGOR. RUMAH ATAS, KEDAI SALAM NOODLES TINGKAT 2 PINTU KIRI  Sepang Selangor - my 43900</t>
  </si>
  <si>
    <t>NVMY34535000007351</t>
  </si>
  <si>
    <t>AZLINA MUHAMAD</t>
  </si>
  <si>
    <t>9683 AIR MELINTAS BESAR TASEK GELUGOR 13300 TASEK GELUGOR PULAU PINANG  Tasek Gelugor Pulau Pinang - my 13300</t>
  </si>
  <si>
    <t>NVMY34535000007355</t>
  </si>
  <si>
    <t>SYAHIDAH A.</t>
  </si>
  <si>
    <t>31, JALAN SERI PUTRA 3/F, BANDAR SERI PUTRA 43000 KAJNAG SELANGOR  Selangor Kajang Selangor - my 43000</t>
  </si>
  <si>
    <t>D4-BSP-8-133</t>
  </si>
  <si>
    <t>NVMY34535000007362</t>
  </si>
  <si>
    <t>AMIRA  NATASHA AZIZI</t>
  </si>
  <si>
    <t>287 KG KOTA MANIR, 21200 KUALA TERENGGANU, TERENGGANU  Kuala Terengganu Terengganu - my 21200</t>
  </si>
  <si>
    <t>NVMY34535000007352</t>
  </si>
  <si>
    <t>AZWANIZAM BT JOHARI</t>
  </si>
  <si>
    <t>NO 53 JALAN RI 4, TAMAN RAMBAI IDAMAN BUKIT RAMBAI 75250 MELAKA  Melaka Melaka - my 75250</t>
  </si>
  <si>
    <t>NVMY34535000007347</t>
  </si>
  <si>
    <t>JOSHUA CELVIN</t>
  </si>
  <si>
    <t>BLOK A, INSTITUT LATIHAN KEMENTERIAN KESIHATAN JOHOR BAHRU, LOT 8173 JALAN PERSIARAN KEMPAS BARU 81200 JOHOR BAHRU, JOHOR  Johor Bahru Johor - my 81200</t>
  </si>
  <si>
    <t>NVMY34535000007340</t>
  </si>
  <si>
    <t>MOHAMAD RADHI B ROSLI</t>
  </si>
  <si>
    <t>NO 15, PARIT HJ HASSAN, MATANG GERDU, 34300 BAGAN SERAI PERAK  Bagan Serai Perak - my 34300</t>
  </si>
  <si>
    <t>B3-BAG-11-58</t>
  </si>
  <si>
    <t>NVMY34535000007382</t>
  </si>
  <si>
    <t>Butik Mami Jangok</t>
  </si>
  <si>
    <t>Lot -1 Jalan kuala berang  Kampung merbau patah, 20050 Kuala Terengganu  Kuala Terengganu Terengganu - my 20050</t>
  </si>
  <si>
    <t>NVMY34535000007379</t>
  </si>
  <si>
    <t>FATIN NABILA</t>
  </si>
  <si>
    <t>B9-03-01, 1120-PARK AVENUE, NO 2A, JALAN PJS 1/52, TAMAN PETALING UTAMA 46150, PETALING JAYA SELANGOR  Petaling Jaya Selangor - my 46150</t>
  </si>
  <si>
    <t>NVMY34535000007320</t>
  </si>
  <si>
    <t>DEWIHAYATI MUSTAFA</t>
  </si>
  <si>
    <t>SMK SERI PERLING JLN UNDAN 8 TAMAN PERLING 81200 JOHOR BAHRU, JOHOR  Johor Bahru Johor - my 81200</t>
  </si>
  <si>
    <t>NVMY34535000007371</t>
  </si>
  <si>
    <t>WAN MUHD BADRUDDIN</t>
  </si>
  <si>
    <t>NO S3 KAMPUNG KUTAN SUNGAI WAKAF BARU 16250 KELANTAN  , - , Wakaf Bharu , Kelantan Wakaf Bharu Kelantan - MY 16250</t>
  </si>
  <si>
    <t>NVMY34535000007366</t>
  </si>
  <si>
    <t>MOHD HAKIM HAKIMI B HASSAN</t>
  </si>
  <si>
    <t>PT 4726,KAMPUNG TAMAN HIJRAH,BAN BESAR 21010 BANDAR PERMAISURI SETIU TERENGGANU  , - , Kuala Terengganu , Terengganu Kuala Terengganu Terengganu - MY 21010</t>
  </si>
  <si>
    <t>NVMY34535000007365</t>
  </si>
  <si>
    <t>MUHD FAHMI</t>
  </si>
  <si>
    <t>991 JALAN HALIMAH GUCHIL 1 KUALA KRAI 18020 KELANTAN  , - , Kuala Krai , Kelantan Kuala Krai Kelantan - MY 18020</t>
  </si>
  <si>
    <t>NVMY34535000007376</t>
  </si>
  <si>
    <t>ZAINAB ABDUL AIZIZ</t>
  </si>
  <si>
    <t>LOT 60948, KG APEK, 22100 PERMAISURI SETIU TERENGGANU  Permaisuri Terengganu - my 22100</t>
  </si>
  <si>
    <t>NVMY34535000007364</t>
  </si>
  <si>
    <t>MUHD ZULHASMIZAN</t>
  </si>
  <si>
    <t>LOT 1331 JALAN IMPIAN 2,KG LAY OUT TOK SABOH 22300,KUALA TERENGGANU  , - , Kuala Besut , Terengganu Kuala Besut Terengganu - MY 22300</t>
  </si>
  <si>
    <t>NVMY34535000007381</t>
  </si>
  <si>
    <t>JULIAHARNIYANTI HARUN</t>
  </si>
  <si>
    <t>LOT 3652 TAMAN SRI MEDANG 2, KAMPUNG RAJA BESUT 22200 TERENGGANU  Kampung Raja Terengganu - my 22200</t>
  </si>
  <si>
    <t>NVMY34535000007367</t>
  </si>
  <si>
    <t>JOE LEAR PCB</t>
  </si>
  <si>
    <t>LOT 3168-5,KG KULIM BUKIT LAKOTA 17600 JELI KELANTAN  , - , Jeli , Kelantan Jeli Kelantan - MY 17600</t>
  </si>
  <si>
    <t>NVMY34535000007388</t>
  </si>
  <si>
    <t>RADZIAH TAMYIS</t>
  </si>
  <si>
    <t>PS-09-17 PERMAI SERI APARTMENT JALAN 13D, TAMAN DATO AHMAD RAZALI 68000 AMPANG SELANGOR  Ampang Selangor - my 68000</t>
  </si>
  <si>
    <t>D1-AMP-26-96</t>
  </si>
  <si>
    <t>NVMY34535000007386</t>
  </si>
  <si>
    <t>PINO</t>
  </si>
  <si>
    <t>BLOK C,C-03-11 VISTAGREEN APT GENTING PERMAI PARK 69000 GENTING HIGHLAND BENTONG PAHANG  Genting Highlands Pahang - my 69000</t>
  </si>
  <si>
    <t>NVMY34535000007385</t>
  </si>
  <si>
    <t>JK STUDIO</t>
  </si>
  <si>
    <t>JK STUDIO 51, 1ST FLOOR FIESTA @ AXIX PANDAN, D.E JALAN CEMPAKA 68000 AMPANG JAYA, SELANGOR  Ampang Selangor - my 68000</t>
  </si>
  <si>
    <t>NVMY34535000007370</t>
  </si>
  <si>
    <t>KHAIRUL</t>
  </si>
  <si>
    <t>139 FELDA ARING 01 18300 GUA MUSANG KELANTAN  , - , Gua Musang , Kelantan Gua Musang Kelantan - MY 18300</t>
  </si>
  <si>
    <t>NVMY34535000007328</t>
  </si>
  <si>
    <t>NVMY34535000007358</t>
  </si>
  <si>
    <t>AMIRUL AKMAL</t>
  </si>
  <si>
    <t>NO 2 QUARTERS LOJI AIR SUNGAI ULAR, 09000 KULIM KEDAH  Kulim Kedah - my 09000</t>
  </si>
  <si>
    <t>B2-KLM-15-40</t>
  </si>
  <si>
    <t>NVMY34535000007387</t>
  </si>
  <si>
    <t>NUR AZIRA BINTI AZUANI</t>
  </si>
  <si>
    <t>NO 12 JALAN SRI TANJUNG 3, TAMAN SRI ANDALAS, 41200 KLANG SELANGOR  Klang Selangor - my 41200</t>
  </si>
  <si>
    <t>NVMY34535000007374</t>
  </si>
  <si>
    <t>UJANG RUNNER STORE</t>
  </si>
  <si>
    <t>13, TINGKAT 1 JALAN DESA MANGGIS, TAMAN DESA MANGGIS 70400 SEREMBAN NEGERI SEMBILAN  Seremban Negeri Sembilan - my 70400</t>
  </si>
  <si>
    <t>NVMY34535000007394</t>
  </si>
  <si>
    <t>zaleha zulaikha</t>
  </si>
  <si>
    <t xml:space="preserve"> 481 Batu 2 Pasir Pekan (rumah batu putih tepi jalan besar) 16250 Wakaf Bharu Kelantan  Wakaf Bharu Kelantan - my 16250</t>
  </si>
  <si>
    <t>NVMY34535000007408</t>
  </si>
  <si>
    <t>Nur Ashidah</t>
  </si>
  <si>
    <t>PT4728 Taman Banggol Indah, Kampung Paya Berenjut, 24000 Kemaman Terengganu  Ayer Puteh Terengganu - my 24000</t>
  </si>
  <si>
    <t>NVMY34535000007373</t>
  </si>
  <si>
    <t>NORLELA RAZAK</t>
  </si>
  <si>
    <t>NO 51 BLOK F,RPA BATU 2,33300 GERIK PERAK  Gerik Perak - my 33300</t>
  </si>
  <si>
    <t>B3-GER-11-56</t>
  </si>
  <si>
    <t>NVMY34535000007411</t>
  </si>
  <si>
    <t>shahmimi</t>
  </si>
  <si>
    <t xml:space="preserve"> lot 377 kg pak madah , bukit payong , 21400 marang , Terengganu  Bukit Payong Terengganu - my 21400</t>
  </si>
  <si>
    <t>NVMY34535000007403</t>
  </si>
  <si>
    <t>nur sofia amilily</t>
  </si>
  <si>
    <t>no 13 lorong 3/13 bandar putra , Jln tg lumpur , 26060 kuantan pahang  Kuantan Pahang - my 26060</t>
  </si>
  <si>
    <t>NVMY34535000007343</t>
  </si>
  <si>
    <t>NOOR NAIMAH AMIRUDDIN</t>
  </si>
  <si>
    <t>KINETICS SYSTEMS MALAYSIA SDN BHD SUITE 14,15,16 KHTP TECHNO CENTRE KULIM HI-TECH PARK 09000 KULIM, KEDAH  Kedah Kulim Kedah - my 09000</t>
  </si>
  <si>
    <t>NVMY34535000007369</t>
  </si>
  <si>
    <t>MOHD KHAIRUDIN BIN MOHD BAKRI</t>
  </si>
  <si>
    <t>39,JALAN 3 TAMAN SETIA WARISAN,40150 SHAH ALAM SELANGOR   , - , Shah Alam , Selangor Shah Alam Selangor - MY 40150</t>
  </si>
  <si>
    <t>NVMY34535000007372</t>
  </si>
  <si>
    <t>MOHD SHAFIE</t>
  </si>
  <si>
    <t>MR TOMYAM NO K 6 JALAN LIMAU KASTURI TAMAN SLIM JAYA 35800 SLIM RIVER PERAK  , - , Slim River , Perak Slim River Perak - MY 35800</t>
  </si>
  <si>
    <t>NVMY34535000007416</t>
  </si>
  <si>
    <t>MOHD FADLI B HUSIN (KAK SITI)</t>
  </si>
  <si>
    <t>348 JALAN AMIR KAMPUNG LAMA KAMPUNG RAJA 22200 BESUT, TERENGGANU  Kampung Raja Terengganu - my 22200</t>
  </si>
  <si>
    <t>NVMY34535000007399</t>
  </si>
  <si>
    <t>Izzati syaqilah</t>
  </si>
  <si>
    <t>04-2-2, PANGSAPURI PUTERI, JALAN MAT RAJI, PADANG JAWA, SEKSYEN 17, 40200, SHAH ALAM, SELANGOR  Shah Alam Selangor - my 40200</t>
  </si>
  <si>
    <t>NVMY34535000007412</t>
  </si>
  <si>
    <t>MY SUTERA SDN BHD, LOT NO 9 &amp; 11 JALAN TUKANG 16/4 KAWASAM=N PERINDUSTRIAN SEKSYEN 16, 40702 SHAH ALAM, SELANGOR  Shah Alam Selangor - my 40000</t>
  </si>
  <si>
    <t>NVMY34535000007392</t>
  </si>
  <si>
    <t>Mohamad Shafi bin Basri</t>
  </si>
  <si>
    <t xml:space="preserve"> Fasa 3, Blok 9, 302, Jalan Plumbum 7/95, Seksyen 7, 40000, Shah Alam, Selangor  Shah Alam Selangor - my 40000</t>
  </si>
  <si>
    <t>NVMY34535000007424</t>
  </si>
  <si>
    <t>AIMI ADNAN</t>
  </si>
  <si>
    <t>SISWA POST UMT LOT 6&amp;7 STUDENT MALL COMPLEX, UNIVERSITI MALAYSIA TERENGGANU 21030 KUALA TERENGGANU, TERENGGANU  Kuala Terengganu Terengganu - my 21030</t>
  </si>
  <si>
    <t>NVMY34535000007414</t>
  </si>
  <si>
    <t>B-02-15 PANGSAPURI BUKIT BARU KERAMAT HUJUNG 54200 KL  Kuala Lumpur Kuala Lumpur - my 54200</t>
  </si>
  <si>
    <t>NVMY34535000007375</t>
  </si>
  <si>
    <t>CHOIZES CONCEPT STORE SDN BHD</t>
  </si>
  <si>
    <t>UNIT NO D6-3A-17 BANGUNAN PERDAGANGAN  D6, SENTUL RAYA, 801 JALAN SENTUL 51100 KUALA LUMPUR   Kuala Lumpur Kuala Lumpur - my 51100</t>
  </si>
  <si>
    <t>NVMY34535000007426</t>
  </si>
  <si>
    <t>SITI NORSILAH SAYUTI</t>
  </si>
  <si>
    <t>NO 1 JLN MERANTI PUTIH 3, TMN PERMAI 2, BATU 7 1/2 MERU KLANG SEANGOR  Klang Selangor - my 41050</t>
  </si>
  <si>
    <t>NVMY34535000007421</t>
  </si>
  <si>
    <t>NURUL SHARIZA BINTI AHMAD</t>
  </si>
  <si>
    <t>FLAT SEMARAK 12-G-6 JLN TS TMN SEMARAK 71800 NILAI NEGERI SEMBILAN   Labu Negeri Sembilan - my 71800</t>
  </si>
  <si>
    <t>C4-NIL-28-93</t>
  </si>
  <si>
    <t>NVMY34535000007405</t>
  </si>
  <si>
    <t>Athirah</t>
  </si>
  <si>
    <t>No 4 lorong cakerapurnama 12/26 puncak alam 42300 selangor  Bandar Puncak Alam Selangor - my 42300</t>
  </si>
  <si>
    <t>D3-PCK-14-118</t>
  </si>
  <si>
    <t>NVMY34535000007380</t>
  </si>
  <si>
    <t>PROF DR SHAHRIMAN ABU BAKAR</t>
  </si>
  <si>
    <t>FAKULTI TEKNOLOGI KEJURUTERAAN MEKANIKAL PAUH PUTRA CAMPUS UNIVERSITI MALAYSIA PERLIS 02600 ARAU PERLIS  Arau Perlis - my 02600</t>
  </si>
  <si>
    <t>NVMY34535000007400</t>
  </si>
  <si>
    <t>Nadia</t>
  </si>
  <si>
    <t>No 33 jalan gapi 1c/8 antara gapi 48200 serendah selangor   Serendah Selangor - my 48200</t>
  </si>
  <si>
    <t>NVMY34535000007419</t>
  </si>
  <si>
    <t>Marina Abdullah</t>
  </si>
  <si>
    <t>Klinik Pakar kanak-kanak, Aras 2,Hospital sultan Ismail Petra, 19800 jual krai, kelantan  Kuala Krai Kelantan - my 18000</t>
  </si>
  <si>
    <t>NVMY34535000007368</t>
  </si>
  <si>
    <t>MOHD SYAHMY</t>
  </si>
  <si>
    <t>NO 25,JALAN JANA 3,TAMAN BAYU DAMAI 81620 PENGGERANG JOHOR  , - , Pengerang , Johor Pengerang Johor - MY 81620</t>
  </si>
  <si>
    <t>NVMY34535000007378</t>
  </si>
  <si>
    <t>NURHAHANI BINTI RAMLI</t>
  </si>
  <si>
    <t>NO 291, JALAN MIEL 9/S1 TAMAN PEDAS PERDANA 71400 REMBAU, NEGERI SEMBILAN  Rembau Negeri Sembilan - my 71400</t>
  </si>
  <si>
    <t>NVMY34535000007384</t>
  </si>
  <si>
    <t>NATALIELOKMAN</t>
  </si>
  <si>
    <t>NO 28 JALAN PJU 10/16A, SUTERA DAMANSARA 47830 PETALING JAYA, SELANGOR  Selangor Petaling Jaya Selangor - my 47830</t>
  </si>
  <si>
    <t>NVMY34535000007404</t>
  </si>
  <si>
    <t>Nur damia qaisara</t>
  </si>
  <si>
    <t>PANGSAPURI ANDIKA, SETIAWANGSA,KUALA LUMPUR,3-7  Kuala Lumpur Kuala Lumpur - my 54200</t>
  </si>
  <si>
    <t>NVMY34535000007390</t>
  </si>
  <si>
    <t>AZIMAH</t>
  </si>
  <si>
    <t>LOT 6606 , JALAN SK SURA , KG SURA TENGAH 23000 DUNGUN TERENGGANU   Dungun Terengganu - my 23000</t>
  </si>
  <si>
    <t>NVMY34535000007395</t>
  </si>
  <si>
    <t>SITI NUR AMNI</t>
  </si>
  <si>
    <t>NO.319 A , KG. PANCHUR KUIN , PDG . KEMUNTING, 21020 KUALA TERENGGANU, TERENGGANU   Kuala Terengganu Terengganu - my 21020</t>
  </si>
  <si>
    <t>NVMY34535000007363</t>
  </si>
  <si>
    <t>NVMY34535000007391</t>
  </si>
  <si>
    <t>Wan Malissa Zahirah</t>
  </si>
  <si>
    <t xml:space="preserve"> No 47,Lorong Gambang Jaya 1/3 Perumahan Makmur Gambang Jaya 1 Gambang, 26300 Kuantan, Pahang  Gambang Pahang - my 26300</t>
  </si>
  <si>
    <t>NVMY34535000007425</t>
  </si>
  <si>
    <t>NORALIN NORDIN</t>
  </si>
  <si>
    <t>22A JALAN TIJANI 2/A, TAMAN TIJANI UKAY, AMPANG 68000 SELANGOR  Ampang Selangor - my 68000</t>
  </si>
  <si>
    <t>NVMY34535000007396</t>
  </si>
  <si>
    <t>Aina Yasin</t>
  </si>
  <si>
    <t>No 51 Jalan JU 12, Taman Jasa Utama, 68100 Batu Caves, Selangor  Batu Caves Selangor - my 68100</t>
  </si>
  <si>
    <t>NVMY34535000007420</t>
  </si>
  <si>
    <t>Zuraida ASMANITA CHE Mat</t>
  </si>
  <si>
    <t>No 688c lorong Sri Astana, 11/4 Bandar Astana 08000 Sungai Petani Kedah  Sungai Petani Kedah - my 08000</t>
  </si>
  <si>
    <t>NVMY34535000007432</t>
  </si>
  <si>
    <t>MSH SHOP</t>
  </si>
  <si>
    <t>PT 33 JALAN SAUJANA 1, ROMPIN JELAI JEMPOL 73500 NEGERI SEMBILAN  Rompin Negeri Sembilan - my 73500</t>
  </si>
  <si>
    <t>NVMY34535000007418</t>
  </si>
  <si>
    <t>Ika jaffri</t>
  </si>
  <si>
    <t>No. 22 jalan timbalan tanjung mas 84000 muar johor  Muar Johor - my 84000</t>
  </si>
  <si>
    <t>NVMY34535000007423</t>
  </si>
  <si>
    <t>SOFIA CANTIK</t>
  </si>
  <si>
    <t>B-8-1, RESIDENSI PRIMA TEBRAU, JALAN TEBRAU KAMPUNG DATO SULAIMAN MENTERI 81100 JOHOT BAHRU JOHOR  Johor Bahru Johor - my 81100</t>
  </si>
  <si>
    <t>NVMY34535000007377</t>
  </si>
  <si>
    <t>NG CHIEW HEYONG</t>
  </si>
  <si>
    <t>MDLD 4128, TAMAN TABANAK, TABANAK 91100 LAHAD DATU, SABAH  Lahad Datu Sabah - my 91100</t>
  </si>
  <si>
    <t>E2-LDU-1-163</t>
  </si>
  <si>
    <t>NVMY34535000007422</t>
  </si>
  <si>
    <t>SITI ANGGUN HQ</t>
  </si>
  <si>
    <t>NO 153, JALAN MUTIARA 3/2 TAMAN MUTIARA  09700 KARANGAN,  KEDAH  Karangan Kedah - my 09700</t>
  </si>
  <si>
    <t>NVMY34535000007417</t>
  </si>
  <si>
    <t>Aien kamaruzaman</t>
  </si>
  <si>
    <t>195 lorong setia 4B kampung balun 35820 slim river perak  Slim River Perak - my 35820</t>
  </si>
  <si>
    <t>NVMY34535000007397</t>
  </si>
  <si>
    <t>nuur atiqah zamuri</t>
  </si>
  <si>
    <t>poliklinik fatimah no 5 jalan harmoni 3/6 taman desa harmoni 81100 Johor Bahru  Johor Bahru Johor - my 81100</t>
  </si>
  <si>
    <t>NVMY34535000007409</t>
  </si>
  <si>
    <t>NUR HANISAH BINTI NORDIN</t>
  </si>
  <si>
    <t>Bilik G ,3045-A jln merbau 1,Bandar Putra,81000 kulai,Johor  Kulai Johor - my 81000</t>
  </si>
  <si>
    <t>NVMY34535000007406</t>
  </si>
  <si>
    <t>ELL MEDINA</t>
  </si>
  <si>
    <t>BLOK E1-6-2 PANGKALAN UDARA SUBANG 40150 SHAH ALAM SELANGOR  Selangor Shah Alam Selangor - my 40150</t>
  </si>
  <si>
    <t>NVMY34535000007445</t>
  </si>
  <si>
    <t>FAUZI</t>
  </si>
  <si>
    <t>BLOK G1, NO BP 158, PASAR BESAR KEDAI PAYANG 2, 20000 KUALA TERENGGANU, TERENGGANU DARUL IMAN  Kuala Terengganu Terengganu - my 20000</t>
  </si>
  <si>
    <t>NVMY34535000007401</t>
  </si>
  <si>
    <t>NUR AS SOFEA AIWA BINTI AHMAD SOFI</t>
  </si>
  <si>
    <t>NO5 BELAKANG LEONG MOTOR JALAN LENCONG BARAT 05100 ALOR SETAR KEDAH  Alor Setar Kedah - my 05100</t>
  </si>
  <si>
    <t>NVMY34535000007402</t>
  </si>
  <si>
    <t>Nur Aqilah</t>
  </si>
  <si>
    <t xml:space="preserve"> F484 Kampung Hilir 08400 Merbok Kedah  Merbok Kedah - my 08400</t>
  </si>
  <si>
    <t>NVMY34535000007433</t>
  </si>
  <si>
    <t>FATIN KHAIRUNNISA</t>
  </si>
  <si>
    <t>NO 8 JALAN PINGGIRAN PUTRA 3/10 DESA PINGGIRAN PUTRA 43000 KAJANG SELANGOR  Kajang Selangor - my 43000</t>
  </si>
  <si>
    <t>NVMY34535000007415</t>
  </si>
  <si>
    <t>Suzianna bte ahmad</t>
  </si>
  <si>
    <t>Wq64 KB 538 ladang tereh mill, 86000 Kluang, Johor.  Kluang Johor - my 86000</t>
  </si>
  <si>
    <t>NVMY34535000007440</t>
  </si>
  <si>
    <t>LOGENDRAN GANESON</t>
  </si>
  <si>
    <t>KENVUE LOT 3 &amp; 5 JALAN TANDANG 46050 PETALING JAYA SELANGOR   Petaling Jaya Selangor - my 46050</t>
  </si>
  <si>
    <t>NVMY34535000007430</t>
  </si>
  <si>
    <t>FIRDAUS BIN MD AKHIR</t>
  </si>
  <si>
    <t>D404, BLOK D, DESA MUTIARA JALAN PJU 7/16B, MUTIARA DAMANSARA, 47820 PETALING JAYA SELANGOR  Petaling Jaya Selangor - my 47820</t>
  </si>
  <si>
    <t>NVMY34535000007427</t>
  </si>
  <si>
    <t>KHOR LEE HUEY</t>
  </si>
  <si>
    <t>NO 26 JALAN CIKUL1 TAMAN CIKU 14000 BKT MERTAJAM   Bukit Mertajam Pulau Pinang - my 14000</t>
  </si>
  <si>
    <t>NVMY34535000007428</t>
  </si>
  <si>
    <t>NURASYIKIN BT ALIAS</t>
  </si>
  <si>
    <t>LOT 1534, BT 38 KG SERTING TENGAH, 72200 BATU KIKIR NEGERI SEMBILAN, JEMPOL, NEGERI SEMBILAN  Batu Kikir Negeri Sembilan - my 72200</t>
  </si>
  <si>
    <t>C4-BHU-28-88</t>
  </si>
  <si>
    <t>NVMY34535000007429</t>
  </si>
  <si>
    <t>FARAENA BAHARUN</t>
  </si>
  <si>
    <t>NO 16 JALAN 3/48 SEKSYEN 3 BANDAR BARU BANGI 43650 BANGI SELANGOR  Bandar Baru Bangi Selangor - my 43650</t>
  </si>
  <si>
    <t>NVMY34535000007436</t>
  </si>
  <si>
    <t>NUR FAZLINA MARIATY</t>
  </si>
  <si>
    <t>NO 31 JALAN SR 1 / 1D SAUJANA RAWANG 48000 RAWANG SELANGOR   Kuala Lumpur Kuala Lumpur - my 48000</t>
  </si>
  <si>
    <t>NVMY34535000007442</t>
  </si>
  <si>
    <t>NURUL SYA MIMI WATI BINTI MAHADI</t>
  </si>
  <si>
    <t>LORONG PONDOK TAHFIZ MUSTAFAWIYAH, LOT 1065-52-2 KAMPUNG SUNGAI TANGKAS 43000 KAJANG SELANGOR  Kajang Selangor - my 43000</t>
  </si>
  <si>
    <t>NVMY34535000007407</t>
  </si>
  <si>
    <t>Najieha</t>
  </si>
  <si>
    <t>TB 263, Jalan Kejora 5, Taman Kejora, 76460 Tebong, Alor Gajah, Melaka  Selandar Melaka - my 77500</t>
  </si>
  <si>
    <t>C3-AGH-3-83</t>
  </si>
  <si>
    <t>NVMY34535000007438</t>
  </si>
  <si>
    <t>AANG SAMSUN</t>
  </si>
  <si>
    <t>LORONG HAJI EMANG KAMPUNG PAYA JARAS HILIR 47000 SUNGAI BULUH SELANGOR   Kuala Lumpur Kuala Lumpur - my 47000</t>
  </si>
  <si>
    <t>NVMY34535000007393</t>
  </si>
  <si>
    <t>Cynthia Cornelius</t>
  </si>
  <si>
    <t xml:space="preserve"> RSC 9, Resorts World Genting,Genting Highlands Resort,9000, Pahang Darul Makmur, Bentong, 69000, Pahang  Pahang Genting Highlands Pahang - my 69000</t>
  </si>
  <si>
    <t>NVMY34535000007389</t>
  </si>
  <si>
    <t>MDM MARIANNI</t>
  </si>
  <si>
    <t>D'ANEX HAIR BEAUTY &amp; SALON, TINGKAT 1 LOT NO 2 BLOCK A BANGUNAN SEDCO KUNDASANG RANAU 89308 SABAH  Ranau Sabah - my 89308</t>
  </si>
  <si>
    <t>NVMY34535000007449</t>
  </si>
  <si>
    <t>MOHD HAZEZA BIN FAUZEI</t>
  </si>
  <si>
    <t>LOT 16546 JALAN BEOHAH TOK KAMAL KG KELEWEK 17500 TANAH MERAH KELANTAN  Tanah Merah Kelantan - my 17500</t>
  </si>
  <si>
    <t>NVMY34535000007461</t>
  </si>
  <si>
    <t>NORAINI AHMAD</t>
  </si>
  <si>
    <t>NO 9 DESA SALAK MENTARI SALAK TINGGI 43900 SEPANG SELANGOR  Sepang Selangor - my 43900</t>
  </si>
  <si>
    <t>NVMY34535000007456</t>
  </si>
  <si>
    <t>ANIS IZZATI</t>
  </si>
  <si>
    <t>GUGUSAN MATAHARI BLOCK 2-5-3, 4/5 JLN CAMAR 47810 KOTA DAMANSARA, SELANGOR  Petaling Jaya Selangor - my 47810</t>
  </si>
  <si>
    <t>NVMY34535000007468</t>
  </si>
  <si>
    <t>MALAYSIAN BAR</t>
  </si>
  <si>
    <t>BAR COUNCIL, NO 2 LEBOH PASAR BESAR CITY CENTRE, 50050 KUALA LUMPUR  Kuala Lumpur Kuala Lumpur - my 50050</t>
  </si>
  <si>
    <t>NVMY34535000007460</t>
  </si>
  <si>
    <t>Ziee</t>
  </si>
  <si>
    <t>B5-04-47 Blok 5 Jalan Pjs 6/5B desa mentari 46000 Petaling Jaya Selangor   Petaling Jaya Selangor - my 46000</t>
  </si>
  <si>
    <t>NVMY34535000007441</t>
  </si>
  <si>
    <t>Nurhidayah bt zaini</t>
  </si>
  <si>
    <t xml:space="preserve"> no 80, Jalan Desa Jaya 3, Taman Desa Jaya kemunting taiping 34600 perak darul ridzuan  Kamunting Perak - my 34600</t>
  </si>
  <si>
    <t>B3-TPG-11-59</t>
  </si>
  <si>
    <t>NVMY34535000007447</t>
  </si>
  <si>
    <t>NORLIANA BINTI ABDUL MAJID</t>
  </si>
  <si>
    <t>PT11661 TAMAN SRI SENTOSA 21700 KUALA NERANG, TERENGGANU  Kuala Berang Terengganu - my 21700</t>
  </si>
  <si>
    <t>NVMY34535000007458</t>
  </si>
  <si>
    <t>Samiha 'Affaf Binti Ahmad Sabri</t>
  </si>
  <si>
    <t xml:space="preserve"> UniPS LOT 8, Tumpu, UniSZA Kampus Gong Badak, 21300, Kuala Nerus, Terengganu  Kuala Terengganu Terengganu - my 21300</t>
  </si>
  <si>
    <t>NVMY34535000007454</t>
  </si>
  <si>
    <t>MY SUTERA SDN BHD LOT NO 9&amp;11 JALAN TUKANG 16/4 KAWASAN PERINDUSTRIAN SEKSYEN 16, 40702 SHAH ALAM , SELANGOR  Shah Alam Selangor - my 40000</t>
  </si>
  <si>
    <t>NVMY34535000007434</t>
  </si>
  <si>
    <t>LOT 1030 &amp; 1070 JALAN KUALA KANGSAR 34700 SIMPANG TAIPING PERAK  Simpang Perak - my 34700</t>
  </si>
  <si>
    <t>NVMY34535000007467</t>
  </si>
  <si>
    <t>KHAIRIL AZWAN</t>
  </si>
  <si>
    <t>JALAN NILAM 1, SEKOLAH MENENGAH KEBANGSAAN BATU UNJUR JALAN NILAM 1, 41200 BUKIT TINGGI KLANG SELANGOR  Klang Selangor - my 41200</t>
  </si>
  <si>
    <t>NVMY34535000007431</t>
  </si>
  <si>
    <t>NORFARAHIN BT MOHAMMAD</t>
  </si>
  <si>
    <t>262 PT MOIN 2, MK 2 BAGAN 83000 BATU PAHAT JOHOR  Batu Pahat Johor - my 83000</t>
  </si>
  <si>
    <t>C2-BPT-5-80</t>
  </si>
  <si>
    <t>NVMY34535000007324</t>
  </si>
  <si>
    <t>Returned to Sender</t>
  </si>
  <si>
    <t>DIYANAMAYA</t>
  </si>
  <si>
    <t>NO 2, JALAN BUNGA RAYA, LORONG PANGLIMA BESAR, KAMPUNG SUNGAI PURUN 43500 HULU LANGAT SELANGOR  Selangor</t>
  </si>
  <si>
    <t>NVMY34535000007446</t>
  </si>
  <si>
    <t>NVMY34535000007452</t>
  </si>
  <si>
    <t>ABDULLAH BIN YAACOB</t>
  </si>
  <si>
    <t>NO 05 BLOK 04 FELDA CHIKU 06, 18300 GUA MUSANG KELANTAN  Gua Musang Kelantan - my 18300</t>
  </si>
  <si>
    <t>AB1-GUA-27-10</t>
  </si>
  <si>
    <t>NVMY34535000007439</t>
  </si>
  <si>
    <t>ADZILLAH BINTI HARUN</t>
  </si>
  <si>
    <t>NO 7 JALAN DR 7 TAMAN DELIMA RAYA 75150 BUKIT BARU MELAKA   Melaka Melaka - my 75150</t>
  </si>
  <si>
    <t>NVMY34535000007459</t>
  </si>
  <si>
    <t>Muhamad Nur Hafiz Bin Rusdi</t>
  </si>
  <si>
    <t xml:space="preserve"> C-3-3 Tiara Duta Condominium, Taman Putra Sulaiman 68000 Ampang Selangor  Ampang Selangor - my 68000</t>
  </si>
  <si>
    <t>NVMY34535000007437</t>
  </si>
  <si>
    <t>RINA ALI</t>
  </si>
  <si>
    <t>C03-07 VISTA MILLENIUM CONDO TAMAN DESA MILLENIA , JALAN DM 1 , 47150 PUCHONG SELANGOR   Puchong Selangor - my 47150</t>
  </si>
  <si>
    <t>NVMY34535000007450</t>
  </si>
  <si>
    <t>ZAKIAH IBRAHIM</t>
  </si>
  <si>
    <t>LOT PT 79, LORONG KADA, BELAKANG MASJID SLOW MACHANG 17000 PASIR MAS KELANTAN  Pasir Mas Kelantan - my 17000</t>
  </si>
  <si>
    <t>A1-PAS-27-5</t>
  </si>
  <si>
    <t>NVMY34535000007443</t>
  </si>
  <si>
    <t>NUR FAZLINDAWATI</t>
  </si>
  <si>
    <t>52 MK 7 PULAU BETONG 11020 BALIK PULAU PINANG PINANG  Balik Pulau Pulau Pinang - my 11020</t>
  </si>
  <si>
    <t>NVMY34535000007410</t>
  </si>
  <si>
    <t>NATASHA AQILAH</t>
  </si>
  <si>
    <t>F-9-4, BLOK F, TAMAN LTAT, JALAN BUKIT JALIL INDAH 4, 57000, BUKIT JALIL, WP KUALA LUMPUR  Kuala Lumpur Kuala Lumpur - my 57000</t>
  </si>
  <si>
    <t>NVMY34535000007496</t>
  </si>
  <si>
    <t>NORSAEZAH</t>
  </si>
  <si>
    <t>NO 16 LOT 3970 JALAN MISKAM KAMPUNG BUDIMAN MERU 41050 KLANG SELANGOR  Klang Selangor - my 41050</t>
  </si>
  <si>
    <t>NVMY34535000007462</t>
  </si>
  <si>
    <t>WAN NURFARHANA BT WAN MOHD NASIR</t>
  </si>
  <si>
    <t>NO 9 JALAN ST 11 TAMAN SAUJANA TEHEL 77200 MELAKA  Bemban Melaka - my 77200</t>
  </si>
  <si>
    <t>NVMY34535000007481</t>
  </si>
  <si>
    <t>ZIAUDEEN BIN NAINA MOHAMED</t>
  </si>
  <si>
    <t>BLK F.00.02, JLN BATU NILAM 35 BUKIT TINGGI 2, KLANG 41200 SELANGOR  Klang Selangor - my 41200</t>
  </si>
  <si>
    <t>NVMY34535000007494</t>
  </si>
  <si>
    <t>SYAZANA MAT YAACOB</t>
  </si>
  <si>
    <t>ASTER HOTEL (KOMPLEKS YJN) NO 1 JALAN JALIL PERWIRA 2, BUKIT JALIL 58200 KUALA LUMPUR  Kuala Lumpur Kuala Lumpur - my 58200</t>
  </si>
  <si>
    <t>NVMY34535000007451</t>
  </si>
  <si>
    <t>NORHAFIZA BT BAHARUDIN</t>
  </si>
  <si>
    <t>NO 8 PERSIARAN PINJI SELATAN 16, TAMAN DESA PELANCONGAN 2, 31500 PENGKALAN PERAK  Ipoh Perak - my 31500</t>
  </si>
  <si>
    <t>B3-HLD-13-48</t>
  </si>
  <si>
    <t>NVMY34535000007398</t>
  </si>
  <si>
    <t>Corienna</t>
  </si>
  <si>
    <t>lot 291 piasau utara 1 98000 , Miri Sarawak  Miri Sarawak - my 98000</t>
  </si>
  <si>
    <t>NVMY34535000007477</t>
  </si>
  <si>
    <t>Nadiah Mohd Safian</t>
  </si>
  <si>
    <t>No 203 Jalan Mati Perumahan Felda Ciku 2 18300 Gua Musang Kelantan  Gua Musang Kelantan - my 18300</t>
  </si>
  <si>
    <t>NVMY34535000007470</t>
  </si>
  <si>
    <t>Norli bte Miskon</t>
  </si>
  <si>
    <t>No.1, Lorong Nangka Kanan, Jalan Cempaka, Kanchong Darat, 42700 Banting,  Selangor  Telok Panglima Garang Selangor - my 42700</t>
  </si>
  <si>
    <t>NVMY34535000007497</t>
  </si>
  <si>
    <t>PAULINE LEE</t>
  </si>
  <si>
    <t>VC 20-09, YOU VISTA JALAN YOU CITY, 43200 CHERAS, SELANGOR  Kuala Lumpur Kuala Lumpur - my 43200</t>
  </si>
  <si>
    <t>NVMY34535000007444</t>
  </si>
  <si>
    <t>NVMY34535000007471</t>
  </si>
  <si>
    <t>NVMY34535000007475</t>
  </si>
  <si>
    <t>Amalinaazwa (Lien)</t>
  </si>
  <si>
    <t>Lot1959 - B3 jalan nenas kg bukit kapar 42200 klang selangor  Kapar Selangor - my 42200</t>
  </si>
  <si>
    <t>NVMY34535000007500</t>
  </si>
  <si>
    <t>MUHAMMAD ZAID BIN OTHMAN</t>
  </si>
  <si>
    <t>LOT 4339 TAMAN RAKYAT BESTARI KAMPUNG BUKIT KUANG 24000 KEMAMAN TERENGGANU  Ayer Puteh Terengganu - my 24000</t>
  </si>
  <si>
    <t>NVMY34535000007484</t>
  </si>
  <si>
    <t>ERWIN</t>
  </si>
  <si>
    <t>D-1-1 BLOCK D PANGSAPURI ARISTA PERSIARAN DELIMA 1, 41200 KLANG SELANGOR  Klang Selangor - my 41200</t>
  </si>
  <si>
    <t>NVMY34535000007448</t>
  </si>
  <si>
    <t>NOORSHAZILA BTE ZAINAL</t>
  </si>
  <si>
    <t>NO 4 JLN D, ARECA 2 TAMAN BANDAR SENAWANG 70450 SEREMBAN, NEGERI SEMBILAN  Seremban Negeri Sembilan - my 70450</t>
  </si>
  <si>
    <t>NVMY34535000007483</t>
  </si>
  <si>
    <t>ROSMAN ABDUL CADER</t>
  </si>
  <si>
    <t>NO 48 JALAN SRI MERSING 26 KAWASAN 2 TAMAN SRI ANDALAS, 41200 KLANG SELANGOR  Klang Selangor - my 41200</t>
  </si>
  <si>
    <t>NVMY34535000007465</t>
  </si>
  <si>
    <t>MOHAMAD SOFY BIN MOHD YUSOF</t>
  </si>
  <si>
    <t>NO 27 KG CHEH SEBERANG LORONG ASAM JAWA, JALAN BANGGOL RINDANG CHANGKAT JERING, PERAK  Changkat Jering Perak - my 34850</t>
  </si>
  <si>
    <t>NVMY34535000007466</t>
  </si>
  <si>
    <t>MAWAR KASIH</t>
  </si>
  <si>
    <t>8D LOT KEDAI MALAU KURONG HITAM 06300 KUALA NERANG, KEDAH  Kuala Nerang Kedah - my 06300</t>
  </si>
  <si>
    <t>NVMY34535000007383</t>
  </si>
  <si>
    <t>RATIMI BINTI JAMLIN</t>
  </si>
  <si>
    <t>DEVANA AJADA, P.W.D.T, NO 13 LIKAS 89400 KOTA KINABALU, SABAH  , - , Kota Kinabalu , Sabah Kota Kinabalu Sabah MY 89500</t>
  </si>
  <si>
    <t>NVMY34535000007498</t>
  </si>
  <si>
    <t>JENNA ONG</t>
  </si>
  <si>
    <t>NO 26-1 JLN 1/3A, BDR 16 SIERRA 47110 PUCHONG, SELANGOR  Puchong Selangor - my 47110</t>
  </si>
  <si>
    <t>NVMY34535000007435</t>
  </si>
  <si>
    <t>FAZLEE FESUL</t>
  </si>
  <si>
    <t>LOT 1352 JALAN KENANGA SIJANGKANG TELUK PANGLIMA GARANG 42500 SELANGOR   Selangor - Telok Panglima Garang Selangor - my 42500</t>
  </si>
  <si>
    <t>NVMY34535000007453</t>
  </si>
  <si>
    <t>LYYN</t>
  </si>
  <si>
    <t>NO 2A, LORONG 1/7 PERDANA HEIGHT 08000 SUNGAI PETANI KEDAH  Sungai Petani Kedah - my 08000</t>
  </si>
  <si>
    <t>NVMY34535000007455</t>
  </si>
  <si>
    <t>MOHAMAD NASRUL HADI BIN MOHD SHAKRI</t>
  </si>
  <si>
    <t>1112 LORONG KENARI 3/A TAMAN KENARI 09000 KULIM, KEDAH  Kulim Kedah - my 09000</t>
  </si>
  <si>
    <t>NVMY34535000007469</t>
  </si>
  <si>
    <t>Laili ghazali</t>
  </si>
  <si>
    <t>Blok a.4.11 flat sri perantau 42000 pelabuhan klang  Pelabuhan Klang Selangor - my 42000</t>
  </si>
  <si>
    <t>NVMY34535000007464</t>
  </si>
  <si>
    <t>SITI SALIMAH BINTI HJ GHAZALI</t>
  </si>
  <si>
    <t>LOT 1616, BATU 50 1/2 TALI AIR 10, PASIR PANJANG 45400 SEKINCHAN, SELANGOR  Sekinchan Selangor - my 45400</t>
  </si>
  <si>
    <t>NVMY34535000007499</t>
  </si>
  <si>
    <t>NVMY34535000007457</t>
  </si>
  <si>
    <t>Najihah Farhani Azhar</t>
  </si>
  <si>
    <t>UNISTORAGE-UITM PERLIS , LOT 6, ANJUNG SISWA, UNIVERSITI TEKNOLOGI MARA KAMPUS ARAU , 02600 ARAU , PERLIS  Arau Perlis - my 02600</t>
  </si>
  <si>
    <t>NVMY34535000007487</t>
  </si>
  <si>
    <t>EMELIN</t>
  </si>
  <si>
    <t>NO 56 JALAN SU2A TAMAN SERING UKAY 68000 AMPANG, SELANGOR  Ampang Selangor - my 68000</t>
  </si>
  <si>
    <t>NVMY34535000007463</t>
  </si>
  <si>
    <t>NUR SYAFIQAH ZULKIFLI</t>
  </si>
  <si>
    <t>SK TAMAN CAHAYA MASAI, PERSIARAN CAHAYA MASAI, TAMAN CAHAYA MASAI 81700 PASIR GUDANG JOHOR  Pasir Gudang Johor - my 81700</t>
  </si>
  <si>
    <t>NVMY34535000007473</t>
  </si>
  <si>
    <t>NisaLee</t>
  </si>
  <si>
    <t>Rumah 2 , lorong alma indah 6 , taman alma indah bukit martajam pulau pinang , seberang prai tengah , penang bukit martajam , 14000 malaysia  Bukit Mertajam Pulau Pinang - my 14000</t>
  </si>
  <si>
    <t>NVMY34535000007486</t>
  </si>
  <si>
    <t>TOK AYAH WAN</t>
  </si>
  <si>
    <t>JKR-MG-1138(P)-B KUARTERS GURU JALAN KETITIR FELDA NITAR 1, 86800 MERSING JOHOR  Mersing Johor - my 86800</t>
  </si>
  <si>
    <t>C2-MSG-5-75</t>
  </si>
  <si>
    <t>NVMY34535000007489</t>
  </si>
  <si>
    <t>HAIQAL ZAFRAN</t>
  </si>
  <si>
    <t>NO 7 JALAN TAMAN MERU 14 TAMAN MERU 2B, JELAPANG 30020 IPOH, PERAK   Perak my 30020</t>
  </si>
  <si>
    <t>NVMY34535000007490</t>
  </si>
  <si>
    <t>NOR HISAM BINTI AZNAN</t>
  </si>
  <si>
    <t>NO 355B, KAMPUNG MASJID BUKIT SELAMBAU 08010 SUNGAI PETANI, KEDAH  Sungai Petani Kedah - my 08010</t>
  </si>
  <si>
    <t>NVMY34535000007482</t>
  </si>
  <si>
    <t>NUREMELIA NATASYA</t>
  </si>
  <si>
    <t>RS19 JALAN LUBUK KAMPUNG PENGKALAN BATU 86800 MERSING, JOHOR  Mersing Johor - my 86800</t>
  </si>
  <si>
    <t>NVMY34535000007493</t>
  </si>
  <si>
    <t>NURUL HUSNA MAT YAACOB</t>
  </si>
  <si>
    <t>T1-06-3A, SERI AUSTIN RESIDENCE JALAN SERI AUSTIN 1/17, 81100 JOHOR BAHRU, JOHOR  Johor Bahru Johor - my 81100</t>
  </si>
  <si>
    <t>NVMY34535000007523</t>
  </si>
  <si>
    <t>Nurhaiza Romy Iskandar</t>
  </si>
  <si>
    <t xml:space="preserve"> KEDAI MAKAN MINANG SALERO No. 1088 (GROUND FLOOR) JALAN SENTUL PASAR, 51000 KUALA LUMPUR  Kuala Lumpur Kuala Lumpur - my 51000</t>
  </si>
  <si>
    <t>NVMY34535000007520</t>
  </si>
  <si>
    <t>khayrin</t>
  </si>
  <si>
    <t>mahsa university, jalan SP 2, Bandar Saujana Putra, Jenjarom, 42610, selangor  Jenjarom Selangor - my 42610</t>
  </si>
  <si>
    <t>NVMY34535000007508</t>
  </si>
  <si>
    <t>Syeril Nazira</t>
  </si>
  <si>
    <t xml:space="preserve"> No41 Jalan Dato Abdul Hamid 7 Taman Sentosa , 41200 Klang Selangor  Klang Selangor - my 41200</t>
  </si>
  <si>
    <t>NVMY34535000007485</t>
  </si>
  <si>
    <t>NORADILAH NASIR</t>
  </si>
  <si>
    <t>71 KAMPUNG KOTA DALAM 86100 AYER HITAM, BATU PAHAT JOHOR  Ayer Hitam Johor - my 86100</t>
  </si>
  <si>
    <t>NVMY34535000007506</t>
  </si>
  <si>
    <t>FAUZAN ZAINAL</t>
  </si>
  <si>
    <t>45 JALAN KOOP CUEPACS 3A TAMAN CUEPACS 43200 CHERAS, SELANGOR  Kuala Lumpur Kuala Lumpur - my 43200</t>
  </si>
  <si>
    <t>NVMY34535000007502</t>
  </si>
  <si>
    <t>MOHD SHAHRIZAN ARIFFIN</t>
  </si>
  <si>
    <t>NO 1 LORONG 97, TAMAN INDERA SEMPURNA 25150 KUANTAN PAHANG  Kuantan Pahang - my 25150</t>
  </si>
  <si>
    <t>NVMY34535000007507</t>
  </si>
  <si>
    <t>SYAHIRAH NORSEMADI</t>
  </si>
  <si>
    <t>POX BOX 21 (BELAKANG SEKOLAH ) KG PALOH RAWA MACHANG KELANTAN   Machang Kelantan - my 18500</t>
  </si>
  <si>
    <t>NVMY34535000007474</t>
  </si>
  <si>
    <t>FA Boutique Ipoh</t>
  </si>
  <si>
    <t>No 10 Jalan Sci 1/1 Sunway City 31150 Ulu Kinta perak  Ulu Kinta Perak - my 31150</t>
  </si>
  <si>
    <t>NVMY34535000007480</t>
  </si>
  <si>
    <t>AHMAD FAIZAL ABDUL LATIF</t>
  </si>
  <si>
    <t>NO 408 JALAN ILHAM 1 TAMAN TUNKU INTAN SAFINA 2 BANDAR DARULAMAN 06007 JITRA, KEDAH  Jitra Kedah - my 06007</t>
  </si>
  <si>
    <t>NVMY34535000007495</t>
  </si>
  <si>
    <t>SITI KHADIJAH ABD GHONI</t>
  </si>
  <si>
    <t>NO 3B KG PADANG STANG 33320 GERIK, PERAK  Gerik Perak - my 33320</t>
  </si>
  <si>
    <t>NVMY34535000007491</t>
  </si>
  <si>
    <t>98 KG PERMATANG BONGOR 02700 SIMPANG EMPAT, PERLIS  Simpang Ampat Perlis - my 02700</t>
  </si>
  <si>
    <t>NVMY34535000007476</t>
  </si>
  <si>
    <t>Siti nor bte hj mohamad noor</t>
  </si>
  <si>
    <t>No 12 Lorong Merdeka tamn sri mahkota benut 82200 johor  Benut Johor - my 82200</t>
  </si>
  <si>
    <t>NVMY34535000007472</t>
  </si>
  <si>
    <t>SARIMAH BINTI URI</t>
  </si>
  <si>
    <t>NO 4, JALAN CENGKERIK TAMAN DESA PERMAI, 81110 KANGKAR PULAI JOHOR  Gelang Patah Johor - my 81110</t>
  </si>
  <si>
    <t>NVMY34535000007517</t>
  </si>
  <si>
    <t>NORASHIKIN ISMAIL</t>
  </si>
  <si>
    <t>KEDAI EMAS MERCHANT 9 19 JALAN TUN MOHD FUAD 3 TAMAN TUN DR ISMAIL 60000 KUALA LUMPUR   Kuala Lumpur Kuala Lumpur - my 60000</t>
  </si>
  <si>
    <t>NVMY34535000007513</t>
  </si>
  <si>
    <t>MARDHIAH MOHAMAD</t>
  </si>
  <si>
    <t>NO 212, JALAN 8/5 SEKSYEN 8, BANDAR BARU BANGI 43650 SELANGOR  Bandar Baru Bangi Selangor - my 43650</t>
  </si>
  <si>
    <t>NVMY34535000007503</t>
  </si>
  <si>
    <t>NAJEMINDIN HASSAN</t>
  </si>
  <si>
    <t>KG GUNUNG SENYUM 28050 KUALA KRAU, TEMERLOH PAHANG  Kuala Krau Pahang - my 28050</t>
  </si>
  <si>
    <t>NVMY34535000007522</t>
  </si>
  <si>
    <t>Rosadiana</t>
  </si>
  <si>
    <t>A-13A-01, Residensi Razakmas 2, Bandar Tun Razak  Kuala Lumpur Kuala Lumpur - my 57000</t>
  </si>
  <si>
    <t>NVMY34535000007492</t>
  </si>
  <si>
    <t>ZURAINI BINTI ABDUL GHAFFAR</t>
  </si>
  <si>
    <t>KA 58/3/5 KG BARU ALAI 33320 GERIK PERAK  Gerik Perak - my 33320</t>
  </si>
  <si>
    <t>NVMY34535000007514</t>
  </si>
  <si>
    <t>SITI KAMISAH BT JUSOH</t>
  </si>
  <si>
    <t>LOT 3462 KG PASIR AKAR 22000 JERTEH, TERENGGANU  Jerteh Terengganu - my 22000</t>
  </si>
  <si>
    <t>NVMY34535000007518</t>
  </si>
  <si>
    <t>FAIZAH YUSRY</t>
  </si>
  <si>
    <t>NO 8 JALAN PJU 7/6 MUTIARA DAMANSARA 47800 PETALING JAYA SELANGOR  Petaling Jaya Selangor - my 47800</t>
  </si>
  <si>
    <t>NVMY34535000007488</t>
  </si>
  <si>
    <t>MUHAMMAD FAEZ SULAIMAN</t>
  </si>
  <si>
    <t>NO 8 LOT 6537 JALAN LURAH 2 KEMPAS BARU 81200 JOHOR BAHRU JOHOR  Johor Bahru Johor - my 81200</t>
  </si>
  <si>
    <t>NVMY34535000007478</t>
  </si>
  <si>
    <t>NORAZILA BINTI AG HASAN</t>
  </si>
  <si>
    <t>LKT NO 128, ROAD JALAN BUKIT MANGGIS, KAMPUNG LAKUT JALAN BATANI, 89608 PAPAR, SABAH  Papar Sabah - my 89608</t>
  </si>
  <si>
    <t>NVMY34535000007510</t>
  </si>
  <si>
    <t>nrulfarissha</t>
  </si>
  <si>
    <t>iesya fazrisha empire sdn bhd,Lot 3935, kampung batang merbau bt 8,17500 Tanah merah, kelantan  Tanah Merah Kelantan - my 17500</t>
  </si>
  <si>
    <t>NVMY34535000007479</t>
  </si>
  <si>
    <t>ZULKIFLI BIN LATIP</t>
  </si>
  <si>
    <t>Labuan</t>
  </si>
  <si>
    <t>NO 1912 KAMPUNG GERSIK BARU 87000 WILAYAH PERSEKUTUAN LABUAN  Labuan Labuan - my 87000</t>
  </si>
  <si>
    <t>E2-LBN-1-167</t>
  </si>
  <si>
    <t>NVMY34535000007504</t>
  </si>
  <si>
    <t>MALAYSIA RETURN WAREHOUSE</t>
  </si>
  <si>
    <t>NO . 1A HALA MERAH , KAMPUNG BARU MERAH . 31500 , IPOH , PERAK , MALAYSIA   Ipoh Perak - my 31500</t>
  </si>
  <si>
    <t>NVMY34535000007511</t>
  </si>
  <si>
    <t>NVMY34535000007505</t>
  </si>
  <si>
    <t>NO 2 JALAN BUNGA RAYA, LORONG PANGLIMA BESAR, KAMPUNG SUNGAI PURUN 43500 HULU LANGAT SELANGOR  Shah Alam Selangor - my 43500</t>
  </si>
  <si>
    <t>NVMY34535000007521</t>
  </si>
  <si>
    <t>Saliza binti Khalid</t>
  </si>
  <si>
    <t>No.266, Taman Resak 1/7, 06010 Changlun, Kedah    Changloon Kedah - my 06010</t>
  </si>
  <si>
    <t>NVMY34535000007519</t>
  </si>
  <si>
    <t>siti nur amira</t>
  </si>
  <si>
    <t xml:space="preserve"> no 53, taman klana jaya lenggeng 71750 negeri sembilan  Mantin Negeri Sembilan - my 71750</t>
  </si>
  <si>
    <t>NVMY34535000007524</t>
  </si>
  <si>
    <t>Nur Farha Binti Azman</t>
  </si>
  <si>
    <t>No 9 Jalan Tasek 5, Bandar Seri Alam, 81750 Masai, Johor  Masai Johor - my 81750</t>
  </si>
  <si>
    <t>NVMY34535000007516</t>
  </si>
  <si>
    <t>NORAINI BINTI MAJIDIN</t>
  </si>
  <si>
    <t>DNB MIKAYLA SHOP VENDOR LOT 1, BANGUNAN BESTAMART JLN PADANG 89808 BEAUFORT SABAH  Beaufort Sabah - my 89808</t>
  </si>
  <si>
    <t>NVMY34535000007535</t>
  </si>
  <si>
    <t>HAZMAN SYAHMI  BIN EFFDILA FIRMANSHAH</t>
  </si>
  <si>
    <t>NO 10 JALAN 3/18 SEKSYEN 3 BANGI PERDANA, BANDAR BARU BANGI 43650 SELANGOR  Bandar Baru Bangi Selangor - my 43650</t>
  </si>
  <si>
    <t>NVMY34535000007527</t>
  </si>
  <si>
    <t>NVMY34535000007537</t>
  </si>
  <si>
    <t>ruby</t>
  </si>
  <si>
    <t>2206 kampung gong kiat,20050 kuala terengganu  Kuala Terengganu Terengganu - my 20050</t>
  </si>
  <si>
    <t>A2-PYG-25-17</t>
  </si>
  <si>
    <t>NVMY34535000007532</t>
  </si>
  <si>
    <t>EN SHUKRI BIN MOHAMAD</t>
  </si>
  <si>
    <t>139A, KAMPUNG MASJID HJ KHADIR 21100 KUALA TERENGGANU, TERENGGANU  Kuala Terengganu Terengganu - my 21100</t>
  </si>
  <si>
    <t>NVMY34535000007529</t>
  </si>
  <si>
    <t>AZIZAH BTE BAHARI</t>
  </si>
  <si>
    <t>KFC TERMINAL LARKIN JALAN KENYALANG 80350 LARKIN JOHOR  Johor Bahru Johor - my 80350</t>
  </si>
  <si>
    <t>NVMY34535000007509</t>
  </si>
  <si>
    <t>FAREEZUL BIN ALWI</t>
  </si>
  <si>
    <t>CAWANGAN PENGAWAL PENGIRING IBU PEJABAT POLIS DAERAH LABUAN 87000 WP LABUAN  Labuan Labuan - my 87000</t>
  </si>
  <si>
    <t>NVMY34535000007536</t>
  </si>
  <si>
    <t>siti Khadijah bt mohamed</t>
  </si>
  <si>
    <t>D-10-02 nusa heights apartment jalan gelang patah taman nusa puncak 81550 gelang patah johor  Gelang Patah Johor - my 81550</t>
  </si>
  <si>
    <t>C1-GLG-9-64</t>
  </si>
  <si>
    <t>NVMY34535000007533</t>
  </si>
  <si>
    <t>PUTRA HAKIEM</t>
  </si>
  <si>
    <t>LOT 7662-A PERUMAHAN AWAN KOS RENDAH, JALAN PUSAT GIATMARA BUKIT PAYONG, 21400 MARANG, TERENGGANU  Bukit Payong Terengganu - my 21400</t>
  </si>
  <si>
    <t>NVMY34535000007530</t>
  </si>
  <si>
    <t>Siti fatiamh(fazil)</t>
  </si>
  <si>
    <t>Blok F, 01-03  Jalan EJ 4/1, Taman Ehsan Jaya 81100, Johor Bahru  Johor Bahru Johor - my 81100</t>
  </si>
  <si>
    <t>C1-TRM-7-71</t>
  </si>
  <si>
    <t>NVMY34535000007541</t>
  </si>
  <si>
    <t>Amy Tommy</t>
  </si>
  <si>
    <t>3346 C , Kg Baru Rhu Muda 21600 Marang , Terengganu  Marang Terengganu - my 21600</t>
  </si>
  <si>
    <t>NVMY34535000007525</t>
  </si>
  <si>
    <t>AUBERON PAULUS</t>
  </si>
  <si>
    <t xml:space="preserve">SEKOLAH MENENGAH ADVENT TAMPARULI TUARAN , SABAH </t>
  </si>
  <si>
    <t>A1-KBR-29-4</t>
  </si>
  <si>
    <t>NVMY34535000007550</t>
  </si>
  <si>
    <t>UMMI FAZIRA BINTI DERUS</t>
  </si>
  <si>
    <t>NVMY34535000007528</t>
  </si>
  <si>
    <t>NVMY34535000007501</t>
  </si>
  <si>
    <t>MUHAMMAD FADDILLAH AMDI</t>
  </si>
  <si>
    <t>NO 20 JALAN PARIT OMAR KG BUKIT KUCHING 45800 JERAM, SELANGOR  Selangor Jeram Selangor - my 45800</t>
  </si>
  <si>
    <t>NVMY34535000007515</t>
  </si>
  <si>
    <t>PT 37822 RIMBA SQUARE 21300 JALAN PAK DAMAT KUALA TERENGGANU  Terengganu Kuala Terengganu Terengganu - my 21300</t>
  </si>
  <si>
    <t>NVMY34535000007534</t>
  </si>
  <si>
    <t>ZATIL BAYANI</t>
  </si>
  <si>
    <t>B-16-01 RESIDENSI RAZAKMAS 2, NO 9 JALAN JUJUR BANDAR TUN RAZAK 56000 KUALA LUMPUR  Kuala Lumpur Kuala Lumpur - my 56000</t>
  </si>
  <si>
    <t>NVMY34535000007538</t>
  </si>
  <si>
    <t>intan suraya</t>
  </si>
  <si>
    <t>C-23-06 Dataran Emerald Avenue, Jalan PS 11, Prima Selayang Gombak, 68100 Selangor  Batu Caves Selangor - my 68100</t>
  </si>
  <si>
    <t>NVMY34535000007512</t>
  </si>
  <si>
    <t>MOHAMAD ISKANDAR</t>
  </si>
  <si>
    <t>BILIK GERAKAN IPD PADAWAN 94200 KUCHING, SARAWAK  Kuching Sarawak - my 94200</t>
  </si>
  <si>
    <t>NVMY34535000007551</t>
  </si>
  <si>
    <t>ROHAIDA WANIE BINTI ZAINAL ABIDIN</t>
  </si>
  <si>
    <t>NO 262 LORONG MUTIARA GALA 10/2 TAMAN MUTIARA GALA OFF JALAN LABU 70200 SEREMBAN, NEGERI SEMBILAN  Seremban Negeri Sembilan - my 70200</t>
  </si>
  <si>
    <t>NVMY34535000007556</t>
  </si>
  <si>
    <t>NVMY34535000007542</t>
  </si>
  <si>
    <t>WAK AMAT SUKARIA</t>
  </si>
  <si>
    <t>LIMA BINTANG ABADI SDN BHD LOT 1848 JLN POKOK SENA PERMATANG HAJI HASSAN 13200 KEPALA BATAS PULAU PINANG  Kepala Batas Pulau Pinang - my 13200</t>
  </si>
  <si>
    <t>NVMY34535000007552</t>
  </si>
  <si>
    <t>LOT 99 (PT19522) JALAN KSK UTAMA KAMPUNG SUNGAI KERTAS 68100 BATU CAVES, SELANGOR  Batu Caves Selangor - my 68100</t>
  </si>
  <si>
    <t>NVMY34535000007547</t>
  </si>
  <si>
    <t>MOHD SHUKRI BIN SAMSUDDIN</t>
  </si>
  <si>
    <t>11043-A TANAH LOT BATU 10, JALAN GONG BADAK 21300 KUALA NERUS, TERENGGANU  Kuala Terengganu Terengganu - my 21300</t>
  </si>
  <si>
    <t>NVMY34535000007545</t>
  </si>
  <si>
    <t>QURRATU AIN</t>
  </si>
  <si>
    <t>BAHAGIAN KHIDMAT PENGURUSAN BUILDING WAN MAT SAMAN , JALAN RAJA , BANDAR ALOR SETAR , 05000 , ALOR SETAR , KEDAH   Alor Setar Kedah - my 05000</t>
  </si>
  <si>
    <t>NVMY34535000007549</t>
  </si>
  <si>
    <t>OTHMAN</t>
  </si>
  <si>
    <t>NO 110 , TAMAN IMPIAN KOTA SARANG SEMUT , 06800 ALOR SETAR KEDAH   Kota Sarang Semut Kedah - my 06800</t>
  </si>
  <si>
    <t>NVMY34535000007554</t>
  </si>
  <si>
    <t>NURUL HUDA SYAZWANI BT MOHD YAAKOB</t>
  </si>
  <si>
    <t>2427 HADAPAN TBK KAMPUNG KUBANG IKAN 22200 BESUT TERENGGANU  Kampung Raja Terengganu - my 22200</t>
  </si>
  <si>
    <t>NVMY34535000007544</t>
  </si>
  <si>
    <t>LOO HOCK LONG</t>
  </si>
  <si>
    <t>9-9-3A BUKIT OUG CONDOMINIUM JALAN 3A/155 OVERSEA UNION GARDEN 58200 KUALA LUMPUR  Kuala Lumpur Kuala Lumpur - my 58200</t>
  </si>
  <si>
    <t>NVMY34535000007559</t>
  </si>
  <si>
    <t>EMIEY YUSOF</t>
  </si>
  <si>
    <t>LOT PT1918 TAMAN BAYAS INDAH KG GELONG BILAL JLN PASIR PANJANG 21100 TERENGGANU  Kuala Terengganu Terengganu - my 21100</t>
  </si>
  <si>
    <t>NVMY34535000007546</t>
  </si>
  <si>
    <t>ISMY ZULAIKHA</t>
  </si>
  <si>
    <t>NO 29 JALAN DELIMA 10 TAMAN DELIMA 2, 86000 KLUANG JOHOR  Kluang Johor - my 86000</t>
  </si>
  <si>
    <t>NVMY34535000007548</t>
  </si>
  <si>
    <t>NOR AZLIZA BINTI SIDIK</t>
  </si>
  <si>
    <t>LOORNG MEALTI, KAMPUNG MENGABANG LEKOR, BATU RAKIT 21020 KUALA TERENGGANU  Kuala Terengganu Terengganu - my 21020</t>
  </si>
  <si>
    <t>NVMY34535000007555</t>
  </si>
  <si>
    <t>WAN FAIZAH BINTI WAN ZAKARIA</t>
  </si>
  <si>
    <t>NO 204 TAMAN DESA PUTRA , KAMPUNG BANGGOL TUAN MUDA, MANIR 21200  KUALA TERENGGANU, TERENGGANU  Kuala Terengganu Terengganu - my 21200</t>
  </si>
  <si>
    <t>NVMY34535000007540</t>
  </si>
  <si>
    <t>Musnira</t>
  </si>
  <si>
    <t>No 51, jalan pri 22 taman paya rumput indah 76450 melaka  Melaka Melaka - my 76450</t>
  </si>
  <si>
    <t>NVMY34535000007539</t>
  </si>
  <si>
    <t>NANA</t>
  </si>
  <si>
    <t>BLOK A-8-28 PANGSAPURI SRI MUTIARA JLN PUTRA INDAH 9/1C PUTRA HEIGHT 47650 SUBANG JAYA SELANGOR  Subang Jaya Selangor - my 47650</t>
  </si>
  <si>
    <t>NVMY34535000007543</t>
  </si>
  <si>
    <t>ASRUL MARZUKHE</t>
  </si>
  <si>
    <t>B3-B07 ARMANEE TERRACE JALAN PJU 8/1 DAMANSARA PERDANA 47820 PETALING JAYA SELANGOR  Petaling Jaya Selangor - my 47820</t>
  </si>
  <si>
    <t>NVMY34535000007560</t>
  </si>
  <si>
    <t>SITI ZUBAIDAH BT AWALUDIN</t>
  </si>
  <si>
    <t>NO 17 LORONG 1 TAMAN GADONG 71350 KOTA REMBAU, NEGERI SEMBILAN  Kota Negeri Sembilan - my 71350</t>
  </si>
  <si>
    <t>NVMY34535000007531</t>
  </si>
  <si>
    <t>amiesha</t>
  </si>
  <si>
    <t xml:space="preserve"> LOT 5756 LORONG 2 JALAN SIBU TAMAN TUNKU MIRI, 98000, SARAWAK   Miri Sarawak - my 98000</t>
  </si>
  <si>
    <t>NVMY34535000007526</t>
  </si>
  <si>
    <t>SHAFINAS</t>
  </si>
  <si>
    <t>NO 26 LORONG 28 TAMAN MEWAH 34600 KAMUNTING PERAK  Kamunting Perak - my 34600</t>
  </si>
  <si>
    <t>NVMY34535000007564</t>
  </si>
  <si>
    <t>ILMAN</t>
  </si>
  <si>
    <t>JALAN SUNGAI TIANG BAROH 36100 BAGAN DATOH, PERAK  Bagan Datoh Perak - my 36100</t>
  </si>
  <si>
    <t>B3-HML-13-52</t>
  </si>
  <si>
    <t>NVMY34535000007563</t>
  </si>
  <si>
    <t>AMIRUDDIN BIN ABDULLAH</t>
  </si>
  <si>
    <t>C-08-03 PALM GARDEN APARTMENT, PERSIARAN BUKIT RAJA, BANDAR BARU KLANG 41150 KLANG, SELANGOR  Klang Selangor - my 41150</t>
  </si>
  <si>
    <t>NVMY34535000007797</t>
  </si>
  <si>
    <t>ZURENA ZULKEFLI</t>
  </si>
  <si>
    <t>INSTITUT LATIHAN &amp; KEFAHAMAN ISLAM, BLOCK F-03-03, JALAN SUA BETONG, 71050 SI RUSA PORT DICKSON NEGERI SEMBILAN  Si Rusa Negeri Sembilan - my 71050</t>
  </si>
  <si>
    <t>C4-PDS-28-90</t>
  </si>
  <si>
    <t>NVMY34535000007791</t>
  </si>
  <si>
    <t>KELVIN</t>
  </si>
  <si>
    <t>NO 3 JALAN SAGA TAMAN SRI AMAN 83700 YONG PENG JOHOR  Yong Peng Johor - my 83700</t>
  </si>
  <si>
    <t>NVMY34535000007788</t>
  </si>
  <si>
    <t>ATTN : EN MOHD FIRDAUS BIN SULAIMAN</t>
  </si>
  <si>
    <t>PEJABAT PENGURUSAN FASILITI, BUILDING LINDUNGAN SDN BHD, ARAS BAWAH, WISMA PERSEKUTUAN JALAN GAMBUT 25000 KUANTAN PAHANG  Kuantan Pahang - my 25000</t>
  </si>
  <si>
    <t>NVMY34535000007801</t>
  </si>
  <si>
    <t>BENJAMIN LIEW</t>
  </si>
  <si>
    <t>30, JALAN SL 9/10C, PALMWALK 3, BANDAR SG LONG 43000 KAJANG, SELANGOR  Kajang Selangor - my 43000</t>
  </si>
  <si>
    <t>NVMY34535000007785</t>
  </si>
  <si>
    <t>ZAINAB ISHAK</t>
  </si>
  <si>
    <t>LOT 105 KG TANAH MERAH DALAM 06000 JITRA KEDAH  Jitra Kedah - my 06000</t>
  </si>
  <si>
    <t>NVMY34535000007800</t>
  </si>
  <si>
    <t>ANUAR BIN ABD RAHMAN</t>
  </si>
  <si>
    <t>NO 685 PLPP WILAYAH TIMUR LORONG MUKHLISIN LALUAN PERSEKUTUAN KAMPUNG TOK DOR BESUT TERENGGANU  Jerteh Terengganu - my 22020</t>
  </si>
  <si>
    <t>NVMY34535000007790</t>
  </si>
  <si>
    <t>MOHD TAUFIK BIN ISMAIL</t>
  </si>
  <si>
    <t>M-04-16 JALAN EJ3/2, TAMAN EHSAN JAYA, 81100 JOHOR BAHRU, JOHOR  Johor Bahru Johor - my 81100</t>
  </si>
  <si>
    <t>NVMY34535000007786</t>
  </si>
  <si>
    <t>SITI SALSABILA HUDA BINTI ABD RAHMAN</t>
  </si>
  <si>
    <t>BLOK 2-4-13 , POLITEKNIK TUANKU SYED SIRAJUDDIN , PAUH PUTRA , 02600 ARAU , PERLIS   Arau Perlis - my 02600</t>
  </si>
  <si>
    <t>NVMY34535000007779</t>
  </si>
  <si>
    <t>NVMY34535000007792</t>
  </si>
  <si>
    <t>NO 5 JALAN MELATI AIR HITAM 86100 AYER HITAM JOHOR  Ayer Hitam Johor - my 86100</t>
  </si>
  <si>
    <t>NVMY34535000007794</t>
  </si>
  <si>
    <t>AZMIRA BIN A RAZAK</t>
  </si>
  <si>
    <t>3390 LORONG 121 TAMAN RIA 08000 SUNGAI PETANI, KEDAH  Sungai Petani Kedah - my 08000</t>
  </si>
  <si>
    <t>NVMY34535000007805</t>
  </si>
  <si>
    <t>Noor Rin binti Noor Shahariman</t>
  </si>
  <si>
    <t>No 4, PT 856 P, Taman Nadi Putri, Kpg Melintang, 20050 Kuala Terengganu, Terengganu  Kuala Terengganu Terengganu - my 20050</t>
  </si>
  <si>
    <t>NVMY34535000007796</t>
  </si>
  <si>
    <t>SITI FAZIANA ZAINUDDIN</t>
  </si>
  <si>
    <t>NO 59 JALAN SEKSYEN KAMPUNG PULAU TIGA 35000 TAPAH, PERAK  Tapah Perak - my 35000</t>
  </si>
  <si>
    <t>NVMY34535000007580</t>
  </si>
  <si>
    <t>MISLIHA BINTI LATIP</t>
  </si>
  <si>
    <t>D/A SUJIMAN BIN KEMAN FGV REFINERIES OIL PRODUCT SAHABAT OIL PRODUCTS, PETI SURAT 150 POS CENDERAWASIH, 91150 LAHAD DATU SABAH  Lahad Datu Sabah - my 91150</t>
  </si>
  <si>
    <t>NVMY34535000007802</t>
  </si>
  <si>
    <t>NURSULINDA SUDARMAN</t>
  </si>
  <si>
    <t>MYEG HASANAH MUKMIN MASJID AS-SALAM BUKIT SENTOSA 48300 RAWANG SELANGOR  Rawang Selangor - my 48300</t>
  </si>
  <si>
    <t>NVMY34535000007806</t>
  </si>
  <si>
    <t>Azani binti Sidi Hamzah</t>
  </si>
  <si>
    <t>No 51 Lorong Batu Nilam 18B, Bandar Bukit Tinggi 2, 41200 Klang, Selangor  Klang Selangor - my 41200</t>
  </si>
  <si>
    <t>NVMY34535000007809</t>
  </si>
  <si>
    <t>NURHIDAYAH</t>
  </si>
  <si>
    <t>NO 78-12 JALAN MELATI RIA, TAMAN MELATI 3, JLN JUNID 84000 MUAR, JOHOR  Muar Johor - my 84000</t>
  </si>
  <si>
    <t>NVMY34535000007819</t>
  </si>
  <si>
    <t>EID SOFEA CILINIC BUKIT RAJA</t>
  </si>
  <si>
    <t>3G JALAN MAHKOTA T/KU2 MUTIARA BUKIT RAJA 2, 41050 KLANG SELANGOR  Klang Selangor - my 41050</t>
  </si>
  <si>
    <t>NVMY34535000007823</t>
  </si>
  <si>
    <t>NUR AMELLYA ZAAHIRA</t>
  </si>
  <si>
    <t>LOT 621 KG PAK KRAU TUMPAT 16200 TUMPAT, KELANTAN  Tumpat Kelantan - my 16200</t>
  </si>
  <si>
    <t>NVMY34535000007810</t>
  </si>
  <si>
    <t>SALINA BT ZAKARIA</t>
  </si>
  <si>
    <t>LOT 207 BATU 11 JALAN BANDAR LAMA 42500 TELOK PANGLIMA GARANG SELANGOR  Telok Panglima Garang Selangor - my 42500</t>
  </si>
  <si>
    <t>NVMY34535000007821</t>
  </si>
  <si>
    <t>NORAFIZAH</t>
  </si>
  <si>
    <t>NO 58, BLOK 3, FELDA GUGUSAN RAJA ILIAS 2, 72120 BANDAR SERI JEMPOL, NEGERI SEMBILAN  Bahau Negeri Sembilan - my 72120</t>
  </si>
  <si>
    <t>NVMY34535000007793</t>
  </si>
  <si>
    <t>SURIDA MISUARI</t>
  </si>
  <si>
    <t>AYU COLLECTIONS LOWER GROUND BLOCK C LOT 30A-32 KOMPLEKS KARAMUNSING 88300 KOTA KINABALU, SABAH  Kota Kinabalu Sabah - my 88300</t>
  </si>
  <si>
    <t>NVMY34535000007820</t>
  </si>
  <si>
    <t>MAZLINA MAT ALI</t>
  </si>
  <si>
    <t>BALAI POLIS CHENOR , 28100 CHENOR , PAHANG   Chenor Pahang - my 28100</t>
  </si>
  <si>
    <t>NVMY34535000007803</t>
  </si>
  <si>
    <t>ADRIENA SOFEA BINTI SUHAIMI</t>
  </si>
  <si>
    <t xml:space="preserve"> 5, JALAN BELIMBING 4, JALAN TANJUNG BENDAHARA, TAMAN BELIMBING, 05300, ALOR SETAR, KEDAH  Alor Setar Kedah - my 05300</t>
  </si>
  <si>
    <t>NVMY34535000007813</t>
  </si>
  <si>
    <t>ROGAYAH BINTI KASSIM</t>
  </si>
  <si>
    <t>NO 72, KAMPUNG TANJUNG PAHANG, 26820 ROMPIN, PAHANG  Kuala Rompin Pahang - my 26820</t>
  </si>
  <si>
    <t>NVMY34535000007822</t>
  </si>
  <si>
    <t>SYIMA</t>
  </si>
  <si>
    <t>2458-A1 TINGKAT BAWAH, JLN CHANGKAT MULIA OFF JLN 1 TMN GREENWOOD 68100 BATU CAVES, SELANGOR  Batu Caves Selangor - my 68100</t>
  </si>
  <si>
    <t>NVMY34535000007814</t>
  </si>
  <si>
    <t>NUR NATASHA BINTI JAMINAN</t>
  </si>
  <si>
    <t>NO 33, JLN LOMBONG PERAK 29,26, TAMAN PETUNIA IMPIAN SEKSYEN 29, 40460 SHAH ALAM, SELANGOR  Shah Alam Selangor - my 40460</t>
  </si>
  <si>
    <t>NVMY34535000007804</t>
  </si>
  <si>
    <t>FARAH ADEEBAH BINTI JEPRI</t>
  </si>
  <si>
    <t xml:space="preserve"> TAMAN TINOSAN , BLOK 7 , LOT 4 , LORONG 6 90000 SANDAKAN , SABAH  Sandakan Sabah - my 90000</t>
  </si>
  <si>
    <t>NVMY34535000007807</t>
  </si>
  <si>
    <t>ATI</t>
  </si>
  <si>
    <t>J1-15-08, PPAM JINTAN, JLN KANDIS, 62150 PRESINT 16 PUTRAJAYA  Putrajaya Putrajaya - my 62150</t>
  </si>
  <si>
    <t>D4-CJY-8-132</t>
  </si>
  <si>
    <t>NVMY34535000007818</t>
  </si>
  <si>
    <t>WAN NORZIAH BT WAN ABDULLAH</t>
  </si>
  <si>
    <t>BILIK H92, PERUMAHAN AWAM KOS RENDAH AJIL, 21800 AJIL HULU TERENGGANU, TERENGGANU  Ajil Terengganu - my 21800</t>
  </si>
  <si>
    <t>NVMY34535000007846</t>
  </si>
  <si>
    <t>YC NEX ENTERPRISE</t>
  </si>
  <si>
    <t>YC NEX ENTERPRISE SH13 JLN MALAWALI, TAMAN SETAPAK 53000 KUALA LUMPUR  Kuala Lumpur Kuala Lumpur - my 53000</t>
  </si>
  <si>
    <t>NVMY34535000007824</t>
  </si>
  <si>
    <t>SITI NAZIRAH AZAMAN</t>
  </si>
  <si>
    <t>BALAI POLIS CHERATING 26080 KUANTAN, PAHANG  Kuantan Pahang - my 26080</t>
  </si>
  <si>
    <t>NVMY34535000007808</t>
  </si>
  <si>
    <t>PUTRI INTAN</t>
  </si>
  <si>
    <t>NO 7E, LOT 130, JALAN DAGOK TIMOR, KUCHING 93400 SARAWAK  Kuching Sarawak - my 93400</t>
  </si>
  <si>
    <t>NVMY34535000007812</t>
  </si>
  <si>
    <t>RASHIDAH HASANI</t>
  </si>
  <si>
    <t>40, JLN KEMPAS UTAMA 1/11, TMN KEMPAS UTAMA, 81300 JOHOR BARU JOHOR  Johor Bahru Johor - my 81300</t>
  </si>
  <si>
    <t>NVMY34535000007861</t>
  </si>
  <si>
    <t>wan marzida bt wan omar</t>
  </si>
  <si>
    <t>lot 2752 kg raja dagang l6700 semerak ,pasir puteh kelantan  Cherang Ruku Kelantan - my 16700</t>
  </si>
  <si>
    <t>NVMY34535000007849</t>
  </si>
  <si>
    <t>NURLIDA JAAFAR</t>
  </si>
  <si>
    <t>HONG LEONG BANK, CONSUMER COLLECTION LEVEL 2 TOWER A, PJ CITY DEVELOPMENT, NO 15A, JALAN 219, SECTION 51A, PETALING JAYA 46100 SELANGOR  Petaling Jaya Selangor - my 46100</t>
  </si>
  <si>
    <t>NVMY34535000007816</t>
  </si>
  <si>
    <t>RUBY HJ MOHD</t>
  </si>
  <si>
    <t>NO 7, JLN MAHKOTA 2, TMN MAHKOTA PT RAJA DARAT JLN TEMENGGONG AHMAD 84000 MUAR, JOHOR  Muar Johor - my 84000</t>
  </si>
  <si>
    <t>NVMY34535000007851</t>
  </si>
  <si>
    <t>ATTN EN IR NOOR HARIZAL BIN HUSSEIN</t>
  </si>
  <si>
    <t>KTA TENAGA SDN BHD, D1-21, JALAN PJU 1/41 DATARAN PRIMA KELANA JAYA 47301 PETALING JAYA, SELANGOR  Petaling Jaya Selangor - my 47301</t>
  </si>
  <si>
    <t>D2-ARA-18-110</t>
  </si>
  <si>
    <t>NVMY34535000007850</t>
  </si>
  <si>
    <t>KTA TENAGA SDN BHD (ATTN: EN.IR NOOR HARIZAL BIN HUSSEIN)</t>
  </si>
  <si>
    <t>NVMY34535000007855</t>
  </si>
  <si>
    <t>NUR IZZURIN BT ZAKARIA</t>
  </si>
  <si>
    <t>LOT 767 KG BECHAH PALAS BUNUT SUSU 17020 PASIR MAS, KELANTAN  Pasir Mas Kelantan - my 17020</t>
  </si>
  <si>
    <t>NVMY34535000007835</t>
  </si>
  <si>
    <t>NADZRI MORSHIDI</t>
  </si>
  <si>
    <t>R-2-16 EMIRA, NO 4, JALAN AKUATIK A 13/64 A, SEKSYEN 13, 40100 SHAH ALAM, SELANGOR  Shah Alam Selangor - my 40100</t>
  </si>
  <si>
    <t>NVMY34535000007826</t>
  </si>
  <si>
    <t>maizatul akma</t>
  </si>
  <si>
    <t>b2-01-03 blok2 desa mentari , jalan pjs 6/5g , 46000 petaling jaya , selangor  Petaling Jaya Selangor - my 46000</t>
  </si>
  <si>
    <t>NVMY34535000007840</t>
  </si>
  <si>
    <t>JULITA SIDEK</t>
  </si>
  <si>
    <t>R-3-6 APARTMENT SERI SEROJA, BB7 48300 RAWANG SELANGOR, 48300, Rawang Selangor, Malaysia.  Rawang Selangor - my 48300</t>
  </si>
  <si>
    <t>NVMY34535000007811</t>
  </si>
  <si>
    <t>RIDZUAN HUSIN</t>
  </si>
  <si>
    <t>GRAND KAMPAR HOTEL 2188,JALAN TIMAH BANDAR BARU KAMPAR 31900 KAMPAR PERAK  Kampar Perak - my 31900</t>
  </si>
  <si>
    <t>NVMY34535000007857</t>
  </si>
  <si>
    <t>FARAH NADIRA</t>
  </si>
  <si>
    <t>CELLERIUM CENTRE DAHLIA KEDAI NOMBOR 2, PUSAT KEGIATAN PELAJAR KOLEJ DAHLIA UITM PUNCAK ALAM, 42300 KUALA SELANGOR, SELANGOR  Bandar Puncak Alam Selangor - my 42300</t>
  </si>
  <si>
    <t>NVMY34535000007852</t>
  </si>
  <si>
    <t>MUHAMMAD FARIS ISMAIL</t>
  </si>
  <si>
    <t>9, JLN SUNGAI CHANDONG 4, A BANDAR ARMADA KG PERIGI NENAS PULAU INDAH 42920 PELABUHAN KLANG, SELANGOR  Pulau Indah Selangor - my 42920</t>
  </si>
  <si>
    <t>NVMY34535000007836</t>
  </si>
  <si>
    <t>NVMY34535000007838</t>
  </si>
  <si>
    <t>NVMY34535000007847</t>
  </si>
  <si>
    <t>ATTN PN KHAIRUNIZA</t>
  </si>
  <si>
    <t>KEMENTERIAN PENDIDIKAN MALAYSIA BAHAGIAN PEMBANGUNAN ARAS 1, 3 &amp; 6, BLOK E2, KOMPLEKS E, PUSAT PENTADBIRAN KERAJAAN PERSEKUTUAN 62604 WP, PUTRAJAYA  Putrajaya Putrajaya - my 62604</t>
  </si>
  <si>
    <t>NVMY34535000007858</t>
  </si>
  <si>
    <t>NORIAH BT SULAIMAN</t>
  </si>
  <si>
    <t>LOT 1182 KG PANGKAL JENEREH 18400 TEMANGAN, MACHANG, KELANTAN  Temangan Kelantan - my 18400</t>
  </si>
  <si>
    <t>NVMY34535000007839</t>
  </si>
  <si>
    <t>Zatty zetty</t>
  </si>
  <si>
    <t>NO 14C LOT 5035-3D Jalan Dato Ahmad Razali Kampung Teluk Nipah, 42920 Pelabuhan Klang, Klang, 42920, Selangor  Pulau Indah Selangor - my 42920</t>
  </si>
  <si>
    <t>NVMY34535000007837</t>
  </si>
  <si>
    <t>NVMY34535000007863</t>
  </si>
  <si>
    <t>NORMA BINTI MAN</t>
  </si>
  <si>
    <t>LOT 6213 JLN TAMAN KALONGAN MELOR, RHU RENDANG, 21600 MARANG, TERENGGANU  Marang Terengganu - my 21600</t>
  </si>
  <si>
    <t>NVMY34535000007862</t>
  </si>
  <si>
    <t>NVMY34535000007830</t>
  </si>
  <si>
    <t>NIK ZULHUSNI AKID</t>
  </si>
  <si>
    <t>NO 17, JALAN TBK 1/2, TAMAN BUKIT KINRARA 47180 PUCHONG, SELANGOR  Puchong Selangor - my 47180</t>
  </si>
  <si>
    <t>D2-TPK-20-106</t>
  </si>
  <si>
    <t>NVMY34535000007832</t>
  </si>
  <si>
    <t>NURUL AIN SYAKILLA</t>
  </si>
  <si>
    <t>BLOCK D, RKT KESEDAR PALOH 3, 18300 GUA MUSANG, KELANTAN  Gua Musang Kelantan - my 18300</t>
  </si>
  <si>
    <t>NVMY34535000007831</t>
  </si>
  <si>
    <t>BELLA</t>
  </si>
  <si>
    <t>KG PANTAI DAMAT 16300 BACHOK, KELANTAN  Bachok Kelantan - my 16300</t>
  </si>
  <si>
    <t>NVMY34535000007853</t>
  </si>
  <si>
    <t>SARIMAH BINTI MAT ZAIN</t>
  </si>
  <si>
    <t>NO 515 TAMAN HARMONI 23200 BUKIT BESI DUNGUN, TERENGGANU  Bukit Besi Terengganu - my 23200</t>
  </si>
  <si>
    <t>NVMY34535000007817</t>
  </si>
  <si>
    <t>AZURA BINTI ABD RAHMAN</t>
  </si>
  <si>
    <t>MAJLIS SUKAN NEGERI PULAU PINANG, JLN SULTAN AZLAN SHAH, 11700 GELUGOR PULAU PINANG  Gelugor Pulau Pinang - my 11700</t>
  </si>
  <si>
    <t>B2-FLM-15-46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</si>
</sst>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91C3-2BFA-4758-A053-49B02CB79958}">
  <dimension ref="A1:AH564"/>
  <sheetViews>
    <sheetView tabSelected="1" workbookViewId="0">
      <selection sqref="A1:AH562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</v>
      </c>
      <c r="P2" s="8">
        <v>45244.462592592594</v>
      </c>
      <c r="Q2" s="9">
        <v>45245</v>
      </c>
      <c r="R2" t="s">
        <v>37</v>
      </c>
      <c r="S2" t="s">
        <v>44</v>
      </c>
      <c r="T2" t="s">
        <v>45</v>
      </c>
      <c r="U2" t="s">
        <v>46</v>
      </c>
      <c r="V2" t="s">
        <v>47</v>
      </c>
      <c r="W2">
        <v>27200</v>
      </c>
      <c r="X2" t="s">
        <v>44</v>
      </c>
      <c r="Y2" t="s">
        <v>45</v>
      </c>
      <c r="Z2" t="s">
        <v>48</v>
      </c>
      <c r="AA2" s="10">
        <f>IF(O2&lt;=1,7,7+0.8*ROUNDUP(O2-1,0))</f>
        <v>7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(AA2+AC2+AE2)*6%</f>
        <v>0.42</v>
      </c>
      <c r="AG2" s="11">
        <f t="shared" ref="AG2:AG65" si="1">AA2+AC2+AE2+AF2</f>
        <v>7.42</v>
      </c>
      <c r="AH2" t="s">
        <v>49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50</v>
      </c>
      <c r="G3" t="s">
        <v>37</v>
      </c>
      <c r="H3" t="s">
        <v>38</v>
      </c>
      <c r="I3" t="s">
        <v>51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6</v>
      </c>
      <c r="P3" s="8">
        <v>45244.650763888887</v>
      </c>
      <c r="Q3" s="9">
        <v>45245</v>
      </c>
      <c r="R3" t="s">
        <v>37</v>
      </c>
      <c r="S3" t="s">
        <v>44</v>
      </c>
      <c r="T3" t="s">
        <v>45</v>
      </c>
      <c r="U3" t="s">
        <v>52</v>
      </c>
      <c r="V3" t="s">
        <v>53</v>
      </c>
      <c r="W3">
        <v>24000</v>
      </c>
      <c r="X3" t="s">
        <v>44</v>
      </c>
      <c r="Y3" t="s">
        <v>54</v>
      </c>
      <c r="Z3" t="s">
        <v>48</v>
      </c>
      <c r="AA3" s="10">
        <f>IF(O3&lt;=1,7,7+0.8*ROUNDUP(O3-1,0))</f>
        <v>11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0.65999999999999992</v>
      </c>
      <c r="AG3" s="11">
        <f t="shared" si="1"/>
        <v>11.66</v>
      </c>
      <c r="AH3" t="s">
        <v>49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55</v>
      </c>
      <c r="G4" t="s">
        <v>37</v>
      </c>
      <c r="H4" t="s">
        <v>38</v>
      </c>
      <c r="I4" t="s">
        <v>56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3</v>
      </c>
      <c r="P4" s="8">
        <v>45242.898935185185</v>
      </c>
      <c r="Q4" s="9">
        <v>45245</v>
      </c>
      <c r="R4" t="s">
        <v>37</v>
      </c>
      <c r="S4" t="s">
        <v>44</v>
      </c>
      <c r="T4" t="s">
        <v>45</v>
      </c>
      <c r="U4" t="s">
        <v>57</v>
      </c>
      <c r="V4" t="s">
        <v>58</v>
      </c>
      <c r="W4">
        <v>40150</v>
      </c>
      <c r="X4" t="s">
        <v>44</v>
      </c>
      <c r="Y4" t="s">
        <v>59</v>
      </c>
      <c r="Z4" t="s">
        <v>48</v>
      </c>
      <c r="AA4" s="10">
        <f>IF(O4&lt;=1,7,7+0.8*ROUNDUP(O4-1,0))</f>
        <v>8.6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0.51600000000000001</v>
      </c>
      <c r="AG4" s="11">
        <f t="shared" si="1"/>
        <v>9.1159999999999997</v>
      </c>
      <c r="AH4" t="s">
        <v>49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60</v>
      </c>
      <c r="G5" t="s">
        <v>37</v>
      </c>
      <c r="H5" t="s">
        <v>38</v>
      </c>
      <c r="I5" t="s">
        <v>61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</v>
      </c>
      <c r="P5" s="8">
        <v>45243.737337962964</v>
      </c>
      <c r="Q5" s="9">
        <v>45245</v>
      </c>
      <c r="R5" t="s">
        <v>37</v>
      </c>
      <c r="S5" t="s">
        <v>44</v>
      </c>
      <c r="T5" t="s">
        <v>45</v>
      </c>
      <c r="U5" t="s">
        <v>57</v>
      </c>
      <c r="V5" t="s">
        <v>62</v>
      </c>
      <c r="W5">
        <v>46150</v>
      </c>
      <c r="X5" t="s">
        <v>44</v>
      </c>
      <c r="Y5" t="s">
        <v>63</v>
      </c>
      <c r="Z5" t="s">
        <v>48</v>
      </c>
      <c r="AA5" s="10">
        <f>IF(O5&lt;=1,7,7+0.8*ROUNDUP(O5-1,0))</f>
        <v>7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49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64</v>
      </c>
      <c r="G6" t="s">
        <v>37</v>
      </c>
      <c r="H6" t="s">
        <v>38</v>
      </c>
      <c r="I6" t="s">
        <v>65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1</v>
      </c>
      <c r="P6" s="8">
        <v>45244.724456018521</v>
      </c>
      <c r="Q6" s="9">
        <v>45246</v>
      </c>
      <c r="R6" t="s">
        <v>37</v>
      </c>
      <c r="S6" t="s">
        <v>44</v>
      </c>
      <c r="T6" t="s">
        <v>45</v>
      </c>
      <c r="U6" t="s">
        <v>66</v>
      </c>
      <c r="V6" t="s">
        <v>67</v>
      </c>
      <c r="W6">
        <v>58200</v>
      </c>
      <c r="X6" t="s">
        <v>44</v>
      </c>
      <c r="Y6" t="s">
        <v>63</v>
      </c>
      <c r="Z6" t="s">
        <v>48</v>
      </c>
      <c r="AA6" s="10">
        <f>IF(O6&lt;=1,7,7+0.8*ROUNDUP(O6-1,0))</f>
        <v>7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49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68</v>
      </c>
      <c r="G7" t="s">
        <v>37</v>
      </c>
      <c r="H7" t="s">
        <v>38</v>
      </c>
      <c r="I7" t="s">
        <v>69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1</v>
      </c>
      <c r="P7" s="8">
        <v>45244.396608796298</v>
      </c>
      <c r="Q7" s="9">
        <v>45246</v>
      </c>
      <c r="R7" t="s">
        <v>37</v>
      </c>
      <c r="S7" t="s">
        <v>44</v>
      </c>
      <c r="T7" t="s">
        <v>45</v>
      </c>
      <c r="U7" t="s">
        <v>70</v>
      </c>
      <c r="V7" t="s">
        <v>71</v>
      </c>
      <c r="W7">
        <v>75460</v>
      </c>
      <c r="X7" t="s">
        <v>44</v>
      </c>
      <c r="Y7" t="s">
        <v>72</v>
      </c>
      <c r="Z7" t="s">
        <v>48</v>
      </c>
      <c r="AA7" s="10">
        <f>IF(O7&lt;=1,7,7+0.8*ROUNDUP(O7-1,0))</f>
        <v>7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0.42</v>
      </c>
      <c r="AG7" s="11">
        <f t="shared" si="1"/>
        <v>7.42</v>
      </c>
      <c r="AH7" t="s">
        <v>49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73</v>
      </c>
      <c r="G8" t="s">
        <v>37</v>
      </c>
      <c r="H8" t="s">
        <v>38</v>
      </c>
      <c r="I8" t="s">
        <v>74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3</v>
      </c>
      <c r="P8" s="8">
        <v>45244.436018518521</v>
      </c>
      <c r="Q8" s="9">
        <v>45246</v>
      </c>
      <c r="R8" t="s">
        <v>37</v>
      </c>
      <c r="S8" t="s">
        <v>44</v>
      </c>
      <c r="T8" t="s">
        <v>45</v>
      </c>
      <c r="U8" t="s">
        <v>70</v>
      </c>
      <c r="V8" t="s">
        <v>75</v>
      </c>
      <c r="W8">
        <v>77300</v>
      </c>
      <c r="X8" t="s">
        <v>44</v>
      </c>
      <c r="Y8" t="s">
        <v>76</v>
      </c>
      <c r="Z8" t="s">
        <v>48</v>
      </c>
      <c r="AA8" s="10">
        <f>IF(O8&lt;=1,7,7+0.8*ROUNDUP(O8-1,0))</f>
        <v>8.6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0.51600000000000001</v>
      </c>
      <c r="AG8" s="11">
        <f t="shared" si="1"/>
        <v>9.1159999999999997</v>
      </c>
      <c r="AH8" t="s">
        <v>49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77</v>
      </c>
      <c r="G9" t="s">
        <v>37</v>
      </c>
      <c r="H9" t="s">
        <v>38</v>
      </c>
      <c r="I9" t="s">
        <v>78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3</v>
      </c>
      <c r="P9" s="8">
        <v>45243.686562499999</v>
      </c>
      <c r="Q9" s="9">
        <v>45246</v>
      </c>
      <c r="R9" t="s">
        <v>37</v>
      </c>
      <c r="S9" t="s">
        <v>44</v>
      </c>
      <c r="T9" t="s">
        <v>45</v>
      </c>
      <c r="U9" t="s">
        <v>57</v>
      </c>
      <c r="V9" t="s">
        <v>79</v>
      </c>
      <c r="W9">
        <v>47301</v>
      </c>
      <c r="X9" t="s">
        <v>44</v>
      </c>
      <c r="Y9" t="s">
        <v>63</v>
      </c>
      <c r="Z9" t="s">
        <v>48</v>
      </c>
      <c r="AA9" s="10">
        <f>IF(O9&lt;=1,7,7+0.8*ROUNDUP(O9-1,0))</f>
        <v>8.6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0.51600000000000001</v>
      </c>
      <c r="AG9" s="11">
        <f t="shared" si="1"/>
        <v>9.1159999999999997</v>
      </c>
      <c r="AH9" t="s">
        <v>49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80</v>
      </c>
      <c r="G10" t="s">
        <v>37</v>
      </c>
      <c r="H10" t="s">
        <v>38</v>
      </c>
      <c r="I10" t="s">
        <v>81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2</v>
      </c>
      <c r="P10" s="8">
        <v>45244.462592592594</v>
      </c>
      <c r="Q10" s="9">
        <v>45246</v>
      </c>
      <c r="R10" t="s">
        <v>37</v>
      </c>
      <c r="S10" t="s">
        <v>44</v>
      </c>
      <c r="T10" t="s">
        <v>45</v>
      </c>
      <c r="U10" t="s">
        <v>70</v>
      </c>
      <c r="V10" t="s">
        <v>82</v>
      </c>
      <c r="W10">
        <v>75450</v>
      </c>
      <c r="X10" t="s">
        <v>44</v>
      </c>
      <c r="Y10" t="s">
        <v>76</v>
      </c>
      <c r="Z10" t="s">
        <v>48</v>
      </c>
      <c r="AA10" s="10">
        <f>IF(O10&lt;=1,7,7+0.8*ROUNDUP(O10-1,0))</f>
        <v>7.8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0.46799999999999997</v>
      </c>
      <c r="AG10" s="11">
        <f t="shared" si="1"/>
        <v>8.2680000000000007</v>
      </c>
      <c r="AH10" t="s">
        <v>49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83</v>
      </c>
      <c r="G11" t="s">
        <v>37</v>
      </c>
      <c r="H11" t="s">
        <v>38</v>
      </c>
      <c r="I11" t="s">
        <v>84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45244.627476851849</v>
      </c>
      <c r="Q11" s="9">
        <v>45246</v>
      </c>
      <c r="R11" t="s">
        <v>37</v>
      </c>
      <c r="S11" t="s">
        <v>44</v>
      </c>
      <c r="T11" t="s">
        <v>45</v>
      </c>
      <c r="U11" t="s">
        <v>57</v>
      </c>
      <c r="V11" t="s">
        <v>85</v>
      </c>
      <c r="W11">
        <v>40000</v>
      </c>
      <c r="X11" t="s">
        <v>44</v>
      </c>
      <c r="Y11" t="s">
        <v>86</v>
      </c>
      <c r="Z11" t="s">
        <v>48</v>
      </c>
      <c r="AA11" s="10">
        <f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49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87</v>
      </c>
      <c r="G12" t="s">
        <v>37</v>
      </c>
      <c r="H12" t="s">
        <v>38</v>
      </c>
      <c r="I12" t="s">
        <v>88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3</v>
      </c>
      <c r="P12" s="8">
        <v>45243.858587962961</v>
      </c>
      <c r="Q12" s="9">
        <v>45246</v>
      </c>
      <c r="R12" t="s">
        <v>37</v>
      </c>
      <c r="S12" t="s">
        <v>44</v>
      </c>
      <c r="T12" t="s">
        <v>45</v>
      </c>
      <c r="U12" t="s">
        <v>89</v>
      </c>
      <c r="V12" t="s">
        <v>90</v>
      </c>
      <c r="W12">
        <v>86000</v>
      </c>
      <c r="X12" t="s">
        <v>44</v>
      </c>
      <c r="Y12" t="s">
        <v>91</v>
      </c>
      <c r="Z12" t="s">
        <v>48</v>
      </c>
      <c r="AA12" s="10">
        <f>IF(O12&lt;=1,7,7+0.8*ROUNDUP(O12-1,0))</f>
        <v>8.6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0.51600000000000001</v>
      </c>
      <c r="AG12" s="11">
        <f t="shared" si="1"/>
        <v>9.1159999999999997</v>
      </c>
      <c r="AH12" t="s">
        <v>49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92</v>
      </c>
      <c r="G13" t="s">
        <v>37</v>
      </c>
      <c r="H13" t="s">
        <v>38</v>
      </c>
      <c r="I13" t="s">
        <v>93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1</v>
      </c>
      <c r="P13" s="8">
        <v>45243.852835648147</v>
      </c>
      <c r="Q13" s="9">
        <v>45246</v>
      </c>
      <c r="R13" t="s">
        <v>37</v>
      </c>
      <c r="S13" t="s">
        <v>44</v>
      </c>
      <c r="T13" t="s">
        <v>45</v>
      </c>
      <c r="U13" t="s">
        <v>89</v>
      </c>
      <c r="V13" t="s">
        <v>94</v>
      </c>
      <c r="W13">
        <v>81900</v>
      </c>
      <c r="X13" t="s">
        <v>44</v>
      </c>
      <c r="Y13" t="s">
        <v>95</v>
      </c>
      <c r="Z13" t="s">
        <v>48</v>
      </c>
      <c r="AA13" s="10">
        <f>IF(O13&lt;=1,7,7+0.8*ROUNDUP(O13-1,0))</f>
        <v>7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t="s">
        <v>49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96</v>
      </c>
      <c r="G14" t="s">
        <v>37</v>
      </c>
      <c r="H14" t="s">
        <v>38</v>
      </c>
      <c r="I14" t="s">
        <v>97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45244.398518518516</v>
      </c>
      <c r="Q14" s="9">
        <v>45246</v>
      </c>
      <c r="R14" t="s">
        <v>37</v>
      </c>
      <c r="S14" t="s">
        <v>44</v>
      </c>
      <c r="T14" t="s">
        <v>45</v>
      </c>
      <c r="U14" t="s">
        <v>57</v>
      </c>
      <c r="V14" t="s">
        <v>98</v>
      </c>
      <c r="W14">
        <v>48050</v>
      </c>
      <c r="X14" t="s">
        <v>44</v>
      </c>
      <c r="Y14" t="s">
        <v>63</v>
      </c>
      <c r="Z14" t="s">
        <v>48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t="s">
        <v>49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99</v>
      </c>
      <c r="G15" t="s">
        <v>37</v>
      </c>
      <c r="H15" t="s">
        <v>38</v>
      </c>
      <c r="I15" t="s">
        <v>100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45245.471458333333</v>
      </c>
      <c r="Q15" s="9">
        <v>45246</v>
      </c>
      <c r="R15" t="s">
        <v>37</v>
      </c>
      <c r="S15" t="s">
        <v>44</v>
      </c>
      <c r="T15" t="s">
        <v>63</v>
      </c>
      <c r="U15" t="s">
        <v>66</v>
      </c>
      <c r="V15" t="s">
        <v>101</v>
      </c>
      <c r="W15">
        <v>50100</v>
      </c>
      <c r="X15" t="s">
        <v>44</v>
      </c>
      <c r="Y15" t="s">
        <v>102</v>
      </c>
      <c r="Z15" t="s">
        <v>48</v>
      </c>
      <c r="AA15" s="10">
        <f>IF(O15&lt;=1,7,7+0.8*ROUNDUP(O15-1,0))</f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t="s">
        <v>49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103</v>
      </c>
      <c r="G16" t="s">
        <v>37</v>
      </c>
      <c r="H16" t="s">
        <v>38</v>
      </c>
      <c r="I16" t="s">
        <v>104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45243.852835648147</v>
      </c>
      <c r="Q16" s="9">
        <v>45246</v>
      </c>
      <c r="R16" t="s">
        <v>37</v>
      </c>
      <c r="S16" t="s">
        <v>44</v>
      </c>
      <c r="T16" t="s">
        <v>45</v>
      </c>
      <c r="U16" t="s">
        <v>57</v>
      </c>
      <c r="V16" t="s">
        <v>105</v>
      </c>
      <c r="W16">
        <v>62150</v>
      </c>
      <c r="X16" t="s">
        <v>44</v>
      </c>
      <c r="Y16" t="s">
        <v>63</v>
      </c>
      <c r="Z16" t="s">
        <v>48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t="s">
        <v>49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106</v>
      </c>
      <c r="G17" t="s">
        <v>37</v>
      </c>
      <c r="H17" t="s">
        <v>38</v>
      </c>
      <c r="I17" t="s">
        <v>107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1</v>
      </c>
      <c r="P17" s="8">
        <v>45243.852835648147</v>
      </c>
      <c r="Q17" s="9">
        <v>45246</v>
      </c>
      <c r="R17" t="s">
        <v>37</v>
      </c>
      <c r="S17" t="s">
        <v>44</v>
      </c>
      <c r="T17" t="s">
        <v>45</v>
      </c>
      <c r="U17" t="s">
        <v>70</v>
      </c>
      <c r="V17" t="s">
        <v>108</v>
      </c>
      <c r="W17">
        <v>75460</v>
      </c>
      <c r="X17" t="s">
        <v>44</v>
      </c>
      <c r="Y17" t="s">
        <v>72</v>
      </c>
      <c r="Z17" t="s">
        <v>48</v>
      </c>
      <c r="AA17" s="10">
        <f>IF(O17&lt;=1,7,7+0.8*ROUNDUP(O17-1,0))</f>
        <v>7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0.42</v>
      </c>
      <c r="AG17" s="11">
        <f t="shared" si="1"/>
        <v>7.42</v>
      </c>
      <c r="AH17" t="s">
        <v>49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109</v>
      </c>
      <c r="G18" t="s">
        <v>37</v>
      </c>
      <c r="H18" t="s">
        <v>38</v>
      </c>
      <c r="I18" t="s">
        <v>110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45243.852835648147</v>
      </c>
      <c r="Q18" s="9">
        <v>45246</v>
      </c>
      <c r="R18" t="s">
        <v>37</v>
      </c>
      <c r="S18" t="s">
        <v>44</v>
      </c>
      <c r="T18" t="s">
        <v>45</v>
      </c>
      <c r="U18" t="s">
        <v>70</v>
      </c>
      <c r="V18" t="s">
        <v>111</v>
      </c>
      <c r="W18">
        <v>75460</v>
      </c>
      <c r="X18" t="s">
        <v>44</v>
      </c>
      <c r="Y18" t="s">
        <v>112</v>
      </c>
      <c r="Z18" t="s">
        <v>48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0.42</v>
      </c>
      <c r="AG18" s="11">
        <f t="shared" si="1"/>
        <v>7.42</v>
      </c>
      <c r="AH18" t="s">
        <v>49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113</v>
      </c>
      <c r="G19" t="s">
        <v>37</v>
      </c>
      <c r="H19" t="s">
        <v>38</v>
      </c>
      <c r="I19" t="s">
        <v>114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1</v>
      </c>
      <c r="P19" s="8">
        <v>45244.727199074077</v>
      </c>
      <c r="Q19" s="9">
        <v>45246</v>
      </c>
      <c r="R19" t="s">
        <v>37</v>
      </c>
      <c r="S19" t="s">
        <v>44</v>
      </c>
      <c r="T19" t="s">
        <v>45</v>
      </c>
      <c r="U19" t="s">
        <v>89</v>
      </c>
      <c r="V19" t="s">
        <v>115</v>
      </c>
      <c r="W19">
        <v>81300</v>
      </c>
      <c r="X19" t="s">
        <v>44</v>
      </c>
      <c r="Y19" t="s">
        <v>116</v>
      </c>
      <c r="Z19" t="s">
        <v>48</v>
      </c>
      <c r="AA19" s="10">
        <f>IF(O19&lt;=1,7,7+0.8*ROUNDUP(O19-1,0))</f>
        <v>7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t="s">
        <v>49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117</v>
      </c>
      <c r="G20" t="s">
        <v>37</v>
      </c>
      <c r="H20" t="s">
        <v>38</v>
      </c>
      <c r="I20" t="s">
        <v>118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1</v>
      </c>
      <c r="P20" s="8">
        <v>45243.852835648147</v>
      </c>
      <c r="Q20" s="9">
        <v>45246</v>
      </c>
      <c r="R20" t="s">
        <v>37</v>
      </c>
      <c r="S20" t="s">
        <v>44</v>
      </c>
      <c r="T20" t="s">
        <v>45</v>
      </c>
      <c r="U20" t="s">
        <v>119</v>
      </c>
      <c r="V20" t="s">
        <v>120</v>
      </c>
      <c r="W20">
        <v>13800</v>
      </c>
      <c r="X20" t="s">
        <v>44</v>
      </c>
      <c r="Y20" t="s">
        <v>121</v>
      </c>
      <c r="Z20" t="s">
        <v>48</v>
      </c>
      <c r="AA20" s="10">
        <f>IF(O20&lt;=1,7,7+0.8*ROUNDUP(O20-1,0))</f>
        <v>7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0.42</v>
      </c>
      <c r="AG20" s="11">
        <f t="shared" si="1"/>
        <v>7.42</v>
      </c>
      <c r="AH20" t="s">
        <v>49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122</v>
      </c>
      <c r="G21" t="s">
        <v>37</v>
      </c>
      <c r="H21" t="s">
        <v>38</v>
      </c>
      <c r="I21" t="s">
        <v>123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4</v>
      </c>
      <c r="P21" s="8">
        <v>45244.624884259261</v>
      </c>
      <c r="Q21" s="9">
        <v>45247</v>
      </c>
      <c r="R21" t="s">
        <v>37</v>
      </c>
      <c r="S21" t="s">
        <v>44</v>
      </c>
      <c r="T21" t="s">
        <v>45</v>
      </c>
      <c r="U21" t="s">
        <v>89</v>
      </c>
      <c r="V21" t="s">
        <v>124</v>
      </c>
      <c r="W21">
        <v>81100</v>
      </c>
      <c r="X21" t="s">
        <v>44</v>
      </c>
      <c r="Y21" t="s">
        <v>125</v>
      </c>
      <c r="Z21" t="s">
        <v>48</v>
      </c>
      <c r="AA21" s="10">
        <f>IF(O21&lt;=1,7,7+0.8*ROUNDUP(O21-1,0))</f>
        <v>9.4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0.56399999999999995</v>
      </c>
      <c r="AG21" s="11">
        <f t="shared" si="1"/>
        <v>9.9640000000000004</v>
      </c>
      <c r="AH21" t="s">
        <v>49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126</v>
      </c>
      <c r="G22" t="s">
        <v>37</v>
      </c>
      <c r="H22" t="s">
        <v>38</v>
      </c>
      <c r="I22" t="s">
        <v>127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45245.76059027778</v>
      </c>
      <c r="Q22" s="9">
        <v>45247</v>
      </c>
      <c r="R22" t="s">
        <v>37</v>
      </c>
      <c r="S22" t="s">
        <v>44</v>
      </c>
      <c r="T22" t="s">
        <v>63</v>
      </c>
      <c r="U22" t="s">
        <v>128</v>
      </c>
      <c r="V22" t="s">
        <v>129</v>
      </c>
      <c r="W22">
        <v>70450</v>
      </c>
      <c r="X22" t="s">
        <v>44</v>
      </c>
      <c r="Y22" t="s">
        <v>63</v>
      </c>
      <c r="Z22" t="s">
        <v>48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49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130</v>
      </c>
      <c r="G23" t="s">
        <v>37</v>
      </c>
      <c r="H23" t="s">
        <v>38</v>
      </c>
      <c r="I23" t="s">
        <v>131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2</v>
      </c>
      <c r="P23" s="8">
        <v>45245.732708333337</v>
      </c>
      <c r="Q23" s="9">
        <v>45247</v>
      </c>
      <c r="R23" t="s">
        <v>37</v>
      </c>
      <c r="S23" t="s">
        <v>44</v>
      </c>
      <c r="T23" t="s">
        <v>63</v>
      </c>
      <c r="U23" t="s">
        <v>46</v>
      </c>
      <c r="V23" t="s">
        <v>132</v>
      </c>
      <c r="W23">
        <v>28000</v>
      </c>
      <c r="X23" t="s">
        <v>44</v>
      </c>
      <c r="Y23" t="s">
        <v>133</v>
      </c>
      <c r="Z23" t="s">
        <v>48</v>
      </c>
      <c r="AA23" s="10">
        <f>IF(O23&lt;=1,7,7+0.8*ROUNDUP(O23-1,0))</f>
        <v>7.8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0.46799999999999997</v>
      </c>
      <c r="AG23" s="11">
        <f t="shared" si="1"/>
        <v>8.2680000000000007</v>
      </c>
      <c r="AH23" t="s">
        <v>49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134</v>
      </c>
      <c r="G24" t="s">
        <v>37</v>
      </c>
      <c r="H24" t="s">
        <v>38</v>
      </c>
      <c r="I24" t="s">
        <v>135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1</v>
      </c>
      <c r="P24" s="8">
        <v>45246.743425925924</v>
      </c>
      <c r="Q24" s="9">
        <v>45247</v>
      </c>
      <c r="R24" t="s">
        <v>37</v>
      </c>
      <c r="S24" t="s">
        <v>44</v>
      </c>
      <c r="T24" t="s">
        <v>45</v>
      </c>
      <c r="U24" t="s">
        <v>46</v>
      </c>
      <c r="V24" t="s">
        <v>136</v>
      </c>
      <c r="W24">
        <v>26300</v>
      </c>
      <c r="X24" t="s">
        <v>44</v>
      </c>
      <c r="Y24" t="s">
        <v>137</v>
      </c>
      <c r="Z24" t="s">
        <v>48</v>
      </c>
      <c r="AA24" s="10">
        <f>IF(O24&lt;=1,7,7+0.8*ROUNDUP(O24-1,0))</f>
        <v>7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t="s">
        <v>49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138</v>
      </c>
      <c r="G25" t="s">
        <v>37</v>
      </c>
      <c r="H25" t="s">
        <v>38</v>
      </c>
      <c r="I25" t="s">
        <v>139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1</v>
      </c>
      <c r="P25" s="8">
        <v>45244.617037037038</v>
      </c>
      <c r="Q25" s="9">
        <v>45247</v>
      </c>
      <c r="R25" t="s">
        <v>37</v>
      </c>
      <c r="S25" t="s">
        <v>44</v>
      </c>
      <c r="T25" t="s">
        <v>45</v>
      </c>
      <c r="U25" t="s">
        <v>89</v>
      </c>
      <c r="V25" t="s">
        <v>140</v>
      </c>
      <c r="W25">
        <v>81000</v>
      </c>
      <c r="X25" t="s">
        <v>44</v>
      </c>
      <c r="Y25" t="s">
        <v>141</v>
      </c>
      <c r="Z25" t="s">
        <v>48</v>
      </c>
      <c r="AA25" s="10">
        <f>IF(O25&lt;=1,7,7+0.8*ROUNDUP(O25-1,0))</f>
        <v>7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t="s">
        <v>49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142</v>
      </c>
      <c r="G26" t="s">
        <v>37</v>
      </c>
      <c r="H26" t="s">
        <v>38</v>
      </c>
      <c r="I26" t="s">
        <v>143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1</v>
      </c>
      <c r="P26" s="8">
        <v>45246.411539351851</v>
      </c>
      <c r="Q26" s="9">
        <v>45247</v>
      </c>
      <c r="R26" t="s">
        <v>37</v>
      </c>
      <c r="S26" t="s">
        <v>44</v>
      </c>
      <c r="T26" t="s">
        <v>45</v>
      </c>
      <c r="U26" t="s">
        <v>52</v>
      </c>
      <c r="V26" t="s">
        <v>144</v>
      </c>
      <c r="W26">
        <v>22200</v>
      </c>
      <c r="X26" t="s">
        <v>44</v>
      </c>
      <c r="Y26" t="s">
        <v>145</v>
      </c>
      <c r="Z26" t="s">
        <v>48</v>
      </c>
      <c r="AA26" s="10">
        <f>IF(O26&lt;=1,7,7+0.8*ROUNDUP(O26-1,0))</f>
        <v>7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t="s">
        <v>49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146</v>
      </c>
      <c r="G27" t="s">
        <v>37</v>
      </c>
      <c r="H27" t="s">
        <v>38</v>
      </c>
      <c r="I27" t="s">
        <v>147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4</v>
      </c>
      <c r="P27" s="8">
        <v>45245.737025462964</v>
      </c>
      <c r="Q27" s="9">
        <v>45247</v>
      </c>
      <c r="R27" t="s">
        <v>37</v>
      </c>
      <c r="S27" t="s">
        <v>44</v>
      </c>
      <c r="T27" t="s">
        <v>45</v>
      </c>
      <c r="U27" t="s">
        <v>57</v>
      </c>
      <c r="V27" t="s">
        <v>148</v>
      </c>
      <c r="W27">
        <v>47000</v>
      </c>
      <c r="X27" t="s">
        <v>44</v>
      </c>
      <c r="Y27" t="s">
        <v>149</v>
      </c>
      <c r="Z27" t="s">
        <v>48</v>
      </c>
      <c r="AA27" s="10">
        <f>IF(O27&lt;=1,7,7+0.8*ROUNDUP(O27-1,0))</f>
        <v>9.4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0.56399999999999995</v>
      </c>
      <c r="AG27" s="11">
        <f t="shared" si="1"/>
        <v>9.9640000000000004</v>
      </c>
      <c r="AH27" t="s">
        <v>49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150</v>
      </c>
      <c r="G28" t="s">
        <v>37</v>
      </c>
      <c r="H28" t="s">
        <v>38</v>
      </c>
      <c r="I28" t="s">
        <v>151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</v>
      </c>
      <c r="P28" s="8">
        <v>45245.739201388889</v>
      </c>
      <c r="Q28" s="9">
        <v>45247</v>
      </c>
      <c r="R28" t="s">
        <v>37</v>
      </c>
      <c r="S28" t="s">
        <v>44</v>
      </c>
      <c r="T28" t="s">
        <v>63</v>
      </c>
      <c r="U28" t="s">
        <v>52</v>
      </c>
      <c r="V28" t="s">
        <v>152</v>
      </c>
      <c r="W28">
        <v>21070</v>
      </c>
      <c r="X28" t="s">
        <v>44</v>
      </c>
      <c r="Y28" t="s">
        <v>153</v>
      </c>
      <c r="Z28" t="s">
        <v>48</v>
      </c>
      <c r="AA28" s="10">
        <f>IF(O28&lt;=1,7,7+0.8*ROUNDUP(O28-1,0))</f>
        <v>7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0.42</v>
      </c>
      <c r="AG28" s="11">
        <f t="shared" si="1"/>
        <v>7.42</v>
      </c>
      <c r="AH28" t="s">
        <v>49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154</v>
      </c>
      <c r="G29" t="s">
        <v>37</v>
      </c>
      <c r="H29" t="s">
        <v>38</v>
      </c>
      <c r="I29" t="s">
        <v>155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5</v>
      </c>
      <c r="P29" s="8">
        <v>45245.774733796294</v>
      </c>
      <c r="Q29" s="9">
        <v>45247</v>
      </c>
      <c r="R29" t="s">
        <v>37</v>
      </c>
      <c r="S29" t="s">
        <v>44</v>
      </c>
      <c r="T29" t="s">
        <v>63</v>
      </c>
      <c r="U29" t="s">
        <v>156</v>
      </c>
      <c r="V29" t="s">
        <v>157</v>
      </c>
      <c r="W29">
        <v>16450</v>
      </c>
      <c r="X29" t="s">
        <v>44</v>
      </c>
      <c r="Y29" t="s">
        <v>63</v>
      </c>
      <c r="Z29" t="s">
        <v>48</v>
      </c>
      <c r="AA29" s="10">
        <f>IF(O29&lt;=1,7,7+0.8*ROUNDUP(O29-1,0))</f>
        <v>10.199999999999999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0.61199999999999999</v>
      </c>
      <c r="AG29" s="11">
        <f t="shared" si="1"/>
        <v>10.811999999999999</v>
      </c>
      <c r="AH29" t="s">
        <v>49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158</v>
      </c>
      <c r="G30" t="s">
        <v>37</v>
      </c>
      <c r="H30" t="s">
        <v>38</v>
      </c>
      <c r="I30" t="s">
        <v>159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6</v>
      </c>
      <c r="P30" s="8">
        <v>45245.616967592592</v>
      </c>
      <c r="Q30" s="9">
        <v>45247</v>
      </c>
      <c r="R30" t="s">
        <v>37</v>
      </c>
      <c r="S30" t="s">
        <v>44</v>
      </c>
      <c r="T30" t="s">
        <v>45</v>
      </c>
      <c r="U30" t="s">
        <v>57</v>
      </c>
      <c r="V30" t="s">
        <v>160</v>
      </c>
      <c r="W30">
        <v>40000</v>
      </c>
      <c r="X30" t="s">
        <v>44</v>
      </c>
      <c r="Y30" t="s">
        <v>86</v>
      </c>
      <c r="Z30" t="s">
        <v>48</v>
      </c>
      <c r="AA30" s="10">
        <f>IF(O30&lt;=1,7,7+0.8*ROUNDUP(O30-1,0))</f>
        <v>11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0.65999999999999992</v>
      </c>
      <c r="AG30" s="11">
        <f t="shared" si="1"/>
        <v>11.66</v>
      </c>
      <c r="AH30" t="s">
        <v>49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161</v>
      </c>
      <c r="G31" t="s">
        <v>37</v>
      </c>
      <c r="H31" t="s">
        <v>38</v>
      </c>
      <c r="I31" t="s">
        <v>162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45244.462592592594</v>
      </c>
      <c r="Q31" s="9">
        <v>45247</v>
      </c>
      <c r="R31" t="s">
        <v>37</v>
      </c>
      <c r="S31" t="s">
        <v>44</v>
      </c>
      <c r="T31" t="s">
        <v>45</v>
      </c>
      <c r="U31" t="s">
        <v>57</v>
      </c>
      <c r="V31" t="s">
        <v>163</v>
      </c>
      <c r="W31">
        <v>54200</v>
      </c>
      <c r="X31" t="s">
        <v>44</v>
      </c>
      <c r="Y31" t="s">
        <v>164</v>
      </c>
      <c r="Z31" t="s">
        <v>48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0.42</v>
      </c>
      <c r="AG31" s="11">
        <f t="shared" si="1"/>
        <v>7.42</v>
      </c>
      <c r="AH31" t="s">
        <v>49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165</v>
      </c>
      <c r="G32" t="s">
        <v>37</v>
      </c>
      <c r="H32" t="s">
        <v>38</v>
      </c>
      <c r="I32" t="s">
        <v>166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1</v>
      </c>
      <c r="P32" s="8">
        <v>45245.721921296295</v>
      </c>
      <c r="Q32" s="9">
        <v>45247</v>
      </c>
      <c r="R32" t="s">
        <v>37</v>
      </c>
      <c r="S32" t="s">
        <v>44</v>
      </c>
      <c r="T32" t="s">
        <v>63</v>
      </c>
      <c r="U32" t="s">
        <v>46</v>
      </c>
      <c r="V32" t="s">
        <v>167</v>
      </c>
      <c r="W32">
        <v>26080</v>
      </c>
      <c r="X32" t="s">
        <v>44</v>
      </c>
      <c r="Y32" t="s">
        <v>168</v>
      </c>
      <c r="Z32" t="s">
        <v>48</v>
      </c>
      <c r="AA32" s="10">
        <f>IF(O32&lt;=1,7,7+0.8*ROUNDUP(O32-1,0))</f>
        <v>7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t="s">
        <v>49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169</v>
      </c>
      <c r="G33" t="s">
        <v>37</v>
      </c>
      <c r="H33" t="s">
        <v>38</v>
      </c>
      <c r="I33" t="s">
        <v>170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1</v>
      </c>
      <c r="P33" s="8">
        <v>45246.620219907411</v>
      </c>
      <c r="Q33" s="9">
        <v>45247</v>
      </c>
      <c r="R33" t="s">
        <v>37</v>
      </c>
      <c r="S33" t="s">
        <v>44</v>
      </c>
      <c r="T33" t="s">
        <v>45</v>
      </c>
      <c r="U33" t="s">
        <v>156</v>
      </c>
      <c r="V33" t="s">
        <v>171</v>
      </c>
      <c r="W33">
        <v>17500</v>
      </c>
      <c r="X33" t="s">
        <v>44</v>
      </c>
      <c r="Y33" t="s">
        <v>145</v>
      </c>
      <c r="Z33" t="s">
        <v>48</v>
      </c>
      <c r="AA33" s="10">
        <f>IF(O33&lt;=1,7,7+0.8*ROUNDUP(O33-1,0))</f>
        <v>7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t="s">
        <v>49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172</v>
      </c>
      <c r="G34" t="s">
        <v>37</v>
      </c>
      <c r="H34" t="s">
        <v>38</v>
      </c>
      <c r="I34" t="s">
        <v>173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</v>
      </c>
      <c r="P34" s="8">
        <v>45246.721909722219</v>
      </c>
      <c r="Q34" s="9">
        <v>45247</v>
      </c>
      <c r="R34" t="s">
        <v>37</v>
      </c>
      <c r="S34" t="s">
        <v>44</v>
      </c>
      <c r="T34" t="s">
        <v>45</v>
      </c>
      <c r="U34" t="s">
        <v>46</v>
      </c>
      <c r="V34" t="s">
        <v>174</v>
      </c>
      <c r="W34">
        <v>25200</v>
      </c>
      <c r="X34" t="s">
        <v>44</v>
      </c>
      <c r="Y34" t="s">
        <v>137</v>
      </c>
      <c r="Z34" t="s">
        <v>48</v>
      </c>
      <c r="AA34" s="10">
        <f>IF(O34&lt;=1,7,7+0.8*ROUNDUP(O34-1,0))</f>
        <v>7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t="s">
        <v>49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175</v>
      </c>
      <c r="G35" t="s">
        <v>37</v>
      </c>
      <c r="H35" t="s">
        <v>38</v>
      </c>
      <c r="I35" t="s">
        <v>176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</v>
      </c>
      <c r="P35" s="8">
        <v>45245.737025462964</v>
      </c>
      <c r="Q35" s="9">
        <v>45247</v>
      </c>
      <c r="R35" t="s">
        <v>37</v>
      </c>
      <c r="S35" t="s">
        <v>44</v>
      </c>
      <c r="T35" t="s">
        <v>63</v>
      </c>
      <c r="U35" t="s">
        <v>89</v>
      </c>
      <c r="V35" t="s">
        <v>177</v>
      </c>
      <c r="W35">
        <v>81900</v>
      </c>
      <c r="X35" t="s">
        <v>44</v>
      </c>
      <c r="Y35" t="s">
        <v>63</v>
      </c>
      <c r="Z35" t="s">
        <v>48</v>
      </c>
      <c r="AA35" s="10">
        <f>IF(O35&lt;=1,7,7+0.8*ROUNDUP(O35-1,0))</f>
        <v>7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t="s">
        <v>49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178</v>
      </c>
      <c r="G36" t="s">
        <v>37</v>
      </c>
      <c r="H36" t="s">
        <v>38</v>
      </c>
      <c r="I36" t="s">
        <v>179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5</v>
      </c>
      <c r="P36" s="8">
        <v>45245.739201388889</v>
      </c>
      <c r="Q36" s="9">
        <v>45247</v>
      </c>
      <c r="R36" t="s">
        <v>37</v>
      </c>
      <c r="S36" t="s">
        <v>44</v>
      </c>
      <c r="T36" t="s">
        <v>45</v>
      </c>
      <c r="U36" t="s">
        <v>57</v>
      </c>
      <c r="V36" t="s">
        <v>180</v>
      </c>
      <c r="W36">
        <v>43900</v>
      </c>
      <c r="X36" t="s">
        <v>44</v>
      </c>
      <c r="Y36" t="s">
        <v>181</v>
      </c>
      <c r="Z36" t="s">
        <v>48</v>
      </c>
      <c r="AA36" s="10">
        <f>IF(O36&lt;=1,7,7+0.8*ROUNDUP(O36-1,0))</f>
        <v>10.199999999999999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0.61199999999999999</v>
      </c>
      <c r="AG36" s="11">
        <f t="shared" si="1"/>
        <v>10.811999999999999</v>
      </c>
      <c r="AH36" t="s">
        <v>49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182</v>
      </c>
      <c r="G37" t="s">
        <v>37</v>
      </c>
      <c r="H37" t="s">
        <v>38</v>
      </c>
      <c r="I37" t="s">
        <v>183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45246.505150462966</v>
      </c>
      <c r="Q37" s="9">
        <v>45247</v>
      </c>
      <c r="R37" t="s">
        <v>37</v>
      </c>
      <c r="S37" t="s">
        <v>44</v>
      </c>
      <c r="T37" t="s">
        <v>45</v>
      </c>
      <c r="U37" t="s">
        <v>52</v>
      </c>
      <c r="V37" t="s">
        <v>184</v>
      </c>
      <c r="W37">
        <v>24000</v>
      </c>
      <c r="X37" t="s">
        <v>44</v>
      </c>
      <c r="Y37" t="s">
        <v>45</v>
      </c>
      <c r="Z37" t="s">
        <v>48</v>
      </c>
      <c r="AA37" s="10">
        <f>IF(O37&lt;=1,7,7+0.8*ROUNDUP(O37-1,0))</f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t="s">
        <v>49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185</v>
      </c>
      <c r="G38" t="s">
        <v>37</v>
      </c>
      <c r="H38" t="s">
        <v>38</v>
      </c>
      <c r="I38" t="s">
        <v>186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1</v>
      </c>
      <c r="P38" s="8">
        <v>45244.529131944444</v>
      </c>
      <c r="Q38" s="9">
        <v>45247</v>
      </c>
      <c r="R38" t="s">
        <v>37</v>
      </c>
      <c r="S38" t="s">
        <v>44</v>
      </c>
      <c r="T38" t="s">
        <v>45</v>
      </c>
      <c r="U38" t="s">
        <v>187</v>
      </c>
      <c r="V38" t="s">
        <v>188</v>
      </c>
      <c r="W38">
        <v>32000</v>
      </c>
      <c r="X38" t="s">
        <v>44</v>
      </c>
      <c r="Y38" t="s">
        <v>63</v>
      </c>
      <c r="Z38" t="s">
        <v>48</v>
      </c>
      <c r="AA38" s="10">
        <f>IF(O38&lt;=1,7,7+0.8*ROUNDUP(O38-1,0))</f>
        <v>7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0.42</v>
      </c>
      <c r="AG38" s="11">
        <f t="shared" si="1"/>
        <v>7.42</v>
      </c>
      <c r="AH38" t="s">
        <v>49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189</v>
      </c>
      <c r="G39" t="s">
        <v>37</v>
      </c>
      <c r="H39" t="s">
        <v>38</v>
      </c>
      <c r="I39" t="s">
        <v>190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2</v>
      </c>
      <c r="P39" s="8">
        <v>45245.719548611109</v>
      </c>
      <c r="Q39" s="9">
        <v>45247</v>
      </c>
      <c r="R39" t="s">
        <v>37</v>
      </c>
      <c r="S39" t="s">
        <v>44</v>
      </c>
      <c r="T39" t="s">
        <v>63</v>
      </c>
      <c r="U39" t="s">
        <v>66</v>
      </c>
      <c r="V39" t="s">
        <v>191</v>
      </c>
      <c r="W39">
        <v>57000</v>
      </c>
      <c r="X39" t="s">
        <v>44</v>
      </c>
      <c r="Y39" t="s">
        <v>192</v>
      </c>
      <c r="Z39" t="s">
        <v>48</v>
      </c>
      <c r="AA39" s="10">
        <f>IF(O39&lt;=1,7,7+0.8*ROUNDUP(O39-1,0))</f>
        <v>7.8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0.46799999999999997</v>
      </c>
      <c r="AG39" s="11">
        <f t="shared" si="1"/>
        <v>8.2680000000000007</v>
      </c>
      <c r="AH39" t="s">
        <v>49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193</v>
      </c>
      <c r="G40" t="s">
        <v>37</v>
      </c>
      <c r="H40" t="s">
        <v>38</v>
      </c>
      <c r="I40" t="s">
        <v>194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45246.813240740739</v>
      </c>
      <c r="Q40" s="9">
        <v>45248</v>
      </c>
      <c r="R40" t="s">
        <v>37</v>
      </c>
      <c r="S40" t="s">
        <v>44</v>
      </c>
      <c r="T40" t="s">
        <v>145</v>
      </c>
      <c r="U40" t="s">
        <v>156</v>
      </c>
      <c r="V40" t="s">
        <v>195</v>
      </c>
      <c r="W40">
        <v>18300</v>
      </c>
      <c r="X40" t="s">
        <v>44</v>
      </c>
      <c r="Y40" t="s">
        <v>145</v>
      </c>
      <c r="Z40" t="s">
        <v>48</v>
      </c>
      <c r="AA40" s="10">
        <f>IF(O40&lt;=1,7,7+0.8*ROUNDUP(O40-1,0))</f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t="s">
        <v>49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196</v>
      </c>
      <c r="G41" t="s">
        <v>37</v>
      </c>
      <c r="H41" t="s">
        <v>38</v>
      </c>
      <c r="I41" t="s">
        <v>197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45246.617534722223</v>
      </c>
      <c r="Q41" s="9">
        <v>45248</v>
      </c>
      <c r="R41" t="s">
        <v>37</v>
      </c>
      <c r="S41" t="s">
        <v>44</v>
      </c>
      <c r="T41" t="s">
        <v>45</v>
      </c>
      <c r="U41" t="s">
        <v>57</v>
      </c>
      <c r="V41" t="s">
        <v>198</v>
      </c>
      <c r="W41">
        <v>40160</v>
      </c>
      <c r="X41" t="s">
        <v>44</v>
      </c>
      <c r="Y41" t="s">
        <v>59</v>
      </c>
      <c r="Z41" t="s">
        <v>48</v>
      </c>
      <c r="AA41" s="10">
        <f>IF(O41&lt;=1,7,7+0.8*ROUNDUP(O41-1,0))</f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t="s">
        <v>49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199</v>
      </c>
      <c r="G42" t="s">
        <v>37</v>
      </c>
      <c r="H42" t="s">
        <v>38</v>
      </c>
      <c r="I42" t="s">
        <v>200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1</v>
      </c>
      <c r="P42" s="8">
        <v>45245.62704861111</v>
      </c>
      <c r="Q42" s="9">
        <v>45248</v>
      </c>
      <c r="R42" t="s">
        <v>37</v>
      </c>
      <c r="S42" t="s">
        <v>44</v>
      </c>
      <c r="T42" t="s">
        <v>63</v>
      </c>
      <c r="U42" t="s">
        <v>156</v>
      </c>
      <c r="V42" t="s">
        <v>201</v>
      </c>
      <c r="W42">
        <v>16800</v>
      </c>
      <c r="X42" t="s">
        <v>44</v>
      </c>
      <c r="Y42" t="s">
        <v>202</v>
      </c>
      <c r="Z42" t="s">
        <v>48</v>
      </c>
      <c r="AA42" s="10">
        <f>IF(O42&lt;=1,7,7+0.8*ROUNDUP(O42-1,0))</f>
        <v>7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0.42</v>
      </c>
      <c r="AG42" s="11">
        <f t="shared" si="1"/>
        <v>7.42</v>
      </c>
      <c r="AH42" t="s">
        <v>49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203</v>
      </c>
      <c r="G43" t="s">
        <v>37</v>
      </c>
      <c r="H43" t="s">
        <v>38</v>
      </c>
      <c r="I43" t="s">
        <v>204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1</v>
      </c>
      <c r="P43" s="8">
        <v>45246.813240740739</v>
      </c>
      <c r="Q43" s="9">
        <v>45248</v>
      </c>
      <c r="R43" t="s">
        <v>37</v>
      </c>
      <c r="S43" t="s">
        <v>44</v>
      </c>
      <c r="T43" t="s">
        <v>145</v>
      </c>
      <c r="U43" t="s">
        <v>52</v>
      </c>
      <c r="V43" t="s">
        <v>205</v>
      </c>
      <c r="W43">
        <v>22200</v>
      </c>
      <c r="X43" t="s">
        <v>44</v>
      </c>
      <c r="Y43" t="s">
        <v>145</v>
      </c>
      <c r="Z43" t="s">
        <v>48</v>
      </c>
      <c r="AA43" s="10">
        <f>IF(O43&lt;=1,7,7+0.8*ROUNDUP(O43-1,0))</f>
        <v>7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0.42</v>
      </c>
      <c r="AG43" s="11">
        <f t="shared" si="1"/>
        <v>7.42</v>
      </c>
      <c r="AH43" t="s">
        <v>49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206</v>
      </c>
      <c r="G44" t="s">
        <v>37</v>
      </c>
      <c r="H44" t="s">
        <v>38</v>
      </c>
      <c r="I44" t="s">
        <v>207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3</v>
      </c>
      <c r="P44" s="8">
        <v>45246.826516203706</v>
      </c>
      <c r="Q44" s="9">
        <v>45248</v>
      </c>
      <c r="R44" t="s">
        <v>37</v>
      </c>
      <c r="S44" t="s">
        <v>44</v>
      </c>
      <c r="T44" t="s">
        <v>145</v>
      </c>
      <c r="U44" t="s">
        <v>156</v>
      </c>
      <c r="V44" t="s">
        <v>208</v>
      </c>
      <c r="W44">
        <v>16800</v>
      </c>
      <c r="X44" t="s">
        <v>44</v>
      </c>
      <c r="Y44" t="s">
        <v>202</v>
      </c>
      <c r="Z44" t="s">
        <v>48</v>
      </c>
      <c r="AA44" s="10">
        <f>IF(O44&lt;=1,7,7+0.8*ROUNDUP(O44-1,0))</f>
        <v>8.6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0.51600000000000001</v>
      </c>
      <c r="AG44" s="11">
        <f t="shared" si="1"/>
        <v>9.1159999999999997</v>
      </c>
      <c r="AH44" t="s">
        <v>49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209</v>
      </c>
      <c r="G45" t="s">
        <v>37</v>
      </c>
      <c r="H45" t="s">
        <v>38</v>
      </c>
      <c r="I45" t="s">
        <v>210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9</v>
      </c>
      <c r="P45" s="8">
        <v>45246.505150462966</v>
      </c>
      <c r="Q45" s="9">
        <v>45248</v>
      </c>
      <c r="R45" t="s">
        <v>37</v>
      </c>
      <c r="S45" t="s">
        <v>44</v>
      </c>
      <c r="T45" t="s">
        <v>45</v>
      </c>
      <c r="U45" t="s">
        <v>57</v>
      </c>
      <c r="V45" t="s">
        <v>211</v>
      </c>
      <c r="W45">
        <v>40150</v>
      </c>
      <c r="X45" t="s">
        <v>44</v>
      </c>
      <c r="Y45" t="s">
        <v>59</v>
      </c>
      <c r="Z45" t="s">
        <v>48</v>
      </c>
      <c r="AA45" s="10">
        <f>IF(O45&lt;=1,7,7+0.8*ROUNDUP(O45-1,0))</f>
        <v>13.4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0.80399999999999994</v>
      </c>
      <c r="AG45" s="11">
        <f t="shared" si="1"/>
        <v>14.204000000000001</v>
      </c>
      <c r="AH45" t="s">
        <v>49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212</v>
      </c>
      <c r="G46" t="s">
        <v>37</v>
      </c>
      <c r="H46" t="s">
        <v>38</v>
      </c>
      <c r="I46" t="s">
        <v>213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45246.549710648149</v>
      </c>
      <c r="Q46" s="9">
        <v>45248</v>
      </c>
      <c r="R46" t="s">
        <v>37</v>
      </c>
      <c r="S46" t="s">
        <v>44</v>
      </c>
      <c r="T46" t="s">
        <v>45</v>
      </c>
      <c r="U46" t="s">
        <v>57</v>
      </c>
      <c r="V46" t="s">
        <v>214</v>
      </c>
      <c r="W46">
        <v>43200</v>
      </c>
      <c r="X46" t="s">
        <v>44</v>
      </c>
      <c r="Y46" t="s">
        <v>215</v>
      </c>
      <c r="Z46" t="s">
        <v>48</v>
      </c>
      <c r="AA46" s="10">
        <f>IF(O46&lt;=1,7,7+0.8*ROUNDUP(O46-1,0))</f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0.42</v>
      </c>
      <c r="AG46" s="11">
        <f t="shared" si="1"/>
        <v>7.42</v>
      </c>
      <c r="AH46" t="s">
        <v>49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216</v>
      </c>
      <c r="G47" t="s">
        <v>37</v>
      </c>
      <c r="H47" t="s">
        <v>38</v>
      </c>
      <c r="I47" t="s">
        <v>217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45247.498622685183</v>
      </c>
      <c r="Q47" s="9">
        <v>45248</v>
      </c>
      <c r="R47" t="s">
        <v>37</v>
      </c>
      <c r="S47" t="s">
        <v>44</v>
      </c>
      <c r="T47" t="s">
        <v>145</v>
      </c>
      <c r="U47" t="s">
        <v>57</v>
      </c>
      <c r="V47" t="s">
        <v>218</v>
      </c>
      <c r="W47">
        <v>40100</v>
      </c>
      <c r="X47" t="s">
        <v>44</v>
      </c>
      <c r="Y47" t="s">
        <v>219</v>
      </c>
      <c r="Z47" t="s">
        <v>48</v>
      </c>
      <c r="AA47" s="10">
        <f>IF(O47&lt;=1,7,7+0.8*ROUNDUP(O47-1,0))</f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0.42</v>
      </c>
      <c r="AG47" s="11">
        <f t="shared" si="1"/>
        <v>7.42</v>
      </c>
      <c r="AH47" t="s">
        <v>49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220</v>
      </c>
      <c r="G48" t="s">
        <v>37</v>
      </c>
      <c r="H48" t="s">
        <v>38</v>
      </c>
      <c r="I48" t="s">
        <v>221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1</v>
      </c>
      <c r="P48" s="8">
        <v>45247.498622685183</v>
      </c>
      <c r="Q48" s="9">
        <v>45248</v>
      </c>
      <c r="R48" t="s">
        <v>37</v>
      </c>
      <c r="S48" t="s">
        <v>44</v>
      </c>
      <c r="T48" t="s">
        <v>145</v>
      </c>
      <c r="U48" t="s">
        <v>57</v>
      </c>
      <c r="V48" t="s">
        <v>222</v>
      </c>
      <c r="W48">
        <v>42200</v>
      </c>
      <c r="X48" t="s">
        <v>44</v>
      </c>
      <c r="Y48" t="s">
        <v>223</v>
      </c>
      <c r="Z48" t="s">
        <v>48</v>
      </c>
      <c r="AA48" s="10">
        <f>IF(O48&lt;=1,7,7+0.8*ROUNDUP(O48-1,0))</f>
        <v>7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0.42</v>
      </c>
      <c r="AG48" s="11">
        <f t="shared" si="1"/>
        <v>7.42</v>
      </c>
      <c r="AH48" t="s">
        <v>49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224</v>
      </c>
      <c r="G49" t="s">
        <v>37</v>
      </c>
      <c r="H49" t="s">
        <v>38</v>
      </c>
      <c r="I49" t="s">
        <v>225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45244.597175925926</v>
      </c>
      <c r="Q49" s="9">
        <v>45248</v>
      </c>
      <c r="R49" t="s">
        <v>37</v>
      </c>
      <c r="S49" t="s">
        <v>44</v>
      </c>
      <c r="T49" t="s">
        <v>45</v>
      </c>
      <c r="U49" t="s">
        <v>226</v>
      </c>
      <c r="V49" t="s">
        <v>227</v>
      </c>
      <c r="W49">
        <v>89000</v>
      </c>
      <c r="X49" t="s">
        <v>228</v>
      </c>
      <c r="Y49" t="s">
        <v>63</v>
      </c>
      <c r="Z49" t="s">
        <v>48</v>
      </c>
      <c r="AA49" s="12">
        <f>IF(O49&lt;=1,13,IF(O49&lt;=2,23,IF(O49&lt;=3,35,IF(O49&lt;=4,43,IF(O49&lt;=5,53,IF(O49&lt;=6,63,IF(O49&lt;=7,71,IF(O49&lt;=8,79,IF(O49&lt;=9,87,IF(O49&lt;=10,95,IF(O49&lt;=11,105,IF(O49&lt;=12,114,IF(O49&lt;=13,119,IF(O49&lt;=14,127,IF(O49&lt;=15,135,IF(O49&lt;=16,143,IF(O49&lt;=17,153,IF(O49&lt;=18,163,IF(O49&lt;=19,171,IF(O49&lt;=20,185,IF(O49&lt;=21,193,IF(O49&lt;=22,201,IF(O49&lt;=23,210,IF(O49&lt;=24,220,IF(O49&lt;=25,230,IF(O49&lt;=26,240,IF(O49&lt;=27,250,IF(O49&lt;=28,260,IF(O49&lt;=29,270,IF(O49&lt;=30,280,280+10*ROUNDUP(O49-30,0)))))))))))))))))))))))))))))))</f>
        <v>13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0.78</v>
      </c>
      <c r="AG49" s="11">
        <f t="shared" si="1"/>
        <v>13.78</v>
      </c>
      <c r="AH49" t="s">
        <v>229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230</v>
      </c>
      <c r="G50" t="s">
        <v>37</v>
      </c>
      <c r="H50" t="s">
        <v>38</v>
      </c>
      <c r="I50" t="s">
        <v>231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1</v>
      </c>
      <c r="P50" s="8">
        <v>45243.720185185186</v>
      </c>
      <c r="Q50" s="9">
        <v>45248</v>
      </c>
      <c r="R50" t="s">
        <v>37</v>
      </c>
      <c r="S50" t="s">
        <v>44</v>
      </c>
      <c r="T50" t="s">
        <v>45</v>
      </c>
      <c r="U50" t="s">
        <v>232</v>
      </c>
      <c r="V50" t="s">
        <v>233</v>
      </c>
      <c r="W50">
        <v>98700</v>
      </c>
      <c r="X50" t="s">
        <v>228</v>
      </c>
      <c r="Y50" t="s">
        <v>63</v>
      </c>
      <c r="Z50" t="s">
        <v>48</v>
      </c>
      <c r="AA50" s="12">
        <f>IF(O50&lt;=1,13,IF(O50&lt;=2,23,IF(O50&lt;=3,35,IF(O50&lt;=4,43,IF(O50&lt;=5,53,IF(O50&lt;=6,63,IF(O50&lt;=7,71,IF(O50&lt;=8,79,IF(O50&lt;=9,87,IF(O50&lt;=10,95,IF(O50&lt;=11,105,IF(O50&lt;=12,114,IF(O50&lt;=13,119,IF(O50&lt;=14,127,IF(O50&lt;=15,135,IF(O50&lt;=16,143,IF(O50&lt;=17,153,IF(O50&lt;=18,163,IF(O50&lt;=19,171,IF(O50&lt;=20,185,IF(O50&lt;=21,193,IF(O50&lt;=22,201,IF(O50&lt;=23,210,IF(O50&lt;=24,220,IF(O50&lt;=25,230,IF(O50&lt;=26,240,IF(O50&lt;=27,250,IF(O50&lt;=28,260,IF(O50&lt;=29,270,IF(O50&lt;=30,280,280+10*ROUNDUP(O50-30,0)))))))))))))))))))))))))))))))</f>
        <v>13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0.78</v>
      </c>
      <c r="AG50" s="11">
        <f t="shared" si="1"/>
        <v>13.78</v>
      </c>
      <c r="AH50" t="s">
        <v>229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234</v>
      </c>
      <c r="G51" t="s">
        <v>37</v>
      </c>
      <c r="H51" t="s">
        <v>38</v>
      </c>
      <c r="I51" t="s">
        <v>235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</v>
      </c>
      <c r="P51" s="8">
        <v>45246.830625000002</v>
      </c>
      <c r="Q51" s="9">
        <v>45249</v>
      </c>
      <c r="R51" t="s">
        <v>37</v>
      </c>
      <c r="S51" t="s">
        <v>44</v>
      </c>
      <c r="T51" t="s">
        <v>145</v>
      </c>
      <c r="U51" t="s">
        <v>236</v>
      </c>
      <c r="V51" t="s">
        <v>237</v>
      </c>
      <c r="W51">
        <v>6700</v>
      </c>
      <c r="X51" t="s">
        <v>44</v>
      </c>
      <c r="Y51" t="s">
        <v>238</v>
      </c>
      <c r="Z51" t="s">
        <v>48</v>
      </c>
      <c r="AA51" s="10">
        <f>IF(O51&lt;=1,7,7+0.8*ROUNDUP(O51-1,0))</f>
        <v>7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0.42</v>
      </c>
      <c r="AG51" s="11">
        <f t="shared" si="1"/>
        <v>7.42</v>
      </c>
      <c r="AH51" t="s">
        <v>49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239</v>
      </c>
      <c r="G52" t="s">
        <v>37</v>
      </c>
      <c r="H52" t="s">
        <v>38</v>
      </c>
      <c r="I52" t="s">
        <v>240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2</v>
      </c>
      <c r="P52" s="8">
        <v>45246.724745370368</v>
      </c>
      <c r="Q52" s="9">
        <v>45249</v>
      </c>
      <c r="R52" t="s">
        <v>37</v>
      </c>
      <c r="S52" t="s">
        <v>44</v>
      </c>
      <c r="T52" t="s">
        <v>45</v>
      </c>
      <c r="U52" t="s">
        <v>70</v>
      </c>
      <c r="V52" t="s">
        <v>241</v>
      </c>
      <c r="W52">
        <v>75450</v>
      </c>
      <c r="X52" t="s">
        <v>44</v>
      </c>
      <c r="Y52" t="s">
        <v>242</v>
      </c>
      <c r="Z52" t="s">
        <v>48</v>
      </c>
      <c r="AA52" s="10">
        <f>IF(O52&lt;=1,7,7+0.8*ROUNDUP(O52-1,0))</f>
        <v>7.8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0.46799999999999997</v>
      </c>
      <c r="AG52" s="11">
        <f t="shared" si="1"/>
        <v>8.2680000000000007</v>
      </c>
      <c r="AH52" t="s">
        <v>49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243</v>
      </c>
      <c r="G53" t="s">
        <v>37</v>
      </c>
      <c r="H53" t="s">
        <v>38</v>
      </c>
      <c r="I53" t="s">
        <v>244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10</v>
      </c>
      <c r="P53" s="8">
        <v>45246.697245370371</v>
      </c>
      <c r="Q53" s="9">
        <v>45249</v>
      </c>
      <c r="R53" t="s">
        <v>37</v>
      </c>
      <c r="S53" t="s">
        <v>44</v>
      </c>
      <c r="T53" t="s">
        <v>45</v>
      </c>
      <c r="U53" t="s">
        <v>46</v>
      </c>
      <c r="V53" t="s">
        <v>245</v>
      </c>
      <c r="W53">
        <v>39100</v>
      </c>
      <c r="X53" t="s">
        <v>44</v>
      </c>
      <c r="Y53" t="s">
        <v>246</v>
      </c>
      <c r="Z53" t="s">
        <v>48</v>
      </c>
      <c r="AA53" s="10">
        <f>IF(O53&lt;=1,7,7+0.8*ROUNDUP(O53-1,0))</f>
        <v>14.2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0.85199999999999998</v>
      </c>
      <c r="AG53" s="11">
        <f t="shared" si="1"/>
        <v>15.052</v>
      </c>
      <c r="AH53" t="s">
        <v>49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247</v>
      </c>
      <c r="G54" t="s">
        <v>37</v>
      </c>
      <c r="H54" t="s">
        <v>38</v>
      </c>
      <c r="I54" t="s">
        <v>248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45247.7109837963</v>
      </c>
      <c r="Q54" s="9">
        <v>45249</v>
      </c>
      <c r="R54" t="s">
        <v>37</v>
      </c>
      <c r="S54" t="s">
        <v>44</v>
      </c>
      <c r="T54" t="s">
        <v>45</v>
      </c>
      <c r="U54" t="s">
        <v>57</v>
      </c>
      <c r="V54" t="s">
        <v>249</v>
      </c>
      <c r="W54">
        <v>43000</v>
      </c>
      <c r="X54" t="s">
        <v>44</v>
      </c>
      <c r="Y54" t="s">
        <v>250</v>
      </c>
      <c r="Z54" t="s">
        <v>48</v>
      </c>
      <c r="AA54" s="10">
        <f>IF(O54&lt;=1,7,7+0.8*ROUNDUP(O54-1,0))</f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t="s">
        <v>49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251</v>
      </c>
      <c r="G55" t="s">
        <v>37</v>
      </c>
      <c r="H55" t="s">
        <v>38</v>
      </c>
      <c r="I55" t="s">
        <v>252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45244.769675925927</v>
      </c>
      <c r="Q55" s="9">
        <v>45250</v>
      </c>
      <c r="R55" t="s">
        <v>37</v>
      </c>
      <c r="S55" t="s">
        <v>44</v>
      </c>
      <c r="T55" t="s">
        <v>63</v>
      </c>
      <c r="U55" t="s">
        <v>232</v>
      </c>
      <c r="V55" t="s">
        <v>253</v>
      </c>
      <c r="W55">
        <v>98000</v>
      </c>
      <c r="X55" t="s">
        <v>228</v>
      </c>
      <c r="Y55" t="s">
        <v>63</v>
      </c>
      <c r="Z55" t="s">
        <v>48</v>
      </c>
      <c r="AA55" s="12">
        <f>IF(O55&lt;=1,13,IF(O55&lt;=2,23,IF(O55&lt;=3,35,IF(O55&lt;=4,43,IF(O55&lt;=5,53,IF(O55&lt;=6,63,IF(O55&lt;=7,71,IF(O55&lt;=8,79,IF(O55&lt;=9,87,IF(O55&lt;=10,95,IF(O55&lt;=11,105,IF(O55&lt;=12,114,IF(O55&lt;=13,119,IF(O55&lt;=14,127,IF(O55&lt;=15,135,IF(O55&lt;=16,143,IF(O55&lt;=17,153,IF(O55&lt;=18,163,IF(O55&lt;=19,171,IF(O55&lt;=20,185,IF(O55&lt;=21,193,IF(O55&lt;=22,201,IF(O55&lt;=23,210,IF(O55&lt;=24,220,IF(O55&lt;=25,230,IF(O55&lt;=26,240,IF(O55&lt;=27,250,IF(O55&lt;=28,260,IF(O55&lt;=29,270,IF(O55&lt;=30,280,280+10*ROUNDUP(O55-30,0)))))))))))))))))))))))))))))))</f>
        <v>13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0.78</v>
      </c>
      <c r="AG55" s="11">
        <f t="shared" si="1"/>
        <v>13.78</v>
      </c>
      <c r="AH55" t="s">
        <v>229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254</v>
      </c>
      <c r="G56" t="s">
        <v>37</v>
      </c>
      <c r="H56" t="s">
        <v>38</v>
      </c>
      <c r="I56" t="s">
        <v>255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1</v>
      </c>
      <c r="P56" s="8">
        <v>45248.511076388888</v>
      </c>
      <c r="Q56" s="9">
        <v>45250</v>
      </c>
      <c r="R56" t="s">
        <v>37</v>
      </c>
      <c r="S56" t="s">
        <v>44</v>
      </c>
      <c r="T56" t="s">
        <v>63</v>
      </c>
      <c r="U56" t="s">
        <v>57</v>
      </c>
      <c r="V56" t="s">
        <v>256</v>
      </c>
      <c r="W56">
        <v>43900</v>
      </c>
      <c r="X56" t="s">
        <v>44</v>
      </c>
      <c r="Y56" t="s">
        <v>181</v>
      </c>
      <c r="Z56" t="s">
        <v>48</v>
      </c>
      <c r="AA56" s="10">
        <f>IF(O56&lt;=1,7,7+0.8*ROUNDUP(O56-1,0))</f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t="s">
        <v>49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257</v>
      </c>
      <c r="G57" t="s">
        <v>37</v>
      </c>
      <c r="H57" t="s">
        <v>38</v>
      </c>
      <c r="I57" t="s">
        <v>258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1</v>
      </c>
      <c r="P57" s="8">
        <v>45249.725995370369</v>
      </c>
      <c r="Q57" s="9">
        <v>45250</v>
      </c>
      <c r="R57" t="s">
        <v>37</v>
      </c>
      <c r="S57" t="s">
        <v>44</v>
      </c>
      <c r="T57" t="s">
        <v>45</v>
      </c>
      <c r="U57" t="s">
        <v>128</v>
      </c>
      <c r="V57" t="s">
        <v>259</v>
      </c>
      <c r="W57">
        <v>70400</v>
      </c>
      <c r="X57" t="s">
        <v>44</v>
      </c>
      <c r="Y57" t="s">
        <v>63</v>
      </c>
      <c r="Z57" t="s">
        <v>48</v>
      </c>
      <c r="AA57" s="10">
        <f>IF(O57&lt;=1,7,7+0.8*ROUNDUP(O57-1,0))</f>
        <v>7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t="s">
        <v>49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260</v>
      </c>
      <c r="G58" t="s">
        <v>37</v>
      </c>
      <c r="H58" t="s">
        <v>38</v>
      </c>
      <c r="I58" t="s">
        <v>261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4</v>
      </c>
      <c r="P58" s="8">
        <v>45247.7109837963</v>
      </c>
      <c r="Q58" s="9">
        <v>45250</v>
      </c>
      <c r="R58" t="s">
        <v>37</v>
      </c>
      <c r="S58" t="s">
        <v>44</v>
      </c>
      <c r="T58" t="s">
        <v>45</v>
      </c>
      <c r="U58" t="s">
        <v>70</v>
      </c>
      <c r="V58" t="s">
        <v>262</v>
      </c>
      <c r="W58">
        <v>76450</v>
      </c>
      <c r="X58" t="s">
        <v>44</v>
      </c>
      <c r="Y58" t="s">
        <v>76</v>
      </c>
      <c r="Z58" t="s">
        <v>48</v>
      </c>
      <c r="AA58" s="10">
        <f>IF(O58&lt;=1,7,7+0.8*ROUNDUP(O58-1,0))</f>
        <v>9.4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0.56399999999999995</v>
      </c>
      <c r="AG58" s="11">
        <f t="shared" si="1"/>
        <v>9.9640000000000004</v>
      </c>
      <c r="AH58" t="s">
        <v>49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263</v>
      </c>
      <c r="G59" t="s">
        <v>37</v>
      </c>
      <c r="H59" t="s">
        <v>38</v>
      </c>
      <c r="I59" t="s">
        <v>264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1</v>
      </c>
      <c r="P59" s="8">
        <v>45248.487569444442</v>
      </c>
      <c r="Q59" s="9">
        <v>45250</v>
      </c>
      <c r="R59" t="s">
        <v>37</v>
      </c>
      <c r="S59" t="s">
        <v>44</v>
      </c>
      <c r="T59" t="s">
        <v>63</v>
      </c>
      <c r="U59" t="s">
        <v>187</v>
      </c>
      <c r="V59" t="s">
        <v>265</v>
      </c>
      <c r="W59">
        <v>31250</v>
      </c>
      <c r="X59" t="s">
        <v>44</v>
      </c>
      <c r="Y59" t="s">
        <v>266</v>
      </c>
      <c r="Z59" t="s">
        <v>48</v>
      </c>
      <c r="AA59" s="10">
        <f>IF(O59&lt;=1,7,7+0.8*ROUNDUP(O59-1,0))</f>
        <v>7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0.42</v>
      </c>
      <c r="AG59" s="11">
        <f t="shared" si="1"/>
        <v>7.42</v>
      </c>
      <c r="AH59" t="s">
        <v>49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267</v>
      </c>
      <c r="G60" t="s">
        <v>37</v>
      </c>
      <c r="H60" t="s">
        <v>38</v>
      </c>
      <c r="I60" t="s">
        <v>268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45248.559791666667</v>
      </c>
      <c r="Q60" s="9">
        <v>45250</v>
      </c>
      <c r="R60" t="s">
        <v>37</v>
      </c>
      <c r="S60" t="s">
        <v>44</v>
      </c>
      <c r="T60" t="s">
        <v>63</v>
      </c>
      <c r="U60" t="s">
        <v>156</v>
      </c>
      <c r="V60" t="s">
        <v>269</v>
      </c>
      <c r="W60">
        <v>16800</v>
      </c>
      <c r="X60" t="s">
        <v>44</v>
      </c>
      <c r="Y60" t="s">
        <v>202</v>
      </c>
      <c r="Z60" t="s">
        <v>48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0.42</v>
      </c>
      <c r="AG60" s="11">
        <f t="shared" si="1"/>
        <v>7.42</v>
      </c>
      <c r="AH60" t="s">
        <v>49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270</v>
      </c>
      <c r="G61" t="s">
        <v>37</v>
      </c>
      <c r="H61" t="s">
        <v>38</v>
      </c>
      <c r="I61" t="s">
        <v>271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</v>
      </c>
      <c r="P61" s="8">
        <v>45247.619398148148</v>
      </c>
      <c r="Q61" s="9">
        <v>45250</v>
      </c>
      <c r="R61" t="s">
        <v>37</v>
      </c>
      <c r="S61" t="s">
        <v>44</v>
      </c>
      <c r="T61" t="s">
        <v>63</v>
      </c>
      <c r="U61" t="s">
        <v>52</v>
      </c>
      <c r="V61" t="s">
        <v>272</v>
      </c>
      <c r="W61">
        <v>21030</v>
      </c>
      <c r="X61" t="s">
        <v>44</v>
      </c>
      <c r="Y61" t="s">
        <v>273</v>
      </c>
      <c r="Z61" t="s">
        <v>48</v>
      </c>
      <c r="AA61" s="10">
        <f>IF(O61&lt;=1,7,7+0.8*ROUNDUP(O61-1,0))</f>
        <v>7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0.42</v>
      </c>
      <c r="AG61" s="11">
        <f t="shared" si="1"/>
        <v>7.42</v>
      </c>
      <c r="AH61" t="s">
        <v>49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274</v>
      </c>
      <c r="G62" t="s">
        <v>37</v>
      </c>
      <c r="H62" t="s">
        <v>38</v>
      </c>
      <c r="I62" t="s">
        <v>275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1</v>
      </c>
      <c r="P62" s="8">
        <v>45249.767083333332</v>
      </c>
      <c r="Q62" s="9">
        <v>45250</v>
      </c>
      <c r="R62" t="s">
        <v>37</v>
      </c>
      <c r="S62" t="s">
        <v>44</v>
      </c>
      <c r="T62" t="s">
        <v>45</v>
      </c>
      <c r="U62" t="s">
        <v>57</v>
      </c>
      <c r="V62" t="s">
        <v>276</v>
      </c>
      <c r="W62">
        <v>40150</v>
      </c>
      <c r="X62" t="s">
        <v>44</v>
      </c>
      <c r="Y62" t="s">
        <v>59</v>
      </c>
      <c r="Z62" t="s">
        <v>48</v>
      </c>
      <c r="AA62" s="10">
        <f>IF(O62&lt;=1,7,7+0.8*ROUNDUP(O62-1,0))</f>
        <v>7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0.42</v>
      </c>
      <c r="AG62" s="11">
        <f t="shared" si="1"/>
        <v>7.42</v>
      </c>
      <c r="AH62" t="s">
        <v>49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277</v>
      </c>
      <c r="G63" t="s">
        <v>37</v>
      </c>
      <c r="H63" t="s">
        <v>38</v>
      </c>
      <c r="I63" t="s">
        <v>278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</v>
      </c>
      <c r="P63" s="8">
        <v>45247.703564814816</v>
      </c>
      <c r="Q63" s="9">
        <v>45250</v>
      </c>
      <c r="R63" t="s">
        <v>37</v>
      </c>
      <c r="S63" t="s">
        <v>44</v>
      </c>
      <c r="T63" t="s">
        <v>63</v>
      </c>
      <c r="U63" t="s">
        <v>57</v>
      </c>
      <c r="V63" t="s">
        <v>279</v>
      </c>
      <c r="W63">
        <v>53100</v>
      </c>
      <c r="X63" t="s">
        <v>44</v>
      </c>
      <c r="Y63" t="s">
        <v>164</v>
      </c>
      <c r="Z63" t="s">
        <v>48</v>
      </c>
      <c r="AA63" s="10">
        <f>IF(O63&lt;=1,7,7+0.8*ROUNDUP(O63-1,0))</f>
        <v>7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0.42</v>
      </c>
      <c r="AG63" s="11">
        <f t="shared" si="1"/>
        <v>7.42</v>
      </c>
      <c r="AH63" t="s">
        <v>49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280</v>
      </c>
      <c r="G64" t="s">
        <v>37</v>
      </c>
      <c r="H64" t="s">
        <v>38</v>
      </c>
      <c r="I64" t="s">
        <v>281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45247.723993055559</v>
      </c>
      <c r="Q64" s="9">
        <v>45250</v>
      </c>
      <c r="R64" t="s">
        <v>37</v>
      </c>
      <c r="S64" t="s">
        <v>44</v>
      </c>
      <c r="T64" t="s">
        <v>63</v>
      </c>
      <c r="U64" t="s">
        <v>46</v>
      </c>
      <c r="V64" t="s">
        <v>282</v>
      </c>
      <c r="W64">
        <v>27100</v>
      </c>
      <c r="X64" t="s">
        <v>44</v>
      </c>
      <c r="Y64" t="s">
        <v>283</v>
      </c>
      <c r="Z64" t="s">
        <v>48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0.42</v>
      </c>
      <c r="AG64" s="11">
        <f t="shared" si="1"/>
        <v>7.42</v>
      </c>
      <c r="AH64" t="s">
        <v>49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284</v>
      </c>
      <c r="G65" t="s">
        <v>37</v>
      </c>
      <c r="H65" t="s">
        <v>38</v>
      </c>
      <c r="I65" t="s">
        <v>285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1</v>
      </c>
      <c r="P65" s="8">
        <v>45247.619398148148</v>
      </c>
      <c r="Q65" s="9">
        <v>45250</v>
      </c>
      <c r="R65" t="s">
        <v>37</v>
      </c>
      <c r="S65" t="s">
        <v>44</v>
      </c>
      <c r="T65" t="s">
        <v>63</v>
      </c>
      <c r="U65" t="s">
        <v>57</v>
      </c>
      <c r="V65" t="s">
        <v>286</v>
      </c>
      <c r="W65">
        <v>43500</v>
      </c>
      <c r="X65" t="s">
        <v>44</v>
      </c>
      <c r="Y65" t="s">
        <v>63</v>
      </c>
      <c r="Z65" t="s">
        <v>48</v>
      </c>
      <c r="AA65" s="10">
        <f>IF(O65&lt;=1,7,7+0.8*ROUNDUP(O65-1,0))</f>
        <v>7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0.42</v>
      </c>
      <c r="AG65" s="11">
        <f t="shared" si="1"/>
        <v>7.42</v>
      </c>
      <c r="AH65" t="s">
        <v>49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287</v>
      </c>
      <c r="G66" t="s">
        <v>37</v>
      </c>
      <c r="H66" t="s">
        <v>38</v>
      </c>
      <c r="I66" t="s">
        <v>288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45248.727731481478</v>
      </c>
      <c r="Q66" s="9">
        <v>45250</v>
      </c>
      <c r="R66" t="s">
        <v>37</v>
      </c>
      <c r="S66" t="s">
        <v>44</v>
      </c>
      <c r="T66" t="s">
        <v>63</v>
      </c>
      <c r="U66" t="s">
        <v>156</v>
      </c>
      <c r="V66" t="s">
        <v>289</v>
      </c>
      <c r="W66">
        <v>15100</v>
      </c>
      <c r="X66" t="s">
        <v>44</v>
      </c>
      <c r="Y66" t="s">
        <v>290</v>
      </c>
      <c r="Z66" t="s">
        <v>48</v>
      </c>
      <c r="AA66" s="10">
        <f>IF(O66&lt;=1,7,7+0.8*ROUNDUP(O66-1,0))</f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2">(AA66+AC66+AE66)*6%</f>
        <v>0.42</v>
      </c>
      <c r="AG66" s="11">
        <f t="shared" ref="AG66:AG129" si="3">AA66+AC66+AE66+AF66</f>
        <v>7.42</v>
      </c>
      <c r="AH66" t="s">
        <v>49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291</v>
      </c>
      <c r="G67" t="s">
        <v>37</v>
      </c>
      <c r="H67" t="s">
        <v>38</v>
      </c>
      <c r="I67" t="s">
        <v>292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1</v>
      </c>
      <c r="P67" s="8">
        <v>45248.539363425924</v>
      </c>
      <c r="Q67" s="9">
        <v>45250</v>
      </c>
      <c r="R67" t="s">
        <v>37</v>
      </c>
      <c r="S67" t="s">
        <v>44</v>
      </c>
      <c r="T67" t="s">
        <v>63</v>
      </c>
      <c r="U67" t="s">
        <v>119</v>
      </c>
      <c r="V67" t="s">
        <v>293</v>
      </c>
      <c r="W67">
        <v>14000</v>
      </c>
      <c r="X67" t="s">
        <v>44</v>
      </c>
      <c r="Y67" t="s">
        <v>294</v>
      </c>
      <c r="Z67" t="s">
        <v>48</v>
      </c>
      <c r="AA67" s="10">
        <f>IF(O67&lt;=1,7,7+0.8*ROUNDUP(O67-1,0))</f>
        <v>7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0.42</v>
      </c>
      <c r="AG67" s="11">
        <f t="shared" si="3"/>
        <v>7.42</v>
      </c>
      <c r="AH67" t="s">
        <v>49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295</v>
      </c>
      <c r="G68" t="s">
        <v>37</v>
      </c>
      <c r="H68" t="s">
        <v>38</v>
      </c>
      <c r="I68" t="s">
        <v>296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45246.424097222225</v>
      </c>
      <c r="Q68" s="9">
        <v>45250</v>
      </c>
      <c r="R68" t="s">
        <v>37</v>
      </c>
      <c r="S68" t="s">
        <v>44</v>
      </c>
      <c r="T68" t="s">
        <v>45</v>
      </c>
      <c r="U68" t="s">
        <v>57</v>
      </c>
      <c r="V68" t="s">
        <v>297</v>
      </c>
      <c r="W68">
        <v>42000</v>
      </c>
      <c r="X68" t="s">
        <v>44</v>
      </c>
      <c r="Y68" t="s">
        <v>63</v>
      </c>
      <c r="Z68" t="s">
        <v>48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49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298</v>
      </c>
      <c r="G69" t="s">
        <v>37</v>
      </c>
      <c r="H69" t="s">
        <v>38</v>
      </c>
      <c r="I69" t="s">
        <v>299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1</v>
      </c>
      <c r="P69" s="8">
        <v>45245.816932870373</v>
      </c>
      <c r="Q69" s="9">
        <v>45250</v>
      </c>
      <c r="R69" t="s">
        <v>37</v>
      </c>
      <c r="S69" t="s">
        <v>44</v>
      </c>
      <c r="T69" t="s">
        <v>45</v>
      </c>
      <c r="U69" t="s">
        <v>70</v>
      </c>
      <c r="V69" t="s">
        <v>300</v>
      </c>
      <c r="W69">
        <v>75450</v>
      </c>
      <c r="X69" t="s">
        <v>44</v>
      </c>
      <c r="Y69" t="s">
        <v>242</v>
      </c>
      <c r="Z69" t="s">
        <v>48</v>
      </c>
      <c r="AA69" s="10">
        <f>IF(O69&lt;=1,7,7+0.8*ROUNDUP(O69-1,0))</f>
        <v>7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0.42</v>
      </c>
      <c r="AG69" s="11">
        <f t="shared" si="3"/>
        <v>7.42</v>
      </c>
      <c r="AH69" t="s">
        <v>49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301</v>
      </c>
      <c r="G70" t="s">
        <v>37</v>
      </c>
      <c r="H70" t="s">
        <v>38</v>
      </c>
      <c r="I70" t="s">
        <v>302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2</v>
      </c>
      <c r="P70" s="8">
        <v>45248.487569444442</v>
      </c>
      <c r="Q70" s="9">
        <v>45250</v>
      </c>
      <c r="R70" t="s">
        <v>37</v>
      </c>
      <c r="S70" t="s">
        <v>44</v>
      </c>
      <c r="T70" t="s">
        <v>63</v>
      </c>
      <c r="U70" t="s">
        <v>119</v>
      </c>
      <c r="V70" t="s">
        <v>303</v>
      </c>
      <c r="W70">
        <v>13600</v>
      </c>
      <c r="X70" t="s">
        <v>44</v>
      </c>
      <c r="Y70" t="s">
        <v>294</v>
      </c>
      <c r="Z70" t="s">
        <v>48</v>
      </c>
      <c r="AA70" s="10">
        <f>IF(O70&lt;=1,7,7+0.8*ROUNDUP(O70-1,0))</f>
        <v>7.8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0.46799999999999997</v>
      </c>
      <c r="AG70" s="11">
        <f t="shared" si="3"/>
        <v>8.2680000000000007</v>
      </c>
      <c r="AH70" t="s">
        <v>49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304</v>
      </c>
      <c r="G71" t="s">
        <v>37</v>
      </c>
      <c r="H71" t="s">
        <v>38</v>
      </c>
      <c r="I71" t="s">
        <v>305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45248.497303240743</v>
      </c>
      <c r="Q71" s="9">
        <v>45250</v>
      </c>
      <c r="R71" t="s">
        <v>37</v>
      </c>
      <c r="S71" t="s">
        <v>44</v>
      </c>
      <c r="T71" t="s">
        <v>63</v>
      </c>
      <c r="U71" t="s">
        <v>128</v>
      </c>
      <c r="V71" t="s">
        <v>306</v>
      </c>
      <c r="W71">
        <v>71800</v>
      </c>
      <c r="X71" t="s">
        <v>44</v>
      </c>
      <c r="Y71" t="s">
        <v>63</v>
      </c>
      <c r="Z71" t="s">
        <v>48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49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307</v>
      </c>
      <c r="G72" t="s">
        <v>37</v>
      </c>
      <c r="H72" t="s">
        <v>38</v>
      </c>
      <c r="I72" t="s">
        <v>308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45249.712488425925</v>
      </c>
      <c r="Q72" s="9">
        <v>45250</v>
      </c>
      <c r="R72" t="s">
        <v>37</v>
      </c>
      <c r="S72" t="s">
        <v>44</v>
      </c>
      <c r="T72" t="s">
        <v>45</v>
      </c>
      <c r="U72" t="s">
        <v>156</v>
      </c>
      <c r="V72" t="s">
        <v>309</v>
      </c>
      <c r="W72">
        <v>17200</v>
      </c>
      <c r="X72" t="s">
        <v>44</v>
      </c>
      <c r="Y72" t="s">
        <v>145</v>
      </c>
      <c r="Z72" t="s">
        <v>48</v>
      </c>
      <c r="AA72" s="10">
        <f>IF(O72&lt;=1,7,7+0.8*ROUNDUP(O72-1,0))</f>
        <v>7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0.42</v>
      </c>
      <c r="AG72" s="11">
        <f t="shared" si="3"/>
        <v>7.42</v>
      </c>
      <c r="AH72" t="s">
        <v>49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310</v>
      </c>
      <c r="G73" t="s">
        <v>37</v>
      </c>
      <c r="H73" t="s">
        <v>38</v>
      </c>
      <c r="I73" t="s">
        <v>311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45246.813240740739</v>
      </c>
      <c r="Q73" s="9">
        <v>45250</v>
      </c>
      <c r="R73" t="s">
        <v>37</v>
      </c>
      <c r="S73" t="s">
        <v>44</v>
      </c>
      <c r="T73" t="s">
        <v>145</v>
      </c>
      <c r="U73" t="s">
        <v>66</v>
      </c>
      <c r="V73" t="s">
        <v>312</v>
      </c>
      <c r="W73">
        <v>56100</v>
      </c>
      <c r="X73" t="s">
        <v>44</v>
      </c>
      <c r="Y73" t="s">
        <v>63</v>
      </c>
      <c r="Z73" t="s">
        <v>48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49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313</v>
      </c>
      <c r="G74" t="s">
        <v>37</v>
      </c>
      <c r="H74" t="s">
        <v>38</v>
      </c>
      <c r="I74" t="s">
        <v>314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45245.632881944446</v>
      </c>
      <c r="Q74" s="9">
        <v>45250</v>
      </c>
      <c r="R74" t="s">
        <v>37</v>
      </c>
      <c r="S74" t="s">
        <v>44</v>
      </c>
      <c r="T74" t="s">
        <v>63</v>
      </c>
      <c r="U74" t="s">
        <v>66</v>
      </c>
      <c r="V74" t="s">
        <v>315</v>
      </c>
      <c r="W74">
        <v>46200</v>
      </c>
      <c r="X74" t="s">
        <v>44</v>
      </c>
      <c r="Y74" t="s">
        <v>316</v>
      </c>
      <c r="Z74" t="s">
        <v>48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0.42</v>
      </c>
      <c r="AG74" s="11">
        <f t="shared" si="3"/>
        <v>7.42</v>
      </c>
      <c r="AH74" t="s">
        <v>49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317</v>
      </c>
      <c r="G75" t="s">
        <v>37</v>
      </c>
      <c r="H75" t="s">
        <v>38</v>
      </c>
      <c r="I75" t="s">
        <v>318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2</v>
      </c>
      <c r="P75" s="8">
        <v>45246.622395833336</v>
      </c>
      <c r="Q75" s="9">
        <v>45250</v>
      </c>
      <c r="R75" t="s">
        <v>37</v>
      </c>
      <c r="S75" t="s">
        <v>44</v>
      </c>
      <c r="T75" t="s">
        <v>45</v>
      </c>
      <c r="U75" t="s">
        <v>66</v>
      </c>
      <c r="V75" t="s">
        <v>319</v>
      </c>
      <c r="W75">
        <v>52100</v>
      </c>
      <c r="X75" t="s">
        <v>44</v>
      </c>
      <c r="Y75" t="s">
        <v>320</v>
      </c>
      <c r="Z75" t="s">
        <v>48</v>
      </c>
      <c r="AA75" s="10">
        <f>IF(O75&lt;=1,7,7+0.8*ROUNDUP(O75-1,0))</f>
        <v>7.8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0.46799999999999997</v>
      </c>
      <c r="AG75" s="11">
        <f t="shared" si="3"/>
        <v>8.2680000000000007</v>
      </c>
      <c r="AH75" t="s">
        <v>49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321</v>
      </c>
      <c r="G76" t="s">
        <v>37</v>
      </c>
      <c r="H76" t="s">
        <v>38</v>
      </c>
      <c r="I76" t="s">
        <v>322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1</v>
      </c>
      <c r="P76" s="8">
        <v>45248.691701388889</v>
      </c>
      <c r="Q76" s="9">
        <v>45250</v>
      </c>
      <c r="R76" t="s">
        <v>37</v>
      </c>
      <c r="S76" t="s">
        <v>44</v>
      </c>
      <c r="T76" t="s">
        <v>63</v>
      </c>
      <c r="U76" t="s">
        <v>128</v>
      </c>
      <c r="V76" t="s">
        <v>323</v>
      </c>
      <c r="W76">
        <v>71800</v>
      </c>
      <c r="X76" t="s">
        <v>44</v>
      </c>
      <c r="Y76" t="s">
        <v>63</v>
      </c>
      <c r="Z76" t="s">
        <v>48</v>
      </c>
      <c r="AA76" s="10">
        <f>IF(O76&lt;=1,7,7+0.8*ROUNDUP(O76-1,0))</f>
        <v>7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0.42</v>
      </c>
      <c r="AG76" s="11">
        <f t="shared" si="3"/>
        <v>7.42</v>
      </c>
      <c r="AH76" t="s">
        <v>49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324</v>
      </c>
      <c r="G77" t="s">
        <v>37</v>
      </c>
      <c r="H77" t="s">
        <v>38</v>
      </c>
      <c r="I77" t="s">
        <v>325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</v>
      </c>
      <c r="P77" s="8">
        <v>45248.6015162037</v>
      </c>
      <c r="Q77" s="9">
        <v>45250</v>
      </c>
      <c r="R77" t="s">
        <v>37</v>
      </c>
      <c r="S77" t="s">
        <v>44</v>
      </c>
      <c r="T77" t="s">
        <v>326</v>
      </c>
      <c r="U77" t="s">
        <v>70</v>
      </c>
      <c r="V77" t="s">
        <v>327</v>
      </c>
      <c r="W77">
        <v>75250</v>
      </c>
      <c r="X77" t="s">
        <v>44</v>
      </c>
      <c r="Y77" t="s">
        <v>63</v>
      </c>
      <c r="Z77" t="s">
        <v>48</v>
      </c>
      <c r="AA77" s="10">
        <f>IF(O77&lt;=1,7,7+0.8*ROUNDUP(O77-1,0))</f>
        <v>7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0.42</v>
      </c>
      <c r="AG77" s="11">
        <f t="shared" si="3"/>
        <v>7.42</v>
      </c>
      <c r="AH77" t="s">
        <v>49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328</v>
      </c>
      <c r="G78" t="s">
        <v>37</v>
      </c>
      <c r="H78" t="s">
        <v>38</v>
      </c>
      <c r="I78" t="s">
        <v>329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45248.817476851851</v>
      </c>
      <c r="Q78" s="9">
        <v>45250</v>
      </c>
      <c r="R78" t="s">
        <v>37</v>
      </c>
      <c r="S78" t="s">
        <v>44</v>
      </c>
      <c r="T78" t="s">
        <v>45</v>
      </c>
      <c r="U78" t="s">
        <v>156</v>
      </c>
      <c r="V78" t="s">
        <v>330</v>
      </c>
      <c r="W78">
        <v>16150</v>
      </c>
      <c r="X78" t="s">
        <v>44</v>
      </c>
      <c r="Y78" t="s">
        <v>145</v>
      </c>
      <c r="Z78" t="s">
        <v>48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0.42</v>
      </c>
      <c r="AG78" s="11">
        <f t="shared" si="3"/>
        <v>7.42</v>
      </c>
      <c r="AH78" t="s">
        <v>49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331</v>
      </c>
      <c r="G79" t="s">
        <v>37</v>
      </c>
      <c r="H79" t="s">
        <v>38</v>
      </c>
      <c r="I79" t="s">
        <v>332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1</v>
      </c>
      <c r="P79" s="8">
        <v>45248.707638888889</v>
      </c>
      <c r="Q79" s="9">
        <v>45250</v>
      </c>
      <c r="R79" t="s">
        <v>37</v>
      </c>
      <c r="S79" t="s">
        <v>44</v>
      </c>
      <c r="T79" t="s">
        <v>63</v>
      </c>
      <c r="U79" t="s">
        <v>119</v>
      </c>
      <c r="V79" t="s">
        <v>333</v>
      </c>
      <c r="W79">
        <v>10450</v>
      </c>
      <c r="X79" t="s">
        <v>44</v>
      </c>
      <c r="Y79" t="s">
        <v>63</v>
      </c>
      <c r="Z79" t="s">
        <v>48</v>
      </c>
      <c r="AA79" s="10">
        <f>IF(O79&lt;=1,7,7+0.8*ROUNDUP(O79-1,0))</f>
        <v>7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0.42</v>
      </c>
      <c r="AG79" s="11">
        <f t="shared" si="3"/>
        <v>7.42</v>
      </c>
      <c r="AH79" t="s">
        <v>49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334</v>
      </c>
      <c r="G80" t="s">
        <v>37</v>
      </c>
      <c r="H80" t="s">
        <v>38</v>
      </c>
      <c r="I80" t="s">
        <v>335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</v>
      </c>
      <c r="P80" s="8">
        <v>45249.756215277775</v>
      </c>
      <c r="Q80" s="9">
        <v>45250</v>
      </c>
      <c r="R80" t="s">
        <v>37</v>
      </c>
      <c r="S80" t="s">
        <v>44</v>
      </c>
      <c r="T80" t="s">
        <v>45</v>
      </c>
      <c r="U80" t="s">
        <v>57</v>
      </c>
      <c r="V80" t="s">
        <v>336</v>
      </c>
      <c r="W80">
        <v>42500</v>
      </c>
      <c r="X80" t="s">
        <v>44</v>
      </c>
      <c r="Y80" t="s">
        <v>337</v>
      </c>
      <c r="Z80" t="s">
        <v>48</v>
      </c>
      <c r="AA80" s="10">
        <f>IF(O80&lt;=1,7,7+0.8*ROUNDUP(O80-1,0))</f>
        <v>7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0.42</v>
      </c>
      <c r="AG80" s="11">
        <f t="shared" si="3"/>
        <v>7.42</v>
      </c>
      <c r="AH80" t="s">
        <v>49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338</v>
      </c>
      <c r="G81" t="s">
        <v>37</v>
      </c>
      <c r="H81" t="s">
        <v>38</v>
      </c>
      <c r="I81" t="s">
        <v>339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45248.663171296299</v>
      </c>
      <c r="Q81" s="9">
        <v>45250</v>
      </c>
      <c r="R81" t="s">
        <v>37</v>
      </c>
      <c r="S81" t="s">
        <v>44</v>
      </c>
      <c r="T81" t="s">
        <v>63</v>
      </c>
      <c r="U81" t="s">
        <v>57</v>
      </c>
      <c r="V81" t="s">
        <v>340</v>
      </c>
      <c r="W81">
        <v>43200</v>
      </c>
      <c r="X81" t="s">
        <v>44</v>
      </c>
      <c r="Y81" t="s">
        <v>250</v>
      </c>
      <c r="Z81" t="s">
        <v>48</v>
      </c>
      <c r="AA81" s="10">
        <f>IF(O81&lt;=1,7,7+0.8*ROUNDUP(O81-1,0))</f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0.42</v>
      </c>
      <c r="AG81" s="11">
        <f t="shared" si="3"/>
        <v>7.42</v>
      </c>
      <c r="AH81" t="s">
        <v>49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341</v>
      </c>
      <c r="G82" t="s">
        <v>37</v>
      </c>
      <c r="H82" t="s">
        <v>38</v>
      </c>
      <c r="I82" t="s">
        <v>342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1</v>
      </c>
      <c r="P82" s="8">
        <v>45248.716446759259</v>
      </c>
      <c r="Q82" s="9">
        <v>45250</v>
      </c>
      <c r="R82" t="s">
        <v>37</v>
      </c>
      <c r="S82" t="s">
        <v>44</v>
      </c>
      <c r="T82" t="s">
        <v>63</v>
      </c>
      <c r="U82" t="s">
        <v>52</v>
      </c>
      <c r="V82" t="s">
        <v>343</v>
      </c>
      <c r="W82">
        <v>24000</v>
      </c>
      <c r="X82" t="s">
        <v>44</v>
      </c>
      <c r="Y82" t="s">
        <v>54</v>
      </c>
      <c r="Z82" t="s">
        <v>48</v>
      </c>
      <c r="AA82" s="10">
        <f>IF(O82&lt;=1,7,7+0.8*ROUNDUP(O82-1,0))</f>
        <v>7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0.42</v>
      </c>
      <c r="AG82" s="11">
        <f t="shared" si="3"/>
        <v>7.42</v>
      </c>
      <c r="AH82" t="s">
        <v>49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344</v>
      </c>
      <c r="G83" t="s">
        <v>37</v>
      </c>
      <c r="H83" t="s">
        <v>38</v>
      </c>
      <c r="I83" t="s">
        <v>345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1</v>
      </c>
      <c r="P83" s="8">
        <v>45249.712488425925</v>
      </c>
      <c r="Q83" s="9">
        <v>45250</v>
      </c>
      <c r="R83" t="s">
        <v>37</v>
      </c>
      <c r="S83" t="s">
        <v>44</v>
      </c>
      <c r="T83" t="s">
        <v>45</v>
      </c>
      <c r="U83" t="s">
        <v>156</v>
      </c>
      <c r="V83" t="s">
        <v>346</v>
      </c>
      <c r="W83">
        <v>17500</v>
      </c>
      <c r="X83" t="s">
        <v>44</v>
      </c>
      <c r="Y83" t="s">
        <v>145</v>
      </c>
      <c r="Z83" t="s">
        <v>48</v>
      </c>
      <c r="AA83" s="10">
        <f>IF(O83&lt;=1,7,7+0.8*ROUNDUP(O83-1,0))</f>
        <v>7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0.42</v>
      </c>
      <c r="AG83" s="11">
        <f t="shared" si="3"/>
        <v>7.42</v>
      </c>
      <c r="AH83" t="s">
        <v>49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347</v>
      </c>
      <c r="G84" t="s">
        <v>37</v>
      </c>
      <c r="H84" t="s">
        <v>38</v>
      </c>
      <c r="I84" t="s">
        <v>348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2</v>
      </c>
      <c r="P84" s="8">
        <v>45249.725995370369</v>
      </c>
      <c r="Q84" s="9">
        <v>45250</v>
      </c>
      <c r="R84" t="s">
        <v>37</v>
      </c>
      <c r="S84" t="s">
        <v>44</v>
      </c>
      <c r="T84" t="s">
        <v>45</v>
      </c>
      <c r="U84" t="s">
        <v>156</v>
      </c>
      <c r="V84" t="s">
        <v>349</v>
      </c>
      <c r="W84">
        <v>16150</v>
      </c>
      <c r="X84" t="s">
        <v>44</v>
      </c>
      <c r="Y84" t="s">
        <v>290</v>
      </c>
      <c r="Z84" t="s">
        <v>48</v>
      </c>
      <c r="AA84" s="10">
        <f>IF(O84&lt;=1,7,7+0.8*ROUNDUP(O84-1,0))</f>
        <v>7.8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0.46799999999999997</v>
      </c>
      <c r="AG84" s="11">
        <f t="shared" si="3"/>
        <v>8.2680000000000007</v>
      </c>
      <c r="AH84" t="s">
        <v>49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350</v>
      </c>
      <c r="G85" t="s">
        <v>37</v>
      </c>
      <c r="H85" t="s">
        <v>38</v>
      </c>
      <c r="I85" t="s">
        <v>351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12</v>
      </c>
      <c r="P85" s="8">
        <v>45248.839224537034</v>
      </c>
      <c r="Q85" s="9">
        <v>45251</v>
      </c>
      <c r="R85" t="s">
        <v>37</v>
      </c>
      <c r="S85" t="s">
        <v>44</v>
      </c>
      <c r="T85" t="s">
        <v>45</v>
      </c>
      <c r="U85" t="s">
        <v>226</v>
      </c>
      <c r="V85" t="s">
        <v>352</v>
      </c>
      <c r="W85">
        <v>91207</v>
      </c>
      <c r="X85" t="s">
        <v>228</v>
      </c>
      <c r="Y85" t="s">
        <v>353</v>
      </c>
      <c r="Z85" t="s">
        <v>48</v>
      </c>
      <c r="AA85" s="12">
        <f>IF(O85&lt;=1,13,IF(O85&lt;=2,23,IF(O85&lt;=3,35,IF(O85&lt;=4,43,IF(O85&lt;=5,53,IF(O85&lt;=6,63,IF(O85&lt;=7,71,IF(O85&lt;=8,79,IF(O85&lt;=9,87,IF(O85&lt;=10,95,IF(O85&lt;=11,105,IF(O85&lt;=12,114,IF(O85&lt;=13,119,IF(O85&lt;=14,127,IF(O85&lt;=15,135,IF(O85&lt;=16,143,IF(O85&lt;=17,153,IF(O85&lt;=18,163,IF(O85&lt;=19,171,IF(O85&lt;=20,185,IF(O85&lt;=21,193,IF(O85&lt;=22,201,IF(O85&lt;=23,210,IF(O85&lt;=24,220,IF(O85&lt;=25,230,IF(O85&lt;=26,240,IF(O85&lt;=27,250,IF(O85&lt;=28,260,IF(O85&lt;=29,270,IF(O85&lt;=30,280,280+10*ROUNDUP(O85-30,0)))))))))))))))))))))))))))))))</f>
        <v>114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6.84</v>
      </c>
      <c r="AG85" s="11">
        <f t="shared" si="3"/>
        <v>120.84</v>
      </c>
      <c r="AH85" t="s">
        <v>229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354</v>
      </c>
      <c r="G86" t="s">
        <v>37</v>
      </c>
      <c r="H86" t="s">
        <v>38</v>
      </c>
      <c r="I86" t="s">
        <v>355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1</v>
      </c>
      <c r="P86" s="8">
        <v>45249.666296296295</v>
      </c>
      <c r="Q86" s="9">
        <v>45251</v>
      </c>
      <c r="R86" t="s">
        <v>37</v>
      </c>
      <c r="S86" t="s">
        <v>44</v>
      </c>
      <c r="T86" t="s">
        <v>45</v>
      </c>
      <c r="U86" t="s">
        <v>89</v>
      </c>
      <c r="V86" t="s">
        <v>356</v>
      </c>
      <c r="W86">
        <v>83700</v>
      </c>
      <c r="X86" t="s">
        <v>44</v>
      </c>
      <c r="Y86" t="s">
        <v>357</v>
      </c>
      <c r="Z86" t="s">
        <v>48</v>
      </c>
      <c r="AA86" s="10">
        <f>IF(O86&lt;=1,7,7+0.8*ROUNDUP(O86-1,0))</f>
        <v>7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0.42</v>
      </c>
      <c r="AG86" s="11">
        <f t="shared" si="3"/>
        <v>7.42</v>
      </c>
      <c r="AH86" t="s">
        <v>49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358</v>
      </c>
      <c r="G87" t="s">
        <v>37</v>
      </c>
      <c r="H87" t="s">
        <v>38</v>
      </c>
      <c r="I87" t="s">
        <v>359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</v>
      </c>
      <c r="P87" s="8">
        <v>45249.702106481483</v>
      </c>
      <c r="Q87" s="9">
        <v>45251</v>
      </c>
      <c r="R87" t="s">
        <v>37</v>
      </c>
      <c r="S87" t="s">
        <v>44</v>
      </c>
      <c r="T87" t="s">
        <v>45</v>
      </c>
      <c r="U87" t="s">
        <v>89</v>
      </c>
      <c r="V87" t="s">
        <v>360</v>
      </c>
      <c r="W87">
        <v>84000</v>
      </c>
      <c r="X87" t="s">
        <v>44</v>
      </c>
      <c r="Y87" t="s">
        <v>361</v>
      </c>
      <c r="Z87" t="s">
        <v>48</v>
      </c>
      <c r="AA87" s="10">
        <f>IF(O87&lt;=1,7,7+0.8*ROUNDUP(O87-1,0))</f>
        <v>7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0.42</v>
      </c>
      <c r="AG87" s="11">
        <f t="shared" si="3"/>
        <v>7.42</v>
      </c>
      <c r="AH87" t="s">
        <v>49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362</v>
      </c>
      <c r="G88" t="s">
        <v>37</v>
      </c>
      <c r="H88" t="s">
        <v>38</v>
      </c>
      <c r="I88" t="s">
        <v>363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1</v>
      </c>
      <c r="P88" s="8">
        <v>45250.523310185185</v>
      </c>
      <c r="Q88" s="9">
        <v>45251</v>
      </c>
      <c r="R88" t="s">
        <v>37</v>
      </c>
      <c r="S88" t="s">
        <v>44</v>
      </c>
      <c r="T88" t="s">
        <v>45</v>
      </c>
      <c r="U88" t="s">
        <v>57</v>
      </c>
      <c r="V88" t="s">
        <v>364</v>
      </c>
      <c r="W88">
        <v>40200</v>
      </c>
      <c r="X88" t="s">
        <v>44</v>
      </c>
      <c r="Y88" t="s">
        <v>219</v>
      </c>
      <c r="Z88" t="s">
        <v>48</v>
      </c>
      <c r="AA88" s="10">
        <f>IF(O88&lt;=1,7,7+0.8*ROUNDUP(O88-1,0))</f>
        <v>7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0.42</v>
      </c>
      <c r="AG88" s="11">
        <f t="shared" si="3"/>
        <v>7.42</v>
      </c>
      <c r="AH88" t="s">
        <v>49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365</v>
      </c>
      <c r="G89" t="s">
        <v>37</v>
      </c>
      <c r="H89" t="s">
        <v>38</v>
      </c>
      <c r="I89" t="s">
        <v>366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1</v>
      </c>
      <c r="P89" s="8">
        <v>45250.720636574071</v>
      </c>
      <c r="Q89" s="9">
        <v>45251</v>
      </c>
      <c r="R89" t="s">
        <v>37</v>
      </c>
      <c r="S89" t="s">
        <v>44</v>
      </c>
      <c r="T89" t="s">
        <v>45</v>
      </c>
      <c r="U89" t="s">
        <v>52</v>
      </c>
      <c r="V89" t="s">
        <v>367</v>
      </c>
      <c r="W89">
        <v>23100</v>
      </c>
      <c r="X89" t="s">
        <v>44</v>
      </c>
      <c r="Y89" t="s">
        <v>368</v>
      </c>
      <c r="Z89" t="s">
        <v>48</v>
      </c>
      <c r="AA89" s="10">
        <f>IF(O89&lt;=1,7,7+0.8*ROUNDUP(O89-1,0))</f>
        <v>7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0.42</v>
      </c>
      <c r="AG89" s="11">
        <f t="shared" si="3"/>
        <v>7.42</v>
      </c>
      <c r="AH89" t="s">
        <v>49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369</v>
      </c>
      <c r="G90" t="s">
        <v>37</v>
      </c>
      <c r="H90" t="s">
        <v>38</v>
      </c>
      <c r="I90" t="s">
        <v>370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45249.749745370369</v>
      </c>
      <c r="Q90" s="9">
        <v>45251</v>
      </c>
      <c r="R90" t="s">
        <v>37</v>
      </c>
      <c r="S90" t="s">
        <v>44</v>
      </c>
      <c r="T90" t="s">
        <v>45</v>
      </c>
      <c r="U90" t="s">
        <v>187</v>
      </c>
      <c r="V90" t="s">
        <v>371</v>
      </c>
      <c r="W90">
        <v>35800</v>
      </c>
      <c r="X90" t="s">
        <v>44</v>
      </c>
      <c r="Y90" t="s">
        <v>372</v>
      </c>
      <c r="Z90" t="s">
        <v>48</v>
      </c>
      <c r="AA90" s="10">
        <f>IF(O90&lt;=1,7,7+0.8*ROUNDUP(O90-1,0))</f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0.42</v>
      </c>
      <c r="AG90" s="11">
        <f t="shared" si="3"/>
        <v>7.42</v>
      </c>
      <c r="AH90" t="s">
        <v>49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373</v>
      </c>
      <c r="G91" t="s">
        <v>37</v>
      </c>
      <c r="H91" t="s">
        <v>38</v>
      </c>
      <c r="I91" t="s">
        <v>374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1</v>
      </c>
      <c r="P91" s="8">
        <v>45248.704247685186</v>
      </c>
      <c r="Q91" s="9">
        <v>45251</v>
      </c>
      <c r="R91" t="s">
        <v>37</v>
      </c>
      <c r="S91" t="s">
        <v>44</v>
      </c>
      <c r="T91" t="s">
        <v>63</v>
      </c>
      <c r="U91" t="s">
        <v>226</v>
      </c>
      <c r="V91" t="s">
        <v>375</v>
      </c>
      <c r="W91">
        <v>89760</v>
      </c>
      <c r="X91" t="s">
        <v>228</v>
      </c>
      <c r="Y91" t="s">
        <v>63</v>
      </c>
      <c r="Z91" t="s">
        <v>48</v>
      </c>
      <c r="AA91" s="12">
        <f>IF(O91&lt;=1,13,IF(O91&lt;=2,23,IF(O91&lt;=3,35,IF(O91&lt;=4,43,IF(O91&lt;=5,53,IF(O91&lt;=6,63,IF(O91&lt;=7,71,IF(O91&lt;=8,79,IF(O91&lt;=9,87,IF(O91&lt;=10,95,IF(O91&lt;=11,105,IF(O91&lt;=12,114,IF(O91&lt;=13,119,IF(O91&lt;=14,127,IF(O91&lt;=15,135,IF(O91&lt;=16,143,IF(O91&lt;=17,153,IF(O91&lt;=18,163,IF(O91&lt;=19,171,IF(O91&lt;=20,185,IF(O91&lt;=21,193,IF(O91&lt;=22,201,IF(O91&lt;=23,210,IF(O91&lt;=24,220,IF(O91&lt;=25,230,IF(O91&lt;=26,240,IF(O91&lt;=27,250,IF(O91&lt;=28,260,IF(O91&lt;=29,270,IF(O91&lt;=30,280,280+10*ROUNDUP(O91-30,0)))))))))))))))))))))))))))))))</f>
        <v>13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0.78</v>
      </c>
      <c r="AG91" s="11">
        <f t="shared" si="3"/>
        <v>13.78</v>
      </c>
      <c r="AH91" t="s">
        <v>229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376</v>
      </c>
      <c r="G92" t="s">
        <v>37</v>
      </c>
      <c r="H92" t="s">
        <v>38</v>
      </c>
      <c r="I92" t="s">
        <v>377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3</v>
      </c>
      <c r="P92" s="8">
        <v>45249.72824074074</v>
      </c>
      <c r="Q92" s="9">
        <v>45251</v>
      </c>
      <c r="R92" t="s">
        <v>37</v>
      </c>
      <c r="S92" t="s">
        <v>44</v>
      </c>
      <c r="T92" t="s">
        <v>45</v>
      </c>
      <c r="U92" t="s">
        <v>70</v>
      </c>
      <c r="V92" t="s">
        <v>378</v>
      </c>
      <c r="W92">
        <v>76450</v>
      </c>
      <c r="X92" t="s">
        <v>44</v>
      </c>
      <c r="Y92" t="s">
        <v>379</v>
      </c>
      <c r="Z92" t="s">
        <v>48</v>
      </c>
      <c r="AA92" s="10">
        <f>IF(O92&lt;=1,7,7+0.8*ROUNDUP(O92-1,0))</f>
        <v>8.6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0.51600000000000001</v>
      </c>
      <c r="AG92" s="11">
        <f t="shared" si="3"/>
        <v>9.1159999999999997</v>
      </c>
      <c r="AH92" t="s">
        <v>49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380</v>
      </c>
      <c r="G93" t="s">
        <v>37</v>
      </c>
      <c r="H93" t="s">
        <v>38</v>
      </c>
      <c r="I93" t="s">
        <v>381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1</v>
      </c>
      <c r="P93" s="8">
        <v>45249.712488425925</v>
      </c>
      <c r="Q93" s="9">
        <v>45251</v>
      </c>
      <c r="R93" t="s">
        <v>37</v>
      </c>
      <c r="S93" t="s">
        <v>44</v>
      </c>
      <c r="T93" t="s">
        <v>45</v>
      </c>
      <c r="U93" t="s">
        <v>236</v>
      </c>
      <c r="V93" t="s">
        <v>382</v>
      </c>
      <c r="W93">
        <v>6300</v>
      </c>
      <c r="X93" t="s">
        <v>44</v>
      </c>
      <c r="Y93" t="s">
        <v>383</v>
      </c>
      <c r="Z93" t="s">
        <v>48</v>
      </c>
      <c r="AA93" s="10">
        <f>IF(O93&lt;=1,7,7+0.8*ROUNDUP(O93-1,0))</f>
        <v>7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2"/>
        <v>0.42</v>
      </c>
      <c r="AG93" s="11">
        <f t="shared" si="3"/>
        <v>7.42</v>
      </c>
      <c r="AH93" t="s">
        <v>49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384</v>
      </c>
      <c r="G94" t="s">
        <v>37</v>
      </c>
      <c r="H94" t="s">
        <v>38</v>
      </c>
      <c r="I94" t="s">
        <v>385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1</v>
      </c>
      <c r="P94" s="8">
        <v>45249.764699074076</v>
      </c>
      <c r="Q94" s="9">
        <v>45251</v>
      </c>
      <c r="R94" t="s">
        <v>37</v>
      </c>
      <c r="S94" t="s">
        <v>44</v>
      </c>
      <c r="T94" t="s">
        <v>45</v>
      </c>
      <c r="U94" t="s">
        <v>89</v>
      </c>
      <c r="V94" t="s">
        <v>386</v>
      </c>
      <c r="W94">
        <v>81100</v>
      </c>
      <c r="X94" t="s">
        <v>44</v>
      </c>
      <c r="Y94" t="s">
        <v>63</v>
      </c>
      <c r="Z94" t="s">
        <v>48</v>
      </c>
      <c r="AA94" s="10">
        <f>IF(O94&lt;=1,7,7+0.8*ROUNDUP(O94-1,0))</f>
        <v>7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2"/>
        <v>0.42</v>
      </c>
      <c r="AG94" s="11">
        <f t="shared" si="3"/>
        <v>7.42</v>
      </c>
      <c r="AH94" t="s">
        <v>49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387</v>
      </c>
      <c r="G95" t="s">
        <v>37</v>
      </c>
      <c r="H95" t="s">
        <v>38</v>
      </c>
      <c r="I95" t="s">
        <v>388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3</v>
      </c>
      <c r="P95" s="8">
        <v>45245.816932870373</v>
      </c>
      <c r="Q95" s="9">
        <v>45251</v>
      </c>
      <c r="R95" t="s">
        <v>37</v>
      </c>
      <c r="S95" t="s">
        <v>44</v>
      </c>
      <c r="T95" t="s">
        <v>45</v>
      </c>
      <c r="U95" t="s">
        <v>89</v>
      </c>
      <c r="V95" t="s">
        <v>389</v>
      </c>
      <c r="W95">
        <v>86600</v>
      </c>
      <c r="X95" t="s">
        <v>44</v>
      </c>
      <c r="Y95" t="s">
        <v>390</v>
      </c>
      <c r="Z95" t="s">
        <v>48</v>
      </c>
      <c r="AA95" s="10">
        <f>IF(O95&lt;=1,7,7+0.8*ROUNDUP(O95-1,0))</f>
        <v>8.6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2"/>
        <v>0.51600000000000001</v>
      </c>
      <c r="AG95" s="11">
        <f t="shared" si="3"/>
        <v>9.1159999999999997</v>
      </c>
      <c r="AH95" t="s">
        <v>49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391</v>
      </c>
      <c r="G96" t="s">
        <v>37</v>
      </c>
      <c r="H96" t="s">
        <v>38</v>
      </c>
      <c r="I96" t="s">
        <v>392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9</v>
      </c>
      <c r="P96" s="8">
        <v>45250.598414351851</v>
      </c>
      <c r="Q96" s="9">
        <v>45251</v>
      </c>
      <c r="R96" t="s">
        <v>37</v>
      </c>
      <c r="S96" t="s">
        <v>44</v>
      </c>
      <c r="T96" t="s">
        <v>45</v>
      </c>
      <c r="U96" t="s">
        <v>46</v>
      </c>
      <c r="V96" t="s">
        <v>393</v>
      </c>
      <c r="W96">
        <v>28100</v>
      </c>
      <c r="X96" t="s">
        <v>44</v>
      </c>
      <c r="Y96" t="s">
        <v>394</v>
      </c>
      <c r="Z96" t="s">
        <v>48</v>
      </c>
      <c r="AA96" s="10">
        <f>IF(O96&lt;=1,7,7+0.8*ROUNDUP(O96-1,0))</f>
        <v>13.4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2"/>
        <v>0.80399999999999994</v>
      </c>
      <c r="AG96" s="11">
        <f t="shared" si="3"/>
        <v>14.204000000000001</v>
      </c>
      <c r="AH96" t="s">
        <v>49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395</v>
      </c>
      <c r="G97" t="s">
        <v>37</v>
      </c>
      <c r="H97" t="s">
        <v>38</v>
      </c>
      <c r="I97" t="s">
        <v>396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45250.616631944446</v>
      </c>
      <c r="Q97" s="9">
        <v>45251</v>
      </c>
      <c r="R97" t="s">
        <v>37</v>
      </c>
      <c r="S97" t="s">
        <v>44</v>
      </c>
      <c r="T97" t="s">
        <v>45</v>
      </c>
      <c r="U97" t="s">
        <v>66</v>
      </c>
      <c r="V97" t="s">
        <v>397</v>
      </c>
      <c r="W97">
        <v>55200</v>
      </c>
      <c r="X97" t="s">
        <v>44</v>
      </c>
      <c r="Y97" t="s">
        <v>398</v>
      </c>
      <c r="Z97" t="s">
        <v>48</v>
      </c>
      <c r="AA97" s="10">
        <f>IF(O97&lt;=1,7,7+0.8*ROUNDUP(O97-1,0))</f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2"/>
        <v>0.42</v>
      </c>
      <c r="AG97" s="11">
        <f t="shared" si="3"/>
        <v>7.42</v>
      </c>
      <c r="AH97" t="s">
        <v>49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399</v>
      </c>
      <c r="G98" t="s">
        <v>37</v>
      </c>
      <c r="H98" t="s">
        <v>38</v>
      </c>
      <c r="I98" t="s">
        <v>400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45250.713912037034</v>
      </c>
      <c r="Q98" s="9">
        <v>45251</v>
      </c>
      <c r="R98" t="s">
        <v>37</v>
      </c>
      <c r="S98" t="s">
        <v>44</v>
      </c>
      <c r="T98" t="s">
        <v>45</v>
      </c>
      <c r="U98" t="s">
        <v>66</v>
      </c>
      <c r="V98" t="s">
        <v>401</v>
      </c>
      <c r="W98">
        <v>50100</v>
      </c>
      <c r="X98" t="s">
        <v>44</v>
      </c>
      <c r="Y98" t="s">
        <v>102</v>
      </c>
      <c r="Z98" t="s">
        <v>48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2"/>
        <v>0.42</v>
      </c>
      <c r="AG98" s="11">
        <f t="shared" si="3"/>
        <v>7.42</v>
      </c>
      <c r="AH98" t="s">
        <v>49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402</v>
      </c>
      <c r="G99" t="s">
        <v>37</v>
      </c>
      <c r="H99" t="s">
        <v>38</v>
      </c>
      <c r="I99" t="s">
        <v>392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5</v>
      </c>
      <c r="P99" s="8">
        <v>45250.598414351851</v>
      </c>
      <c r="Q99" s="9">
        <v>45251</v>
      </c>
      <c r="R99" t="s">
        <v>37</v>
      </c>
      <c r="S99" t="s">
        <v>44</v>
      </c>
      <c r="T99" t="s">
        <v>45</v>
      </c>
      <c r="U99" t="s">
        <v>46</v>
      </c>
      <c r="V99" t="s">
        <v>393</v>
      </c>
      <c r="W99">
        <v>28100</v>
      </c>
      <c r="X99" t="s">
        <v>44</v>
      </c>
      <c r="Y99" t="s">
        <v>394</v>
      </c>
      <c r="Z99" t="s">
        <v>48</v>
      </c>
      <c r="AA99" s="10">
        <f>IF(O99&lt;=1,7,7+0.8*ROUNDUP(O99-1,0))</f>
        <v>10.199999999999999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2"/>
        <v>0.61199999999999999</v>
      </c>
      <c r="AG99" s="11">
        <f t="shared" si="3"/>
        <v>10.811999999999999</v>
      </c>
      <c r="AH99" t="s">
        <v>49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403</v>
      </c>
      <c r="G100" t="s">
        <v>37</v>
      </c>
      <c r="H100" t="s">
        <v>38</v>
      </c>
      <c r="I100" t="s">
        <v>404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1</v>
      </c>
      <c r="P100" s="8">
        <v>45248.627326388887</v>
      </c>
      <c r="Q100" s="9">
        <v>45251</v>
      </c>
      <c r="R100" t="s">
        <v>37</v>
      </c>
      <c r="S100" t="s">
        <v>44</v>
      </c>
      <c r="T100" t="s">
        <v>63</v>
      </c>
      <c r="U100" t="s">
        <v>226</v>
      </c>
      <c r="V100" t="s">
        <v>405</v>
      </c>
      <c r="W100">
        <v>88450</v>
      </c>
      <c r="X100" t="s">
        <v>228</v>
      </c>
      <c r="Y100" t="s">
        <v>63</v>
      </c>
      <c r="Z100" t="s">
        <v>48</v>
      </c>
      <c r="AA100" s="12">
        <f>IF(O100&lt;=1,13,IF(O100&lt;=2,23,IF(O100&lt;=3,35,IF(O100&lt;=4,43,IF(O100&lt;=5,53,IF(O100&lt;=6,63,IF(O100&lt;=7,71,IF(O100&lt;=8,79,IF(O100&lt;=9,87,IF(O100&lt;=10,95,IF(O100&lt;=11,105,IF(O100&lt;=12,114,IF(O100&lt;=13,119,IF(O100&lt;=14,127,IF(O100&lt;=15,135,IF(O100&lt;=16,143,IF(O100&lt;=17,153,IF(O100&lt;=18,163,IF(O100&lt;=19,171,IF(O100&lt;=20,185,IF(O100&lt;=21,193,IF(O100&lt;=22,201,IF(O100&lt;=23,210,IF(O100&lt;=24,220,IF(O100&lt;=25,230,IF(O100&lt;=26,240,IF(O100&lt;=27,250,IF(O100&lt;=28,260,IF(O100&lt;=29,270,IF(O100&lt;=30,280,280+10*ROUNDUP(O100-30,0)))))))))))))))))))))))))))))))</f>
        <v>13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2"/>
        <v>0.78</v>
      </c>
      <c r="AG100" s="11">
        <f t="shared" si="3"/>
        <v>13.78</v>
      </c>
      <c r="AH100" t="s">
        <v>229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406</v>
      </c>
      <c r="G101" t="s">
        <v>37</v>
      </c>
      <c r="H101" t="s">
        <v>38</v>
      </c>
      <c r="I101" t="s">
        <v>407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</v>
      </c>
      <c r="P101" s="8">
        <v>45250.729224537034</v>
      </c>
      <c r="Q101" s="9">
        <v>45251</v>
      </c>
      <c r="R101" t="s">
        <v>37</v>
      </c>
      <c r="S101" t="s">
        <v>44</v>
      </c>
      <c r="T101" t="s">
        <v>45</v>
      </c>
      <c r="U101" t="s">
        <v>46</v>
      </c>
      <c r="V101" t="s">
        <v>408</v>
      </c>
      <c r="W101">
        <v>27000</v>
      </c>
      <c r="X101" t="s">
        <v>44</v>
      </c>
      <c r="Y101" t="s">
        <v>45</v>
      </c>
      <c r="Z101" t="s">
        <v>48</v>
      </c>
      <c r="AA101" s="10">
        <f>IF(O101&lt;=1,7,7+0.8*ROUNDUP(O101-1,0))</f>
        <v>7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2"/>
        <v>0.42</v>
      </c>
      <c r="AG101" s="11">
        <f t="shared" si="3"/>
        <v>7.42</v>
      </c>
      <c r="AH101" t="s">
        <v>49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409</v>
      </c>
      <c r="G102" t="s">
        <v>37</v>
      </c>
      <c r="H102" t="s">
        <v>38</v>
      </c>
      <c r="I102" t="s">
        <v>410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45250.523310185185</v>
      </c>
      <c r="Q102" s="9">
        <v>45251</v>
      </c>
      <c r="R102" t="s">
        <v>37</v>
      </c>
      <c r="S102" t="s">
        <v>44</v>
      </c>
      <c r="T102" t="s">
        <v>45</v>
      </c>
      <c r="U102" t="s">
        <v>156</v>
      </c>
      <c r="V102" t="s">
        <v>411</v>
      </c>
      <c r="W102">
        <v>17000</v>
      </c>
      <c r="X102" t="s">
        <v>44</v>
      </c>
      <c r="Y102" t="s">
        <v>145</v>
      </c>
      <c r="Z102" t="s">
        <v>48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2"/>
        <v>0.42</v>
      </c>
      <c r="AG102" s="11">
        <f t="shared" si="3"/>
        <v>7.42</v>
      </c>
      <c r="AH102" t="s">
        <v>49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412</v>
      </c>
      <c r="G103" t="s">
        <v>37</v>
      </c>
      <c r="H103" t="s">
        <v>38</v>
      </c>
      <c r="I103" t="s">
        <v>413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45248.839224537034</v>
      </c>
      <c r="Q103" s="9">
        <v>45251</v>
      </c>
      <c r="R103" t="s">
        <v>37</v>
      </c>
      <c r="S103" t="s">
        <v>44</v>
      </c>
      <c r="T103" t="s">
        <v>45</v>
      </c>
      <c r="U103" t="s">
        <v>57</v>
      </c>
      <c r="V103" t="s">
        <v>414</v>
      </c>
      <c r="W103">
        <v>46100</v>
      </c>
      <c r="X103" t="s">
        <v>44</v>
      </c>
      <c r="Y103" t="s">
        <v>316</v>
      </c>
      <c r="Z103" t="s">
        <v>48</v>
      </c>
      <c r="AA103" s="10">
        <f>IF(O103&lt;=1,7,7+0.8*ROUNDUP(O103-1,0))</f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2"/>
        <v>0.42</v>
      </c>
      <c r="AG103" s="11">
        <f t="shared" si="3"/>
        <v>7.42</v>
      </c>
      <c r="AH103" t="s">
        <v>49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415</v>
      </c>
      <c r="G104" t="s">
        <v>37</v>
      </c>
      <c r="H104" t="s">
        <v>38</v>
      </c>
      <c r="I104" t="s">
        <v>416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2</v>
      </c>
      <c r="P104" s="8">
        <v>45249.756215277775</v>
      </c>
      <c r="Q104" s="9">
        <v>45251</v>
      </c>
      <c r="R104" t="s">
        <v>37</v>
      </c>
      <c r="S104" t="s">
        <v>44</v>
      </c>
      <c r="T104" t="s">
        <v>45</v>
      </c>
      <c r="U104" t="s">
        <v>89</v>
      </c>
      <c r="V104" t="s">
        <v>417</v>
      </c>
      <c r="W104">
        <v>81300</v>
      </c>
      <c r="X104" t="s">
        <v>44</v>
      </c>
      <c r="Y104" t="s">
        <v>63</v>
      </c>
      <c r="Z104" t="s">
        <v>48</v>
      </c>
      <c r="AA104" s="10">
        <f>IF(O104&lt;=1,7,7+0.8*ROUNDUP(O104-1,0))</f>
        <v>7.8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2"/>
        <v>0.46799999999999997</v>
      </c>
      <c r="AG104" s="11">
        <f t="shared" si="3"/>
        <v>8.2680000000000007</v>
      </c>
      <c r="AH104" t="s">
        <v>49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418</v>
      </c>
      <c r="G105" t="s">
        <v>37</v>
      </c>
      <c r="H105" t="s">
        <v>38</v>
      </c>
      <c r="I105" t="s">
        <v>419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45249.465844907405</v>
      </c>
      <c r="Q105" s="9">
        <v>45251</v>
      </c>
      <c r="R105" t="s">
        <v>37</v>
      </c>
      <c r="S105" t="s">
        <v>44</v>
      </c>
      <c r="T105" t="s">
        <v>45</v>
      </c>
      <c r="U105" t="s">
        <v>52</v>
      </c>
      <c r="V105" t="s">
        <v>420</v>
      </c>
      <c r="W105">
        <v>23000</v>
      </c>
      <c r="X105" t="s">
        <v>44</v>
      </c>
      <c r="Y105" t="s">
        <v>368</v>
      </c>
      <c r="Z105" t="s">
        <v>48</v>
      </c>
      <c r="AA105" s="10">
        <f>IF(O105&lt;=1,7,7+0.8*ROUNDUP(O105-1,0))</f>
        <v>7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2"/>
        <v>0.42</v>
      </c>
      <c r="AG105" s="11">
        <f t="shared" si="3"/>
        <v>7.42</v>
      </c>
      <c r="AH105" t="s">
        <v>49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421</v>
      </c>
      <c r="G106" t="s">
        <v>37</v>
      </c>
      <c r="H106" t="s">
        <v>38</v>
      </c>
      <c r="I106" t="s">
        <v>422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45249.557627314818</v>
      </c>
      <c r="Q106" s="9">
        <v>45251</v>
      </c>
      <c r="R106" t="s">
        <v>37</v>
      </c>
      <c r="S106" t="s">
        <v>44</v>
      </c>
      <c r="T106" t="s">
        <v>45</v>
      </c>
      <c r="U106" t="s">
        <v>119</v>
      </c>
      <c r="V106" t="s">
        <v>423</v>
      </c>
      <c r="W106">
        <v>13200</v>
      </c>
      <c r="X106" t="s">
        <v>44</v>
      </c>
      <c r="Y106" t="s">
        <v>121</v>
      </c>
      <c r="Z106" t="s">
        <v>48</v>
      </c>
      <c r="AA106" s="10">
        <f>IF(O106&lt;=1,7,7+0.8*ROUNDUP(O106-1,0))</f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2"/>
        <v>0.42</v>
      </c>
      <c r="AG106" s="11">
        <f t="shared" si="3"/>
        <v>7.42</v>
      </c>
      <c r="AH106" t="s">
        <v>49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424</v>
      </c>
      <c r="G107" t="s">
        <v>37</v>
      </c>
      <c r="H107" t="s">
        <v>38</v>
      </c>
      <c r="I107" t="s">
        <v>425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45250.67019675926</v>
      </c>
      <c r="Q107" s="9">
        <v>45251</v>
      </c>
      <c r="R107" t="s">
        <v>37</v>
      </c>
      <c r="S107" t="s">
        <v>44</v>
      </c>
      <c r="T107" t="s">
        <v>45</v>
      </c>
      <c r="U107" t="s">
        <v>57</v>
      </c>
      <c r="V107" t="s">
        <v>426</v>
      </c>
      <c r="W107">
        <v>62050</v>
      </c>
      <c r="X107" t="s">
        <v>44</v>
      </c>
      <c r="Y107" t="s">
        <v>427</v>
      </c>
      <c r="Z107" t="s">
        <v>48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2"/>
        <v>0.42</v>
      </c>
      <c r="AG107" s="11">
        <f t="shared" si="3"/>
        <v>7.42</v>
      </c>
      <c r="AH107" t="s">
        <v>49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428</v>
      </c>
      <c r="G108" t="s">
        <v>37</v>
      </c>
      <c r="H108" t="s">
        <v>38</v>
      </c>
      <c r="I108" t="s">
        <v>429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3</v>
      </c>
      <c r="P108" s="8">
        <v>45250.527129629627</v>
      </c>
      <c r="Q108" s="9">
        <v>45251</v>
      </c>
      <c r="R108" t="s">
        <v>37</v>
      </c>
      <c r="S108" t="s">
        <v>44</v>
      </c>
      <c r="T108" t="s">
        <v>45</v>
      </c>
      <c r="U108" t="s">
        <v>66</v>
      </c>
      <c r="V108" t="s">
        <v>430</v>
      </c>
      <c r="W108">
        <v>55100</v>
      </c>
      <c r="X108" t="s">
        <v>44</v>
      </c>
      <c r="Y108" t="s">
        <v>431</v>
      </c>
      <c r="Z108" t="s">
        <v>48</v>
      </c>
      <c r="AA108" s="10">
        <f>IF(O108&lt;=1,7,7+0.8*ROUNDUP(O108-1,0))</f>
        <v>8.6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2"/>
        <v>0.51600000000000001</v>
      </c>
      <c r="AG108" s="11">
        <f t="shared" si="3"/>
        <v>9.1159999999999997</v>
      </c>
      <c r="AH108" t="s">
        <v>49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432</v>
      </c>
      <c r="G109" t="s">
        <v>37</v>
      </c>
      <c r="H109" t="s">
        <v>38</v>
      </c>
      <c r="I109" t="s">
        <v>433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45251.645162037035</v>
      </c>
      <c r="Q109" s="9">
        <v>45252</v>
      </c>
      <c r="R109" t="s">
        <v>37</v>
      </c>
      <c r="S109" t="s">
        <v>44</v>
      </c>
      <c r="T109" t="s">
        <v>45</v>
      </c>
      <c r="U109" t="s">
        <v>57</v>
      </c>
      <c r="V109" t="s">
        <v>434</v>
      </c>
      <c r="W109">
        <v>40000</v>
      </c>
      <c r="X109" t="s">
        <v>44</v>
      </c>
      <c r="Y109" t="s">
        <v>219</v>
      </c>
      <c r="Z109" t="s">
        <v>48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2"/>
        <v>0.42</v>
      </c>
      <c r="AG109" s="11">
        <f t="shared" si="3"/>
        <v>7.42</v>
      </c>
      <c r="AH109" t="s">
        <v>49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435</v>
      </c>
      <c r="G110" t="s">
        <v>37</v>
      </c>
      <c r="H110" t="s">
        <v>38</v>
      </c>
      <c r="I110" t="s">
        <v>436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</v>
      </c>
      <c r="P110" s="8">
        <v>45250.566863425927</v>
      </c>
      <c r="Q110" s="9">
        <v>45252</v>
      </c>
      <c r="R110" t="s">
        <v>37</v>
      </c>
      <c r="S110" t="s">
        <v>44</v>
      </c>
      <c r="T110" t="s">
        <v>45</v>
      </c>
      <c r="U110" t="s">
        <v>89</v>
      </c>
      <c r="V110" t="s">
        <v>437</v>
      </c>
      <c r="W110">
        <v>83700</v>
      </c>
      <c r="X110" t="s">
        <v>44</v>
      </c>
      <c r="Y110" t="s">
        <v>357</v>
      </c>
      <c r="Z110" t="s">
        <v>48</v>
      </c>
      <c r="AA110" s="10">
        <f>IF(O110&lt;=1,7,7+0.8*ROUNDUP(O110-1,0))</f>
        <v>7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2"/>
        <v>0.42</v>
      </c>
      <c r="AG110" s="11">
        <f t="shared" si="3"/>
        <v>7.42</v>
      </c>
      <c r="AH110" t="s">
        <v>49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438</v>
      </c>
      <c r="G111" t="s">
        <v>37</v>
      </c>
      <c r="H111" t="s">
        <v>38</v>
      </c>
      <c r="I111" t="s">
        <v>439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45251.710682870369</v>
      </c>
      <c r="Q111" s="9">
        <v>45252</v>
      </c>
      <c r="R111" t="s">
        <v>37</v>
      </c>
      <c r="S111" t="s">
        <v>44</v>
      </c>
      <c r="T111" t="s">
        <v>45</v>
      </c>
      <c r="U111" t="s">
        <v>52</v>
      </c>
      <c r="V111" t="s">
        <v>440</v>
      </c>
      <c r="W111">
        <v>21060</v>
      </c>
      <c r="X111" t="s">
        <v>44</v>
      </c>
      <c r="Y111" t="s">
        <v>368</v>
      </c>
      <c r="Z111" t="s">
        <v>48</v>
      </c>
      <c r="AA111" s="10">
        <f>IF(O111&lt;=1,7,7+0.8*ROUNDUP(O111-1,0))</f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2"/>
        <v>0.42</v>
      </c>
      <c r="AG111" s="11">
        <f t="shared" si="3"/>
        <v>7.42</v>
      </c>
      <c r="AH111" t="s">
        <v>49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441</v>
      </c>
      <c r="G112" t="s">
        <v>37</v>
      </c>
      <c r="H112" t="s">
        <v>38</v>
      </c>
      <c r="I112" t="s">
        <v>442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1</v>
      </c>
      <c r="P112" s="8">
        <v>45251.710682870369</v>
      </c>
      <c r="Q112" s="9">
        <v>45252</v>
      </c>
      <c r="R112" t="s">
        <v>37</v>
      </c>
      <c r="S112" t="s">
        <v>44</v>
      </c>
      <c r="T112" t="s">
        <v>45</v>
      </c>
      <c r="U112" t="s">
        <v>156</v>
      </c>
      <c r="V112" t="s">
        <v>443</v>
      </c>
      <c r="W112">
        <v>16450</v>
      </c>
      <c r="X112" t="s">
        <v>44</v>
      </c>
      <c r="Y112" t="s">
        <v>145</v>
      </c>
      <c r="Z112" t="s">
        <v>48</v>
      </c>
      <c r="AA112" s="10">
        <f>IF(O112&lt;=1,7,7+0.8*ROUNDUP(O112-1,0))</f>
        <v>7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2"/>
        <v>0.42</v>
      </c>
      <c r="AG112" s="11">
        <f t="shared" si="3"/>
        <v>7.42</v>
      </c>
      <c r="AH112" t="s">
        <v>49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444</v>
      </c>
      <c r="G113" t="s">
        <v>37</v>
      </c>
      <c r="H113" t="s">
        <v>38</v>
      </c>
      <c r="I113" t="s">
        <v>445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7</v>
      </c>
      <c r="P113" s="8">
        <v>45244.43310185185</v>
      </c>
      <c r="Q113" s="9">
        <v>45252</v>
      </c>
      <c r="R113" t="s">
        <v>37</v>
      </c>
      <c r="S113" t="s">
        <v>44</v>
      </c>
      <c r="T113" t="s">
        <v>45</v>
      </c>
      <c r="U113" t="s">
        <v>226</v>
      </c>
      <c r="V113" t="s">
        <v>446</v>
      </c>
      <c r="W113">
        <v>89007</v>
      </c>
      <c r="X113" t="s">
        <v>228</v>
      </c>
      <c r="Y113" t="s">
        <v>447</v>
      </c>
      <c r="Z113" t="s">
        <v>48</v>
      </c>
      <c r="AA113" s="12">
        <f>IF(O113&lt;=1,13,IF(O113&lt;=2,23,IF(O113&lt;=3,35,IF(O113&lt;=4,43,IF(O113&lt;=5,53,IF(O113&lt;=6,63,IF(O113&lt;=7,71,IF(O113&lt;=8,79,IF(O113&lt;=9,87,IF(O113&lt;=10,95,IF(O113&lt;=11,105,IF(O113&lt;=12,114,IF(O113&lt;=13,119,IF(O113&lt;=14,127,IF(O113&lt;=15,135,IF(O113&lt;=16,143,IF(O113&lt;=17,153,IF(O113&lt;=18,163,IF(O113&lt;=19,171,IF(O113&lt;=20,185,IF(O113&lt;=21,193,IF(O113&lt;=22,201,IF(O113&lt;=23,210,IF(O113&lt;=24,220,IF(O113&lt;=25,230,IF(O113&lt;=26,240,IF(O113&lt;=27,250,IF(O113&lt;=28,260,IF(O113&lt;=29,270,IF(O113&lt;=30,280,280+10*ROUNDUP(O113-30,0)))))))))))))))))))))))))))))))</f>
        <v>71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2"/>
        <v>4.26</v>
      </c>
      <c r="AG113" s="11">
        <f t="shared" si="3"/>
        <v>75.260000000000005</v>
      </c>
      <c r="AH113" t="s">
        <v>229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448</v>
      </c>
      <c r="G114" t="s">
        <v>37</v>
      </c>
      <c r="H114" t="s">
        <v>38</v>
      </c>
      <c r="I114" t="s">
        <v>84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1</v>
      </c>
      <c r="P114" s="8">
        <v>45251.645162037035</v>
      </c>
      <c r="Q114" s="9">
        <v>45252</v>
      </c>
      <c r="R114" t="s">
        <v>37</v>
      </c>
      <c r="S114" t="s">
        <v>44</v>
      </c>
      <c r="T114" t="s">
        <v>45</v>
      </c>
      <c r="U114" t="s">
        <v>57</v>
      </c>
      <c r="V114" t="s">
        <v>449</v>
      </c>
      <c r="W114">
        <v>40000</v>
      </c>
      <c r="X114" t="s">
        <v>44</v>
      </c>
      <c r="Y114" t="s">
        <v>63</v>
      </c>
      <c r="Z114" t="s">
        <v>48</v>
      </c>
      <c r="AA114" s="10">
        <f>IF(O114&lt;=1,7,7+0.8*ROUNDUP(O114-1,0))</f>
        <v>7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2"/>
        <v>0.42</v>
      </c>
      <c r="AG114" s="11">
        <f t="shared" si="3"/>
        <v>7.42</v>
      </c>
      <c r="AH114" t="s">
        <v>49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450</v>
      </c>
      <c r="G115" t="s">
        <v>37</v>
      </c>
      <c r="H115" t="s">
        <v>38</v>
      </c>
      <c r="I115" t="s">
        <v>451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45251.636921296296</v>
      </c>
      <c r="Q115" s="9">
        <v>45252</v>
      </c>
      <c r="R115" t="s">
        <v>37</v>
      </c>
      <c r="S115" t="s">
        <v>44</v>
      </c>
      <c r="T115" t="s">
        <v>45</v>
      </c>
      <c r="U115" t="s">
        <v>156</v>
      </c>
      <c r="V115" t="s">
        <v>452</v>
      </c>
      <c r="W115">
        <v>16400</v>
      </c>
      <c r="X115" t="s">
        <v>44</v>
      </c>
      <c r="Y115" t="s">
        <v>145</v>
      </c>
      <c r="Z115" t="s">
        <v>48</v>
      </c>
      <c r="AA115" s="10">
        <f>IF(O115&lt;=1,7,7+0.8*ROUNDUP(O115-1,0))</f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2"/>
        <v>0.42</v>
      </c>
      <c r="AG115" s="11">
        <f t="shared" si="3"/>
        <v>7.42</v>
      </c>
      <c r="AH115" t="s">
        <v>49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453</v>
      </c>
      <c r="G116" t="s">
        <v>37</v>
      </c>
      <c r="H116" t="s">
        <v>38</v>
      </c>
      <c r="I116" t="s">
        <v>244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7</v>
      </c>
      <c r="P116" s="8">
        <v>45250.690613425926</v>
      </c>
      <c r="Q116" s="9">
        <v>45252</v>
      </c>
      <c r="R116" t="s">
        <v>37</v>
      </c>
      <c r="S116" t="s">
        <v>44</v>
      </c>
      <c r="T116" t="s">
        <v>45</v>
      </c>
      <c r="U116" t="s">
        <v>46</v>
      </c>
      <c r="V116" t="s">
        <v>245</v>
      </c>
      <c r="W116">
        <v>39100</v>
      </c>
      <c r="X116" t="s">
        <v>44</v>
      </c>
      <c r="Y116" t="s">
        <v>246</v>
      </c>
      <c r="Z116" t="s">
        <v>48</v>
      </c>
      <c r="AA116" s="10">
        <f>IF(O116&lt;=1,7,7+0.8*ROUNDUP(O116-1,0))</f>
        <v>11.8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2"/>
        <v>0.70799999999999996</v>
      </c>
      <c r="AG116" s="11">
        <f t="shared" si="3"/>
        <v>12.508000000000001</v>
      </c>
      <c r="AH116" t="s">
        <v>49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454</v>
      </c>
      <c r="G117" t="s">
        <v>37</v>
      </c>
      <c r="H117" t="s">
        <v>38</v>
      </c>
      <c r="I117" t="s">
        <v>455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</v>
      </c>
      <c r="P117" s="8">
        <v>45250.580891203703</v>
      </c>
      <c r="Q117" s="9">
        <v>45252</v>
      </c>
      <c r="R117" t="s">
        <v>37</v>
      </c>
      <c r="S117" t="s">
        <v>44</v>
      </c>
      <c r="T117" t="s">
        <v>45</v>
      </c>
      <c r="U117" t="s">
        <v>70</v>
      </c>
      <c r="V117" t="s">
        <v>456</v>
      </c>
      <c r="W117">
        <v>78000</v>
      </c>
      <c r="X117" t="s">
        <v>44</v>
      </c>
      <c r="Y117" t="s">
        <v>63</v>
      </c>
      <c r="Z117" t="s">
        <v>48</v>
      </c>
      <c r="AA117" s="10">
        <f>IF(O117&lt;=1,7,7+0.8*ROUNDUP(O117-1,0))</f>
        <v>7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2"/>
        <v>0.42</v>
      </c>
      <c r="AG117" s="11">
        <f t="shared" si="3"/>
        <v>7.42</v>
      </c>
      <c r="AH117" t="s">
        <v>49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457</v>
      </c>
      <c r="G118" t="s">
        <v>37</v>
      </c>
      <c r="H118" t="s">
        <v>38</v>
      </c>
      <c r="I118" t="s">
        <v>458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2</v>
      </c>
      <c r="P118" s="8">
        <v>45250.448379629626</v>
      </c>
      <c r="Q118" s="9">
        <v>45252</v>
      </c>
      <c r="R118" t="s">
        <v>37</v>
      </c>
      <c r="S118" t="s">
        <v>44</v>
      </c>
      <c r="T118" t="s">
        <v>45</v>
      </c>
      <c r="U118" t="s">
        <v>89</v>
      </c>
      <c r="V118" t="s">
        <v>459</v>
      </c>
      <c r="W118">
        <v>85300</v>
      </c>
      <c r="X118" t="s">
        <v>44</v>
      </c>
      <c r="Y118" t="s">
        <v>460</v>
      </c>
      <c r="Z118" t="s">
        <v>48</v>
      </c>
      <c r="AA118" s="10">
        <f>IF(O118&lt;=1,7,7+0.8*ROUNDUP(O118-1,0))</f>
        <v>7.8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2"/>
        <v>0.46799999999999997</v>
      </c>
      <c r="AG118" s="11">
        <f t="shared" si="3"/>
        <v>8.2680000000000007</v>
      </c>
      <c r="AH118" t="s">
        <v>49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461</v>
      </c>
      <c r="G119" t="s">
        <v>37</v>
      </c>
      <c r="H119" t="s">
        <v>38</v>
      </c>
      <c r="I119" t="s">
        <v>462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3</v>
      </c>
      <c r="P119" s="8">
        <v>45248.820069444446</v>
      </c>
      <c r="Q119" s="9">
        <v>45252</v>
      </c>
      <c r="R119" t="s">
        <v>37</v>
      </c>
      <c r="S119" t="s">
        <v>44</v>
      </c>
      <c r="T119" t="s">
        <v>45</v>
      </c>
      <c r="U119" t="s">
        <v>232</v>
      </c>
      <c r="V119" t="s">
        <v>463</v>
      </c>
      <c r="W119">
        <v>98000</v>
      </c>
      <c r="X119" t="s">
        <v>228</v>
      </c>
      <c r="Y119" t="s">
        <v>63</v>
      </c>
      <c r="Z119" t="s">
        <v>48</v>
      </c>
      <c r="AA119" s="12">
        <f>IF(O119&lt;=1,13,IF(O119&lt;=2,23,IF(O119&lt;=3,35,IF(O119&lt;=4,43,IF(O119&lt;=5,53,IF(O119&lt;=6,63,IF(O119&lt;=7,71,IF(O119&lt;=8,79,IF(O119&lt;=9,87,IF(O119&lt;=10,95,IF(O119&lt;=11,105,IF(O119&lt;=12,114,IF(O119&lt;=13,119,IF(O119&lt;=14,127,IF(O119&lt;=15,135,IF(O119&lt;=16,143,IF(O119&lt;=17,153,IF(O119&lt;=18,163,IF(O119&lt;=19,171,IF(O119&lt;=20,185,IF(O119&lt;=21,193,IF(O119&lt;=22,201,IF(O119&lt;=23,210,IF(O119&lt;=24,220,IF(O119&lt;=25,230,IF(O119&lt;=26,240,IF(O119&lt;=27,250,IF(O119&lt;=28,260,IF(O119&lt;=29,270,IF(O119&lt;=30,280,280+10*ROUNDUP(O119-30,0)))))))))))))))))))))))))))))))</f>
        <v>35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2"/>
        <v>2.1</v>
      </c>
      <c r="AG119" s="11">
        <f t="shared" si="3"/>
        <v>37.1</v>
      </c>
      <c r="AH119" t="s">
        <v>229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464</v>
      </c>
      <c r="G120" t="s">
        <v>37</v>
      </c>
      <c r="H120" t="s">
        <v>38</v>
      </c>
      <c r="I120" t="s">
        <v>465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45251.645162037035</v>
      </c>
      <c r="Q120" s="9">
        <v>45252</v>
      </c>
      <c r="R120" t="s">
        <v>37</v>
      </c>
      <c r="S120" t="s">
        <v>44</v>
      </c>
      <c r="T120" t="s">
        <v>45</v>
      </c>
      <c r="U120" t="s">
        <v>57</v>
      </c>
      <c r="V120" t="s">
        <v>466</v>
      </c>
      <c r="W120">
        <v>40150</v>
      </c>
      <c r="X120" t="s">
        <v>44</v>
      </c>
      <c r="Y120" t="s">
        <v>63</v>
      </c>
      <c r="Z120" t="s">
        <v>48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2"/>
        <v>0.42</v>
      </c>
      <c r="AG120" s="11">
        <f t="shared" si="3"/>
        <v>7.42</v>
      </c>
      <c r="AH120" t="s">
        <v>49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467</v>
      </c>
      <c r="G121" t="s">
        <v>37</v>
      </c>
      <c r="H121" t="s">
        <v>38</v>
      </c>
      <c r="I121" t="s">
        <v>468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1</v>
      </c>
      <c r="P121" s="8">
        <v>45251.601145833331</v>
      </c>
      <c r="Q121" s="9">
        <v>45252</v>
      </c>
      <c r="R121" t="s">
        <v>37</v>
      </c>
      <c r="S121" t="s">
        <v>44</v>
      </c>
      <c r="T121" t="s">
        <v>45</v>
      </c>
      <c r="U121" t="s">
        <v>52</v>
      </c>
      <c r="V121" t="s">
        <v>469</v>
      </c>
      <c r="W121">
        <v>22020</v>
      </c>
      <c r="X121" t="s">
        <v>44</v>
      </c>
      <c r="Y121" t="s">
        <v>368</v>
      </c>
      <c r="Z121" t="s">
        <v>48</v>
      </c>
      <c r="AA121" s="10">
        <f>IF(O121&lt;=1,7,7+0.8*ROUNDUP(O121-1,0))</f>
        <v>7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2"/>
        <v>0.42</v>
      </c>
      <c r="AG121" s="11">
        <f t="shared" si="3"/>
        <v>7.42</v>
      </c>
      <c r="AH121" t="s">
        <v>49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470</v>
      </c>
      <c r="G122" t="s">
        <v>37</v>
      </c>
      <c r="H122" t="s">
        <v>38</v>
      </c>
      <c r="I122" t="s">
        <v>471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2</v>
      </c>
      <c r="P122" s="8">
        <v>45250.769791666666</v>
      </c>
      <c r="Q122" s="9">
        <v>45252</v>
      </c>
      <c r="R122" t="s">
        <v>37</v>
      </c>
      <c r="S122" t="s">
        <v>44</v>
      </c>
      <c r="T122" t="s">
        <v>45</v>
      </c>
      <c r="U122" t="s">
        <v>52</v>
      </c>
      <c r="V122" t="s">
        <v>472</v>
      </c>
      <c r="W122">
        <v>21600</v>
      </c>
      <c r="X122" t="s">
        <v>44</v>
      </c>
      <c r="Y122" t="s">
        <v>368</v>
      </c>
      <c r="Z122" t="s">
        <v>48</v>
      </c>
      <c r="AA122" s="10">
        <f>IF(O122&lt;=1,7,7+0.8*ROUNDUP(O122-1,0))</f>
        <v>7.8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2"/>
        <v>0.46799999999999997</v>
      </c>
      <c r="AG122" s="11">
        <f t="shared" si="3"/>
        <v>8.2680000000000007</v>
      </c>
      <c r="AH122" t="s">
        <v>49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473</v>
      </c>
      <c r="G123" t="s">
        <v>37</v>
      </c>
      <c r="H123" t="s">
        <v>38</v>
      </c>
      <c r="I123" t="s">
        <v>335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1</v>
      </c>
      <c r="P123" s="8">
        <v>45251.73028935185</v>
      </c>
      <c r="Q123" s="9">
        <v>45252</v>
      </c>
      <c r="R123" t="s">
        <v>37</v>
      </c>
      <c r="S123" t="s">
        <v>44</v>
      </c>
      <c r="T123" t="s">
        <v>45</v>
      </c>
      <c r="U123" t="s">
        <v>57</v>
      </c>
      <c r="V123" t="s">
        <v>336</v>
      </c>
      <c r="W123">
        <v>42500</v>
      </c>
      <c r="X123" t="s">
        <v>44</v>
      </c>
      <c r="Y123" t="s">
        <v>63</v>
      </c>
      <c r="Z123" t="s">
        <v>48</v>
      </c>
      <c r="AA123" s="10">
        <f>IF(O123&lt;=1,7,7+0.8*ROUNDUP(O123-1,0))</f>
        <v>7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2"/>
        <v>0.42</v>
      </c>
      <c r="AG123" s="11">
        <f t="shared" si="3"/>
        <v>7.42</v>
      </c>
      <c r="AH123" t="s">
        <v>49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474</v>
      </c>
      <c r="G124" t="s">
        <v>37</v>
      </c>
      <c r="H124" t="s">
        <v>38</v>
      </c>
      <c r="I124" t="s">
        <v>475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6</v>
      </c>
      <c r="P124" s="8">
        <v>45251.666921296295</v>
      </c>
      <c r="Q124" s="9">
        <v>45252</v>
      </c>
      <c r="R124" t="s">
        <v>37</v>
      </c>
      <c r="S124" t="s">
        <v>44</v>
      </c>
      <c r="T124" t="s">
        <v>45</v>
      </c>
      <c r="U124" t="s">
        <v>52</v>
      </c>
      <c r="V124" t="s">
        <v>476</v>
      </c>
      <c r="W124">
        <v>21300</v>
      </c>
      <c r="X124" t="s">
        <v>44</v>
      </c>
      <c r="Y124" t="s">
        <v>273</v>
      </c>
      <c r="Z124" t="s">
        <v>48</v>
      </c>
      <c r="AA124" s="10">
        <f>IF(O124&lt;=1,7,7+0.8*ROUNDUP(O124-1,0))</f>
        <v>11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2"/>
        <v>0.65999999999999992</v>
      </c>
      <c r="AG124" s="11">
        <f t="shared" si="3"/>
        <v>11.66</v>
      </c>
      <c r="AH124" t="s">
        <v>49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477</v>
      </c>
      <c r="G125" t="s">
        <v>37</v>
      </c>
      <c r="H125" t="s">
        <v>38</v>
      </c>
      <c r="I125" t="s">
        <v>478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2</v>
      </c>
      <c r="P125" s="8">
        <v>45251.73028935185</v>
      </c>
      <c r="Q125" s="9">
        <v>45252</v>
      </c>
      <c r="R125" t="s">
        <v>37</v>
      </c>
      <c r="S125" t="s">
        <v>44</v>
      </c>
      <c r="T125" t="s">
        <v>45</v>
      </c>
      <c r="U125" t="s">
        <v>66</v>
      </c>
      <c r="V125" t="s">
        <v>479</v>
      </c>
      <c r="W125">
        <v>56000</v>
      </c>
      <c r="X125" t="s">
        <v>44</v>
      </c>
      <c r="Y125" t="s">
        <v>480</v>
      </c>
      <c r="Z125" t="s">
        <v>48</v>
      </c>
      <c r="AA125" s="10">
        <f>IF(O125&lt;=1,7,7+0.8*ROUNDUP(O125-1,0))</f>
        <v>7.8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2"/>
        <v>0.46799999999999997</v>
      </c>
      <c r="AG125" s="11">
        <f t="shared" si="3"/>
        <v>8.2680000000000007</v>
      </c>
      <c r="AH125" t="s">
        <v>49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481</v>
      </c>
      <c r="G126" t="s">
        <v>37</v>
      </c>
      <c r="H126" t="s">
        <v>38</v>
      </c>
      <c r="I126" t="s">
        <v>482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1</v>
      </c>
      <c r="P126" s="8">
        <v>45250.657256944447</v>
      </c>
      <c r="Q126" s="9">
        <v>45252</v>
      </c>
      <c r="R126" t="s">
        <v>37</v>
      </c>
      <c r="S126" t="s">
        <v>44</v>
      </c>
      <c r="T126" t="s">
        <v>45</v>
      </c>
      <c r="U126" t="s">
        <v>57</v>
      </c>
      <c r="V126" t="s">
        <v>483</v>
      </c>
      <c r="W126">
        <v>47810</v>
      </c>
      <c r="X126" t="s">
        <v>44</v>
      </c>
      <c r="Y126" t="s">
        <v>484</v>
      </c>
      <c r="Z126" t="s">
        <v>48</v>
      </c>
      <c r="AA126" s="10">
        <f>IF(O126&lt;=1,7,7+0.8*ROUNDUP(O126-1,0))</f>
        <v>7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2"/>
        <v>0.42</v>
      </c>
      <c r="AG126" s="11">
        <f t="shared" si="3"/>
        <v>7.42</v>
      </c>
      <c r="AH126" t="s">
        <v>49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485</v>
      </c>
      <c r="G127" t="s">
        <v>37</v>
      </c>
      <c r="H127" t="s">
        <v>38</v>
      </c>
      <c r="I127" t="s">
        <v>486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2</v>
      </c>
      <c r="P127" s="8">
        <v>45251.636921296296</v>
      </c>
      <c r="Q127" s="9">
        <v>45252</v>
      </c>
      <c r="R127" t="s">
        <v>37</v>
      </c>
      <c r="S127" t="s">
        <v>44</v>
      </c>
      <c r="T127" t="s">
        <v>45</v>
      </c>
      <c r="U127" t="s">
        <v>57</v>
      </c>
      <c r="V127" t="s">
        <v>487</v>
      </c>
      <c r="W127">
        <v>43500</v>
      </c>
      <c r="X127" t="s">
        <v>44</v>
      </c>
      <c r="Y127" t="s">
        <v>488</v>
      </c>
      <c r="Z127" t="s">
        <v>48</v>
      </c>
      <c r="AA127" s="10">
        <f>IF(O127&lt;=1,7,7+0.8*ROUNDUP(O127-1,0))</f>
        <v>7.8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2"/>
        <v>0.46799999999999997</v>
      </c>
      <c r="AG127" s="11">
        <f t="shared" si="3"/>
        <v>8.2680000000000007</v>
      </c>
      <c r="AH127" t="s">
        <v>49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489</v>
      </c>
      <c r="G128" t="s">
        <v>37</v>
      </c>
      <c r="H128" t="s">
        <v>38</v>
      </c>
      <c r="I128" t="s">
        <v>490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1</v>
      </c>
      <c r="P128" s="8">
        <v>45252.644456018519</v>
      </c>
      <c r="Q128" s="9">
        <v>45253</v>
      </c>
      <c r="R128" t="s">
        <v>37</v>
      </c>
      <c r="S128" t="s">
        <v>44</v>
      </c>
      <c r="T128" t="s">
        <v>45</v>
      </c>
      <c r="U128" t="s">
        <v>57</v>
      </c>
      <c r="V128" t="s">
        <v>491</v>
      </c>
      <c r="W128">
        <v>48000</v>
      </c>
      <c r="X128" t="s">
        <v>44</v>
      </c>
      <c r="Y128" t="s">
        <v>492</v>
      </c>
      <c r="Z128" t="s">
        <v>48</v>
      </c>
      <c r="AA128" s="10">
        <f>IF(O128&lt;=1,7,7+0.8*ROUNDUP(O128-1,0))</f>
        <v>7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2"/>
        <v>0.42</v>
      </c>
      <c r="AG128" s="11">
        <f t="shared" si="3"/>
        <v>7.42</v>
      </c>
      <c r="AH128" t="s">
        <v>49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493</v>
      </c>
      <c r="G129" t="s">
        <v>37</v>
      </c>
      <c r="H129" t="s">
        <v>38</v>
      </c>
      <c r="I129" t="s">
        <v>494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2</v>
      </c>
      <c r="P129" s="8">
        <v>45251.636921296296</v>
      </c>
      <c r="Q129" s="9">
        <v>45253</v>
      </c>
      <c r="R129" t="s">
        <v>37</v>
      </c>
      <c r="S129" t="s">
        <v>44</v>
      </c>
      <c r="T129" t="s">
        <v>45</v>
      </c>
      <c r="U129" t="s">
        <v>236</v>
      </c>
      <c r="V129" t="s">
        <v>495</v>
      </c>
      <c r="W129">
        <v>9110</v>
      </c>
      <c r="X129" t="s">
        <v>44</v>
      </c>
      <c r="Y129" t="s">
        <v>496</v>
      </c>
      <c r="Z129" t="s">
        <v>48</v>
      </c>
      <c r="AA129" s="10">
        <f>IF(O129&lt;=1,7,7+0.8*ROUNDUP(O129-1,0))</f>
        <v>7.8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2"/>
        <v>0.46799999999999997</v>
      </c>
      <c r="AG129" s="11">
        <f t="shared" si="3"/>
        <v>8.2680000000000007</v>
      </c>
      <c r="AH129" t="s">
        <v>49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497</v>
      </c>
      <c r="G130" t="s">
        <v>37</v>
      </c>
      <c r="H130" t="s">
        <v>38</v>
      </c>
      <c r="I130" t="s">
        <v>498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1</v>
      </c>
      <c r="P130" s="8">
        <v>45252.644456018519</v>
      </c>
      <c r="Q130" s="9">
        <v>45253</v>
      </c>
      <c r="R130" t="s">
        <v>37</v>
      </c>
      <c r="S130" t="s">
        <v>44</v>
      </c>
      <c r="T130" t="s">
        <v>45</v>
      </c>
      <c r="U130" t="s">
        <v>57</v>
      </c>
      <c r="V130" t="s">
        <v>499</v>
      </c>
      <c r="W130">
        <v>41050</v>
      </c>
      <c r="X130" t="s">
        <v>44</v>
      </c>
      <c r="Y130" t="s">
        <v>500</v>
      </c>
      <c r="Z130" t="s">
        <v>48</v>
      </c>
      <c r="AA130" s="10">
        <f>IF(O130&lt;=1,7,7+0.8*ROUNDUP(O130-1,0))</f>
        <v>7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4">(AA130+AC130+AE130)*6%</f>
        <v>0.42</v>
      </c>
      <c r="AG130" s="11">
        <f t="shared" ref="AG130:AG193" si="5">AA130+AC130+AE130+AF130</f>
        <v>7.42</v>
      </c>
      <c r="AH130" t="s">
        <v>49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501</v>
      </c>
      <c r="G131" t="s">
        <v>37</v>
      </c>
      <c r="H131" t="s">
        <v>38</v>
      </c>
      <c r="I131" t="s">
        <v>502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1</v>
      </c>
      <c r="P131" s="8">
        <v>45251.710682870369</v>
      </c>
      <c r="Q131" s="9">
        <v>45253</v>
      </c>
      <c r="R131" t="s">
        <v>37</v>
      </c>
      <c r="S131" t="s">
        <v>44</v>
      </c>
      <c r="T131" t="s">
        <v>45</v>
      </c>
      <c r="U131" t="s">
        <v>187</v>
      </c>
      <c r="V131" t="s">
        <v>503</v>
      </c>
      <c r="W131">
        <v>34000</v>
      </c>
      <c r="X131" t="s">
        <v>44</v>
      </c>
      <c r="Y131" t="s">
        <v>63</v>
      </c>
      <c r="Z131" t="s">
        <v>48</v>
      </c>
      <c r="AA131" s="10">
        <f>IF(O131&lt;=1,7,7+0.8*ROUNDUP(O131-1,0))</f>
        <v>7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0.42</v>
      </c>
      <c r="AG131" s="11">
        <f t="shared" si="5"/>
        <v>7.42</v>
      </c>
      <c r="AH131" t="s">
        <v>49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504</v>
      </c>
      <c r="G132" t="s">
        <v>37</v>
      </c>
      <c r="H132" t="s">
        <v>38</v>
      </c>
      <c r="I132" t="s">
        <v>505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</v>
      </c>
      <c r="P132" s="8">
        <v>45251.636921296296</v>
      </c>
      <c r="Q132" s="9">
        <v>45253</v>
      </c>
      <c r="R132" t="s">
        <v>37</v>
      </c>
      <c r="S132" t="s">
        <v>44</v>
      </c>
      <c r="T132" t="s">
        <v>45</v>
      </c>
      <c r="U132" t="s">
        <v>187</v>
      </c>
      <c r="V132" t="s">
        <v>506</v>
      </c>
      <c r="W132">
        <v>33000</v>
      </c>
      <c r="X132" t="s">
        <v>44</v>
      </c>
      <c r="Y132" t="s">
        <v>507</v>
      </c>
      <c r="Z132" t="s">
        <v>48</v>
      </c>
      <c r="AA132" s="10">
        <f>IF(O132&lt;=1,7,7+0.8*ROUNDUP(O132-1,0))</f>
        <v>7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0.42</v>
      </c>
      <c r="AG132" s="11">
        <f t="shared" si="5"/>
        <v>7.42</v>
      </c>
      <c r="AH132" t="s">
        <v>49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508</v>
      </c>
      <c r="G133" t="s">
        <v>37</v>
      </c>
      <c r="H133" t="s">
        <v>38</v>
      </c>
      <c r="I133" t="s">
        <v>509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2</v>
      </c>
      <c r="P133" s="8">
        <v>45252.644456018519</v>
      </c>
      <c r="Q133" s="9">
        <v>45253</v>
      </c>
      <c r="R133" t="s">
        <v>37</v>
      </c>
      <c r="S133" t="s">
        <v>44</v>
      </c>
      <c r="T133" t="s">
        <v>45</v>
      </c>
      <c r="U133" t="s">
        <v>46</v>
      </c>
      <c r="V133" t="s">
        <v>510</v>
      </c>
      <c r="W133">
        <v>28000</v>
      </c>
      <c r="X133" t="s">
        <v>44</v>
      </c>
      <c r="Y133" t="s">
        <v>45</v>
      </c>
      <c r="Z133" t="s">
        <v>48</v>
      </c>
      <c r="AA133" s="10">
        <f>IF(O133&lt;=1,7,7+0.8*ROUNDUP(O133-1,0))</f>
        <v>7.8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0.46799999999999997</v>
      </c>
      <c r="AG133" s="11">
        <f t="shared" si="5"/>
        <v>8.2680000000000007</v>
      </c>
      <c r="AH133" t="s">
        <v>49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511</v>
      </c>
      <c r="G134" t="s">
        <v>37</v>
      </c>
      <c r="H134" t="s">
        <v>38</v>
      </c>
      <c r="I134" t="s">
        <v>512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2</v>
      </c>
      <c r="P134" s="8">
        <v>45252.644456018519</v>
      </c>
      <c r="Q134" s="9">
        <v>45253</v>
      </c>
      <c r="R134" t="s">
        <v>37</v>
      </c>
      <c r="S134" t="s">
        <v>44</v>
      </c>
      <c r="T134" t="s">
        <v>45</v>
      </c>
      <c r="U134" t="s">
        <v>57</v>
      </c>
      <c r="V134" t="s">
        <v>513</v>
      </c>
      <c r="W134">
        <v>42500</v>
      </c>
      <c r="X134" t="s">
        <v>44</v>
      </c>
      <c r="Y134" t="s">
        <v>337</v>
      </c>
      <c r="Z134" t="s">
        <v>48</v>
      </c>
      <c r="AA134" s="10">
        <f>IF(O134&lt;=1,7,7+0.8*ROUNDUP(O134-1,0))</f>
        <v>7.8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0.46799999999999997</v>
      </c>
      <c r="AG134" s="11">
        <f t="shared" si="5"/>
        <v>8.2680000000000007</v>
      </c>
      <c r="AH134" t="s">
        <v>49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514</v>
      </c>
      <c r="G135" t="s">
        <v>37</v>
      </c>
      <c r="H135" t="s">
        <v>38</v>
      </c>
      <c r="I135" t="s">
        <v>515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1</v>
      </c>
      <c r="P135" s="8">
        <v>45252.644456018519</v>
      </c>
      <c r="Q135" s="9">
        <v>45253</v>
      </c>
      <c r="R135" t="s">
        <v>37</v>
      </c>
      <c r="S135" t="s">
        <v>44</v>
      </c>
      <c r="T135" t="s">
        <v>45</v>
      </c>
      <c r="U135" t="s">
        <v>156</v>
      </c>
      <c r="V135" t="s">
        <v>516</v>
      </c>
      <c r="W135">
        <v>16100</v>
      </c>
      <c r="X135" t="s">
        <v>44</v>
      </c>
      <c r="Y135" t="s">
        <v>145</v>
      </c>
      <c r="Z135" t="s">
        <v>48</v>
      </c>
      <c r="AA135" s="10">
        <f>IF(O135&lt;=1,7,7+0.8*ROUNDUP(O135-1,0))</f>
        <v>7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0.42</v>
      </c>
      <c r="AG135" s="11">
        <f t="shared" si="5"/>
        <v>7.42</v>
      </c>
      <c r="AH135" t="s">
        <v>49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517</v>
      </c>
      <c r="G136" t="s">
        <v>37</v>
      </c>
      <c r="H136" t="s">
        <v>38</v>
      </c>
      <c r="I136" t="s">
        <v>518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45250.771284722221</v>
      </c>
      <c r="Q136" s="9">
        <v>45253</v>
      </c>
      <c r="R136" t="s">
        <v>37</v>
      </c>
      <c r="S136" t="s">
        <v>44</v>
      </c>
      <c r="T136" t="s">
        <v>45</v>
      </c>
      <c r="U136" t="s">
        <v>128</v>
      </c>
      <c r="V136" t="s">
        <v>519</v>
      </c>
      <c r="W136">
        <v>73200</v>
      </c>
      <c r="X136" t="s">
        <v>44</v>
      </c>
      <c r="Y136" t="s">
        <v>520</v>
      </c>
      <c r="Z136" t="s">
        <v>48</v>
      </c>
      <c r="AA136" s="10">
        <f>IF(O136&lt;=1,7,7+0.8*ROUNDUP(O136-1,0))</f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0.42</v>
      </c>
      <c r="AG136" s="11">
        <f t="shared" si="5"/>
        <v>7.42</v>
      </c>
      <c r="AH136" t="s">
        <v>49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521</v>
      </c>
      <c r="G137" t="s">
        <v>37</v>
      </c>
      <c r="H137" t="s">
        <v>38</v>
      </c>
      <c r="I137" t="s">
        <v>522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</v>
      </c>
      <c r="P137" s="8">
        <v>45252.59579861111</v>
      </c>
      <c r="Q137" s="9">
        <v>45253</v>
      </c>
      <c r="R137" t="s">
        <v>37</v>
      </c>
      <c r="S137" t="s">
        <v>44</v>
      </c>
      <c r="T137" t="s">
        <v>45</v>
      </c>
      <c r="U137" t="s">
        <v>57</v>
      </c>
      <c r="V137" t="s">
        <v>523</v>
      </c>
      <c r="W137">
        <v>53100</v>
      </c>
      <c r="X137" t="s">
        <v>44</v>
      </c>
      <c r="Y137" t="s">
        <v>63</v>
      </c>
      <c r="Z137" t="s">
        <v>48</v>
      </c>
      <c r="AA137" s="10">
        <f>IF(O137&lt;=1,7,7+0.8*ROUNDUP(O137-1,0))</f>
        <v>7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0.42</v>
      </c>
      <c r="AG137" s="11">
        <f t="shared" si="5"/>
        <v>7.42</v>
      </c>
      <c r="AH137" t="s">
        <v>49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524</v>
      </c>
      <c r="G138" t="s">
        <v>37</v>
      </c>
      <c r="H138" t="s">
        <v>38</v>
      </c>
      <c r="I138" t="s">
        <v>525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45252.634236111109</v>
      </c>
      <c r="Q138" s="9">
        <v>45253</v>
      </c>
      <c r="R138" t="s">
        <v>37</v>
      </c>
      <c r="S138" t="s">
        <v>44</v>
      </c>
      <c r="T138" t="s">
        <v>45</v>
      </c>
      <c r="U138" t="s">
        <v>156</v>
      </c>
      <c r="V138" t="s">
        <v>526</v>
      </c>
      <c r="W138">
        <v>17200</v>
      </c>
      <c r="X138" t="s">
        <v>44</v>
      </c>
      <c r="Y138" t="s">
        <v>145</v>
      </c>
      <c r="Z138" t="s">
        <v>48</v>
      </c>
      <c r="AA138" s="10">
        <f>IF(O138&lt;=1,7,7+0.8*ROUNDUP(O138-1,0))</f>
        <v>7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0.42</v>
      </c>
      <c r="AG138" s="11">
        <f t="shared" si="5"/>
        <v>7.42</v>
      </c>
      <c r="AH138" t="s">
        <v>49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527</v>
      </c>
      <c r="G139" t="s">
        <v>37</v>
      </c>
      <c r="H139" t="s">
        <v>38</v>
      </c>
      <c r="I139" t="s">
        <v>528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1</v>
      </c>
      <c r="P139" s="8">
        <v>45252.644456018519</v>
      </c>
      <c r="Q139" s="9">
        <v>45253</v>
      </c>
      <c r="R139" t="s">
        <v>37</v>
      </c>
      <c r="S139" t="s">
        <v>44</v>
      </c>
      <c r="T139" t="s">
        <v>45</v>
      </c>
      <c r="U139" t="s">
        <v>156</v>
      </c>
      <c r="V139" t="s">
        <v>529</v>
      </c>
      <c r="W139">
        <v>15200</v>
      </c>
      <c r="X139" t="s">
        <v>44</v>
      </c>
      <c r="Y139" t="s">
        <v>145</v>
      </c>
      <c r="Z139" t="s">
        <v>48</v>
      </c>
      <c r="AA139" s="10">
        <f>IF(O139&lt;=1,7,7+0.8*ROUNDUP(O139-1,0))</f>
        <v>7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0.42</v>
      </c>
      <c r="AG139" s="11">
        <f t="shared" si="5"/>
        <v>7.42</v>
      </c>
      <c r="AH139" t="s">
        <v>49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530</v>
      </c>
      <c r="G140" t="s">
        <v>37</v>
      </c>
      <c r="H140" t="s">
        <v>38</v>
      </c>
      <c r="I140" t="s">
        <v>531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2</v>
      </c>
      <c r="P140" s="8">
        <v>45252.507280092592</v>
      </c>
      <c r="Q140" s="9">
        <v>45253</v>
      </c>
      <c r="R140" t="s">
        <v>37</v>
      </c>
      <c r="S140" t="s">
        <v>44</v>
      </c>
      <c r="T140" t="s">
        <v>45</v>
      </c>
      <c r="U140" t="s">
        <v>156</v>
      </c>
      <c r="V140" t="s">
        <v>532</v>
      </c>
      <c r="W140">
        <v>15100</v>
      </c>
      <c r="X140" t="s">
        <v>44</v>
      </c>
      <c r="Y140" t="s">
        <v>145</v>
      </c>
      <c r="Z140" t="s">
        <v>48</v>
      </c>
      <c r="AA140" s="10">
        <f>IF(O140&lt;=1,7,7+0.8*ROUNDUP(O140-1,0))</f>
        <v>7.8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0.46799999999999997</v>
      </c>
      <c r="AG140" s="11">
        <f t="shared" si="5"/>
        <v>8.2680000000000007</v>
      </c>
      <c r="AH140" t="s">
        <v>49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533</v>
      </c>
      <c r="G141" t="s">
        <v>37</v>
      </c>
      <c r="H141" t="s">
        <v>38</v>
      </c>
      <c r="I141" t="s">
        <v>534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1</v>
      </c>
      <c r="P141" s="8">
        <v>45252.644456018519</v>
      </c>
      <c r="Q141" s="9">
        <v>45253</v>
      </c>
      <c r="R141" t="s">
        <v>37</v>
      </c>
      <c r="S141" t="s">
        <v>44</v>
      </c>
      <c r="T141" t="s">
        <v>45</v>
      </c>
      <c r="U141" t="s">
        <v>57</v>
      </c>
      <c r="V141" t="s">
        <v>535</v>
      </c>
      <c r="W141">
        <v>40000</v>
      </c>
      <c r="X141" t="s">
        <v>44</v>
      </c>
      <c r="Y141" t="s">
        <v>219</v>
      </c>
      <c r="Z141" t="s">
        <v>48</v>
      </c>
      <c r="AA141" s="10">
        <f>IF(O141&lt;=1,7,7+0.8*ROUNDUP(O141-1,0))</f>
        <v>7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0.42</v>
      </c>
      <c r="AG141" s="11">
        <f t="shared" si="5"/>
        <v>7.42</v>
      </c>
      <c r="AH141" t="s">
        <v>49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536</v>
      </c>
      <c r="G142" t="s">
        <v>37</v>
      </c>
      <c r="H142" t="s">
        <v>38</v>
      </c>
      <c r="I142" t="s">
        <v>537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45251.73028935185</v>
      </c>
      <c r="Q142" s="9">
        <v>45253</v>
      </c>
      <c r="R142" t="s">
        <v>37</v>
      </c>
      <c r="S142" t="s">
        <v>44</v>
      </c>
      <c r="T142" t="s">
        <v>45</v>
      </c>
      <c r="U142" t="s">
        <v>89</v>
      </c>
      <c r="V142" t="s">
        <v>538</v>
      </c>
      <c r="W142">
        <v>81300</v>
      </c>
      <c r="X142" t="s">
        <v>44</v>
      </c>
      <c r="Y142" t="s">
        <v>116</v>
      </c>
      <c r="Z142" t="s">
        <v>48</v>
      </c>
      <c r="AA142" s="10">
        <f>IF(O142&lt;=1,7,7+0.8*ROUNDUP(O142-1,0))</f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0.42</v>
      </c>
      <c r="AG142" s="11">
        <f t="shared" si="5"/>
        <v>7.42</v>
      </c>
      <c r="AH142" t="s">
        <v>49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539</v>
      </c>
      <c r="G143" t="s">
        <v>37</v>
      </c>
      <c r="H143" t="s">
        <v>38</v>
      </c>
      <c r="I143" t="s">
        <v>540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45248.697187500002</v>
      </c>
      <c r="Q143" s="9">
        <v>45253</v>
      </c>
      <c r="R143" t="s">
        <v>37</v>
      </c>
      <c r="S143" t="s">
        <v>44</v>
      </c>
      <c r="T143" t="s">
        <v>63</v>
      </c>
      <c r="U143" t="s">
        <v>232</v>
      </c>
      <c r="V143" t="s">
        <v>541</v>
      </c>
      <c r="W143">
        <v>98000</v>
      </c>
      <c r="X143" t="s">
        <v>228</v>
      </c>
      <c r="Y143" t="s">
        <v>63</v>
      </c>
      <c r="Z143" t="s">
        <v>48</v>
      </c>
      <c r="AA143" s="12">
        <f>IF(O143&lt;=1,13,IF(O143&lt;=2,23,IF(O143&lt;=3,35,IF(O143&lt;=4,43,IF(O143&lt;=5,53,IF(O143&lt;=6,63,IF(O143&lt;=7,71,IF(O143&lt;=8,79,IF(O143&lt;=9,87,IF(O143&lt;=10,95,IF(O143&lt;=11,105,IF(O143&lt;=12,114,IF(O143&lt;=13,119,IF(O143&lt;=14,127,IF(O143&lt;=15,135,IF(O143&lt;=16,143,IF(O143&lt;=17,153,IF(O143&lt;=18,163,IF(O143&lt;=19,171,IF(O143&lt;=20,185,IF(O143&lt;=21,193,IF(O143&lt;=22,201,IF(O143&lt;=23,210,IF(O143&lt;=24,220,IF(O143&lt;=25,230,IF(O143&lt;=26,240,IF(O143&lt;=27,250,IF(O143&lt;=28,260,IF(O143&lt;=29,270,IF(O143&lt;=30,280,280+10*ROUNDUP(O143-30,0)))))))))))))))))))))))))))))))</f>
        <v>13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0.78</v>
      </c>
      <c r="AG143" s="11">
        <f t="shared" si="5"/>
        <v>13.78</v>
      </c>
      <c r="AH143" t="s">
        <v>229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542</v>
      </c>
      <c r="G144" t="s">
        <v>37</v>
      </c>
      <c r="H144" t="s">
        <v>38</v>
      </c>
      <c r="I144" t="s">
        <v>543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1</v>
      </c>
      <c r="P144" s="8">
        <v>45251.710694444446</v>
      </c>
      <c r="Q144" s="9">
        <v>45253</v>
      </c>
      <c r="R144" t="s">
        <v>37</v>
      </c>
      <c r="S144" t="s">
        <v>44</v>
      </c>
      <c r="T144" t="s">
        <v>45</v>
      </c>
      <c r="U144" t="s">
        <v>187</v>
      </c>
      <c r="V144" t="s">
        <v>544</v>
      </c>
      <c r="W144">
        <v>36800</v>
      </c>
      <c r="X144" t="s">
        <v>44</v>
      </c>
      <c r="Y144" t="s">
        <v>63</v>
      </c>
      <c r="Z144" t="s">
        <v>48</v>
      </c>
      <c r="AA144" s="10">
        <f>IF(O144&lt;=1,7,7+0.8*ROUNDUP(O144-1,0))</f>
        <v>7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0.42</v>
      </c>
      <c r="AG144" s="11">
        <f t="shared" si="5"/>
        <v>7.42</v>
      </c>
      <c r="AH144" t="s">
        <v>49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545</v>
      </c>
      <c r="G145" t="s">
        <v>37</v>
      </c>
      <c r="H145" t="s">
        <v>38</v>
      </c>
      <c r="I145" t="s">
        <v>546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2</v>
      </c>
      <c r="P145" s="8">
        <v>45252.736828703702</v>
      </c>
      <c r="Q145" s="9">
        <v>45253</v>
      </c>
      <c r="R145" t="s">
        <v>37</v>
      </c>
      <c r="S145" t="s">
        <v>44</v>
      </c>
      <c r="T145" t="s">
        <v>45</v>
      </c>
      <c r="U145" t="s">
        <v>128</v>
      </c>
      <c r="V145" t="s">
        <v>547</v>
      </c>
      <c r="W145">
        <v>70300</v>
      </c>
      <c r="X145" t="s">
        <v>44</v>
      </c>
      <c r="Y145" t="s">
        <v>548</v>
      </c>
      <c r="Z145" t="s">
        <v>48</v>
      </c>
      <c r="AA145" s="10">
        <f>IF(O145&lt;=1,7,7+0.8*ROUNDUP(O145-1,0))</f>
        <v>7.8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0.46799999999999997</v>
      </c>
      <c r="AG145" s="11">
        <f t="shared" si="5"/>
        <v>8.2680000000000007</v>
      </c>
      <c r="AH145" t="s">
        <v>49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549</v>
      </c>
      <c r="G146" t="s">
        <v>37</v>
      </c>
      <c r="H146" t="s">
        <v>38</v>
      </c>
      <c r="I146" t="s">
        <v>550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</v>
      </c>
      <c r="P146" s="8">
        <v>45249.764699074076</v>
      </c>
      <c r="Q146" s="9">
        <v>45253</v>
      </c>
      <c r="R146" t="s">
        <v>37</v>
      </c>
      <c r="S146" t="s">
        <v>44</v>
      </c>
      <c r="T146" t="s">
        <v>45</v>
      </c>
      <c r="U146" t="s">
        <v>89</v>
      </c>
      <c r="V146" t="s">
        <v>551</v>
      </c>
      <c r="W146">
        <v>80100</v>
      </c>
      <c r="X146" t="s">
        <v>44</v>
      </c>
      <c r="Y146" t="s">
        <v>552</v>
      </c>
      <c r="Z146" t="s">
        <v>48</v>
      </c>
      <c r="AA146" s="10">
        <f>IF(O146&lt;=1,7,7+0.8*ROUNDUP(O146-1,0))</f>
        <v>7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0.42</v>
      </c>
      <c r="AG146" s="11">
        <f t="shared" si="5"/>
        <v>7.42</v>
      </c>
      <c r="AH146" t="s">
        <v>49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553</v>
      </c>
      <c r="G147" t="s">
        <v>37</v>
      </c>
      <c r="H147" t="s">
        <v>38</v>
      </c>
      <c r="I147" t="s">
        <v>554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1</v>
      </c>
      <c r="P147" s="8">
        <v>45252.657326388886</v>
      </c>
      <c r="Q147" s="9">
        <v>45253</v>
      </c>
      <c r="R147" t="s">
        <v>37</v>
      </c>
      <c r="S147" t="s">
        <v>44</v>
      </c>
      <c r="T147" t="s">
        <v>45</v>
      </c>
      <c r="U147" t="s">
        <v>46</v>
      </c>
      <c r="V147" t="s">
        <v>555</v>
      </c>
      <c r="W147">
        <v>27000</v>
      </c>
      <c r="X147" t="s">
        <v>44</v>
      </c>
      <c r="Y147" t="s">
        <v>45</v>
      </c>
      <c r="Z147" t="s">
        <v>48</v>
      </c>
      <c r="AA147" s="10">
        <f>IF(O147&lt;=1,7,7+0.8*ROUNDUP(O147-1,0))</f>
        <v>7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0.42</v>
      </c>
      <c r="AG147" s="11">
        <f t="shared" si="5"/>
        <v>7.42</v>
      </c>
      <c r="AH147" t="s">
        <v>49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556</v>
      </c>
      <c r="G148" t="s">
        <v>37</v>
      </c>
      <c r="H148" t="s">
        <v>38</v>
      </c>
      <c r="I148" t="s">
        <v>557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45252.644456018519</v>
      </c>
      <c r="Q148" s="9">
        <v>45253</v>
      </c>
      <c r="R148" t="s">
        <v>37</v>
      </c>
      <c r="S148" t="s">
        <v>44</v>
      </c>
      <c r="T148" t="s">
        <v>45</v>
      </c>
      <c r="U148" t="s">
        <v>46</v>
      </c>
      <c r="V148" t="s">
        <v>558</v>
      </c>
      <c r="W148">
        <v>25050</v>
      </c>
      <c r="X148" t="s">
        <v>44</v>
      </c>
      <c r="Y148" t="s">
        <v>45</v>
      </c>
      <c r="Z148" t="s">
        <v>48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0.42</v>
      </c>
      <c r="AG148" s="11">
        <f t="shared" si="5"/>
        <v>7.42</v>
      </c>
      <c r="AH148" t="s">
        <v>49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559</v>
      </c>
      <c r="G149" t="s">
        <v>37</v>
      </c>
      <c r="H149" t="s">
        <v>38</v>
      </c>
      <c r="I149" t="s">
        <v>560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1</v>
      </c>
      <c r="P149" s="8">
        <v>45252.713796296295</v>
      </c>
      <c r="Q149" s="9">
        <v>45253</v>
      </c>
      <c r="R149" t="s">
        <v>37</v>
      </c>
      <c r="S149" t="s">
        <v>44</v>
      </c>
      <c r="T149" t="s">
        <v>45</v>
      </c>
      <c r="U149" t="s">
        <v>156</v>
      </c>
      <c r="V149" t="s">
        <v>561</v>
      </c>
      <c r="W149">
        <v>18300</v>
      </c>
      <c r="X149" t="s">
        <v>44</v>
      </c>
      <c r="Y149" t="s">
        <v>145</v>
      </c>
      <c r="Z149" t="s">
        <v>48</v>
      </c>
      <c r="AA149" s="10">
        <f>IF(O149&lt;=1,7,7+0.8*ROUNDUP(O149-1,0))</f>
        <v>7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0.42</v>
      </c>
      <c r="AG149" s="11">
        <f t="shared" si="5"/>
        <v>7.42</v>
      </c>
      <c r="AH149" t="s">
        <v>49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562</v>
      </c>
      <c r="G150" t="s">
        <v>37</v>
      </c>
      <c r="H150" t="s">
        <v>38</v>
      </c>
      <c r="I150" t="s">
        <v>563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1</v>
      </c>
      <c r="P150" s="8">
        <v>45251.734050925923</v>
      </c>
      <c r="Q150" s="9">
        <v>45253</v>
      </c>
      <c r="R150" t="s">
        <v>37</v>
      </c>
      <c r="S150" t="s">
        <v>44</v>
      </c>
      <c r="T150" t="s">
        <v>45</v>
      </c>
      <c r="U150" t="s">
        <v>187</v>
      </c>
      <c r="V150" t="s">
        <v>564</v>
      </c>
      <c r="W150">
        <v>32000</v>
      </c>
      <c r="X150" t="s">
        <v>44</v>
      </c>
      <c r="Y150" t="s">
        <v>565</v>
      </c>
      <c r="Z150" t="s">
        <v>48</v>
      </c>
      <c r="AA150" s="10">
        <f>IF(O150&lt;=1,7,7+0.8*ROUNDUP(O150-1,0))</f>
        <v>7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0.42</v>
      </c>
      <c r="AG150" s="11">
        <f t="shared" si="5"/>
        <v>7.42</v>
      </c>
      <c r="AH150" t="s">
        <v>49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566</v>
      </c>
      <c r="G151" t="s">
        <v>37</v>
      </c>
      <c r="H151" t="s">
        <v>38</v>
      </c>
      <c r="I151" t="s">
        <v>567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1</v>
      </c>
      <c r="P151" s="8">
        <v>45251.710682870369</v>
      </c>
      <c r="Q151" s="9">
        <v>45253</v>
      </c>
      <c r="R151" t="s">
        <v>37</v>
      </c>
      <c r="S151" t="s">
        <v>44</v>
      </c>
      <c r="T151" t="s">
        <v>45</v>
      </c>
      <c r="U151" t="s">
        <v>187</v>
      </c>
      <c r="V151" t="s">
        <v>568</v>
      </c>
      <c r="W151">
        <v>36000</v>
      </c>
      <c r="X151" t="s">
        <v>44</v>
      </c>
      <c r="Y151" t="s">
        <v>63</v>
      </c>
      <c r="Z151" t="s">
        <v>48</v>
      </c>
      <c r="AA151" s="10">
        <f>IF(O151&lt;=1,7,7+0.8*ROUNDUP(O151-1,0))</f>
        <v>7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0.42</v>
      </c>
      <c r="AG151" s="11">
        <f t="shared" si="5"/>
        <v>7.42</v>
      </c>
      <c r="AH151" t="s">
        <v>49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569</v>
      </c>
      <c r="G152" t="s">
        <v>37</v>
      </c>
      <c r="H152" t="s">
        <v>38</v>
      </c>
      <c r="I152" t="s">
        <v>570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1</v>
      </c>
      <c r="P152" s="8">
        <v>45252.705011574071</v>
      </c>
      <c r="Q152" s="9">
        <v>45253</v>
      </c>
      <c r="R152" t="s">
        <v>37</v>
      </c>
      <c r="S152" t="s">
        <v>44</v>
      </c>
      <c r="T152" t="s">
        <v>45</v>
      </c>
      <c r="U152" t="s">
        <v>156</v>
      </c>
      <c r="V152" t="s">
        <v>571</v>
      </c>
      <c r="W152">
        <v>17600</v>
      </c>
      <c r="X152" t="s">
        <v>44</v>
      </c>
      <c r="Y152" t="s">
        <v>145</v>
      </c>
      <c r="Z152" t="s">
        <v>48</v>
      </c>
      <c r="AA152" s="10">
        <f>IF(O152&lt;=1,7,7+0.8*ROUNDUP(O152-1,0))</f>
        <v>7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0.42</v>
      </c>
      <c r="AG152" s="11">
        <f t="shared" si="5"/>
        <v>7.42</v>
      </c>
      <c r="AH152" t="s">
        <v>49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572</v>
      </c>
      <c r="G153" t="s">
        <v>37</v>
      </c>
      <c r="H153" t="s">
        <v>38</v>
      </c>
      <c r="I153" t="s">
        <v>573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1</v>
      </c>
      <c r="P153" s="8">
        <v>45250.769791666666</v>
      </c>
      <c r="Q153" s="9">
        <v>45253</v>
      </c>
      <c r="R153" t="s">
        <v>37</v>
      </c>
      <c r="S153" t="s">
        <v>44</v>
      </c>
      <c r="T153" t="s">
        <v>45</v>
      </c>
      <c r="U153" t="s">
        <v>89</v>
      </c>
      <c r="V153" t="s">
        <v>574</v>
      </c>
      <c r="W153">
        <v>81700</v>
      </c>
      <c r="X153" t="s">
        <v>44</v>
      </c>
      <c r="Y153" t="s">
        <v>575</v>
      </c>
      <c r="Z153" t="s">
        <v>48</v>
      </c>
      <c r="AA153" s="10">
        <f>IF(O153&lt;=1,7,7+0.8*ROUNDUP(O153-1,0))</f>
        <v>7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0.42</v>
      </c>
      <c r="AG153" s="11">
        <f t="shared" si="5"/>
        <v>7.42</v>
      </c>
      <c r="AH153" t="s">
        <v>49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576</v>
      </c>
      <c r="G154" t="s">
        <v>37</v>
      </c>
      <c r="H154" t="s">
        <v>38</v>
      </c>
      <c r="I154" t="s">
        <v>577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5</v>
      </c>
      <c r="P154" s="8">
        <v>45252.626666666663</v>
      </c>
      <c r="Q154" s="9">
        <v>45254</v>
      </c>
      <c r="R154" t="s">
        <v>37</v>
      </c>
      <c r="S154" t="s">
        <v>44</v>
      </c>
      <c r="T154" t="s">
        <v>45</v>
      </c>
      <c r="U154" t="s">
        <v>236</v>
      </c>
      <c r="V154" t="s">
        <v>578</v>
      </c>
      <c r="W154">
        <v>6550</v>
      </c>
      <c r="X154" t="s">
        <v>44</v>
      </c>
      <c r="Y154" t="s">
        <v>579</v>
      </c>
      <c r="Z154" t="s">
        <v>48</v>
      </c>
      <c r="AA154" s="10">
        <f>IF(O154&lt;=1,7,7+0.8*ROUNDUP(O154-1,0))</f>
        <v>10.199999999999999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0.61199999999999999</v>
      </c>
      <c r="AG154" s="11">
        <f t="shared" si="5"/>
        <v>10.811999999999999</v>
      </c>
      <c r="AH154" t="s">
        <v>49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580</v>
      </c>
      <c r="G155" t="s">
        <v>37</v>
      </c>
      <c r="H155" t="s">
        <v>38</v>
      </c>
      <c r="I155" t="s">
        <v>581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2</v>
      </c>
      <c r="P155" s="8">
        <v>45253.658599537041</v>
      </c>
      <c r="Q155" s="9">
        <v>45254</v>
      </c>
      <c r="R155" t="s">
        <v>37</v>
      </c>
      <c r="S155" t="s">
        <v>44</v>
      </c>
      <c r="T155" t="s">
        <v>45</v>
      </c>
      <c r="U155" t="s">
        <v>66</v>
      </c>
      <c r="V155" t="s">
        <v>582</v>
      </c>
      <c r="W155">
        <v>56100</v>
      </c>
      <c r="X155" t="s">
        <v>44</v>
      </c>
      <c r="Y155" t="s">
        <v>480</v>
      </c>
      <c r="Z155" t="s">
        <v>48</v>
      </c>
      <c r="AA155" s="10">
        <f>IF(O155&lt;=1,7,7+0.8*ROUNDUP(O155-1,0))</f>
        <v>7.8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0.46799999999999997</v>
      </c>
      <c r="AG155" s="11">
        <f t="shared" si="5"/>
        <v>8.2680000000000007</v>
      </c>
      <c r="AH155" t="s">
        <v>49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583</v>
      </c>
      <c r="G156" t="s">
        <v>37</v>
      </c>
      <c r="H156" t="s">
        <v>38</v>
      </c>
      <c r="I156" t="s">
        <v>584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1</v>
      </c>
      <c r="P156" s="8">
        <v>45253.645624999997</v>
      </c>
      <c r="Q156" s="9">
        <v>45254</v>
      </c>
      <c r="R156" t="s">
        <v>37</v>
      </c>
      <c r="S156" t="s">
        <v>44</v>
      </c>
      <c r="T156" t="s">
        <v>45</v>
      </c>
      <c r="U156" t="s">
        <v>46</v>
      </c>
      <c r="V156" t="s">
        <v>585</v>
      </c>
      <c r="W156">
        <v>28000</v>
      </c>
      <c r="X156" t="s">
        <v>44</v>
      </c>
      <c r="Y156" t="s">
        <v>45</v>
      </c>
      <c r="Z156" t="s">
        <v>48</v>
      </c>
      <c r="AA156" s="10">
        <f>IF(O156&lt;=1,7,7+0.8*ROUNDUP(O156-1,0))</f>
        <v>7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0.42</v>
      </c>
      <c r="AG156" s="11">
        <f t="shared" si="5"/>
        <v>7.42</v>
      </c>
      <c r="AH156" t="s">
        <v>49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586</v>
      </c>
      <c r="G157" t="s">
        <v>37</v>
      </c>
      <c r="H157" t="s">
        <v>38</v>
      </c>
      <c r="I157" t="s">
        <v>587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1</v>
      </c>
      <c r="P157" s="8">
        <v>45253.645624999997</v>
      </c>
      <c r="Q157" s="9">
        <v>45254</v>
      </c>
      <c r="R157" t="s">
        <v>37</v>
      </c>
      <c r="S157" t="s">
        <v>44</v>
      </c>
      <c r="T157" t="s">
        <v>45</v>
      </c>
      <c r="U157" t="s">
        <v>57</v>
      </c>
      <c r="V157" t="s">
        <v>588</v>
      </c>
      <c r="W157">
        <v>48050</v>
      </c>
      <c r="X157" t="s">
        <v>44</v>
      </c>
      <c r="Y157" t="s">
        <v>149</v>
      </c>
      <c r="Z157" t="s">
        <v>48</v>
      </c>
      <c r="AA157" s="10">
        <f>IF(O157&lt;=1,7,7+0.8*ROUNDUP(O157-1,0))</f>
        <v>7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4"/>
        <v>0.42</v>
      </c>
      <c r="AG157" s="11">
        <f t="shared" si="5"/>
        <v>7.42</v>
      </c>
      <c r="AH157" t="s">
        <v>49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589</v>
      </c>
      <c r="G158" t="s">
        <v>37</v>
      </c>
      <c r="H158" t="s">
        <v>38</v>
      </c>
      <c r="I158" t="s">
        <v>590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45253.645624999997</v>
      </c>
      <c r="Q158" s="9">
        <v>45254</v>
      </c>
      <c r="R158" t="s">
        <v>37</v>
      </c>
      <c r="S158" t="s">
        <v>44</v>
      </c>
      <c r="T158" t="s">
        <v>45</v>
      </c>
      <c r="U158" t="s">
        <v>52</v>
      </c>
      <c r="V158" t="s">
        <v>591</v>
      </c>
      <c r="W158">
        <v>24000</v>
      </c>
      <c r="X158" t="s">
        <v>44</v>
      </c>
      <c r="Y158" t="s">
        <v>45</v>
      </c>
      <c r="Z158" t="s">
        <v>48</v>
      </c>
      <c r="AA158" s="10">
        <f>IF(O158&lt;=1,7,7+0.8*ROUNDUP(O158-1,0))</f>
        <v>7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4"/>
        <v>0.42</v>
      </c>
      <c r="AG158" s="11">
        <f t="shared" si="5"/>
        <v>7.42</v>
      </c>
      <c r="AH158" t="s">
        <v>49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592</v>
      </c>
      <c r="G159" t="s">
        <v>37</v>
      </c>
      <c r="H159" t="s">
        <v>38</v>
      </c>
      <c r="I159" t="s">
        <v>593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2</v>
      </c>
      <c r="P159" s="8">
        <v>45253.634456018517</v>
      </c>
      <c r="Q159" s="9">
        <v>45254</v>
      </c>
      <c r="R159" t="s">
        <v>37</v>
      </c>
      <c r="S159" t="s">
        <v>44</v>
      </c>
      <c r="T159" t="s">
        <v>45</v>
      </c>
      <c r="U159" t="s">
        <v>52</v>
      </c>
      <c r="V159" t="s">
        <v>594</v>
      </c>
      <c r="W159">
        <v>20050</v>
      </c>
      <c r="X159" t="s">
        <v>44</v>
      </c>
      <c r="Y159" t="s">
        <v>368</v>
      </c>
      <c r="Z159" t="s">
        <v>48</v>
      </c>
      <c r="AA159" s="10">
        <f>IF(O159&lt;=1,7,7+0.8*ROUNDUP(O159-1,0))</f>
        <v>7.8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4"/>
        <v>0.46799999999999997</v>
      </c>
      <c r="AG159" s="11">
        <f t="shared" si="5"/>
        <v>8.2680000000000007</v>
      </c>
      <c r="AH159" t="s">
        <v>49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595</v>
      </c>
      <c r="G160" t="s">
        <v>37</v>
      </c>
      <c r="H160" t="s">
        <v>38</v>
      </c>
      <c r="I160" t="s">
        <v>596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45253.722210648149</v>
      </c>
      <c r="Q160" s="9">
        <v>45254</v>
      </c>
      <c r="R160" t="s">
        <v>37</v>
      </c>
      <c r="S160" t="s">
        <v>44</v>
      </c>
      <c r="T160" t="s">
        <v>45</v>
      </c>
      <c r="U160" t="s">
        <v>66</v>
      </c>
      <c r="V160" t="s">
        <v>597</v>
      </c>
      <c r="W160">
        <v>50050</v>
      </c>
      <c r="X160" t="s">
        <v>44</v>
      </c>
      <c r="Y160" t="s">
        <v>63</v>
      </c>
      <c r="Z160" t="s">
        <v>48</v>
      </c>
      <c r="AA160" s="10">
        <f>IF(O160&lt;=1,7,7+0.8*ROUNDUP(O160-1,0))</f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4"/>
        <v>0.42</v>
      </c>
      <c r="AG160" s="11">
        <f t="shared" si="5"/>
        <v>7.42</v>
      </c>
      <c r="AH160" t="s">
        <v>49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598</v>
      </c>
      <c r="G161" t="s">
        <v>37</v>
      </c>
      <c r="H161" t="s">
        <v>38</v>
      </c>
      <c r="I161" t="s">
        <v>599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2</v>
      </c>
      <c r="P161" s="8">
        <v>45251.73028935185</v>
      </c>
      <c r="Q161" s="9">
        <v>45254</v>
      </c>
      <c r="R161" t="s">
        <v>37</v>
      </c>
      <c r="S161" t="s">
        <v>44</v>
      </c>
      <c r="T161" t="s">
        <v>45</v>
      </c>
      <c r="U161" t="s">
        <v>232</v>
      </c>
      <c r="V161" t="s">
        <v>600</v>
      </c>
      <c r="W161">
        <v>93050</v>
      </c>
      <c r="X161" t="s">
        <v>228</v>
      </c>
      <c r="Y161" t="s">
        <v>63</v>
      </c>
      <c r="Z161" t="s">
        <v>48</v>
      </c>
      <c r="AA161" s="12">
        <f>IF(O161&lt;=1,13,IF(O161&lt;=2,23,IF(O161&lt;=3,35,IF(O161&lt;=4,43,IF(O161&lt;=5,53,IF(O161&lt;=6,63,IF(O161&lt;=7,71,IF(O161&lt;=8,79,IF(O161&lt;=9,87,IF(O161&lt;=10,95,IF(O161&lt;=11,105,IF(O161&lt;=12,114,IF(O161&lt;=13,119,IF(O161&lt;=14,127,IF(O161&lt;=15,135,IF(O161&lt;=16,143,IF(O161&lt;=17,153,IF(O161&lt;=18,163,IF(O161&lt;=19,171,IF(O161&lt;=20,185,IF(O161&lt;=21,193,IF(O161&lt;=22,201,IF(O161&lt;=23,210,IF(O161&lt;=24,220,IF(O161&lt;=25,230,IF(O161&lt;=26,240,IF(O161&lt;=27,250,IF(O161&lt;=28,260,IF(O161&lt;=29,270,IF(O161&lt;=30,280,280+10*ROUNDUP(O161-30,0)))))))))))))))))))))))))))))))</f>
        <v>23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4"/>
        <v>1.38</v>
      </c>
      <c r="AG161" s="11">
        <f t="shared" si="5"/>
        <v>24.38</v>
      </c>
      <c r="AH161" t="s">
        <v>229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601</v>
      </c>
      <c r="G162" t="s">
        <v>37</v>
      </c>
      <c r="H162" t="s">
        <v>38</v>
      </c>
      <c r="I162" t="s">
        <v>602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2</v>
      </c>
      <c r="P162" s="8">
        <v>45253.634456018517</v>
      </c>
      <c r="Q162" s="9">
        <v>45254</v>
      </c>
      <c r="R162" t="s">
        <v>37</v>
      </c>
      <c r="S162" t="s">
        <v>44</v>
      </c>
      <c r="T162" t="s">
        <v>45</v>
      </c>
      <c r="U162" t="s">
        <v>57</v>
      </c>
      <c r="V162" t="s">
        <v>603</v>
      </c>
      <c r="W162">
        <v>42200</v>
      </c>
      <c r="X162" t="s">
        <v>44</v>
      </c>
      <c r="Y162" t="s">
        <v>223</v>
      </c>
      <c r="Z162" t="s">
        <v>48</v>
      </c>
      <c r="AA162" s="10">
        <f>IF(O162&lt;=1,7,7+0.8*ROUNDUP(O162-1,0))</f>
        <v>7.8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4"/>
        <v>0.46799999999999997</v>
      </c>
      <c r="AG162" s="11">
        <f t="shared" si="5"/>
        <v>8.2680000000000007</v>
      </c>
      <c r="AH162" t="s">
        <v>49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604</v>
      </c>
      <c r="G163" t="s">
        <v>37</v>
      </c>
      <c r="H163" t="s">
        <v>38</v>
      </c>
      <c r="I163" t="s">
        <v>605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1</v>
      </c>
      <c r="P163" s="8">
        <v>45253.615300925929</v>
      </c>
      <c r="Q163" s="9">
        <v>45254</v>
      </c>
      <c r="R163" t="s">
        <v>37</v>
      </c>
      <c r="S163" t="s">
        <v>44</v>
      </c>
      <c r="T163" t="s">
        <v>45</v>
      </c>
      <c r="U163" t="s">
        <v>66</v>
      </c>
      <c r="V163" t="s">
        <v>606</v>
      </c>
      <c r="W163">
        <v>55200</v>
      </c>
      <c r="X163" t="s">
        <v>44</v>
      </c>
      <c r="Y163" t="s">
        <v>431</v>
      </c>
      <c r="Z163" t="s">
        <v>48</v>
      </c>
      <c r="AA163" s="10">
        <f>IF(O163&lt;=1,7,7+0.8*ROUNDUP(O163-1,0))</f>
        <v>7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4"/>
        <v>0.42</v>
      </c>
      <c r="AG163" s="11">
        <f t="shared" si="5"/>
        <v>7.42</v>
      </c>
      <c r="AH163" t="s">
        <v>49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607</v>
      </c>
      <c r="G164" t="s">
        <v>37</v>
      </c>
      <c r="H164" t="s">
        <v>38</v>
      </c>
      <c r="I164" t="s">
        <v>608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2</v>
      </c>
      <c r="P164" s="8">
        <v>45253.622094907405</v>
      </c>
      <c r="Q164" s="9">
        <v>45254</v>
      </c>
      <c r="R164" t="s">
        <v>37</v>
      </c>
      <c r="S164" t="s">
        <v>44</v>
      </c>
      <c r="T164" t="s">
        <v>45</v>
      </c>
      <c r="U164" t="s">
        <v>57</v>
      </c>
      <c r="V164" t="s">
        <v>609</v>
      </c>
      <c r="W164">
        <v>40000</v>
      </c>
      <c r="X164" t="s">
        <v>44</v>
      </c>
      <c r="Y164" t="s">
        <v>63</v>
      </c>
      <c r="Z164" t="s">
        <v>48</v>
      </c>
      <c r="AA164" s="10">
        <f>IF(O164&lt;=1,7,7+0.8*ROUNDUP(O164-1,0))</f>
        <v>7.8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4"/>
        <v>0.46799999999999997</v>
      </c>
      <c r="AG164" s="11">
        <f t="shared" si="5"/>
        <v>8.2680000000000007</v>
      </c>
      <c r="AH164" t="s">
        <v>49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610</v>
      </c>
      <c r="G165" t="s">
        <v>37</v>
      </c>
      <c r="H165" t="s">
        <v>38</v>
      </c>
      <c r="I165" t="s">
        <v>522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45253.705023148148</v>
      </c>
      <c r="Q165" s="9">
        <v>45254</v>
      </c>
      <c r="R165" t="s">
        <v>37</v>
      </c>
      <c r="S165" t="s">
        <v>44</v>
      </c>
      <c r="T165" t="s">
        <v>45</v>
      </c>
      <c r="U165" t="s">
        <v>57</v>
      </c>
      <c r="V165" t="s">
        <v>523</v>
      </c>
      <c r="W165">
        <v>53100</v>
      </c>
      <c r="X165" t="s">
        <v>44</v>
      </c>
      <c r="Y165" t="s">
        <v>63</v>
      </c>
      <c r="Z165" t="s">
        <v>48</v>
      </c>
      <c r="AA165" s="10">
        <f>IF(O165&lt;=1,7,7+0.8*ROUNDUP(O165-1,0))</f>
        <v>7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4"/>
        <v>0.42</v>
      </c>
      <c r="AG165" s="11">
        <f t="shared" si="5"/>
        <v>7.42</v>
      </c>
      <c r="AH165" t="s">
        <v>49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611</v>
      </c>
      <c r="G166" t="s">
        <v>37</v>
      </c>
      <c r="H166" t="s">
        <v>38</v>
      </c>
      <c r="I166" t="s">
        <v>612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1</v>
      </c>
      <c r="P166" s="8">
        <v>45253.683703703704</v>
      </c>
      <c r="Q166" s="9">
        <v>45254</v>
      </c>
      <c r="R166" t="s">
        <v>37</v>
      </c>
      <c r="S166" t="s">
        <v>44</v>
      </c>
      <c r="T166" t="s">
        <v>45</v>
      </c>
      <c r="U166" t="s">
        <v>57</v>
      </c>
      <c r="V166" t="s">
        <v>613</v>
      </c>
      <c r="W166">
        <v>48000</v>
      </c>
      <c r="X166" t="s">
        <v>44</v>
      </c>
      <c r="Y166" t="s">
        <v>614</v>
      </c>
      <c r="Z166" t="s">
        <v>48</v>
      </c>
      <c r="AA166" s="10">
        <f>IF(O166&lt;=1,7,7+0.8*ROUNDUP(O166-1,0))</f>
        <v>7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4"/>
        <v>0.42</v>
      </c>
      <c r="AG166" s="11">
        <f t="shared" si="5"/>
        <v>7.42</v>
      </c>
      <c r="AH166" t="s">
        <v>49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615</v>
      </c>
      <c r="G167" t="s">
        <v>37</v>
      </c>
      <c r="H167" t="s">
        <v>38</v>
      </c>
      <c r="I167" t="s">
        <v>616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1</v>
      </c>
      <c r="P167" s="8">
        <v>45252.708865740744</v>
      </c>
      <c r="Q167" s="9">
        <v>45254</v>
      </c>
      <c r="R167" t="s">
        <v>37</v>
      </c>
      <c r="S167" t="s">
        <v>44</v>
      </c>
      <c r="T167" t="s">
        <v>45</v>
      </c>
      <c r="U167" t="s">
        <v>187</v>
      </c>
      <c r="V167" t="s">
        <v>617</v>
      </c>
      <c r="W167">
        <v>30020</v>
      </c>
      <c r="X167" t="s">
        <v>44</v>
      </c>
      <c r="Y167" t="s">
        <v>63</v>
      </c>
      <c r="Z167" t="s">
        <v>48</v>
      </c>
      <c r="AA167" s="10">
        <f>IF(O167&lt;=1,7,7+0.8*ROUNDUP(O167-1,0))</f>
        <v>7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4"/>
        <v>0.42</v>
      </c>
      <c r="AG167" s="11">
        <f t="shared" si="5"/>
        <v>7.42</v>
      </c>
      <c r="AH167" t="s">
        <v>49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618</v>
      </c>
      <c r="G168" t="s">
        <v>37</v>
      </c>
      <c r="H168" t="s">
        <v>38</v>
      </c>
      <c r="I168" t="s">
        <v>619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45252.817013888889</v>
      </c>
      <c r="Q168" s="9">
        <v>45254</v>
      </c>
      <c r="R168" t="s">
        <v>37</v>
      </c>
      <c r="S168" t="s">
        <v>44</v>
      </c>
      <c r="T168" t="s">
        <v>45</v>
      </c>
      <c r="U168" t="s">
        <v>57</v>
      </c>
      <c r="V168" t="s">
        <v>620</v>
      </c>
      <c r="W168">
        <v>43900</v>
      </c>
      <c r="X168" t="s">
        <v>44</v>
      </c>
      <c r="Y168" t="s">
        <v>63</v>
      </c>
      <c r="Z168" t="s">
        <v>48</v>
      </c>
      <c r="AA168" s="10">
        <f>IF(O168&lt;=1,7,7+0.8*ROUNDUP(O168-1,0))</f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4"/>
        <v>0.42</v>
      </c>
      <c r="AG168" s="11">
        <f t="shared" si="5"/>
        <v>7.42</v>
      </c>
      <c r="AH168" t="s">
        <v>49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621</v>
      </c>
      <c r="G169" t="s">
        <v>37</v>
      </c>
      <c r="H169" t="s">
        <v>38</v>
      </c>
      <c r="I169" t="s">
        <v>622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45253.75949074074</v>
      </c>
      <c r="Q169" s="9">
        <v>45254</v>
      </c>
      <c r="R169" t="s">
        <v>37</v>
      </c>
      <c r="S169" t="s">
        <v>44</v>
      </c>
      <c r="T169" t="s">
        <v>45</v>
      </c>
      <c r="U169" t="s">
        <v>52</v>
      </c>
      <c r="V169" t="s">
        <v>623</v>
      </c>
      <c r="W169">
        <v>22000</v>
      </c>
      <c r="X169" t="s">
        <v>44</v>
      </c>
      <c r="Y169" t="s">
        <v>145</v>
      </c>
      <c r="Z169" t="s">
        <v>48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4"/>
        <v>0.42</v>
      </c>
      <c r="AG169" s="11">
        <f t="shared" si="5"/>
        <v>7.42</v>
      </c>
      <c r="AH169" t="s">
        <v>49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624</v>
      </c>
      <c r="G170" t="s">
        <v>37</v>
      </c>
      <c r="H170" t="s">
        <v>38</v>
      </c>
      <c r="I170" t="s">
        <v>625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2</v>
      </c>
      <c r="P170" s="8">
        <v>45253.634456018517</v>
      </c>
      <c r="Q170" s="9">
        <v>45254</v>
      </c>
      <c r="R170" t="s">
        <v>37</v>
      </c>
      <c r="S170" t="s">
        <v>44</v>
      </c>
      <c r="T170" t="s">
        <v>45</v>
      </c>
      <c r="U170" t="s">
        <v>52</v>
      </c>
      <c r="V170" t="s">
        <v>626</v>
      </c>
      <c r="W170">
        <v>23100</v>
      </c>
      <c r="X170" t="s">
        <v>44</v>
      </c>
      <c r="Y170" t="s">
        <v>368</v>
      </c>
      <c r="Z170" t="s">
        <v>48</v>
      </c>
      <c r="AA170" s="10">
        <f>IF(O170&lt;=1,7,7+0.8*ROUNDUP(O170-1,0))</f>
        <v>7.8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4"/>
        <v>0.46799999999999997</v>
      </c>
      <c r="AG170" s="11">
        <f t="shared" si="5"/>
        <v>8.2680000000000007</v>
      </c>
      <c r="AH170" t="s">
        <v>49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627</v>
      </c>
      <c r="G171" t="s">
        <v>37</v>
      </c>
      <c r="H171" t="s">
        <v>38</v>
      </c>
      <c r="I171" t="s">
        <v>628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1</v>
      </c>
      <c r="P171" s="8">
        <v>45253.645624999997</v>
      </c>
      <c r="Q171" s="9">
        <v>45254</v>
      </c>
      <c r="R171" t="s">
        <v>37</v>
      </c>
      <c r="S171" t="s">
        <v>44</v>
      </c>
      <c r="T171" t="s">
        <v>45</v>
      </c>
      <c r="U171" t="s">
        <v>46</v>
      </c>
      <c r="V171" t="s">
        <v>629</v>
      </c>
      <c r="W171">
        <v>28000</v>
      </c>
      <c r="X171" t="s">
        <v>44</v>
      </c>
      <c r="Y171" t="s">
        <v>45</v>
      </c>
      <c r="Z171" t="s">
        <v>48</v>
      </c>
      <c r="AA171" s="10">
        <f>IF(O171&lt;=1,7,7+0.8*ROUNDUP(O171-1,0))</f>
        <v>7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4"/>
        <v>0.42</v>
      </c>
      <c r="AG171" s="11">
        <f t="shared" si="5"/>
        <v>7.42</v>
      </c>
      <c r="AH171" t="s">
        <v>49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630</v>
      </c>
      <c r="G172" t="s">
        <v>37</v>
      </c>
      <c r="H172" t="s">
        <v>38</v>
      </c>
      <c r="I172" t="s">
        <v>631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45251.573657407411</v>
      </c>
      <c r="Q172" s="9">
        <v>45254</v>
      </c>
      <c r="R172" t="s">
        <v>37</v>
      </c>
      <c r="S172" t="s">
        <v>44</v>
      </c>
      <c r="T172" t="s">
        <v>45</v>
      </c>
      <c r="U172" t="s">
        <v>232</v>
      </c>
      <c r="V172" t="s">
        <v>632</v>
      </c>
      <c r="W172">
        <v>94507</v>
      </c>
      <c r="X172" t="s">
        <v>228</v>
      </c>
      <c r="Y172" t="s">
        <v>63</v>
      </c>
      <c r="Z172" t="s">
        <v>48</v>
      </c>
      <c r="AA172" s="12">
        <f>IF(O172&lt;=1,13,IF(O172&lt;=2,23,IF(O172&lt;=3,35,IF(O172&lt;=4,43,IF(O172&lt;=5,53,IF(O172&lt;=6,63,IF(O172&lt;=7,71,IF(O172&lt;=8,79,IF(O172&lt;=9,87,IF(O172&lt;=10,95,IF(O172&lt;=11,105,IF(O172&lt;=12,114,IF(O172&lt;=13,119,IF(O172&lt;=14,127,IF(O172&lt;=15,135,IF(O172&lt;=16,143,IF(O172&lt;=17,153,IF(O172&lt;=18,163,IF(O172&lt;=19,171,IF(O172&lt;=20,185,IF(O172&lt;=21,193,IF(O172&lt;=22,201,IF(O172&lt;=23,210,IF(O172&lt;=24,220,IF(O172&lt;=25,230,IF(O172&lt;=26,240,IF(O172&lt;=27,250,IF(O172&lt;=28,260,IF(O172&lt;=29,270,IF(O172&lt;=30,280,280+10*ROUNDUP(O172-30,0)))))))))))))))))))))))))))))))</f>
        <v>13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4"/>
        <v>0.78</v>
      </c>
      <c r="AG172" s="11">
        <f t="shared" si="5"/>
        <v>13.78</v>
      </c>
      <c r="AH172" t="s">
        <v>229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633</v>
      </c>
      <c r="G173" t="s">
        <v>37</v>
      </c>
      <c r="H173" t="s">
        <v>38</v>
      </c>
      <c r="I173" t="s">
        <v>634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1</v>
      </c>
      <c r="P173" s="8">
        <v>45253.619525462964</v>
      </c>
      <c r="Q173" s="9">
        <v>45254</v>
      </c>
      <c r="R173" t="s">
        <v>37</v>
      </c>
      <c r="S173" t="s">
        <v>44</v>
      </c>
      <c r="T173" t="s">
        <v>45</v>
      </c>
      <c r="U173" t="s">
        <v>156</v>
      </c>
      <c r="V173" t="s">
        <v>635</v>
      </c>
      <c r="W173">
        <v>16200</v>
      </c>
      <c r="X173" t="s">
        <v>44</v>
      </c>
      <c r="Y173" t="s">
        <v>145</v>
      </c>
      <c r="Z173" t="s">
        <v>48</v>
      </c>
      <c r="AA173" s="10">
        <f>IF(O173&lt;=1,7,7+0.8*ROUNDUP(O173-1,0))</f>
        <v>7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4"/>
        <v>0.42</v>
      </c>
      <c r="AG173" s="11">
        <f t="shared" si="5"/>
        <v>7.42</v>
      </c>
      <c r="AH173" t="s">
        <v>49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636</v>
      </c>
      <c r="G174" t="s">
        <v>37</v>
      </c>
      <c r="H174" t="s">
        <v>38</v>
      </c>
      <c r="I174" t="s">
        <v>486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1</v>
      </c>
      <c r="P174" s="8">
        <v>45253.548657407409</v>
      </c>
      <c r="Q174" s="9">
        <v>45254</v>
      </c>
      <c r="R174" t="s">
        <v>37</v>
      </c>
      <c r="S174" t="s">
        <v>44</v>
      </c>
      <c r="T174" t="s">
        <v>45</v>
      </c>
      <c r="U174" t="s">
        <v>57</v>
      </c>
      <c r="V174" t="s">
        <v>637</v>
      </c>
      <c r="W174">
        <v>43500</v>
      </c>
      <c r="X174" t="s">
        <v>44</v>
      </c>
      <c r="Y174" t="s">
        <v>488</v>
      </c>
      <c r="Z174" t="s">
        <v>48</v>
      </c>
      <c r="AA174" s="10">
        <f>IF(O174&lt;=1,7,7+0.8*ROUNDUP(O174-1,0))</f>
        <v>7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4"/>
        <v>0.42</v>
      </c>
      <c r="AG174" s="11">
        <f t="shared" si="5"/>
        <v>7.42</v>
      </c>
      <c r="AH174" t="s">
        <v>49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638</v>
      </c>
      <c r="G175" t="s">
        <v>37</v>
      </c>
      <c r="H175" t="s">
        <v>38</v>
      </c>
      <c r="I175" t="s">
        <v>639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1</v>
      </c>
      <c r="P175" s="8">
        <v>45253.619525462964</v>
      </c>
      <c r="Q175" s="9">
        <v>45254</v>
      </c>
      <c r="R175" t="s">
        <v>37</v>
      </c>
      <c r="S175" t="s">
        <v>44</v>
      </c>
      <c r="T175" t="s">
        <v>45</v>
      </c>
      <c r="U175" t="s">
        <v>52</v>
      </c>
      <c r="V175" t="s">
        <v>640</v>
      </c>
      <c r="W175">
        <v>22100</v>
      </c>
      <c r="X175" t="s">
        <v>44</v>
      </c>
      <c r="Y175" t="s">
        <v>368</v>
      </c>
      <c r="Z175" t="s">
        <v>48</v>
      </c>
      <c r="AA175" s="10">
        <f>IF(O175&lt;=1,7,7+0.8*ROUNDUP(O175-1,0))</f>
        <v>7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4"/>
        <v>0.42</v>
      </c>
      <c r="AG175" s="11">
        <f t="shared" si="5"/>
        <v>7.42</v>
      </c>
      <c r="AH175" t="s">
        <v>49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641</v>
      </c>
      <c r="G176" t="s">
        <v>37</v>
      </c>
      <c r="H176" t="s">
        <v>38</v>
      </c>
      <c r="I176" t="s">
        <v>642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1</v>
      </c>
      <c r="P176" s="8">
        <v>45253.617106481484</v>
      </c>
      <c r="Q176" s="9">
        <v>45254</v>
      </c>
      <c r="R176" t="s">
        <v>37</v>
      </c>
      <c r="S176" t="s">
        <v>44</v>
      </c>
      <c r="T176" t="s">
        <v>45</v>
      </c>
      <c r="U176" t="s">
        <v>57</v>
      </c>
      <c r="V176" t="s">
        <v>643</v>
      </c>
      <c r="W176">
        <v>68100</v>
      </c>
      <c r="X176" t="s">
        <v>44</v>
      </c>
      <c r="Y176" t="s">
        <v>614</v>
      </c>
      <c r="Z176" t="s">
        <v>48</v>
      </c>
      <c r="AA176" s="10">
        <f>IF(O176&lt;=1,7,7+0.8*ROUNDUP(O176-1,0))</f>
        <v>7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4"/>
        <v>0.42</v>
      </c>
      <c r="AG176" s="11">
        <f t="shared" si="5"/>
        <v>7.42</v>
      </c>
      <c r="AH176" t="s">
        <v>49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644</v>
      </c>
      <c r="G177" t="s">
        <v>37</v>
      </c>
      <c r="H177" t="s">
        <v>38</v>
      </c>
      <c r="I177" t="s">
        <v>645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45252.819305555553</v>
      </c>
      <c r="Q177" s="9">
        <v>45255</v>
      </c>
      <c r="R177" t="s">
        <v>37</v>
      </c>
      <c r="S177" t="s">
        <v>44</v>
      </c>
      <c r="T177" t="s">
        <v>45</v>
      </c>
      <c r="U177" t="s">
        <v>128</v>
      </c>
      <c r="V177" t="s">
        <v>646</v>
      </c>
      <c r="W177">
        <v>70450</v>
      </c>
      <c r="X177" t="s">
        <v>44</v>
      </c>
      <c r="Y177" t="s">
        <v>647</v>
      </c>
      <c r="Z177" t="s">
        <v>48</v>
      </c>
      <c r="AA177" s="10">
        <f>IF(O177&lt;=1,7,7+0.8*ROUNDUP(O177-1,0))</f>
        <v>7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4"/>
        <v>0.42</v>
      </c>
      <c r="AG177" s="11">
        <f t="shared" si="5"/>
        <v>7.42</v>
      </c>
      <c r="AH177" t="s">
        <v>49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648</v>
      </c>
      <c r="G178" t="s">
        <v>37</v>
      </c>
      <c r="H178" t="s">
        <v>38</v>
      </c>
      <c r="I178" t="s">
        <v>649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3</v>
      </c>
      <c r="P178" s="8">
        <v>45252.699282407404</v>
      </c>
      <c r="Q178" s="9">
        <v>45255</v>
      </c>
      <c r="R178" t="s">
        <v>37</v>
      </c>
      <c r="S178" t="s">
        <v>44</v>
      </c>
      <c r="T178" t="s">
        <v>45</v>
      </c>
      <c r="U178" t="s">
        <v>226</v>
      </c>
      <c r="V178" t="s">
        <v>650</v>
      </c>
      <c r="W178">
        <v>89008</v>
      </c>
      <c r="X178" t="s">
        <v>228</v>
      </c>
      <c r="Y178" t="s">
        <v>63</v>
      </c>
      <c r="Z178" t="s">
        <v>48</v>
      </c>
      <c r="AA178" s="12">
        <f>IF(O178&lt;=1,13,IF(O178&lt;=2,23,IF(O178&lt;=3,35,IF(O178&lt;=4,43,IF(O178&lt;=5,53,IF(O178&lt;=6,63,IF(O178&lt;=7,71,IF(O178&lt;=8,79,IF(O178&lt;=9,87,IF(O178&lt;=10,95,IF(O178&lt;=11,105,IF(O178&lt;=12,114,IF(O178&lt;=13,119,IF(O178&lt;=14,127,IF(O178&lt;=15,135,IF(O178&lt;=16,143,IF(O178&lt;=17,153,IF(O178&lt;=18,163,IF(O178&lt;=19,171,IF(O178&lt;=20,185,IF(O178&lt;=21,193,IF(O178&lt;=22,201,IF(O178&lt;=23,210,IF(O178&lt;=24,220,IF(O178&lt;=25,230,IF(O178&lt;=26,240,IF(O178&lt;=27,250,IF(O178&lt;=28,260,IF(O178&lt;=29,270,IF(O178&lt;=30,280,280+10*ROUNDUP(O178-30,0)))))))))))))))))))))))))))))))</f>
        <v>35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4"/>
        <v>2.1</v>
      </c>
      <c r="AG178" s="11">
        <f t="shared" si="5"/>
        <v>37.1</v>
      </c>
      <c r="AH178" t="s">
        <v>229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651</v>
      </c>
      <c r="G179" t="s">
        <v>37</v>
      </c>
      <c r="H179" t="s">
        <v>38</v>
      </c>
      <c r="I179" t="s">
        <v>652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1</v>
      </c>
      <c r="P179" s="8">
        <v>45253.548668981479</v>
      </c>
      <c r="Q179" s="9">
        <v>45255</v>
      </c>
      <c r="R179" t="s">
        <v>37</v>
      </c>
      <c r="S179" t="s">
        <v>44</v>
      </c>
      <c r="T179" t="s">
        <v>45</v>
      </c>
      <c r="U179" t="s">
        <v>187</v>
      </c>
      <c r="V179" t="s">
        <v>653</v>
      </c>
      <c r="W179">
        <v>35500</v>
      </c>
      <c r="X179" t="s">
        <v>44</v>
      </c>
      <c r="Y179" t="s">
        <v>654</v>
      </c>
      <c r="Z179" t="s">
        <v>48</v>
      </c>
      <c r="AA179" s="10">
        <f>IF(O179&lt;=1,7,7+0.8*ROUNDUP(O179-1,0))</f>
        <v>7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4"/>
        <v>0.42</v>
      </c>
      <c r="AG179" s="11">
        <f t="shared" si="5"/>
        <v>7.42</v>
      </c>
      <c r="AH179" t="s">
        <v>49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655</v>
      </c>
      <c r="G180" t="s">
        <v>37</v>
      </c>
      <c r="H180" t="s">
        <v>38</v>
      </c>
      <c r="I180" t="s">
        <v>656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1</v>
      </c>
      <c r="P180" s="8">
        <v>45253.514398148145</v>
      </c>
      <c r="Q180" s="9">
        <v>45255</v>
      </c>
      <c r="R180" t="s">
        <v>37</v>
      </c>
      <c r="S180" t="s">
        <v>44</v>
      </c>
      <c r="T180" t="s">
        <v>45</v>
      </c>
      <c r="U180" t="s">
        <v>89</v>
      </c>
      <c r="V180" t="s">
        <v>657</v>
      </c>
      <c r="W180">
        <v>85000</v>
      </c>
      <c r="X180" t="s">
        <v>44</v>
      </c>
      <c r="Y180" t="s">
        <v>63</v>
      </c>
      <c r="Z180" t="s">
        <v>48</v>
      </c>
      <c r="AA180" s="10">
        <f>IF(O180&lt;=1,7,7+0.8*ROUNDUP(O180-1,0))</f>
        <v>7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4"/>
        <v>0.42</v>
      </c>
      <c r="AG180" s="11">
        <f t="shared" si="5"/>
        <v>7.42</v>
      </c>
      <c r="AH180" t="s">
        <v>49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658</v>
      </c>
      <c r="G181" t="s">
        <v>37</v>
      </c>
      <c r="H181" t="s">
        <v>38</v>
      </c>
      <c r="I181" t="s">
        <v>302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1</v>
      </c>
      <c r="P181" s="8">
        <v>45253.645624999997</v>
      </c>
      <c r="Q181" s="9">
        <v>45255</v>
      </c>
      <c r="R181" t="s">
        <v>37</v>
      </c>
      <c r="S181" t="s">
        <v>44</v>
      </c>
      <c r="T181" t="s">
        <v>45</v>
      </c>
      <c r="U181" t="s">
        <v>119</v>
      </c>
      <c r="V181" t="s">
        <v>659</v>
      </c>
      <c r="W181">
        <v>13600</v>
      </c>
      <c r="X181" t="s">
        <v>44</v>
      </c>
      <c r="Y181" t="s">
        <v>294</v>
      </c>
      <c r="Z181" t="s">
        <v>48</v>
      </c>
      <c r="AA181" s="10">
        <f>IF(O181&lt;=1,7,7+0.8*ROUNDUP(O181-1,0))</f>
        <v>7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4"/>
        <v>0.42</v>
      </c>
      <c r="AG181" s="11">
        <f t="shared" si="5"/>
        <v>7.42</v>
      </c>
      <c r="AH181" t="s">
        <v>49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660</v>
      </c>
      <c r="G182" t="s">
        <v>37</v>
      </c>
      <c r="H182" t="s">
        <v>38</v>
      </c>
      <c r="I182" t="s">
        <v>661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3</v>
      </c>
      <c r="P182" s="8">
        <v>45253.50577546296</v>
      </c>
      <c r="Q182" s="9">
        <v>45255</v>
      </c>
      <c r="R182" t="s">
        <v>37</v>
      </c>
      <c r="S182" t="s">
        <v>44</v>
      </c>
      <c r="T182" t="s">
        <v>45</v>
      </c>
      <c r="U182" t="s">
        <v>89</v>
      </c>
      <c r="V182" t="s">
        <v>662</v>
      </c>
      <c r="W182">
        <v>83000</v>
      </c>
      <c r="X182" t="s">
        <v>44</v>
      </c>
      <c r="Y182" t="s">
        <v>663</v>
      </c>
      <c r="Z182" t="s">
        <v>48</v>
      </c>
      <c r="AA182" s="10">
        <f>IF(O182&lt;=1,7,7+0.8*ROUNDUP(O182-1,0))</f>
        <v>8.6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4"/>
        <v>0.51600000000000001</v>
      </c>
      <c r="AG182" s="11">
        <f t="shared" si="5"/>
        <v>9.1159999999999997</v>
      </c>
      <c r="AH182" t="s">
        <v>49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664</v>
      </c>
      <c r="G183" t="s">
        <v>37</v>
      </c>
      <c r="H183" t="s">
        <v>38</v>
      </c>
      <c r="I183" t="s">
        <v>258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45253.729699074072</v>
      </c>
      <c r="Q183" s="9">
        <v>45255</v>
      </c>
      <c r="R183" t="s">
        <v>37</v>
      </c>
      <c r="S183" t="s">
        <v>44</v>
      </c>
      <c r="T183" t="s">
        <v>45</v>
      </c>
      <c r="U183" t="s">
        <v>128</v>
      </c>
      <c r="V183" t="s">
        <v>665</v>
      </c>
      <c r="W183">
        <v>70400</v>
      </c>
      <c r="X183" t="s">
        <v>44</v>
      </c>
      <c r="Y183" t="s">
        <v>548</v>
      </c>
      <c r="Z183" t="s">
        <v>48</v>
      </c>
      <c r="AA183" s="10">
        <f>IF(O183&lt;=1,7,7+0.8*ROUNDUP(O183-1,0))</f>
        <v>7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4"/>
        <v>0.42</v>
      </c>
      <c r="AG183" s="11">
        <f t="shared" si="5"/>
        <v>7.42</v>
      </c>
      <c r="AH183" t="s">
        <v>49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666</v>
      </c>
      <c r="G184" t="s">
        <v>37</v>
      </c>
      <c r="H184" t="s">
        <v>38</v>
      </c>
      <c r="I184" t="s">
        <v>667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1</v>
      </c>
      <c r="P184" s="8">
        <v>45253.645624999997</v>
      </c>
      <c r="Q184" s="9">
        <v>45255</v>
      </c>
      <c r="R184" t="s">
        <v>37</v>
      </c>
      <c r="S184" t="s">
        <v>44</v>
      </c>
      <c r="T184" t="s">
        <v>45</v>
      </c>
      <c r="U184" t="s">
        <v>187</v>
      </c>
      <c r="V184" t="s">
        <v>265</v>
      </c>
      <c r="W184">
        <v>31250</v>
      </c>
      <c r="X184" t="s">
        <v>44</v>
      </c>
      <c r="Y184" t="s">
        <v>266</v>
      </c>
      <c r="Z184" t="s">
        <v>48</v>
      </c>
      <c r="AA184" s="10">
        <f>IF(O184&lt;=1,7,7+0.8*ROUNDUP(O184-1,0))</f>
        <v>7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4"/>
        <v>0.42</v>
      </c>
      <c r="AG184" s="11">
        <f t="shared" si="5"/>
        <v>7.42</v>
      </c>
      <c r="AH184" t="s">
        <v>49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668</v>
      </c>
      <c r="G185" t="s">
        <v>37</v>
      </c>
      <c r="H185" t="s">
        <v>38</v>
      </c>
      <c r="I185" t="s">
        <v>669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1</v>
      </c>
      <c r="P185" s="8">
        <v>45252.644456018519</v>
      </c>
      <c r="Q185" s="9">
        <v>45255</v>
      </c>
      <c r="R185" t="s">
        <v>37</v>
      </c>
      <c r="S185" t="s">
        <v>44</v>
      </c>
      <c r="T185" t="s">
        <v>45</v>
      </c>
      <c r="U185" t="s">
        <v>232</v>
      </c>
      <c r="V185" t="s">
        <v>670</v>
      </c>
      <c r="W185">
        <v>94300</v>
      </c>
      <c r="X185" t="s">
        <v>228</v>
      </c>
      <c r="Y185" t="s">
        <v>63</v>
      </c>
      <c r="Z185" t="s">
        <v>48</v>
      </c>
      <c r="AA185" s="12">
        <f>IF(O185&lt;=1,13,IF(O185&lt;=2,23,IF(O185&lt;=3,35,IF(O185&lt;=4,43,IF(O185&lt;=5,53,IF(O185&lt;=6,63,IF(O185&lt;=7,71,IF(O185&lt;=8,79,IF(O185&lt;=9,87,IF(O185&lt;=10,95,IF(O185&lt;=11,105,IF(O185&lt;=12,114,IF(O185&lt;=13,119,IF(O185&lt;=14,127,IF(O185&lt;=15,135,IF(O185&lt;=16,143,IF(O185&lt;=17,153,IF(O185&lt;=18,163,IF(O185&lt;=19,171,IF(O185&lt;=20,185,IF(O185&lt;=21,193,IF(O185&lt;=22,201,IF(O185&lt;=23,210,IF(O185&lt;=24,220,IF(O185&lt;=25,230,IF(O185&lt;=26,240,IF(O185&lt;=27,250,IF(O185&lt;=28,260,IF(O185&lt;=29,270,IF(O185&lt;=30,280,280+10*ROUNDUP(O185-30,0)))))))))))))))))))))))))))))))</f>
        <v>13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4"/>
        <v>0.78</v>
      </c>
      <c r="AG185" s="11">
        <f t="shared" si="5"/>
        <v>13.78</v>
      </c>
      <c r="AH185" t="s">
        <v>229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671</v>
      </c>
      <c r="G186" t="s">
        <v>37</v>
      </c>
      <c r="H186" t="s">
        <v>38</v>
      </c>
      <c r="I186" t="s">
        <v>672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45253.683703703704</v>
      </c>
      <c r="Q186" s="9">
        <v>45255</v>
      </c>
      <c r="R186" t="s">
        <v>37</v>
      </c>
      <c r="S186" t="s">
        <v>44</v>
      </c>
      <c r="T186" t="s">
        <v>45</v>
      </c>
      <c r="U186" t="s">
        <v>187</v>
      </c>
      <c r="V186" t="s">
        <v>673</v>
      </c>
      <c r="W186">
        <v>31400</v>
      </c>
      <c r="X186" t="s">
        <v>44</v>
      </c>
      <c r="Y186" t="s">
        <v>266</v>
      </c>
      <c r="Z186" t="s">
        <v>48</v>
      </c>
      <c r="AA186" s="10">
        <f>IF(O186&lt;=1,7,7+0.8*ROUNDUP(O186-1,0))</f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4"/>
        <v>0.42</v>
      </c>
      <c r="AG186" s="11">
        <f t="shared" si="5"/>
        <v>7.42</v>
      </c>
      <c r="AH186" t="s">
        <v>49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674</v>
      </c>
      <c r="G187" t="s">
        <v>37</v>
      </c>
      <c r="H187" t="s">
        <v>38</v>
      </c>
      <c r="I187" t="s">
        <v>675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2</v>
      </c>
      <c r="P187" s="8">
        <v>45248.842210648145</v>
      </c>
      <c r="Q187" s="9">
        <v>45255</v>
      </c>
      <c r="R187" t="s">
        <v>37</v>
      </c>
      <c r="S187" t="s">
        <v>44</v>
      </c>
      <c r="T187" t="s">
        <v>45</v>
      </c>
      <c r="U187" t="s">
        <v>232</v>
      </c>
      <c r="V187" t="s">
        <v>676</v>
      </c>
      <c r="W187">
        <v>98700</v>
      </c>
      <c r="X187" t="s">
        <v>228</v>
      </c>
      <c r="Y187" t="s">
        <v>677</v>
      </c>
      <c r="Z187" t="s">
        <v>48</v>
      </c>
      <c r="AA187" s="12">
        <f>IF(O187&lt;=1,13,IF(O187&lt;=2,23,IF(O187&lt;=3,35,IF(O187&lt;=4,43,IF(O187&lt;=5,53,IF(O187&lt;=6,63,IF(O187&lt;=7,71,IF(O187&lt;=8,79,IF(O187&lt;=9,87,IF(O187&lt;=10,95,IF(O187&lt;=11,105,IF(O187&lt;=12,114,IF(O187&lt;=13,119,IF(O187&lt;=14,127,IF(O187&lt;=15,135,IF(O187&lt;=16,143,IF(O187&lt;=17,153,IF(O187&lt;=18,163,IF(O187&lt;=19,171,IF(O187&lt;=20,185,IF(O187&lt;=21,193,IF(O187&lt;=22,201,IF(O187&lt;=23,210,IF(O187&lt;=24,220,IF(O187&lt;=25,230,IF(O187&lt;=26,240,IF(O187&lt;=27,250,IF(O187&lt;=28,260,IF(O187&lt;=29,270,IF(O187&lt;=30,280,280+10*ROUNDUP(O187-30,0)))))))))))))))))))))))))))))))</f>
        <v>23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4"/>
        <v>1.38</v>
      </c>
      <c r="AG187" s="11">
        <f t="shared" si="5"/>
        <v>24.38</v>
      </c>
      <c r="AH187" t="s">
        <v>229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678</v>
      </c>
      <c r="G188" t="s">
        <v>37</v>
      </c>
      <c r="H188" t="s">
        <v>38</v>
      </c>
      <c r="I188" t="s">
        <v>679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1</v>
      </c>
      <c r="P188" s="8">
        <v>45253.683703703704</v>
      </c>
      <c r="Q188" s="9">
        <v>45255</v>
      </c>
      <c r="R188" t="s">
        <v>37</v>
      </c>
      <c r="S188" t="s">
        <v>44</v>
      </c>
      <c r="T188" t="s">
        <v>45</v>
      </c>
      <c r="U188" t="s">
        <v>128</v>
      </c>
      <c r="V188" t="s">
        <v>680</v>
      </c>
      <c r="W188">
        <v>71700</v>
      </c>
      <c r="X188" t="s">
        <v>44</v>
      </c>
      <c r="Y188" t="s">
        <v>63</v>
      </c>
      <c r="Z188" t="s">
        <v>48</v>
      </c>
      <c r="AA188" s="10">
        <f>IF(O188&lt;=1,7,7+0.8*ROUNDUP(O188-1,0))</f>
        <v>7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4"/>
        <v>0.42</v>
      </c>
      <c r="AG188" s="11">
        <f t="shared" si="5"/>
        <v>7.42</v>
      </c>
      <c r="AH188" t="s">
        <v>49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681</v>
      </c>
      <c r="G189" t="s">
        <v>37</v>
      </c>
      <c r="H189" t="s">
        <v>38</v>
      </c>
      <c r="I189" t="s">
        <v>682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1</v>
      </c>
      <c r="P189" s="8">
        <v>45253.683993055558</v>
      </c>
      <c r="Q189" s="9">
        <v>45255</v>
      </c>
      <c r="R189" t="s">
        <v>37</v>
      </c>
      <c r="S189" t="s">
        <v>44</v>
      </c>
      <c r="T189" t="s">
        <v>45</v>
      </c>
      <c r="U189" t="s">
        <v>236</v>
      </c>
      <c r="V189" t="s">
        <v>683</v>
      </c>
      <c r="W189">
        <v>8000</v>
      </c>
      <c r="X189" t="s">
        <v>44</v>
      </c>
      <c r="Y189" t="s">
        <v>684</v>
      </c>
      <c r="Z189" t="s">
        <v>48</v>
      </c>
      <c r="AA189" s="10">
        <f>IF(O189&lt;=1,7,7+0.8*ROUNDUP(O189-1,0))</f>
        <v>7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4"/>
        <v>0.42</v>
      </c>
      <c r="AG189" s="11">
        <f t="shared" si="5"/>
        <v>7.42</v>
      </c>
      <c r="AH189" t="s">
        <v>49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685</v>
      </c>
      <c r="G190" t="s">
        <v>37</v>
      </c>
      <c r="H190" t="s">
        <v>38</v>
      </c>
      <c r="I190" t="s">
        <v>686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1</v>
      </c>
      <c r="P190" s="8">
        <v>45254.475011574075</v>
      </c>
      <c r="Q190" s="9">
        <v>45255</v>
      </c>
      <c r="R190" t="s">
        <v>37</v>
      </c>
      <c r="S190" t="s">
        <v>44</v>
      </c>
      <c r="T190" t="s">
        <v>145</v>
      </c>
      <c r="U190" t="s">
        <v>52</v>
      </c>
      <c r="V190" t="s">
        <v>687</v>
      </c>
      <c r="W190">
        <v>21200</v>
      </c>
      <c r="X190" t="s">
        <v>44</v>
      </c>
      <c r="Y190" t="s">
        <v>145</v>
      </c>
      <c r="Z190" t="s">
        <v>48</v>
      </c>
      <c r="AA190" s="10">
        <f>IF(O190&lt;=1,7,7+0.8*ROUNDUP(O190-1,0))</f>
        <v>7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4"/>
        <v>0.42</v>
      </c>
      <c r="AG190" s="11">
        <f t="shared" si="5"/>
        <v>7.42</v>
      </c>
      <c r="AH190" t="s">
        <v>49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688</v>
      </c>
      <c r="G191" t="s">
        <v>37</v>
      </c>
      <c r="H191" t="s">
        <v>38</v>
      </c>
      <c r="I191" t="s">
        <v>590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45248.487569444442</v>
      </c>
      <c r="Q191" s="9">
        <v>45255</v>
      </c>
      <c r="R191" t="s">
        <v>37</v>
      </c>
      <c r="S191" t="s">
        <v>44</v>
      </c>
      <c r="T191" t="s">
        <v>63</v>
      </c>
      <c r="U191" t="s">
        <v>52</v>
      </c>
      <c r="V191" t="s">
        <v>689</v>
      </c>
      <c r="W191">
        <v>24000</v>
      </c>
      <c r="X191" t="s">
        <v>44</v>
      </c>
      <c r="Y191" t="s">
        <v>54</v>
      </c>
      <c r="Z191" t="s">
        <v>48</v>
      </c>
      <c r="AA191" s="10">
        <f>IF(O191&lt;=1,7,7+0.8*ROUNDUP(O191-1,0))</f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4"/>
        <v>0.42</v>
      </c>
      <c r="AG191" s="11">
        <f t="shared" si="5"/>
        <v>7.42</v>
      </c>
      <c r="AH191" t="s">
        <v>49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690</v>
      </c>
      <c r="G192" t="s">
        <v>37</v>
      </c>
      <c r="H192" t="s">
        <v>38</v>
      </c>
      <c r="I192" t="s">
        <v>691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2</v>
      </c>
      <c r="P192" s="8">
        <v>45253.683703703704</v>
      </c>
      <c r="Q192" s="9">
        <v>45255</v>
      </c>
      <c r="R192" t="s">
        <v>37</v>
      </c>
      <c r="S192" t="s">
        <v>44</v>
      </c>
      <c r="T192" t="s">
        <v>45</v>
      </c>
      <c r="U192" t="s">
        <v>156</v>
      </c>
      <c r="V192" t="s">
        <v>692</v>
      </c>
      <c r="W192">
        <v>15200</v>
      </c>
      <c r="X192" t="s">
        <v>44</v>
      </c>
      <c r="Y192" t="s">
        <v>145</v>
      </c>
      <c r="Z192" t="s">
        <v>48</v>
      </c>
      <c r="AA192" s="10">
        <f>IF(O192&lt;=1,7,7+0.8*ROUNDUP(O192-1,0))</f>
        <v>7.8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4"/>
        <v>0.46799999999999997</v>
      </c>
      <c r="AG192" s="11">
        <f t="shared" si="5"/>
        <v>8.2680000000000007</v>
      </c>
      <c r="AH192" t="s">
        <v>49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693</v>
      </c>
      <c r="G193" t="s">
        <v>37</v>
      </c>
      <c r="H193" t="s">
        <v>38</v>
      </c>
      <c r="I193" t="s">
        <v>694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45253.514398148145</v>
      </c>
      <c r="Q193" s="9">
        <v>45255</v>
      </c>
      <c r="R193" t="s">
        <v>37</v>
      </c>
      <c r="S193" t="s">
        <v>44</v>
      </c>
      <c r="T193" t="s">
        <v>45</v>
      </c>
      <c r="U193" t="s">
        <v>236</v>
      </c>
      <c r="V193" t="s">
        <v>695</v>
      </c>
      <c r="W193">
        <v>8200</v>
      </c>
      <c r="X193" t="s">
        <v>44</v>
      </c>
      <c r="Y193" t="s">
        <v>496</v>
      </c>
      <c r="Z193" t="s">
        <v>48</v>
      </c>
      <c r="AA193" s="10">
        <f>IF(O193&lt;=1,7,7+0.8*ROUNDUP(O193-1,0))</f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4"/>
        <v>0.42</v>
      </c>
      <c r="AG193" s="11">
        <f t="shared" si="5"/>
        <v>7.42</v>
      </c>
      <c r="AH193" t="s">
        <v>49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696</v>
      </c>
      <c r="G194" t="s">
        <v>37</v>
      </c>
      <c r="H194" t="s">
        <v>38</v>
      </c>
      <c r="I194" t="s">
        <v>697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45251.809421296297</v>
      </c>
      <c r="Q194" s="9">
        <v>45255</v>
      </c>
      <c r="R194" t="s">
        <v>37</v>
      </c>
      <c r="S194" t="s">
        <v>44</v>
      </c>
      <c r="T194" t="s">
        <v>45</v>
      </c>
      <c r="U194" t="s">
        <v>236</v>
      </c>
      <c r="V194" t="s">
        <v>698</v>
      </c>
      <c r="W194">
        <v>6010</v>
      </c>
      <c r="X194" t="s">
        <v>44</v>
      </c>
      <c r="Y194" t="s">
        <v>63</v>
      </c>
      <c r="Z194" t="s">
        <v>48</v>
      </c>
      <c r="AA194" s="10">
        <f>IF(O194&lt;=1,7,7+0.8*ROUNDUP(O194-1,0))</f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6">(AA194+AC194+AE194)*6%</f>
        <v>0.42</v>
      </c>
      <c r="AG194" s="11">
        <f t="shared" ref="AG194:AG257" si="7">AA194+AC194+AE194+AF194</f>
        <v>7.42</v>
      </c>
      <c r="AH194" t="s">
        <v>49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699</v>
      </c>
      <c r="G195" t="s">
        <v>37</v>
      </c>
      <c r="H195" t="s">
        <v>38</v>
      </c>
      <c r="I195" t="s">
        <v>700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1</v>
      </c>
      <c r="P195" s="8">
        <v>45253.666446759256</v>
      </c>
      <c r="Q195" s="9">
        <v>45255</v>
      </c>
      <c r="R195" t="s">
        <v>37</v>
      </c>
      <c r="S195" t="s">
        <v>44</v>
      </c>
      <c r="T195" t="s">
        <v>45</v>
      </c>
      <c r="U195" t="s">
        <v>89</v>
      </c>
      <c r="V195" t="s">
        <v>701</v>
      </c>
      <c r="W195">
        <v>81900</v>
      </c>
      <c r="X195" t="s">
        <v>44</v>
      </c>
      <c r="Y195" t="s">
        <v>390</v>
      </c>
      <c r="Z195" t="s">
        <v>48</v>
      </c>
      <c r="AA195" s="10">
        <f>IF(O195&lt;=1,7,7+0.8*ROUNDUP(O195-1,0))</f>
        <v>7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0.42</v>
      </c>
      <c r="AG195" s="11">
        <f t="shared" si="7"/>
        <v>7.42</v>
      </c>
      <c r="AH195" t="s">
        <v>49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702</v>
      </c>
      <c r="G196" t="s">
        <v>37</v>
      </c>
      <c r="H196" t="s">
        <v>38</v>
      </c>
      <c r="I196" t="s">
        <v>703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3</v>
      </c>
      <c r="P196" s="8">
        <v>45253.634456018517</v>
      </c>
      <c r="Q196" s="9">
        <v>45255</v>
      </c>
      <c r="R196" t="s">
        <v>37</v>
      </c>
      <c r="S196" t="s">
        <v>44</v>
      </c>
      <c r="T196" t="s">
        <v>45</v>
      </c>
      <c r="U196" t="s">
        <v>187</v>
      </c>
      <c r="V196" t="s">
        <v>704</v>
      </c>
      <c r="W196">
        <v>31150</v>
      </c>
      <c r="X196" t="s">
        <v>44</v>
      </c>
      <c r="Y196" t="s">
        <v>63</v>
      </c>
      <c r="Z196" t="s">
        <v>48</v>
      </c>
      <c r="AA196" s="10">
        <f>IF(O196&lt;=1,7,7+0.8*ROUNDUP(O196-1,0))</f>
        <v>8.6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0.51600000000000001</v>
      </c>
      <c r="AG196" s="11">
        <f t="shared" si="7"/>
        <v>9.1159999999999997</v>
      </c>
      <c r="AH196" t="s">
        <v>49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705</v>
      </c>
      <c r="G197" t="s">
        <v>37</v>
      </c>
      <c r="H197" t="s">
        <v>38</v>
      </c>
      <c r="I197" t="s">
        <v>706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4</v>
      </c>
      <c r="P197" s="8">
        <v>45253.764444444445</v>
      </c>
      <c r="Q197" s="9">
        <v>45256</v>
      </c>
      <c r="R197" t="s">
        <v>37</v>
      </c>
      <c r="S197" t="s">
        <v>44</v>
      </c>
      <c r="T197" t="s">
        <v>45</v>
      </c>
      <c r="U197" t="s">
        <v>52</v>
      </c>
      <c r="V197" t="s">
        <v>707</v>
      </c>
      <c r="W197">
        <v>21020</v>
      </c>
      <c r="X197" t="s">
        <v>44</v>
      </c>
      <c r="Y197" t="s">
        <v>708</v>
      </c>
      <c r="Z197" t="s">
        <v>48</v>
      </c>
      <c r="AA197" s="10">
        <f>IF(O197&lt;=1,7,7+0.8*ROUNDUP(O197-1,0))</f>
        <v>9.4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0.56399999999999995</v>
      </c>
      <c r="AG197" s="11">
        <f t="shared" si="7"/>
        <v>9.9640000000000004</v>
      </c>
      <c r="AH197" t="s">
        <v>49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709</v>
      </c>
      <c r="G198" t="s">
        <v>37</v>
      </c>
      <c r="H198" t="s">
        <v>38</v>
      </c>
      <c r="I198" t="s">
        <v>710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2</v>
      </c>
      <c r="P198" s="8">
        <v>45255.642557870371</v>
      </c>
      <c r="Q198" s="9">
        <v>45256</v>
      </c>
      <c r="R198" t="s">
        <v>37</v>
      </c>
      <c r="S198" t="s">
        <v>44</v>
      </c>
      <c r="T198" t="s">
        <v>45</v>
      </c>
      <c r="U198" t="s">
        <v>156</v>
      </c>
      <c r="V198" t="s">
        <v>711</v>
      </c>
      <c r="W198">
        <v>16450</v>
      </c>
      <c r="X198" t="s">
        <v>44</v>
      </c>
      <c r="Y198" t="s">
        <v>145</v>
      </c>
      <c r="Z198" t="s">
        <v>48</v>
      </c>
      <c r="AA198" s="10">
        <f>IF(O198&lt;=1,7,7+0.8*ROUNDUP(O198-1,0))</f>
        <v>7.8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0.46799999999999997</v>
      </c>
      <c r="AG198" s="11">
        <f t="shared" si="7"/>
        <v>8.2680000000000007</v>
      </c>
      <c r="AH198" t="s">
        <v>49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712</v>
      </c>
      <c r="G199" t="s">
        <v>37</v>
      </c>
      <c r="H199" t="s">
        <v>38</v>
      </c>
      <c r="I199" t="s">
        <v>713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1</v>
      </c>
      <c r="P199" s="8">
        <v>45255.742951388886</v>
      </c>
      <c r="Q199" s="9">
        <v>45256</v>
      </c>
      <c r="R199" t="s">
        <v>37</v>
      </c>
      <c r="S199" t="s">
        <v>44</v>
      </c>
      <c r="T199" t="s">
        <v>45</v>
      </c>
      <c r="U199" t="s">
        <v>52</v>
      </c>
      <c r="V199" t="s">
        <v>714</v>
      </c>
      <c r="W199">
        <v>22300</v>
      </c>
      <c r="X199" t="s">
        <v>44</v>
      </c>
      <c r="Y199" t="s">
        <v>145</v>
      </c>
      <c r="Z199" t="s">
        <v>48</v>
      </c>
      <c r="AA199" s="10">
        <f>IF(O199&lt;=1,7,7+0.8*ROUNDUP(O199-1,0))</f>
        <v>7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0.42</v>
      </c>
      <c r="AG199" s="11">
        <f t="shared" si="7"/>
        <v>7.42</v>
      </c>
      <c r="AH199" t="s">
        <v>49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715</v>
      </c>
      <c r="G200" t="s">
        <v>37</v>
      </c>
      <c r="H200" t="s">
        <v>38</v>
      </c>
      <c r="I200" t="s">
        <v>716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1</v>
      </c>
      <c r="P200" s="8">
        <v>45254.672997685186</v>
      </c>
      <c r="Q200" s="9">
        <v>45256</v>
      </c>
      <c r="R200" t="s">
        <v>37</v>
      </c>
      <c r="S200" t="s">
        <v>44</v>
      </c>
      <c r="T200" t="s">
        <v>45</v>
      </c>
      <c r="U200" t="s">
        <v>46</v>
      </c>
      <c r="V200" t="s">
        <v>717</v>
      </c>
      <c r="W200">
        <v>26100</v>
      </c>
      <c r="X200" t="s">
        <v>44</v>
      </c>
      <c r="Y200" t="s">
        <v>45</v>
      </c>
      <c r="Z200" t="s">
        <v>48</v>
      </c>
      <c r="AA200" s="10">
        <f>IF(O200&lt;=1,7,7+0.8*ROUNDUP(O200-1,0))</f>
        <v>7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0.42</v>
      </c>
      <c r="AG200" s="11">
        <f t="shared" si="7"/>
        <v>7.42</v>
      </c>
      <c r="AH200" t="s">
        <v>49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718</v>
      </c>
      <c r="G201" t="s">
        <v>37</v>
      </c>
      <c r="H201" t="s">
        <v>38</v>
      </c>
      <c r="I201" t="s">
        <v>719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2</v>
      </c>
      <c r="P201" s="8">
        <v>45255.642557870371</v>
      </c>
      <c r="Q201" s="9">
        <v>45256</v>
      </c>
      <c r="R201" t="s">
        <v>37</v>
      </c>
      <c r="S201" t="s">
        <v>44</v>
      </c>
      <c r="T201" t="s">
        <v>45</v>
      </c>
      <c r="U201" t="s">
        <v>66</v>
      </c>
      <c r="V201" t="s">
        <v>720</v>
      </c>
      <c r="W201">
        <v>47820</v>
      </c>
      <c r="X201" t="s">
        <v>44</v>
      </c>
      <c r="Y201" t="s">
        <v>484</v>
      </c>
      <c r="Z201" t="s">
        <v>48</v>
      </c>
      <c r="AA201" s="10">
        <f>IF(O201&lt;=1,7,7+0.8*ROUNDUP(O201-1,0))</f>
        <v>7.8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0.46799999999999997</v>
      </c>
      <c r="AG201" s="11">
        <f t="shared" si="7"/>
        <v>8.2680000000000007</v>
      </c>
      <c r="AH201" t="s">
        <v>49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721</v>
      </c>
      <c r="G202" t="s">
        <v>37</v>
      </c>
      <c r="H202" t="s">
        <v>38</v>
      </c>
      <c r="I202" t="s">
        <v>722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45255.678819444445</v>
      </c>
      <c r="Q202" s="9">
        <v>45256</v>
      </c>
      <c r="R202" t="s">
        <v>37</v>
      </c>
      <c r="S202" t="s">
        <v>44</v>
      </c>
      <c r="T202" t="s">
        <v>45</v>
      </c>
      <c r="U202" t="s">
        <v>52</v>
      </c>
      <c r="V202" t="s">
        <v>723</v>
      </c>
      <c r="W202">
        <v>22300</v>
      </c>
      <c r="X202" t="s">
        <v>44</v>
      </c>
      <c r="Y202" t="s">
        <v>145</v>
      </c>
      <c r="Z202" t="s">
        <v>48</v>
      </c>
      <c r="AA202" s="10">
        <f>IF(O202&lt;=1,7,7+0.8*ROUNDUP(O202-1,0))</f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0.42</v>
      </c>
      <c r="AG202" s="11">
        <f t="shared" si="7"/>
        <v>7.42</v>
      </c>
      <c r="AH202" t="s">
        <v>49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724</v>
      </c>
      <c r="G203" t="s">
        <v>37</v>
      </c>
      <c r="H203" t="s">
        <v>38</v>
      </c>
      <c r="I203" t="s">
        <v>725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45255.642557870371</v>
      </c>
      <c r="Q203" s="9">
        <v>45256</v>
      </c>
      <c r="R203" t="s">
        <v>37</v>
      </c>
      <c r="S203" t="s">
        <v>44</v>
      </c>
      <c r="T203" t="s">
        <v>45</v>
      </c>
      <c r="U203" t="s">
        <v>156</v>
      </c>
      <c r="V203" t="s">
        <v>726</v>
      </c>
      <c r="W203">
        <v>16010</v>
      </c>
      <c r="X203" t="s">
        <v>44</v>
      </c>
      <c r="Y203" t="s">
        <v>145</v>
      </c>
      <c r="Z203" t="s">
        <v>48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49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727</v>
      </c>
      <c r="G204" t="s">
        <v>37</v>
      </c>
      <c r="H204" t="s">
        <v>38</v>
      </c>
      <c r="I204" t="s">
        <v>728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2</v>
      </c>
      <c r="P204" s="8">
        <v>45255.475775462961</v>
      </c>
      <c r="Q204" s="9">
        <v>45256</v>
      </c>
      <c r="R204" t="s">
        <v>37</v>
      </c>
      <c r="S204" t="s">
        <v>44</v>
      </c>
      <c r="T204" t="s">
        <v>45</v>
      </c>
      <c r="U204" t="s">
        <v>52</v>
      </c>
      <c r="V204" t="s">
        <v>729</v>
      </c>
      <c r="W204">
        <v>21600</v>
      </c>
      <c r="X204" t="s">
        <v>44</v>
      </c>
      <c r="Y204" t="s">
        <v>368</v>
      </c>
      <c r="Z204" t="s">
        <v>48</v>
      </c>
      <c r="AA204" s="10">
        <f>IF(O204&lt;=1,7,7+0.8*ROUNDUP(O204-1,0))</f>
        <v>7.8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0.46799999999999997</v>
      </c>
      <c r="AG204" s="11">
        <f t="shared" si="7"/>
        <v>8.2680000000000007</v>
      </c>
      <c r="AH204" t="s">
        <v>49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730</v>
      </c>
      <c r="G205" t="s">
        <v>37</v>
      </c>
      <c r="H205" t="s">
        <v>38</v>
      </c>
      <c r="I205" t="s">
        <v>731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1</v>
      </c>
      <c r="P205" s="8">
        <v>45255.642557870371</v>
      </c>
      <c r="Q205" s="9">
        <v>45257</v>
      </c>
      <c r="R205" t="s">
        <v>37</v>
      </c>
      <c r="S205" t="s">
        <v>44</v>
      </c>
      <c r="T205" t="s">
        <v>45</v>
      </c>
      <c r="U205" t="s">
        <v>57</v>
      </c>
      <c r="V205" t="s">
        <v>732</v>
      </c>
      <c r="W205">
        <v>45600</v>
      </c>
      <c r="X205" t="s">
        <v>44</v>
      </c>
      <c r="Y205" t="s">
        <v>733</v>
      </c>
      <c r="Z205" t="s">
        <v>48</v>
      </c>
      <c r="AA205" s="10">
        <f>IF(O205&lt;=1,7,7+0.8*ROUNDUP(O205-1,0))</f>
        <v>7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0.42</v>
      </c>
      <c r="AG205" s="11">
        <f t="shared" si="7"/>
        <v>7.42</v>
      </c>
      <c r="AH205" t="s">
        <v>49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734</v>
      </c>
      <c r="G206" t="s">
        <v>37</v>
      </c>
      <c r="H206" t="s">
        <v>38</v>
      </c>
      <c r="I206" t="s">
        <v>735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8</v>
      </c>
      <c r="P206" s="8">
        <v>45254.806157407409</v>
      </c>
      <c r="Q206" s="9">
        <v>45257</v>
      </c>
      <c r="R206" t="s">
        <v>37</v>
      </c>
      <c r="S206" t="s">
        <v>44</v>
      </c>
      <c r="T206" t="s">
        <v>45</v>
      </c>
      <c r="U206" t="s">
        <v>226</v>
      </c>
      <c r="V206" t="s">
        <v>736</v>
      </c>
      <c r="W206">
        <v>91207</v>
      </c>
      <c r="X206" t="s">
        <v>228</v>
      </c>
      <c r="Y206" t="s">
        <v>353</v>
      </c>
      <c r="Z206" t="s">
        <v>48</v>
      </c>
      <c r="AA206" s="12">
        <f>IF(O206&lt;=1,13,IF(O206&lt;=2,23,IF(O206&lt;=3,35,IF(O206&lt;=4,43,IF(O206&lt;=5,53,IF(O206&lt;=6,63,IF(O206&lt;=7,71,IF(O206&lt;=8,79,IF(O206&lt;=9,87,IF(O206&lt;=10,95,IF(O206&lt;=11,105,IF(O206&lt;=12,114,IF(O206&lt;=13,119,IF(O206&lt;=14,127,IF(O206&lt;=15,135,IF(O206&lt;=16,143,IF(O206&lt;=17,153,IF(O206&lt;=18,163,IF(O206&lt;=19,171,IF(O206&lt;=20,185,IF(O206&lt;=21,193,IF(O206&lt;=22,201,IF(O206&lt;=23,210,IF(O206&lt;=24,220,IF(O206&lt;=25,230,IF(O206&lt;=26,240,IF(O206&lt;=27,250,IF(O206&lt;=28,260,IF(O206&lt;=29,270,IF(O206&lt;=30,280,280+10*ROUNDUP(O206-30,0)))))))))))))))))))))))))))))))</f>
        <v>79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4.74</v>
      </c>
      <c r="AG206" s="11">
        <f t="shared" si="7"/>
        <v>83.74</v>
      </c>
      <c r="AH206" t="s">
        <v>229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737</v>
      </c>
      <c r="G207" t="s">
        <v>37</v>
      </c>
      <c r="H207" t="s">
        <v>38</v>
      </c>
      <c r="I207" t="s">
        <v>738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1</v>
      </c>
      <c r="P207" s="8">
        <v>45254.554166666669</v>
      </c>
      <c r="Q207" s="9">
        <v>45257</v>
      </c>
      <c r="R207" t="s">
        <v>37</v>
      </c>
      <c r="S207" t="s">
        <v>44</v>
      </c>
      <c r="T207" t="s">
        <v>45</v>
      </c>
      <c r="U207" t="s">
        <v>57</v>
      </c>
      <c r="V207" t="s">
        <v>739</v>
      </c>
      <c r="W207">
        <v>68100</v>
      </c>
      <c r="X207" t="s">
        <v>44</v>
      </c>
      <c r="Y207" t="s">
        <v>63</v>
      </c>
      <c r="Z207" t="s">
        <v>48</v>
      </c>
      <c r="AA207" s="10">
        <f>IF(O207&lt;=1,7,7+0.8*ROUNDUP(O207-1,0))</f>
        <v>7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0.42</v>
      </c>
      <c r="AG207" s="11">
        <f t="shared" si="7"/>
        <v>7.42</v>
      </c>
      <c r="AH207" t="s">
        <v>49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740</v>
      </c>
      <c r="G208" t="s">
        <v>37</v>
      </c>
      <c r="H208" t="s">
        <v>38</v>
      </c>
      <c r="I208" t="s">
        <v>741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1</v>
      </c>
      <c r="P208" s="8">
        <v>45255.574155092596</v>
      </c>
      <c r="Q208" s="9">
        <v>45257</v>
      </c>
      <c r="R208" t="s">
        <v>37</v>
      </c>
      <c r="S208" t="s">
        <v>44</v>
      </c>
      <c r="T208" t="s">
        <v>45</v>
      </c>
      <c r="U208" t="s">
        <v>187</v>
      </c>
      <c r="V208" t="s">
        <v>742</v>
      </c>
      <c r="W208">
        <v>31500</v>
      </c>
      <c r="X208" t="s">
        <v>44</v>
      </c>
      <c r="Y208" t="s">
        <v>63</v>
      </c>
      <c r="Z208" t="s">
        <v>48</v>
      </c>
      <c r="AA208" s="10">
        <f>IF(O208&lt;=1,7,7+0.8*ROUNDUP(O208-1,0))</f>
        <v>7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0.42</v>
      </c>
      <c r="AG208" s="11">
        <f t="shared" si="7"/>
        <v>7.42</v>
      </c>
      <c r="AH208" t="s">
        <v>49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743</v>
      </c>
      <c r="G209" t="s">
        <v>37</v>
      </c>
      <c r="H209" t="s">
        <v>38</v>
      </c>
      <c r="I209" t="s">
        <v>744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14</v>
      </c>
      <c r="P209" s="8">
        <v>45254.642094907409</v>
      </c>
      <c r="Q209" s="9">
        <v>45257</v>
      </c>
      <c r="R209" t="s">
        <v>37</v>
      </c>
      <c r="S209" t="s">
        <v>44</v>
      </c>
      <c r="T209" t="s">
        <v>45</v>
      </c>
      <c r="U209" t="s">
        <v>89</v>
      </c>
      <c r="V209" t="s">
        <v>745</v>
      </c>
      <c r="W209">
        <v>81200</v>
      </c>
      <c r="X209" t="s">
        <v>44</v>
      </c>
      <c r="Y209" t="s">
        <v>746</v>
      </c>
      <c r="Z209" t="s">
        <v>48</v>
      </c>
      <c r="AA209" s="10">
        <f>IF(O209&lt;=1,7,7+0.8*ROUNDUP(O209-1,0))</f>
        <v>17.399999999999999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1.0439999999999998</v>
      </c>
      <c r="AG209" s="11">
        <f t="shared" si="7"/>
        <v>18.443999999999999</v>
      </c>
      <c r="AH209" t="s">
        <v>49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747</v>
      </c>
      <c r="G210" t="s">
        <v>37</v>
      </c>
      <c r="H210" t="s">
        <v>38</v>
      </c>
      <c r="I210" t="s">
        <v>748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4</v>
      </c>
      <c r="P210" s="8">
        <v>45256.536446759259</v>
      </c>
      <c r="Q210" s="9">
        <v>45257</v>
      </c>
      <c r="R210" t="s">
        <v>37</v>
      </c>
      <c r="S210" t="s">
        <v>44</v>
      </c>
      <c r="T210" t="s">
        <v>63</v>
      </c>
      <c r="U210" t="s">
        <v>66</v>
      </c>
      <c r="V210" t="s">
        <v>749</v>
      </c>
      <c r="W210">
        <v>54000</v>
      </c>
      <c r="X210" t="s">
        <v>44</v>
      </c>
      <c r="Y210" t="s">
        <v>102</v>
      </c>
      <c r="Z210" t="s">
        <v>48</v>
      </c>
      <c r="AA210" s="10">
        <f>IF(O210&lt;=1,7,7+0.8*ROUNDUP(O210-1,0))</f>
        <v>9.4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0.56399999999999995</v>
      </c>
      <c r="AG210" s="11">
        <f t="shared" si="7"/>
        <v>9.9640000000000004</v>
      </c>
      <c r="AH210" t="s">
        <v>49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750</v>
      </c>
      <c r="G211" t="s">
        <v>37</v>
      </c>
      <c r="H211" t="s">
        <v>38</v>
      </c>
      <c r="I211" t="s">
        <v>751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2</v>
      </c>
      <c r="P211" s="8">
        <v>45255.642557870371</v>
      </c>
      <c r="Q211" s="9">
        <v>45257</v>
      </c>
      <c r="R211" t="s">
        <v>37</v>
      </c>
      <c r="S211" t="s">
        <v>44</v>
      </c>
      <c r="T211" t="s">
        <v>45</v>
      </c>
      <c r="U211" t="s">
        <v>66</v>
      </c>
      <c r="V211" t="s">
        <v>752</v>
      </c>
      <c r="W211">
        <v>60000</v>
      </c>
      <c r="X211" t="s">
        <v>44</v>
      </c>
      <c r="Y211" t="s">
        <v>484</v>
      </c>
      <c r="Z211" t="s">
        <v>48</v>
      </c>
      <c r="AA211" s="10">
        <f>IF(O211&lt;=1,7,7+0.8*ROUNDUP(O211-1,0))</f>
        <v>7.8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0.46799999999999997</v>
      </c>
      <c r="AG211" s="11">
        <f t="shared" si="7"/>
        <v>8.2680000000000007</v>
      </c>
      <c r="AH211" t="s">
        <v>49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753</v>
      </c>
      <c r="G212" t="s">
        <v>37</v>
      </c>
      <c r="H212" t="s">
        <v>38</v>
      </c>
      <c r="I212" t="s">
        <v>754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3</v>
      </c>
      <c r="P212" s="8">
        <v>45254.672997685186</v>
      </c>
      <c r="Q212" s="9">
        <v>45257</v>
      </c>
      <c r="R212" t="s">
        <v>37</v>
      </c>
      <c r="S212" t="s">
        <v>44</v>
      </c>
      <c r="T212" t="s">
        <v>45</v>
      </c>
      <c r="U212" t="s">
        <v>66</v>
      </c>
      <c r="V212" t="s">
        <v>755</v>
      </c>
      <c r="W212">
        <v>53200</v>
      </c>
      <c r="X212" t="s">
        <v>44</v>
      </c>
      <c r="Y212" t="s">
        <v>756</v>
      </c>
      <c r="Z212" t="s">
        <v>48</v>
      </c>
      <c r="AA212" s="10">
        <f>IF(O212&lt;=1,7,7+0.8*ROUNDUP(O212-1,0))</f>
        <v>8.6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0.51600000000000001</v>
      </c>
      <c r="AG212" s="11">
        <f t="shared" si="7"/>
        <v>9.1159999999999997</v>
      </c>
      <c r="AH212" t="s">
        <v>49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757</v>
      </c>
      <c r="G213" t="s">
        <v>37</v>
      </c>
      <c r="H213" t="s">
        <v>38</v>
      </c>
      <c r="I213" t="s">
        <v>758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2</v>
      </c>
      <c r="P213" s="8">
        <v>45256.736747685187</v>
      </c>
      <c r="Q213" s="9">
        <v>45257</v>
      </c>
      <c r="R213" t="s">
        <v>37</v>
      </c>
      <c r="S213" t="s">
        <v>44</v>
      </c>
      <c r="T213" t="s">
        <v>63</v>
      </c>
      <c r="U213" t="s">
        <v>57</v>
      </c>
      <c r="V213" t="s">
        <v>759</v>
      </c>
      <c r="W213">
        <v>68000</v>
      </c>
      <c r="X213" t="s">
        <v>44</v>
      </c>
      <c r="Y213" t="s">
        <v>63</v>
      </c>
      <c r="Z213" t="s">
        <v>48</v>
      </c>
      <c r="AA213" s="10">
        <f>IF(O213&lt;=1,7,7+0.8*ROUNDUP(O213-1,0))</f>
        <v>7.8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0.46799999999999997</v>
      </c>
      <c r="AG213" s="11">
        <f t="shared" si="7"/>
        <v>8.2680000000000007</v>
      </c>
      <c r="AH213" t="s">
        <v>49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760</v>
      </c>
      <c r="G214" t="s">
        <v>37</v>
      </c>
      <c r="H214" t="s">
        <v>38</v>
      </c>
      <c r="I214" t="s">
        <v>761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1</v>
      </c>
      <c r="P214" s="8">
        <v>45254.75309027778</v>
      </c>
      <c r="Q214" s="9">
        <v>45257</v>
      </c>
      <c r="R214" t="s">
        <v>37</v>
      </c>
      <c r="S214" t="s">
        <v>44</v>
      </c>
      <c r="T214" t="s">
        <v>45</v>
      </c>
      <c r="U214" t="s">
        <v>66</v>
      </c>
      <c r="V214" t="s">
        <v>762</v>
      </c>
      <c r="W214">
        <v>56000</v>
      </c>
      <c r="X214" t="s">
        <v>44</v>
      </c>
      <c r="Y214" t="s">
        <v>215</v>
      </c>
      <c r="Z214" t="s">
        <v>48</v>
      </c>
      <c r="AA214" s="10">
        <f>IF(O214&lt;=1,7,7+0.8*ROUNDUP(O214-1,0))</f>
        <v>7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0.42</v>
      </c>
      <c r="AG214" s="11">
        <f t="shared" si="7"/>
        <v>7.42</v>
      </c>
      <c r="AH214" t="s">
        <v>49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763</v>
      </c>
      <c r="G215" t="s">
        <v>37</v>
      </c>
      <c r="H215" t="s">
        <v>38</v>
      </c>
      <c r="I215" t="s">
        <v>764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7</v>
      </c>
      <c r="P215" s="8">
        <v>45255.736562500002</v>
      </c>
      <c r="Q215" s="9">
        <v>45257</v>
      </c>
      <c r="R215" t="s">
        <v>37</v>
      </c>
      <c r="S215" t="s">
        <v>44</v>
      </c>
      <c r="T215" t="s">
        <v>45</v>
      </c>
      <c r="U215" t="s">
        <v>57</v>
      </c>
      <c r="V215" t="s">
        <v>765</v>
      </c>
      <c r="W215">
        <v>42200</v>
      </c>
      <c r="X215" t="s">
        <v>44</v>
      </c>
      <c r="Y215" t="s">
        <v>766</v>
      </c>
      <c r="Z215" t="s">
        <v>48</v>
      </c>
      <c r="AA215" s="10">
        <f>IF(O215&lt;=1,7,7+0.8*ROUNDUP(O215-1,0))</f>
        <v>11.8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0.70799999999999996</v>
      </c>
      <c r="AG215" s="11">
        <f t="shared" si="7"/>
        <v>12.508000000000001</v>
      </c>
      <c r="AH215" t="s">
        <v>49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767</v>
      </c>
      <c r="G216" t="s">
        <v>37</v>
      </c>
      <c r="H216" t="s">
        <v>38</v>
      </c>
      <c r="I216" t="s">
        <v>768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1</v>
      </c>
      <c r="P216" s="8">
        <v>45255.712939814817</v>
      </c>
      <c r="Q216" s="9">
        <v>45257</v>
      </c>
      <c r="R216" t="s">
        <v>37</v>
      </c>
      <c r="S216" t="s">
        <v>44</v>
      </c>
      <c r="T216" t="s">
        <v>45</v>
      </c>
      <c r="U216" t="s">
        <v>70</v>
      </c>
      <c r="V216" t="s">
        <v>769</v>
      </c>
      <c r="W216">
        <v>77200</v>
      </c>
      <c r="X216" t="s">
        <v>44</v>
      </c>
      <c r="Y216" t="s">
        <v>63</v>
      </c>
      <c r="Z216" t="s">
        <v>48</v>
      </c>
      <c r="AA216" s="10">
        <f>IF(O216&lt;=1,7,7+0.8*ROUNDUP(O216-1,0))</f>
        <v>7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0.42</v>
      </c>
      <c r="AG216" s="11">
        <f t="shared" si="7"/>
        <v>7.42</v>
      </c>
      <c r="AH216" t="s">
        <v>49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770</v>
      </c>
      <c r="G217" t="s">
        <v>37</v>
      </c>
      <c r="H217" t="s">
        <v>38</v>
      </c>
      <c r="I217" t="s">
        <v>771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3</v>
      </c>
      <c r="P217" s="8">
        <v>45252.699282407404</v>
      </c>
      <c r="Q217" s="9">
        <v>45257</v>
      </c>
      <c r="R217" t="s">
        <v>37</v>
      </c>
      <c r="S217" t="s">
        <v>44</v>
      </c>
      <c r="T217" t="s">
        <v>45</v>
      </c>
      <c r="U217" t="s">
        <v>226</v>
      </c>
      <c r="V217" t="s">
        <v>772</v>
      </c>
      <c r="W217">
        <v>88300</v>
      </c>
      <c r="X217" t="s">
        <v>228</v>
      </c>
      <c r="Y217" t="s">
        <v>63</v>
      </c>
      <c r="Z217" t="s">
        <v>48</v>
      </c>
      <c r="AA217" s="12">
        <f>IF(O217&lt;=1,13,IF(O217&lt;=2,23,IF(O217&lt;=3,35,IF(O217&lt;=4,43,IF(O217&lt;=5,53,IF(O217&lt;=6,63,IF(O217&lt;=7,71,IF(O217&lt;=8,79,IF(O217&lt;=9,87,IF(O217&lt;=10,95,IF(O217&lt;=11,105,IF(O217&lt;=12,114,IF(O217&lt;=13,119,IF(O217&lt;=14,127,IF(O217&lt;=15,135,IF(O217&lt;=16,143,IF(O217&lt;=17,153,IF(O217&lt;=18,163,IF(O217&lt;=19,171,IF(O217&lt;=20,185,IF(O217&lt;=21,193,IF(O217&lt;=22,201,IF(O217&lt;=23,210,IF(O217&lt;=24,220,IF(O217&lt;=25,230,IF(O217&lt;=26,240,IF(O217&lt;=27,250,IF(O217&lt;=28,260,IF(O217&lt;=29,270,IF(O217&lt;=30,280,280+10*ROUNDUP(O217-30,0)))))))))))))))))))))))))))))))</f>
        <v>35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2.1</v>
      </c>
      <c r="AG217" s="11">
        <f t="shared" si="7"/>
        <v>37.1</v>
      </c>
      <c r="AH217" t="s">
        <v>229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773</v>
      </c>
      <c r="G218" t="s">
        <v>37</v>
      </c>
      <c r="H218" t="s">
        <v>38</v>
      </c>
      <c r="I218" t="s">
        <v>774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5</v>
      </c>
      <c r="P218" s="8">
        <v>45255.611261574071</v>
      </c>
      <c r="Q218" s="9">
        <v>45257</v>
      </c>
      <c r="R218" t="s">
        <v>37</v>
      </c>
      <c r="S218" t="s">
        <v>44</v>
      </c>
      <c r="T218" t="s">
        <v>45</v>
      </c>
      <c r="U218" t="s">
        <v>89</v>
      </c>
      <c r="V218" t="s">
        <v>775</v>
      </c>
      <c r="W218">
        <v>81300</v>
      </c>
      <c r="X218" t="s">
        <v>44</v>
      </c>
      <c r="Y218" t="s">
        <v>63</v>
      </c>
      <c r="Z218" t="s">
        <v>48</v>
      </c>
      <c r="AA218" s="10">
        <f>IF(O218&lt;=1,7,7+0.8*ROUNDUP(O218-1,0))</f>
        <v>10.199999999999999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0.61199999999999999</v>
      </c>
      <c r="AG218" s="11">
        <f t="shared" si="7"/>
        <v>10.811999999999999</v>
      </c>
      <c r="AH218" t="s">
        <v>49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776</v>
      </c>
      <c r="G219" t="s">
        <v>37</v>
      </c>
      <c r="H219" t="s">
        <v>38</v>
      </c>
      <c r="I219" t="s">
        <v>777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45256.714606481481</v>
      </c>
      <c r="Q219" s="9">
        <v>45257</v>
      </c>
      <c r="R219" t="s">
        <v>37</v>
      </c>
      <c r="S219" t="s">
        <v>44</v>
      </c>
      <c r="T219" t="s">
        <v>45</v>
      </c>
      <c r="U219" t="s">
        <v>66</v>
      </c>
      <c r="V219" t="s">
        <v>778</v>
      </c>
      <c r="W219">
        <v>51000</v>
      </c>
      <c r="X219" t="s">
        <v>44</v>
      </c>
      <c r="Y219" t="s">
        <v>779</v>
      </c>
      <c r="Z219" t="s">
        <v>48</v>
      </c>
      <c r="AA219" s="10">
        <f>IF(O219&lt;=1,7,7+0.8*ROUNDUP(O219-1,0))</f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0.42</v>
      </c>
      <c r="AG219" s="11">
        <f t="shared" si="7"/>
        <v>7.42</v>
      </c>
      <c r="AH219" t="s">
        <v>49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780</v>
      </c>
      <c r="G220" t="s">
        <v>37</v>
      </c>
      <c r="H220" t="s">
        <v>38</v>
      </c>
      <c r="I220" t="s">
        <v>781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2</v>
      </c>
      <c r="P220" s="8">
        <v>45254.672997685186</v>
      </c>
      <c r="Q220" s="9">
        <v>45257</v>
      </c>
      <c r="R220" t="s">
        <v>37</v>
      </c>
      <c r="S220" t="s">
        <v>44</v>
      </c>
      <c r="T220" t="s">
        <v>45</v>
      </c>
      <c r="U220" t="s">
        <v>57</v>
      </c>
      <c r="V220" t="s">
        <v>782</v>
      </c>
      <c r="W220">
        <v>53100</v>
      </c>
      <c r="X220" t="s">
        <v>44</v>
      </c>
      <c r="Y220" t="s">
        <v>164</v>
      </c>
      <c r="Z220" t="s">
        <v>48</v>
      </c>
      <c r="AA220" s="10">
        <f>IF(O220&lt;=1,7,7+0.8*ROUNDUP(O220-1,0))</f>
        <v>7.8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0.46799999999999997</v>
      </c>
      <c r="AG220" s="11">
        <f t="shared" si="7"/>
        <v>8.2680000000000007</v>
      </c>
      <c r="AH220" t="s">
        <v>49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783</v>
      </c>
      <c r="G221" t="s">
        <v>37</v>
      </c>
      <c r="H221" t="s">
        <v>38</v>
      </c>
      <c r="I221" t="s">
        <v>784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3</v>
      </c>
      <c r="P221" s="8">
        <v>45253.819027777776</v>
      </c>
      <c r="Q221" s="9">
        <v>45257</v>
      </c>
      <c r="R221" t="s">
        <v>37</v>
      </c>
      <c r="S221" t="s">
        <v>44</v>
      </c>
      <c r="T221" t="s">
        <v>145</v>
      </c>
      <c r="U221" t="s">
        <v>57</v>
      </c>
      <c r="V221" t="s">
        <v>785</v>
      </c>
      <c r="W221">
        <v>53100</v>
      </c>
      <c r="X221" t="s">
        <v>44</v>
      </c>
      <c r="Y221" t="s">
        <v>786</v>
      </c>
      <c r="Z221" t="s">
        <v>48</v>
      </c>
      <c r="AA221" s="10">
        <f>IF(O221&lt;=1,7,7+0.8*ROUNDUP(O221-1,0))</f>
        <v>8.6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6"/>
        <v>0.51600000000000001</v>
      </c>
      <c r="AG221" s="11">
        <f t="shared" si="7"/>
        <v>9.1159999999999997</v>
      </c>
      <c r="AH221" t="s">
        <v>49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787</v>
      </c>
      <c r="G222" t="s">
        <v>37</v>
      </c>
      <c r="H222" t="s">
        <v>38</v>
      </c>
      <c r="I222" t="s">
        <v>788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45255.712939814817</v>
      </c>
      <c r="Q222" s="9">
        <v>45257</v>
      </c>
      <c r="R222" t="s">
        <v>37</v>
      </c>
      <c r="S222" t="s">
        <v>44</v>
      </c>
      <c r="T222" t="s">
        <v>45</v>
      </c>
      <c r="U222" t="s">
        <v>57</v>
      </c>
      <c r="V222" t="s">
        <v>789</v>
      </c>
      <c r="W222">
        <v>62050</v>
      </c>
      <c r="X222" t="s">
        <v>44</v>
      </c>
      <c r="Y222" t="s">
        <v>63</v>
      </c>
      <c r="Z222" t="s">
        <v>48</v>
      </c>
      <c r="AA222" s="10">
        <f>IF(O222&lt;=1,7,7+0.8*ROUNDUP(O222-1,0))</f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6"/>
        <v>0.42</v>
      </c>
      <c r="AG222" s="11">
        <f t="shared" si="7"/>
        <v>7.42</v>
      </c>
      <c r="AH222" t="s">
        <v>49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790</v>
      </c>
      <c r="G223" t="s">
        <v>37</v>
      </c>
      <c r="H223" t="s">
        <v>38</v>
      </c>
      <c r="I223" t="s">
        <v>791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45255.642557870371</v>
      </c>
      <c r="Q223" s="9">
        <v>45257</v>
      </c>
      <c r="R223" t="s">
        <v>37</v>
      </c>
      <c r="S223" t="s">
        <v>44</v>
      </c>
      <c r="T223" t="s">
        <v>45</v>
      </c>
      <c r="U223" t="s">
        <v>89</v>
      </c>
      <c r="V223" t="s">
        <v>792</v>
      </c>
      <c r="W223">
        <v>81200</v>
      </c>
      <c r="X223" t="s">
        <v>44</v>
      </c>
      <c r="Y223" t="s">
        <v>63</v>
      </c>
      <c r="Z223" t="s">
        <v>48</v>
      </c>
      <c r="AA223" s="10">
        <f>IF(O223&lt;=1,7,7+0.8*ROUNDUP(O223-1,0))</f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6"/>
        <v>0.42</v>
      </c>
      <c r="AG223" s="11">
        <f t="shared" si="7"/>
        <v>7.42</v>
      </c>
      <c r="AH223" t="s">
        <v>49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793</v>
      </c>
      <c r="G224" t="s">
        <v>37</v>
      </c>
      <c r="H224" t="s">
        <v>38</v>
      </c>
      <c r="I224" t="s">
        <v>794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1</v>
      </c>
      <c r="P224" s="8">
        <v>45254.672997685186</v>
      </c>
      <c r="Q224" s="9">
        <v>45257</v>
      </c>
      <c r="R224" t="s">
        <v>37</v>
      </c>
      <c r="S224" t="s">
        <v>44</v>
      </c>
      <c r="T224" t="s">
        <v>45</v>
      </c>
      <c r="U224" t="s">
        <v>57</v>
      </c>
      <c r="V224" t="s">
        <v>795</v>
      </c>
      <c r="W224">
        <v>43950</v>
      </c>
      <c r="X224" t="s">
        <v>44</v>
      </c>
      <c r="Y224" t="s">
        <v>181</v>
      </c>
      <c r="Z224" t="s">
        <v>48</v>
      </c>
      <c r="AA224" s="10">
        <f>IF(O224&lt;=1,7,7+0.8*ROUNDUP(O224-1,0))</f>
        <v>7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6"/>
        <v>0.42</v>
      </c>
      <c r="AG224" s="11">
        <f t="shared" si="7"/>
        <v>7.42</v>
      </c>
      <c r="AH224" t="s">
        <v>49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796</v>
      </c>
      <c r="G225" t="s">
        <v>37</v>
      </c>
      <c r="H225" t="s">
        <v>38</v>
      </c>
      <c r="I225" t="s">
        <v>797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45229.501666666663</v>
      </c>
      <c r="Q225" s="9">
        <v>45231</v>
      </c>
      <c r="R225" t="s">
        <v>37</v>
      </c>
      <c r="S225" t="s">
        <v>44</v>
      </c>
      <c r="T225" t="s">
        <v>63</v>
      </c>
      <c r="U225" t="s">
        <v>226</v>
      </c>
      <c r="V225" t="s">
        <v>798</v>
      </c>
      <c r="W225">
        <v>89800</v>
      </c>
      <c r="X225" t="s">
        <v>228</v>
      </c>
      <c r="Y225" t="s">
        <v>63</v>
      </c>
      <c r="Z225" t="s">
        <v>48</v>
      </c>
      <c r="AA225" s="12">
        <f>IF(O225&lt;=1,13,IF(O225&lt;=2,23,IF(O225&lt;=3,35,IF(O225&lt;=4,43,IF(O225&lt;=5,53,IF(O225&lt;=6,63,IF(O225&lt;=7,71,IF(O225&lt;=8,79,IF(O225&lt;=9,87,IF(O225&lt;=10,95,IF(O225&lt;=11,105,IF(O225&lt;=12,114,IF(O225&lt;=13,119,IF(O225&lt;=14,127,IF(O225&lt;=15,135,IF(O225&lt;=16,143,IF(O225&lt;=17,153,IF(O225&lt;=18,163,IF(O225&lt;=19,171,IF(O225&lt;=20,185,IF(O225&lt;=21,193,IF(O225&lt;=22,201,IF(O225&lt;=23,210,IF(O225&lt;=24,220,IF(O225&lt;=25,230,IF(O225&lt;=26,240,IF(O225&lt;=27,250,IF(O225&lt;=28,260,IF(O225&lt;=29,270,IF(O225&lt;=30,280,280+10*ROUNDUP(O225-30,0)))))))))))))))))))))))))))))))</f>
        <v>13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6"/>
        <v>0.78</v>
      </c>
      <c r="AG225" s="11">
        <f t="shared" si="7"/>
        <v>13.78</v>
      </c>
      <c r="AH225" t="s">
        <v>229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799</v>
      </c>
      <c r="G226" t="s">
        <v>37</v>
      </c>
      <c r="H226" t="s">
        <v>38</v>
      </c>
      <c r="I226" t="s">
        <v>800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1</v>
      </c>
      <c r="P226" s="8">
        <v>45230.758321759262</v>
      </c>
      <c r="Q226" s="9">
        <v>45231</v>
      </c>
      <c r="R226" t="s">
        <v>37</v>
      </c>
      <c r="S226" t="s">
        <v>44</v>
      </c>
      <c r="T226" t="s">
        <v>45</v>
      </c>
      <c r="U226" t="s">
        <v>57</v>
      </c>
      <c r="V226" t="s">
        <v>801</v>
      </c>
      <c r="W226">
        <v>46000</v>
      </c>
      <c r="X226" t="s">
        <v>44</v>
      </c>
      <c r="Y226" t="s">
        <v>802</v>
      </c>
      <c r="Z226" t="s">
        <v>48</v>
      </c>
      <c r="AA226" s="10">
        <f>IF(O226&lt;=1,7,7+0.8*ROUNDUP(O226-1,0))</f>
        <v>7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6"/>
        <v>0.42</v>
      </c>
      <c r="AG226" s="11">
        <f t="shared" si="7"/>
        <v>7.42</v>
      </c>
      <c r="AH226" t="s">
        <v>49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803</v>
      </c>
      <c r="G227" t="s">
        <v>37</v>
      </c>
      <c r="H227" t="s">
        <v>38</v>
      </c>
      <c r="I227" t="s">
        <v>804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2</v>
      </c>
      <c r="P227" s="8">
        <v>45230.596956018519</v>
      </c>
      <c r="Q227" s="9">
        <v>45231</v>
      </c>
      <c r="R227" t="s">
        <v>37</v>
      </c>
      <c r="S227" t="s">
        <v>44</v>
      </c>
      <c r="T227" t="s">
        <v>45</v>
      </c>
      <c r="U227" t="s">
        <v>57</v>
      </c>
      <c r="V227" t="s">
        <v>805</v>
      </c>
      <c r="W227">
        <v>41050</v>
      </c>
      <c r="X227" t="s">
        <v>44</v>
      </c>
      <c r="Y227" t="s">
        <v>223</v>
      </c>
      <c r="Z227" t="s">
        <v>48</v>
      </c>
      <c r="AA227" s="10">
        <f>IF(O227&lt;=1,7,7+0.8*ROUNDUP(O227-1,0))</f>
        <v>7.8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6"/>
        <v>0.46799999999999997</v>
      </c>
      <c r="AG227" s="11">
        <f t="shared" si="7"/>
        <v>8.2680000000000007</v>
      </c>
      <c r="AH227" t="s">
        <v>49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806</v>
      </c>
      <c r="G228" t="s">
        <v>37</v>
      </c>
      <c r="H228" t="s">
        <v>38</v>
      </c>
      <c r="I228" t="s">
        <v>807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1</v>
      </c>
      <c r="P228" s="8">
        <v>45230.654398148145</v>
      </c>
      <c r="Q228" s="9">
        <v>45231</v>
      </c>
      <c r="R228" t="s">
        <v>37</v>
      </c>
      <c r="S228" t="s">
        <v>44</v>
      </c>
      <c r="T228" t="s">
        <v>45</v>
      </c>
      <c r="U228" t="s">
        <v>70</v>
      </c>
      <c r="V228" t="s">
        <v>808</v>
      </c>
      <c r="W228">
        <v>78200</v>
      </c>
      <c r="X228" t="s">
        <v>44</v>
      </c>
      <c r="Y228" t="s">
        <v>379</v>
      </c>
      <c r="Z228" t="s">
        <v>48</v>
      </c>
      <c r="AA228" s="10">
        <f>IF(O228&lt;=1,7,7+0.8*ROUNDUP(O228-1,0))</f>
        <v>7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6"/>
        <v>0.42</v>
      </c>
      <c r="AG228" s="11">
        <f t="shared" si="7"/>
        <v>7.42</v>
      </c>
      <c r="AH228" t="s">
        <v>49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809</v>
      </c>
      <c r="G229" t="s">
        <v>37</v>
      </c>
      <c r="H229" t="s">
        <v>38</v>
      </c>
      <c r="I229" t="s">
        <v>810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1</v>
      </c>
      <c r="P229" s="8">
        <v>45230.744097222225</v>
      </c>
      <c r="Q229" s="9">
        <v>45231</v>
      </c>
      <c r="R229" t="s">
        <v>37</v>
      </c>
      <c r="S229" t="s">
        <v>44</v>
      </c>
      <c r="T229" t="s">
        <v>45</v>
      </c>
      <c r="U229" t="s">
        <v>66</v>
      </c>
      <c r="V229" t="s">
        <v>811</v>
      </c>
      <c r="W229">
        <v>58200</v>
      </c>
      <c r="X229" t="s">
        <v>44</v>
      </c>
      <c r="Y229" t="s">
        <v>192</v>
      </c>
      <c r="Z229" t="s">
        <v>48</v>
      </c>
      <c r="AA229" s="10">
        <f>IF(O229&lt;=1,7,7+0.8*ROUNDUP(O229-1,0))</f>
        <v>7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6"/>
        <v>0.42</v>
      </c>
      <c r="AG229" s="11">
        <f t="shared" si="7"/>
        <v>7.42</v>
      </c>
      <c r="AH229" t="s">
        <v>49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812</v>
      </c>
      <c r="G230" t="s">
        <v>37</v>
      </c>
      <c r="H230" t="s">
        <v>38</v>
      </c>
      <c r="I230" t="s">
        <v>813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4</v>
      </c>
      <c r="P230" s="8">
        <v>45229.769780092596</v>
      </c>
      <c r="Q230" s="9">
        <v>45231</v>
      </c>
      <c r="R230" t="s">
        <v>37</v>
      </c>
      <c r="S230" t="s">
        <v>44</v>
      </c>
      <c r="T230" t="s">
        <v>45</v>
      </c>
      <c r="U230" t="s">
        <v>46</v>
      </c>
      <c r="V230" t="s">
        <v>814</v>
      </c>
      <c r="W230">
        <v>26100</v>
      </c>
      <c r="X230" t="s">
        <v>44</v>
      </c>
      <c r="Y230" t="s">
        <v>168</v>
      </c>
      <c r="Z230" t="s">
        <v>48</v>
      </c>
      <c r="AA230" s="10">
        <f>IF(O230&lt;=1,7,7+0.8*ROUNDUP(O230-1,0))</f>
        <v>9.4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6"/>
        <v>0.56399999999999995</v>
      </c>
      <c r="AG230" s="11">
        <f t="shared" si="7"/>
        <v>9.9640000000000004</v>
      </c>
      <c r="AH230" t="s">
        <v>49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815</v>
      </c>
      <c r="G231" t="s">
        <v>37</v>
      </c>
      <c r="H231" t="s">
        <v>38</v>
      </c>
      <c r="I231" t="s">
        <v>494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1</v>
      </c>
      <c r="P231" s="8">
        <v>45229.706412037034</v>
      </c>
      <c r="Q231" s="9">
        <v>45231</v>
      </c>
      <c r="R231" t="s">
        <v>37</v>
      </c>
      <c r="S231" t="s">
        <v>44</v>
      </c>
      <c r="T231" t="s">
        <v>63</v>
      </c>
      <c r="U231" t="s">
        <v>236</v>
      </c>
      <c r="V231" t="s">
        <v>816</v>
      </c>
      <c r="W231">
        <v>9110</v>
      </c>
      <c r="X231" t="s">
        <v>44</v>
      </c>
      <c r="Y231" t="s">
        <v>496</v>
      </c>
      <c r="Z231" t="s">
        <v>48</v>
      </c>
      <c r="AA231" s="10">
        <f>IF(O231&lt;=1,7,7+0.8*ROUNDUP(O231-1,0))</f>
        <v>7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6"/>
        <v>0.42</v>
      </c>
      <c r="AG231" s="11">
        <f t="shared" si="7"/>
        <v>7.42</v>
      </c>
      <c r="AH231" t="s">
        <v>49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817</v>
      </c>
      <c r="G232" t="s">
        <v>37</v>
      </c>
      <c r="H232" t="s">
        <v>38</v>
      </c>
      <c r="I232" t="s">
        <v>818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5</v>
      </c>
      <c r="P232" s="8">
        <v>45230.758321759262</v>
      </c>
      <c r="Q232" s="9">
        <v>45231</v>
      </c>
      <c r="R232" t="s">
        <v>37</v>
      </c>
      <c r="S232" t="s">
        <v>44</v>
      </c>
      <c r="T232" t="s">
        <v>45</v>
      </c>
      <c r="U232" t="s">
        <v>57</v>
      </c>
      <c r="V232" t="s">
        <v>819</v>
      </c>
      <c r="W232">
        <v>47300</v>
      </c>
      <c r="X232" t="s">
        <v>44</v>
      </c>
      <c r="Y232" t="s">
        <v>316</v>
      </c>
      <c r="Z232" t="s">
        <v>48</v>
      </c>
      <c r="AA232" s="10">
        <f>IF(O232&lt;=1,7,7+0.8*ROUNDUP(O232-1,0))</f>
        <v>10.199999999999999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6"/>
        <v>0.61199999999999999</v>
      </c>
      <c r="AG232" s="11">
        <f t="shared" si="7"/>
        <v>10.811999999999999</v>
      </c>
      <c r="AH232" t="s">
        <v>49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820</v>
      </c>
      <c r="G233" t="s">
        <v>37</v>
      </c>
      <c r="H233" t="s">
        <v>38</v>
      </c>
      <c r="I233" t="s">
        <v>821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2</v>
      </c>
      <c r="P233" s="8">
        <v>45229.659375000003</v>
      </c>
      <c r="Q233" s="9">
        <v>45231</v>
      </c>
      <c r="R233" t="s">
        <v>37</v>
      </c>
      <c r="S233" t="s">
        <v>44</v>
      </c>
      <c r="T233" t="s">
        <v>63</v>
      </c>
      <c r="U233" t="s">
        <v>70</v>
      </c>
      <c r="V233" t="s">
        <v>822</v>
      </c>
      <c r="W233">
        <v>75450</v>
      </c>
      <c r="X233" t="s">
        <v>44</v>
      </c>
      <c r="Y233" t="s">
        <v>242</v>
      </c>
      <c r="Z233" t="s">
        <v>48</v>
      </c>
      <c r="AA233" s="10">
        <f>IF(O233&lt;=1,7,7+0.8*ROUNDUP(O233-1,0))</f>
        <v>7.8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6"/>
        <v>0.46799999999999997</v>
      </c>
      <c r="AG233" s="11">
        <f t="shared" si="7"/>
        <v>8.2680000000000007</v>
      </c>
      <c r="AH233" t="s">
        <v>49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823</v>
      </c>
      <c r="G234" t="s">
        <v>37</v>
      </c>
      <c r="H234" t="s">
        <v>38</v>
      </c>
      <c r="I234" t="s">
        <v>824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45230.758321759262</v>
      </c>
      <c r="Q234" s="9">
        <v>45231</v>
      </c>
      <c r="R234" t="s">
        <v>37</v>
      </c>
      <c r="S234" t="s">
        <v>44</v>
      </c>
      <c r="T234" t="s">
        <v>45</v>
      </c>
      <c r="U234" t="s">
        <v>57</v>
      </c>
      <c r="V234" t="s">
        <v>825</v>
      </c>
      <c r="W234">
        <v>43300</v>
      </c>
      <c r="X234" t="s">
        <v>44</v>
      </c>
      <c r="Y234" t="s">
        <v>826</v>
      </c>
      <c r="Z234" t="s">
        <v>48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6"/>
        <v>0.42</v>
      </c>
      <c r="AG234" s="11">
        <f t="shared" si="7"/>
        <v>7.42</v>
      </c>
      <c r="AH234" t="s">
        <v>49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827</v>
      </c>
      <c r="G235" t="s">
        <v>37</v>
      </c>
      <c r="H235" t="s">
        <v>38</v>
      </c>
      <c r="I235" t="s">
        <v>828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</v>
      </c>
      <c r="P235" s="8">
        <v>45228.605486111112</v>
      </c>
      <c r="Q235" s="9">
        <v>45231</v>
      </c>
      <c r="R235" t="s">
        <v>37</v>
      </c>
      <c r="S235" t="s">
        <v>44</v>
      </c>
      <c r="T235" t="s">
        <v>45</v>
      </c>
      <c r="U235" t="s">
        <v>119</v>
      </c>
      <c r="V235" t="s">
        <v>829</v>
      </c>
      <c r="W235">
        <v>11950</v>
      </c>
      <c r="X235" t="s">
        <v>44</v>
      </c>
      <c r="Y235" t="s">
        <v>63</v>
      </c>
      <c r="Z235" t="s">
        <v>48</v>
      </c>
      <c r="AA235" s="10">
        <f>IF(O235&lt;=1,7,7+0.8*ROUNDUP(O235-1,0))</f>
        <v>7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6"/>
        <v>0.42</v>
      </c>
      <c r="AG235" s="11">
        <f t="shared" si="7"/>
        <v>7.42</v>
      </c>
      <c r="AH235" t="s">
        <v>49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830</v>
      </c>
      <c r="G236" t="s">
        <v>37</v>
      </c>
      <c r="H236" t="s">
        <v>38</v>
      </c>
      <c r="I236" t="s">
        <v>831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1</v>
      </c>
      <c r="P236" s="8">
        <v>45230.758321759262</v>
      </c>
      <c r="Q236" s="9">
        <v>45231</v>
      </c>
      <c r="R236" t="s">
        <v>37</v>
      </c>
      <c r="S236" t="s">
        <v>44</v>
      </c>
      <c r="T236" t="s">
        <v>45</v>
      </c>
      <c r="U236" t="s">
        <v>66</v>
      </c>
      <c r="V236" t="s">
        <v>832</v>
      </c>
      <c r="W236">
        <v>53300</v>
      </c>
      <c r="X236" t="s">
        <v>44</v>
      </c>
      <c r="Y236" t="s">
        <v>756</v>
      </c>
      <c r="Z236" t="s">
        <v>48</v>
      </c>
      <c r="AA236" s="10">
        <f>IF(O236&lt;=1,7,7+0.8*ROUNDUP(O236-1,0))</f>
        <v>7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6"/>
        <v>0.42</v>
      </c>
      <c r="AG236" s="11">
        <f t="shared" si="7"/>
        <v>7.42</v>
      </c>
      <c r="AH236" t="s">
        <v>49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833</v>
      </c>
      <c r="G237" t="s">
        <v>37</v>
      </c>
      <c r="H237" t="s">
        <v>38</v>
      </c>
      <c r="I237" t="s">
        <v>834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1</v>
      </c>
      <c r="P237" s="8">
        <v>45230.631018518521</v>
      </c>
      <c r="Q237" s="9">
        <v>45231</v>
      </c>
      <c r="R237" t="s">
        <v>37</v>
      </c>
      <c r="S237" t="s">
        <v>44</v>
      </c>
      <c r="T237" t="s">
        <v>45</v>
      </c>
      <c r="U237" t="s">
        <v>46</v>
      </c>
      <c r="V237" t="s">
        <v>835</v>
      </c>
      <c r="W237">
        <v>25200</v>
      </c>
      <c r="X237" t="s">
        <v>44</v>
      </c>
      <c r="Y237" t="s">
        <v>45</v>
      </c>
      <c r="Z237" t="s">
        <v>48</v>
      </c>
      <c r="AA237" s="10">
        <f>IF(O237&lt;=1,7,7+0.8*ROUNDUP(O237-1,0))</f>
        <v>7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6"/>
        <v>0.42</v>
      </c>
      <c r="AG237" s="11">
        <f t="shared" si="7"/>
        <v>7.42</v>
      </c>
      <c r="AH237" t="s">
        <v>49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836</v>
      </c>
      <c r="G238" t="s">
        <v>37</v>
      </c>
      <c r="H238" t="s">
        <v>38</v>
      </c>
      <c r="I238" t="s">
        <v>837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2</v>
      </c>
      <c r="P238" s="8">
        <v>45229.620034722226</v>
      </c>
      <c r="Q238" s="9">
        <v>45231</v>
      </c>
      <c r="R238" t="s">
        <v>37</v>
      </c>
      <c r="S238" t="s">
        <v>44</v>
      </c>
      <c r="T238" t="s">
        <v>63</v>
      </c>
      <c r="U238" t="s">
        <v>119</v>
      </c>
      <c r="V238" t="s">
        <v>838</v>
      </c>
      <c r="W238">
        <v>11900</v>
      </c>
      <c r="X238" t="s">
        <v>44</v>
      </c>
      <c r="Y238" t="s">
        <v>839</v>
      </c>
      <c r="Z238" t="s">
        <v>48</v>
      </c>
      <c r="AA238" s="10">
        <f>IF(O238&lt;=1,7,7+0.8*ROUNDUP(O238-1,0))</f>
        <v>7.8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6"/>
        <v>0.46799999999999997</v>
      </c>
      <c r="AG238" s="11">
        <f t="shared" si="7"/>
        <v>8.2680000000000007</v>
      </c>
      <c r="AH238" t="s">
        <v>49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840</v>
      </c>
      <c r="G239" t="s">
        <v>37</v>
      </c>
      <c r="H239" t="s">
        <v>38</v>
      </c>
      <c r="I239" t="s">
        <v>841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45230.746157407404</v>
      </c>
      <c r="Q239" s="9">
        <v>45231</v>
      </c>
      <c r="R239" t="s">
        <v>37</v>
      </c>
      <c r="S239" t="s">
        <v>44</v>
      </c>
      <c r="T239" t="s">
        <v>45</v>
      </c>
      <c r="U239" t="s">
        <v>57</v>
      </c>
      <c r="V239" t="s">
        <v>842</v>
      </c>
      <c r="W239">
        <v>42200</v>
      </c>
      <c r="X239" t="s">
        <v>44</v>
      </c>
      <c r="Y239" t="s">
        <v>223</v>
      </c>
      <c r="Z239" t="s">
        <v>48</v>
      </c>
      <c r="AA239" s="10">
        <f>IF(O239&lt;=1,7,7+0.8*ROUNDUP(O239-1,0))</f>
        <v>7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6"/>
        <v>0.42</v>
      </c>
      <c r="AG239" s="11">
        <f t="shared" si="7"/>
        <v>7.42</v>
      </c>
      <c r="AH239" t="s">
        <v>49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843</v>
      </c>
      <c r="G240" t="s">
        <v>37</v>
      </c>
      <c r="H240" t="s">
        <v>38</v>
      </c>
      <c r="I240" t="s">
        <v>844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45230.710439814815</v>
      </c>
      <c r="Q240" s="9">
        <v>45231</v>
      </c>
      <c r="R240" t="s">
        <v>37</v>
      </c>
      <c r="S240" t="s">
        <v>44</v>
      </c>
      <c r="T240" t="s">
        <v>45</v>
      </c>
      <c r="U240" t="s">
        <v>57</v>
      </c>
      <c r="V240" t="s">
        <v>845</v>
      </c>
      <c r="W240">
        <v>47600</v>
      </c>
      <c r="X240" t="s">
        <v>44</v>
      </c>
      <c r="Y240" t="s">
        <v>846</v>
      </c>
      <c r="Z240" t="s">
        <v>48</v>
      </c>
      <c r="AA240" s="10">
        <f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6"/>
        <v>0.42</v>
      </c>
      <c r="AG240" s="11">
        <f t="shared" si="7"/>
        <v>7.42</v>
      </c>
      <c r="AH240" t="s">
        <v>49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847</v>
      </c>
      <c r="G241" t="s">
        <v>37</v>
      </c>
      <c r="H241" t="s">
        <v>38</v>
      </c>
      <c r="I241" t="s">
        <v>848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9</v>
      </c>
      <c r="P241" s="8">
        <v>45230.469814814816</v>
      </c>
      <c r="Q241" s="9">
        <v>45231</v>
      </c>
      <c r="R241" t="s">
        <v>37</v>
      </c>
      <c r="S241" t="s">
        <v>44</v>
      </c>
      <c r="T241" t="s">
        <v>45</v>
      </c>
      <c r="U241" t="s">
        <v>57</v>
      </c>
      <c r="V241" t="s">
        <v>849</v>
      </c>
      <c r="W241">
        <v>40100</v>
      </c>
      <c r="X241" t="s">
        <v>44</v>
      </c>
      <c r="Y241" t="s">
        <v>86</v>
      </c>
      <c r="Z241" t="s">
        <v>48</v>
      </c>
      <c r="AA241" s="10">
        <f>IF(O241&lt;=1,7,7+0.8*ROUNDUP(O241-1,0))</f>
        <v>13.4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6"/>
        <v>0.80399999999999994</v>
      </c>
      <c r="AG241" s="11">
        <f t="shared" si="7"/>
        <v>14.204000000000001</v>
      </c>
      <c r="AH241" t="s">
        <v>49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850</v>
      </c>
      <c r="G242" t="s">
        <v>37</v>
      </c>
      <c r="H242" t="s">
        <v>38</v>
      </c>
      <c r="I242" t="s">
        <v>851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1</v>
      </c>
      <c r="P242" s="8">
        <v>45230.744108796294</v>
      </c>
      <c r="Q242" s="9">
        <v>45231</v>
      </c>
      <c r="R242" t="s">
        <v>37</v>
      </c>
      <c r="S242" t="s">
        <v>44</v>
      </c>
      <c r="T242" t="s">
        <v>45</v>
      </c>
      <c r="U242" t="s">
        <v>52</v>
      </c>
      <c r="V242" t="s">
        <v>852</v>
      </c>
      <c r="W242">
        <v>21300</v>
      </c>
      <c r="X242" t="s">
        <v>44</v>
      </c>
      <c r="Y242" t="s">
        <v>368</v>
      </c>
      <c r="Z242" t="s">
        <v>48</v>
      </c>
      <c r="AA242" s="10">
        <f>IF(O242&lt;=1,7,7+0.8*ROUNDUP(O242-1,0))</f>
        <v>7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6"/>
        <v>0.42</v>
      </c>
      <c r="AG242" s="11">
        <f t="shared" si="7"/>
        <v>7.42</v>
      </c>
      <c r="AH242" t="s">
        <v>49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853</v>
      </c>
      <c r="G243" t="s">
        <v>37</v>
      </c>
      <c r="H243" t="s">
        <v>38</v>
      </c>
      <c r="I243" t="s">
        <v>854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6</v>
      </c>
      <c r="P243" s="8">
        <v>45230.70758101852</v>
      </c>
      <c r="Q243" s="9">
        <v>45231</v>
      </c>
      <c r="R243" t="s">
        <v>37</v>
      </c>
      <c r="S243" t="s">
        <v>44</v>
      </c>
      <c r="T243" t="s">
        <v>45</v>
      </c>
      <c r="U243" t="s">
        <v>57</v>
      </c>
      <c r="V243" t="s">
        <v>855</v>
      </c>
      <c r="W243">
        <v>43500</v>
      </c>
      <c r="X243" t="s">
        <v>44</v>
      </c>
      <c r="Y243" t="s">
        <v>488</v>
      </c>
      <c r="Z243" t="s">
        <v>48</v>
      </c>
      <c r="AA243" s="10">
        <f>IF(O243&lt;=1,7,7+0.8*ROUNDUP(O243-1,0))</f>
        <v>11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6"/>
        <v>0.65999999999999992</v>
      </c>
      <c r="AG243" s="11">
        <f t="shared" si="7"/>
        <v>11.66</v>
      </c>
      <c r="AH243" t="s">
        <v>49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856</v>
      </c>
      <c r="G244" t="s">
        <v>37</v>
      </c>
      <c r="H244" t="s">
        <v>38</v>
      </c>
      <c r="I244" t="s">
        <v>857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45230.631018518521</v>
      </c>
      <c r="Q244" s="9">
        <v>45231</v>
      </c>
      <c r="R244" t="s">
        <v>37</v>
      </c>
      <c r="S244" t="s">
        <v>44</v>
      </c>
      <c r="T244" t="s">
        <v>45</v>
      </c>
      <c r="U244" t="s">
        <v>52</v>
      </c>
      <c r="V244" t="s">
        <v>858</v>
      </c>
      <c r="W244">
        <v>22000</v>
      </c>
      <c r="X244" t="s">
        <v>44</v>
      </c>
      <c r="Y244" t="s">
        <v>145</v>
      </c>
      <c r="Z244" t="s">
        <v>48</v>
      </c>
      <c r="AA244" s="10">
        <f>IF(O244&lt;=1,7,7+0.8*ROUNDUP(O244-1,0))</f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6"/>
        <v>0.42</v>
      </c>
      <c r="AG244" s="11">
        <f t="shared" si="7"/>
        <v>7.42</v>
      </c>
      <c r="AH244" t="s">
        <v>49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859</v>
      </c>
      <c r="G245" t="s">
        <v>37</v>
      </c>
      <c r="H245" t="s">
        <v>38</v>
      </c>
      <c r="I245" t="s">
        <v>860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45229.739374999997</v>
      </c>
      <c r="Q245" s="9">
        <v>45231</v>
      </c>
      <c r="R245" t="s">
        <v>37</v>
      </c>
      <c r="S245" t="s">
        <v>44</v>
      </c>
      <c r="T245" t="s">
        <v>63</v>
      </c>
      <c r="U245" t="s">
        <v>46</v>
      </c>
      <c r="V245" t="s">
        <v>861</v>
      </c>
      <c r="W245">
        <v>28500</v>
      </c>
      <c r="X245" t="s">
        <v>44</v>
      </c>
      <c r="Y245" t="s">
        <v>133</v>
      </c>
      <c r="Z245" t="s">
        <v>48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6"/>
        <v>0.42</v>
      </c>
      <c r="AG245" s="11">
        <f t="shared" si="7"/>
        <v>7.42</v>
      </c>
      <c r="AH245" t="s">
        <v>49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862</v>
      </c>
      <c r="G246" t="s">
        <v>37</v>
      </c>
      <c r="H246" t="s">
        <v>38</v>
      </c>
      <c r="I246" t="s">
        <v>863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45229.757870370369</v>
      </c>
      <c r="Q246" s="9">
        <v>45231</v>
      </c>
      <c r="R246" t="s">
        <v>37</v>
      </c>
      <c r="S246" t="s">
        <v>44</v>
      </c>
      <c r="T246" t="s">
        <v>45</v>
      </c>
      <c r="U246" t="s">
        <v>57</v>
      </c>
      <c r="V246" t="s">
        <v>864</v>
      </c>
      <c r="W246">
        <v>42700</v>
      </c>
      <c r="X246" t="s">
        <v>44</v>
      </c>
      <c r="Y246" t="s">
        <v>865</v>
      </c>
      <c r="Z246" t="s">
        <v>48</v>
      </c>
      <c r="AA246" s="10">
        <f>IF(O246&lt;=1,7,7+0.8*ROUNDUP(O246-1,0))</f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6"/>
        <v>0.42</v>
      </c>
      <c r="AG246" s="11">
        <f t="shared" si="7"/>
        <v>7.42</v>
      </c>
      <c r="AH246" t="s">
        <v>49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866</v>
      </c>
      <c r="G247" t="s">
        <v>37</v>
      </c>
      <c r="H247" t="s">
        <v>38</v>
      </c>
      <c r="I247" t="s">
        <v>867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3</v>
      </c>
      <c r="P247" s="8">
        <v>45230.734710648147</v>
      </c>
      <c r="Q247" s="9">
        <v>45231</v>
      </c>
      <c r="R247" t="s">
        <v>37</v>
      </c>
      <c r="S247" t="s">
        <v>44</v>
      </c>
      <c r="T247" t="s">
        <v>45</v>
      </c>
      <c r="U247" t="s">
        <v>57</v>
      </c>
      <c r="V247" t="s">
        <v>868</v>
      </c>
      <c r="W247">
        <v>42700</v>
      </c>
      <c r="X247" t="s">
        <v>44</v>
      </c>
      <c r="Y247" t="s">
        <v>865</v>
      </c>
      <c r="Z247" t="s">
        <v>48</v>
      </c>
      <c r="AA247" s="10">
        <f>IF(O247&lt;=1,7,7+0.8*ROUNDUP(O247-1,0))</f>
        <v>8.6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6"/>
        <v>0.51600000000000001</v>
      </c>
      <c r="AG247" s="11">
        <f t="shared" si="7"/>
        <v>9.1159999999999997</v>
      </c>
      <c r="AH247" t="s">
        <v>49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869</v>
      </c>
      <c r="G248" t="s">
        <v>37</v>
      </c>
      <c r="H248" t="s">
        <v>38</v>
      </c>
      <c r="I248" t="s">
        <v>870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45230.754062499997</v>
      </c>
      <c r="Q248" s="9">
        <v>45231</v>
      </c>
      <c r="R248" t="s">
        <v>37</v>
      </c>
      <c r="S248" t="s">
        <v>44</v>
      </c>
      <c r="T248" t="s">
        <v>45</v>
      </c>
      <c r="U248" t="s">
        <v>66</v>
      </c>
      <c r="V248" t="s">
        <v>871</v>
      </c>
      <c r="W248">
        <v>51000</v>
      </c>
      <c r="X248" t="s">
        <v>44</v>
      </c>
      <c r="Y248" t="s">
        <v>872</v>
      </c>
      <c r="Z248" t="s">
        <v>48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6"/>
        <v>0.42</v>
      </c>
      <c r="AG248" s="11">
        <f t="shared" si="7"/>
        <v>7.42</v>
      </c>
      <c r="AH248" t="s">
        <v>49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873</v>
      </c>
      <c r="G249" t="s">
        <v>37</v>
      </c>
      <c r="H249" t="s">
        <v>38</v>
      </c>
      <c r="I249" t="s">
        <v>874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20</v>
      </c>
      <c r="P249" s="8">
        <v>45229.715312499997</v>
      </c>
      <c r="Q249" s="9">
        <v>45231</v>
      </c>
      <c r="R249" t="s">
        <v>37</v>
      </c>
      <c r="S249" t="s">
        <v>44</v>
      </c>
      <c r="T249" t="s">
        <v>45</v>
      </c>
      <c r="U249" t="s">
        <v>89</v>
      </c>
      <c r="V249" t="s">
        <v>875</v>
      </c>
      <c r="W249">
        <v>81620</v>
      </c>
      <c r="X249" t="s">
        <v>44</v>
      </c>
      <c r="Y249" t="s">
        <v>390</v>
      </c>
      <c r="Z249" t="s">
        <v>48</v>
      </c>
      <c r="AA249" s="10">
        <f>IF(O249&lt;=1,7,7+0.8*ROUNDUP(O249-1,0))</f>
        <v>22.200000000000003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6"/>
        <v>1.3320000000000001</v>
      </c>
      <c r="AG249" s="11">
        <f t="shared" si="7"/>
        <v>23.532000000000004</v>
      </c>
      <c r="AH249" t="s">
        <v>49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876</v>
      </c>
      <c r="G250" t="s">
        <v>37</v>
      </c>
      <c r="H250" t="s">
        <v>38</v>
      </c>
      <c r="I250" t="s">
        <v>877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9</v>
      </c>
      <c r="P250" s="8">
        <v>45230.70758101852</v>
      </c>
      <c r="Q250" s="9">
        <v>45231</v>
      </c>
      <c r="R250" t="s">
        <v>37</v>
      </c>
      <c r="S250" t="s">
        <v>44</v>
      </c>
      <c r="T250" t="s">
        <v>45</v>
      </c>
      <c r="U250" t="s">
        <v>46</v>
      </c>
      <c r="V250" t="s">
        <v>878</v>
      </c>
      <c r="W250">
        <v>26140</v>
      </c>
      <c r="X250" t="s">
        <v>44</v>
      </c>
      <c r="Y250" t="s">
        <v>879</v>
      </c>
      <c r="Z250" t="s">
        <v>48</v>
      </c>
      <c r="AA250" s="10">
        <f>IF(O250&lt;=1,7,7+0.8*ROUNDUP(O250-1,0))</f>
        <v>13.4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6"/>
        <v>0.80399999999999994</v>
      </c>
      <c r="AG250" s="11">
        <f t="shared" si="7"/>
        <v>14.204000000000001</v>
      </c>
      <c r="AH250" t="s">
        <v>49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880</v>
      </c>
      <c r="G251" t="s">
        <v>37</v>
      </c>
      <c r="H251" t="s">
        <v>38</v>
      </c>
      <c r="I251" t="s">
        <v>881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1</v>
      </c>
      <c r="P251" s="8">
        <v>45229.565740740742</v>
      </c>
      <c r="Q251" s="9">
        <v>45231</v>
      </c>
      <c r="R251" t="s">
        <v>37</v>
      </c>
      <c r="S251" t="s">
        <v>44</v>
      </c>
      <c r="T251" t="s">
        <v>63</v>
      </c>
      <c r="U251" t="s">
        <v>882</v>
      </c>
      <c r="V251" t="s">
        <v>883</v>
      </c>
      <c r="W251">
        <v>2700</v>
      </c>
      <c r="X251" t="s">
        <v>44</v>
      </c>
      <c r="Y251" t="s">
        <v>884</v>
      </c>
      <c r="Z251" t="s">
        <v>48</v>
      </c>
      <c r="AA251" s="10">
        <f>IF(O251&lt;=1,7,7+0.8*ROUNDUP(O251-1,0))</f>
        <v>7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6"/>
        <v>0.42</v>
      </c>
      <c r="AG251" s="11">
        <f t="shared" si="7"/>
        <v>7.42</v>
      </c>
      <c r="AH251" t="s">
        <v>49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885</v>
      </c>
      <c r="G252" t="s">
        <v>37</v>
      </c>
      <c r="H252" t="s">
        <v>38</v>
      </c>
      <c r="I252" t="s">
        <v>886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45230.415578703702</v>
      </c>
      <c r="Q252" s="9">
        <v>45231</v>
      </c>
      <c r="R252" t="s">
        <v>37</v>
      </c>
      <c r="S252" t="s">
        <v>44</v>
      </c>
      <c r="T252" t="s">
        <v>45</v>
      </c>
      <c r="U252" t="s">
        <v>57</v>
      </c>
      <c r="V252" t="s">
        <v>887</v>
      </c>
      <c r="W252">
        <v>48050</v>
      </c>
      <c r="X252" t="s">
        <v>44</v>
      </c>
      <c r="Y252" t="s">
        <v>149</v>
      </c>
      <c r="Z252" t="s">
        <v>48</v>
      </c>
      <c r="AA252" s="10">
        <f>IF(O252&lt;=1,7,7+0.8*ROUNDUP(O252-1,0))</f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6"/>
        <v>0.42</v>
      </c>
      <c r="AG252" s="11">
        <f t="shared" si="7"/>
        <v>7.42</v>
      </c>
      <c r="AH252" t="s">
        <v>49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888</v>
      </c>
      <c r="G253" t="s">
        <v>37</v>
      </c>
      <c r="H253" t="s">
        <v>38</v>
      </c>
      <c r="I253" t="s">
        <v>889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1</v>
      </c>
      <c r="P253" s="8">
        <v>45229.739374999997</v>
      </c>
      <c r="Q253" s="9">
        <v>45231</v>
      </c>
      <c r="R253" t="s">
        <v>37</v>
      </c>
      <c r="S253" t="s">
        <v>44</v>
      </c>
      <c r="T253" t="s">
        <v>63</v>
      </c>
      <c r="U253" t="s">
        <v>236</v>
      </c>
      <c r="V253" t="s">
        <v>890</v>
      </c>
      <c r="W253">
        <v>8100</v>
      </c>
      <c r="X253" t="s">
        <v>44</v>
      </c>
      <c r="Y253" t="s">
        <v>891</v>
      </c>
      <c r="Z253" t="s">
        <v>48</v>
      </c>
      <c r="AA253" s="10">
        <f>IF(O253&lt;=1,7,7+0.8*ROUNDUP(O253-1,0))</f>
        <v>7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6"/>
        <v>0.42</v>
      </c>
      <c r="AG253" s="11">
        <f t="shared" si="7"/>
        <v>7.42</v>
      </c>
      <c r="AH253" t="s">
        <v>49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892</v>
      </c>
      <c r="G254" t="s">
        <v>37</v>
      </c>
      <c r="H254" t="s">
        <v>38</v>
      </c>
      <c r="I254" t="s">
        <v>893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45230.754062499997</v>
      </c>
      <c r="Q254" s="9">
        <v>45231</v>
      </c>
      <c r="R254" t="s">
        <v>37</v>
      </c>
      <c r="S254" t="s">
        <v>44</v>
      </c>
      <c r="T254" t="s">
        <v>45</v>
      </c>
      <c r="U254" t="s">
        <v>52</v>
      </c>
      <c r="V254" t="s">
        <v>894</v>
      </c>
      <c r="W254">
        <v>21400</v>
      </c>
      <c r="X254" t="s">
        <v>44</v>
      </c>
      <c r="Y254" t="s">
        <v>368</v>
      </c>
      <c r="Z254" t="s">
        <v>48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6"/>
        <v>0.42</v>
      </c>
      <c r="AG254" s="11">
        <f t="shared" si="7"/>
        <v>7.42</v>
      </c>
      <c r="AH254" t="s">
        <v>49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895</v>
      </c>
      <c r="G255" t="s">
        <v>37</v>
      </c>
      <c r="H255" t="s">
        <v>38</v>
      </c>
      <c r="I255" t="s">
        <v>896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45230.654398148145</v>
      </c>
      <c r="Q255" s="9">
        <v>45231</v>
      </c>
      <c r="R255" t="s">
        <v>37</v>
      </c>
      <c r="S255" t="s">
        <v>44</v>
      </c>
      <c r="T255" t="s">
        <v>45</v>
      </c>
      <c r="U255" t="s">
        <v>156</v>
      </c>
      <c r="V255" t="s">
        <v>897</v>
      </c>
      <c r="W255">
        <v>18300</v>
      </c>
      <c r="X255" t="s">
        <v>44</v>
      </c>
      <c r="Y255" t="s">
        <v>145</v>
      </c>
      <c r="Z255" t="s">
        <v>48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6"/>
        <v>0.42</v>
      </c>
      <c r="AG255" s="11">
        <f t="shared" si="7"/>
        <v>7.42</v>
      </c>
      <c r="AH255" t="s">
        <v>49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898</v>
      </c>
      <c r="G256" t="s">
        <v>37</v>
      </c>
      <c r="H256" t="s">
        <v>38</v>
      </c>
      <c r="I256" t="s">
        <v>899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45231.587268518517</v>
      </c>
      <c r="Q256" s="9">
        <v>45232</v>
      </c>
      <c r="R256" t="s">
        <v>37</v>
      </c>
      <c r="S256" t="s">
        <v>44</v>
      </c>
      <c r="T256" t="s">
        <v>45</v>
      </c>
      <c r="U256" t="s">
        <v>46</v>
      </c>
      <c r="V256" t="s">
        <v>900</v>
      </c>
      <c r="W256">
        <v>28700</v>
      </c>
      <c r="X256" t="s">
        <v>44</v>
      </c>
      <c r="Y256" t="s">
        <v>45</v>
      </c>
      <c r="Z256" t="s">
        <v>48</v>
      </c>
      <c r="AA256" s="10">
        <f>IF(O256&lt;=1,7,7+0.8*ROUNDUP(O256-1,0))</f>
        <v>7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6"/>
        <v>0.42</v>
      </c>
      <c r="AG256" s="11">
        <f t="shared" si="7"/>
        <v>7.42</v>
      </c>
      <c r="AH256" t="s">
        <v>49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901</v>
      </c>
      <c r="G257" t="s">
        <v>37</v>
      </c>
      <c r="H257" t="s">
        <v>38</v>
      </c>
      <c r="I257" t="s">
        <v>902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45231.696875000001</v>
      </c>
      <c r="Q257" s="9">
        <v>45232</v>
      </c>
      <c r="R257" t="s">
        <v>37</v>
      </c>
      <c r="S257" t="s">
        <v>44</v>
      </c>
      <c r="T257" t="s">
        <v>45</v>
      </c>
      <c r="U257" t="s">
        <v>57</v>
      </c>
      <c r="V257" t="s">
        <v>903</v>
      </c>
      <c r="W257">
        <v>41050</v>
      </c>
      <c r="X257" t="s">
        <v>44</v>
      </c>
      <c r="Y257" t="s">
        <v>86</v>
      </c>
      <c r="Z257" t="s">
        <v>48</v>
      </c>
      <c r="AA257" s="10">
        <f>IF(O257&lt;=1,7,7+0.8*ROUNDUP(O257-1,0))</f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6"/>
        <v>0.42</v>
      </c>
      <c r="AG257" s="11">
        <f t="shared" si="7"/>
        <v>7.42</v>
      </c>
      <c r="AH257" t="s">
        <v>49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904</v>
      </c>
      <c r="G258" t="s">
        <v>37</v>
      </c>
      <c r="H258" t="s">
        <v>38</v>
      </c>
      <c r="I258" t="s">
        <v>905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45229.612847222219</v>
      </c>
      <c r="Q258" s="9">
        <v>45232</v>
      </c>
      <c r="R258" t="s">
        <v>37</v>
      </c>
      <c r="S258" t="s">
        <v>44</v>
      </c>
      <c r="T258" t="s">
        <v>63</v>
      </c>
      <c r="U258" t="s">
        <v>187</v>
      </c>
      <c r="V258" t="s">
        <v>906</v>
      </c>
      <c r="W258">
        <v>34700</v>
      </c>
      <c r="X258" t="s">
        <v>44</v>
      </c>
      <c r="Y258" t="s">
        <v>63</v>
      </c>
      <c r="Z258" t="s">
        <v>48</v>
      </c>
      <c r="AA258" s="10">
        <f>IF(O258&lt;=1,7,7+0.8*ROUNDUP(O258-1,0))</f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8">(AA258+AC258+AE258)*6%</f>
        <v>0.42</v>
      </c>
      <c r="AG258" s="11">
        <f t="shared" ref="AG258:AG321" si="9">AA258+AC258+AE258+AF258</f>
        <v>7.42</v>
      </c>
      <c r="AH258" t="s">
        <v>49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907</v>
      </c>
      <c r="G259" t="s">
        <v>37</v>
      </c>
      <c r="H259" t="s">
        <v>38</v>
      </c>
      <c r="I259" t="s">
        <v>908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45229.757870370369</v>
      </c>
      <c r="Q259" s="9">
        <v>45232</v>
      </c>
      <c r="R259" t="s">
        <v>37</v>
      </c>
      <c r="S259" t="s">
        <v>44</v>
      </c>
      <c r="T259" t="s">
        <v>45</v>
      </c>
      <c r="U259" t="s">
        <v>89</v>
      </c>
      <c r="V259" t="s">
        <v>909</v>
      </c>
      <c r="W259">
        <v>81500</v>
      </c>
      <c r="X259" t="s">
        <v>44</v>
      </c>
      <c r="Y259" t="s">
        <v>910</v>
      </c>
      <c r="Z259" t="s">
        <v>48</v>
      </c>
      <c r="AA259" s="10">
        <f>IF(O259&lt;=1,7,7+0.8*ROUNDUP(O259-1,0))</f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0.42</v>
      </c>
      <c r="AG259" s="11">
        <f t="shared" si="9"/>
        <v>7.42</v>
      </c>
      <c r="AH259" t="s">
        <v>49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911</v>
      </c>
      <c r="G260" t="s">
        <v>37</v>
      </c>
      <c r="H260" t="s">
        <v>38</v>
      </c>
      <c r="I260" t="s">
        <v>867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1</v>
      </c>
      <c r="P260" s="8">
        <v>45231.733831018515</v>
      </c>
      <c r="Q260" s="9">
        <v>45232</v>
      </c>
      <c r="R260" t="s">
        <v>37</v>
      </c>
      <c r="S260" t="s">
        <v>44</v>
      </c>
      <c r="T260" t="s">
        <v>45</v>
      </c>
      <c r="U260" t="s">
        <v>57</v>
      </c>
      <c r="V260" t="s">
        <v>912</v>
      </c>
      <c r="W260">
        <v>42700</v>
      </c>
      <c r="X260" t="s">
        <v>44</v>
      </c>
      <c r="Y260" t="s">
        <v>63</v>
      </c>
      <c r="Z260" t="s">
        <v>48</v>
      </c>
      <c r="AA260" s="10">
        <f>IF(O260&lt;=1,7,7+0.8*ROUNDUP(O260-1,0))</f>
        <v>7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0.42</v>
      </c>
      <c r="AG260" s="11">
        <f t="shared" si="9"/>
        <v>7.42</v>
      </c>
      <c r="AH260" t="s">
        <v>49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913</v>
      </c>
      <c r="G261" t="s">
        <v>37</v>
      </c>
      <c r="H261" t="s">
        <v>38</v>
      </c>
      <c r="I261" t="s">
        <v>914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1</v>
      </c>
      <c r="P261" s="8">
        <v>45229.757870370369</v>
      </c>
      <c r="Q261" s="9">
        <v>45232</v>
      </c>
      <c r="R261" t="s">
        <v>37</v>
      </c>
      <c r="S261" t="s">
        <v>44</v>
      </c>
      <c r="T261" t="s">
        <v>45</v>
      </c>
      <c r="U261" t="s">
        <v>89</v>
      </c>
      <c r="V261" t="s">
        <v>915</v>
      </c>
      <c r="W261">
        <v>82200</v>
      </c>
      <c r="X261" t="s">
        <v>44</v>
      </c>
      <c r="Y261" t="s">
        <v>910</v>
      </c>
      <c r="Z261" t="s">
        <v>48</v>
      </c>
      <c r="AA261" s="10">
        <f>IF(O261&lt;=1,7,7+0.8*ROUNDUP(O261-1,0))</f>
        <v>7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0.42</v>
      </c>
      <c r="AG261" s="11">
        <f t="shared" si="9"/>
        <v>7.42</v>
      </c>
      <c r="AH261" t="s">
        <v>49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916</v>
      </c>
      <c r="G262" t="s">
        <v>37</v>
      </c>
      <c r="H262" t="s">
        <v>38</v>
      </c>
      <c r="I262" t="s">
        <v>917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45231.688981481479</v>
      </c>
      <c r="Q262" s="9">
        <v>45232</v>
      </c>
      <c r="R262" t="s">
        <v>37</v>
      </c>
      <c r="S262" t="s">
        <v>44</v>
      </c>
      <c r="T262" t="s">
        <v>45</v>
      </c>
      <c r="U262" t="s">
        <v>70</v>
      </c>
      <c r="V262" t="s">
        <v>918</v>
      </c>
      <c r="W262">
        <v>75350</v>
      </c>
      <c r="X262" t="s">
        <v>44</v>
      </c>
      <c r="Y262" t="s">
        <v>242</v>
      </c>
      <c r="Z262" t="s">
        <v>48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49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919</v>
      </c>
      <c r="G263" t="s">
        <v>37</v>
      </c>
      <c r="H263" t="s">
        <v>38</v>
      </c>
      <c r="I263" t="s">
        <v>920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2</v>
      </c>
      <c r="P263" s="8">
        <v>45230.734710648147</v>
      </c>
      <c r="Q263" s="9">
        <v>45232</v>
      </c>
      <c r="R263" t="s">
        <v>37</v>
      </c>
      <c r="S263" t="s">
        <v>44</v>
      </c>
      <c r="T263" t="s">
        <v>45</v>
      </c>
      <c r="U263" t="s">
        <v>89</v>
      </c>
      <c r="V263" t="s">
        <v>921</v>
      </c>
      <c r="W263">
        <v>81700</v>
      </c>
      <c r="X263" t="s">
        <v>44</v>
      </c>
      <c r="Y263" t="s">
        <v>63</v>
      </c>
      <c r="Z263" t="s">
        <v>48</v>
      </c>
      <c r="AA263" s="10">
        <f>IF(O263&lt;=1,7,7+0.8*ROUNDUP(O263-1,0))</f>
        <v>7.8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0.46799999999999997</v>
      </c>
      <c r="AG263" s="11">
        <f t="shared" si="9"/>
        <v>8.2680000000000007</v>
      </c>
      <c r="AH263" t="s">
        <v>49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922</v>
      </c>
      <c r="G264" t="s">
        <v>37</v>
      </c>
      <c r="H264" t="s">
        <v>38</v>
      </c>
      <c r="I264" t="s">
        <v>923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45231.701365740744</v>
      </c>
      <c r="Q264" s="9">
        <v>45232</v>
      </c>
      <c r="R264" t="s">
        <v>37</v>
      </c>
      <c r="S264" t="s">
        <v>44</v>
      </c>
      <c r="T264" t="s">
        <v>45</v>
      </c>
      <c r="U264" t="s">
        <v>156</v>
      </c>
      <c r="V264" t="s">
        <v>924</v>
      </c>
      <c r="W264">
        <v>17500</v>
      </c>
      <c r="X264" t="s">
        <v>44</v>
      </c>
      <c r="Y264" t="s">
        <v>145</v>
      </c>
      <c r="Z264" t="s">
        <v>48</v>
      </c>
      <c r="AA264" s="10">
        <f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0.42</v>
      </c>
      <c r="AG264" s="11">
        <f t="shared" si="9"/>
        <v>7.42</v>
      </c>
      <c r="AH264" t="s">
        <v>49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925</v>
      </c>
      <c r="G265" t="s">
        <v>37</v>
      </c>
      <c r="H265" t="s">
        <v>38</v>
      </c>
      <c r="I265" t="s">
        <v>926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1</v>
      </c>
      <c r="P265" s="8">
        <v>45231.694502314815</v>
      </c>
      <c r="Q265" s="9">
        <v>45232</v>
      </c>
      <c r="R265" t="s">
        <v>37</v>
      </c>
      <c r="S265" t="s">
        <v>44</v>
      </c>
      <c r="T265" t="s">
        <v>45</v>
      </c>
      <c r="U265" t="s">
        <v>70</v>
      </c>
      <c r="V265" t="s">
        <v>927</v>
      </c>
      <c r="W265">
        <v>75050</v>
      </c>
      <c r="X265" t="s">
        <v>44</v>
      </c>
      <c r="Y265" t="s">
        <v>63</v>
      </c>
      <c r="Z265" t="s">
        <v>48</v>
      </c>
      <c r="AA265" s="10">
        <f>IF(O265&lt;=1,7,7+0.8*ROUNDUP(O265-1,0))</f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0.42</v>
      </c>
      <c r="AG265" s="11">
        <f t="shared" si="9"/>
        <v>7.42</v>
      </c>
      <c r="AH265" t="s">
        <v>49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928</v>
      </c>
      <c r="G266" t="s">
        <v>37</v>
      </c>
      <c r="H266" t="s">
        <v>38</v>
      </c>
      <c r="I266" t="s">
        <v>929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1</v>
      </c>
      <c r="P266" s="8">
        <v>45231.656574074077</v>
      </c>
      <c r="Q266" s="9">
        <v>45232</v>
      </c>
      <c r="R266" t="s">
        <v>37</v>
      </c>
      <c r="S266" t="s">
        <v>44</v>
      </c>
      <c r="T266" t="s">
        <v>45</v>
      </c>
      <c r="U266" t="s">
        <v>66</v>
      </c>
      <c r="V266" t="s">
        <v>930</v>
      </c>
      <c r="W266">
        <v>51100</v>
      </c>
      <c r="X266" t="s">
        <v>44</v>
      </c>
      <c r="Y266" t="s">
        <v>931</v>
      </c>
      <c r="Z266" t="s">
        <v>48</v>
      </c>
      <c r="AA266" s="10">
        <f>IF(O266&lt;=1,7,7+0.8*ROUNDUP(O266-1,0))</f>
        <v>7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0.42</v>
      </c>
      <c r="AG266" s="11">
        <f t="shared" si="9"/>
        <v>7.42</v>
      </c>
      <c r="AH266" t="s">
        <v>49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932</v>
      </c>
      <c r="G267" t="s">
        <v>37</v>
      </c>
      <c r="H267" t="s">
        <v>38</v>
      </c>
      <c r="I267" t="s">
        <v>848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45231.6093287037</v>
      </c>
      <c r="Q267" s="9">
        <v>45232</v>
      </c>
      <c r="R267" t="s">
        <v>37</v>
      </c>
      <c r="S267" t="s">
        <v>44</v>
      </c>
      <c r="T267" t="s">
        <v>45</v>
      </c>
      <c r="U267" t="s">
        <v>57</v>
      </c>
      <c r="V267" t="s">
        <v>933</v>
      </c>
      <c r="W267">
        <v>40100</v>
      </c>
      <c r="X267" t="s">
        <v>44</v>
      </c>
      <c r="Y267" t="s">
        <v>86</v>
      </c>
      <c r="Z267" t="s">
        <v>48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49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934</v>
      </c>
      <c r="G268" t="s">
        <v>37</v>
      </c>
      <c r="H268" t="s">
        <v>38</v>
      </c>
      <c r="I268" t="s">
        <v>935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1</v>
      </c>
      <c r="P268" s="8">
        <v>45230.631018518521</v>
      </c>
      <c r="Q268" s="9">
        <v>45232</v>
      </c>
      <c r="R268" t="s">
        <v>37</v>
      </c>
      <c r="S268" t="s">
        <v>44</v>
      </c>
      <c r="T268" t="s">
        <v>45</v>
      </c>
      <c r="U268" t="s">
        <v>89</v>
      </c>
      <c r="V268" t="s">
        <v>936</v>
      </c>
      <c r="W268">
        <v>84000</v>
      </c>
      <c r="X268" t="s">
        <v>44</v>
      </c>
      <c r="Y268" t="s">
        <v>361</v>
      </c>
      <c r="Z268" t="s">
        <v>48</v>
      </c>
      <c r="AA268" s="10">
        <f>IF(O268&lt;=1,7,7+0.8*ROUNDUP(O268-1,0))</f>
        <v>7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0.42</v>
      </c>
      <c r="AG268" s="11">
        <f t="shared" si="9"/>
        <v>7.42</v>
      </c>
      <c r="AH268" t="s">
        <v>49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937</v>
      </c>
      <c r="G269" t="s">
        <v>37</v>
      </c>
      <c r="H269" t="s">
        <v>38</v>
      </c>
      <c r="I269" t="s">
        <v>938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45230.519594907404</v>
      </c>
      <c r="Q269" s="9">
        <v>45232</v>
      </c>
      <c r="R269" t="s">
        <v>37</v>
      </c>
      <c r="S269" t="s">
        <v>44</v>
      </c>
      <c r="T269" t="s">
        <v>45</v>
      </c>
      <c r="U269" t="s">
        <v>226</v>
      </c>
      <c r="V269" t="s">
        <v>939</v>
      </c>
      <c r="W269">
        <v>89607</v>
      </c>
      <c r="X269" t="s">
        <v>228</v>
      </c>
      <c r="Y269" t="s">
        <v>63</v>
      </c>
      <c r="Z269" t="s">
        <v>48</v>
      </c>
      <c r="AA269" s="12">
        <f>IF(O269&lt;=1,13,IF(O269&lt;=2,23,IF(O269&lt;=3,35,IF(O269&lt;=4,43,IF(O269&lt;=5,53,IF(O269&lt;=6,63,IF(O269&lt;=7,71,IF(O269&lt;=8,79,IF(O269&lt;=9,87,IF(O269&lt;=10,95,IF(O269&lt;=11,105,IF(O269&lt;=12,114,IF(O269&lt;=13,119,IF(O269&lt;=14,127,IF(O269&lt;=15,135,IF(O269&lt;=16,143,IF(O269&lt;=17,153,IF(O269&lt;=18,163,IF(O269&lt;=19,171,IF(O269&lt;=20,185,IF(O269&lt;=21,193,IF(O269&lt;=22,201,IF(O269&lt;=23,210,IF(O269&lt;=24,220,IF(O269&lt;=25,230,IF(O269&lt;=26,240,IF(O269&lt;=27,250,IF(O269&lt;=28,260,IF(O269&lt;=29,270,IF(O269&lt;=30,280,280+10*ROUNDUP(O269-30,0)))))))))))))))))))))))))))))))</f>
        <v>13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0.78</v>
      </c>
      <c r="AG269" s="11">
        <f t="shared" si="9"/>
        <v>13.78</v>
      </c>
      <c r="AH269" t="s">
        <v>229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940</v>
      </c>
      <c r="G270" t="s">
        <v>37</v>
      </c>
      <c r="H270" t="s">
        <v>38</v>
      </c>
      <c r="I270" t="s">
        <v>941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4</v>
      </c>
      <c r="P270" s="8">
        <v>45230.387754629628</v>
      </c>
      <c r="Q270" s="9">
        <v>45232</v>
      </c>
      <c r="R270" t="s">
        <v>37</v>
      </c>
      <c r="S270" t="s">
        <v>44</v>
      </c>
      <c r="T270" t="s">
        <v>45</v>
      </c>
      <c r="U270" t="s">
        <v>89</v>
      </c>
      <c r="V270" t="s">
        <v>942</v>
      </c>
      <c r="W270">
        <v>86400</v>
      </c>
      <c r="X270" t="s">
        <v>44</v>
      </c>
      <c r="Y270" t="s">
        <v>663</v>
      </c>
      <c r="Z270" t="s">
        <v>48</v>
      </c>
      <c r="AA270" s="10">
        <f>IF(O270&lt;=1,7,7+0.8*ROUNDUP(O270-1,0))</f>
        <v>9.4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0.56399999999999995</v>
      </c>
      <c r="AG270" s="11">
        <f t="shared" si="9"/>
        <v>9.9640000000000004</v>
      </c>
      <c r="AH270" t="s">
        <v>49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943</v>
      </c>
      <c r="G271" t="s">
        <v>37</v>
      </c>
      <c r="H271" t="s">
        <v>38</v>
      </c>
      <c r="I271" t="s">
        <v>944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45231.656574074077</v>
      </c>
      <c r="Q271" s="9">
        <v>45232</v>
      </c>
      <c r="R271" t="s">
        <v>37</v>
      </c>
      <c r="S271" t="s">
        <v>44</v>
      </c>
      <c r="T271" t="s">
        <v>45</v>
      </c>
      <c r="U271" t="s">
        <v>46</v>
      </c>
      <c r="V271" t="s">
        <v>945</v>
      </c>
      <c r="W271">
        <v>28400</v>
      </c>
      <c r="X271" t="s">
        <v>44</v>
      </c>
      <c r="Y271" t="s">
        <v>45</v>
      </c>
      <c r="Z271" t="s">
        <v>48</v>
      </c>
      <c r="AA271" s="10">
        <f>IF(O271&lt;=1,7,7+0.8*ROUNDUP(O271-1,0))</f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0.42</v>
      </c>
      <c r="AG271" s="11">
        <f t="shared" si="9"/>
        <v>7.42</v>
      </c>
      <c r="AH271" t="s">
        <v>49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946</v>
      </c>
      <c r="G272" t="s">
        <v>37</v>
      </c>
      <c r="H272" t="s">
        <v>38</v>
      </c>
      <c r="I272" t="s">
        <v>947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3</v>
      </c>
      <c r="P272" s="8">
        <v>45231.426631944443</v>
      </c>
      <c r="Q272" s="9">
        <v>45232</v>
      </c>
      <c r="R272" t="s">
        <v>37</v>
      </c>
      <c r="S272" t="s">
        <v>44</v>
      </c>
      <c r="T272" t="s">
        <v>45</v>
      </c>
      <c r="U272" t="s">
        <v>57</v>
      </c>
      <c r="V272" t="s">
        <v>948</v>
      </c>
      <c r="W272">
        <v>41200</v>
      </c>
      <c r="X272" t="s">
        <v>44</v>
      </c>
      <c r="Y272" t="s">
        <v>949</v>
      </c>
      <c r="Z272" t="s">
        <v>48</v>
      </c>
      <c r="AA272" s="10">
        <f>IF(O272&lt;=1,7,7+0.8*ROUNDUP(O272-1,0))</f>
        <v>8.6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0.51600000000000001</v>
      </c>
      <c r="AG272" s="11">
        <f t="shared" si="9"/>
        <v>9.1159999999999997</v>
      </c>
      <c r="AH272" t="s">
        <v>49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950</v>
      </c>
      <c r="G273" t="s">
        <v>37</v>
      </c>
      <c r="H273" t="s">
        <v>38</v>
      </c>
      <c r="I273" t="s">
        <v>951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1</v>
      </c>
      <c r="P273" s="8">
        <v>45228.71634259259</v>
      </c>
      <c r="Q273" s="9">
        <v>45232</v>
      </c>
      <c r="R273" t="s">
        <v>37</v>
      </c>
      <c r="S273" t="s">
        <v>44</v>
      </c>
      <c r="T273" t="s">
        <v>45</v>
      </c>
      <c r="U273" t="s">
        <v>128</v>
      </c>
      <c r="V273" t="s">
        <v>952</v>
      </c>
      <c r="W273">
        <v>71900</v>
      </c>
      <c r="X273" t="s">
        <v>44</v>
      </c>
      <c r="Y273" t="s">
        <v>63</v>
      </c>
      <c r="Z273" t="s">
        <v>48</v>
      </c>
      <c r="AA273" s="10">
        <f>IF(O273&lt;=1,7,7+0.8*ROUNDUP(O273-1,0))</f>
        <v>7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0.42</v>
      </c>
      <c r="AG273" s="11">
        <f t="shared" si="9"/>
        <v>7.42</v>
      </c>
      <c r="AH273" t="s">
        <v>49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953</v>
      </c>
      <c r="G274" t="s">
        <v>37</v>
      </c>
      <c r="H274" t="s">
        <v>38</v>
      </c>
      <c r="I274" t="s">
        <v>954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</v>
      </c>
      <c r="P274" s="8">
        <v>45231.603576388887</v>
      </c>
      <c r="Q274" s="9">
        <v>45232</v>
      </c>
      <c r="R274" t="s">
        <v>37</v>
      </c>
      <c r="S274" t="s">
        <v>44</v>
      </c>
      <c r="T274" t="s">
        <v>45</v>
      </c>
      <c r="U274" t="s">
        <v>52</v>
      </c>
      <c r="V274" t="s">
        <v>955</v>
      </c>
      <c r="W274">
        <v>24000</v>
      </c>
      <c r="X274" t="s">
        <v>44</v>
      </c>
      <c r="Y274" t="s">
        <v>45</v>
      </c>
      <c r="Z274" t="s">
        <v>48</v>
      </c>
      <c r="AA274" s="10">
        <f>IF(O274&lt;=1,7,7+0.8*ROUNDUP(O274-1,0))</f>
        <v>7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0.42</v>
      </c>
      <c r="AG274" s="11">
        <f t="shared" si="9"/>
        <v>7.42</v>
      </c>
      <c r="AH274" t="s">
        <v>49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956</v>
      </c>
      <c r="G275" t="s">
        <v>37</v>
      </c>
      <c r="H275" t="s">
        <v>38</v>
      </c>
      <c r="I275" t="s">
        <v>957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1</v>
      </c>
      <c r="P275" s="8">
        <v>45231.683935185189</v>
      </c>
      <c r="Q275" s="9">
        <v>45232</v>
      </c>
      <c r="R275" t="s">
        <v>37</v>
      </c>
      <c r="S275" t="s">
        <v>44</v>
      </c>
      <c r="T275" t="s">
        <v>45</v>
      </c>
      <c r="U275" t="s">
        <v>66</v>
      </c>
      <c r="V275" t="s">
        <v>958</v>
      </c>
      <c r="W275">
        <v>59200</v>
      </c>
      <c r="X275" t="s">
        <v>44</v>
      </c>
      <c r="Y275" t="s">
        <v>959</v>
      </c>
      <c r="Z275" t="s">
        <v>48</v>
      </c>
      <c r="AA275" s="10">
        <f>IF(O275&lt;=1,7,7+0.8*ROUNDUP(O275-1,0))</f>
        <v>7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0.42</v>
      </c>
      <c r="AG275" s="11">
        <f t="shared" si="9"/>
        <v>7.42</v>
      </c>
      <c r="AH275" t="s">
        <v>49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960</v>
      </c>
      <c r="G276" t="s">
        <v>37</v>
      </c>
      <c r="H276" t="s">
        <v>38</v>
      </c>
      <c r="I276" t="s">
        <v>961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45231.539178240739</v>
      </c>
      <c r="Q276" s="9">
        <v>45232</v>
      </c>
      <c r="R276" t="s">
        <v>37</v>
      </c>
      <c r="S276" t="s">
        <v>44</v>
      </c>
      <c r="T276" t="s">
        <v>45</v>
      </c>
      <c r="U276" t="s">
        <v>57</v>
      </c>
      <c r="V276" t="s">
        <v>962</v>
      </c>
      <c r="W276">
        <v>40150</v>
      </c>
      <c r="X276" t="s">
        <v>44</v>
      </c>
      <c r="Y276" t="s">
        <v>63</v>
      </c>
      <c r="Z276" t="s">
        <v>48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0.42</v>
      </c>
      <c r="AG276" s="11">
        <f t="shared" si="9"/>
        <v>7.42</v>
      </c>
      <c r="AH276" t="s">
        <v>49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963</v>
      </c>
      <c r="G277" t="s">
        <v>37</v>
      </c>
      <c r="H277" t="s">
        <v>38</v>
      </c>
      <c r="I277" t="s">
        <v>964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45231.401238425926</v>
      </c>
      <c r="Q277" s="9">
        <v>45233</v>
      </c>
      <c r="R277" t="s">
        <v>37</v>
      </c>
      <c r="S277" t="s">
        <v>44</v>
      </c>
      <c r="T277" t="s">
        <v>45</v>
      </c>
      <c r="U277" t="s">
        <v>89</v>
      </c>
      <c r="V277" t="s">
        <v>965</v>
      </c>
      <c r="W277">
        <v>81900</v>
      </c>
      <c r="X277" t="s">
        <v>44</v>
      </c>
      <c r="Y277" t="s">
        <v>95</v>
      </c>
      <c r="Z277" t="s">
        <v>48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0.42</v>
      </c>
      <c r="AG277" s="11">
        <f t="shared" si="9"/>
        <v>7.42</v>
      </c>
      <c r="AH277" t="s">
        <v>49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966</v>
      </c>
      <c r="G278" t="s">
        <v>37</v>
      </c>
      <c r="H278" t="s">
        <v>38</v>
      </c>
      <c r="I278" t="s">
        <v>967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14</v>
      </c>
      <c r="P278" s="8">
        <v>45232.710266203707</v>
      </c>
      <c r="Q278" s="9">
        <v>45233</v>
      </c>
      <c r="R278" t="s">
        <v>37</v>
      </c>
      <c r="S278" t="s">
        <v>44</v>
      </c>
      <c r="T278" t="s">
        <v>45</v>
      </c>
      <c r="U278" t="s">
        <v>57</v>
      </c>
      <c r="V278" t="s">
        <v>968</v>
      </c>
      <c r="W278">
        <v>42000</v>
      </c>
      <c r="X278" t="s">
        <v>44</v>
      </c>
      <c r="Y278" t="s">
        <v>969</v>
      </c>
      <c r="Z278" t="s">
        <v>48</v>
      </c>
      <c r="AA278" s="10">
        <f>IF(O278&lt;=1,7,7+0.8*ROUNDUP(O278-1,0))</f>
        <v>17.399999999999999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1.0439999999999998</v>
      </c>
      <c r="AG278" s="11">
        <f t="shared" si="9"/>
        <v>18.443999999999999</v>
      </c>
      <c r="AH278" t="s">
        <v>49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970</v>
      </c>
      <c r="G279" t="s">
        <v>37</v>
      </c>
      <c r="H279" t="s">
        <v>38</v>
      </c>
      <c r="I279" t="s">
        <v>971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1</v>
      </c>
      <c r="P279" s="8">
        <v>45232.725682870368</v>
      </c>
      <c r="Q279" s="9">
        <v>45233</v>
      </c>
      <c r="R279" t="s">
        <v>37</v>
      </c>
      <c r="S279" t="s">
        <v>44</v>
      </c>
      <c r="T279" t="s">
        <v>45</v>
      </c>
      <c r="U279" t="s">
        <v>156</v>
      </c>
      <c r="V279" t="s">
        <v>972</v>
      </c>
      <c r="W279">
        <v>17500</v>
      </c>
      <c r="X279" t="s">
        <v>44</v>
      </c>
      <c r="Y279" t="s">
        <v>145</v>
      </c>
      <c r="Z279" t="s">
        <v>48</v>
      </c>
      <c r="AA279" s="10">
        <f>IF(O279&lt;=1,7,7+0.8*ROUNDUP(O279-1,0))</f>
        <v>7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0.42</v>
      </c>
      <c r="AG279" s="11">
        <f t="shared" si="9"/>
        <v>7.42</v>
      </c>
      <c r="AH279" t="s">
        <v>49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973</v>
      </c>
      <c r="G280" t="s">
        <v>37</v>
      </c>
      <c r="H280" t="s">
        <v>38</v>
      </c>
      <c r="I280" t="s">
        <v>974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9</v>
      </c>
      <c r="P280" s="8">
        <v>45232.710266203707</v>
      </c>
      <c r="Q280" s="9">
        <v>45233</v>
      </c>
      <c r="R280" t="s">
        <v>37</v>
      </c>
      <c r="S280" t="s">
        <v>44</v>
      </c>
      <c r="T280" t="s">
        <v>45</v>
      </c>
      <c r="U280" t="s">
        <v>57</v>
      </c>
      <c r="V280" t="s">
        <v>975</v>
      </c>
      <c r="W280">
        <v>42000</v>
      </c>
      <c r="X280" t="s">
        <v>44</v>
      </c>
      <c r="Y280" t="s">
        <v>969</v>
      </c>
      <c r="Z280" t="s">
        <v>48</v>
      </c>
      <c r="AA280" s="10">
        <f>IF(O280&lt;=1,7,7+0.8*ROUNDUP(O280-1,0))</f>
        <v>13.4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0.80399999999999994</v>
      </c>
      <c r="AG280" s="11">
        <f t="shared" si="9"/>
        <v>14.204000000000001</v>
      </c>
      <c r="AH280" t="s">
        <v>49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976</v>
      </c>
      <c r="G281" t="s">
        <v>37</v>
      </c>
      <c r="H281" t="s">
        <v>38</v>
      </c>
      <c r="I281" t="s">
        <v>977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4</v>
      </c>
      <c r="P281" s="8">
        <v>45232.448611111111</v>
      </c>
      <c r="Q281" s="9">
        <v>45233</v>
      </c>
      <c r="R281" t="s">
        <v>37</v>
      </c>
      <c r="S281" t="s">
        <v>44</v>
      </c>
      <c r="T281" t="s">
        <v>45</v>
      </c>
      <c r="U281" t="s">
        <v>57</v>
      </c>
      <c r="V281" t="s">
        <v>978</v>
      </c>
      <c r="W281">
        <v>47000</v>
      </c>
      <c r="X281" t="s">
        <v>44</v>
      </c>
      <c r="Y281" t="s">
        <v>149</v>
      </c>
      <c r="Z281" t="s">
        <v>48</v>
      </c>
      <c r="AA281" s="10">
        <f>IF(O281&lt;=1,7,7+0.8*ROUNDUP(O281-1,0))</f>
        <v>9.4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0.56399999999999995</v>
      </c>
      <c r="AG281" s="11">
        <f t="shared" si="9"/>
        <v>9.9640000000000004</v>
      </c>
      <c r="AH281" t="s">
        <v>49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979</v>
      </c>
      <c r="G282" t="s">
        <v>37</v>
      </c>
      <c r="H282" t="s">
        <v>38</v>
      </c>
      <c r="I282" t="s">
        <v>834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1</v>
      </c>
      <c r="P282" s="8">
        <v>45232.725682870368</v>
      </c>
      <c r="Q282" s="9">
        <v>45233</v>
      </c>
      <c r="R282" t="s">
        <v>37</v>
      </c>
      <c r="S282" t="s">
        <v>44</v>
      </c>
      <c r="T282" t="s">
        <v>45</v>
      </c>
      <c r="U282" t="s">
        <v>46</v>
      </c>
      <c r="V282" t="s">
        <v>980</v>
      </c>
      <c r="W282">
        <v>25200</v>
      </c>
      <c r="X282" t="s">
        <v>44</v>
      </c>
      <c r="Y282" t="s">
        <v>137</v>
      </c>
      <c r="Z282" t="s">
        <v>48</v>
      </c>
      <c r="AA282" s="10">
        <f>IF(O282&lt;=1,7,7+0.8*ROUNDUP(O282-1,0))</f>
        <v>7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0.42</v>
      </c>
      <c r="AG282" s="11">
        <f t="shared" si="9"/>
        <v>7.42</v>
      </c>
      <c r="AH282" t="s">
        <v>49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981</v>
      </c>
      <c r="G283" t="s">
        <v>37</v>
      </c>
      <c r="H283" t="s">
        <v>38</v>
      </c>
      <c r="I283" t="s">
        <v>982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1</v>
      </c>
      <c r="P283" s="8">
        <v>45232.543796296297</v>
      </c>
      <c r="Q283" s="9">
        <v>45233</v>
      </c>
      <c r="R283" t="s">
        <v>37</v>
      </c>
      <c r="S283" t="s">
        <v>44</v>
      </c>
      <c r="T283" t="s">
        <v>45</v>
      </c>
      <c r="U283" t="s">
        <v>52</v>
      </c>
      <c r="V283" t="s">
        <v>983</v>
      </c>
      <c r="W283">
        <v>22000</v>
      </c>
      <c r="X283" t="s">
        <v>44</v>
      </c>
      <c r="Y283" t="s">
        <v>145</v>
      </c>
      <c r="Z283" t="s">
        <v>48</v>
      </c>
      <c r="AA283" s="10">
        <f>IF(O283&lt;=1,7,7+0.8*ROUNDUP(O283-1,0))</f>
        <v>7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0.42</v>
      </c>
      <c r="AG283" s="11">
        <f t="shared" si="9"/>
        <v>7.42</v>
      </c>
      <c r="AH283" t="s">
        <v>49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984</v>
      </c>
      <c r="G284" t="s">
        <v>37</v>
      </c>
      <c r="H284" t="s">
        <v>38</v>
      </c>
      <c r="I284" t="s">
        <v>985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45229.635671296295</v>
      </c>
      <c r="Q284" s="9">
        <v>45233</v>
      </c>
      <c r="R284" t="s">
        <v>37</v>
      </c>
      <c r="S284" t="s">
        <v>44</v>
      </c>
      <c r="T284" t="s">
        <v>63</v>
      </c>
      <c r="U284" t="s">
        <v>226</v>
      </c>
      <c r="V284" t="s">
        <v>986</v>
      </c>
      <c r="W284">
        <v>88560</v>
      </c>
      <c r="X284" t="s">
        <v>228</v>
      </c>
      <c r="Y284" t="s">
        <v>63</v>
      </c>
      <c r="Z284" t="s">
        <v>48</v>
      </c>
      <c r="AA284" s="12">
        <f>IF(O284&lt;=1,13,IF(O284&lt;=2,23,IF(O284&lt;=3,35,IF(O284&lt;=4,43,IF(O284&lt;=5,53,IF(O284&lt;=6,63,IF(O284&lt;=7,71,IF(O284&lt;=8,79,IF(O284&lt;=9,87,IF(O284&lt;=10,95,IF(O284&lt;=11,105,IF(O284&lt;=12,114,IF(O284&lt;=13,119,IF(O284&lt;=14,127,IF(O284&lt;=15,135,IF(O284&lt;=16,143,IF(O284&lt;=17,153,IF(O284&lt;=18,163,IF(O284&lt;=19,171,IF(O284&lt;=20,185,IF(O284&lt;=21,193,IF(O284&lt;=22,201,IF(O284&lt;=23,210,IF(O284&lt;=24,220,IF(O284&lt;=25,230,IF(O284&lt;=26,240,IF(O284&lt;=27,250,IF(O284&lt;=28,260,IF(O284&lt;=29,270,IF(O284&lt;=30,280,280+10*ROUNDUP(O284-30,0)))))))))))))))))))))))))))))))</f>
        <v>13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0.78</v>
      </c>
      <c r="AG284" s="11">
        <f t="shared" si="9"/>
        <v>13.78</v>
      </c>
      <c r="AH284" t="s">
        <v>229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987</v>
      </c>
      <c r="G285" t="s">
        <v>37</v>
      </c>
      <c r="H285" t="s">
        <v>38</v>
      </c>
      <c r="I285" t="s">
        <v>988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6</v>
      </c>
      <c r="P285" s="8">
        <v>45232.715833333335</v>
      </c>
      <c r="Q285" s="9">
        <v>45233</v>
      </c>
      <c r="R285" t="s">
        <v>37</v>
      </c>
      <c r="S285" t="s">
        <v>44</v>
      </c>
      <c r="T285" t="s">
        <v>45</v>
      </c>
      <c r="U285" t="s">
        <v>52</v>
      </c>
      <c r="V285" t="s">
        <v>989</v>
      </c>
      <c r="W285">
        <v>24060</v>
      </c>
      <c r="X285" t="s">
        <v>44</v>
      </c>
      <c r="Y285" t="s">
        <v>54</v>
      </c>
      <c r="Z285" t="s">
        <v>48</v>
      </c>
      <c r="AA285" s="10">
        <f>IF(O285&lt;=1,7,7+0.8*ROUNDUP(O285-1,0))</f>
        <v>11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8"/>
        <v>0.65999999999999992</v>
      </c>
      <c r="AG285" s="11">
        <f t="shared" si="9"/>
        <v>11.66</v>
      </c>
      <c r="AH285" t="s">
        <v>49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990</v>
      </c>
      <c r="G286" t="s">
        <v>37</v>
      </c>
      <c r="H286" t="s">
        <v>38</v>
      </c>
      <c r="I286" t="s">
        <v>991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1</v>
      </c>
      <c r="P286" s="8">
        <v>45231.455069444448</v>
      </c>
      <c r="Q286" s="9">
        <v>45233</v>
      </c>
      <c r="R286" t="s">
        <v>37</v>
      </c>
      <c r="S286" t="s">
        <v>44</v>
      </c>
      <c r="T286" t="s">
        <v>45</v>
      </c>
      <c r="U286" t="s">
        <v>89</v>
      </c>
      <c r="V286" t="s">
        <v>992</v>
      </c>
      <c r="W286">
        <v>81400</v>
      </c>
      <c r="X286" t="s">
        <v>44</v>
      </c>
      <c r="Y286" t="s">
        <v>63</v>
      </c>
      <c r="Z286" t="s">
        <v>48</v>
      </c>
      <c r="AA286" s="10">
        <f>IF(O286&lt;=1,7,7+0.8*ROUNDUP(O286-1,0))</f>
        <v>7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8"/>
        <v>0.42</v>
      </c>
      <c r="AG286" s="11">
        <f t="shared" si="9"/>
        <v>7.42</v>
      </c>
      <c r="AH286" t="s">
        <v>49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993</v>
      </c>
      <c r="G287" t="s">
        <v>37</v>
      </c>
      <c r="H287" t="s">
        <v>38</v>
      </c>
      <c r="I287" t="s">
        <v>147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3</v>
      </c>
      <c r="P287" s="8">
        <v>45232.501192129632</v>
      </c>
      <c r="Q287" s="9">
        <v>45233</v>
      </c>
      <c r="R287" t="s">
        <v>37</v>
      </c>
      <c r="S287" t="s">
        <v>44</v>
      </c>
      <c r="T287" t="s">
        <v>45</v>
      </c>
      <c r="U287" t="s">
        <v>57</v>
      </c>
      <c r="V287" t="s">
        <v>994</v>
      </c>
      <c r="W287">
        <v>47000</v>
      </c>
      <c r="X287" t="s">
        <v>44</v>
      </c>
      <c r="Y287" t="s">
        <v>149</v>
      </c>
      <c r="Z287" t="s">
        <v>48</v>
      </c>
      <c r="AA287" s="10">
        <f>IF(O287&lt;=1,7,7+0.8*ROUNDUP(O287-1,0))</f>
        <v>8.6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8"/>
        <v>0.51600000000000001</v>
      </c>
      <c r="AG287" s="11">
        <f t="shared" si="9"/>
        <v>9.1159999999999997</v>
      </c>
      <c r="AH287" t="s">
        <v>49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995</v>
      </c>
      <c r="G288" t="s">
        <v>37</v>
      </c>
      <c r="H288" t="s">
        <v>38</v>
      </c>
      <c r="I288" t="s">
        <v>996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45232.712210648147</v>
      </c>
      <c r="Q288" s="9">
        <v>45233</v>
      </c>
      <c r="R288" t="s">
        <v>37</v>
      </c>
      <c r="S288" t="s">
        <v>44</v>
      </c>
      <c r="T288" t="s">
        <v>45</v>
      </c>
      <c r="U288" t="s">
        <v>46</v>
      </c>
      <c r="V288" t="s">
        <v>997</v>
      </c>
      <c r="W288">
        <v>26800</v>
      </c>
      <c r="X288" t="s">
        <v>44</v>
      </c>
      <c r="Y288" t="s">
        <v>45</v>
      </c>
      <c r="Z288" t="s">
        <v>48</v>
      </c>
      <c r="AA288" s="10">
        <f>IF(O288&lt;=1,7,7+0.8*ROUNDUP(O288-1,0))</f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8"/>
        <v>0.42</v>
      </c>
      <c r="AG288" s="11">
        <f t="shared" si="9"/>
        <v>7.42</v>
      </c>
      <c r="AH288" t="s">
        <v>49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998</v>
      </c>
      <c r="G289" t="s">
        <v>37</v>
      </c>
      <c r="H289" t="s">
        <v>38</v>
      </c>
      <c r="I289" t="s">
        <v>999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15</v>
      </c>
      <c r="P289" s="8">
        <v>45231.67359953704</v>
      </c>
      <c r="Q289" s="9">
        <v>45233</v>
      </c>
      <c r="R289" t="s">
        <v>37</v>
      </c>
      <c r="S289" t="s">
        <v>44</v>
      </c>
      <c r="T289" t="s">
        <v>45</v>
      </c>
      <c r="U289" t="s">
        <v>57</v>
      </c>
      <c r="V289" t="s">
        <v>1000</v>
      </c>
      <c r="W289">
        <v>40150</v>
      </c>
      <c r="X289" t="s">
        <v>44</v>
      </c>
      <c r="Y289" t="s">
        <v>59</v>
      </c>
      <c r="Z289" t="s">
        <v>48</v>
      </c>
      <c r="AA289" s="10">
        <f>IF(O289&lt;=1,7,7+0.8*ROUNDUP(O289-1,0))</f>
        <v>18.200000000000003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8"/>
        <v>1.0920000000000001</v>
      </c>
      <c r="AG289" s="11">
        <f t="shared" si="9"/>
        <v>19.292000000000002</v>
      </c>
      <c r="AH289" t="s">
        <v>49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1001</v>
      </c>
      <c r="G290" t="s">
        <v>37</v>
      </c>
      <c r="H290" t="s">
        <v>38</v>
      </c>
      <c r="I290" t="s">
        <v>1002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45231.701365740744</v>
      </c>
      <c r="Q290" s="9">
        <v>45233</v>
      </c>
      <c r="R290" t="s">
        <v>37</v>
      </c>
      <c r="S290" t="s">
        <v>44</v>
      </c>
      <c r="T290" t="s">
        <v>45</v>
      </c>
      <c r="U290" t="s">
        <v>236</v>
      </c>
      <c r="V290" t="s">
        <v>1003</v>
      </c>
      <c r="W290">
        <v>6010</v>
      </c>
      <c r="X290" t="s">
        <v>44</v>
      </c>
      <c r="Y290" t="s">
        <v>1004</v>
      </c>
      <c r="Z290" t="s">
        <v>48</v>
      </c>
      <c r="AA290" s="10">
        <f>IF(O290&lt;=1,7,7+0.8*ROUNDUP(O290-1,0))</f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8"/>
        <v>0.42</v>
      </c>
      <c r="AG290" s="11">
        <f t="shared" si="9"/>
        <v>7.42</v>
      </c>
      <c r="AH290" t="s">
        <v>49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1005</v>
      </c>
      <c r="G291" t="s">
        <v>37</v>
      </c>
      <c r="H291" t="s">
        <v>38</v>
      </c>
      <c r="I291" t="s">
        <v>1006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1</v>
      </c>
      <c r="P291" s="8">
        <v>45231.792129629626</v>
      </c>
      <c r="Q291" s="9">
        <v>45233</v>
      </c>
      <c r="R291" t="s">
        <v>37</v>
      </c>
      <c r="S291" t="s">
        <v>44</v>
      </c>
      <c r="T291" t="s">
        <v>45</v>
      </c>
      <c r="U291" t="s">
        <v>57</v>
      </c>
      <c r="V291" t="s">
        <v>1007</v>
      </c>
      <c r="W291">
        <v>48000</v>
      </c>
      <c r="X291" t="s">
        <v>44</v>
      </c>
      <c r="Y291" t="s">
        <v>63</v>
      </c>
      <c r="Z291" t="s">
        <v>48</v>
      </c>
      <c r="AA291" s="10">
        <f>IF(O291&lt;=1,7,7+0.8*ROUNDUP(O291-1,0))</f>
        <v>7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8"/>
        <v>0.42</v>
      </c>
      <c r="AG291" s="11">
        <f t="shared" si="9"/>
        <v>7.42</v>
      </c>
      <c r="AH291" t="s">
        <v>49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1008</v>
      </c>
      <c r="G292" t="s">
        <v>37</v>
      </c>
      <c r="H292" t="s">
        <v>38</v>
      </c>
      <c r="I292" t="s">
        <v>1009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45231.792118055557</v>
      </c>
      <c r="Q292" s="9">
        <v>45233</v>
      </c>
      <c r="R292" t="s">
        <v>37</v>
      </c>
      <c r="S292" t="s">
        <v>44</v>
      </c>
      <c r="T292" t="s">
        <v>45</v>
      </c>
      <c r="U292" t="s">
        <v>66</v>
      </c>
      <c r="V292" t="s">
        <v>1010</v>
      </c>
      <c r="W292">
        <v>51000</v>
      </c>
      <c r="X292" t="s">
        <v>44</v>
      </c>
      <c r="Y292" t="s">
        <v>63</v>
      </c>
      <c r="Z292" t="s">
        <v>48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8"/>
        <v>0.42</v>
      </c>
      <c r="AG292" s="11">
        <f t="shared" si="9"/>
        <v>7.42</v>
      </c>
      <c r="AH292" t="s">
        <v>49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1011</v>
      </c>
      <c r="G293" t="s">
        <v>37</v>
      </c>
      <c r="H293" t="s">
        <v>38</v>
      </c>
      <c r="I293" t="s">
        <v>1012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45232.660173611112</v>
      </c>
      <c r="Q293" s="9">
        <v>45234</v>
      </c>
      <c r="R293" t="s">
        <v>37</v>
      </c>
      <c r="S293" t="s">
        <v>44</v>
      </c>
      <c r="T293" t="s">
        <v>45</v>
      </c>
      <c r="U293" t="s">
        <v>89</v>
      </c>
      <c r="V293" t="s">
        <v>1013</v>
      </c>
      <c r="W293">
        <v>86100</v>
      </c>
      <c r="X293" t="s">
        <v>44</v>
      </c>
      <c r="Y293" t="s">
        <v>63</v>
      </c>
      <c r="Z293" t="s">
        <v>48</v>
      </c>
      <c r="AA293" s="10">
        <f>IF(O293&lt;=1,7,7+0.8*ROUNDUP(O293-1,0))</f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8"/>
        <v>0.42</v>
      </c>
      <c r="AG293" s="11">
        <f t="shared" si="9"/>
        <v>7.42</v>
      </c>
      <c r="AH293" t="s">
        <v>49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1014</v>
      </c>
      <c r="G294" t="s">
        <v>37</v>
      </c>
      <c r="H294" t="s">
        <v>38</v>
      </c>
      <c r="I294" t="s">
        <v>1015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45232.759976851848</v>
      </c>
      <c r="Q294" s="9">
        <v>45234</v>
      </c>
      <c r="R294" t="s">
        <v>37</v>
      </c>
      <c r="S294" t="s">
        <v>44</v>
      </c>
      <c r="T294" t="s">
        <v>145</v>
      </c>
      <c r="U294" t="s">
        <v>57</v>
      </c>
      <c r="V294" t="s">
        <v>1016</v>
      </c>
      <c r="W294">
        <v>40150</v>
      </c>
      <c r="X294" t="s">
        <v>44</v>
      </c>
      <c r="Y294" t="s">
        <v>59</v>
      </c>
      <c r="Z294" t="s">
        <v>48</v>
      </c>
      <c r="AA294" s="10">
        <f>IF(O294&lt;=1,7,7+0.8*ROUNDUP(O294-1,0))</f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8"/>
        <v>0.42</v>
      </c>
      <c r="AG294" s="11">
        <f t="shared" si="9"/>
        <v>7.42</v>
      </c>
      <c r="AH294" t="s">
        <v>49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1017</v>
      </c>
      <c r="G295" t="s">
        <v>37</v>
      </c>
      <c r="H295" t="s">
        <v>38</v>
      </c>
      <c r="I295" t="s">
        <v>1018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45232.81627314815</v>
      </c>
      <c r="Q295" s="9">
        <v>45234</v>
      </c>
      <c r="R295" t="s">
        <v>37</v>
      </c>
      <c r="S295" t="s">
        <v>44</v>
      </c>
      <c r="T295" t="s">
        <v>145</v>
      </c>
      <c r="U295" t="s">
        <v>46</v>
      </c>
      <c r="V295" t="s">
        <v>1019</v>
      </c>
      <c r="W295">
        <v>26060</v>
      </c>
      <c r="X295" t="s">
        <v>44</v>
      </c>
      <c r="Y295" t="s">
        <v>145</v>
      </c>
      <c r="Z295" t="s">
        <v>48</v>
      </c>
      <c r="AA295" s="10">
        <f>IF(O295&lt;=1,7,7+0.8*ROUNDUP(O295-1,0))</f>
        <v>7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8"/>
        <v>0.42</v>
      </c>
      <c r="AG295" s="11">
        <f t="shared" si="9"/>
        <v>7.42</v>
      </c>
      <c r="AH295" t="s">
        <v>49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1020</v>
      </c>
      <c r="G296" t="s">
        <v>37</v>
      </c>
      <c r="H296" t="s">
        <v>38</v>
      </c>
      <c r="I296" t="s">
        <v>619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1</v>
      </c>
      <c r="P296" s="8">
        <v>45232.80091435185</v>
      </c>
      <c r="Q296" s="9">
        <v>45234</v>
      </c>
      <c r="R296" t="s">
        <v>37</v>
      </c>
      <c r="S296" t="s">
        <v>44</v>
      </c>
      <c r="T296" t="s">
        <v>145</v>
      </c>
      <c r="U296" t="s">
        <v>57</v>
      </c>
      <c r="V296" t="s">
        <v>1021</v>
      </c>
      <c r="W296">
        <v>43900</v>
      </c>
      <c r="X296" t="s">
        <v>44</v>
      </c>
      <c r="Y296" t="s">
        <v>181</v>
      </c>
      <c r="Z296" t="s">
        <v>48</v>
      </c>
      <c r="AA296" s="10">
        <f>IF(O296&lt;=1,7,7+0.8*ROUNDUP(O296-1,0))</f>
        <v>7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8"/>
        <v>0.42</v>
      </c>
      <c r="AG296" s="11">
        <f t="shared" si="9"/>
        <v>7.42</v>
      </c>
      <c r="AH296" t="s">
        <v>49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1022</v>
      </c>
      <c r="G297" t="s">
        <v>37</v>
      </c>
      <c r="H297" t="s">
        <v>38</v>
      </c>
      <c r="I297" t="s">
        <v>1023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5</v>
      </c>
      <c r="P297" s="8">
        <v>45232.710266203707</v>
      </c>
      <c r="Q297" s="9">
        <v>45234</v>
      </c>
      <c r="R297" t="s">
        <v>37</v>
      </c>
      <c r="S297" t="s">
        <v>44</v>
      </c>
      <c r="T297" t="s">
        <v>45</v>
      </c>
      <c r="U297" t="s">
        <v>119</v>
      </c>
      <c r="V297" t="s">
        <v>1024</v>
      </c>
      <c r="W297">
        <v>13300</v>
      </c>
      <c r="X297" t="s">
        <v>44</v>
      </c>
      <c r="Y297" t="s">
        <v>121</v>
      </c>
      <c r="Z297" t="s">
        <v>48</v>
      </c>
      <c r="AA297" s="10">
        <f>IF(O297&lt;=1,7,7+0.8*ROUNDUP(O297-1,0))</f>
        <v>10.199999999999999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8"/>
        <v>0.61199999999999999</v>
      </c>
      <c r="AG297" s="11">
        <f t="shared" si="9"/>
        <v>10.811999999999999</v>
      </c>
      <c r="AH297" t="s">
        <v>49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1025</v>
      </c>
      <c r="G298" t="s">
        <v>37</v>
      </c>
      <c r="H298" t="s">
        <v>38</v>
      </c>
      <c r="I298" t="s">
        <v>1026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45232.725682870368</v>
      </c>
      <c r="Q298" s="9">
        <v>45234</v>
      </c>
      <c r="R298" t="s">
        <v>37</v>
      </c>
      <c r="S298" t="s">
        <v>44</v>
      </c>
      <c r="T298" t="s">
        <v>45</v>
      </c>
      <c r="U298" t="s">
        <v>57</v>
      </c>
      <c r="V298" t="s">
        <v>1027</v>
      </c>
      <c r="W298">
        <v>43000</v>
      </c>
      <c r="X298" t="s">
        <v>44</v>
      </c>
      <c r="Y298" t="s">
        <v>1028</v>
      </c>
      <c r="Z298" t="s">
        <v>48</v>
      </c>
      <c r="AA298" s="10">
        <f>IF(O298&lt;=1,7,7+0.8*ROUNDUP(O298-1,0))</f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8"/>
        <v>0.42</v>
      </c>
      <c r="AG298" s="11">
        <f t="shared" si="9"/>
        <v>7.42</v>
      </c>
      <c r="AH298" t="s">
        <v>49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1029</v>
      </c>
      <c r="G299" t="s">
        <v>37</v>
      </c>
      <c r="H299" t="s">
        <v>38</v>
      </c>
      <c r="I299" t="s">
        <v>1030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1</v>
      </c>
      <c r="P299" s="8">
        <v>45232.831145833334</v>
      </c>
      <c r="Q299" s="9">
        <v>45234</v>
      </c>
      <c r="R299" t="s">
        <v>37</v>
      </c>
      <c r="S299" t="s">
        <v>44</v>
      </c>
      <c r="T299" t="s">
        <v>145</v>
      </c>
      <c r="U299" t="s">
        <v>52</v>
      </c>
      <c r="V299" t="s">
        <v>1031</v>
      </c>
      <c r="W299">
        <v>21200</v>
      </c>
      <c r="X299" t="s">
        <v>44</v>
      </c>
      <c r="Y299" t="s">
        <v>145</v>
      </c>
      <c r="Z299" t="s">
        <v>48</v>
      </c>
      <c r="AA299" s="10">
        <f>IF(O299&lt;=1,7,7+0.8*ROUNDUP(O299-1,0))</f>
        <v>7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8"/>
        <v>0.42</v>
      </c>
      <c r="AG299" s="11">
        <f t="shared" si="9"/>
        <v>7.42</v>
      </c>
      <c r="AH299" t="s">
        <v>49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1032</v>
      </c>
      <c r="G300" t="s">
        <v>37</v>
      </c>
      <c r="H300" t="s">
        <v>38</v>
      </c>
      <c r="I300" t="s">
        <v>1033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5</v>
      </c>
      <c r="P300" s="8">
        <v>45232.710266203707</v>
      </c>
      <c r="Q300" s="9">
        <v>45234</v>
      </c>
      <c r="R300" t="s">
        <v>37</v>
      </c>
      <c r="S300" t="s">
        <v>44</v>
      </c>
      <c r="T300" t="s">
        <v>45</v>
      </c>
      <c r="U300" t="s">
        <v>70</v>
      </c>
      <c r="V300" t="s">
        <v>1034</v>
      </c>
      <c r="W300">
        <v>75250</v>
      </c>
      <c r="X300" t="s">
        <v>44</v>
      </c>
      <c r="Y300" t="s">
        <v>379</v>
      </c>
      <c r="Z300" t="s">
        <v>48</v>
      </c>
      <c r="AA300" s="10">
        <f>IF(O300&lt;=1,7,7+0.8*ROUNDUP(O300-1,0))</f>
        <v>10.199999999999999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8"/>
        <v>0.61199999999999999</v>
      </c>
      <c r="AG300" s="11">
        <f t="shared" si="9"/>
        <v>10.811999999999999</v>
      </c>
      <c r="AH300" t="s">
        <v>49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1035</v>
      </c>
      <c r="G301" t="s">
        <v>37</v>
      </c>
      <c r="H301" t="s">
        <v>38</v>
      </c>
      <c r="I301" t="s">
        <v>1036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1</v>
      </c>
      <c r="P301" s="8">
        <v>45232.631481481483</v>
      </c>
      <c r="Q301" s="9">
        <v>45234</v>
      </c>
      <c r="R301" t="s">
        <v>37</v>
      </c>
      <c r="S301" t="s">
        <v>44</v>
      </c>
      <c r="T301" t="s">
        <v>45</v>
      </c>
      <c r="U301" t="s">
        <v>89</v>
      </c>
      <c r="V301" t="s">
        <v>1037</v>
      </c>
      <c r="W301">
        <v>81200</v>
      </c>
      <c r="X301" t="s">
        <v>44</v>
      </c>
      <c r="Y301" t="s">
        <v>63</v>
      </c>
      <c r="Z301" t="s">
        <v>48</v>
      </c>
      <c r="AA301" s="10">
        <f>IF(O301&lt;=1,7,7+0.8*ROUNDUP(O301-1,0))</f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8"/>
        <v>0.42</v>
      </c>
      <c r="AG301" s="11">
        <f t="shared" si="9"/>
        <v>7.42</v>
      </c>
      <c r="AH301" t="s">
        <v>49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1038</v>
      </c>
      <c r="G302" t="s">
        <v>37</v>
      </c>
      <c r="H302" t="s">
        <v>38</v>
      </c>
      <c r="I302" t="s">
        <v>1039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2</v>
      </c>
      <c r="P302" s="8">
        <v>45231.733831018515</v>
      </c>
      <c r="Q302" s="9">
        <v>45234</v>
      </c>
      <c r="R302" t="s">
        <v>37</v>
      </c>
      <c r="S302" t="s">
        <v>44</v>
      </c>
      <c r="T302" t="s">
        <v>45</v>
      </c>
      <c r="U302" t="s">
        <v>187</v>
      </c>
      <c r="V302" t="s">
        <v>1040</v>
      </c>
      <c r="W302">
        <v>34300</v>
      </c>
      <c r="X302" t="s">
        <v>44</v>
      </c>
      <c r="Y302" t="s">
        <v>1041</v>
      </c>
      <c r="Z302" t="s">
        <v>48</v>
      </c>
      <c r="AA302" s="10">
        <f>IF(O302&lt;=1,7,7+0.8*ROUNDUP(O302-1,0))</f>
        <v>7.8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8"/>
        <v>0.46799999999999997</v>
      </c>
      <c r="AG302" s="11">
        <f t="shared" si="9"/>
        <v>8.2680000000000007</v>
      </c>
      <c r="AH302" t="s">
        <v>49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1042</v>
      </c>
      <c r="G303" t="s">
        <v>37</v>
      </c>
      <c r="H303" t="s">
        <v>38</v>
      </c>
      <c r="I303" t="s">
        <v>1043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45234.682326388887</v>
      </c>
      <c r="Q303" s="9">
        <v>45235</v>
      </c>
      <c r="R303" t="s">
        <v>37</v>
      </c>
      <c r="S303" t="s">
        <v>44</v>
      </c>
      <c r="T303" t="s">
        <v>45</v>
      </c>
      <c r="U303" t="s">
        <v>52</v>
      </c>
      <c r="V303" t="s">
        <v>1044</v>
      </c>
      <c r="W303">
        <v>20050</v>
      </c>
      <c r="X303" t="s">
        <v>44</v>
      </c>
      <c r="Y303" t="s">
        <v>368</v>
      </c>
      <c r="Z303" t="s">
        <v>48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8"/>
        <v>0.42</v>
      </c>
      <c r="AG303" s="11">
        <f t="shared" si="9"/>
        <v>7.42</v>
      </c>
      <c r="AH303" t="s">
        <v>49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1045</v>
      </c>
      <c r="G304" t="s">
        <v>37</v>
      </c>
      <c r="H304" t="s">
        <v>38</v>
      </c>
      <c r="I304" t="s">
        <v>1046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</v>
      </c>
      <c r="P304" s="8">
        <v>45234.571134259262</v>
      </c>
      <c r="Q304" s="9">
        <v>45235</v>
      </c>
      <c r="R304" t="s">
        <v>37</v>
      </c>
      <c r="S304" t="s">
        <v>44</v>
      </c>
      <c r="T304" t="s">
        <v>45</v>
      </c>
      <c r="U304" t="s">
        <v>66</v>
      </c>
      <c r="V304" t="s">
        <v>1047</v>
      </c>
      <c r="W304">
        <v>46150</v>
      </c>
      <c r="X304" t="s">
        <v>44</v>
      </c>
      <c r="Y304" t="s">
        <v>802</v>
      </c>
      <c r="Z304" t="s">
        <v>48</v>
      </c>
      <c r="AA304" s="10">
        <f>IF(O304&lt;=1,7,7+0.8*ROUNDUP(O304-1,0))</f>
        <v>7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8"/>
        <v>0.42</v>
      </c>
      <c r="AG304" s="11">
        <f t="shared" si="9"/>
        <v>7.42</v>
      </c>
      <c r="AH304" t="s">
        <v>49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1048</v>
      </c>
      <c r="G305" t="s">
        <v>37</v>
      </c>
      <c r="H305" t="s">
        <v>38</v>
      </c>
      <c r="I305" t="s">
        <v>1049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45231.401238425926</v>
      </c>
      <c r="Q305" s="9">
        <v>45235</v>
      </c>
      <c r="R305" t="s">
        <v>37</v>
      </c>
      <c r="S305" t="s">
        <v>44</v>
      </c>
      <c r="T305" t="s">
        <v>45</v>
      </c>
      <c r="U305" t="s">
        <v>89</v>
      </c>
      <c r="V305" t="s">
        <v>1050</v>
      </c>
      <c r="W305">
        <v>81200</v>
      </c>
      <c r="X305" t="s">
        <v>44</v>
      </c>
      <c r="Y305" t="s">
        <v>141</v>
      </c>
      <c r="Z305" t="s">
        <v>48</v>
      </c>
      <c r="AA305" s="10">
        <f>IF(O305&lt;=1,7,7+0.8*ROUNDUP(O305-1,0))</f>
        <v>7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8"/>
        <v>0.42</v>
      </c>
      <c r="AG305" s="11">
        <f t="shared" si="9"/>
        <v>7.42</v>
      </c>
      <c r="AH305" t="s">
        <v>49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1051</v>
      </c>
      <c r="G306" t="s">
        <v>37</v>
      </c>
      <c r="H306" t="s">
        <v>38</v>
      </c>
      <c r="I306" t="s">
        <v>1052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1</v>
      </c>
      <c r="P306" s="8">
        <v>45233.732523148145</v>
      </c>
      <c r="Q306" s="9">
        <v>45235</v>
      </c>
      <c r="R306" t="s">
        <v>37</v>
      </c>
      <c r="S306" t="s">
        <v>44</v>
      </c>
      <c r="T306" t="s">
        <v>45</v>
      </c>
      <c r="U306" t="s">
        <v>156</v>
      </c>
      <c r="V306" t="s">
        <v>1053</v>
      </c>
      <c r="W306">
        <v>16250</v>
      </c>
      <c r="X306" t="s">
        <v>44</v>
      </c>
      <c r="Y306" t="s">
        <v>145</v>
      </c>
      <c r="Z306" t="s">
        <v>48</v>
      </c>
      <c r="AA306" s="10">
        <f>IF(O306&lt;=1,7,7+0.8*ROUNDUP(O306-1,0))</f>
        <v>7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8"/>
        <v>0.42</v>
      </c>
      <c r="AG306" s="11">
        <f t="shared" si="9"/>
        <v>7.42</v>
      </c>
      <c r="AH306" t="s">
        <v>49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1054</v>
      </c>
      <c r="G307" t="s">
        <v>37</v>
      </c>
      <c r="H307" t="s">
        <v>38</v>
      </c>
      <c r="I307" t="s">
        <v>1055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1</v>
      </c>
      <c r="P307" s="8">
        <v>45233.732523148145</v>
      </c>
      <c r="Q307" s="9">
        <v>45235</v>
      </c>
      <c r="R307" t="s">
        <v>37</v>
      </c>
      <c r="S307" t="s">
        <v>44</v>
      </c>
      <c r="T307" t="s">
        <v>45</v>
      </c>
      <c r="U307" t="s">
        <v>52</v>
      </c>
      <c r="V307" t="s">
        <v>1056</v>
      </c>
      <c r="W307">
        <v>21010</v>
      </c>
      <c r="X307" t="s">
        <v>44</v>
      </c>
      <c r="Y307" t="s">
        <v>368</v>
      </c>
      <c r="Z307" t="s">
        <v>48</v>
      </c>
      <c r="AA307" s="10">
        <f>IF(O307&lt;=1,7,7+0.8*ROUNDUP(O307-1,0))</f>
        <v>7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8"/>
        <v>0.42</v>
      </c>
      <c r="AG307" s="11">
        <f t="shared" si="9"/>
        <v>7.42</v>
      </c>
      <c r="AH307" t="s">
        <v>49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1057</v>
      </c>
      <c r="G308" t="s">
        <v>37</v>
      </c>
      <c r="H308" t="s">
        <v>38</v>
      </c>
      <c r="I308" t="s">
        <v>1058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45233.732523148145</v>
      </c>
      <c r="Q308" s="9">
        <v>45235</v>
      </c>
      <c r="R308" t="s">
        <v>37</v>
      </c>
      <c r="S308" t="s">
        <v>44</v>
      </c>
      <c r="T308" t="s">
        <v>45</v>
      </c>
      <c r="U308" t="s">
        <v>156</v>
      </c>
      <c r="V308" t="s">
        <v>1059</v>
      </c>
      <c r="W308">
        <v>18020</v>
      </c>
      <c r="X308" t="s">
        <v>44</v>
      </c>
      <c r="Y308" t="s">
        <v>145</v>
      </c>
      <c r="Z308" t="s">
        <v>48</v>
      </c>
      <c r="AA308" s="10">
        <f>IF(O308&lt;=1,7,7+0.8*ROUNDUP(O308-1,0))</f>
        <v>7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8"/>
        <v>0.42</v>
      </c>
      <c r="AG308" s="11">
        <f t="shared" si="9"/>
        <v>7.42</v>
      </c>
      <c r="AH308" t="s">
        <v>49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1060</v>
      </c>
      <c r="G309" t="s">
        <v>37</v>
      </c>
      <c r="H309" t="s">
        <v>38</v>
      </c>
      <c r="I309" t="s">
        <v>1061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45234.472233796296</v>
      </c>
      <c r="Q309" s="9">
        <v>45235</v>
      </c>
      <c r="R309" t="s">
        <v>37</v>
      </c>
      <c r="S309" t="s">
        <v>44</v>
      </c>
      <c r="T309" t="s">
        <v>45</v>
      </c>
      <c r="U309" t="s">
        <v>52</v>
      </c>
      <c r="V309" t="s">
        <v>1062</v>
      </c>
      <c r="W309">
        <v>22100</v>
      </c>
      <c r="X309" t="s">
        <v>44</v>
      </c>
      <c r="Y309" t="s">
        <v>368</v>
      </c>
      <c r="Z309" t="s">
        <v>48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8"/>
        <v>0.42</v>
      </c>
      <c r="AG309" s="11">
        <f t="shared" si="9"/>
        <v>7.42</v>
      </c>
      <c r="AH309" t="s">
        <v>49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1063</v>
      </c>
      <c r="G310" t="s">
        <v>37</v>
      </c>
      <c r="H310" t="s">
        <v>38</v>
      </c>
      <c r="I310" t="s">
        <v>1064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45233.732523148145</v>
      </c>
      <c r="Q310" s="9">
        <v>45235</v>
      </c>
      <c r="R310" t="s">
        <v>37</v>
      </c>
      <c r="S310" t="s">
        <v>44</v>
      </c>
      <c r="T310" t="s">
        <v>45</v>
      </c>
      <c r="U310" t="s">
        <v>52</v>
      </c>
      <c r="V310" t="s">
        <v>1065</v>
      </c>
      <c r="W310">
        <v>22300</v>
      </c>
      <c r="X310" t="s">
        <v>44</v>
      </c>
      <c r="Y310" t="s">
        <v>145</v>
      </c>
      <c r="Z310" t="s">
        <v>48</v>
      </c>
      <c r="AA310" s="10">
        <f>IF(O310&lt;=1,7,7+0.8*ROUNDUP(O310-1,0))</f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8"/>
        <v>0.42</v>
      </c>
      <c r="AG310" s="11">
        <f t="shared" si="9"/>
        <v>7.42</v>
      </c>
      <c r="AH310" t="s">
        <v>49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1066</v>
      </c>
      <c r="G311" t="s">
        <v>37</v>
      </c>
      <c r="H311" t="s">
        <v>38</v>
      </c>
      <c r="I311" t="s">
        <v>1067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45234.67292824074</v>
      </c>
      <c r="Q311" s="9">
        <v>45235</v>
      </c>
      <c r="R311" t="s">
        <v>37</v>
      </c>
      <c r="S311" t="s">
        <v>44</v>
      </c>
      <c r="T311" t="s">
        <v>45</v>
      </c>
      <c r="U311" t="s">
        <v>52</v>
      </c>
      <c r="V311" t="s">
        <v>1068</v>
      </c>
      <c r="W311">
        <v>22200</v>
      </c>
      <c r="X311" t="s">
        <v>44</v>
      </c>
      <c r="Y311" t="s">
        <v>145</v>
      </c>
      <c r="Z311" t="s">
        <v>48</v>
      </c>
      <c r="AA311" s="10">
        <f>IF(O311&lt;=1,7,7+0.8*ROUNDUP(O311-1,0))</f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8"/>
        <v>0.42</v>
      </c>
      <c r="AG311" s="11">
        <f t="shared" si="9"/>
        <v>7.42</v>
      </c>
      <c r="AH311" t="s">
        <v>49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1069</v>
      </c>
      <c r="G312" t="s">
        <v>37</v>
      </c>
      <c r="H312" t="s">
        <v>38</v>
      </c>
      <c r="I312" t="s">
        <v>1070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1</v>
      </c>
      <c r="P312" s="8">
        <v>45233.732523148145</v>
      </c>
      <c r="Q312" s="9">
        <v>45235</v>
      </c>
      <c r="R312" t="s">
        <v>37</v>
      </c>
      <c r="S312" t="s">
        <v>44</v>
      </c>
      <c r="T312" t="s">
        <v>45</v>
      </c>
      <c r="U312" t="s">
        <v>156</v>
      </c>
      <c r="V312" t="s">
        <v>1071</v>
      </c>
      <c r="W312">
        <v>17600</v>
      </c>
      <c r="X312" t="s">
        <v>44</v>
      </c>
      <c r="Y312" t="s">
        <v>145</v>
      </c>
      <c r="Z312" t="s">
        <v>48</v>
      </c>
      <c r="AA312" s="10">
        <f>IF(O312&lt;=1,7,7+0.8*ROUNDUP(O312-1,0))</f>
        <v>7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8"/>
        <v>0.42</v>
      </c>
      <c r="AG312" s="11">
        <f t="shared" si="9"/>
        <v>7.42</v>
      </c>
      <c r="AH312" t="s">
        <v>49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1072</v>
      </c>
      <c r="G313" t="s">
        <v>37</v>
      </c>
      <c r="H313" t="s">
        <v>38</v>
      </c>
      <c r="I313" t="s">
        <v>1073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1</v>
      </c>
      <c r="P313" s="8">
        <v>45234.716990740744</v>
      </c>
      <c r="Q313" s="9">
        <v>45235</v>
      </c>
      <c r="R313" t="s">
        <v>37</v>
      </c>
      <c r="S313" t="s">
        <v>44</v>
      </c>
      <c r="T313" t="s">
        <v>45</v>
      </c>
      <c r="U313" t="s">
        <v>57</v>
      </c>
      <c r="V313" t="s">
        <v>1074</v>
      </c>
      <c r="W313">
        <v>68000</v>
      </c>
      <c r="X313" t="s">
        <v>44</v>
      </c>
      <c r="Y313" t="s">
        <v>1075</v>
      </c>
      <c r="Z313" t="s">
        <v>48</v>
      </c>
      <c r="AA313" s="10">
        <f>IF(O313&lt;=1,7,7+0.8*ROUNDUP(O313-1,0))</f>
        <v>7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8"/>
        <v>0.42</v>
      </c>
      <c r="AG313" s="11">
        <f t="shared" si="9"/>
        <v>7.42</v>
      </c>
      <c r="AH313" t="s">
        <v>49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1076</v>
      </c>
      <c r="G314" t="s">
        <v>37</v>
      </c>
      <c r="H314" t="s">
        <v>38</v>
      </c>
      <c r="I314" t="s">
        <v>1077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2</v>
      </c>
      <c r="P314" s="8">
        <v>45234.708611111113</v>
      </c>
      <c r="Q314" s="9">
        <v>45235</v>
      </c>
      <c r="R314" t="s">
        <v>37</v>
      </c>
      <c r="S314" t="s">
        <v>44</v>
      </c>
      <c r="T314" t="s">
        <v>45</v>
      </c>
      <c r="U314" t="s">
        <v>46</v>
      </c>
      <c r="V314" t="s">
        <v>1078</v>
      </c>
      <c r="W314">
        <v>69000</v>
      </c>
      <c r="X314" t="s">
        <v>44</v>
      </c>
      <c r="Y314" t="s">
        <v>931</v>
      </c>
      <c r="Z314" t="s">
        <v>48</v>
      </c>
      <c r="AA314" s="10">
        <f>IF(O314&lt;=1,7,7+0.8*ROUNDUP(O314-1,0))</f>
        <v>7.8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8"/>
        <v>0.46799999999999997</v>
      </c>
      <c r="AG314" s="11">
        <f t="shared" si="9"/>
        <v>8.2680000000000007</v>
      </c>
      <c r="AH314" t="s">
        <v>49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1079</v>
      </c>
      <c r="G315" t="s">
        <v>37</v>
      </c>
      <c r="H315" t="s">
        <v>38</v>
      </c>
      <c r="I315" t="s">
        <v>1080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2</v>
      </c>
      <c r="P315" s="8">
        <v>45234.706087962964</v>
      </c>
      <c r="Q315" s="9">
        <v>45235</v>
      </c>
      <c r="R315" t="s">
        <v>37</v>
      </c>
      <c r="S315" t="s">
        <v>44</v>
      </c>
      <c r="T315" t="s">
        <v>45</v>
      </c>
      <c r="U315" t="s">
        <v>57</v>
      </c>
      <c r="V315" t="s">
        <v>1081</v>
      </c>
      <c r="W315">
        <v>68000</v>
      </c>
      <c r="X315" t="s">
        <v>44</v>
      </c>
      <c r="Y315" t="s">
        <v>63</v>
      </c>
      <c r="Z315" t="s">
        <v>48</v>
      </c>
      <c r="AA315" s="10">
        <f>IF(O315&lt;=1,7,7+0.8*ROUNDUP(O315-1,0))</f>
        <v>7.8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8"/>
        <v>0.46799999999999997</v>
      </c>
      <c r="AG315" s="11">
        <f t="shared" si="9"/>
        <v>8.2680000000000007</v>
      </c>
      <c r="AH315" t="s">
        <v>49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1082</v>
      </c>
      <c r="G316" t="s">
        <v>37</v>
      </c>
      <c r="H316" t="s">
        <v>38</v>
      </c>
      <c r="I316" t="s">
        <v>1083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</v>
      </c>
      <c r="P316" s="8">
        <v>45233.732523148145</v>
      </c>
      <c r="Q316" s="9">
        <v>45235</v>
      </c>
      <c r="R316" t="s">
        <v>37</v>
      </c>
      <c r="S316" t="s">
        <v>44</v>
      </c>
      <c r="T316" t="s">
        <v>45</v>
      </c>
      <c r="U316" t="s">
        <v>156</v>
      </c>
      <c r="V316" t="s">
        <v>1084</v>
      </c>
      <c r="W316">
        <v>18300</v>
      </c>
      <c r="X316" t="s">
        <v>44</v>
      </c>
      <c r="Y316" t="s">
        <v>145</v>
      </c>
      <c r="Z316" t="s">
        <v>48</v>
      </c>
      <c r="AA316" s="10">
        <f>IF(O316&lt;=1,7,7+0.8*ROUNDUP(O316-1,0))</f>
        <v>7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8"/>
        <v>0.42</v>
      </c>
      <c r="AG316" s="11">
        <f t="shared" si="9"/>
        <v>7.42</v>
      </c>
      <c r="AH316" t="s">
        <v>49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1085</v>
      </c>
      <c r="G317" t="s">
        <v>37</v>
      </c>
      <c r="H317" t="s">
        <v>38</v>
      </c>
      <c r="I317" t="s">
        <v>244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10</v>
      </c>
      <c r="P317" s="8">
        <v>45231.606493055559</v>
      </c>
      <c r="Q317" s="9">
        <v>45235</v>
      </c>
      <c r="R317" t="s">
        <v>37</v>
      </c>
      <c r="S317" t="s">
        <v>44</v>
      </c>
      <c r="T317" t="s">
        <v>45</v>
      </c>
      <c r="U317" t="s">
        <v>46</v>
      </c>
      <c r="V317" t="s">
        <v>245</v>
      </c>
      <c r="W317">
        <v>39100</v>
      </c>
      <c r="X317" t="s">
        <v>44</v>
      </c>
      <c r="Y317" t="s">
        <v>246</v>
      </c>
      <c r="Z317" t="s">
        <v>48</v>
      </c>
      <c r="AA317" s="10">
        <f>IF(O317&lt;=1,7,7+0.8*ROUNDUP(O317-1,0))</f>
        <v>14.2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8"/>
        <v>0.85199999999999998</v>
      </c>
      <c r="AG317" s="11">
        <f t="shared" si="9"/>
        <v>15.052</v>
      </c>
      <c r="AH317" t="s">
        <v>49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1086</v>
      </c>
      <c r="G318" t="s">
        <v>37</v>
      </c>
      <c r="H318" t="s">
        <v>38</v>
      </c>
      <c r="I318" t="s">
        <v>1087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2</v>
      </c>
      <c r="P318" s="8">
        <v>45232.748460648145</v>
      </c>
      <c r="Q318" s="9">
        <v>45235</v>
      </c>
      <c r="R318" t="s">
        <v>37</v>
      </c>
      <c r="S318" t="s">
        <v>44</v>
      </c>
      <c r="T318" t="s">
        <v>145</v>
      </c>
      <c r="U318" t="s">
        <v>236</v>
      </c>
      <c r="V318" t="s">
        <v>1088</v>
      </c>
      <c r="W318">
        <v>9000</v>
      </c>
      <c r="X318" t="s">
        <v>44</v>
      </c>
      <c r="Y318" t="s">
        <v>1089</v>
      </c>
      <c r="Z318" t="s">
        <v>48</v>
      </c>
      <c r="AA318" s="10">
        <f>IF(O318&lt;=1,7,7+0.8*ROUNDUP(O318-1,0))</f>
        <v>7.8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8"/>
        <v>0.46799999999999997</v>
      </c>
      <c r="AG318" s="11">
        <f t="shared" si="9"/>
        <v>8.2680000000000007</v>
      </c>
      <c r="AH318" t="s">
        <v>49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1090</v>
      </c>
      <c r="G319" t="s">
        <v>37</v>
      </c>
      <c r="H319" t="s">
        <v>38</v>
      </c>
      <c r="I319" t="s">
        <v>1091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1</v>
      </c>
      <c r="P319" s="8">
        <v>45234.710856481484</v>
      </c>
      <c r="Q319" s="9">
        <v>45236</v>
      </c>
      <c r="R319" t="s">
        <v>37</v>
      </c>
      <c r="S319" t="s">
        <v>44</v>
      </c>
      <c r="T319" t="s">
        <v>45</v>
      </c>
      <c r="U319" t="s">
        <v>57</v>
      </c>
      <c r="V319" t="s">
        <v>1092</v>
      </c>
      <c r="W319">
        <v>41200</v>
      </c>
      <c r="X319" t="s">
        <v>44</v>
      </c>
      <c r="Y319" t="s">
        <v>63</v>
      </c>
      <c r="Z319" t="s">
        <v>48</v>
      </c>
      <c r="AA319" s="10">
        <f>IF(O319&lt;=1,7,7+0.8*ROUNDUP(O319-1,0))</f>
        <v>7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8"/>
        <v>0.42</v>
      </c>
      <c r="AG319" s="11">
        <f t="shared" si="9"/>
        <v>7.42</v>
      </c>
      <c r="AH319" t="s">
        <v>49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1093</v>
      </c>
      <c r="G320" t="s">
        <v>37</v>
      </c>
      <c r="H320" t="s">
        <v>38</v>
      </c>
      <c r="I320" t="s">
        <v>1094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45234.402060185188</v>
      </c>
      <c r="Q320" s="9">
        <v>45236</v>
      </c>
      <c r="R320" t="s">
        <v>37</v>
      </c>
      <c r="S320" t="s">
        <v>44</v>
      </c>
      <c r="T320" t="s">
        <v>45</v>
      </c>
      <c r="U320" t="s">
        <v>128</v>
      </c>
      <c r="V320" t="s">
        <v>1095</v>
      </c>
      <c r="W320">
        <v>70400</v>
      </c>
      <c r="X320" t="s">
        <v>44</v>
      </c>
      <c r="Y320" t="s">
        <v>63</v>
      </c>
      <c r="Z320" t="s">
        <v>48</v>
      </c>
      <c r="AA320" s="10">
        <f>IF(O320&lt;=1,7,7+0.8*ROUNDUP(O320-1,0))</f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8"/>
        <v>0.42</v>
      </c>
      <c r="AG320" s="11">
        <f t="shared" si="9"/>
        <v>7.42</v>
      </c>
      <c r="AH320" t="s">
        <v>49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1096</v>
      </c>
      <c r="G321" t="s">
        <v>37</v>
      </c>
      <c r="H321" t="s">
        <v>38</v>
      </c>
      <c r="I321" t="s">
        <v>1097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1</v>
      </c>
      <c r="P321" s="8">
        <v>45235.510370370372</v>
      </c>
      <c r="Q321" s="9">
        <v>45236</v>
      </c>
      <c r="R321" t="s">
        <v>37</v>
      </c>
      <c r="S321" t="s">
        <v>44</v>
      </c>
      <c r="T321" t="s">
        <v>45</v>
      </c>
      <c r="U321" t="s">
        <v>156</v>
      </c>
      <c r="V321" t="s">
        <v>1098</v>
      </c>
      <c r="W321">
        <v>16250</v>
      </c>
      <c r="X321" t="s">
        <v>44</v>
      </c>
      <c r="Y321" t="s">
        <v>145</v>
      </c>
      <c r="Z321" t="s">
        <v>48</v>
      </c>
      <c r="AA321" s="10">
        <f>IF(O321&lt;=1,7,7+0.8*ROUNDUP(O321-1,0))</f>
        <v>7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8"/>
        <v>0.42</v>
      </c>
      <c r="AG321" s="11">
        <f t="shared" si="9"/>
        <v>7.42</v>
      </c>
      <c r="AH321" t="s">
        <v>49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1099</v>
      </c>
      <c r="G322" t="s">
        <v>37</v>
      </c>
      <c r="H322" t="s">
        <v>38</v>
      </c>
      <c r="I322" t="s">
        <v>1100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45235.602256944447</v>
      </c>
      <c r="Q322" s="9">
        <v>45236</v>
      </c>
      <c r="R322" t="s">
        <v>37</v>
      </c>
      <c r="S322" t="s">
        <v>44</v>
      </c>
      <c r="T322" t="s">
        <v>45</v>
      </c>
      <c r="U322" t="s">
        <v>52</v>
      </c>
      <c r="V322" t="s">
        <v>1101</v>
      </c>
      <c r="W322">
        <v>24000</v>
      </c>
      <c r="X322" t="s">
        <v>44</v>
      </c>
      <c r="Y322" t="s">
        <v>45</v>
      </c>
      <c r="Z322" t="s">
        <v>48</v>
      </c>
      <c r="AA322" s="10">
        <f>IF(O322&lt;=1,7,7+0.8*ROUNDUP(O322-1,0))</f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0">(AA322+AC322+AE322)*6%</f>
        <v>0.42</v>
      </c>
      <c r="AG322" s="11">
        <f t="shared" ref="AG322:AG385" si="11">AA322+AC322+AE322+AF322</f>
        <v>7.42</v>
      </c>
      <c r="AH322" t="s">
        <v>49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1102</v>
      </c>
      <c r="G323" t="s">
        <v>37</v>
      </c>
      <c r="H323" t="s">
        <v>38</v>
      </c>
      <c r="I323" t="s">
        <v>1103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1</v>
      </c>
      <c r="P323" s="8">
        <v>45233.737303240741</v>
      </c>
      <c r="Q323" s="9">
        <v>45236</v>
      </c>
      <c r="R323" t="s">
        <v>37</v>
      </c>
      <c r="S323" t="s">
        <v>44</v>
      </c>
      <c r="T323" t="s">
        <v>45</v>
      </c>
      <c r="U323" t="s">
        <v>187</v>
      </c>
      <c r="V323" t="s">
        <v>1104</v>
      </c>
      <c r="W323">
        <v>33300</v>
      </c>
      <c r="X323" t="s">
        <v>44</v>
      </c>
      <c r="Y323" t="s">
        <v>1105</v>
      </c>
      <c r="Z323" t="s">
        <v>48</v>
      </c>
      <c r="AA323" s="10">
        <f>IF(O323&lt;=1,7,7+0.8*ROUNDUP(O323-1,0))</f>
        <v>7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0.42</v>
      </c>
      <c r="AG323" s="11">
        <f t="shared" si="11"/>
        <v>7.42</v>
      </c>
      <c r="AH323" t="s">
        <v>49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1106</v>
      </c>
      <c r="G324" t="s">
        <v>37</v>
      </c>
      <c r="H324" t="s">
        <v>38</v>
      </c>
      <c r="I324" t="s">
        <v>1107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45235.602256944447</v>
      </c>
      <c r="Q324" s="9">
        <v>45236</v>
      </c>
      <c r="R324" t="s">
        <v>37</v>
      </c>
      <c r="S324" t="s">
        <v>44</v>
      </c>
      <c r="T324" t="s">
        <v>45</v>
      </c>
      <c r="U324" t="s">
        <v>52</v>
      </c>
      <c r="V324" t="s">
        <v>1108</v>
      </c>
      <c r="W324">
        <v>21400</v>
      </c>
      <c r="X324" t="s">
        <v>44</v>
      </c>
      <c r="Y324" t="s">
        <v>368</v>
      </c>
      <c r="Z324" t="s">
        <v>48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0.42</v>
      </c>
      <c r="AG324" s="11">
        <f t="shared" si="11"/>
        <v>7.42</v>
      </c>
      <c r="AH324" t="s">
        <v>49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1109</v>
      </c>
      <c r="G325" t="s">
        <v>37</v>
      </c>
      <c r="H325" t="s">
        <v>38</v>
      </c>
      <c r="I325" t="s">
        <v>1110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45235.58222222222</v>
      </c>
      <c r="Q325" s="9">
        <v>45236</v>
      </c>
      <c r="R325" t="s">
        <v>37</v>
      </c>
      <c r="S325" t="s">
        <v>44</v>
      </c>
      <c r="T325" t="s">
        <v>45</v>
      </c>
      <c r="U325" t="s">
        <v>46</v>
      </c>
      <c r="V325" t="s">
        <v>1111</v>
      </c>
      <c r="W325">
        <v>26060</v>
      </c>
      <c r="X325" t="s">
        <v>44</v>
      </c>
      <c r="Y325" t="s">
        <v>45</v>
      </c>
      <c r="Z325" t="s">
        <v>48</v>
      </c>
      <c r="AA325" s="10">
        <f>IF(O325&lt;=1,7,7+0.8*ROUNDUP(O325-1,0))</f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0.42</v>
      </c>
      <c r="AG325" s="11">
        <f t="shared" si="11"/>
        <v>7.42</v>
      </c>
      <c r="AH325" t="s">
        <v>49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1112</v>
      </c>
      <c r="G326" t="s">
        <v>37</v>
      </c>
      <c r="H326" t="s">
        <v>38</v>
      </c>
      <c r="I326" t="s">
        <v>1113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1</v>
      </c>
      <c r="P326" s="8">
        <v>45232.437847222223</v>
      </c>
      <c r="Q326" s="9">
        <v>45236</v>
      </c>
      <c r="R326" t="s">
        <v>37</v>
      </c>
      <c r="S326" t="s">
        <v>44</v>
      </c>
      <c r="T326" t="s">
        <v>45</v>
      </c>
      <c r="U326" t="s">
        <v>236</v>
      </c>
      <c r="V326" t="s">
        <v>1114</v>
      </c>
      <c r="W326">
        <v>9000</v>
      </c>
      <c r="X326" t="s">
        <v>44</v>
      </c>
      <c r="Y326" t="s">
        <v>1089</v>
      </c>
      <c r="Z326" t="s">
        <v>48</v>
      </c>
      <c r="AA326" s="10">
        <f>IF(O326&lt;=1,7,7+0.8*ROUNDUP(O326-1,0))</f>
        <v>7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0.42</v>
      </c>
      <c r="AG326" s="11">
        <f t="shared" si="11"/>
        <v>7.42</v>
      </c>
      <c r="AH326" t="s">
        <v>49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1115</v>
      </c>
      <c r="G327" t="s">
        <v>37</v>
      </c>
      <c r="H327" t="s">
        <v>38</v>
      </c>
      <c r="I327" t="s">
        <v>1116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45233.732523148145</v>
      </c>
      <c r="Q327" s="9">
        <v>45236</v>
      </c>
      <c r="R327" t="s">
        <v>37</v>
      </c>
      <c r="S327" t="s">
        <v>44</v>
      </c>
      <c r="T327" t="s">
        <v>45</v>
      </c>
      <c r="U327" t="s">
        <v>57</v>
      </c>
      <c r="V327" t="s">
        <v>1117</v>
      </c>
      <c r="W327">
        <v>40150</v>
      </c>
      <c r="X327" t="s">
        <v>44</v>
      </c>
      <c r="Y327" t="s">
        <v>63</v>
      </c>
      <c r="Z327" t="s">
        <v>48</v>
      </c>
      <c r="AA327" s="10">
        <f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0.42</v>
      </c>
      <c r="AG327" s="11">
        <f t="shared" si="11"/>
        <v>7.42</v>
      </c>
      <c r="AH327" t="s">
        <v>49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1118</v>
      </c>
      <c r="G328" t="s">
        <v>37</v>
      </c>
      <c r="H328" t="s">
        <v>38</v>
      </c>
      <c r="I328" t="s">
        <v>1119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</v>
      </c>
      <c r="P328" s="8">
        <v>45233.732523148145</v>
      </c>
      <c r="Q328" s="9">
        <v>45236</v>
      </c>
      <c r="R328" t="s">
        <v>37</v>
      </c>
      <c r="S328" t="s">
        <v>44</v>
      </c>
      <c r="T328" t="s">
        <v>45</v>
      </c>
      <c r="U328" t="s">
        <v>187</v>
      </c>
      <c r="V328" t="s">
        <v>1120</v>
      </c>
      <c r="W328">
        <v>35800</v>
      </c>
      <c r="X328" t="s">
        <v>44</v>
      </c>
      <c r="Y328" t="s">
        <v>372</v>
      </c>
      <c r="Z328" t="s">
        <v>48</v>
      </c>
      <c r="AA328" s="10">
        <f>IF(O328&lt;=1,7,7+0.8*ROUNDUP(O328-1,0))</f>
        <v>7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0.42</v>
      </c>
      <c r="AG328" s="11">
        <f t="shared" si="11"/>
        <v>7.42</v>
      </c>
      <c r="AH328" t="s">
        <v>49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1121</v>
      </c>
      <c r="G329" t="s">
        <v>37</v>
      </c>
      <c r="H329" t="s">
        <v>38</v>
      </c>
      <c r="I329" t="s">
        <v>1122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1</v>
      </c>
      <c r="P329" s="8">
        <v>45235.640717592592</v>
      </c>
      <c r="Q329" s="9">
        <v>45236</v>
      </c>
      <c r="R329" t="s">
        <v>37</v>
      </c>
      <c r="S329" t="s">
        <v>44</v>
      </c>
      <c r="T329" t="s">
        <v>45</v>
      </c>
      <c r="U329" t="s">
        <v>52</v>
      </c>
      <c r="V329" t="s">
        <v>1123</v>
      </c>
      <c r="W329">
        <v>22200</v>
      </c>
      <c r="X329" t="s">
        <v>44</v>
      </c>
      <c r="Y329" t="s">
        <v>145</v>
      </c>
      <c r="Z329" t="s">
        <v>48</v>
      </c>
      <c r="AA329" s="10">
        <f>IF(O329&lt;=1,7,7+0.8*ROUNDUP(O329-1,0))</f>
        <v>7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0.42</v>
      </c>
      <c r="AG329" s="11">
        <f t="shared" si="11"/>
        <v>7.42</v>
      </c>
      <c r="AH329" t="s">
        <v>49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1124</v>
      </c>
      <c r="G330" t="s">
        <v>37</v>
      </c>
      <c r="H330" t="s">
        <v>38</v>
      </c>
      <c r="I330" t="s">
        <v>1125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45235.58221064815</v>
      </c>
      <c r="Q330" s="9">
        <v>45236</v>
      </c>
      <c r="R330" t="s">
        <v>37</v>
      </c>
      <c r="S330" t="s">
        <v>44</v>
      </c>
      <c r="T330" t="s">
        <v>45</v>
      </c>
      <c r="U330" t="s">
        <v>57</v>
      </c>
      <c r="V330" t="s">
        <v>1126</v>
      </c>
      <c r="W330">
        <v>40200</v>
      </c>
      <c r="X330" t="s">
        <v>44</v>
      </c>
      <c r="Y330" t="s">
        <v>86</v>
      </c>
      <c r="Z330" t="s">
        <v>48</v>
      </c>
      <c r="AA330" s="10">
        <f>IF(O330&lt;=1,7,7+0.8*ROUNDUP(O330-1,0))</f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0.42</v>
      </c>
      <c r="AG330" s="11">
        <f t="shared" si="11"/>
        <v>7.42</v>
      </c>
      <c r="AH330" t="s">
        <v>49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1127</v>
      </c>
      <c r="G331" t="s">
        <v>37</v>
      </c>
      <c r="H331" t="s">
        <v>38</v>
      </c>
      <c r="I331" t="s">
        <v>848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45235.608796296299</v>
      </c>
      <c r="Q331" s="9">
        <v>45236</v>
      </c>
      <c r="R331" t="s">
        <v>37</v>
      </c>
      <c r="S331" t="s">
        <v>44</v>
      </c>
      <c r="T331" t="s">
        <v>45</v>
      </c>
      <c r="U331" t="s">
        <v>57</v>
      </c>
      <c r="V331" t="s">
        <v>1128</v>
      </c>
      <c r="W331">
        <v>40000</v>
      </c>
      <c r="X331" t="s">
        <v>44</v>
      </c>
      <c r="Y331" t="s">
        <v>86</v>
      </c>
      <c r="Z331" t="s">
        <v>48</v>
      </c>
      <c r="AA331" s="10">
        <f>IF(O331&lt;=1,7,7+0.8*ROUNDUP(O331-1,0))</f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0.42</v>
      </c>
      <c r="AG331" s="11">
        <f t="shared" si="11"/>
        <v>7.42</v>
      </c>
      <c r="AH331" t="s">
        <v>49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1129</v>
      </c>
      <c r="G332" t="s">
        <v>37</v>
      </c>
      <c r="H332" t="s">
        <v>38</v>
      </c>
      <c r="I332" t="s">
        <v>1130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1</v>
      </c>
      <c r="P332" s="8">
        <v>45235.510370370372</v>
      </c>
      <c r="Q332" s="9">
        <v>45236</v>
      </c>
      <c r="R332" t="s">
        <v>37</v>
      </c>
      <c r="S332" t="s">
        <v>44</v>
      </c>
      <c r="T332" t="s">
        <v>45</v>
      </c>
      <c r="U332" t="s">
        <v>57</v>
      </c>
      <c r="V332" t="s">
        <v>1131</v>
      </c>
      <c r="W332">
        <v>40000</v>
      </c>
      <c r="X332" t="s">
        <v>44</v>
      </c>
      <c r="Y332" t="s">
        <v>63</v>
      </c>
      <c r="Z332" t="s">
        <v>48</v>
      </c>
      <c r="AA332" s="10">
        <f>IF(O332&lt;=1,7,7+0.8*ROUNDUP(O332-1,0))</f>
        <v>7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0.42</v>
      </c>
      <c r="AG332" s="11">
        <f t="shared" si="11"/>
        <v>7.42</v>
      </c>
      <c r="AH332" t="s">
        <v>49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1132</v>
      </c>
      <c r="G333" t="s">
        <v>37</v>
      </c>
      <c r="H333" t="s">
        <v>38</v>
      </c>
      <c r="I333" t="s">
        <v>1133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45235.685937499999</v>
      </c>
      <c r="Q333" s="9">
        <v>45236</v>
      </c>
      <c r="R333" t="s">
        <v>37</v>
      </c>
      <c r="S333" t="s">
        <v>44</v>
      </c>
      <c r="T333" t="s">
        <v>45</v>
      </c>
      <c r="U333" t="s">
        <v>52</v>
      </c>
      <c r="V333" t="s">
        <v>1134</v>
      </c>
      <c r="W333">
        <v>21030</v>
      </c>
      <c r="X333" t="s">
        <v>44</v>
      </c>
      <c r="Y333" t="s">
        <v>368</v>
      </c>
      <c r="Z333" t="s">
        <v>48</v>
      </c>
      <c r="AA333" s="10">
        <f>IF(O333&lt;=1,7,7+0.8*ROUNDUP(O333-1,0))</f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0.42</v>
      </c>
      <c r="AG333" s="11">
        <f t="shared" si="11"/>
        <v>7.42</v>
      </c>
      <c r="AH333" t="s">
        <v>49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1135</v>
      </c>
      <c r="G334" t="s">
        <v>37</v>
      </c>
      <c r="H334" t="s">
        <v>38</v>
      </c>
      <c r="I334" t="s">
        <v>1015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5</v>
      </c>
      <c r="P334" s="8">
        <v>45235.626099537039</v>
      </c>
      <c r="Q334" s="9">
        <v>45236</v>
      </c>
      <c r="R334" t="s">
        <v>37</v>
      </c>
      <c r="S334" t="s">
        <v>44</v>
      </c>
      <c r="T334" t="s">
        <v>45</v>
      </c>
      <c r="U334" t="s">
        <v>66</v>
      </c>
      <c r="V334" t="s">
        <v>1136</v>
      </c>
      <c r="W334">
        <v>54200</v>
      </c>
      <c r="X334" t="s">
        <v>44</v>
      </c>
      <c r="Y334" t="s">
        <v>102</v>
      </c>
      <c r="Z334" t="s">
        <v>48</v>
      </c>
      <c r="AA334" s="10">
        <f>IF(O334&lt;=1,7,7+0.8*ROUNDUP(O334-1,0))</f>
        <v>10.199999999999999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0.61199999999999999</v>
      </c>
      <c r="AG334" s="11">
        <f t="shared" si="11"/>
        <v>10.811999999999999</v>
      </c>
      <c r="AH334" t="s">
        <v>49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1137</v>
      </c>
      <c r="G335" t="s">
        <v>37</v>
      </c>
      <c r="H335" t="s">
        <v>38</v>
      </c>
      <c r="I335" t="s">
        <v>1138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2</v>
      </c>
      <c r="P335" s="8">
        <v>45234.424953703703</v>
      </c>
      <c r="Q335" s="9">
        <v>45236</v>
      </c>
      <c r="R335" t="s">
        <v>37</v>
      </c>
      <c r="S335" t="s">
        <v>44</v>
      </c>
      <c r="T335" t="s">
        <v>45</v>
      </c>
      <c r="U335" t="s">
        <v>66</v>
      </c>
      <c r="V335" t="s">
        <v>1139</v>
      </c>
      <c r="W335">
        <v>51100</v>
      </c>
      <c r="X335" t="s">
        <v>44</v>
      </c>
      <c r="Y335" t="s">
        <v>63</v>
      </c>
      <c r="Z335" t="s">
        <v>48</v>
      </c>
      <c r="AA335" s="10">
        <f>IF(O335&lt;=1,7,7+0.8*ROUNDUP(O335-1,0))</f>
        <v>7.8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0.46799999999999997</v>
      </c>
      <c r="AG335" s="11">
        <f t="shared" si="11"/>
        <v>8.2680000000000007</v>
      </c>
      <c r="AH335" t="s">
        <v>49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1140</v>
      </c>
      <c r="G336" t="s">
        <v>37</v>
      </c>
      <c r="H336" t="s">
        <v>38</v>
      </c>
      <c r="I336" t="s">
        <v>1141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1</v>
      </c>
      <c r="P336" s="8">
        <v>45235.699062500003</v>
      </c>
      <c r="Q336" s="9">
        <v>45236</v>
      </c>
      <c r="R336" t="s">
        <v>37</v>
      </c>
      <c r="S336" t="s">
        <v>44</v>
      </c>
      <c r="T336" t="s">
        <v>45</v>
      </c>
      <c r="U336" t="s">
        <v>57</v>
      </c>
      <c r="V336" t="s">
        <v>1142</v>
      </c>
      <c r="W336">
        <v>41050</v>
      </c>
      <c r="X336" t="s">
        <v>44</v>
      </c>
      <c r="Y336" t="s">
        <v>223</v>
      </c>
      <c r="Z336" t="s">
        <v>48</v>
      </c>
      <c r="AA336" s="10">
        <f>IF(O336&lt;=1,7,7+0.8*ROUNDUP(O336-1,0))</f>
        <v>7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0.42</v>
      </c>
      <c r="AG336" s="11">
        <f t="shared" si="11"/>
        <v>7.42</v>
      </c>
      <c r="AH336" t="s">
        <v>49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1143</v>
      </c>
      <c r="G337" t="s">
        <v>37</v>
      </c>
      <c r="H337" t="s">
        <v>38</v>
      </c>
      <c r="I337" t="s">
        <v>1144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7</v>
      </c>
      <c r="P337" s="8">
        <v>45235.669027777774</v>
      </c>
      <c r="Q337" s="9">
        <v>45236</v>
      </c>
      <c r="R337" t="s">
        <v>37</v>
      </c>
      <c r="S337" t="s">
        <v>44</v>
      </c>
      <c r="T337" t="s">
        <v>45</v>
      </c>
      <c r="U337" t="s">
        <v>128</v>
      </c>
      <c r="V337" t="s">
        <v>1145</v>
      </c>
      <c r="W337">
        <v>71800</v>
      </c>
      <c r="X337" t="s">
        <v>44</v>
      </c>
      <c r="Y337" t="s">
        <v>1146</v>
      </c>
      <c r="Z337" t="s">
        <v>48</v>
      </c>
      <c r="AA337" s="10">
        <f>IF(O337&lt;=1,7,7+0.8*ROUNDUP(O337-1,0))</f>
        <v>11.8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0.70799999999999996</v>
      </c>
      <c r="AG337" s="11">
        <f t="shared" si="11"/>
        <v>12.508000000000001</v>
      </c>
      <c r="AH337" t="s">
        <v>49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1147</v>
      </c>
      <c r="G338" t="s">
        <v>37</v>
      </c>
      <c r="H338" t="s">
        <v>38</v>
      </c>
      <c r="I338" t="s">
        <v>1148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1</v>
      </c>
      <c r="P338" s="8">
        <v>45235.58222222222</v>
      </c>
      <c r="Q338" s="9">
        <v>45236</v>
      </c>
      <c r="R338" t="s">
        <v>37</v>
      </c>
      <c r="S338" t="s">
        <v>44</v>
      </c>
      <c r="T338" t="s">
        <v>45</v>
      </c>
      <c r="U338" t="s">
        <v>57</v>
      </c>
      <c r="V338" t="s">
        <v>1149</v>
      </c>
      <c r="W338">
        <v>42300</v>
      </c>
      <c r="X338" t="s">
        <v>44</v>
      </c>
      <c r="Y338" t="s">
        <v>1150</v>
      </c>
      <c r="Z338" t="s">
        <v>48</v>
      </c>
      <c r="AA338" s="10">
        <f>IF(O338&lt;=1,7,7+0.8*ROUNDUP(O338-1,0))</f>
        <v>7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0"/>
        <v>0.42</v>
      </c>
      <c r="AG338" s="11">
        <f t="shared" si="11"/>
        <v>7.42</v>
      </c>
      <c r="AH338" t="s">
        <v>49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1151</v>
      </c>
      <c r="G339" t="s">
        <v>37</v>
      </c>
      <c r="H339" t="s">
        <v>38</v>
      </c>
      <c r="I339" t="s">
        <v>1152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2</v>
      </c>
      <c r="P339" s="8">
        <v>45234.594861111109</v>
      </c>
      <c r="Q339" s="9">
        <v>45236</v>
      </c>
      <c r="R339" t="s">
        <v>37</v>
      </c>
      <c r="S339" t="s">
        <v>44</v>
      </c>
      <c r="T339" t="s">
        <v>45</v>
      </c>
      <c r="U339" t="s">
        <v>882</v>
      </c>
      <c r="V339" t="s">
        <v>1153</v>
      </c>
      <c r="W339">
        <v>2600</v>
      </c>
      <c r="X339" t="s">
        <v>44</v>
      </c>
      <c r="Y339" t="s">
        <v>884</v>
      </c>
      <c r="Z339" t="s">
        <v>48</v>
      </c>
      <c r="AA339" s="10">
        <f>IF(O339&lt;=1,7,7+0.8*ROUNDUP(O339-1,0))</f>
        <v>7.8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0.46799999999999997</v>
      </c>
      <c r="AG339" s="11">
        <f t="shared" si="11"/>
        <v>8.2680000000000007</v>
      </c>
      <c r="AH339" t="s">
        <v>49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1154</v>
      </c>
      <c r="G340" t="s">
        <v>37</v>
      </c>
      <c r="H340" t="s">
        <v>38</v>
      </c>
      <c r="I340" t="s">
        <v>1155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45235.58222222222</v>
      </c>
      <c r="Q340" s="9">
        <v>45236</v>
      </c>
      <c r="R340" t="s">
        <v>37</v>
      </c>
      <c r="S340" t="s">
        <v>44</v>
      </c>
      <c r="T340" t="s">
        <v>45</v>
      </c>
      <c r="U340" t="s">
        <v>57</v>
      </c>
      <c r="V340" t="s">
        <v>1156</v>
      </c>
      <c r="W340">
        <v>48200</v>
      </c>
      <c r="X340" t="s">
        <v>44</v>
      </c>
      <c r="Y340" t="s">
        <v>492</v>
      </c>
      <c r="Z340" t="s">
        <v>48</v>
      </c>
      <c r="AA340" s="10">
        <f>IF(O340&lt;=1,7,7+0.8*ROUNDUP(O340-1,0))</f>
        <v>7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0.42</v>
      </c>
      <c r="AG340" s="11">
        <f t="shared" si="11"/>
        <v>7.42</v>
      </c>
      <c r="AH340" t="s">
        <v>49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1157</v>
      </c>
      <c r="G341" t="s">
        <v>37</v>
      </c>
      <c r="H341" t="s">
        <v>38</v>
      </c>
      <c r="I341" t="s">
        <v>1158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</v>
      </c>
      <c r="P341" s="8">
        <v>45235.645416666666</v>
      </c>
      <c r="Q341" s="9">
        <v>45236</v>
      </c>
      <c r="R341" t="s">
        <v>37</v>
      </c>
      <c r="S341" t="s">
        <v>44</v>
      </c>
      <c r="T341" t="s">
        <v>45</v>
      </c>
      <c r="U341" t="s">
        <v>156</v>
      </c>
      <c r="V341" t="s">
        <v>1159</v>
      </c>
      <c r="W341">
        <v>18000</v>
      </c>
      <c r="X341" t="s">
        <v>44</v>
      </c>
      <c r="Y341" t="s">
        <v>145</v>
      </c>
      <c r="Z341" t="s">
        <v>48</v>
      </c>
      <c r="AA341" s="10">
        <f>IF(O341&lt;=1,7,7+0.8*ROUNDUP(O341-1,0))</f>
        <v>7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0.42</v>
      </c>
      <c r="AG341" s="11">
        <f t="shared" si="11"/>
        <v>7.42</v>
      </c>
      <c r="AH341" t="s">
        <v>49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1160</v>
      </c>
      <c r="G342" t="s">
        <v>37</v>
      </c>
      <c r="H342" t="s">
        <v>38</v>
      </c>
      <c r="I342" t="s">
        <v>1161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45233.732523148145</v>
      </c>
      <c r="Q342" s="9">
        <v>45236</v>
      </c>
      <c r="R342" t="s">
        <v>37</v>
      </c>
      <c r="S342" t="s">
        <v>44</v>
      </c>
      <c r="T342" t="s">
        <v>45</v>
      </c>
      <c r="U342" t="s">
        <v>89</v>
      </c>
      <c r="V342" t="s">
        <v>1162</v>
      </c>
      <c r="W342">
        <v>81620</v>
      </c>
      <c r="X342" t="s">
        <v>44</v>
      </c>
      <c r="Y342" t="s">
        <v>390</v>
      </c>
      <c r="Z342" t="s">
        <v>48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0.42</v>
      </c>
      <c r="AG342" s="11">
        <f t="shared" si="11"/>
        <v>7.42</v>
      </c>
      <c r="AH342" t="s">
        <v>49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1163</v>
      </c>
      <c r="G343" t="s">
        <v>37</v>
      </c>
      <c r="H343" t="s">
        <v>38</v>
      </c>
      <c r="I343" t="s">
        <v>1164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45234.557743055557</v>
      </c>
      <c r="Q343" s="9">
        <v>45236</v>
      </c>
      <c r="R343" t="s">
        <v>37</v>
      </c>
      <c r="S343" t="s">
        <v>44</v>
      </c>
      <c r="T343" t="s">
        <v>45</v>
      </c>
      <c r="U343" t="s">
        <v>128</v>
      </c>
      <c r="V343" t="s">
        <v>1165</v>
      </c>
      <c r="W343">
        <v>71400</v>
      </c>
      <c r="X343" t="s">
        <v>44</v>
      </c>
      <c r="Y343" t="s">
        <v>647</v>
      </c>
      <c r="Z343" t="s">
        <v>48</v>
      </c>
      <c r="AA343" s="10">
        <f>IF(O343&lt;=1,7,7+0.8*ROUNDUP(O343-1,0))</f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0.42</v>
      </c>
      <c r="AG343" s="11">
        <f t="shared" si="11"/>
        <v>7.42</v>
      </c>
      <c r="AH343" t="s">
        <v>49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1166</v>
      </c>
      <c r="G344" t="s">
        <v>37</v>
      </c>
      <c r="H344" t="s">
        <v>38</v>
      </c>
      <c r="I344" t="s">
        <v>1167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4</v>
      </c>
      <c r="P344" s="8">
        <v>45234.699803240743</v>
      </c>
      <c r="Q344" s="9">
        <v>45236</v>
      </c>
      <c r="R344" t="s">
        <v>37</v>
      </c>
      <c r="S344" t="s">
        <v>44</v>
      </c>
      <c r="T344" t="s">
        <v>45</v>
      </c>
      <c r="U344" t="s">
        <v>57</v>
      </c>
      <c r="V344" t="s">
        <v>1168</v>
      </c>
      <c r="W344">
        <v>47830</v>
      </c>
      <c r="X344" t="s">
        <v>44</v>
      </c>
      <c r="Y344" t="s">
        <v>320</v>
      </c>
      <c r="Z344" t="s">
        <v>48</v>
      </c>
      <c r="AA344" s="10">
        <f>IF(O344&lt;=1,7,7+0.8*ROUNDUP(O344-1,0))</f>
        <v>9.4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0.56399999999999995</v>
      </c>
      <c r="AG344" s="11">
        <f t="shared" si="11"/>
        <v>9.9640000000000004</v>
      </c>
      <c r="AH344" t="s">
        <v>49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1169</v>
      </c>
      <c r="G345" t="s">
        <v>37</v>
      </c>
      <c r="H345" t="s">
        <v>38</v>
      </c>
      <c r="I345" t="s">
        <v>1170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45235.58222222222</v>
      </c>
      <c r="Q345" s="9">
        <v>45236</v>
      </c>
      <c r="R345" t="s">
        <v>37</v>
      </c>
      <c r="S345" t="s">
        <v>44</v>
      </c>
      <c r="T345" t="s">
        <v>45</v>
      </c>
      <c r="U345" t="s">
        <v>66</v>
      </c>
      <c r="V345" t="s">
        <v>1171</v>
      </c>
      <c r="W345">
        <v>54200</v>
      </c>
      <c r="X345" t="s">
        <v>44</v>
      </c>
      <c r="Y345" t="s">
        <v>164</v>
      </c>
      <c r="Z345" t="s">
        <v>48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0.42</v>
      </c>
      <c r="AG345" s="11">
        <f t="shared" si="11"/>
        <v>7.42</v>
      </c>
      <c r="AH345" t="s">
        <v>49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1172</v>
      </c>
      <c r="G346" t="s">
        <v>37</v>
      </c>
      <c r="H346" t="s">
        <v>38</v>
      </c>
      <c r="I346" t="s">
        <v>1173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1</v>
      </c>
      <c r="P346" s="8">
        <v>45235.477662037039</v>
      </c>
      <c r="Q346" s="9">
        <v>45236</v>
      </c>
      <c r="R346" t="s">
        <v>37</v>
      </c>
      <c r="S346" t="s">
        <v>44</v>
      </c>
      <c r="T346" t="s">
        <v>45</v>
      </c>
      <c r="U346" t="s">
        <v>52</v>
      </c>
      <c r="V346" t="s">
        <v>1174</v>
      </c>
      <c r="W346">
        <v>23000</v>
      </c>
      <c r="X346" t="s">
        <v>44</v>
      </c>
      <c r="Y346" t="s">
        <v>368</v>
      </c>
      <c r="Z346" t="s">
        <v>48</v>
      </c>
      <c r="AA346" s="10">
        <f>IF(O346&lt;=1,7,7+0.8*ROUNDUP(O346-1,0))</f>
        <v>7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0.42</v>
      </c>
      <c r="AG346" s="11">
        <f t="shared" si="11"/>
        <v>7.42</v>
      </c>
      <c r="AH346" t="s">
        <v>49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1175</v>
      </c>
      <c r="G347" t="s">
        <v>37</v>
      </c>
      <c r="H347" t="s">
        <v>38</v>
      </c>
      <c r="I347" t="s">
        <v>1176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1</v>
      </c>
      <c r="P347" s="8">
        <v>45235.510370370372</v>
      </c>
      <c r="Q347" s="9">
        <v>45236</v>
      </c>
      <c r="R347" t="s">
        <v>37</v>
      </c>
      <c r="S347" t="s">
        <v>44</v>
      </c>
      <c r="T347" t="s">
        <v>45</v>
      </c>
      <c r="U347" t="s">
        <v>52</v>
      </c>
      <c r="V347" t="s">
        <v>1177</v>
      </c>
      <c r="W347">
        <v>21020</v>
      </c>
      <c r="X347" t="s">
        <v>44</v>
      </c>
      <c r="Y347" t="s">
        <v>368</v>
      </c>
      <c r="Z347" t="s">
        <v>48</v>
      </c>
      <c r="AA347" s="10">
        <f>IF(O347&lt;=1,7,7+0.8*ROUNDUP(O347-1,0))</f>
        <v>7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0.42</v>
      </c>
      <c r="AG347" s="11">
        <f t="shared" si="11"/>
        <v>7.42</v>
      </c>
      <c r="AH347" t="s">
        <v>49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1178</v>
      </c>
      <c r="G348" t="s">
        <v>37</v>
      </c>
      <c r="H348" t="s">
        <v>38</v>
      </c>
      <c r="I348" t="s">
        <v>462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2</v>
      </c>
      <c r="P348" s="8">
        <v>45233.62027777778</v>
      </c>
      <c r="Q348" s="9">
        <v>45236</v>
      </c>
      <c r="R348" t="s">
        <v>37</v>
      </c>
      <c r="S348" t="s">
        <v>44</v>
      </c>
      <c r="T348" t="s">
        <v>145</v>
      </c>
      <c r="U348" t="s">
        <v>232</v>
      </c>
      <c r="V348" t="s">
        <v>463</v>
      </c>
      <c r="W348">
        <v>98000</v>
      </c>
      <c r="X348" t="s">
        <v>228</v>
      </c>
      <c r="Y348" t="s">
        <v>63</v>
      </c>
      <c r="Z348" t="s">
        <v>48</v>
      </c>
      <c r="AA348" s="12">
        <f>IF(O348&lt;=1,13,IF(O348&lt;=2,23,IF(O348&lt;=3,35,IF(O348&lt;=4,43,IF(O348&lt;=5,53,IF(O348&lt;=6,63,IF(O348&lt;=7,71,IF(O348&lt;=8,79,IF(O348&lt;=9,87,IF(O348&lt;=10,95,IF(O348&lt;=11,105,IF(O348&lt;=12,114,IF(O348&lt;=13,119,IF(O348&lt;=14,127,IF(O348&lt;=15,135,IF(O348&lt;=16,143,IF(O348&lt;=17,153,IF(O348&lt;=18,163,IF(O348&lt;=19,171,IF(O348&lt;=20,185,IF(O348&lt;=21,193,IF(O348&lt;=22,201,IF(O348&lt;=23,210,IF(O348&lt;=24,220,IF(O348&lt;=25,230,IF(O348&lt;=26,240,IF(O348&lt;=27,250,IF(O348&lt;=28,260,IF(O348&lt;=29,270,IF(O348&lt;=30,280,280+10*ROUNDUP(O348-30,0)))))))))))))))))))))))))))))))</f>
        <v>23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1.38</v>
      </c>
      <c r="AG348" s="11">
        <f t="shared" si="11"/>
        <v>24.38</v>
      </c>
      <c r="AH348" t="s">
        <v>229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1179</v>
      </c>
      <c r="G349" t="s">
        <v>37</v>
      </c>
      <c r="H349" t="s">
        <v>38</v>
      </c>
      <c r="I349" t="s">
        <v>1180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1</v>
      </c>
      <c r="P349" s="8">
        <v>45235.510370370372</v>
      </c>
      <c r="Q349" s="9">
        <v>45236</v>
      </c>
      <c r="R349" t="s">
        <v>37</v>
      </c>
      <c r="S349" t="s">
        <v>44</v>
      </c>
      <c r="T349" t="s">
        <v>45</v>
      </c>
      <c r="U349" t="s">
        <v>46</v>
      </c>
      <c r="V349" t="s">
        <v>1181</v>
      </c>
      <c r="W349">
        <v>26300</v>
      </c>
      <c r="X349" t="s">
        <v>44</v>
      </c>
      <c r="Y349" t="s">
        <v>45</v>
      </c>
      <c r="Z349" t="s">
        <v>48</v>
      </c>
      <c r="AA349" s="10">
        <f>IF(O349&lt;=1,7,7+0.8*ROUNDUP(O349-1,0))</f>
        <v>7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0"/>
        <v>0.42</v>
      </c>
      <c r="AG349" s="11">
        <f t="shared" si="11"/>
        <v>7.42</v>
      </c>
      <c r="AH349" t="s">
        <v>49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1182</v>
      </c>
      <c r="G350" t="s">
        <v>37</v>
      </c>
      <c r="H350" t="s">
        <v>38</v>
      </c>
      <c r="I350" t="s">
        <v>1183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13</v>
      </c>
      <c r="P350" s="8">
        <v>45235.689270833333</v>
      </c>
      <c r="Q350" s="9">
        <v>45236</v>
      </c>
      <c r="R350" t="s">
        <v>37</v>
      </c>
      <c r="S350" t="s">
        <v>44</v>
      </c>
      <c r="T350" t="s">
        <v>45</v>
      </c>
      <c r="U350" t="s">
        <v>57</v>
      </c>
      <c r="V350" t="s">
        <v>1184</v>
      </c>
      <c r="W350">
        <v>68000</v>
      </c>
      <c r="X350" t="s">
        <v>44</v>
      </c>
      <c r="Y350" t="s">
        <v>164</v>
      </c>
      <c r="Z350" t="s">
        <v>48</v>
      </c>
      <c r="AA350" s="10">
        <f>IF(O350&lt;=1,7,7+0.8*ROUNDUP(O350-1,0))</f>
        <v>16.600000000000001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0"/>
        <v>0.996</v>
      </c>
      <c r="AG350" s="11">
        <f t="shared" si="11"/>
        <v>17.596</v>
      </c>
      <c r="AH350" t="s">
        <v>49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1185</v>
      </c>
      <c r="G351" t="s">
        <v>37</v>
      </c>
      <c r="H351" t="s">
        <v>38</v>
      </c>
      <c r="I351" t="s">
        <v>1186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2</v>
      </c>
      <c r="P351" s="8">
        <v>45235.510370370372</v>
      </c>
      <c r="Q351" s="9">
        <v>45236</v>
      </c>
      <c r="R351" t="s">
        <v>37</v>
      </c>
      <c r="S351" t="s">
        <v>44</v>
      </c>
      <c r="T351" t="s">
        <v>45</v>
      </c>
      <c r="U351" t="s">
        <v>57</v>
      </c>
      <c r="V351" t="s">
        <v>1187</v>
      </c>
      <c r="W351">
        <v>68100</v>
      </c>
      <c r="X351" t="s">
        <v>44</v>
      </c>
      <c r="Y351" t="s">
        <v>614</v>
      </c>
      <c r="Z351" t="s">
        <v>48</v>
      </c>
      <c r="AA351" s="10">
        <f>IF(O351&lt;=1,7,7+0.8*ROUNDUP(O351-1,0))</f>
        <v>7.8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0"/>
        <v>0.46799999999999997</v>
      </c>
      <c r="AG351" s="11">
        <f t="shared" si="11"/>
        <v>8.2680000000000007</v>
      </c>
      <c r="AH351" t="s">
        <v>49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1188</v>
      </c>
      <c r="G352" t="s">
        <v>37</v>
      </c>
      <c r="H352" t="s">
        <v>38</v>
      </c>
      <c r="I352" t="s">
        <v>1189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3</v>
      </c>
      <c r="P352" s="8">
        <v>45235.669027777774</v>
      </c>
      <c r="Q352" s="9">
        <v>45237</v>
      </c>
      <c r="R352" t="s">
        <v>37</v>
      </c>
      <c r="S352" t="s">
        <v>44</v>
      </c>
      <c r="T352" t="s">
        <v>45</v>
      </c>
      <c r="U352" t="s">
        <v>236</v>
      </c>
      <c r="V352" t="s">
        <v>1190</v>
      </c>
      <c r="W352">
        <v>8000</v>
      </c>
      <c r="X352" t="s">
        <v>44</v>
      </c>
      <c r="Y352" t="s">
        <v>684</v>
      </c>
      <c r="Z352" t="s">
        <v>48</v>
      </c>
      <c r="AA352" s="10">
        <f>IF(O352&lt;=1,7,7+0.8*ROUNDUP(O352-1,0))</f>
        <v>8.6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0"/>
        <v>0.51600000000000001</v>
      </c>
      <c r="AG352" s="11">
        <f t="shared" si="11"/>
        <v>9.1159999999999997</v>
      </c>
      <c r="AH352" t="s">
        <v>49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1191</v>
      </c>
      <c r="G353" t="s">
        <v>37</v>
      </c>
      <c r="H353" t="s">
        <v>38</v>
      </c>
      <c r="I353" t="s">
        <v>1192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1</v>
      </c>
      <c r="P353" s="8">
        <v>45236.512141203704</v>
      </c>
      <c r="Q353" s="9">
        <v>45237</v>
      </c>
      <c r="R353" t="s">
        <v>37</v>
      </c>
      <c r="S353" t="s">
        <v>44</v>
      </c>
      <c r="T353" t="s">
        <v>45</v>
      </c>
      <c r="U353" t="s">
        <v>128</v>
      </c>
      <c r="V353" t="s">
        <v>1193</v>
      </c>
      <c r="W353">
        <v>73500</v>
      </c>
      <c r="X353" t="s">
        <v>44</v>
      </c>
      <c r="Y353" t="s">
        <v>520</v>
      </c>
      <c r="Z353" t="s">
        <v>48</v>
      </c>
      <c r="AA353" s="10">
        <f>IF(O353&lt;=1,7,7+0.8*ROUNDUP(O353-1,0))</f>
        <v>7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0"/>
        <v>0.42</v>
      </c>
      <c r="AG353" s="11">
        <f t="shared" si="11"/>
        <v>7.42</v>
      </c>
      <c r="AH353" t="s">
        <v>49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1194</v>
      </c>
      <c r="G354" t="s">
        <v>37</v>
      </c>
      <c r="H354" t="s">
        <v>38</v>
      </c>
      <c r="I354" t="s">
        <v>1195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1</v>
      </c>
      <c r="P354" s="8">
        <v>45235.645405092589</v>
      </c>
      <c r="Q354" s="9">
        <v>45237</v>
      </c>
      <c r="R354" t="s">
        <v>37</v>
      </c>
      <c r="S354" t="s">
        <v>44</v>
      </c>
      <c r="T354" t="s">
        <v>45</v>
      </c>
      <c r="U354" t="s">
        <v>89</v>
      </c>
      <c r="V354" t="s">
        <v>1196</v>
      </c>
      <c r="W354">
        <v>84000</v>
      </c>
      <c r="X354" t="s">
        <v>44</v>
      </c>
      <c r="Y354" t="s">
        <v>63</v>
      </c>
      <c r="Z354" t="s">
        <v>48</v>
      </c>
      <c r="AA354" s="10">
        <f>IF(O354&lt;=1,7,7+0.8*ROUNDUP(O354-1,0))</f>
        <v>7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0"/>
        <v>0.42</v>
      </c>
      <c r="AG354" s="11">
        <f t="shared" si="11"/>
        <v>7.42</v>
      </c>
      <c r="AH354" t="s">
        <v>49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1197</v>
      </c>
      <c r="G355" t="s">
        <v>37</v>
      </c>
      <c r="H355" t="s">
        <v>38</v>
      </c>
      <c r="I355" t="s">
        <v>1198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2</v>
      </c>
      <c r="P355" s="8">
        <v>45235.678217592591</v>
      </c>
      <c r="Q355" s="9">
        <v>45237</v>
      </c>
      <c r="R355" t="s">
        <v>37</v>
      </c>
      <c r="S355" t="s">
        <v>44</v>
      </c>
      <c r="T355" t="s">
        <v>45</v>
      </c>
      <c r="U355" t="s">
        <v>89</v>
      </c>
      <c r="V355" t="s">
        <v>1199</v>
      </c>
      <c r="W355">
        <v>81100</v>
      </c>
      <c r="X355" t="s">
        <v>44</v>
      </c>
      <c r="Y355" t="s">
        <v>63</v>
      </c>
      <c r="Z355" t="s">
        <v>48</v>
      </c>
      <c r="AA355" s="10">
        <f>IF(O355&lt;=1,7,7+0.8*ROUNDUP(O355-1,0))</f>
        <v>7.8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0"/>
        <v>0.46799999999999997</v>
      </c>
      <c r="AG355" s="11">
        <f t="shared" si="11"/>
        <v>8.2680000000000007</v>
      </c>
      <c r="AH355" t="s">
        <v>49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1200</v>
      </c>
      <c r="G356" t="s">
        <v>37</v>
      </c>
      <c r="H356" t="s">
        <v>38</v>
      </c>
      <c r="I356" t="s">
        <v>1201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45234.484305555554</v>
      </c>
      <c r="Q356" s="9">
        <v>45237</v>
      </c>
      <c r="R356" t="s">
        <v>37</v>
      </c>
      <c r="S356" t="s">
        <v>44</v>
      </c>
      <c r="T356" t="s">
        <v>45</v>
      </c>
      <c r="U356" t="s">
        <v>226</v>
      </c>
      <c r="V356" t="s">
        <v>1202</v>
      </c>
      <c r="W356">
        <v>91100</v>
      </c>
      <c r="X356" t="s">
        <v>228</v>
      </c>
      <c r="Y356" t="s">
        <v>1203</v>
      </c>
      <c r="Z356" t="s">
        <v>48</v>
      </c>
      <c r="AA356" s="12">
        <f>IF(O356&lt;=1,13,IF(O356&lt;=2,23,IF(O356&lt;=3,35,IF(O356&lt;=4,43,IF(O356&lt;=5,53,IF(O356&lt;=6,63,IF(O356&lt;=7,71,IF(O356&lt;=8,79,IF(O356&lt;=9,87,IF(O356&lt;=10,95,IF(O356&lt;=11,105,IF(O356&lt;=12,114,IF(O356&lt;=13,119,IF(O356&lt;=14,127,IF(O356&lt;=15,135,IF(O356&lt;=16,143,IF(O356&lt;=17,153,IF(O356&lt;=18,163,IF(O356&lt;=19,171,IF(O356&lt;=20,185,IF(O356&lt;=21,193,IF(O356&lt;=22,201,IF(O356&lt;=23,210,IF(O356&lt;=24,220,IF(O356&lt;=25,230,IF(O356&lt;=26,240,IF(O356&lt;=27,250,IF(O356&lt;=28,260,IF(O356&lt;=29,270,IF(O356&lt;=30,280,280+10*ROUNDUP(O356-30,0)))))))))))))))))))))))))))))))</f>
        <v>13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0"/>
        <v>0.78</v>
      </c>
      <c r="AG356" s="11">
        <f t="shared" si="11"/>
        <v>13.78</v>
      </c>
      <c r="AH356" t="s">
        <v>229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1204</v>
      </c>
      <c r="G357" t="s">
        <v>37</v>
      </c>
      <c r="H357" t="s">
        <v>38</v>
      </c>
      <c r="I357" t="s">
        <v>1205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14</v>
      </c>
      <c r="P357" s="8">
        <v>45235.671956018516</v>
      </c>
      <c r="Q357" s="9">
        <v>45237</v>
      </c>
      <c r="R357" t="s">
        <v>37</v>
      </c>
      <c r="S357" t="s">
        <v>44</v>
      </c>
      <c r="T357" t="s">
        <v>45</v>
      </c>
      <c r="U357" t="s">
        <v>236</v>
      </c>
      <c r="V357" t="s">
        <v>1206</v>
      </c>
      <c r="W357">
        <v>9700</v>
      </c>
      <c r="X357" t="s">
        <v>44</v>
      </c>
      <c r="Y357" t="s">
        <v>1089</v>
      </c>
      <c r="Z357" t="s">
        <v>48</v>
      </c>
      <c r="AA357" s="10">
        <f>IF(O357&lt;=1,7,7+0.8*ROUNDUP(O357-1,0))</f>
        <v>17.399999999999999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0"/>
        <v>1.0439999999999998</v>
      </c>
      <c r="AG357" s="11">
        <f t="shared" si="11"/>
        <v>18.443999999999999</v>
      </c>
      <c r="AH357" t="s">
        <v>49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1207</v>
      </c>
      <c r="G358" t="s">
        <v>37</v>
      </c>
      <c r="H358" t="s">
        <v>38</v>
      </c>
      <c r="I358" t="s">
        <v>1208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1</v>
      </c>
      <c r="P358" s="8">
        <v>45235.640717592592</v>
      </c>
      <c r="Q358" s="9">
        <v>45237</v>
      </c>
      <c r="R358" t="s">
        <v>37</v>
      </c>
      <c r="S358" t="s">
        <v>44</v>
      </c>
      <c r="T358" t="s">
        <v>45</v>
      </c>
      <c r="U358" t="s">
        <v>187</v>
      </c>
      <c r="V358" t="s">
        <v>1209</v>
      </c>
      <c r="W358">
        <v>35820</v>
      </c>
      <c r="X358" t="s">
        <v>44</v>
      </c>
      <c r="Y358" t="s">
        <v>372</v>
      </c>
      <c r="Z358" t="s">
        <v>48</v>
      </c>
      <c r="AA358" s="10">
        <f>IF(O358&lt;=1,7,7+0.8*ROUNDUP(O358-1,0))</f>
        <v>7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0"/>
        <v>0.42</v>
      </c>
      <c r="AG358" s="11">
        <f t="shared" si="11"/>
        <v>7.42</v>
      </c>
      <c r="AH358" t="s">
        <v>49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1210</v>
      </c>
      <c r="G359" t="s">
        <v>37</v>
      </c>
      <c r="H359" t="s">
        <v>38</v>
      </c>
      <c r="I359" t="s">
        <v>1211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45235.58221064815</v>
      </c>
      <c r="Q359" s="9">
        <v>45237</v>
      </c>
      <c r="R359" t="s">
        <v>37</v>
      </c>
      <c r="S359" t="s">
        <v>44</v>
      </c>
      <c r="T359" t="s">
        <v>45</v>
      </c>
      <c r="U359" t="s">
        <v>89</v>
      </c>
      <c r="V359" t="s">
        <v>1212</v>
      </c>
      <c r="W359">
        <v>81100</v>
      </c>
      <c r="X359" t="s">
        <v>44</v>
      </c>
      <c r="Y359" t="s">
        <v>63</v>
      </c>
      <c r="Z359" t="s">
        <v>48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0"/>
        <v>0.42</v>
      </c>
      <c r="AG359" s="11">
        <f t="shared" si="11"/>
        <v>7.42</v>
      </c>
      <c r="AH359" t="s">
        <v>49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1213</v>
      </c>
      <c r="G360" t="s">
        <v>37</v>
      </c>
      <c r="H360" t="s">
        <v>38</v>
      </c>
      <c r="I360" t="s">
        <v>1214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1</v>
      </c>
      <c r="P360" s="8">
        <v>45235.602256944447</v>
      </c>
      <c r="Q360" s="9">
        <v>45237</v>
      </c>
      <c r="R360" t="s">
        <v>37</v>
      </c>
      <c r="S360" t="s">
        <v>44</v>
      </c>
      <c r="T360" t="s">
        <v>45</v>
      </c>
      <c r="U360" t="s">
        <v>89</v>
      </c>
      <c r="V360" t="s">
        <v>1215</v>
      </c>
      <c r="W360">
        <v>81000</v>
      </c>
      <c r="X360" t="s">
        <v>44</v>
      </c>
      <c r="Y360" t="s">
        <v>63</v>
      </c>
      <c r="Z360" t="s">
        <v>48</v>
      </c>
      <c r="AA360" s="10">
        <f>IF(O360&lt;=1,7,7+0.8*ROUNDUP(O360-1,0))</f>
        <v>7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0"/>
        <v>0.42</v>
      </c>
      <c r="AG360" s="11">
        <f t="shared" si="11"/>
        <v>7.42</v>
      </c>
      <c r="AH360" t="s">
        <v>49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1216</v>
      </c>
      <c r="G361" t="s">
        <v>37</v>
      </c>
      <c r="H361" t="s">
        <v>38</v>
      </c>
      <c r="I361" t="s">
        <v>1217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1</v>
      </c>
      <c r="P361" s="8">
        <v>45235.58222222222</v>
      </c>
      <c r="Q361" s="9">
        <v>45237</v>
      </c>
      <c r="R361" t="s">
        <v>37</v>
      </c>
      <c r="S361" t="s">
        <v>44</v>
      </c>
      <c r="T361" t="s">
        <v>45</v>
      </c>
      <c r="U361" t="s">
        <v>57</v>
      </c>
      <c r="V361" t="s">
        <v>1218</v>
      </c>
      <c r="W361">
        <v>40150</v>
      </c>
      <c r="X361" t="s">
        <v>44</v>
      </c>
      <c r="Y361" t="s">
        <v>59</v>
      </c>
      <c r="Z361" t="s">
        <v>48</v>
      </c>
      <c r="AA361" s="10">
        <f>IF(O361&lt;=1,7,7+0.8*ROUNDUP(O361-1,0))</f>
        <v>7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0"/>
        <v>0.42</v>
      </c>
      <c r="AG361" s="11">
        <f t="shared" si="11"/>
        <v>7.42</v>
      </c>
      <c r="AH361" t="s">
        <v>49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1219</v>
      </c>
      <c r="G362" t="s">
        <v>37</v>
      </c>
      <c r="H362" t="s">
        <v>38</v>
      </c>
      <c r="I362" t="s">
        <v>1220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24</v>
      </c>
      <c r="P362" s="8">
        <v>45236.730671296296</v>
      </c>
      <c r="Q362" s="9">
        <v>45237</v>
      </c>
      <c r="R362" t="s">
        <v>37</v>
      </c>
      <c r="S362" t="s">
        <v>44</v>
      </c>
      <c r="T362" t="s">
        <v>45</v>
      </c>
      <c r="U362" t="s">
        <v>52</v>
      </c>
      <c r="V362" t="s">
        <v>1221</v>
      </c>
      <c r="W362">
        <v>20000</v>
      </c>
      <c r="X362" t="s">
        <v>44</v>
      </c>
      <c r="Y362" t="s">
        <v>273</v>
      </c>
      <c r="Z362" t="s">
        <v>48</v>
      </c>
      <c r="AA362" s="10">
        <f>IF(O362&lt;=1,7,7+0.8*ROUNDUP(O362-1,0))</f>
        <v>25.400000000000002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0"/>
        <v>1.524</v>
      </c>
      <c r="AG362" s="11">
        <f t="shared" si="11"/>
        <v>26.924000000000003</v>
      </c>
      <c r="AH362" t="s">
        <v>49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1222</v>
      </c>
      <c r="G363" t="s">
        <v>37</v>
      </c>
      <c r="H363" t="s">
        <v>38</v>
      </c>
      <c r="I363" t="s">
        <v>1223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1</v>
      </c>
      <c r="P363" s="8">
        <v>45235.58222222222</v>
      </c>
      <c r="Q363" s="9">
        <v>45237</v>
      </c>
      <c r="R363" t="s">
        <v>37</v>
      </c>
      <c r="S363" t="s">
        <v>44</v>
      </c>
      <c r="T363" t="s">
        <v>45</v>
      </c>
      <c r="U363" t="s">
        <v>236</v>
      </c>
      <c r="V363" t="s">
        <v>1224</v>
      </c>
      <c r="W363">
        <v>5100</v>
      </c>
      <c r="X363" t="s">
        <v>44</v>
      </c>
      <c r="Y363" t="s">
        <v>579</v>
      </c>
      <c r="Z363" t="s">
        <v>48</v>
      </c>
      <c r="AA363" s="10">
        <f>IF(O363&lt;=1,7,7+0.8*ROUNDUP(O363-1,0))</f>
        <v>7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0"/>
        <v>0.42</v>
      </c>
      <c r="AG363" s="11">
        <f t="shared" si="11"/>
        <v>7.42</v>
      </c>
      <c r="AH363" t="s">
        <v>49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1225</v>
      </c>
      <c r="G364" t="s">
        <v>37</v>
      </c>
      <c r="H364" t="s">
        <v>38</v>
      </c>
      <c r="I364" t="s">
        <v>1226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</v>
      </c>
      <c r="P364" s="8">
        <v>45235.58222222222</v>
      </c>
      <c r="Q364" s="9">
        <v>45237</v>
      </c>
      <c r="R364" t="s">
        <v>37</v>
      </c>
      <c r="S364" t="s">
        <v>44</v>
      </c>
      <c r="T364" t="s">
        <v>45</v>
      </c>
      <c r="U364" t="s">
        <v>236</v>
      </c>
      <c r="V364" t="s">
        <v>1227</v>
      </c>
      <c r="W364">
        <v>8400</v>
      </c>
      <c r="X364" t="s">
        <v>44</v>
      </c>
      <c r="Y364" t="s">
        <v>63</v>
      </c>
      <c r="Z364" t="s">
        <v>48</v>
      </c>
      <c r="AA364" s="10">
        <f>IF(O364&lt;=1,7,7+0.8*ROUNDUP(O364-1,0))</f>
        <v>7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0"/>
        <v>0.42</v>
      </c>
      <c r="AG364" s="11">
        <f t="shared" si="11"/>
        <v>7.42</v>
      </c>
      <c r="AH364" t="s">
        <v>49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1228</v>
      </c>
      <c r="G365" t="s">
        <v>37</v>
      </c>
      <c r="H365" t="s">
        <v>38</v>
      </c>
      <c r="I365" t="s">
        <v>1229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1</v>
      </c>
      <c r="P365" s="8">
        <v>45236.538530092592</v>
      </c>
      <c r="Q365" s="9">
        <v>45237</v>
      </c>
      <c r="R365" t="s">
        <v>37</v>
      </c>
      <c r="S365" t="s">
        <v>44</v>
      </c>
      <c r="T365" t="s">
        <v>45</v>
      </c>
      <c r="U365" t="s">
        <v>57</v>
      </c>
      <c r="V365" t="s">
        <v>1230</v>
      </c>
      <c r="W365">
        <v>43000</v>
      </c>
      <c r="X365" t="s">
        <v>44</v>
      </c>
      <c r="Y365" t="s">
        <v>63</v>
      </c>
      <c r="Z365" t="s">
        <v>48</v>
      </c>
      <c r="AA365" s="10">
        <f>IF(O365&lt;=1,7,7+0.8*ROUNDUP(O365-1,0))</f>
        <v>7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0"/>
        <v>0.42</v>
      </c>
      <c r="AG365" s="11">
        <f t="shared" si="11"/>
        <v>7.42</v>
      </c>
      <c r="AH365" t="s">
        <v>49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1231</v>
      </c>
      <c r="G366" t="s">
        <v>37</v>
      </c>
      <c r="H366" t="s">
        <v>38</v>
      </c>
      <c r="I366" t="s">
        <v>1232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1</v>
      </c>
      <c r="P366" s="8">
        <v>45235.640717592592</v>
      </c>
      <c r="Q366" s="9">
        <v>45237</v>
      </c>
      <c r="R366" t="s">
        <v>37</v>
      </c>
      <c r="S366" t="s">
        <v>44</v>
      </c>
      <c r="T366" t="s">
        <v>45</v>
      </c>
      <c r="U366" t="s">
        <v>89</v>
      </c>
      <c r="V366" t="s">
        <v>1233</v>
      </c>
      <c r="W366">
        <v>86000</v>
      </c>
      <c r="X366" t="s">
        <v>44</v>
      </c>
      <c r="Y366" t="s">
        <v>63</v>
      </c>
      <c r="Z366" t="s">
        <v>48</v>
      </c>
      <c r="AA366" s="10">
        <f>IF(O366&lt;=1,7,7+0.8*ROUNDUP(O366-1,0))</f>
        <v>7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0"/>
        <v>0.42</v>
      </c>
      <c r="AG366" s="11">
        <f t="shared" si="11"/>
        <v>7.42</v>
      </c>
      <c r="AH366" t="s">
        <v>49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1234</v>
      </c>
      <c r="G367" t="s">
        <v>37</v>
      </c>
      <c r="H367" t="s">
        <v>38</v>
      </c>
      <c r="I367" t="s">
        <v>1235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4</v>
      </c>
      <c r="P367" s="8">
        <v>45236.595462962963</v>
      </c>
      <c r="Q367" s="9">
        <v>45237</v>
      </c>
      <c r="R367" t="s">
        <v>37</v>
      </c>
      <c r="S367" t="s">
        <v>44</v>
      </c>
      <c r="T367" t="s">
        <v>45</v>
      </c>
      <c r="U367" t="s">
        <v>57</v>
      </c>
      <c r="V367" t="s">
        <v>1236</v>
      </c>
      <c r="W367">
        <v>46050</v>
      </c>
      <c r="X367" t="s">
        <v>44</v>
      </c>
      <c r="Y367" t="s">
        <v>316</v>
      </c>
      <c r="Z367" t="s">
        <v>48</v>
      </c>
      <c r="AA367" s="10">
        <f>IF(O367&lt;=1,7,7+0.8*ROUNDUP(O367-1,0))</f>
        <v>9.4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0"/>
        <v>0.56399999999999995</v>
      </c>
      <c r="AG367" s="11">
        <f t="shared" si="11"/>
        <v>9.9640000000000004</v>
      </c>
      <c r="AH367" t="s">
        <v>49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1237</v>
      </c>
      <c r="G368" t="s">
        <v>37</v>
      </c>
      <c r="H368" t="s">
        <v>38</v>
      </c>
      <c r="I368" t="s">
        <v>1238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45236.466273148151</v>
      </c>
      <c r="Q368" s="9">
        <v>45237</v>
      </c>
      <c r="R368" t="s">
        <v>37</v>
      </c>
      <c r="S368" t="s">
        <v>44</v>
      </c>
      <c r="T368" t="s">
        <v>45</v>
      </c>
      <c r="U368" t="s">
        <v>57</v>
      </c>
      <c r="V368" t="s">
        <v>1239</v>
      </c>
      <c r="W368">
        <v>47820</v>
      </c>
      <c r="X368" t="s">
        <v>44</v>
      </c>
      <c r="Y368" t="s">
        <v>63</v>
      </c>
      <c r="Z368" t="s">
        <v>48</v>
      </c>
      <c r="AA368" s="10">
        <f>IF(O368&lt;=1,7,7+0.8*ROUNDUP(O368-1,0))</f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0"/>
        <v>0.42</v>
      </c>
      <c r="AG368" s="11">
        <f t="shared" si="11"/>
        <v>7.42</v>
      </c>
      <c r="AH368" t="s">
        <v>49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1240</v>
      </c>
      <c r="G369" t="s">
        <v>37</v>
      </c>
      <c r="H369" t="s">
        <v>38</v>
      </c>
      <c r="I369" t="s">
        <v>1241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2</v>
      </c>
      <c r="P369" s="8">
        <v>45235.707615740743</v>
      </c>
      <c r="Q369" s="9">
        <v>45237</v>
      </c>
      <c r="R369" t="s">
        <v>37</v>
      </c>
      <c r="S369" t="s">
        <v>44</v>
      </c>
      <c r="T369" t="s">
        <v>45</v>
      </c>
      <c r="U369" t="s">
        <v>119</v>
      </c>
      <c r="V369" t="s">
        <v>1242</v>
      </c>
      <c r="W369">
        <v>14000</v>
      </c>
      <c r="X369" t="s">
        <v>44</v>
      </c>
      <c r="Y369" t="s">
        <v>294</v>
      </c>
      <c r="Z369" t="s">
        <v>48</v>
      </c>
      <c r="AA369" s="10">
        <f>IF(O369&lt;=1,7,7+0.8*ROUNDUP(O369-1,0))</f>
        <v>7.8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0"/>
        <v>0.46799999999999997</v>
      </c>
      <c r="AG369" s="11">
        <f t="shared" si="11"/>
        <v>8.2680000000000007</v>
      </c>
      <c r="AH369" t="s">
        <v>49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1243</v>
      </c>
      <c r="G370" t="s">
        <v>37</v>
      </c>
      <c r="H370" t="s">
        <v>38</v>
      </c>
      <c r="I370" t="s">
        <v>1244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2</v>
      </c>
      <c r="P370" s="8">
        <v>45235.71329861111</v>
      </c>
      <c r="Q370" s="9">
        <v>45237</v>
      </c>
      <c r="R370" t="s">
        <v>37</v>
      </c>
      <c r="S370" t="s">
        <v>44</v>
      </c>
      <c r="T370" t="s">
        <v>45</v>
      </c>
      <c r="U370" t="s">
        <v>128</v>
      </c>
      <c r="V370" t="s">
        <v>1245</v>
      </c>
      <c r="W370">
        <v>72200</v>
      </c>
      <c r="X370" t="s">
        <v>44</v>
      </c>
      <c r="Y370" t="s">
        <v>1246</v>
      </c>
      <c r="Z370" t="s">
        <v>48</v>
      </c>
      <c r="AA370" s="10">
        <f>IF(O370&lt;=1,7,7+0.8*ROUNDUP(O370-1,0))</f>
        <v>7.8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0"/>
        <v>0.46799999999999997</v>
      </c>
      <c r="AG370" s="11">
        <f t="shared" si="11"/>
        <v>8.2680000000000007</v>
      </c>
      <c r="AH370" t="s">
        <v>49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1247</v>
      </c>
      <c r="G371" t="s">
        <v>37</v>
      </c>
      <c r="H371" t="s">
        <v>38</v>
      </c>
      <c r="I371" t="s">
        <v>1248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2</v>
      </c>
      <c r="P371" s="8">
        <v>45235.742719907408</v>
      </c>
      <c r="Q371" s="9">
        <v>45237</v>
      </c>
      <c r="R371" t="s">
        <v>37</v>
      </c>
      <c r="S371" t="s">
        <v>44</v>
      </c>
      <c r="T371" t="s">
        <v>45</v>
      </c>
      <c r="U371" t="s">
        <v>57</v>
      </c>
      <c r="V371" t="s">
        <v>1249</v>
      </c>
      <c r="W371">
        <v>43650</v>
      </c>
      <c r="X371" t="s">
        <v>44</v>
      </c>
      <c r="Y371" t="s">
        <v>427</v>
      </c>
      <c r="Z371" t="s">
        <v>48</v>
      </c>
      <c r="AA371" s="10">
        <f>IF(O371&lt;=1,7,7+0.8*ROUNDUP(O371-1,0))</f>
        <v>7.8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0"/>
        <v>0.46799999999999997</v>
      </c>
      <c r="AG371" s="11">
        <f t="shared" si="11"/>
        <v>8.2680000000000007</v>
      </c>
      <c r="AH371" t="s">
        <v>49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1250</v>
      </c>
      <c r="G372" t="s">
        <v>37</v>
      </c>
      <c r="H372" t="s">
        <v>38</v>
      </c>
      <c r="I372" t="s">
        <v>1251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1</v>
      </c>
      <c r="P372" s="8">
        <v>45236.595462962963</v>
      </c>
      <c r="Q372" s="9">
        <v>45237</v>
      </c>
      <c r="R372" t="s">
        <v>37</v>
      </c>
      <c r="S372" t="s">
        <v>44</v>
      </c>
      <c r="T372" t="s">
        <v>45</v>
      </c>
      <c r="U372" t="s">
        <v>57</v>
      </c>
      <c r="V372" t="s">
        <v>1252</v>
      </c>
      <c r="W372">
        <v>48000</v>
      </c>
      <c r="X372" t="s">
        <v>44</v>
      </c>
      <c r="Y372" t="s">
        <v>63</v>
      </c>
      <c r="Z372" t="s">
        <v>48</v>
      </c>
      <c r="AA372" s="10">
        <f>IF(O372&lt;=1,7,7+0.8*ROUNDUP(O372-1,0))</f>
        <v>7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0"/>
        <v>0.42</v>
      </c>
      <c r="AG372" s="11">
        <f t="shared" si="11"/>
        <v>7.42</v>
      </c>
      <c r="AH372" t="s">
        <v>49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1253</v>
      </c>
      <c r="G373" t="s">
        <v>37</v>
      </c>
      <c r="H373" t="s">
        <v>38</v>
      </c>
      <c r="I373" t="s">
        <v>1254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1</v>
      </c>
      <c r="P373" s="8">
        <v>45236.678171296298</v>
      </c>
      <c r="Q373" s="9">
        <v>45237</v>
      </c>
      <c r="R373" t="s">
        <v>37</v>
      </c>
      <c r="S373" t="s">
        <v>44</v>
      </c>
      <c r="T373" t="s">
        <v>45</v>
      </c>
      <c r="U373" t="s">
        <v>57</v>
      </c>
      <c r="V373" t="s">
        <v>1255</v>
      </c>
      <c r="W373">
        <v>43000</v>
      </c>
      <c r="X373" t="s">
        <v>44</v>
      </c>
      <c r="Y373" t="s">
        <v>427</v>
      </c>
      <c r="Z373" t="s">
        <v>48</v>
      </c>
      <c r="AA373" s="10">
        <f>IF(O373&lt;=1,7,7+0.8*ROUNDUP(O373-1,0))</f>
        <v>7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0"/>
        <v>0.42</v>
      </c>
      <c r="AG373" s="11">
        <f t="shared" si="11"/>
        <v>7.42</v>
      </c>
      <c r="AH373" t="s">
        <v>49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1256</v>
      </c>
      <c r="G374" t="s">
        <v>37</v>
      </c>
      <c r="H374" t="s">
        <v>38</v>
      </c>
      <c r="I374" t="s">
        <v>1257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1</v>
      </c>
      <c r="P374" s="8">
        <v>45235.602256944447</v>
      </c>
      <c r="Q374" s="9">
        <v>45237</v>
      </c>
      <c r="R374" t="s">
        <v>37</v>
      </c>
      <c r="S374" t="s">
        <v>44</v>
      </c>
      <c r="T374" t="s">
        <v>45</v>
      </c>
      <c r="U374" t="s">
        <v>70</v>
      </c>
      <c r="V374" t="s">
        <v>1258</v>
      </c>
      <c r="W374">
        <v>77500</v>
      </c>
      <c r="X374" t="s">
        <v>44</v>
      </c>
      <c r="Y374" t="s">
        <v>1259</v>
      </c>
      <c r="Z374" t="s">
        <v>48</v>
      </c>
      <c r="AA374" s="10">
        <f>IF(O374&lt;=1,7,7+0.8*ROUNDUP(O374-1,0))</f>
        <v>7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0"/>
        <v>0.42</v>
      </c>
      <c r="AG374" s="11">
        <f t="shared" si="11"/>
        <v>7.42</v>
      </c>
      <c r="AH374" t="s">
        <v>49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1260</v>
      </c>
      <c r="G375" t="s">
        <v>37</v>
      </c>
      <c r="H375" t="s">
        <v>38</v>
      </c>
      <c r="I375" t="s">
        <v>1261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1</v>
      </c>
      <c r="P375" s="8">
        <v>45236.595462962963</v>
      </c>
      <c r="Q375" s="9">
        <v>45237</v>
      </c>
      <c r="R375" t="s">
        <v>37</v>
      </c>
      <c r="S375" t="s">
        <v>44</v>
      </c>
      <c r="T375" t="s">
        <v>45</v>
      </c>
      <c r="U375" t="s">
        <v>57</v>
      </c>
      <c r="V375" t="s">
        <v>1262</v>
      </c>
      <c r="W375">
        <v>47000</v>
      </c>
      <c r="X375" t="s">
        <v>44</v>
      </c>
      <c r="Y375" t="s">
        <v>149</v>
      </c>
      <c r="Z375" t="s">
        <v>48</v>
      </c>
      <c r="AA375" s="10">
        <f>IF(O375&lt;=1,7,7+0.8*ROUNDUP(O375-1,0))</f>
        <v>7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0"/>
        <v>0.42</v>
      </c>
      <c r="AG375" s="11">
        <f t="shared" si="11"/>
        <v>7.42</v>
      </c>
      <c r="AH375" t="s">
        <v>49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1263</v>
      </c>
      <c r="G376" t="s">
        <v>37</v>
      </c>
      <c r="H376" t="s">
        <v>38</v>
      </c>
      <c r="I376" t="s">
        <v>1264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45235.510370370372</v>
      </c>
      <c r="Q376" s="9">
        <v>45237</v>
      </c>
      <c r="R376" t="s">
        <v>37</v>
      </c>
      <c r="S376" t="s">
        <v>44</v>
      </c>
      <c r="T376" t="s">
        <v>45</v>
      </c>
      <c r="U376" t="s">
        <v>46</v>
      </c>
      <c r="V376" t="s">
        <v>1265</v>
      </c>
      <c r="W376">
        <v>69000</v>
      </c>
      <c r="X376" t="s">
        <v>44</v>
      </c>
      <c r="Y376" t="s">
        <v>63</v>
      </c>
      <c r="Z376" t="s">
        <v>48</v>
      </c>
      <c r="AA376" s="10">
        <f>IF(O376&lt;=1,7,7+0.8*ROUNDUP(O376-1,0))</f>
        <v>7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0"/>
        <v>0.42</v>
      </c>
      <c r="AG376" s="11">
        <f t="shared" si="11"/>
        <v>7.42</v>
      </c>
      <c r="AH376" t="s">
        <v>49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1266</v>
      </c>
      <c r="G377" t="s">
        <v>37</v>
      </c>
      <c r="H377" t="s">
        <v>38</v>
      </c>
      <c r="I377" t="s">
        <v>1267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1</v>
      </c>
      <c r="P377" s="8">
        <v>45234.722928240742</v>
      </c>
      <c r="Q377" s="9">
        <v>45237</v>
      </c>
      <c r="R377" t="s">
        <v>37</v>
      </c>
      <c r="S377" t="s">
        <v>44</v>
      </c>
      <c r="T377" t="s">
        <v>45</v>
      </c>
      <c r="U377" t="s">
        <v>226</v>
      </c>
      <c r="V377" t="s">
        <v>1268</v>
      </c>
      <c r="W377">
        <v>89308</v>
      </c>
      <c r="X377" t="s">
        <v>228</v>
      </c>
      <c r="Y377" t="s">
        <v>63</v>
      </c>
      <c r="Z377" t="s">
        <v>48</v>
      </c>
      <c r="AA377" s="12">
        <f>IF(O377&lt;=1,13,IF(O377&lt;=2,23,IF(O377&lt;=3,35,IF(O377&lt;=4,43,IF(O377&lt;=5,53,IF(O377&lt;=6,63,IF(O377&lt;=7,71,IF(O377&lt;=8,79,IF(O377&lt;=9,87,IF(O377&lt;=10,95,IF(O377&lt;=11,105,IF(O377&lt;=12,114,IF(O377&lt;=13,119,IF(O377&lt;=14,127,IF(O377&lt;=15,135,IF(O377&lt;=16,143,IF(O377&lt;=17,153,IF(O377&lt;=18,163,IF(O377&lt;=19,171,IF(O377&lt;=20,185,IF(O377&lt;=21,193,IF(O377&lt;=22,201,IF(O377&lt;=23,210,IF(O377&lt;=24,220,IF(O377&lt;=25,230,IF(O377&lt;=26,240,IF(O377&lt;=27,250,IF(O377&lt;=28,260,IF(O377&lt;=29,270,IF(O377&lt;=30,280,280+10*ROUNDUP(O377-30,0)))))))))))))))))))))))))))))))</f>
        <v>13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0"/>
        <v>0.78</v>
      </c>
      <c r="AG377" s="11">
        <f t="shared" si="11"/>
        <v>13.78</v>
      </c>
      <c r="AH377" t="s">
        <v>229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1269</v>
      </c>
      <c r="G378" t="s">
        <v>37</v>
      </c>
      <c r="H378" t="s">
        <v>38</v>
      </c>
      <c r="I378" t="s">
        <v>1270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1</v>
      </c>
      <c r="P378" s="8">
        <v>45236.828368055554</v>
      </c>
      <c r="Q378" s="9">
        <v>45238</v>
      </c>
      <c r="R378" t="s">
        <v>37</v>
      </c>
      <c r="S378" t="s">
        <v>44</v>
      </c>
      <c r="T378" t="s">
        <v>45</v>
      </c>
      <c r="U378" t="s">
        <v>156</v>
      </c>
      <c r="V378" t="s">
        <v>1271</v>
      </c>
      <c r="W378">
        <v>17500</v>
      </c>
      <c r="X378" t="s">
        <v>44</v>
      </c>
      <c r="Y378" t="s">
        <v>145</v>
      </c>
      <c r="Z378" t="s">
        <v>48</v>
      </c>
      <c r="AA378" s="10">
        <f>IF(O378&lt;=1,7,7+0.8*ROUNDUP(O378-1,0))</f>
        <v>7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0"/>
        <v>0.42</v>
      </c>
      <c r="AG378" s="11">
        <f t="shared" si="11"/>
        <v>7.42</v>
      </c>
      <c r="AH378" t="s">
        <v>49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1272</v>
      </c>
      <c r="G379" t="s">
        <v>37</v>
      </c>
      <c r="H379" t="s">
        <v>38</v>
      </c>
      <c r="I379" t="s">
        <v>1273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9</v>
      </c>
      <c r="P379" s="8">
        <v>45237.706932870373</v>
      </c>
      <c r="Q379" s="9">
        <v>45238</v>
      </c>
      <c r="R379" t="s">
        <v>37</v>
      </c>
      <c r="S379" t="s">
        <v>44</v>
      </c>
      <c r="T379" t="s">
        <v>45</v>
      </c>
      <c r="U379" t="s">
        <v>57</v>
      </c>
      <c r="V379" t="s">
        <v>1274</v>
      </c>
      <c r="W379">
        <v>43900</v>
      </c>
      <c r="X379" t="s">
        <v>44</v>
      </c>
      <c r="Y379" t="s">
        <v>181</v>
      </c>
      <c r="Z379" t="s">
        <v>48</v>
      </c>
      <c r="AA379" s="10">
        <f>IF(O379&lt;=1,7,7+0.8*ROUNDUP(O379-1,0))</f>
        <v>13.4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0"/>
        <v>0.80399999999999994</v>
      </c>
      <c r="AG379" s="11">
        <f t="shared" si="11"/>
        <v>14.204000000000001</v>
      </c>
      <c r="AH379" t="s">
        <v>49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1275</v>
      </c>
      <c r="G380" t="s">
        <v>37</v>
      </c>
      <c r="H380" t="s">
        <v>38</v>
      </c>
      <c r="I380" t="s">
        <v>1276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</v>
      </c>
      <c r="P380" s="8">
        <v>45237.663182870368</v>
      </c>
      <c r="Q380" s="9">
        <v>45238</v>
      </c>
      <c r="R380" t="s">
        <v>37</v>
      </c>
      <c r="S380" t="s">
        <v>44</v>
      </c>
      <c r="T380" t="s">
        <v>45</v>
      </c>
      <c r="U380" t="s">
        <v>57</v>
      </c>
      <c r="V380" t="s">
        <v>1277</v>
      </c>
      <c r="W380">
        <v>47810</v>
      </c>
      <c r="X380" t="s">
        <v>44</v>
      </c>
      <c r="Y380" t="s">
        <v>484</v>
      </c>
      <c r="Z380" t="s">
        <v>48</v>
      </c>
      <c r="AA380" s="10">
        <f>IF(O380&lt;=1,7,7+0.8*ROUNDUP(O380-1,0))</f>
        <v>7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0"/>
        <v>0.42</v>
      </c>
      <c r="AG380" s="11">
        <f t="shared" si="11"/>
        <v>7.42</v>
      </c>
      <c r="AH380" t="s">
        <v>49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1278</v>
      </c>
      <c r="G381" t="s">
        <v>37</v>
      </c>
      <c r="H381" t="s">
        <v>38</v>
      </c>
      <c r="I381" t="s">
        <v>1279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45237.759583333333</v>
      </c>
      <c r="Q381" s="9">
        <v>45238</v>
      </c>
      <c r="R381" t="s">
        <v>37</v>
      </c>
      <c r="S381" t="s">
        <v>44</v>
      </c>
      <c r="T381" t="s">
        <v>45</v>
      </c>
      <c r="U381" t="s">
        <v>66</v>
      </c>
      <c r="V381" t="s">
        <v>1280</v>
      </c>
      <c r="W381">
        <v>50050</v>
      </c>
      <c r="X381" t="s">
        <v>44</v>
      </c>
      <c r="Y381" t="s">
        <v>63</v>
      </c>
      <c r="Z381" t="s">
        <v>48</v>
      </c>
      <c r="AA381" s="10">
        <f>IF(O381&lt;=1,7,7+0.8*ROUNDUP(O381-1,0))</f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0"/>
        <v>0.42</v>
      </c>
      <c r="AG381" s="11">
        <f t="shared" si="11"/>
        <v>7.42</v>
      </c>
      <c r="AH381" t="s">
        <v>49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1281</v>
      </c>
      <c r="G382" t="s">
        <v>37</v>
      </c>
      <c r="H382" t="s">
        <v>38</v>
      </c>
      <c r="I382" t="s">
        <v>1282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45237.670891203707</v>
      </c>
      <c r="Q382" s="9">
        <v>45238</v>
      </c>
      <c r="R382" t="s">
        <v>37</v>
      </c>
      <c r="S382" t="s">
        <v>44</v>
      </c>
      <c r="T382" t="s">
        <v>45</v>
      </c>
      <c r="U382" t="s">
        <v>57</v>
      </c>
      <c r="V382" t="s">
        <v>1283</v>
      </c>
      <c r="W382">
        <v>46000</v>
      </c>
      <c r="X382" t="s">
        <v>44</v>
      </c>
      <c r="Y382" t="s">
        <v>63</v>
      </c>
      <c r="Z382" t="s">
        <v>48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0"/>
        <v>0.42</v>
      </c>
      <c r="AG382" s="11">
        <f t="shared" si="11"/>
        <v>7.42</v>
      </c>
      <c r="AH382" t="s">
        <v>49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1284</v>
      </c>
      <c r="G383" t="s">
        <v>37</v>
      </c>
      <c r="H383" t="s">
        <v>38</v>
      </c>
      <c r="I383" t="s">
        <v>1285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</v>
      </c>
      <c r="P383" s="8">
        <v>45236.601319444446</v>
      </c>
      <c r="Q383" s="9">
        <v>45238</v>
      </c>
      <c r="R383" t="s">
        <v>37</v>
      </c>
      <c r="S383" t="s">
        <v>44</v>
      </c>
      <c r="T383" t="s">
        <v>45</v>
      </c>
      <c r="U383" t="s">
        <v>187</v>
      </c>
      <c r="V383" t="s">
        <v>1286</v>
      </c>
      <c r="W383">
        <v>34600</v>
      </c>
      <c r="X383" t="s">
        <v>44</v>
      </c>
      <c r="Y383" t="s">
        <v>1287</v>
      </c>
      <c r="Z383" t="s">
        <v>48</v>
      </c>
      <c r="AA383" s="10">
        <f>IF(O383&lt;=1,7,7+0.8*ROUNDUP(O383-1,0))</f>
        <v>7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0"/>
        <v>0.42</v>
      </c>
      <c r="AG383" s="11">
        <f t="shared" si="11"/>
        <v>7.42</v>
      </c>
      <c r="AH383" t="s">
        <v>49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1288</v>
      </c>
      <c r="G384" t="s">
        <v>37</v>
      </c>
      <c r="H384" t="s">
        <v>38</v>
      </c>
      <c r="I384" t="s">
        <v>1289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45236.779131944444</v>
      </c>
      <c r="Q384" s="9">
        <v>45238</v>
      </c>
      <c r="R384" t="s">
        <v>37</v>
      </c>
      <c r="S384" t="s">
        <v>44</v>
      </c>
      <c r="T384" t="s">
        <v>45</v>
      </c>
      <c r="U384" t="s">
        <v>52</v>
      </c>
      <c r="V384" t="s">
        <v>1290</v>
      </c>
      <c r="W384">
        <v>21700</v>
      </c>
      <c r="X384" t="s">
        <v>44</v>
      </c>
      <c r="Y384" t="s">
        <v>368</v>
      </c>
      <c r="Z384" t="s">
        <v>48</v>
      </c>
      <c r="AA384" s="10">
        <f>IF(O384&lt;=1,7,7+0.8*ROUNDUP(O384-1,0))</f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0"/>
        <v>0.42</v>
      </c>
      <c r="AG384" s="11">
        <f t="shared" si="11"/>
        <v>7.42</v>
      </c>
      <c r="AH384" t="s">
        <v>49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1291</v>
      </c>
      <c r="G385" t="s">
        <v>37</v>
      </c>
      <c r="H385" t="s">
        <v>38</v>
      </c>
      <c r="I385" t="s">
        <v>1292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1</v>
      </c>
      <c r="P385" s="8">
        <v>45237.670891203707</v>
      </c>
      <c r="Q385" s="9">
        <v>45238</v>
      </c>
      <c r="R385" t="s">
        <v>37</v>
      </c>
      <c r="S385" t="s">
        <v>44</v>
      </c>
      <c r="T385" t="s">
        <v>45</v>
      </c>
      <c r="U385" t="s">
        <v>52</v>
      </c>
      <c r="V385" t="s">
        <v>1293</v>
      </c>
      <c r="W385">
        <v>21300</v>
      </c>
      <c r="X385" t="s">
        <v>44</v>
      </c>
      <c r="Y385" t="s">
        <v>368</v>
      </c>
      <c r="Z385" t="s">
        <v>48</v>
      </c>
      <c r="AA385" s="10">
        <f>IF(O385&lt;=1,7,7+0.8*ROUNDUP(O385-1,0))</f>
        <v>7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0"/>
        <v>0.42</v>
      </c>
      <c r="AG385" s="11">
        <f t="shared" si="11"/>
        <v>7.42</v>
      </c>
      <c r="AH385" t="s">
        <v>49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1294</v>
      </c>
      <c r="G386" t="s">
        <v>37</v>
      </c>
      <c r="H386" t="s">
        <v>38</v>
      </c>
      <c r="I386" t="s">
        <v>848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1</v>
      </c>
      <c r="P386" s="8">
        <v>45237.618726851855</v>
      </c>
      <c r="Q386" s="9">
        <v>45238</v>
      </c>
      <c r="R386" t="s">
        <v>37</v>
      </c>
      <c r="S386" t="s">
        <v>44</v>
      </c>
      <c r="T386" t="s">
        <v>45</v>
      </c>
      <c r="U386" t="s">
        <v>57</v>
      </c>
      <c r="V386" t="s">
        <v>1295</v>
      </c>
      <c r="W386">
        <v>40000</v>
      </c>
      <c r="X386" t="s">
        <v>44</v>
      </c>
      <c r="Y386" t="s">
        <v>86</v>
      </c>
      <c r="Z386" t="s">
        <v>48</v>
      </c>
      <c r="AA386" s="10">
        <f>IF(O386&lt;=1,7,7+0.8*ROUNDUP(O386-1,0))</f>
        <v>7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2">(AA386+AC386+AE386)*6%</f>
        <v>0.42</v>
      </c>
      <c r="AG386" s="11">
        <f t="shared" ref="AG386:AG449" si="13">AA386+AC386+AE386+AF386</f>
        <v>7.42</v>
      </c>
      <c r="AH386" t="s">
        <v>49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1296</v>
      </c>
      <c r="G387" t="s">
        <v>37</v>
      </c>
      <c r="H387" t="s">
        <v>38</v>
      </c>
      <c r="I387" t="s">
        <v>905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45236.575659722221</v>
      </c>
      <c r="Q387" s="9">
        <v>45238</v>
      </c>
      <c r="R387" t="s">
        <v>37</v>
      </c>
      <c r="S387" t="s">
        <v>44</v>
      </c>
      <c r="T387" t="s">
        <v>45</v>
      </c>
      <c r="U387" t="s">
        <v>187</v>
      </c>
      <c r="V387" t="s">
        <v>1297</v>
      </c>
      <c r="W387">
        <v>34700</v>
      </c>
      <c r="X387" t="s">
        <v>44</v>
      </c>
      <c r="Y387" t="s">
        <v>63</v>
      </c>
      <c r="Z387" t="s">
        <v>48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0.42</v>
      </c>
      <c r="AG387" s="11">
        <f t="shared" si="13"/>
        <v>7.42</v>
      </c>
      <c r="AH387" t="s">
        <v>49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1298</v>
      </c>
      <c r="G388" t="s">
        <v>37</v>
      </c>
      <c r="H388" t="s">
        <v>38</v>
      </c>
      <c r="I388" t="s">
        <v>1299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2</v>
      </c>
      <c r="P388" s="8">
        <v>45237.754745370374</v>
      </c>
      <c r="Q388" s="9">
        <v>45238</v>
      </c>
      <c r="R388" t="s">
        <v>37</v>
      </c>
      <c r="S388" t="s">
        <v>44</v>
      </c>
      <c r="T388" t="s">
        <v>45</v>
      </c>
      <c r="U388" t="s">
        <v>57</v>
      </c>
      <c r="V388" t="s">
        <v>1300</v>
      </c>
      <c r="W388">
        <v>41200</v>
      </c>
      <c r="X388" t="s">
        <v>44</v>
      </c>
      <c r="Y388" t="s">
        <v>63</v>
      </c>
      <c r="Z388" t="s">
        <v>48</v>
      </c>
      <c r="AA388" s="10">
        <f>IF(O388&lt;=1,7,7+0.8*ROUNDUP(O388-1,0))</f>
        <v>7.8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0.46799999999999997</v>
      </c>
      <c r="AG388" s="11">
        <f t="shared" si="13"/>
        <v>8.2680000000000007</v>
      </c>
      <c r="AH388" t="s">
        <v>49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1301</v>
      </c>
      <c r="G389" t="s">
        <v>37</v>
      </c>
      <c r="H389" t="s">
        <v>38</v>
      </c>
      <c r="I389" t="s">
        <v>1302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5</v>
      </c>
      <c r="P389" s="8">
        <v>45236.50236111111</v>
      </c>
      <c r="Q389" s="9">
        <v>45238</v>
      </c>
      <c r="R389" t="s">
        <v>37</v>
      </c>
      <c r="S389" t="s">
        <v>44</v>
      </c>
      <c r="T389" t="s">
        <v>45</v>
      </c>
      <c r="U389" t="s">
        <v>89</v>
      </c>
      <c r="V389" t="s">
        <v>1303</v>
      </c>
      <c r="W389">
        <v>83000</v>
      </c>
      <c r="X389" t="s">
        <v>44</v>
      </c>
      <c r="Y389" t="s">
        <v>1304</v>
      </c>
      <c r="Z389" t="s">
        <v>48</v>
      </c>
      <c r="AA389" s="10">
        <f>IF(O389&lt;=1,7,7+0.8*ROUNDUP(O389-1,0))</f>
        <v>10.199999999999999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0.61199999999999999</v>
      </c>
      <c r="AG389" s="11">
        <f t="shared" si="13"/>
        <v>10.811999999999999</v>
      </c>
      <c r="AH389" t="s">
        <v>49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1305</v>
      </c>
      <c r="G390" t="s">
        <v>37</v>
      </c>
      <c r="H390" t="s">
        <v>1306</v>
      </c>
      <c r="I390" t="s">
        <v>1307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45231.505856481483</v>
      </c>
      <c r="Q390" s="9">
        <v>45238</v>
      </c>
      <c r="R390" t="s">
        <v>37</v>
      </c>
      <c r="S390" t="s">
        <v>44</v>
      </c>
      <c r="T390" t="s">
        <v>45</v>
      </c>
      <c r="U390" t="s">
        <v>57</v>
      </c>
      <c r="V390" t="s">
        <v>1308</v>
      </c>
      <c r="W390">
        <v>43500</v>
      </c>
      <c r="X390" t="s">
        <v>44</v>
      </c>
      <c r="Y390" t="s">
        <v>1028</v>
      </c>
      <c r="Z390" t="s">
        <v>48</v>
      </c>
      <c r="AA390" s="10">
        <f>IF(O390&lt;=1,7,7+0.8*ROUNDUP(O390-1,0))</f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0.42</v>
      </c>
      <c r="AG390" s="11">
        <f t="shared" si="13"/>
        <v>7.42</v>
      </c>
      <c r="AH390" t="s">
        <v>49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1309</v>
      </c>
      <c r="G391" t="s">
        <v>37</v>
      </c>
      <c r="H391" t="s">
        <v>38</v>
      </c>
      <c r="I391" t="s">
        <v>619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1</v>
      </c>
      <c r="P391" s="8">
        <v>45236.772337962961</v>
      </c>
      <c r="Q391" s="9">
        <v>45238</v>
      </c>
      <c r="R391" t="s">
        <v>37</v>
      </c>
      <c r="S391" t="s">
        <v>44</v>
      </c>
      <c r="T391" t="s">
        <v>45</v>
      </c>
      <c r="U391" t="s">
        <v>57</v>
      </c>
      <c r="V391" t="s">
        <v>620</v>
      </c>
      <c r="W391">
        <v>43900</v>
      </c>
      <c r="X391" t="s">
        <v>44</v>
      </c>
      <c r="Y391" t="s">
        <v>181</v>
      </c>
      <c r="Z391" t="s">
        <v>48</v>
      </c>
      <c r="AA391" s="10">
        <f>IF(O391&lt;=1,7,7+0.8*ROUNDUP(O391-1,0))</f>
        <v>7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0.42</v>
      </c>
      <c r="AG391" s="11">
        <f t="shared" si="13"/>
        <v>7.42</v>
      </c>
      <c r="AH391" t="s">
        <v>49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1310</v>
      </c>
      <c r="G392" t="s">
        <v>37</v>
      </c>
      <c r="H392" t="s">
        <v>38</v>
      </c>
      <c r="I392" t="s">
        <v>1311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5</v>
      </c>
      <c r="P392" s="8">
        <v>45237.49763888889</v>
      </c>
      <c r="Q392" s="9">
        <v>45238</v>
      </c>
      <c r="R392" t="s">
        <v>37</v>
      </c>
      <c r="S392" t="s">
        <v>44</v>
      </c>
      <c r="T392" t="s">
        <v>45</v>
      </c>
      <c r="U392" t="s">
        <v>156</v>
      </c>
      <c r="V392" t="s">
        <v>1312</v>
      </c>
      <c r="W392">
        <v>18300</v>
      </c>
      <c r="X392" t="s">
        <v>44</v>
      </c>
      <c r="Y392" t="s">
        <v>1313</v>
      </c>
      <c r="Z392" t="s">
        <v>48</v>
      </c>
      <c r="AA392" s="10">
        <f>IF(O392&lt;=1,7,7+0.8*ROUNDUP(O392-1,0))</f>
        <v>10.199999999999999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0.61199999999999999</v>
      </c>
      <c r="AG392" s="11">
        <f t="shared" si="13"/>
        <v>10.811999999999999</v>
      </c>
      <c r="AH392" t="s">
        <v>49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1314</v>
      </c>
      <c r="G393" t="s">
        <v>37</v>
      </c>
      <c r="H393" t="s">
        <v>38</v>
      </c>
      <c r="I393" t="s">
        <v>1315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1</v>
      </c>
      <c r="P393" s="8">
        <v>45236.595462962963</v>
      </c>
      <c r="Q393" s="9">
        <v>45238</v>
      </c>
      <c r="R393" t="s">
        <v>37</v>
      </c>
      <c r="S393" t="s">
        <v>44</v>
      </c>
      <c r="T393" t="s">
        <v>45</v>
      </c>
      <c r="U393" t="s">
        <v>70</v>
      </c>
      <c r="V393" t="s">
        <v>1316</v>
      </c>
      <c r="W393">
        <v>75150</v>
      </c>
      <c r="X393" t="s">
        <v>44</v>
      </c>
      <c r="Y393" t="s">
        <v>63</v>
      </c>
      <c r="Z393" t="s">
        <v>48</v>
      </c>
      <c r="AA393" s="10">
        <f>IF(O393&lt;=1,7,7+0.8*ROUNDUP(O393-1,0))</f>
        <v>7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0.42</v>
      </c>
      <c r="AG393" s="11">
        <f t="shared" si="13"/>
        <v>7.42</v>
      </c>
      <c r="AH393" t="s">
        <v>49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1317</v>
      </c>
      <c r="G394" t="s">
        <v>37</v>
      </c>
      <c r="H394" t="s">
        <v>38</v>
      </c>
      <c r="I394" t="s">
        <v>1318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45237.670891203707</v>
      </c>
      <c r="Q394" s="9">
        <v>45238</v>
      </c>
      <c r="R394" t="s">
        <v>37</v>
      </c>
      <c r="S394" t="s">
        <v>44</v>
      </c>
      <c r="T394" t="s">
        <v>45</v>
      </c>
      <c r="U394" t="s">
        <v>57</v>
      </c>
      <c r="V394" t="s">
        <v>1319</v>
      </c>
      <c r="W394">
        <v>68000</v>
      </c>
      <c r="X394" t="s">
        <v>44</v>
      </c>
      <c r="Y394" t="s">
        <v>63</v>
      </c>
      <c r="Z394" t="s">
        <v>48</v>
      </c>
      <c r="AA394" s="10">
        <f>IF(O394&lt;=1,7,7+0.8*ROUNDUP(O394-1,0))</f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0.42</v>
      </c>
      <c r="AG394" s="11">
        <f t="shared" si="13"/>
        <v>7.42</v>
      </c>
      <c r="AH394" t="s">
        <v>49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1320</v>
      </c>
      <c r="G395" t="s">
        <v>37</v>
      </c>
      <c r="H395" t="s">
        <v>38</v>
      </c>
      <c r="I395" t="s">
        <v>1321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1</v>
      </c>
      <c r="P395" s="8">
        <v>45236.595462962963</v>
      </c>
      <c r="Q395" s="9">
        <v>45238</v>
      </c>
      <c r="R395" t="s">
        <v>37</v>
      </c>
      <c r="S395" t="s">
        <v>44</v>
      </c>
      <c r="T395" t="s">
        <v>45</v>
      </c>
      <c r="U395" t="s">
        <v>57</v>
      </c>
      <c r="V395" t="s">
        <v>1322</v>
      </c>
      <c r="W395">
        <v>47150</v>
      </c>
      <c r="X395" t="s">
        <v>44</v>
      </c>
      <c r="Y395" t="s">
        <v>63</v>
      </c>
      <c r="Z395" t="s">
        <v>48</v>
      </c>
      <c r="AA395" s="10">
        <f>IF(O395&lt;=1,7,7+0.8*ROUNDUP(O395-1,0))</f>
        <v>7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0.42</v>
      </c>
      <c r="AG395" s="11">
        <f t="shared" si="13"/>
        <v>7.42</v>
      </c>
      <c r="AH395" t="s">
        <v>49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1323</v>
      </c>
      <c r="G396" t="s">
        <v>37</v>
      </c>
      <c r="H396" t="s">
        <v>38</v>
      </c>
      <c r="I396" t="s">
        <v>1324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2</v>
      </c>
      <c r="P396" s="8">
        <v>45237.408483796295</v>
      </c>
      <c r="Q396" s="9">
        <v>45238</v>
      </c>
      <c r="R396" t="s">
        <v>37</v>
      </c>
      <c r="S396" t="s">
        <v>44</v>
      </c>
      <c r="T396" t="s">
        <v>45</v>
      </c>
      <c r="U396" t="s">
        <v>156</v>
      </c>
      <c r="V396" t="s">
        <v>1325</v>
      </c>
      <c r="W396">
        <v>17000</v>
      </c>
      <c r="X396" t="s">
        <v>44</v>
      </c>
      <c r="Y396" t="s">
        <v>1326</v>
      </c>
      <c r="Z396" t="s">
        <v>48</v>
      </c>
      <c r="AA396" s="10">
        <f>IF(O396&lt;=1,7,7+0.8*ROUNDUP(O396-1,0))</f>
        <v>7.8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0.46799999999999997</v>
      </c>
      <c r="AG396" s="11">
        <f t="shared" si="13"/>
        <v>8.2680000000000007</v>
      </c>
      <c r="AH396" t="s">
        <v>49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1327</v>
      </c>
      <c r="G397" t="s">
        <v>37</v>
      </c>
      <c r="H397" t="s">
        <v>38</v>
      </c>
      <c r="I397" t="s">
        <v>1328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3</v>
      </c>
      <c r="P397" s="8">
        <v>45236.678171296298</v>
      </c>
      <c r="Q397" s="9">
        <v>45238</v>
      </c>
      <c r="R397" t="s">
        <v>37</v>
      </c>
      <c r="S397" t="s">
        <v>44</v>
      </c>
      <c r="T397" t="s">
        <v>45</v>
      </c>
      <c r="U397" t="s">
        <v>119</v>
      </c>
      <c r="V397" t="s">
        <v>1329</v>
      </c>
      <c r="W397">
        <v>11020</v>
      </c>
      <c r="X397" t="s">
        <v>44</v>
      </c>
      <c r="Y397" t="s">
        <v>839</v>
      </c>
      <c r="Z397" t="s">
        <v>48</v>
      </c>
      <c r="AA397" s="10">
        <f>IF(O397&lt;=1,7,7+0.8*ROUNDUP(O397-1,0))</f>
        <v>8.6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0.51600000000000001</v>
      </c>
      <c r="AG397" s="11">
        <f t="shared" si="13"/>
        <v>9.1159999999999997</v>
      </c>
      <c r="AH397" t="s">
        <v>49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1330</v>
      </c>
      <c r="G398" t="s">
        <v>37</v>
      </c>
      <c r="H398" t="s">
        <v>38</v>
      </c>
      <c r="I398" t="s">
        <v>1331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1</v>
      </c>
      <c r="P398" s="8">
        <v>45235.602256944447</v>
      </c>
      <c r="Q398" s="9">
        <v>45238</v>
      </c>
      <c r="R398" t="s">
        <v>37</v>
      </c>
      <c r="S398" t="s">
        <v>44</v>
      </c>
      <c r="T398" t="s">
        <v>45</v>
      </c>
      <c r="U398" t="s">
        <v>66</v>
      </c>
      <c r="V398" t="s">
        <v>1332</v>
      </c>
      <c r="W398">
        <v>57000</v>
      </c>
      <c r="X398" t="s">
        <v>44</v>
      </c>
      <c r="Y398" t="s">
        <v>63</v>
      </c>
      <c r="Z398" t="s">
        <v>48</v>
      </c>
      <c r="AA398" s="10">
        <f>IF(O398&lt;=1,7,7+0.8*ROUNDUP(O398-1,0))</f>
        <v>7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0.42</v>
      </c>
      <c r="AG398" s="11">
        <f t="shared" si="13"/>
        <v>7.42</v>
      </c>
      <c r="AH398" t="s">
        <v>49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1333</v>
      </c>
      <c r="G399" t="s">
        <v>37</v>
      </c>
      <c r="H399" t="s">
        <v>38</v>
      </c>
      <c r="I399" t="s">
        <v>1334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2</v>
      </c>
      <c r="P399" s="8">
        <v>45238.589456018519</v>
      </c>
      <c r="Q399" s="9">
        <v>45239</v>
      </c>
      <c r="R399" t="s">
        <v>37</v>
      </c>
      <c r="S399" t="s">
        <v>44</v>
      </c>
      <c r="T399" t="s">
        <v>45</v>
      </c>
      <c r="U399" t="s">
        <v>57</v>
      </c>
      <c r="V399" t="s">
        <v>1335</v>
      </c>
      <c r="W399">
        <v>41050</v>
      </c>
      <c r="X399" t="s">
        <v>44</v>
      </c>
      <c r="Y399" t="s">
        <v>223</v>
      </c>
      <c r="Z399" t="s">
        <v>48</v>
      </c>
      <c r="AA399" s="10">
        <f>IF(O399&lt;=1,7,7+0.8*ROUNDUP(O399-1,0))</f>
        <v>7.8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0.46799999999999997</v>
      </c>
      <c r="AG399" s="11">
        <f t="shared" si="13"/>
        <v>8.2680000000000007</v>
      </c>
      <c r="AH399" t="s">
        <v>49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1336</v>
      </c>
      <c r="G400" t="s">
        <v>37</v>
      </c>
      <c r="H400" t="s">
        <v>38</v>
      </c>
      <c r="I400" t="s">
        <v>1337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1</v>
      </c>
      <c r="P400" s="8">
        <v>45237.718738425923</v>
      </c>
      <c r="Q400" s="9">
        <v>45239</v>
      </c>
      <c r="R400" t="s">
        <v>37</v>
      </c>
      <c r="S400" t="s">
        <v>44</v>
      </c>
      <c r="T400" t="s">
        <v>45</v>
      </c>
      <c r="U400" t="s">
        <v>70</v>
      </c>
      <c r="V400" t="s">
        <v>1338</v>
      </c>
      <c r="W400">
        <v>77200</v>
      </c>
      <c r="X400" t="s">
        <v>44</v>
      </c>
      <c r="Y400" t="s">
        <v>63</v>
      </c>
      <c r="Z400" t="s">
        <v>48</v>
      </c>
      <c r="AA400" s="10">
        <f>IF(O400&lt;=1,7,7+0.8*ROUNDUP(O400-1,0))</f>
        <v>7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0.42</v>
      </c>
      <c r="AG400" s="11">
        <f t="shared" si="13"/>
        <v>7.42</v>
      </c>
      <c r="AH400" t="s">
        <v>49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1339</v>
      </c>
      <c r="G401" t="s">
        <v>37</v>
      </c>
      <c r="H401" t="s">
        <v>38</v>
      </c>
      <c r="I401" t="s">
        <v>1340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1</v>
      </c>
      <c r="P401" s="8">
        <v>45238.550081018519</v>
      </c>
      <c r="Q401" s="9">
        <v>45239</v>
      </c>
      <c r="R401" t="s">
        <v>37</v>
      </c>
      <c r="S401" t="s">
        <v>44</v>
      </c>
      <c r="T401" t="s">
        <v>45</v>
      </c>
      <c r="U401" t="s">
        <v>57</v>
      </c>
      <c r="V401" t="s">
        <v>1341</v>
      </c>
      <c r="W401">
        <v>41200</v>
      </c>
      <c r="X401" t="s">
        <v>44</v>
      </c>
      <c r="Y401" t="s">
        <v>949</v>
      </c>
      <c r="Z401" t="s">
        <v>48</v>
      </c>
      <c r="AA401" s="10">
        <f>IF(O401&lt;=1,7,7+0.8*ROUNDUP(O401-1,0))</f>
        <v>7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0.42</v>
      </c>
      <c r="AG401" s="11">
        <f t="shared" si="13"/>
        <v>7.42</v>
      </c>
      <c r="AH401" t="s">
        <v>49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1342</v>
      </c>
      <c r="G402" t="s">
        <v>37</v>
      </c>
      <c r="H402" t="s">
        <v>38</v>
      </c>
      <c r="I402" t="s">
        <v>1343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1</v>
      </c>
      <c r="P402" s="8">
        <v>45238.557743055557</v>
      </c>
      <c r="Q402" s="9">
        <v>45239</v>
      </c>
      <c r="R402" t="s">
        <v>37</v>
      </c>
      <c r="S402" t="s">
        <v>44</v>
      </c>
      <c r="T402" t="s">
        <v>45</v>
      </c>
      <c r="U402" t="s">
        <v>66</v>
      </c>
      <c r="V402" t="s">
        <v>1344</v>
      </c>
      <c r="W402">
        <v>58200</v>
      </c>
      <c r="X402" t="s">
        <v>44</v>
      </c>
      <c r="Y402" t="s">
        <v>192</v>
      </c>
      <c r="Z402" t="s">
        <v>48</v>
      </c>
      <c r="AA402" s="10">
        <f>IF(O402&lt;=1,7,7+0.8*ROUNDUP(O402-1,0))</f>
        <v>7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0.42</v>
      </c>
      <c r="AG402" s="11">
        <f t="shared" si="13"/>
        <v>7.42</v>
      </c>
      <c r="AH402" t="s">
        <v>49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1345</v>
      </c>
      <c r="G403" t="s">
        <v>37</v>
      </c>
      <c r="H403" t="s">
        <v>38</v>
      </c>
      <c r="I403" t="s">
        <v>1346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1</v>
      </c>
      <c r="P403" s="8">
        <v>45237.474583333336</v>
      </c>
      <c r="Q403" s="9">
        <v>45239</v>
      </c>
      <c r="R403" t="s">
        <v>37</v>
      </c>
      <c r="S403" t="s">
        <v>44</v>
      </c>
      <c r="T403" t="s">
        <v>45</v>
      </c>
      <c r="U403" t="s">
        <v>187</v>
      </c>
      <c r="V403" t="s">
        <v>1347</v>
      </c>
      <c r="W403">
        <v>31500</v>
      </c>
      <c r="X403" t="s">
        <v>44</v>
      </c>
      <c r="Y403" t="s">
        <v>1348</v>
      </c>
      <c r="Z403" t="s">
        <v>48</v>
      </c>
      <c r="AA403" s="10">
        <f>IF(O403&lt;=1,7,7+0.8*ROUNDUP(O403-1,0))</f>
        <v>7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0.42</v>
      </c>
      <c r="AG403" s="11">
        <f t="shared" si="13"/>
        <v>7.42</v>
      </c>
      <c r="AH403" t="s">
        <v>49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1349</v>
      </c>
      <c r="G404" t="s">
        <v>37</v>
      </c>
      <c r="H404" t="s">
        <v>38</v>
      </c>
      <c r="I404" t="s">
        <v>1350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1</v>
      </c>
      <c r="P404" s="8">
        <v>45235.58222222222</v>
      </c>
      <c r="Q404" s="9">
        <v>45239</v>
      </c>
      <c r="R404" t="s">
        <v>37</v>
      </c>
      <c r="S404" t="s">
        <v>44</v>
      </c>
      <c r="T404" t="s">
        <v>45</v>
      </c>
      <c r="U404" t="s">
        <v>232</v>
      </c>
      <c r="V404" t="s">
        <v>1351</v>
      </c>
      <c r="W404">
        <v>98000</v>
      </c>
      <c r="X404" t="s">
        <v>228</v>
      </c>
      <c r="Y404" t="s">
        <v>63</v>
      </c>
      <c r="Z404" t="s">
        <v>48</v>
      </c>
      <c r="AA404" s="12">
        <f>IF(O404&lt;=1,13,IF(O404&lt;=2,23,IF(O404&lt;=3,35,IF(O404&lt;=4,43,IF(O404&lt;=5,53,IF(O404&lt;=6,63,IF(O404&lt;=7,71,IF(O404&lt;=8,79,IF(O404&lt;=9,87,IF(O404&lt;=10,95,IF(O404&lt;=11,105,IF(O404&lt;=12,114,IF(O404&lt;=13,119,IF(O404&lt;=14,127,IF(O404&lt;=15,135,IF(O404&lt;=16,143,IF(O404&lt;=17,153,IF(O404&lt;=18,163,IF(O404&lt;=19,171,IF(O404&lt;=20,185,IF(O404&lt;=21,193,IF(O404&lt;=22,201,IF(O404&lt;=23,210,IF(O404&lt;=24,220,IF(O404&lt;=25,230,IF(O404&lt;=26,240,IF(O404&lt;=27,250,IF(O404&lt;=28,260,IF(O404&lt;=29,270,IF(O404&lt;=30,280,280+10*ROUNDUP(O404-30,0)))))))))))))))))))))))))))))))</f>
        <v>13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0.78</v>
      </c>
      <c r="AG404" s="11">
        <f t="shared" si="13"/>
        <v>13.78</v>
      </c>
      <c r="AH404" t="s">
        <v>229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1352</v>
      </c>
      <c r="G405" t="s">
        <v>37</v>
      </c>
      <c r="H405" t="s">
        <v>38</v>
      </c>
      <c r="I405" t="s">
        <v>1353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3</v>
      </c>
      <c r="P405" s="8">
        <v>45238.436469907407</v>
      </c>
      <c r="Q405" s="9">
        <v>45239</v>
      </c>
      <c r="R405" t="s">
        <v>37</v>
      </c>
      <c r="S405" t="s">
        <v>44</v>
      </c>
      <c r="T405" t="s">
        <v>45</v>
      </c>
      <c r="U405" t="s">
        <v>156</v>
      </c>
      <c r="V405" t="s">
        <v>1354</v>
      </c>
      <c r="W405">
        <v>18300</v>
      </c>
      <c r="X405" t="s">
        <v>44</v>
      </c>
      <c r="Y405" t="s">
        <v>145</v>
      </c>
      <c r="Z405" t="s">
        <v>48</v>
      </c>
      <c r="AA405" s="10">
        <f>IF(O405&lt;=1,7,7+0.8*ROUNDUP(O405-1,0))</f>
        <v>8.6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0.51600000000000001</v>
      </c>
      <c r="AG405" s="11">
        <f t="shared" si="13"/>
        <v>9.1159999999999997</v>
      </c>
      <c r="AH405" t="s">
        <v>49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1355</v>
      </c>
      <c r="G406" t="s">
        <v>37</v>
      </c>
      <c r="H406" t="s">
        <v>38</v>
      </c>
      <c r="I406" t="s">
        <v>1356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3</v>
      </c>
      <c r="P406" s="8">
        <v>45237.769201388888</v>
      </c>
      <c r="Q406" s="9">
        <v>45239</v>
      </c>
      <c r="R406" t="s">
        <v>37</v>
      </c>
      <c r="S406" t="s">
        <v>44</v>
      </c>
      <c r="T406" t="s">
        <v>45</v>
      </c>
      <c r="U406" t="s">
        <v>57</v>
      </c>
      <c r="V406" t="s">
        <v>1357</v>
      </c>
      <c r="W406">
        <v>42700</v>
      </c>
      <c r="X406" t="s">
        <v>44</v>
      </c>
      <c r="Y406" t="s">
        <v>865</v>
      </c>
      <c r="Z406" t="s">
        <v>48</v>
      </c>
      <c r="AA406" s="10">
        <f>IF(O406&lt;=1,7,7+0.8*ROUNDUP(O406-1,0))</f>
        <v>8.6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0.51600000000000001</v>
      </c>
      <c r="AG406" s="11">
        <f t="shared" si="13"/>
        <v>9.1159999999999997</v>
      </c>
      <c r="AH406" t="s">
        <v>49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1358</v>
      </c>
      <c r="G407" t="s">
        <v>37</v>
      </c>
      <c r="H407" t="s">
        <v>38</v>
      </c>
      <c r="I407" t="s">
        <v>1359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45238.722037037034</v>
      </c>
      <c r="Q407" s="9">
        <v>45239</v>
      </c>
      <c r="R407" t="s">
        <v>37</v>
      </c>
      <c r="S407" t="s">
        <v>44</v>
      </c>
      <c r="T407" t="s">
        <v>45</v>
      </c>
      <c r="U407" t="s">
        <v>57</v>
      </c>
      <c r="V407" t="s">
        <v>1360</v>
      </c>
      <c r="W407">
        <v>43200</v>
      </c>
      <c r="X407" t="s">
        <v>44</v>
      </c>
      <c r="Y407" t="s">
        <v>215</v>
      </c>
      <c r="Z407" t="s">
        <v>48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49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1361</v>
      </c>
      <c r="G408" t="s">
        <v>37</v>
      </c>
      <c r="H408" t="s">
        <v>38</v>
      </c>
      <c r="I408" t="s">
        <v>244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10</v>
      </c>
      <c r="P408" s="8">
        <v>45236.722395833334</v>
      </c>
      <c r="Q408" s="9">
        <v>45239</v>
      </c>
      <c r="R408" t="s">
        <v>37</v>
      </c>
      <c r="S408" t="s">
        <v>44</v>
      </c>
      <c r="T408" t="s">
        <v>45</v>
      </c>
      <c r="U408" t="s">
        <v>46</v>
      </c>
      <c r="V408" t="s">
        <v>245</v>
      </c>
      <c r="W408">
        <v>39100</v>
      </c>
      <c r="X408" t="s">
        <v>44</v>
      </c>
      <c r="Y408" t="s">
        <v>63</v>
      </c>
      <c r="Z408" t="s">
        <v>48</v>
      </c>
      <c r="AA408" s="10">
        <f>IF(O408&lt;=1,7,7+0.8*ROUNDUP(O408-1,0))</f>
        <v>14.2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0.85199999999999998</v>
      </c>
      <c r="AG408" s="11">
        <f t="shared" si="13"/>
        <v>15.052</v>
      </c>
      <c r="AH408" t="s">
        <v>49</v>
      </c>
    </row>
    <row r="409" spans="1:34" ht="15" customHeight="1" x14ac:dyDescent="0.35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1362</v>
      </c>
      <c r="G409" t="s">
        <v>37</v>
      </c>
      <c r="H409" t="s">
        <v>38</v>
      </c>
      <c r="I409" t="s">
        <v>1144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2</v>
      </c>
      <c r="P409" s="8">
        <v>45237.769201388888</v>
      </c>
      <c r="Q409" s="9">
        <v>45239</v>
      </c>
      <c r="R409" t="s">
        <v>37</v>
      </c>
      <c r="S409" t="s">
        <v>44</v>
      </c>
      <c r="T409" t="s">
        <v>45</v>
      </c>
      <c r="U409" t="s">
        <v>128</v>
      </c>
      <c r="V409" t="s">
        <v>1145</v>
      </c>
      <c r="W409">
        <v>71800</v>
      </c>
      <c r="X409" t="s">
        <v>44</v>
      </c>
      <c r="Y409" t="s">
        <v>1146</v>
      </c>
      <c r="Z409" t="s">
        <v>48</v>
      </c>
      <c r="AA409" s="10">
        <f>IF(O409&lt;=1,7,7+0.8*ROUNDUP(O409-1,0))</f>
        <v>7.8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2"/>
        <v>0.46799999999999997</v>
      </c>
      <c r="AG409" s="11">
        <f t="shared" si="13"/>
        <v>8.2680000000000007</v>
      </c>
      <c r="AH409" t="s">
        <v>49</v>
      </c>
    </row>
    <row r="410" spans="1:34" ht="15" customHeight="1" x14ac:dyDescent="0.35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1363</v>
      </c>
      <c r="G410" t="s">
        <v>37</v>
      </c>
      <c r="H410" t="s">
        <v>38</v>
      </c>
      <c r="I410" t="s">
        <v>1364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3</v>
      </c>
      <c r="P410" s="8">
        <v>45238.436469907407</v>
      </c>
      <c r="Q410" s="9">
        <v>45239</v>
      </c>
      <c r="R410" t="s">
        <v>37</v>
      </c>
      <c r="S410" t="s">
        <v>44</v>
      </c>
      <c r="T410" t="s">
        <v>45</v>
      </c>
      <c r="U410" t="s">
        <v>57</v>
      </c>
      <c r="V410" t="s">
        <v>1365</v>
      </c>
      <c r="W410">
        <v>42200</v>
      </c>
      <c r="X410" t="s">
        <v>44</v>
      </c>
      <c r="Y410" t="s">
        <v>63</v>
      </c>
      <c r="Z410" t="s">
        <v>48</v>
      </c>
      <c r="AA410" s="10">
        <f>IF(O410&lt;=1,7,7+0.8*ROUNDUP(O410-1,0))</f>
        <v>8.6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2"/>
        <v>0.51600000000000001</v>
      </c>
      <c r="AG410" s="11">
        <f t="shared" si="13"/>
        <v>9.1159999999999997</v>
      </c>
      <c r="AH410" t="s">
        <v>49</v>
      </c>
    </row>
    <row r="411" spans="1:34" ht="15" customHeight="1" x14ac:dyDescent="0.35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1366</v>
      </c>
      <c r="G411" t="s">
        <v>37</v>
      </c>
      <c r="H411" t="s">
        <v>38</v>
      </c>
      <c r="I411" t="s">
        <v>1367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4</v>
      </c>
      <c r="P411" s="8">
        <v>45238.74858796296</v>
      </c>
      <c r="Q411" s="9">
        <v>45239</v>
      </c>
      <c r="R411" t="s">
        <v>37</v>
      </c>
      <c r="S411" t="s">
        <v>44</v>
      </c>
      <c r="T411" t="s">
        <v>45</v>
      </c>
      <c r="U411" t="s">
        <v>52</v>
      </c>
      <c r="V411" t="s">
        <v>1368</v>
      </c>
      <c r="W411">
        <v>24000</v>
      </c>
      <c r="X411" t="s">
        <v>44</v>
      </c>
      <c r="Y411" t="s">
        <v>54</v>
      </c>
      <c r="Z411" t="s">
        <v>48</v>
      </c>
      <c r="AA411" s="10">
        <f>IF(O411&lt;=1,7,7+0.8*ROUNDUP(O411-1,0))</f>
        <v>9.4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2"/>
        <v>0.56399999999999995</v>
      </c>
      <c r="AG411" s="11">
        <f t="shared" si="13"/>
        <v>9.9640000000000004</v>
      </c>
      <c r="AH411" t="s">
        <v>49</v>
      </c>
    </row>
    <row r="412" spans="1:34" ht="15" customHeight="1" x14ac:dyDescent="0.35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1369</v>
      </c>
      <c r="G412" t="s">
        <v>37</v>
      </c>
      <c r="H412" t="s">
        <v>38</v>
      </c>
      <c r="I412" t="s">
        <v>1370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1</v>
      </c>
      <c r="P412" s="8">
        <v>45238.550081018519</v>
      </c>
      <c r="Q412" s="9">
        <v>45239</v>
      </c>
      <c r="R412" t="s">
        <v>37</v>
      </c>
      <c r="S412" t="s">
        <v>44</v>
      </c>
      <c r="T412" t="s">
        <v>45</v>
      </c>
      <c r="U412" t="s">
        <v>57</v>
      </c>
      <c r="V412" t="s">
        <v>1371</v>
      </c>
      <c r="W412">
        <v>41200</v>
      </c>
      <c r="X412" t="s">
        <v>44</v>
      </c>
      <c r="Y412" t="s">
        <v>949</v>
      </c>
      <c r="Z412" t="s">
        <v>48</v>
      </c>
      <c r="AA412" s="10">
        <f>IF(O412&lt;=1,7,7+0.8*ROUNDUP(O412-1,0))</f>
        <v>7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2"/>
        <v>0.42</v>
      </c>
      <c r="AG412" s="11">
        <f t="shared" si="13"/>
        <v>7.42</v>
      </c>
      <c r="AH412" t="s">
        <v>49</v>
      </c>
    </row>
    <row r="413" spans="1:34" ht="15" customHeight="1" x14ac:dyDescent="0.35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1372</v>
      </c>
      <c r="G413" t="s">
        <v>37</v>
      </c>
      <c r="H413" t="s">
        <v>38</v>
      </c>
      <c r="I413" t="s">
        <v>1373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1</v>
      </c>
      <c r="P413" s="8">
        <v>45236.779131944444</v>
      </c>
      <c r="Q413" s="9">
        <v>45239</v>
      </c>
      <c r="R413" t="s">
        <v>37</v>
      </c>
      <c r="S413" t="s">
        <v>44</v>
      </c>
      <c r="T413" t="s">
        <v>45</v>
      </c>
      <c r="U413" t="s">
        <v>128</v>
      </c>
      <c r="V413" t="s">
        <v>1374</v>
      </c>
      <c r="W413">
        <v>70450</v>
      </c>
      <c r="X413" t="s">
        <v>44</v>
      </c>
      <c r="Y413" t="s">
        <v>63</v>
      </c>
      <c r="Z413" t="s">
        <v>48</v>
      </c>
      <c r="AA413" s="10">
        <f>IF(O413&lt;=1,7,7+0.8*ROUNDUP(O413-1,0))</f>
        <v>7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2"/>
        <v>0.42</v>
      </c>
      <c r="AG413" s="11">
        <f t="shared" si="13"/>
        <v>7.42</v>
      </c>
      <c r="AH413" t="s">
        <v>49</v>
      </c>
    </row>
    <row r="414" spans="1:34" ht="15" customHeight="1" x14ac:dyDescent="0.35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1375</v>
      </c>
      <c r="G414" t="s">
        <v>37</v>
      </c>
      <c r="H414" t="s">
        <v>38</v>
      </c>
      <c r="I414" t="s">
        <v>1376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1</v>
      </c>
      <c r="P414" s="8">
        <v>45238.550081018519</v>
      </c>
      <c r="Q414" s="9">
        <v>45239</v>
      </c>
      <c r="R414" t="s">
        <v>37</v>
      </c>
      <c r="S414" t="s">
        <v>44</v>
      </c>
      <c r="T414" t="s">
        <v>45</v>
      </c>
      <c r="U414" t="s">
        <v>57</v>
      </c>
      <c r="V414" t="s">
        <v>1377</v>
      </c>
      <c r="W414">
        <v>41200</v>
      </c>
      <c r="X414" t="s">
        <v>44</v>
      </c>
      <c r="Y414" t="s">
        <v>949</v>
      </c>
      <c r="Z414" t="s">
        <v>48</v>
      </c>
      <c r="AA414" s="10">
        <f>IF(O414&lt;=1,7,7+0.8*ROUNDUP(O414-1,0))</f>
        <v>7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2"/>
        <v>0.42</v>
      </c>
      <c r="AG414" s="11">
        <f t="shared" si="13"/>
        <v>7.42</v>
      </c>
      <c r="AH414" t="s">
        <v>49</v>
      </c>
    </row>
    <row r="415" spans="1:34" ht="15" customHeight="1" x14ac:dyDescent="0.35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1378</v>
      </c>
      <c r="G415" t="s">
        <v>37</v>
      </c>
      <c r="H415" t="s">
        <v>38</v>
      </c>
      <c r="I415" t="s">
        <v>1379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2</v>
      </c>
      <c r="P415" s="8">
        <v>45237.747789351852</v>
      </c>
      <c r="Q415" s="9">
        <v>45239</v>
      </c>
      <c r="R415" t="s">
        <v>37</v>
      </c>
      <c r="S415" t="s">
        <v>44</v>
      </c>
      <c r="T415" t="s">
        <v>45</v>
      </c>
      <c r="U415" t="s">
        <v>187</v>
      </c>
      <c r="V415" t="s">
        <v>1380</v>
      </c>
      <c r="W415">
        <v>34850</v>
      </c>
      <c r="X415" t="s">
        <v>44</v>
      </c>
      <c r="Y415" t="s">
        <v>63</v>
      </c>
      <c r="Z415" t="s">
        <v>48</v>
      </c>
      <c r="AA415" s="10">
        <f>IF(O415&lt;=1,7,7+0.8*ROUNDUP(O415-1,0))</f>
        <v>7.8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2"/>
        <v>0.46799999999999997</v>
      </c>
      <c r="AG415" s="11">
        <f t="shared" si="13"/>
        <v>8.2680000000000007</v>
      </c>
      <c r="AH415" t="s">
        <v>49</v>
      </c>
    </row>
    <row r="416" spans="1:34" ht="15" customHeight="1" x14ac:dyDescent="0.35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1381</v>
      </c>
      <c r="G416" t="s">
        <v>37</v>
      </c>
      <c r="H416" t="s">
        <v>38</v>
      </c>
      <c r="I416" t="s">
        <v>1382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1</v>
      </c>
      <c r="P416" s="8">
        <v>45237.748935185184</v>
      </c>
      <c r="Q416" s="9">
        <v>45239</v>
      </c>
      <c r="R416" t="s">
        <v>37</v>
      </c>
      <c r="S416" t="s">
        <v>44</v>
      </c>
      <c r="T416" t="s">
        <v>45</v>
      </c>
      <c r="U416" t="s">
        <v>236</v>
      </c>
      <c r="V416" t="s">
        <v>1383</v>
      </c>
      <c r="W416">
        <v>6300</v>
      </c>
      <c r="X416" t="s">
        <v>44</v>
      </c>
      <c r="Y416" t="s">
        <v>383</v>
      </c>
      <c r="Z416" t="s">
        <v>48</v>
      </c>
      <c r="AA416" s="10">
        <f>IF(O416&lt;=1,7,7+0.8*ROUNDUP(O416-1,0))</f>
        <v>7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2"/>
        <v>0.42</v>
      </c>
      <c r="AG416" s="11">
        <f t="shared" si="13"/>
        <v>7.42</v>
      </c>
      <c r="AH416" t="s">
        <v>49</v>
      </c>
    </row>
    <row r="417" spans="1:34" ht="15" customHeight="1" x14ac:dyDescent="0.35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1384</v>
      </c>
      <c r="G417" t="s">
        <v>37</v>
      </c>
      <c r="H417" t="s">
        <v>38</v>
      </c>
      <c r="I417" t="s">
        <v>1385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2</v>
      </c>
      <c r="P417" s="8">
        <v>45234.694108796299</v>
      </c>
      <c r="Q417" s="9">
        <v>45239</v>
      </c>
      <c r="R417" t="s">
        <v>37</v>
      </c>
      <c r="S417" t="s">
        <v>44</v>
      </c>
      <c r="T417" t="s">
        <v>45</v>
      </c>
      <c r="U417" t="s">
        <v>226</v>
      </c>
      <c r="V417" t="s">
        <v>1386</v>
      </c>
      <c r="W417">
        <v>89500</v>
      </c>
      <c r="X417" t="s">
        <v>228</v>
      </c>
      <c r="Y417" t="s">
        <v>63</v>
      </c>
      <c r="Z417" t="s">
        <v>48</v>
      </c>
      <c r="AA417" s="12">
        <f>IF(O417&lt;=1,13,IF(O417&lt;=2,23,IF(O417&lt;=3,35,IF(O417&lt;=4,43,IF(O417&lt;=5,53,IF(O417&lt;=6,63,IF(O417&lt;=7,71,IF(O417&lt;=8,79,IF(O417&lt;=9,87,IF(O417&lt;=10,95,IF(O417&lt;=11,105,IF(O417&lt;=12,114,IF(O417&lt;=13,119,IF(O417&lt;=14,127,IF(O417&lt;=15,135,IF(O417&lt;=16,143,IF(O417&lt;=17,153,IF(O417&lt;=18,163,IF(O417&lt;=19,171,IF(O417&lt;=20,185,IF(O417&lt;=21,193,IF(O417&lt;=22,201,IF(O417&lt;=23,210,IF(O417&lt;=24,220,IF(O417&lt;=25,230,IF(O417&lt;=26,240,IF(O417&lt;=27,250,IF(O417&lt;=28,260,IF(O417&lt;=29,270,IF(O417&lt;=30,280,280+10*ROUNDUP(O417-30,0)))))))))))))))))))))))))))))))</f>
        <v>23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2"/>
        <v>1.38</v>
      </c>
      <c r="AG417" s="11">
        <f t="shared" si="13"/>
        <v>24.38</v>
      </c>
      <c r="AH417" t="s">
        <v>229</v>
      </c>
    </row>
    <row r="418" spans="1:34" ht="15" customHeight="1" x14ac:dyDescent="0.35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1387</v>
      </c>
      <c r="G418" t="s">
        <v>37</v>
      </c>
      <c r="H418" t="s">
        <v>38</v>
      </c>
      <c r="I418" t="s">
        <v>1388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1</v>
      </c>
      <c r="P418" s="8">
        <v>45238.722037037034</v>
      </c>
      <c r="Q418" s="9">
        <v>45239</v>
      </c>
      <c r="R418" t="s">
        <v>37</v>
      </c>
      <c r="S418" t="s">
        <v>44</v>
      </c>
      <c r="T418" t="s">
        <v>45</v>
      </c>
      <c r="U418" t="s">
        <v>57</v>
      </c>
      <c r="V418" t="s">
        <v>1389</v>
      </c>
      <c r="W418">
        <v>47110</v>
      </c>
      <c r="X418" t="s">
        <v>44</v>
      </c>
      <c r="Y418" t="s">
        <v>63</v>
      </c>
      <c r="Z418" t="s">
        <v>48</v>
      </c>
      <c r="AA418" s="10">
        <f>IF(O418&lt;=1,7,7+0.8*ROUNDUP(O418-1,0))</f>
        <v>7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2"/>
        <v>0.42</v>
      </c>
      <c r="AG418" s="11">
        <f t="shared" si="13"/>
        <v>7.42</v>
      </c>
      <c r="AH418" t="s">
        <v>49</v>
      </c>
    </row>
    <row r="419" spans="1:34" ht="15" customHeight="1" x14ac:dyDescent="0.35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1390</v>
      </c>
      <c r="G419" t="s">
        <v>37</v>
      </c>
      <c r="H419" t="s">
        <v>38</v>
      </c>
      <c r="I419" t="s">
        <v>1391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45236.595462962963</v>
      </c>
      <c r="Q419" s="9">
        <v>45239</v>
      </c>
      <c r="R419" t="s">
        <v>37</v>
      </c>
      <c r="S419" t="s">
        <v>44</v>
      </c>
      <c r="T419" t="s">
        <v>45</v>
      </c>
      <c r="U419" t="s">
        <v>57</v>
      </c>
      <c r="V419" t="s">
        <v>1392</v>
      </c>
      <c r="W419">
        <v>42500</v>
      </c>
      <c r="X419" t="s">
        <v>44</v>
      </c>
      <c r="Y419" t="s">
        <v>337</v>
      </c>
      <c r="Z419" t="s">
        <v>48</v>
      </c>
      <c r="AA419" s="10">
        <f>IF(O419&lt;=1,7,7+0.8*ROUNDUP(O419-1,0))</f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2"/>
        <v>0.42</v>
      </c>
      <c r="AG419" s="11">
        <f t="shared" si="13"/>
        <v>7.42</v>
      </c>
      <c r="AH419" t="s">
        <v>49</v>
      </c>
    </row>
    <row r="420" spans="1:34" ht="15" customHeight="1" x14ac:dyDescent="0.35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1393</v>
      </c>
      <c r="G420" t="s">
        <v>37</v>
      </c>
      <c r="H420" t="s">
        <v>38</v>
      </c>
      <c r="I420" t="s">
        <v>1394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1</v>
      </c>
      <c r="P420" s="8">
        <v>45237.539050925923</v>
      </c>
      <c r="Q420" s="9">
        <v>45239</v>
      </c>
      <c r="R420" t="s">
        <v>37</v>
      </c>
      <c r="S420" t="s">
        <v>44</v>
      </c>
      <c r="T420" t="s">
        <v>45</v>
      </c>
      <c r="U420" t="s">
        <v>236</v>
      </c>
      <c r="V420" t="s">
        <v>1395</v>
      </c>
      <c r="W420">
        <v>8000</v>
      </c>
      <c r="X420" t="s">
        <v>44</v>
      </c>
      <c r="Y420" t="s">
        <v>684</v>
      </c>
      <c r="Z420" t="s">
        <v>48</v>
      </c>
      <c r="AA420" s="10">
        <f>IF(O420&lt;=1,7,7+0.8*ROUNDUP(O420-1,0))</f>
        <v>7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2"/>
        <v>0.42</v>
      </c>
      <c r="AG420" s="11">
        <f t="shared" si="13"/>
        <v>7.42</v>
      </c>
      <c r="AH420" t="s">
        <v>49</v>
      </c>
    </row>
    <row r="421" spans="1:34" ht="15" customHeight="1" x14ac:dyDescent="0.35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1396</v>
      </c>
      <c r="G421" t="s">
        <v>37</v>
      </c>
      <c r="H421" t="s">
        <v>38</v>
      </c>
      <c r="I421" t="s">
        <v>1397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1</v>
      </c>
      <c r="P421" s="8">
        <v>45237.623043981483</v>
      </c>
      <c r="Q421" s="9">
        <v>45239</v>
      </c>
      <c r="R421" t="s">
        <v>37</v>
      </c>
      <c r="S421" t="s">
        <v>44</v>
      </c>
      <c r="T421" t="s">
        <v>45</v>
      </c>
      <c r="U421" t="s">
        <v>236</v>
      </c>
      <c r="V421" t="s">
        <v>1398</v>
      </c>
      <c r="W421">
        <v>9000</v>
      </c>
      <c r="X421" t="s">
        <v>44</v>
      </c>
      <c r="Y421" t="s">
        <v>1089</v>
      </c>
      <c r="Z421" t="s">
        <v>48</v>
      </c>
      <c r="AA421" s="10">
        <f>IF(O421&lt;=1,7,7+0.8*ROUNDUP(O421-1,0))</f>
        <v>7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2"/>
        <v>0.42</v>
      </c>
      <c r="AG421" s="11">
        <f t="shared" si="13"/>
        <v>7.42</v>
      </c>
      <c r="AH421" t="s">
        <v>49</v>
      </c>
    </row>
    <row r="422" spans="1:34" ht="15" customHeight="1" x14ac:dyDescent="0.35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1399</v>
      </c>
      <c r="G422" t="s">
        <v>37</v>
      </c>
      <c r="H422" t="s">
        <v>38</v>
      </c>
      <c r="I422" t="s">
        <v>1400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3</v>
      </c>
      <c r="P422" s="8">
        <v>45237.769201388888</v>
      </c>
      <c r="Q422" s="9">
        <v>45239</v>
      </c>
      <c r="R422" t="s">
        <v>37</v>
      </c>
      <c r="S422" t="s">
        <v>44</v>
      </c>
      <c r="T422" t="s">
        <v>45</v>
      </c>
      <c r="U422" t="s">
        <v>57</v>
      </c>
      <c r="V422" t="s">
        <v>1401</v>
      </c>
      <c r="W422">
        <v>42000</v>
      </c>
      <c r="X422" t="s">
        <v>44</v>
      </c>
      <c r="Y422" t="s">
        <v>969</v>
      </c>
      <c r="Z422" t="s">
        <v>48</v>
      </c>
      <c r="AA422" s="10">
        <f>IF(O422&lt;=1,7,7+0.8*ROUNDUP(O422-1,0))</f>
        <v>8.6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2"/>
        <v>0.51600000000000001</v>
      </c>
      <c r="AG422" s="11">
        <f t="shared" si="13"/>
        <v>9.1159999999999997</v>
      </c>
      <c r="AH422" t="s">
        <v>49</v>
      </c>
    </row>
    <row r="423" spans="1:34" ht="15" customHeight="1" x14ac:dyDescent="0.35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1402</v>
      </c>
      <c r="G423" t="s">
        <v>37</v>
      </c>
      <c r="H423" t="s">
        <v>38</v>
      </c>
      <c r="I423" t="s">
        <v>1403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1</v>
      </c>
      <c r="P423" s="8">
        <v>45237.730636574073</v>
      </c>
      <c r="Q423" s="9">
        <v>45239</v>
      </c>
      <c r="R423" t="s">
        <v>37</v>
      </c>
      <c r="S423" t="s">
        <v>44</v>
      </c>
      <c r="T423" t="s">
        <v>45</v>
      </c>
      <c r="U423" t="s">
        <v>57</v>
      </c>
      <c r="V423" t="s">
        <v>1404</v>
      </c>
      <c r="W423">
        <v>45400</v>
      </c>
      <c r="X423" t="s">
        <v>44</v>
      </c>
      <c r="Y423" t="s">
        <v>63</v>
      </c>
      <c r="Z423" t="s">
        <v>48</v>
      </c>
      <c r="AA423" s="10">
        <f>IF(O423&lt;=1,7,7+0.8*ROUNDUP(O423-1,0))</f>
        <v>7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2"/>
        <v>0.42</v>
      </c>
      <c r="AG423" s="11">
        <f t="shared" si="13"/>
        <v>7.42</v>
      </c>
      <c r="AH423" t="s">
        <v>49</v>
      </c>
    </row>
    <row r="424" spans="1:34" ht="15" customHeight="1" x14ac:dyDescent="0.35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1405</v>
      </c>
      <c r="G424" t="s">
        <v>37</v>
      </c>
      <c r="H424" t="s">
        <v>38</v>
      </c>
      <c r="I424" t="s">
        <v>1183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11</v>
      </c>
      <c r="P424" s="8">
        <v>45238.741388888891</v>
      </c>
      <c r="Q424" s="9">
        <v>45239</v>
      </c>
      <c r="R424" t="s">
        <v>37</v>
      </c>
      <c r="S424" t="s">
        <v>44</v>
      </c>
      <c r="T424" t="s">
        <v>45</v>
      </c>
      <c r="U424" t="s">
        <v>57</v>
      </c>
      <c r="V424" t="s">
        <v>1184</v>
      </c>
      <c r="W424">
        <v>68000</v>
      </c>
      <c r="X424" t="s">
        <v>44</v>
      </c>
      <c r="Y424" t="s">
        <v>164</v>
      </c>
      <c r="Z424" t="s">
        <v>48</v>
      </c>
      <c r="AA424" s="10">
        <f>IF(O424&lt;=1,7,7+0.8*ROUNDUP(O424-1,0))</f>
        <v>15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2"/>
        <v>0.89999999999999991</v>
      </c>
      <c r="AG424" s="11">
        <f t="shared" si="13"/>
        <v>15.9</v>
      </c>
      <c r="AH424" t="s">
        <v>49</v>
      </c>
    </row>
    <row r="425" spans="1:34" ht="15" customHeight="1" x14ac:dyDescent="0.35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1406</v>
      </c>
      <c r="G425" t="s">
        <v>37</v>
      </c>
      <c r="H425" t="s">
        <v>38</v>
      </c>
      <c r="I425" t="s">
        <v>1407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1</v>
      </c>
      <c r="P425" s="8">
        <v>45237.670891203707</v>
      </c>
      <c r="Q425" s="9">
        <v>45239</v>
      </c>
      <c r="R425" t="s">
        <v>37</v>
      </c>
      <c r="S425" t="s">
        <v>44</v>
      </c>
      <c r="T425" t="s">
        <v>45</v>
      </c>
      <c r="U425" t="s">
        <v>882</v>
      </c>
      <c r="V425" t="s">
        <v>1408</v>
      </c>
      <c r="W425">
        <v>2600</v>
      </c>
      <c r="X425" t="s">
        <v>44</v>
      </c>
      <c r="Y425" t="s">
        <v>884</v>
      </c>
      <c r="Z425" t="s">
        <v>48</v>
      </c>
      <c r="AA425" s="10">
        <f>IF(O425&lt;=1,7,7+0.8*ROUNDUP(O425-1,0))</f>
        <v>7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2"/>
        <v>0.42</v>
      </c>
      <c r="AG425" s="11">
        <f t="shared" si="13"/>
        <v>7.42</v>
      </c>
      <c r="AH425" t="s">
        <v>49</v>
      </c>
    </row>
    <row r="426" spans="1:34" ht="15" customHeight="1" x14ac:dyDescent="0.35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1409</v>
      </c>
      <c r="G426" t="s">
        <v>37</v>
      </c>
      <c r="H426" t="s">
        <v>38</v>
      </c>
      <c r="I426" t="s">
        <v>1410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1</v>
      </c>
      <c r="P426" s="8">
        <v>45238.550081018519</v>
      </c>
      <c r="Q426" s="9">
        <v>45239</v>
      </c>
      <c r="R426" t="s">
        <v>37</v>
      </c>
      <c r="S426" t="s">
        <v>44</v>
      </c>
      <c r="T426" t="s">
        <v>45</v>
      </c>
      <c r="U426" t="s">
        <v>57</v>
      </c>
      <c r="V426" t="s">
        <v>1411</v>
      </c>
      <c r="W426">
        <v>68000</v>
      </c>
      <c r="X426" t="s">
        <v>44</v>
      </c>
      <c r="Y426" t="s">
        <v>164</v>
      </c>
      <c r="Z426" t="s">
        <v>48</v>
      </c>
      <c r="AA426" s="10">
        <f>IF(O426&lt;=1,7,7+0.8*ROUNDUP(O426-1,0))</f>
        <v>7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2"/>
        <v>0.42</v>
      </c>
      <c r="AG426" s="11">
        <f t="shared" si="13"/>
        <v>7.42</v>
      </c>
      <c r="AH426" t="s">
        <v>49</v>
      </c>
    </row>
    <row r="427" spans="1:34" ht="15" customHeight="1" x14ac:dyDescent="0.35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1412</v>
      </c>
      <c r="G427" t="s">
        <v>37</v>
      </c>
      <c r="H427" t="s">
        <v>38</v>
      </c>
      <c r="I427" t="s">
        <v>1413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6</v>
      </c>
      <c r="P427" s="8">
        <v>45237.725902777776</v>
      </c>
      <c r="Q427" s="9">
        <v>45239</v>
      </c>
      <c r="R427" t="s">
        <v>37</v>
      </c>
      <c r="S427" t="s">
        <v>44</v>
      </c>
      <c r="T427" t="s">
        <v>45</v>
      </c>
      <c r="U427" t="s">
        <v>89</v>
      </c>
      <c r="V427" t="s">
        <v>1414</v>
      </c>
      <c r="W427">
        <v>81700</v>
      </c>
      <c r="X427" t="s">
        <v>44</v>
      </c>
      <c r="Y427" t="s">
        <v>575</v>
      </c>
      <c r="Z427" t="s">
        <v>48</v>
      </c>
      <c r="AA427" s="10">
        <f>IF(O427&lt;=1,7,7+0.8*ROUNDUP(O427-1,0))</f>
        <v>11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2"/>
        <v>0.65999999999999992</v>
      </c>
      <c r="AG427" s="11">
        <f t="shared" si="13"/>
        <v>11.66</v>
      </c>
      <c r="AH427" t="s">
        <v>49</v>
      </c>
    </row>
    <row r="428" spans="1:34" ht="15" customHeight="1" x14ac:dyDescent="0.35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1415</v>
      </c>
      <c r="G428" t="s">
        <v>37</v>
      </c>
      <c r="H428" t="s">
        <v>38</v>
      </c>
      <c r="I428" t="s">
        <v>1416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1</v>
      </c>
      <c r="P428" s="8">
        <v>45238.436469907407</v>
      </c>
      <c r="Q428" s="9">
        <v>45240</v>
      </c>
      <c r="R428" t="s">
        <v>37</v>
      </c>
      <c r="S428" t="s">
        <v>44</v>
      </c>
      <c r="T428" t="s">
        <v>45</v>
      </c>
      <c r="U428" t="s">
        <v>119</v>
      </c>
      <c r="V428" t="s">
        <v>1417</v>
      </c>
      <c r="W428">
        <v>14000</v>
      </c>
      <c r="X428" t="s">
        <v>44</v>
      </c>
      <c r="Y428" t="s">
        <v>63</v>
      </c>
      <c r="Z428" t="s">
        <v>48</v>
      </c>
      <c r="AA428" s="10">
        <f>IF(O428&lt;=1,7,7+0.8*ROUNDUP(O428-1,0))</f>
        <v>7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2"/>
        <v>0.42</v>
      </c>
      <c r="AG428" s="11">
        <f t="shared" si="13"/>
        <v>7.42</v>
      </c>
      <c r="AH428" t="s">
        <v>49</v>
      </c>
    </row>
    <row r="429" spans="1:34" ht="15" customHeight="1" x14ac:dyDescent="0.35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1418</v>
      </c>
      <c r="G429" t="s">
        <v>37</v>
      </c>
      <c r="H429" t="s">
        <v>38</v>
      </c>
      <c r="I429" t="s">
        <v>1419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1</v>
      </c>
      <c r="P429" s="8">
        <v>45238.550081018519</v>
      </c>
      <c r="Q429" s="9">
        <v>45240</v>
      </c>
      <c r="R429" t="s">
        <v>37</v>
      </c>
      <c r="S429" t="s">
        <v>44</v>
      </c>
      <c r="T429" t="s">
        <v>45</v>
      </c>
      <c r="U429" t="s">
        <v>89</v>
      </c>
      <c r="V429" t="s">
        <v>1420</v>
      </c>
      <c r="W429">
        <v>86800</v>
      </c>
      <c r="X429" t="s">
        <v>44</v>
      </c>
      <c r="Y429" t="s">
        <v>1421</v>
      </c>
      <c r="Z429" t="s">
        <v>48</v>
      </c>
      <c r="AA429" s="10">
        <f>IF(O429&lt;=1,7,7+0.8*ROUNDUP(O429-1,0))</f>
        <v>7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2"/>
        <v>0.42</v>
      </c>
      <c r="AG429" s="11">
        <f t="shared" si="13"/>
        <v>7.42</v>
      </c>
      <c r="AH429" t="s">
        <v>49</v>
      </c>
    </row>
    <row r="430" spans="1:34" ht="15" customHeight="1" x14ac:dyDescent="0.35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1422</v>
      </c>
      <c r="G430" t="s">
        <v>37</v>
      </c>
      <c r="H430" t="s">
        <v>38</v>
      </c>
      <c r="I430" t="s">
        <v>1423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1</v>
      </c>
      <c r="P430" s="8">
        <v>45238.550243055557</v>
      </c>
      <c r="Q430" s="9">
        <v>45240</v>
      </c>
      <c r="R430" t="s">
        <v>37</v>
      </c>
      <c r="S430" t="s">
        <v>44</v>
      </c>
      <c r="T430" t="s">
        <v>45</v>
      </c>
      <c r="U430" t="s">
        <v>187</v>
      </c>
      <c r="V430" t="s">
        <v>1424</v>
      </c>
      <c r="W430">
        <v>30020</v>
      </c>
      <c r="X430" t="s">
        <v>44</v>
      </c>
      <c r="Y430" t="s">
        <v>266</v>
      </c>
      <c r="Z430" t="s">
        <v>48</v>
      </c>
      <c r="AA430" s="10">
        <f>IF(O430&lt;=1,7,7+0.8*ROUNDUP(O430-1,0))</f>
        <v>7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2"/>
        <v>0.42</v>
      </c>
      <c r="AG430" s="11">
        <f t="shared" si="13"/>
        <v>7.42</v>
      </c>
      <c r="AH430" t="s">
        <v>49</v>
      </c>
    </row>
    <row r="431" spans="1:34" ht="15" customHeight="1" x14ac:dyDescent="0.35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1425</v>
      </c>
      <c r="G431" t="s">
        <v>37</v>
      </c>
      <c r="H431" t="s">
        <v>38</v>
      </c>
      <c r="I431" t="s">
        <v>1426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1</v>
      </c>
      <c r="P431" s="8">
        <v>45238.557743055557</v>
      </c>
      <c r="Q431" s="9">
        <v>45240</v>
      </c>
      <c r="R431" t="s">
        <v>37</v>
      </c>
      <c r="S431" t="s">
        <v>44</v>
      </c>
      <c r="T431" t="s">
        <v>45</v>
      </c>
      <c r="U431" t="s">
        <v>236</v>
      </c>
      <c r="V431" t="s">
        <v>1427</v>
      </c>
      <c r="W431">
        <v>8010</v>
      </c>
      <c r="X431" t="s">
        <v>44</v>
      </c>
      <c r="Y431" t="s">
        <v>684</v>
      </c>
      <c r="Z431" t="s">
        <v>48</v>
      </c>
      <c r="AA431" s="10">
        <f>IF(O431&lt;=1,7,7+0.8*ROUNDUP(O431-1,0))</f>
        <v>7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2"/>
        <v>0.42</v>
      </c>
      <c r="AG431" s="11">
        <f t="shared" si="13"/>
        <v>7.42</v>
      </c>
      <c r="AH431" t="s">
        <v>49</v>
      </c>
    </row>
    <row r="432" spans="1:34" ht="15" customHeight="1" x14ac:dyDescent="0.35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1428</v>
      </c>
      <c r="G432" t="s">
        <v>37</v>
      </c>
      <c r="H432" t="s">
        <v>38</v>
      </c>
      <c r="I432" t="s">
        <v>1429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1</v>
      </c>
      <c r="P432" s="8">
        <v>45238.550081018519</v>
      </c>
      <c r="Q432" s="9">
        <v>45240</v>
      </c>
      <c r="R432" t="s">
        <v>37</v>
      </c>
      <c r="S432" t="s">
        <v>44</v>
      </c>
      <c r="T432" t="s">
        <v>45</v>
      </c>
      <c r="U432" t="s">
        <v>89</v>
      </c>
      <c r="V432" t="s">
        <v>1430</v>
      </c>
      <c r="W432">
        <v>86800</v>
      </c>
      <c r="X432" t="s">
        <v>44</v>
      </c>
      <c r="Y432" t="s">
        <v>1421</v>
      </c>
      <c r="Z432" t="s">
        <v>48</v>
      </c>
      <c r="AA432" s="10">
        <f>IF(O432&lt;=1,7,7+0.8*ROUNDUP(O432-1,0))</f>
        <v>7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2"/>
        <v>0.42</v>
      </c>
      <c r="AG432" s="11">
        <f t="shared" si="13"/>
        <v>7.42</v>
      </c>
      <c r="AH432" t="s">
        <v>49</v>
      </c>
    </row>
    <row r="433" spans="1:34" ht="15" customHeight="1" x14ac:dyDescent="0.35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1431</v>
      </c>
      <c r="G433" t="s">
        <v>37</v>
      </c>
      <c r="H433" t="s">
        <v>38</v>
      </c>
      <c r="I433" t="s">
        <v>1432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1</v>
      </c>
      <c r="P433" s="8">
        <v>45238.557743055557</v>
      </c>
      <c r="Q433" s="9">
        <v>45240</v>
      </c>
      <c r="R433" t="s">
        <v>37</v>
      </c>
      <c r="S433" t="s">
        <v>44</v>
      </c>
      <c r="T433" t="s">
        <v>45</v>
      </c>
      <c r="U433" t="s">
        <v>89</v>
      </c>
      <c r="V433" t="s">
        <v>1433</v>
      </c>
      <c r="W433">
        <v>81100</v>
      </c>
      <c r="X433" t="s">
        <v>44</v>
      </c>
      <c r="Y433" t="s">
        <v>125</v>
      </c>
      <c r="Z433" t="s">
        <v>48</v>
      </c>
      <c r="AA433" s="10">
        <f>IF(O433&lt;=1,7,7+0.8*ROUNDUP(O433-1,0))</f>
        <v>7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2"/>
        <v>0.42</v>
      </c>
      <c r="AG433" s="11">
        <f t="shared" si="13"/>
        <v>7.42</v>
      </c>
      <c r="AH433" t="s">
        <v>49</v>
      </c>
    </row>
    <row r="434" spans="1:34" ht="15" customHeight="1" x14ac:dyDescent="0.35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1434</v>
      </c>
      <c r="G434" t="s">
        <v>37</v>
      </c>
      <c r="H434" t="s">
        <v>38</v>
      </c>
      <c r="I434" t="s">
        <v>1435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1</v>
      </c>
      <c r="P434" s="8">
        <v>45239.778182870374</v>
      </c>
      <c r="Q434" s="9">
        <v>45240</v>
      </c>
      <c r="R434" t="s">
        <v>37</v>
      </c>
      <c r="S434" t="s">
        <v>44</v>
      </c>
      <c r="T434" t="s">
        <v>45</v>
      </c>
      <c r="U434" t="s">
        <v>66</v>
      </c>
      <c r="V434" t="s">
        <v>1436</v>
      </c>
      <c r="W434">
        <v>51000</v>
      </c>
      <c r="X434" t="s">
        <v>44</v>
      </c>
      <c r="Y434" t="s">
        <v>63</v>
      </c>
      <c r="Z434" t="s">
        <v>48</v>
      </c>
      <c r="AA434" s="10">
        <f>IF(O434&lt;=1,7,7+0.8*ROUNDUP(O434-1,0))</f>
        <v>7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2"/>
        <v>0.42</v>
      </c>
      <c r="AG434" s="11">
        <f t="shared" si="13"/>
        <v>7.42</v>
      </c>
      <c r="AH434" t="s">
        <v>49</v>
      </c>
    </row>
    <row r="435" spans="1:34" ht="15" customHeight="1" x14ac:dyDescent="0.35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1437</v>
      </c>
      <c r="G435" t="s">
        <v>37</v>
      </c>
      <c r="H435" t="s">
        <v>38</v>
      </c>
      <c r="I435" t="s">
        <v>1438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1</v>
      </c>
      <c r="P435" s="8">
        <v>45239.778171296297</v>
      </c>
      <c r="Q435" s="9">
        <v>45240</v>
      </c>
      <c r="R435" t="s">
        <v>37</v>
      </c>
      <c r="S435" t="s">
        <v>44</v>
      </c>
      <c r="T435" t="s">
        <v>45</v>
      </c>
      <c r="U435" t="s">
        <v>57</v>
      </c>
      <c r="V435" t="s">
        <v>1439</v>
      </c>
      <c r="W435">
        <v>42610</v>
      </c>
      <c r="X435" t="s">
        <v>44</v>
      </c>
      <c r="Y435" t="s">
        <v>63</v>
      </c>
      <c r="Z435" t="s">
        <v>48</v>
      </c>
      <c r="AA435" s="10">
        <f>IF(O435&lt;=1,7,7+0.8*ROUNDUP(O435-1,0))</f>
        <v>7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2"/>
        <v>0.42</v>
      </c>
      <c r="AG435" s="11">
        <f t="shared" si="13"/>
        <v>7.42</v>
      </c>
      <c r="AH435" t="s">
        <v>49</v>
      </c>
    </row>
    <row r="436" spans="1:34" ht="15" customHeight="1" x14ac:dyDescent="0.35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1440</v>
      </c>
      <c r="G436" t="s">
        <v>37</v>
      </c>
      <c r="H436" t="s">
        <v>38</v>
      </c>
      <c r="I436" t="s">
        <v>1441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1</v>
      </c>
      <c r="P436" s="8">
        <v>45239.520902777775</v>
      </c>
      <c r="Q436" s="9">
        <v>45240</v>
      </c>
      <c r="R436" t="s">
        <v>37</v>
      </c>
      <c r="S436" t="s">
        <v>44</v>
      </c>
      <c r="T436" t="s">
        <v>45</v>
      </c>
      <c r="U436" t="s">
        <v>57</v>
      </c>
      <c r="V436" t="s">
        <v>1442</v>
      </c>
      <c r="W436">
        <v>41200</v>
      </c>
      <c r="X436" t="s">
        <v>44</v>
      </c>
      <c r="Y436" t="s">
        <v>949</v>
      </c>
      <c r="Z436" t="s">
        <v>48</v>
      </c>
      <c r="AA436" s="10">
        <f>IF(O436&lt;=1,7,7+0.8*ROUNDUP(O436-1,0))</f>
        <v>7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2"/>
        <v>0.42</v>
      </c>
      <c r="AG436" s="11">
        <f t="shared" si="13"/>
        <v>7.42</v>
      </c>
      <c r="AH436" t="s">
        <v>49</v>
      </c>
    </row>
    <row r="437" spans="1:34" ht="15" customHeight="1" x14ac:dyDescent="0.35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1443</v>
      </c>
      <c r="G437" t="s">
        <v>37</v>
      </c>
      <c r="H437" t="s">
        <v>38</v>
      </c>
      <c r="I437" t="s">
        <v>1444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1</v>
      </c>
      <c r="P437" s="8">
        <v>45238.550081018519</v>
      </c>
      <c r="Q437" s="9">
        <v>45240</v>
      </c>
      <c r="R437" t="s">
        <v>37</v>
      </c>
      <c r="S437" t="s">
        <v>44</v>
      </c>
      <c r="T437" t="s">
        <v>45</v>
      </c>
      <c r="U437" t="s">
        <v>89</v>
      </c>
      <c r="V437" t="s">
        <v>1445</v>
      </c>
      <c r="W437">
        <v>86100</v>
      </c>
      <c r="X437" t="s">
        <v>44</v>
      </c>
      <c r="Y437" t="s">
        <v>357</v>
      </c>
      <c r="Z437" t="s">
        <v>48</v>
      </c>
      <c r="AA437" s="10">
        <f>IF(O437&lt;=1,7,7+0.8*ROUNDUP(O437-1,0))</f>
        <v>7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2"/>
        <v>0.42</v>
      </c>
      <c r="AG437" s="11">
        <f t="shared" si="13"/>
        <v>7.42</v>
      </c>
      <c r="AH437" t="s">
        <v>49</v>
      </c>
    </row>
    <row r="438" spans="1:34" ht="15" customHeight="1" x14ac:dyDescent="0.35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1446</v>
      </c>
      <c r="G438" t="s">
        <v>37</v>
      </c>
      <c r="H438" t="s">
        <v>38</v>
      </c>
      <c r="I438" t="s">
        <v>1447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1</v>
      </c>
      <c r="P438" s="8">
        <v>45239.509687500002</v>
      </c>
      <c r="Q438" s="9">
        <v>45240</v>
      </c>
      <c r="R438" t="s">
        <v>37</v>
      </c>
      <c r="S438" t="s">
        <v>44</v>
      </c>
      <c r="T438" t="s">
        <v>45</v>
      </c>
      <c r="U438" t="s">
        <v>57</v>
      </c>
      <c r="V438" t="s">
        <v>1448</v>
      </c>
      <c r="W438">
        <v>43200</v>
      </c>
      <c r="X438" t="s">
        <v>44</v>
      </c>
      <c r="Y438" t="s">
        <v>480</v>
      </c>
      <c r="Z438" t="s">
        <v>48</v>
      </c>
      <c r="AA438" s="10">
        <f>IF(O438&lt;=1,7,7+0.8*ROUNDUP(O438-1,0))</f>
        <v>7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2"/>
        <v>0.42</v>
      </c>
      <c r="AG438" s="11">
        <f t="shared" si="13"/>
        <v>7.42</v>
      </c>
      <c r="AH438" t="s">
        <v>49</v>
      </c>
    </row>
    <row r="439" spans="1:34" ht="15" customHeight="1" x14ac:dyDescent="0.35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1449</v>
      </c>
      <c r="G439" t="s">
        <v>37</v>
      </c>
      <c r="H439" t="s">
        <v>38</v>
      </c>
      <c r="I439" t="s">
        <v>1450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1</v>
      </c>
      <c r="P439" s="8">
        <v>45239.454861111109</v>
      </c>
      <c r="Q439" s="9">
        <v>45240</v>
      </c>
      <c r="R439" t="s">
        <v>37</v>
      </c>
      <c r="S439" t="s">
        <v>44</v>
      </c>
      <c r="T439" t="s">
        <v>45</v>
      </c>
      <c r="U439" t="s">
        <v>46</v>
      </c>
      <c r="V439" t="s">
        <v>1451</v>
      </c>
      <c r="W439">
        <v>25150</v>
      </c>
      <c r="X439" t="s">
        <v>44</v>
      </c>
      <c r="Y439" t="s">
        <v>45</v>
      </c>
      <c r="Z439" t="s">
        <v>48</v>
      </c>
      <c r="AA439" s="10">
        <f>IF(O439&lt;=1,7,7+0.8*ROUNDUP(O439-1,0))</f>
        <v>7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2"/>
        <v>0.42</v>
      </c>
      <c r="AG439" s="11">
        <f t="shared" si="13"/>
        <v>7.42</v>
      </c>
      <c r="AH439" t="s">
        <v>49</v>
      </c>
    </row>
    <row r="440" spans="1:34" ht="15" customHeight="1" x14ac:dyDescent="0.35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1452</v>
      </c>
      <c r="G440" t="s">
        <v>37</v>
      </c>
      <c r="H440" t="s">
        <v>38</v>
      </c>
      <c r="I440" t="s">
        <v>1453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1</v>
      </c>
      <c r="P440" s="8">
        <v>45239.520902777775</v>
      </c>
      <c r="Q440" s="9">
        <v>45240</v>
      </c>
      <c r="R440" t="s">
        <v>37</v>
      </c>
      <c r="S440" t="s">
        <v>44</v>
      </c>
      <c r="T440" t="s">
        <v>45</v>
      </c>
      <c r="U440" t="s">
        <v>156</v>
      </c>
      <c r="V440" t="s">
        <v>1454</v>
      </c>
      <c r="W440">
        <v>18500</v>
      </c>
      <c r="X440" t="s">
        <v>44</v>
      </c>
      <c r="Y440" t="s">
        <v>145</v>
      </c>
      <c r="Z440" t="s">
        <v>48</v>
      </c>
      <c r="AA440" s="10">
        <f>IF(O440&lt;=1,7,7+0.8*ROUNDUP(O440-1,0))</f>
        <v>7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2"/>
        <v>0.42</v>
      </c>
      <c r="AG440" s="11">
        <f t="shared" si="13"/>
        <v>7.42</v>
      </c>
      <c r="AH440" t="s">
        <v>49</v>
      </c>
    </row>
    <row r="441" spans="1:34" ht="15" customHeight="1" x14ac:dyDescent="0.35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1455</v>
      </c>
      <c r="G441" t="s">
        <v>37</v>
      </c>
      <c r="H441" t="s">
        <v>38</v>
      </c>
      <c r="I441" t="s">
        <v>1456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3</v>
      </c>
      <c r="P441" s="8">
        <v>45238.436469907407</v>
      </c>
      <c r="Q441" s="9">
        <v>45240</v>
      </c>
      <c r="R441" t="s">
        <v>37</v>
      </c>
      <c r="S441" t="s">
        <v>44</v>
      </c>
      <c r="T441" t="s">
        <v>45</v>
      </c>
      <c r="U441" t="s">
        <v>187</v>
      </c>
      <c r="V441" t="s">
        <v>1457</v>
      </c>
      <c r="W441">
        <v>31150</v>
      </c>
      <c r="X441" t="s">
        <v>44</v>
      </c>
      <c r="Y441" t="s">
        <v>63</v>
      </c>
      <c r="Z441" t="s">
        <v>48</v>
      </c>
      <c r="AA441" s="10">
        <f>IF(O441&lt;=1,7,7+0.8*ROUNDUP(O441-1,0))</f>
        <v>8.6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2"/>
        <v>0.51600000000000001</v>
      </c>
      <c r="AG441" s="11">
        <f t="shared" si="13"/>
        <v>9.1159999999999997</v>
      </c>
      <c r="AH441" t="s">
        <v>49</v>
      </c>
    </row>
    <row r="442" spans="1:34" ht="15" customHeight="1" x14ac:dyDescent="0.35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1458</v>
      </c>
      <c r="G442" t="s">
        <v>37</v>
      </c>
      <c r="H442" t="s">
        <v>38</v>
      </c>
      <c r="I442" t="s">
        <v>1459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</v>
      </c>
      <c r="P442" s="8">
        <v>45238.550069444442</v>
      </c>
      <c r="Q442" s="9">
        <v>45240</v>
      </c>
      <c r="R442" t="s">
        <v>37</v>
      </c>
      <c r="S442" t="s">
        <v>44</v>
      </c>
      <c r="T442" t="s">
        <v>45</v>
      </c>
      <c r="U442" t="s">
        <v>236</v>
      </c>
      <c r="V442" t="s">
        <v>1460</v>
      </c>
      <c r="W442">
        <v>6007</v>
      </c>
      <c r="X442" t="s">
        <v>44</v>
      </c>
      <c r="Y442" t="s">
        <v>1004</v>
      </c>
      <c r="Z442" t="s">
        <v>48</v>
      </c>
      <c r="AA442" s="10">
        <f>IF(O442&lt;=1,7,7+0.8*ROUNDUP(O442-1,0))</f>
        <v>7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2"/>
        <v>0.42</v>
      </c>
      <c r="AG442" s="11">
        <f t="shared" si="13"/>
        <v>7.42</v>
      </c>
      <c r="AH442" t="s">
        <v>49</v>
      </c>
    </row>
    <row r="443" spans="1:34" ht="15" customHeight="1" x14ac:dyDescent="0.35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1461</v>
      </c>
      <c r="G443" t="s">
        <v>37</v>
      </c>
      <c r="H443" t="s">
        <v>38</v>
      </c>
      <c r="I443" t="s">
        <v>1462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2</v>
      </c>
      <c r="P443" s="8">
        <v>45238.557743055557</v>
      </c>
      <c r="Q443" s="9">
        <v>45240</v>
      </c>
      <c r="R443" t="s">
        <v>37</v>
      </c>
      <c r="S443" t="s">
        <v>44</v>
      </c>
      <c r="T443" t="s">
        <v>45</v>
      </c>
      <c r="U443" t="s">
        <v>187</v>
      </c>
      <c r="V443" t="s">
        <v>1463</v>
      </c>
      <c r="W443">
        <v>33320</v>
      </c>
      <c r="X443" t="s">
        <v>44</v>
      </c>
      <c r="Y443" t="s">
        <v>1105</v>
      </c>
      <c r="Z443" t="s">
        <v>48</v>
      </c>
      <c r="AA443" s="10">
        <f>IF(O443&lt;=1,7,7+0.8*ROUNDUP(O443-1,0))</f>
        <v>7.8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2"/>
        <v>0.46799999999999997</v>
      </c>
      <c r="AG443" s="11">
        <f t="shared" si="13"/>
        <v>8.2680000000000007</v>
      </c>
      <c r="AH443" t="s">
        <v>49</v>
      </c>
    </row>
    <row r="444" spans="1:34" ht="15" customHeight="1" x14ac:dyDescent="0.35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1464</v>
      </c>
      <c r="G444" t="s">
        <v>37</v>
      </c>
      <c r="H444" t="s">
        <v>38</v>
      </c>
      <c r="I444" t="s">
        <v>881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1</v>
      </c>
      <c r="P444" s="8">
        <v>45238.557743055557</v>
      </c>
      <c r="Q444" s="9">
        <v>45240</v>
      </c>
      <c r="R444" t="s">
        <v>37</v>
      </c>
      <c r="S444" t="s">
        <v>44</v>
      </c>
      <c r="T444" t="s">
        <v>45</v>
      </c>
      <c r="U444" t="s">
        <v>882</v>
      </c>
      <c r="V444" t="s">
        <v>1465</v>
      </c>
      <c r="W444">
        <v>2700</v>
      </c>
      <c r="X444" t="s">
        <v>44</v>
      </c>
      <c r="Y444" t="s">
        <v>884</v>
      </c>
      <c r="Z444" t="s">
        <v>48</v>
      </c>
      <c r="AA444" s="10">
        <f>IF(O444&lt;=1,7,7+0.8*ROUNDUP(O444-1,0))</f>
        <v>7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2"/>
        <v>0.42</v>
      </c>
      <c r="AG444" s="11">
        <f t="shared" si="13"/>
        <v>7.42</v>
      </c>
      <c r="AH444" t="s">
        <v>49</v>
      </c>
    </row>
    <row r="445" spans="1:34" ht="15" customHeight="1" x14ac:dyDescent="0.35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1466</v>
      </c>
      <c r="G445" t="s">
        <v>37</v>
      </c>
      <c r="H445" t="s">
        <v>38</v>
      </c>
      <c r="I445" t="s">
        <v>1467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3</v>
      </c>
      <c r="P445" s="8">
        <v>45238.436469907407</v>
      </c>
      <c r="Q445" s="9">
        <v>45240</v>
      </c>
      <c r="R445" t="s">
        <v>37</v>
      </c>
      <c r="S445" t="s">
        <v>44</v>
      </c>
      <c r="T445" t="s">
        <v>45</v>
      </c>
      <c r="U445" t="s">
        <v>89</v>
      </c>
      <c r="V445" t="s">
        <v>1468</v>
      </c>
      <c r="W445">
        <v>82200</v>
      </c>
      <c r="X445" t="s">
        <v>44</v>
      </c>
      <c r="Y445" t="s">
        <v>910</v>
      </c>
      <c r="Z445" t="s">
        <v>48</v>
      </c>
      <c r="AA445" s="10">
        <f>IF(O445&lt;=1,7,7+0.8*ROUNDUP(O445-1,0))</f>
        <v>8.6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2"/>
        <v>0.51600000000000001</v>
      </c>
      <c r="AG445" s="11">
        <f t="shared" si="13"/>
        <v>9.1159999999999997</v>
      </c>
      <c r="AH445" t="s">
        <v>49</v>
      </c>
    </row>
    <row r="446" spans="1:34" ht="15" customHeight="1" x14ac:dyDescent="0.35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1469</v>
      </c>
      <c r="G446" t="s">
        <v>37</v>
      </c>
      <c r="H446" t="s">
        <v>38</v>
      </c>
      <c r="I446" t="s">
        <v>1470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1</v>
      </c>
      <c r="P446" s="8">
        <v>45237.816712962966</v>
      </c>
      <c r="Q446" s="9">
        <v>45240</v>
      </c>
      <c r="R446" t="s">
        <v>37</v>
      </c>
      <c r="S446" t="s">
        <v>44</v>
      </c>
      <c r="T446" t="s">
        <v>45</v>
      </c>
      <c r="U446" t="s">
        <v>89</v>
      </c>
      <c r="V446" t="s">
        <v>1471</v>
      </c>
      <c r="W446">
        <v>81110</v>
      </c>
      <c r="X446" t="s">
        <v>44</v>
      </c>
      <c r="Y446" t="s">
        <v>63</v>
      </c>
      <c r="Z446" t="s">
        <v>48</v>
      </c>
      <c r="AA446" s="10">
        <f>IF(O446&lt;=1,7,7+0.8*ROUNDUP(O446-1,0))</f>
        <v>7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2"/>
        <v>0.42</v>
      </c>
      <c r="AG446" s="11">
        <f t="shared" si="13"/>
        <v>7.42</v>
      </c>
      <c r="AH446" t="s">
        <v>49</v>
      </c>
    </row>
    <row r="447" spans="1:34" ht="15" customHeight="1" x14ac:dyDescent="0.35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1472</v>
      </c>
      <c r="G447" t="s">
        <v>37</v>
      </c>
      <c r="H447" t="s">
        <v>38</v>
      </c>
      <c r="I447" t="s">
        <v>1473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3</v>
      </c>
      <c r="P447" s="8">
        <v>45239.752268518518</v>
      </c>
      <c r="Q447" s="9">
        <v>45240</v>
      </c>
      <c r="R447" t="s">
        <v>37</v>
      </c>
      <c r="S447" t="s">
        <v>44</v>
      </c>
      <c r="T447" t="s">
        <v>45</v>
      </c>
      <c r="U447" t="s">
        <v>66</v>
      </c>
      <c r="V447" t="s">
        <v>1474</v>
      </c>
      <c r="W447">
        <v>60000</v>
      </c>
      <c r="X447" t="s">
        <v>44</v>
      </c>
      <c r="Y447" t="s">
        <v>484</v>
      </c>
      <c r="Z447" t="s">
        <v>48</v>
      </c>
      <c r="AA447" s="10">
        <f>IF(O447&lt;=1,7,7+0.8*ROUNDUP(O447-1,0))</f>
        <v>8.6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2"/>
        <v>0.51600000000000001</v>
      </c>
      <c r="AG447" s="11">
        <f t="shared" si="13"/>
        <v>9.1159999999999997</v>
      </c>
      <c r="AH447" t="s">
        <v>49</v>
      </c>
    </row>
    <row r="448" spans="1:34" ht="15" customHeight="1" x14ac:dyDescent="0.35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1475</v>
      </c>
      <c r="G448" t="s">
        <v>37</v>
      </c>
      <c r="H448" t="s">
        <v>38</v>
      </c>
      <c r="I448" t="s">
        <v>1476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1</v>
      </c>
      <c r="P448" s="8">
        <v>45239.695532407408</v>
      </c>
      <c r="Q448" s="9">
        <v>45240</v>
      </c>
      <c r="R448" t="s">
        <v>37</v>
      </c>
      <c r="S448" t="s">
        <v>44</v>
      </c>
      <c r="T448" t="s">
        <v>45</v>
      </c>
      <c r="U448" t="s">
        <v>57</v>
      </c>
      <c r="V448" t="s">
        <v>1477</v>
      </c>
      <c r="W448">
        <v>43650</v>
      </c>
      <c r="X448" t="s">
        <v>44</v>
      </c>
      <c r="Y448" t="s">
        <v>63</v>
      </c>
      <c r="Z448" t="s">
        <v>48</v>
      </c>
      <c r="AA448" s="10">
        <f>IF(O448&lt;=1,7,7+0.8*ROUNDUP(O448-1,0))</f>
        <v>7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2"/>
        <v>0.42</v>
      </c>
      <c r="AG448" s="11">
        <f t="shared" si="13"/>
        <v>7.42</v>
      </c>
      <c r="AH448" t="s">
        <v>49</v>
      </c>
    </row>
    <row r="449" spans="1:34" ht="15" customHeight="1" x14ac:dyDescent="0.35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1478</v>
      </c>
      <c r="G449" t="s">
        <v>37</v>
      </c>
      <c r="H449" t="s">
        <v>38</v>
      </c>
      <c r="I449" t="s">
        <v>1479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1</v>
      </c>
      <c r="P449" s="8">
        <v>45239.454861111109</v>
      </c>
      <c r="Q449" s="9">
        <v>45240</v>
      </c>
      <c r="R449" t="s">
        <v>37</v>
      </c>
      <c r="S449" t="s">
        <v>44</v>
      </c>
      <c r="T449" t="s">
        <v>45</v>
      </c>
      <c r="U449" t="s">
        <v>46</v>
      </c>
      <c r="V449" t="s">
        <v>1480</v>
      </c>
      <c r="W449">
        <v>28050</v>
      </c>
      <c r="X449" t="s">
        <v>44</v>
      </c>
      <c r="Y449" t="s">
        <v>45</v>
      </c>
      <c r="Z449" t="s">
        <v>48</v>
      </c>
      <c r="AA449" s="10">
        <f>IF(O449&lt;=1,7,7+0.8*ROUNDUP(O449-1,0))</f>
        <v>7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2"/>
        <v>0.42</v>
      </c>
      <c r="AG449" s="11">
        <f t="shared" si="13"/>
        <v>7.42</v>
      </c>
      <c r="AH449" t="s">
        <v>49</v>
      </c>
    </row>
    <row r="450" spans="1:34" ht="15" customHeight="1" x14ac:dyDescent="0.35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1481</v>
      </c>
      <c r="G450" t="s">
        <v>37</v>
      </c>
      <c r="H450" t="s">
        <v>38</v>
      </c>
      <c r="I450" t="s">
        <v>1482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45239.778171296297</v>
      </c>
      <c r="Q450" s="9">
        <v>45240</v>
      </c>
      <c r="R450" t="s">
        <v>37</v>
      </c>
      <c r="S450" t="s">
        <v>44</v>
      </c>
      <c r="T450" t="s">
        <v>45</v>
      </c>
      <c r="U450" t="s">
        <v>66</v>
      </c>
      <c r="V450" t="s">
        <v>1483</v>
      </c>
      <c r="W450">
        <v>57000</v>
      </c>
      <c r="X450" t="s">
        <v>44</v>
      </c>
      <c r="Y450" t="s">
        <v>398</v>
      </c>
      <c r="Z450" t="s">
        <v>48</v>
      </c>
      <c r="AA450" s="10">
        <f>IF(O450&lt;=1,7,7+0.8*ROUNDUP(O450-1,0))</f>
        <v>7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14">(AA450+AC450+AE450)*6%</f>
        <v>0.42</v>
      </c>
      <c r="AG450" s="11">
        <f t="shared" ref="AG450:AG513" si="15">AA450+AC450+AE450+AF450</f>
        <v>7.42</v>
      </c>
      <c r="AH450" t="s">
        <v>49</v>
      </c>
    </row>
    <row r="451" spans="1:34" ht="15" customHeight="1" x14ac:dyDescent="0.35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1484</v>
      </c>
      <c r="G451" t="s">
        <v>37</v>
      </c>
      <c r="H451" t="s">
        <v>38</v>
      </c>
      <c r="I451" t="s">
        <v>1485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45238.557743055557</v>
      </c>
      <c r="Q451" s="9">
        <v>45240</v>
      </c>
      <c r="R451" t="s">
        <v>37</v>
      </c>
      <c r="S451" t="s">
        <v>44</v>
      </c>
      <c r="T451" t="s">
        <v>45</v>
      </c>
      <c r="U451" t="s">
        <v>187</v>
      </c>
      <c r="V451" t="s">
        <v>1486</v>
      </c>
      <c r="W451">
        <v>33320</v>
      </c>
      <c r="X451" t="s">
        <v>44</v>
      </c>
      <c r="Y451" t="s">
        <v>1105</v>
      </c>
      <c r="Z451" t="s">
        <v>48</v>
      </c>
      <c r="AA451" s="10">
        <f>IF(O451&lt;=1,7,7+0.8*ROUNDUP(O451-1,0))</f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4"/>
        <v>0.42</v>
      </c>
      <c r="AG451" s="11">
        <f t="shared" si="15"/>
        <v>7.42</v>
      </c>
      <c r="AH451" t="s">
        <v>49</v>
      </c>
    </row>
    <row r="452" spans="1:34" ht="15" customHeight="1" x14ac:dyDescent="0.35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1487</v>
      </c>
      <c r="G452" t="s">
        <v>37</v>
      </c>
      <c r="H452" t="s">
        <v>38</v>
      </c>
      <c r="I452" t="s">
        <v>1488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1</v>
      </c>
      <c r="P452" s="8">
        <v>45239.702233796299</v>
      </c>
      <c r="Q452" s="9">
        <v>45240</v>
      </c>
      <c r="R452" t="s">
        <v>37</v>
      </c>
      <c r="S452" t="s">
        <v>44</v>
      </c>
      <c r="T452" t="s">
        <v>45</v>
      </c>
      <c r="U452" t="s">
        <v>52</v>
      </c>
      <c r="V452" t="s">
        <v>1489</v>
      </c>
      <c r="W452">
        <v>22000</v>
      </c>
      <c r="X452" t="s">
        <v>44</v>
      </c>
      <c r="Y452" t="s">
        <v>145</v>
      </c>
      <c r="Z452" t="s">
        <v>48</v>
      </c>
      <c r="AA452" s="10">
        <f>IF(O452&lt;=1,7,7+0.8*ROUNDUP(O452-1,0))</f>
        <v>7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4"/>
        <v>0.42</v>
      </c>
      <c r="AG452" s="11">
        <f t="shared" si="15"/>
        <v>7.42</v>
      </c>
      <c r="AH452" t="s">
        <v>49</v>
      </c>
    </row>
    <row r="453" spans="1:34" ht="15" customHeight="1" x14ac:dyDescent="0.35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1490</v>
      </c>
      <c r="G453" t="s">
        <v>37</v>
      </c>
      <c r="H453" t="s">
        <v>38</v>
      </c>
      <c r="I453" t="s">
        <v>1491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1</v>
      </c>
      <c r="P453" s="8">
        <v>45239.752268518518</v>
      </c>
      <c r="Q453" s="9">
        <v>45240</v>
      </c>
      <c r="R453" t="s">
        <v>37</v>
      </c>
      <c r="S453" t="s">
        <v>44</v>
      </c>
      <c r="T453" t="s">
        <v>45</v>
      </c>
      <c r="U453" t="s">
        <v>66</v>
      </c>
      <c r="V453" t="s">
        <v>1492</v>
      </c>
      <c r="W453">
        <v>47800</v>
      </c>
      <c r="X453" t="s">
        <v>44</v>
      </c>
      <c r="Y453" t="s">
        <v>484</v>
      </c>
      <c r="Z453" t="s">
        <v>48</v>
      </c>
      <c r="AA453" s="10">
        <f>IF(O453&lt;=1,7,7+0.8*ROUNDUP(O453-1,0))</f>
        <v>7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4"/>
        <v>0.42</v>
      </c>
      <c r="AG453" s="11">
        <f t="shared" si="15"/>
        <v>7.42</v>
      </c>
      <c r="AH453" t="s">
        <v>49</v>
      </c>
    </row>
    <row r="454" spans="1:34" ht="15" customHeight="1" x14ac:dyDescent="0.35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1493</v>
      </c>
      <c r="G454" t="s">
        <v>37</v>
      </c>
      <c r="H454" t="s">
        <v>38</v>
      </c>
      <c r="I454" t="s">
        <v>1494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1</v>
      </c>
      <c r="P454" s="8">
        <v>45238.550081018519</v>
      </c>
      <c r="Q454" s="9">
        <v>45240</v>
      </c>
      <c r="R454" t="s">
        <v>37</v>
      </c>
      <c r="S454" t="s">
        <v>44</v>
      </c>
      <c r="T454" t="s">
        <v>45</v>
      </c>
      <c r="U454" t="s">
        <v>89</v>
      </c>
      <c r="V454" t="s">
        <v>1495</v>
      </c>
      <c r="W454">
        <v>81200</v>
      </c>
      <c r="X454" t="s">
        <v>44</v>
      </c>
      <c r="Y454" t="s">
        <v>746</v>
      </c>
      <c r="Z454" t="s">
        <v>48</v>
      </c>
      <c r="AA454" s="10">
        <f>IF(O454&lt;=1,7,7+0.8*ROUNDUP(O454-1,0))</f>
        <v>7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4"/>
        <v>0.42</v>
      </c>
      <c r="AG454" s="11">
        <f t="shared" si="15"/>
        <v>7.42</v>
      </c>
      <c r="AH454" t="s">
        <v>49</v>
      </c>
    </row>
    <row r="455" spans="1:34" ht="15" customHeight="1" x14ac:dyDescent="0.35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1496</v>
      </c>
      <c r="G455" t="s">
        <v>37</v>
      </c>
      <c r="H455" t="s">
        <v>38</v>
      </c>
      <c r="I455" t="s">
        <v>1497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1</v>
      </c>
      <c r="P455" s="8">
        <v>45238.447743055556</v>
      </c>
      <c r="Q455" s="9">
        <v>45241</v>
      </c>
      <c r="R455" t="s">
        <v>37</v>
      </c>
      <c r="S455" t="s">
        <v>44</v>
      </c>
      <c r="T455" t="s">
        <v>45</v>
      </c>
      <c r="U455" t="s">
        <v>226</v>
      </c>
      <c r="V455" t="s">
        <v>1498</v>
      </c>
      <c r="W455">
        <v>89608</v>
      </c>
      <c r="X455" t="s">
        <v>228</v>
      </c>
      <c r="Y455" t="s">
        <v>63</v>
      </c>
      <c r="Z455" t="s">
        <v>48</v>
      </c>
      <c r="AA455" s="12">
        <f>IF(O455&lt;=1,13,IF(O455&lt;=2,23,IF(O455&lt;=3,35,IF(O455&lt;=4,43,IF(O455&lt;=5,53,IF(O455&lt;=6,63,IF(O455&lt;=7,71,IF(O455&lt;=8,79,IF(O455&lt;=9,87,IF(O455&lt;=10,95,IF(O455&lt;=11,105,IF(O455&lt;=12,114,IF(O455&lt;=13,119,IF(O455&lt;=14,127,IF(O455&lt;=15,135,IF(O455&lt;=16,143,IF(O455&lt;=17,153,IF(O455&lt;=18,163,IF(O455&lt;=19,171,IF(O455&lt;=20,185,IF(O455&lt;=21,193,IF(O455&lt;=22,201,IF(O455&lt;=23,210,IF(O455&lt;=24,220,IF(O455&lt;=25,230,IF(O455&lt;=26,240,IF(O455&lt;=27,250,IF(O455&lt;=28,260,IF(O455&lt;=29,270,IF(O455&lt;=30,280,280+10*ROUNDUP(O455-30,0)))))))))))))))))))))))))))))))</f>
        <v>13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4"/>
        <v>0.78</v>
      </c>
      <c r="AG455" s="11">
        <f t="shared" si="15"/>
        <v>13.78</v>
      </c>
      <c r="AH455" t="s">
        <v>229</v>
      </c>
    </row>
    <row r="456" spans="1:34" ht="15" customHeight="1" x14ac:dyDescent="0.35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1499</v>
      </c>
      <c r="G456" t="s">
        <v>37</v>
      </c>
      <c r="H456" t="s">
        <v>38</v>
      </c>
      <c r="I456" t="s">
        <v>1500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1</v>
      </c>
      <c r="P456" s="8">
        <v>45239.636030092595</v>
      </c>
      <c r="Q456" s="9">
        <v>45241</v>
      </c>
      <c r="R456" t="s">
        <v>37</v>
      </c>
      <c r="S456" t="s">
        <v>44</v>
      </c>
      <c r="T456" t="s">
        <v>45</v>
      </c>
      <c r="U456" t="s">
        <v>156</v>
      </c>
      <c r="V456" t="s">
        <v>1501</v>
      </c>
      <c r="W456">
        <v>17500</v>
      </c>
      <c r="X456" t="s">
        <v>44</v>
      </c>
      <c r="Y456" t="s">
        <v>145</v>
      </c>
      <c r="Z456" t="s">
        <v>48</v>
      </c>
      <c r="AA456" s="10">
        <f>IF(O456&lt;=1,7,7+0.8*ROUNDUP(O456-1,0))</f>
        <v>7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4"/>
        <v>0.42</v>
      </c>
      <c r="AG456" s="11">
        <f t="shared" si="15"/>
        <v>7.42</v>
      </c>
      <c r="AH456" t="s">
        <v>49</v>
      </c>
    </row>
    <row r="457" spans="1:34" ht="15" customHeight="1" x14ac:dyDescent="0.35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1502</v>
      </c>
      <c r="G457" t="s">
        <v>37</v>
      </c>
      <c r="H457" t="s">
        <v>38</v>
      </c>
      <c r="I457" t="s">
        <v>1503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2</v>
      </c>
      <c r="P457" s="8">
        <v>45238.550069444442</v>
      </c>
      <c r="Q457" s="9">
        <v>45241</v>
      </c>
      <c r="R457" t="s">
        <v>37</v>
      </c>
      <c r="S457" t="s">
        <v>44</v>
      </c>
      <c r="T457" t="s">
        <v>45</v>
      </c>
      <c r="U457" t="s">
        <v>1504</v>
      </c>
      <c r="V457" t="s">
        <v>1505</v>
      </c>
      <c r="W457">
        <v>87000</v>
      </c>
      <c r="X457" t="s">
        <v>228</v>
      </c>
      <c r="Y457" t="s">
        <v>1506</v>
      </c>
      <c r="Z457" t="s">
        <v>48</v>
      </c>
      <c r="AA457" s="12">
        <f>IF(O457&lt;=1,13,IF(O457&lt;=2,23,IF(O457&lt;=3,35,IF(O457&lt;=4,43,IF(O457&lt;=5,53,IF(O457&lt;=6,63,IF(O457&lt;=7,71,IF(O457&lt;=8,79,IF(O457&lt;=9,87,IF(O457&lt;=10,95,IF(O457&lt;=11,105,IF(O457&lt;=12,114,IF(O457&lt;=13,119,IF(O457&lt;=14,127,IF(O457&lt;=15,135,IF(O457&lt;=16,143,IF(O457&lt;=17,153,IF(O457&lt;=18,163,IF(O457&lt;=19,171,IF(O457&lt;=20,185,IF(O457&lt;=21,193,IF(O457&lt;=22,201,IF(O457&lt;=23,210,IF(O457&lt;=24,220,IF(O457&lt;=25,230,IF(O457&lt;=26,240,IF(O457&lt;=27,250,IF(O457&lt;=28,260,IF(O457&lt;=29,270,IF(O457&lt;=30,280,280+10*ROUNDUP(O457-30,0)))))))))))))))))))))))))))))))</f>
        <v>23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4"/>
        <v>1.38</v>
      </c>
      <c r="AG457" s="11">
        <f t="shared" si="15"/>
        <v>24.38</v>
      </c>
      <c r="AH457" t="s">
        <v>229</v>
      </c>
    </row>
    <row r="458" spans="1:34" ht="15" customHeight="1" x14ac:dyDescent="0.35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1507</v>
      </c>
      <c r="G458" t="s">
        <v>37</v>
      </c>
      <c r="H458" t="s">
        <v>38</v>
      </c>
      <c r="I458" t="s">
        <v>1508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1</v>
      </c>
      <c r="P458" s="8">
        <v>45239.474050925928</v>
      </c>
      <c r="Q458" s="9">
        <v>45241</v>
      </c>
      <c r="R458" t="s">
        <v>37</v>
      </c>
      <c r="S458" t="s">
        <v>44</v>
      </c>
      <c r="T458" t="s">
        <v>45</v>
      </c>
      <c r="U458" t="s">
        <v>187</v>
      </c>
      <c r="V458" t="s">
        <v>1509</v>
      </c>
      <c r="W458">
        <v>31500</v>
      </c>
      <c r="X458" t="s">
        <v>44</v>
      </c>
      <c r="Y458" t="s">
        <v>1348</v>
      </c>
      <c r="Z458" t="s">
        <v>48</v>
      </c>
      <c r="AA458" s="10">
        <f>IF(O458&lt;=1,7,7+0.8*ROUNDUP(O458-1,0))</f>
        <v>7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4"/>
        <v>0.42</v>
      </c>
      <c r="AG458" s="11">
        <f t="shared" si="15"/>
        <v>7.42</v>
      </c>
      <c r="AH458" t="s">
        <v>49</v>
      </c>
    </row>
    <row r="459" spans="1:34" ht="15" customHeight="1" x14ac:dyDescent="0.35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1510</v>
      </c>
      <c r="G459" t="s">
        <v>37</v>
      </c>
      <c r="H459" t="s">
        <v>38</v>
      </c>
      <c r="I459" t="s">
        <v>244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9</v>
      </c>
      <c r="P459" s="8">
        <v>45239.683159722219</v>
      </c>
      <c r="Q459" s="9">
        <v>45241</v>
      </c>
      <c r="R459" t="s">
        <v>37</v>
      </c>
      <c r="S459" t="s">
        <v>44</v>
      </c>
      <c r="T459" t="s">
        <v>45</v>
      </c>
      <c r="U459" t="s">
        <v>46</v>
      </c>
      <c r="V459" t="s">
        <v>245</v>
      </c>
      <c r="W459">
        <v>39100</v>
      </c>
      <c r="X459" t="s">
        <v>44</v>
      </c>
      <c r="Y459" t="s">
        <v>246</v>
      </c>
      <c r="Z459" t="s">
        <v>48</v>
      </c>
      <c r="AA459" s="10">
        <f>IF(O459&lt;=1,7,7+0.8*ROUNDUP(O459-1,0))</f>
        <v>13.4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4"/>
        <v>0.80399999999999994</v>
      </c>
      <c r="AG459" s="11">
        <f t="shared" si="15"/>
        <v>14.204000000000001</v>
      </c>
      <c r="AH459" t="s">
        <v>49</v>
      </c>
    </row>
    <row r="460" spans="1:34" ht="15" customHeight="1" x14ac:dyDescent="0.35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1511</v>
      </c>
      <c r="G460" t="s">
        <v>37</v>
      </c>
      <c r="H460" t="s">
        <v>38</v>
      </c>
      <c r="I460" t="s">
        <v>1307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45239.500486111108</v>
      </c>
      <c r="Q460" s="9">
        <v>45241</v>
      </c>
      <c r="R460" t="s">
        <v>37</v>
      </c>
      <c r="S460" t="s">
        <v>44</v>
      </c>
      <c r="T460" t="s">
        <v>45</v>
      </c>
      <c r="U460" t="s">
        <v>57</v>
      </c>
      <c r="V460" t="s">
        <v>1512</v>
      </c>
      <c r="W460">
        <v>43500</v>
      </c>
      <c r="X460" t="s">
        <v>44</v>
      </c>
      <c r="Y460" t="s">
        <v>1028</v>
      </c>
      <c r="Z460" t="s">
        <v>48</v>
      </c>
      <c r="AA460" s="10">
        <f>IF(O460&lt;=1,7,7+0.8*ROUNDUP(O460-1,0))</f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4"/>
        <v>0.42</v>
      </c>
      <c r="AG460" s="11">
        <f t="shared" si="15"/>
        <v>7.42</v>
      </c>
      <c r="AH460" t="s">
        <v>49</v>
      </c>
    </row>
    <row r="461" spans="1:34" ht="15" customHeight="1" x14ac:dyDescent="0.35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1513</v>
      </c>
      <c r="G461" t="s">
        <v>37</v>
      </c>
      <c r="H461" t="s">
        <v>38</v>
      </c>
      <c r="I461" t="s">
        <v>1514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1</v>
      </c>
      <c r="P461" s="8">
        <v>45239.778171296297</v>
      </c>
      <c r="Q461" s="9">
        <v>45241</v>
      </c>
      <c r="R461" t="s">
        <v>37</v>
      </c>
      <c r="S461" t="s">
        <v>44</v>
      </c>
      <c r="T461" t="s">
        <v>45</v>
      </c>
      <c r="U461" t="s">
        <v>236</v>
      </c>
      <c r="V461" t="s">
        <v>1515</v>
      </c>
      <c r="W461">
        <v>6010</v>
      </c>
      <c r="X461" t="s">
        <v>44</v>
      </c>
      <c r="Y461" t="s">
        <v>63</v>
      </c>
      <c r="Z461" t="s">
        <v>48</v>
      </c>
      <c r="AA461" s="10">
        <f>IF(O461&lt;=1,7,7+0.8*ROUNDUP(O461-1,0))</f>
        <v>7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4"/>
        <v>0.42</v>
      </c>
      <c r="AG461" s="11">
        <f t="shared" si="15"/>
        <v>7.42</v>
      </c>
      <c r="AH461" t="s">
        <v>49</v>
      </c>
    </row>
    <row r="462" spans="1:34" ht="15" customHeight="1" x14ac:dyDescent="0.35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1516</v>
      </c>
      <c r="G462" t="s">
        <v>37</v>
      </c>
      <c r="H462" t="s">
        <v>38</v>
      </c>
      <c r="I462" t="s">
        <v>1517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1</v>
      </c>
      <c r="P462" s="8">
        <v>45239.778171296297</v>
      </c>
      <c r="Q462" s="9">
        <v>45241</v>
      </c>
      <c r="R462" t="s">
        <v>37</v>
      </c>
      <c r="S462" t="s">
        <v>44</v>
      </c>
      <c r="T462" t="s">
        <v>45</v>
      </c>
      <c r="U462" t="s">
        <v>128</v>
      </c>
      <c r="V462" t="s">
        <v>1518</v>
      </c>
      <c r="W462">
        <v>71750</v>
      </c>
      <c r="X462" t="s">
        <v>44</v>
      </c>
      <c r="Y462" t="s">
        <v>1146</v>
      </c>
      <c r="Z462" t="s">
        <v>48</v>
      </c>
      <c r="AA462" s="10">
        <f>IF(O462&lt;=1,7,7+0.8*ROUNDUP(O462-1,0))</f>
        <v>7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4"/>
        <v>0.42</v>
      </c>
      <c r="AG462" s="11">
        <f t="shared" si="15"/>
        <v>7.42</v>
      </c>
      <c r="AH462" t="s">
        <v>49</v>
      </c>
    </row>
    <row r="463" spans="1:34" ht="15" customHeight="1" x14ac:dyDescent="0.35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1519</v>
      </c>
      <c r="G463" t="s">
        <v>37</v>
      </c>
      <c r="H463" t="s">
        <v>38</v>
      </c>
      <c r="I463" t="s">
        <v>1520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1</v>
      </c>
      <c r="P463" s="8">
        <v>45239.778310185182</v>
      </c>
      <c r="Q463" s="9">
        <v>45241</v>
      </c>
      <c r="R463" t="s">
        <v>37</v>
      </c>
      <c r="S463" t="s">
        <v>44</v>
      </c>
      <c r="T463" t="s">
        <v>45</v>
      </c>
      <c r="U463" t="s">
        <v>89</v>
      </c>
      <c r="V463" t="s">
        <v>1521</v>
      </c>
      <c r="W463">
        <v>81750</v>
      </c>
      <c r="X463" t="s">
        <v>44</v>
      </c>
      <c r="Y463" t="s">
        <v>63</v>
      </c>
      <c r="Z463" t="s">
        <v>48</v>
      </c>
      <c r="AA463" s="10">
        <f>IF(O463&lt;=1,7,7+0.8*ROUNDUP(O463-1,0))</f>
        <v>7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4"/>
        <v>0.42</v>
      </c>
      <c r="AG463" s="11">
        <f t="shared" si="15"/>
        <v>7.42</v>
      </c>
      <c r="AH463" t="s">
        <v>49</v>
      </c>
    </row>
    <row r="464" spans="1:34" ht="15" customHeight="1" x14ac:dyDescent="0.35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1522</v>
      </c>
      <c r="G464" t="s">
        <v>37</v>
      </c>
      <c r="H464" t="s">
        <v>38</v>
      </c>
      <c r="I464" t="s">
        <v>1523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1</v>
      </c>
      <c r="P464" s="8">
        <v>45239.702233796299</v>
      </c>
      <c r="Q464" s="9">
        <v>45243</v>
      </c>
      <c r="R464" t="s">
        <v>37</v>
      </c>
      <c r="S464" t="s">
        <v>44</v>
      </c>
      <c r="T464" t="s">
        <v>45</v>
      </c>
      <c r="U464" t="s">
        <v>226</v>
      </c>
      <c r="V464" t="s">
        <v>1524</v>
      </c>
      <c r="W464">
        <v>89808</v>
      </c>
      <c r="X464" t="s">
        <v>228</v>
      </c>
      <c r="Y464" t="s">
        <v>63</v>
      </c>
      <c r="Z464" t="s">
        <v>48</v>
      </c>
      <c r="AA464" s="12">
        <f>IF(O464&lt;=1,13,IF(O464&lt;=2,23,IF(O464&lt;=3,35,IF(O464&lt;=4,43,IF(O464&lt;=5,53,IF(O464&lt;=6,63,IF(O464&lt;=7,71,IF(O464&lt;=8,79,IF(O464&lt;=9,87,IF(O464&lt;=10,95,IF(O464&lt;=11,105,IF(O464&lt;=12,114,IF(O464&lt;=13,119,IF(O464&lt;=14,127,IF(O464&lt;=15,135,IF(O464&lt;=16,143,IF(O464&lt;=17,153,IF(O464&lt;=18,163,IF(O464&lt;=19,171,IF(O464&lt;=20,185,IF(O464&lt;=21,193,IF(O464&lt;=22,201,IF(O464&lt;=23,210,IF(O464&lt;=24,220,IF(O464&lt;=25,230,IF(O464&lt;=26,240,IF(O464&lt;=27,250,IF(O464&lt;=28,260,IF(O464&lt;=29,270,IF(O464&lt;=30,280,280+10*ROUNDUP(O464-30,0)))))))))))))))))))))))))))))))</f>
        <v>13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4"/>
        <v>0.78</v>
      </c>
      <c r="AG464" s="11">
        <f t="shared" si="15"/>
        <v>13.78</v>
      </c>
      <c r="AH464" t="s">
        <v>229</v>
      </c>
    </row>
    <row r="465" spans="1:34" ht="15" customHeight="1" x14ac:dyDescent="0.35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1525</v>
      </c>
      <c r="G465" t="s">
        <v>37</v>
      </c>
      <c r="H465" t="s">
        <v>38</v>
      </c>
      <c r="I465" t="s">
        <v>1526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2</v>
      </c>
      <c r="P465" s="8">
        <v>45241.751273148147</v>
      </c>
      <c r="Q465" s="9">
        <v>45243</v>
      </c>
      <c r="R465" t="s">
        <v>37</v>
      </c>
      <c r="S465" t="s">
        <v>44</v>
      </c>
      <c r="T465" t="s">
        <v>63</v>
      </c>
      <c r="U465" t="s">
        <v>57</v>
      </c>
      <c r="V465" t="s">
        <v>1527</v>
      </c>
      <c r="W465">
        <v>43650</v>
      </c>
      <c r="X465" t="s">
        <v>44</v>
      </c>
      <c r="Y465" t="s">
        <v>427</v>
      </c>
      <c r="Z465" t="s">
        <v>48</v>
      </c>
      <c r="AA465" s="10">
        <f>IF(O465&lt;=1,7,7+0.8*ROUNDUP(O465-1,0))</f>
        <v>7.8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4"/>
        <v>0.46799999999999997</v>
      </c>
      <c r="AG465" s="11">
        <f t="shared" si="15"/>
        <v>8.2680000000000007</v>
      </c>
      <c r="AH465" t="s">
        <v>49</v>
      </c>
    </row>
    <row r="466" spans="1:34" ht="15" customHeight="1" x14ac:dyDescent="0.35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1528</v>
      </c>
      <c r="G466" t="s">
        <v>37</v>
      </c>
      <c r="H466" t="s">
        <v>38</v>
      </c>
      <c r="I466" t="s">
        <v>183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3</v>
      </c>
      <c r="P466" s="8">
        <v>45240.449050925927</v>
      </c>
      <c r="Q466" s="9">
        <v>45241</v>
      </c>
      <c r="R466" t="s">
        <v>37</v>
      </c>
      <c r="S466" t="s">
        <v>44</v>
      </c>
      <c r="T466" t="s">
        <v>145</v>
      </c>
      <c r="U466" t="s">
        <v>52</v>
      </c>
      <c r="V466" t="s">
        <v>184</v>
      </c>
      <c r="W466">
        <v>24000</v>
      </c>
      <c r="X466" t="s">
        <v>44</v>
      </c>
      <c r="Y466" t="s">
        <v>145</v>
      </c>
      <c r="Z466" t="s">
        <v>48</v>
      </c>
      <c r="AA466" s="10">
        <f>IF(O466&lt;=1,7,7+0.8*ROUNDUP(O466-1,0))</f>
        <v>8.6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4"/>
        <v>0.51600000000000001</v>
      </c>
      <c r="AG466" s="11">
        <f t="shared" si="15"/>
        <v>9.1159999999999997</v>
      </c>
      <c r="AH466" t="s">
        <v>49</v>
      </c>
    </row>
    <row r="467" spans="1:34" ht="15" customHeight="1" x14ac:dyDescent="0.35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1529</v>
      </c>
      <c r="G467" t="s">
        <v>37</v>
      </c>
      <c r="H467" t="s">
        <v>38</v>
      </c>
      <c r="I467" t="s">
        <v>1530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4</v>
      </c>
      <c r="P467" s="8">
        <v>45241.783136574071</v>
      </c>
      <c r="Q467" s="9">
        <v>45243</v>
      </c>
      <c r="R467" t="s">
        <v>37</v>
      </c>
      <c r="S467" t="s">
        <v>44</v>
      </c>
      <c r="T467" t="s">
        <v>45</v>
      </c>
      <c r="U467" t="s">
        <v>52</v>
      </c>
      <c r="V467" t="s">
        <v>1531</v>
      </c>
      <c r="W467">
        <v>20050</v>
      </c>
      <c r="X467" t="s">
        <v>44</v>
      </c>
      <c r="Y467" t="s">
        <v>1532</v>
      </c>
      <c r="Z467" t="s">
        <v>48</v>
      </c>
      <c r="AA467" s="10">
        <f>IF(O467&lt;=1,7,7+0.8*ROUNDUP(O467-1,0))</f>
        <v>9.4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4"/>
        <v>0.56399999999999995</v>
      </c>
      <c r="AG467" s="11">
        <f t="shared" si="15"/>
        <v>9.9640000000000004</v>
      </c>
      <c r="AH467" t="s">
        <v>49</v>
      </c>
    </row>
    <row r="468" spans="1:34" ht="15" customHeight="1" x14ac:dyDescent="0.35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1533</v>
      </c>
      <c r="G468" t="s">
        <v>37</v>
      </c>
      <c r="H468" t="s">
        <v>38</v>
      </c>
      <c r="I468" t="s">
        <v>1534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2</v>
      </c>
      <c r="P468" s="8">
        <v>45241.712766203702</v>
      </c>
      <c r="Q468" s="9">
        <v>45243</v>
      </c>
      <c r="R468" t="s">
        <v>37</v>
      </c>
      <c r="S468" t="s">
        <v>44</v>
      </c>
      <c r="T468" t="s">
        <v>45</v>
      </c>
      <c r="U468" t="s">
        <v>52</v>
      </c>
      <c r="V468" t="s">
        <v>1535</v>
      </c>
      <c r="W468">
        <v>21100</v>
      </c>
      <c r="X468" t="s">
        <v>44</v>
      </c>
      <c r="Y468" t="s">
        <v>1532</v>
      </c>
      <c r="Z468" t="s">
        <v>48</v>
      </c>
      <c r="AA468" s="10">
        <f>IF(O468&lt;=1,7,7+0.8*ROUNDUP(O468-1,0))</f>
        <v>7.8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4"/>
        <v>0.46799999999999997</v>
      </c>
      <c r="AG468" s="11">
        <f t="shared" si="15"/>
        <v>8.2680000000000007</v>
      </c>
      <c r="AH468" t="s">
        <v>49</v>
      </c>
    </row>
    <row r="469" spans="1:34" ht="15" customHeight="1" x14ac:dyDescent="0.35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1536</v>
      </c>
      <c r="G469" t="s">
        <v>37</v>
      </c>
      <c r="H469" t="s">
        <v>38</v>
      </c>
      <c r="I469" t="s">
        <v>1537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1</v>
      </c>
      <c r="P469" s="8">
        <v>45241.698506944442</v>
      </c>
      <c r="Q469" s="9">
        <v>45243</v>
      </c>
      <c r="R469" t="s">
        <v>37</v>
      </c>
      <c r="S469" t="s">
        <v>44</v>
      </c>
      <c r="T469" t="s">
        <v>63</v>
      </c>
      <c r="U469" t="s">
        <v>89</v>
      </c>
      <c r="V469" t="s">
        <v>1538</v>
      </c>
      <c r="W469">
        <v>80350</v>
      </c>
      <c r="X469" t="s">
        <v>44</v>
      </c>
      <c r="Y469" t="s">
        <v>63</v>
      </c>
      <c r="Z469" t="s">
        <v>48</v>
      </c>
      <c r="AA469" s="10">
        <f>IF(O469&lt;=1,7,7+0.8*ROUNDUP(O469-1,0))</f>
        <v>7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4"/>
        <v>0.42</v>
      </c>
      <c r="AG469" s="11">
        <f t="shared" si="15"/>
        <v>7.42</v>
      </c>
      <c r="AH469" t="s">
        <v>49</v>
      </c>
    </row>
    <row r="470" spans="1:34" ht="15" customHeight="1" x14ac:dyDescent="0.35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1539</v>
      </c>
      <c r="G470" t="s">
        <v>37</v>
      </c>
      <c r="H470" t="s">
        <v>38</v>
      </c>
      <c r="I470" t="s">
        <v>1540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2</v>
      </c>
      <c r="P470" s="8">
        <v>45239.590462962966</v>
      </c>
      <c r="Q470" s="9">
        <v>45243</v>
      </c>
      <c r="R470" t="s">
        <v>37</v>
      </c>
      <c r="S470" t="s">
        <v>44</v>
      </c>
      <c r="T470" t="s">
        <v>45</v>
      </c>
      <c r="U470" t="s">
        <v>1504</v>
      </c>
      <c r="V470" t="s">
        <v>1541</v>
      </c>
      <c r="W470">
        <v>87000</v>
      </c>
      <c r="X470" t="s">
        <v>228</v>
      </c>
      <c r="Y470" t="s">
        <v>63</v>
      </c>
      <c r="Z470" t="s">
        <v>48</v>
      </c>
      <c r="AA470" s="12">
        <f>IF(O470&lt;=1,13,IF(O470&lt;=2,23,IF(O470&lt;=3,35,IF(O470&lt;=4,43,IF(O470&lt;=5,53,IF(O470&lt;=6,63,IF(O470&lt;=7,71,IF(O470&lt;=8,79,IF(O470&lt;=9,87,IF(O470&lt;=10,95,IF(O470&lt;=11,105,IF(O470&lt;=12,114,IF(O470&lt;=13,119,IF(O470&lt;=14,127,IF(O470&lt;=15,135,IF(O470&lt;=16,143,IF(O470&lt;=17,153,IF(O470&lt;=18,163,IF(O470&lt;=19,171,IF(O470&lt;=20,185,IF(O470&lt;=21,193,IF(O470&lt;=22,201,IF(O470&lt;=23,210,IF(O470&lt;=24,220,IF(O470&lt;=25,230,IF(O470&lt;=26,240,IF(O470&lt;=27,250,IF(O470&lt;=28,260,IF(O470&lt;=29,270,IF(O470&lt;=30,280,280+10*ROUNDUP(O470-30,0)))))))))))))))))))))))))))))))</f>
        <v>23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4"/>
        <v>1.38</v>
      </c>
      <c r="AG470" s="11">
        <f t="shared" si="15"/>
        <v>24.38</v>
      </c>
      <c r="AH470" t="s">
        <v>229</v>
      </c>
    </row>
    <row r="471" spans="1:34" ht="15" customHeight="1" x14ac:dyDescent="0.35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1542</v>
      </c>
      <c r="G471" t="s">
        <v>37</v>
      </c>
      <c r="H471" t="s">
        <v>38</v>
      </c>
      <c r="I471" t="s">
        <v>1543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1</v>
      </c>
      <c r="P471" s="8">
        <v>45241.782152777778</v>
      </c>
      <c r="Q471" s="9">
        <v>45243</v>
      </c>
      <c r="R471" t="s">
        <v>37</v>
      </c>
      <c r="S471" t="s">
        <v>44</v>
      </c>
      <c r="T471" t="s">
        <v>45</v>
      </c>
      <c r="U471" t="s">
        <v>89</v>
      </c>
      <c r="V471" t="s">
        <v>1544</v>
      </c>
      <c r="W471">
        <v>81550</v>
      </c>
      <c r="X471" t="s">
        <v>44</v>
      </c>
      <c r="Y471" t="s">
        <v>1545</v>
      </c>
      <c r="Z471" t="s">
        <v>48</v>
      </c>
      <c r="AA471" s="10">
        <f>IF(O471&lt;=1,7,7+0.8*ROUNDUP(O471-1,0))</f>
        <v>7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4"/>
        <v>0.42</v>
      </c>
      <c r="AG471" s="11">
        <f t="shared" si="15"/>
        <v>7.42</v>
      </c>
      <c r="AH471" t="s">
        <v>49</v>
      </c>
    </row>
    <row r="472" spans="1:34" ht="15" customHeight="1" x14ac:dyDescent="0.35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1546</v>
      </c>
      <c r="G472" t="s">
        <v>37</v>
      </c>
      <c r="H472" t="s">
        <v>38</v>
      </c>
      <c r="I472" t="s">
        <v>1547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3</v>
      </c>
      <c r="P472" s="8">
        <v>45241.712766203702</v>
      </c>
      <c r="Q472" s="9">
        <v>45243</v>
      </c>
      <c r="R472" t="s">
        <v>37</v>
      </c>
      <c r="S472" t="s">
        <v>44</v>
      </c>
      <c r="T472" t="s">
        <v>45</v>
      </c>
      <c r="U472" t="s">
        <v>52</v>
      </c>
      <c r="V472" t="s">
        <v>1548</v>
      </c>
      <c r="W472">
        <v>21400</v>
      </c>
      <c r="X472" t="s">
        <v>44</v>
      </c>
      <c r="Y472" t="s">
        <v>1532</v>
      </c>
      <c r="Z472" t="s">
        <v>48</v>
      </c>
      <c r="AA472" s="10">
        <f>IF(O472&lt;=1,7,7+0.8*ROUNDUP(O472-1,0))</f>
        <v>8.6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4"/>
        <v>0.51600000000000001</v>
      </c>
      <c r="AG472" s="11">
        <f t="shared" si="15"/>
        <v>9.1159999999999997</v>
      </c>
      <c r="AH472" t="s">
        <v>49</v>
      </c>
    </row>
    <row r="473" spans="1:34" ht="15" customHeight="1" x14ac:dyDescent="0.35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1549</v>
      </c>
      <c r="G473" t="s">
        <v>37</v>
      </c>
      <c r="H473" t="s">
        <v>38</v>
      </c>
      <c r="I473" t="s">
        <v>1550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2</v>
      </c>
      <c r="P473" s="8">
        <v>45241.70753472222</v>
      </c>
      <c r="Q473" s="9">
        <v>45243</v>
      </c>
      <c r="R473" t="s">
        <v>37</v>
      </c>
      <c r="S473" t="s">
        <v>44</v>
      </c>
      <c r="T473" t="s">
        <v>63</v>
      </c>
      <c r="U473" t="s">
        <v>89</v>
      </c>
      <c r="V473" t="s">
        <v>1551</v>
      </c>
      <c r="W473">
        <v>81100</v>
      </c>
      <c r="X473" t="s">
        <v>44</v>
      </c>
      <c r="Y473" t="s">
        <v>1552</v>
      </c>
      <c r="Z473" t="s">
        <v>48</v>
      </c>
      <c r="AA473" s="10">
        <f>IF(O473&lt;=1,7,7+0.8*ROUNDUP(O473-1,0))</f>
        <v>7.8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4"/>
        <v>0.46799999999999997</v>
      </c>
      <c r="AG473" s="11">
        <f t="shared" si="15"/>
        <v>8.2680000000000007</v>
      </c>
      <c r="AH473" t="s">
        <v>49</v>
      </c>
    </row>
    <row r="474" spans="1:34" ht="15" customHeight="1" x14ac:dyDescent="0.35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1553</v>
      </c>
      <c r="G474" t="s">
        <v>37</v>
      </c>
      <c r="H474" t="s">
        <v>38</v>
      </c>
      <c r="I474" t="s">
        <v>1554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1</v>
      </c>
      <c r="P474" s="8">
        <v>45241.951203703706</v>
      </c>
      <c r="Q474" s="9">
        <v>45243</v>
      </c>
      <c r="R474" t="s">
        <v>37</v>
      </c>
      <c r="S474" t="s">
        <v>44</v>
      </c>
      <c r="T474" t="s">
        <v>45</v>
      </c>
      <c r="U474" t="s">
        <v>52</v>
      </c>
      <c r="V474" t="s">
        <v>1555</v>
      </c>
      <c r="W474">
        <v>21600</v>
      </c>
      <c r="X474" t="s">
        <v>44</v>
      </c>
      <c r="Y474" t="s">
        <v>368</v>
      </c>
      <c r="Z474" t="s">
        <v>48</v>
      </c>
      <c r="AA474" s="10">
        <f>IF(O474&lt;=1,7,7+0.8*ROUNDUP(O474-1,0))</f>
        <v>7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4"/>
        <v>0.42</v>
      </c>
      <c r="AG474" s="11">
        <f t="shared" si="15"/>
        <v>7.42</v>
      </c>
      <c r="AH474" t="s">
        <v>49</v>
      </c>
    </row>
    <row r="475" spans="1:34" ht="15" customHeight="1" x14ac:dyDescent="0.35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1556</v>
      </c>
      <c r="G475" t="s">
        <v>37</v>
      </c>
      <c r="H475" t="s">
        <v>1306</v>
      </c>
      <c r="I475" t="s">
        <v>1557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1</v>
      </c>
      <c r="P475" s="8">
        <v>45240.434942129628</v>
      </c>
      <c r="Q475" s="9">
        <v>45243</v>
      </c>
      <c r="R475" t="s">
        <v>37</v>
      </c>
      <c r="S475" t="s">
        <v>44</v>
      </c>
      <c r="T475" t="s">
        <v>145</v>
      </c>
      <c r="U475" t="s">
        <v>226</v>
      </c>
      <c r="V475" t="s">
        <v>1558</v>
      </c>
      <c r="W475">
        <v>89250</v>
      </c>
      <c r="X475" t="s">
        <v>228</v>
      </c>
      <c r="Y475" t="s">
        <v>1559</v>
      </c>
      <c r="Z475" t="s">
        <v>48</v>
      </c>
      <c r="AA475" s="12">
        <f>IF(O475&lt;=1,13,IF(O475&lt;=2,23,IF(O475&lt;=3,35,IF(O475&lt;=4,43,IF(O475&lt;=5,53,IF(O475&lt;=6,63,IF(O475&lt;=7,71,IF(O475&lt;=8,79,IF(O475&lt;=9,87,IF(O475&lt;=10,95,IF(O475&lt;=11,105,IF(O475&lt;=12,114,IF(O475&lt;=13,119,IF(O475&lt;=14,127,IF(O475&lt;=15,135,IF(O475&lt;=16,143,IF(O475&lt;=17,153,IF(O475&lt;=18,163,IF(O475&lt;=19,171,IF(O475&lt;=20,185,IF(O475&lt;=21,193,IF(O475&lt;=22,201,IF(O475&lt;=23,210,IF(O475&lt;=24,220,IF(O475&lt;=25,230,IF(O475&lt;=26,240,IF(O475&lt;=27,250,IF(O475&lt;=28,260,IF(O475&lt;=29,270,IF(O475&lt;=30,280,280+10*ROUNDUP(O475-30,0)))))))))))))))))))))))))))))))</f>
        <v>13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4"/>
        <v>0.78</v>
      </c>
      <c r="AG475" s="11">
        <f t="shared" si="15"/>
        <v>13.78</v>
      </c>
      <c r="AH475" t="s">
        <v>229</v>
      </c>
    </row>
    <row r="476" spans="1:34" ht="15" customHeight="1" x14ac:dyDescent="0.35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1560</v>
      </c>
      <c r="G476" t="s">
        <v>37</v>
      </c>
      <c r="H476" t="s">
        <v>38</v>
      </c>
      <c r="I476" t="s">
        <v>1561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1</v>
      </c>
      <c r="P476" s="8">
        <v>45242.648587962962</v>
      </c>
      <c r="Q476" s="9">
        <v>45243</v>
      </c>
      <c r="R476" t="s">
        <v>37</v>
      </c>
      <c r="S476" t="s">
        <v>44</v>
      </c>
      <c r="T476" t="s">
        <v>45</v>
      </c>
      <c r="U476" t="s">
        <v>52</v>
      </c>
      <c r="V476" t="s">
        <v>723</v>
      </c>
      <c r="W476">
        <v>22300</v>
      </c>
      <c r="X476" t="s">
        <v>44</v>
      </c>
      <c r="Y476" t="s">
        <v>145</v>
      </c>
      <c r="Z476" t="s">
        <v>48</v>
      </c>
      <c r="AA476" s="10">
        <f>IF(O476&lt;=1,7,7+0.8*ROUNDUP(O476-1,0))</f>
        <v>7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4"/>
        <v>0.42</v>
      </c>
      <c r="AG476" s="11">
        <f t="shared" si="15"/>
        <v>7.42</v>
      </c>
      <c r="AH476" t="s">
        <v>49</v>
      </c>
    </row>
    <row r="477" spans="1:34" ht="15" customHeight="1" x14ac:dyDescent="0.35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1562</v>
      </c>
      <c r="G477" t="s">
        <v>37</v>
      </c>
      <c r="H477" t="s">
        <v>38</v>
      </c>
      <c r="I477" t="s">
        <v>244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2</v>
      </c>
      <c r="P477" s="8">
        <v>45240.471180555556</v>
      </c>
      <c r="Q477" s="9">
        <v>45243</v>
      </c>
      <c r="R477" t="s">
        <v>37</v>
      </c>
      <c r="S477" t="s">
        <v>44</v>
      </c>
      <c r="T477" t="s">
        <v>145</v>
      </c>
      <c r="U477" t="s">
        <v>46</v>
      </c>
      <c r="V477" t="s">
        <v>245</v>
      </c>
      <c r="W477">
        <v>39100</v>
      </c>
      <c r="X477" t="s">
        <v>44</v>
      </c>
      <c r="Y477" t="s">
        <v>246</v>
      </c>
      <c r="Z477" t="s">
        <v>48</v>
      </c>
      <c r="AA477" s="10">
        <f>IF(O477&lt;=1,7,7+0.8*ROUNDUP(O477-1,0))</f>
        <v>7.8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4"/>
        <v>0.46799999999999997</v>
      </c>
      <c r="AG477" s="11">
        <f t="shared" si="15"/>
        <v>8.2680000000000007</v>
      </c>
      <c r="AH477" t="s">
        <v>49</v>
      </c>
    </row>
    <row r="478" spans="1:34" ht="15" customHeight="1" x14ac:dyDescent="0.35">
      <c r="A478">
        <v>7547676</v>
      </c>
      <c r="B478">
        <v>690929</v>
      </c>
      <c r="C478" t="s">
        <v>34</v>
      </c>
      <c r="D478" t="s">
        <v>35</v>
      </c>
      <c r="E478" s="6" t="s">
        <v>34</v>
      </c>
      <c r="F478" t="s">
        <v>1563</v>
      </c>
      <c r="G478" t="s">
        <v>37</v>
      </c>
      <c r="H478" t="s">
        <v>38</v>
      </c>
      <c r="I478" t="s">
        <v>1564</v>
      </c>
      <c r="J478" t="s">
        <v>40</v>
      </c>
      <c r="K478">
        <v>2</v>
      </c>
      <c r="L478" t="s">
        <v>41</v>
      </c>
      <c r="M478" t="s">
        <v>42</v>
      </c>
      <c r="N478" t="s">
        <v>43</v>
      </c>
      <c r="O478" s="7">
        <v>1</v>
      </c>
      <c r="P478" s="8">
        <v>45239.454861111109</v>
      </c>
      <c r="Q478" s="9">
        <v>45243</v>
      </c>
      <c r="R478" t="s">
        <v>37</v>
      </c>
      <c r="S478" t="s">
        <v>44</v>
      </c>
      <c r="T478" t="s">
        <v>45</v>
      </c>
      <c r="U478" t="s">
        <v>57</v>
      </c>
      <c r="V478" t="s">
        <v>1565</v>
      </c>
      <c r="W478">
        <v>45800</v>
      </c>
      <c r="X478" t="s">
        <v>44</v>
      </c>
      <c r="Y478" t="s">
        <v>63</v>
      </c>
      <c r="Z478" t="s">
        <v>48</v>
      </c>
      <c r="AA478" s="10">
        <f>IF(O478&lt;=1,7,7+0.8*ROUNDUP(O478-1,0))</f>
        <v>7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14"/>
        <v>0.42</v>
      </c>
      <c r="AG478" s="11">
        <f t="shared" si="15"/>
        <v>7.42</v>
      </c>
      <c r="AH478" t="s">
        <v>49</v>
      </c>
    </row>
    <row r="479" spans="1:34" ht="15" customHeight="1" x14ac:dyDescent="0.35">
      <c r="A479">
        <v>7547676</v>
      </c>
      <c r="B479">
        <v>690929</v>
      </c>
      <c r="C479" t="s">
        <v>34</v>
      </c>
      <c r="D479" t="s">
        <v>35</v>
      </c>
      <c r="E479" s="6" t="s">
        <v>34</v>
      </c>
      <c r="F479" t="s">
        <v>1566</v>
      </c>
      <c r="G479" t="s">
        <v>37</v>
      </c>
      <c r="H479" t="s">
        <v>38</v>
      </c>
      <c r="I479" t="s">
        <v>475</v>
      </c>
      <c r="J479" t="s">
        <v>40</v>
      </c>
      <c r="K479">
        <v>2</v>
      </c>
      <c r="L479" t="s">
        <v>41</v>
      </c>
      <c r="M479" t="s">
        <v>42</v>
      </c>
      <c r="N479" t="s">
        <v>43</v>
      </c>
      <c r="O479" s="7">
        <v>8</v>
      </c>
      <c r="P479" s="8">
        <v>45239.702233796299</v>
      </c>
      <c r="Q479" s="9">
        <v>45243</v>
      </c>
      <c r="R479" t="s">
        <v>37</v>
      </c>
      <c r="S479" t="s">
        <v>44</v>
      </c>
      <c r="T479" t="s">
        <v>45</v>
      </c>
      <c r="U479" t="s">
        <v>52</v>
      </c>
      <c r="V479" t="s">
        <v>1567</v>
      </c>
      <c r="W479">
        <v>21300</v>
      </c>
      <c r="X479" t="s">
        <v>44</v>
      </c>
      <c r="Y479" t="s">
        <v>273</v>
      </c>
      <c r="Z479" t="s">
        <v>48</v>
      </c>
      <c r="AA479" s="10">
        <f>IF(O479&lt;=1,7,7+0.8*ROUNDUP(O479-1,0))</f>
        <v>12.600000000000001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14"/>
        <v>0.75600000000000001</v>
      </c>
      <c r="AG479" s="11">
        <f t="shared" si="15"/>
        <v>13.356000000000002</v>
      </c>
      <c r="AH479" t="s">
        <v>49</v>
      </c>
    </row>
    <row r="480" spans="1:34" ht="15" customHeight="1" x14ac:dyDescent="0.35">
      <c r="A480">
        <v>7547676</v>
      </c>
      <c r="B480">
        <v>690929</v>
      </c>
      <c r="C480" t="s">
        <v>34</v>
      </c>
      <c r="D480" t="s">
        <v>35</v>
      </c>
      <c r="E480" s="6" t="s">
        <v>34</v>
      </c>
      <c r="F480" t="s">
        <v>1568</v>
      </c>
      <c r="G480" t="s">
        <v>37</v>
      </c>
      <c r="H480" t="s">
        <v>38</v>
      </c>
      <c r="I480" t="s">
        <v>1569</v>
      </c>
      <c r="J480" t="s">
        <v>40</v>
      </c>
      <c r="K480">
        <v>2</v>
      </c>
      <c r="L480" t="s">
        <v>41</v>
      </c>
      <c r="M480" t="s">
        <v>42</v>
      </c>
      <c r="N480" t="s">
        <v>43</v>
      </c>
      <c r="O480" s="7">
        <v>2</v>
      </c>
      <c r="P480" s="8">
        <v>45241.722800925927</v>
      </c>
      <c r="Q480" s="9">
        <v>45243</v>
      </c>
      <c r="R480" t="s">
        <v>37</v>
      </c>
      <c r="S480" t="s">
        <v>44</v>
      </c>
      <c r="T480" t="s">
        <v>63</v>
      </c>
      <c r="U480" t="s">
        <v>66</v>
      </c>
      <c r="V480" t="s">
        <v>1570</v>
      </c>
      <c r="W480">
        <v>56000</v>
      </c>
      <c r="X480" t="s">
        <v>44</v>
      </c>
      <c r="Y480" t="s">
        <v>63</v>
      </c>
      <c r="Z480" t="s">
        <v>48</v>
      </c>
      <c r="AA480" s="10">
        <f>IF(O480&lt;=1,7,7+0.8*ROUNDUP(O480-1,0))</f>
        <v>7.8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14"/>
        <v>0.46799999999999997</v>
      </c>
      <c r="AG480" s="11">
        <f t="shared" si="15"/>
        <v>8.2680000000000007</v>
      </c>
      <c r="AH480" t="s">
        <v>49</v>
      </c>
    </row>
    <row r="481" spans="1:34" ht="15" customHeight="1" x14ac:dyDescent="0.35">
      <c r="A481">
        <v>7547676</v>
      </c>
      <c r="B481">
        <v>690929</v>
      </c>
      <c r="C481" t="s">
        <v>34</v>
      </c>
      <c r="D481" t="s">
        <v>35</v>
      </c>
      <c r="E481" s="6" t="s">
        <v>34</v>
      </c>
      <c r="F481" t="s">
        <v>1571</v>
      </c>
      <c r="G481" t="s">
        <v>37</v>
      </c>
      <c r="H481" t="s">
        <v>38</v>
      </c>
      <c r="I481" t="s">
        <v>1572</v>
      </c>
      <c r="J481" t="s">
        <v>40</v>
      </c>
      <c r="K481">
        <v>2</v>
      </c>
      <c r="L481" t="s">
        <v>41</v>
      </c>
      <c r="M481" t="s">
        <v>42</v>
      </c>
      <c r="N481" t="s">
        <v>43</v>
      </c>
      <c r="O481" s="7">
        <v>1</v>
      </c>
      <c r="P481" s="8">
        <v>45241.951203703706</v>
      </c>
      <c r="Q481" s="9">
        <v>45244</v>
      </c>
      <c r="R481" t="s">
        <v>37</v>
      </c>
      <c r="S481" t="s">
        <v>44</v>
      </c>
      <c r="T481" t="s">
        <v>45</v>
      </c>
      <c r="U481" t="s">
        <v>57</v>
      </c>
      <c r="V481" t="s">
        <v>1573</v>
      </c>
      <c r="W481">
        <v>68100</v>
      </c>
      <c r="X481" t="s">
        <v>44</v>
      </c>
      <c r="Y481" t="s">
        <v>63</v>
      </c>
      <c r="Z481" t="s">
        <v>48</v>
      </c>
      <c r="AA481" s="10">
        <f>IF(O481&lt;=1,7,7+0.8*ROUNDUP(O481-1,0))</f>
        <v>7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14"/>
        <v>0.42</v>
      </c>
      <c r="AG481" s="11">
        <f t="shared" si="15"/>
        <v>7.42</v>
      </c>
      <c r="AH481" t="s">
        <v>49</v>
      </c>
    </row>
    <row r="482" spans="1:34" ht="15" customHeight="1" x14ac:dyDescent="0.35">
      <c r="A482">
        <v>7547676</v>
      </c>
      <c r="B482">
        <v>690929</v>
      </c>
      <c r="C482" t="s">
        <v>34</v>
      </c>
      <c r="D482" t="s">
        <v>35</v>
      </c>
      <c r="E482" s="6" t="s">
        <v>34</v>
      </c>
      <c r="F482" t="s">
        <v>1574</v>
      </c>
      <c r="G482" t="s">
        <v>37</v>
      </c>
      <c r="H482" t="s">
        <v>38</v>
      </c>
      <c r="I482" t="s">
        <v>1575</v>
      </c>
      <c r="J482" t="s">
        <v>40</v>
      </c>
      <c r="K482">
        <v>2</v>
      </c>
      <c r="L482" t="s">
        <v>41</v>
      </c>
      <c r="M482" t="s">
        <v>42</v>
      </c>
      <c r="N482" t="s">
        <v>43</v>
      </c>
      <c r="O482" s="7">
        <v>1</v>
      </c>
      <c r="P482" s="8">
        <v>45239.686932870369</v>
      </c>
      <c r="Q482" s="9">
        <v>45244</v>
      </c>
      <c r="R482" t="s">
        <v>37</v>
      </c>
      <c r="S482" t="s">
        <v>44</v>
      </c>
      <c r="T482" t="s">
        <v>45</v>
      </c>
      <c r="U482" t="s">
        <v>232</v>
      </c>
      <c r="V482" t="s">
        <v>1576</v>
      </c>
      <c r="W482">
        <v>94200</v>
      </c>
      <c r="X482" t="s">
        <v>228</v>
      </c>
      <c r="Y482" t="s">
        <v>63</v>
      </c>
      <c r="Z482" t="s">
        <v>48</v>
      </c>
      <c r="AA482" s="12">
        <f>IF(O482&lt;=1,13,IF(O482&lt;=2,23,IF(O482&lt;=3,35,IF(O482&lt;=4,43,IF(O482&lt;=5,53,IF(O482&lt;=6,63,IF(O482&lt;=7,71,IF(O482&lt;=8,79,IF(O482&lt;=9,87,IF(O482&lt;=10,95,IF(O482&lt;=11,105,IF(O482&lt;=12,114,IF(O482&lt;=13,119,IF(O482&lt;=14,127,IF(O482&lt;=15,135,IF(O482&lt;=16,143,IF(O482&lt;=17,153,IF(O482&lt;=18,163,IF(O482&lt;=19,171,IF(O482&lt;=20,185,IF(O482&lt;=21,193,IF(O482&lt;=22,201,IF(O482&lt;=23,210,IF(O482&lt;=24,220,IF(O482&lt;=25,230,IF(O482&lt;=26,240,IF(O482&lt;=27,250,IF(O482&lt;=28,260,IF(O482&lt;=29,270,IF(O482&lt;=30,280,280+10*ROUNDUP(O482-30,0)))))))))))))))))))))))))))))))</f>
        <v>13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14"/>
        <v>0.78</v>
      </c>
      <c r="AG482" s="11">
        <f t="shared" si="15"/>
        <v>13.78</v>
      </c>
      <c r="AH482" t="s">
        <v>229</v>
      </c>
    </row>
    <row r="483" spans="1:34" ht="15" customHeight="1" x14ac:dyDescent="0.35">
      <c r="A483">
        <v>7547676</v>
      </c>
      <c r="B483">
        <v>690929</v>
      </c>
      <c r="C483" t="s">
        <v>34</v>
      </c>
      <c r="D483" t="s">
        <v>35</v>
      </c>
      <c r="E483" s="6" t="s">
        <v>34</v>
      </c>
      <c r="F483" t="s">
        <v>1577</v>
      </c>
      <c r="G483" t="s">
        <v>37</v>
      </c>
      <c r="H483" t="s">
        <v>38</v>
      </c>
      <c r="I483" t="s">
        <v>1578</v>
      </c>
      <c r="J483" t="s">
        <v>40</v>
      </c>
      <c r="K483">
        <v>2</v>
      </c>
      <c r="L483" t="s">
        <v>41</v>
      </c>
      <c r="M483" t="s">
        <v>42</v>
      </c>
      <c r="N483" t="s">
        <v>43</v>
      </c>
      <c r="O483" s="7">
        <v>1</v>
      </c>
      <c r="P483" s="8">
        <v>45242.658310185187</v>
      </c>
      <c r="Q483" s="9">
        <v>45244</v>
      </c>
      <c r="R483" t="s">
        <v>37</v>
      </c>
      <c r="S483" t="s">
        <v>44</v>
      </c>
      <c r="T483" t="s">
        <v>45</v>
      </c>
      <c r="U483" t="s">
        <v>128</v>
      </c>
      <c r="V483" t="s">
        <v>1579</v>
      </c>
      <c r="W483">
        <v>70200</v>
      </c>
      <c r="X483" t="s">
        <v>44</v>
      </c>
      <c r="Y483" t="s">
        <v>548</v>
      </c>
      <c r="Z483" t="s">
        <v>48</v>
      </c>
      <c r="AA483" s="10">
        <f>IF(O483&lt;=1,7,7+0.8*ROUNDUP(O483-1,0))</f>
        <v>7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14"/>
        <v>0.42</v>
      </c>
      <c r="AG483" s="11">
        <f t="shared" si="15"/>
        <v>7.42</v>
      </c>
      <c r="AH483" t="s">
        <v>49</v>
      </c>
    </row>
    <row r="484" spans="1:34" ht="15" customHeight="1" x14ac:dyDescent="0.35">
      <c r="A484">
        <v>7547676</v>
      </c>
      <c r="B484">
        <v>690929</v>
      </c>
      <c r="C484" t="s">
        <v>34</v>
      </c>
      <c r="D484" t="s">
        <v>35</v>
      </c>
      <c r="E484" s="6" t="s">
        <v>34</v>
      </c>
      <c r="F484" t="s">
        <v>1580</v>
      </c>
      <c r="G484" t="s">
        <v>37</v>
      </c>
      <c r="H484" t="s">
        <v>38</v>
      </c>
      <c r="I484" t="s">
        <v>834</v>
      </c>
      <c r="J484" t="s">
        <v>40</v>
      </c>
      <c r="K484">
        <v>2</v>
      </c>
      <c r="L484" t="s">
        <v>41</v>
      </c>
      <c r="M484" t="s">
        <v>42</v>
      </c>
      <c r="N484" t="s">
        <v>43</v>
      </c>
      <c r="O484" s="7">
        <v>1</v>
      </c>
      <c r="P484" s="8">
        <v>45243.589606481481</v>
      </c>
      <c r="Q484" s="9">
        <v>45244</v>
      </c>
      <c r="R484" t="s">
        <v>37</v>
      </c>
      <c r="S484" t="s">
        <v>44</v>
      </c>
      <c r="T484" t="s">
        <v>45</v>
      </c>
      <c r="U484" t="s">
        <v>46</v>
      </c>
      <c r="V484" t="s">
        <v>980</v>
      </c>
      <c r="W484">
        <v>25200</v>
      </c>
      <c r="X484" t="s">
        <v>44</v>
      </c>
      <c r="Y484" t="s">
        <v>45</v>
      </c>
      <c r="Z484" t="s">
        <v>48</v>
      </c>
      <c r="AA484" s="10">
        <f>IF(O484&lt;=1,7,7+0.8*ROUNDUP(O484-1,0))</f>
        <v>7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14"/>
        <v>0.42</v>
      </c>
      <c r="AG484" s="11">
        <f t="shared" si="15"/>
        <v>7.42</v>
      </c>
      <c r="AH484" t="s">
        <v>49</v>
      </c>
    </row>
    <row r="485" spans="1:34" ht="15" customHeight="1" x14ac:dyDescent="0.35">
      <c r="A485">
        <v>7547676</v>
      </c>
      <c r="B485">
        <v>690929</v>
      </c>
      <c r="C485" t="s">
        <v>34</v>
      </c>
      <c r="D485" t="s">
        <v>35</v>
      </c>
      <c r="E485" s="6" t="s">
        <v>34</v>
      </c>
      <c r="F485" t="s">
        <v>1581</v>
      </c>
      <c r="G485" t="s">
        <v>37</v>
      </c>
      <c r="H485" t="s">
        <v>38</v>
      </c>
      <c r="I485" t="s">
        <v>1582</v>
      </c>
      <c r="J485" t="s">
        <v>40</v>
      </c>
      <c r="K485">
        <v>2</v>
      </c>
      <c r="L485" t="s">
        <v>41</v>
      </c>
      <c r="M485" t="s">
        <v>42</v>
      </c>
      <c r="N485" t="s">
        <v>43</v>
      </c>
      <c r="O485" s="7">
        <v>1</v>
      </c>
      <c r="P485" s="8">
        <v>45241.959097222221</v>
      </c>
      <c r="Q485" s="9">
        <v>45244</v>
      </c>
      <c r="R485" t="s">
        <v>37</v>
      </c>
      <c r="S485" t="s">
        <v>44</v>
      </c>
      <c r="T485" t="s">
        <v>45</v>
      </c>
      <c r="U485" t="s">
        <v>119</v>
      </c>
      <c r="V485" t="s">
        <v>1583</v>
      </c>
      <c r="W485">
        <v>13200</v>
      </c>
      <c r="X485" t="s">
        <v>44</v>
      </c>
      <c r="Y485" t="s">
        <v>121</v>
      </c>
      <c r="Z485" t="s">
        <v>48</v>
      </c>
      <c r="AA485" s="10">
        <f>IF(O485&lt;=1,7,7+0.8*ROUNDUP(O485-1,0))</f>
        <v>7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14"/>
        <v>0.42</v>
      </c>
      <c r="AG485" s="11">
        <f t="shared" si="15"/>
        <v>7.42</v>
      </c>
      <c r="AH485" t="s">
        <v>49</v>
      </c>
    </row>
    <row r="486" spans="1:34" ht="15" customHeight="1" x14ac:dyDescent="0.35">
      <c r="A486">
        <v>7547676</v>
      </c>
      <c r="B486">
        <v>690929</v>
      </c>
      <c r="C486" t="s">
        <v>34</v>
      </c>
      <c r="D486" t="s">
        <v>35</v>
      </c>
      <c r="E486" s="6" t="s">
        <v>34</v>
      </c>
      <c r="F486" t="s">
        <v>1584</v>
      </c>
      <c r="G486" t="s">
        <v>37</v>
      </c>
      <c r="H486" t="s">
        <v>38</v>
      </c>
      <c r="I486" t="s">
        <v>642</v>
      </c>
      <c r="J486" t="s">
        <v>40</v>
      </c>
      <c r="K486">
        <v>2</v>
      </c>
      <c r="L486" t="s">
        <v>41</v>
      </c>
      <c r="M486" t="s">
        <v>42</v>
      </c>
      <c r="N486" t="s">
        <v>43</v>
      </c>
      <c r="O486" s="7">
        <v>1</v>
      </c>
      <c r="P486" s="8">
        <v>45242.704629629632</v>
      </c>
      <c r="Q486" s="9">
        <v>45244</v>
      </c>
      <c r="R486" t="s">
        <v>37</v>
      </c>
      <c r="S486" t="s">
        <v>44</v>
      </c>
      <c r="T486" t="s">
        <v>45</v>
      </c>
      <c r="U486" t="s">
        <v>57</v>
      </c>
      <c r="V486" t="s">
        <v>1585</v>
      </c>
      <c r="W486">
        <v>68100</v>
      </c>
      <c r="X486" t="s">
        <v>44</v>
      </c>
      <c r="Y486" t="s">
        <v>614</v>
      </c>
      <c r="Z486" t="s">
        <v>48</v>
      </c>
      <c r="AA486" s="10">
        <f>IF(O486&lt;=1,7,7+0.8*ROUNDUP(O486-1,0))</f>
        <v>7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14"/>
        <v>0.42</v>
      </c>
      <c r="AG486" s="11">
        <f t="shared" si="15"/>
        <v>7.42</v>
      </c>
      <c r="AH486" t="s">
        <v>49</v>
      </c>
    </row>
    <row r="487" spans="1:34" ht="15" customHeight="1" x14ac:dyDescent="0.35">
      <c r="A487">
        <v>7547676</v>
      </c>
      <c r="B487">
        <v>690929</v>
      </c>
      <c r="C487" t="s">
        <v>34</v>
      </c>
      <c r="D487" t="s">
        <v>35</v>
      </c>
      <c r="E487" s="6" t="s">
        <v>34</v>
      </c>
      <c r="F487" t="s">
        <v>1586</v>
      </c>
      <c r="G487" t="s">
        <v>37</v>
      </c>
      <c r="H487" t="s">
        <v>38</v>
      </c>
      <c r="I487" t="s">
        <v>1587</v>
      </c>
      <c r="J487" t="s">
        <v>40</v>
      </c>
      <c r="K487">
        <v>2</v>
      </c>
      <c r="L487" t="s">
        <v>41</v>
      </c>
      <c r="M487" t="s">
        <v>42</v>
      </c>
      <c r="N487" t="s">
        <v>43</v>
      </c>
      <c r="O487" s="7">
        <v>1</v>
      </c>
      <c r="P487" s="8">
        <v>45242.615648148145</v>
      </c>
      <c r="Q487" s="9">
        <v>45244</v>
      </c>
      <c r="R487" t="s">
        <v>37</v>
      </c>
      <c r="S487" t="s">
        <v>44</v>
      </c>
      <c r="T487" t="s">
        <v>45</v>
      </c>
      <c r="U487" t="s">
        <v>52</v>
      </c>
      <c r="V487" t="s">
        <v>1588</v>
      </c>
      <c r="W487">
        <v>21300</v>
      </c>
      <c r="X487" t="s">
        <v>44</v>
      </c>
      <c r="Y487" t="s">
        <v>368</v>
      </c>
      <c r="Z487" t="s">
        <v>48</v>
      </c>
      <c r="AA487" s="10">
        <f>IF(O487&lt;=1,7,7+0.8*ROUNDUP(O487-1,0))</f>
        <v>7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14"/>
        <v>0.42</v>
      </c>
      <c r="AG487" s="11">
        <f t="shared" si="15"/>
        <v>7.42</v>
      </c>
      <c r="AH487" t="s">
        <v>49</v>
      </c>
    </row>
    <row r="488" spans="1:34" ht="15" customHeight="1" x14ac:dyDescent="0.35">
      <c r="A488">
        <v>7547676</v>
      </c>
      <c r="B488">
        <v>690929</v>
      </c>
      <c r="C488" t="s">
        <v>34</v>
      </c>
      <c r="D488" t="s">
        <v>35</v>
      </c>
      <c r="E488" s="6" t="s">
        <v>34</v>
      </c>
      <c r="F488" t="s">
        <v>1589</v>
      </c>
      <c r="G488" t="s">
        <v>37</v>
      </c>
      <c r="H488" t="s">
        <v>38</v>
      </c>
      <c r="I488" t="s">
        <v>1590</v>
      </c>
      <c r="J488" t="s">
        <v>40</v>
      </c>
      <c r="K488">
        <v>2</v>
      </c>
      <c r="L488" t="s">
        <v>41</v>
      </c>
      <c r="M488" t="s">
        <v>42</v>
      </c>
      <c r="N488" t="s">
        <v>43</v>
      </c>
      <c r="O488" s="7">
        <v>1</v>
      </c>
      <c r="P488" s="8">
        <v>45242.503553240742</v>
      </c>
      <c r="Q488" s="9">
        <v>45244</v>
      </c>
      <c r="R488" t="s">
        <v>37</v>
      </c>
      <c r="S488" t="s">
        <v>44</v>
      </c>
      <c r="T488" t="s">
        <v>45</v>
      </c>
      <c r="U488" t="s">
        <v>236</v>
      </c>
      <c r="V488" t="s">
        <v>1591</v>
      </c>
      <c r="W488">
        <v>5000</v>
      </c>
      <c r="X488" t="s">
        <v>44</v>
      </c>
      <c r="Y488" t="s">
        <v>579</v>
      </c>
      <c r="Z488" t="s">
        <v>48</v>
      </c>
      <c r="AA488" s="10">
        <f>IF(O488&lt;=1,7,7+0.8*ROUNDUP(O488-1,0))</f>
        <v>7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14"/>
        <v>0.42</v>
      </c>
      <c r="AG488" s="11">
        <f t="shared" si="15"/>
        <v>7.42</v>
      </c>
      <c r="AH488" t="s">
        <v>49</v>
      </c>
    </row>
    <row r="489" spans="1:34" ht="15" customHeight="1" x14ac:dyDescent="0.35">
      <c r="A489">
        <v>7547676</v>
      </c>
      <c r="B489">
        <v>690929</v>
      </c>
      <c r="C489" t="s">
        <v>34</v>
      </c>
      <c r="D489" t="s">
        <v>35</v>
      </c>
      <c r="E489" s="6" t="s">
        <v>34</v>
      </c>
      <c r="F489" t="s">
        <v>1592</v>
      </c>
      <c r="G489" t="s">
        <v>37</v>
      </c>
      <c r="H489" t="s">
        <v>38</v>
      </c>
      <c r="I489" t="s">
        <v>1593</v>
      </c>
      <c r="J489" t="s">
        <v>40</v>
      </c>
      <c r="K489">
        <v>2</v>
      </c>
      <c r="L489" t="s">
        <v>41</v>
      </c>
      <c r="M489" t="s">
        <v>42</v>
      </c>
      <c r="N489" t="s">
        <v>43</v>
      </c>
      <c r="O489" s="7">
        <v>1</v>
      </c>
      <c r="P489" s="8">
        <v>45242.636874999997</v>
      </c>
      <c r="Q489" s="9">
        <v>45244</v>
      </c>
      <c r="R489" t="s">
        <v>37</v>
      </c>
      <c r="S489" t="s">
        <v>44</v>
      </c>
      <c r="T489" t="s">
        <v>45</v>
      </c>
      <c r="U489" t="s">
        <v>236</v>
      </c>
      <c r="V489" t="s">
        <v>1594</v>
      </c>
      <c r="W489">
        <v>6800</v>
      </c>
      <c r="X489" t="s">
        <v>44</v>
      </c>
      <c r="Y489" t="s">
        <v>63</v>
      </c>
      <c r="Z489" t="s">
        <v>48</v>
      </c>
      <c r="AA489" s="10">
        <f>IF(O489&lt;=1,7,7+0.8*ROUNDUP(O489-1,0))</f>
        <v>7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14"/>
        <v>0.42</v>
      </c>
      <c r="AG489" s="11">
        <f t="shared" si="15"/>
        <v>7.42</v>
      </c>
      <c r="AH489" t="s">
        <v>49</v>
      </c>
    </row>
    <row r="490" spans="1:34" ht="15" customHeight="1" x14ac:dyDescent="0.35">
      <c r="A490">
        <v>7547676</v>
      </c>
      <c r="B490">
        <v>690929</v>
      </c>
      <c r="C490" t="s">
        <v>34</v>
      </c>
      <c r="D490" t="s">
        <v>35</v>
      </c>
      <c r="E490" s="6" t="s">
        <v>34</v>
      </c>
      <c r="F490" t="s">
        <v>1595</v>
      </c>
      <c r="G490" t="s">
        <v>37</v>
      </c>
      <c r="H490" t="s">
        <v>38</v>
      </c>
      <c r="I490" t="s">
        <v>1596</v>
      </c>
      <c r="J490" t="s">
        <v>40</v>
      </c>
      <c r="K490">
        <v>2</v>
      </c>
      <c r="L490" t="s">
        <v>41</v>
      </c>
      <c r="M490" t="s">
        <v>42</v>
      </c>
      <c r="N490" t="s">
        <v>43</v>
      </c>
      <c r="O490" s="7">
        <v>1</v>
      </c>
      <c r="P490" s="8">
        <v>45242.898935185185</v>
      </c>
      <c r="Q490" s="9">
        <v>45244</v>
      </c>
      <c r="R490" t="s">
        <v>37</v>
      </c>
      <c r="S490" t="s">
        <v>44</v>
      </c>
      <c r="T490" t="s">
        <v>45</v>
      </c>
      <c r="U490" t="s">
        <v>52</v>
      </c>
      <c r="V490" t="s">
        <v>1597</v>
      </c>
      <c r="W490">
        <v>22200</v>
      </c>
      <c r="X490" t="s">
        <v>44</v>
      </c>
      <c r="Y490" t="s">
        <v>145</v>
      </c>
      <c r="Z490" t="s">
        <v>48</v>
      </c>
      <c r="AA490" s="10">
        <f>IF(O490&lt;=1,7,7+0.8*ROUNDUP(O490-1,0))</f>
        <v>7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14"/>
        <v>0.42</v>
      </c>
      <c r="AG490" s="11">
        <f t="shared" si="15"/>
        <v>7.42</v>
      </c>
      <c r="AH490" t="s">
        <v>49</v>
      </c>
    </row>
    <row r="491" spans="1:34" ht="15" customHeight="1" x14ac:dyDescent="0.35">
      <c r="A491">
        <v>7547676</v>
      </c>
      <c r="B491">
        <v>690929</v>
      </c>
      <c r="C491" t="s">
        <v>34</v>
      </c>
      <c r="D491" t="s">
        <v>35</v>
      </c>
      <c r="E491" s="6" t="s">
        <v>34</v>
      </c>
      <c r="F491" t="s">
        <v>1598</v>
      </c>
      <c r="G491" t="s">
        <v>37</v>
      </c>
      <c r="H491" t="s">
        <v>38</v>
      </c>
      <c r="I491" t="s">
        <v>1599</v>
      </c>
      <c r="J491" t="s">
        <v>40</v>
      </c>
      <c r="K491">
        <v>2</v>
      </c>
      <c r="L491" t="s">
        <v>41</v>
      </c>
      <c r="M491" t="s">
        <v>42</v>
      </c>
      <c r="N491" t="s">
        <v>43</v>
      </c>
      <c r="O491" s="7">
        <v>2</v>
      </c>
      <c r="P491" s="8">
        <v>45241.959097222221</v>
      </c>
      <c r="Q491" s="9">
        <v>45244</v>
      </c>
      <c r="R491" t="s">
        <v>37</v>
      </c>
      <c r="S491" t="s">
        <v>44</v>
      </c>
      <c r="T491" t="s">
        <v>45</v>
      </c>
      <c r="U491" t="s">
        <v>66</v>
      </c>
      <c r="V491" t="s">
        <v>1600</v>
      </c>
      <c r="W491">
        <v>58200</v>
      </c>
      <c r="X491" t="s">
        <v>44</v>
      </c>
      <c r="Y491" t="s">
        <v>192</v>
      </c>
      <c r="Z491" t="s">
        <v>48</v>
      </c>
      <c r="AA491" s="10">
        <f>IF(O491&lt;=1,7,7+0.8*ROUNDUP(O491-1,0))</f>
        <v>7.8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14"/>
        <v>0.46799999999999997</v>
      </c>
      <c r="AG491" s="11">
        <f t="shared" si="15"/>
        <v>8.2680000000000007</v>
      </c>
      <c r="AH491" t="s">
        <v>49</v>
      </c>
    </row>
    <row r="492" spans="1:34" ht="15" customHeight="1" x14ac:dyDescent="0.35">
      <c r="A492">
        <v>7547676</v>
      </c>
      <c r="B492">
        <v>690929</v>
      </c>
      <c r="C492" t="s">
        <v>34</v>
      </c>
      <c r="D492" t="s">
        <v>35</v>
      </c>
      <c r="E492" s="6" t="s">
        <v>34</v>
      </c>
      <c r="F492" t="s">
        <v>1601</v>
      </c>
      <c r="G492" t="s">
        <v>37</v>
      </c>
      <c r="H492" t="s">
        <v>38</v>
      </c>
      <c r="I492" t="s">
        <v>1602</v>
      </c>
      <c r="J492" t="s">
        <v>40</v>
      </c>
      <c r="K492">
        <v>2</v>
      </c>
      <c r="L492" t="s">
        <v>41</v>
      </c>
      <c r="M492" t="s">
        <v>42</v>
      </c>
      <c r="N492" t="s">
        <v>43</v>
      </c>
      <c r="O492" s="7">
        <v>15</v>
      </c>
      <c r="P492" s="8">
        <v>45243.725034722222</v>
      </c>
      <c r="Q492" s="9">
        <v>45244</v>
      </c>
      <c r="R492" t="s">
        <v>37</v>
      </c>
      <c r="S492" t="s">
        <v>44</v>
      </c>
      <c r="T492" t="s">
        <v>45</v>
      </c>
      <c r="U492" t="s">
        <v>52</v>
      </c>
      <c r="V492" t="s">
        <v>1603</v>
      </c>
      <c r="W492">
        <v>21100</v>
      </c>
      <c r="X492" t="s">
        <v>44</v>
      </c>
      <c r="Y492" t="s">
        <v>1532</v>
      </c>
      <c r="Z492" t="s">
        <v>48</v>
      </c>
      <c r="AA492" s="10">
        <f>IF(O492&lt;=1,7,7+0.8*ROUNDUP(O492-1,0))</f>
        <v>18.200000000000003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14"/>
        <v>1.0920000000000001</v>
      </c>
      <c r="AG492" s="11">
        <f t="shared" si="15"/>
        <v>19.292000000000002</v>
      </c>
      <c r="AH492" t="s">
        <v>49</v>
      </c>
    </row>
    <row r="493" spans="1:34" ht="15" customHeight="1" x14ac:dyDescent="0.35">
      <c r="A493">
        <v>7547676</v>
      </c>
      <c r="B493">
        <v>690929</v>
      </c>
      <c r="C493" t="s">
        <v>34</v>
      </c>
      <c r="D493" t="s">
        <v>35</v>
      </c>
      <c r="E493" s="6" t="s">
        <v>34</v>
      </c>
      <c r="F493" t="s">
        <v>1604</v>
      </c>
      <c r="G493" t="s">
        <v>37</v>
      </c>
      <c r="H493" t="s">
        <v>38</v>
      </c>
      <c r="I493" t="s">
        <v>1605</v>
      </c>
      <c r="J493" t="s">
        <v>40</v>
      </c>
      <c r="K493">
        <v>2</v>
      </c>
      <c r="L493" t="s">
        <v>41</v>
      </c>
      <c r="M493" t="s">
        <v>42</v>
      </c>
      <c r="N493" t="s">
        <v>43</v>
      </c>
      <c r="O493" s="7">
        <v>2</v>
      </c>
      <c r="P493" s="8">
        <v>45242.511990740742</v>
      </c>
      <c r="Q493" s="9">
        <v>45244</v>
      </c>
      <c r="R493" t="s">
        <v>37</v>
      </c>
      <c r="S493" t="s">
        <v>44</v>
      </c>
      <c r="T493" t="s">
        <v>45</v>
      </c>
      <c r="U493" t="s">
        <v>89</v>
      </c>
      <c r="V493" t="s">
        <v>1606</v>
      </c>
      <c r="W493">
        <v>86000</v>
      </c>
      <c r="X493" t="s">
        <v>44</v>
      </c>
      <c r="Y493" t="s">
        <v>663</v>
      </c>
      <c r="Z493" t="s">
        <v>48</v>
      </c>
      <c r="AA493" s="10">
        <f>IF(O493&lt;=1,7,7+0.8*ROUNDUP(O493-1,0))</f>
        <v>7.8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14"/>
        <v>0.46799999999999997</v>
      </c>
      <c r="AG493" s="11">
        <f t="shared" si="15"/>
        <v>8.2680000000000007</v>
      </c>
      <c r="AH493" t="s">
        <v>49</v>
      </c>
    </row>
    <row r="494" spans="1:34" ht="15" customHeight="1" x14ac:dyDescent="0.35">
      <c r="A494">
        <v>7547676</v>
      </c>
      <c r="B494">
        <v>690929</v>
      </c>
      <c r="C494" t="s">
        <v>34</v>
      </c>
      <c r="D494" t="s">
        <v>35</v>
      </c>
      <c r="E494" s="6" t="s">
        <v>34</v>
      </c>
      <c r="F494" t="s">
        <v>1607</v>
      </c>
      <c r="G494" t="s">
        <v>37</v>
      </c>
      <c r="H494" t="s">
        <v>38</v>
      </c>
      <c r="I494" t="s">
        <v>1608</v>
      </c>
      <c r="J494" t="s">
        <v>40</v>
      </c>
      <c r="K494">
        <v>2</v>
      </c>
      <c r="L494" t="s">
        <v>41</v>
      </c>
      <c r="M494" t="s">
        <v>42</v>
      </c>
      <c r="N494" t="s">
        <v>43</v>
      </c>
      <c r="O494" s="7">
        <v>1</v>
      </c>
      <c r="P494" s="8">
        <v>45242.62427083333</v>
      </c>
      <c r="Q494" s="9">
        <v>45244</v>
      </c>
      <c r="R494" t="s">
        <v>37</v>
      </c>
      <c r="S494" t="s">
        <v>44</v>
      </c>
      <c r="T494" t="s">
        <v>45</v>
      </c>
      <c r="U494" t="s">
        <v>52</v>
      </c>
      <c r="V494" t="s">
        <v>1609</v>
      </c>
      <c r="W494">
        <v>21020</v>
      </c>
      <c r="X494" t="s">
        <v>44</v>
      </c>
      <c r="Y494" t="s">
        <v>368</v>
      </c>
      <c r="Z494" t="s">
        <v>48</v>
      </c>
      <c r="AA494" s="10">
        <f>IF(O494&lt;=1,7,7+0.8*ROUNDUP(O494-1,0))</f>
        <v>7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14"/>
        <v>0.42</v>
      </c>
      <c r="AG494" s="11">
        <f t="shared" si="15"/>
        <v>7.42</v>
      </c>
      <c r="AH494" t="s">
        <v>49</v>
      </c>
    </row>
    <row r="495" spans="1:34" ht="15" customHeight="1" x14ac:dyDescent="0.35">
      <c r="A495">
        <v>7547676</v>
      </c>
      <c r="B495">
        <v>690929</v>
      </c>
      <c r="C495" t="s">
        <v>34</v>
      </c>
      <c r="D495" t="s">
        <v>35</v>
      </c>
      <c r="E495" s="6" t="s">
        <v>34</v>
      </c>
      <c r="F495" t="s">
        <v>1610</v>
      </c>
      <c r="G495" t="s">
        <v>37</v>
      </c>
      <c r="H495" t="s">
        <v>38</v>
      </c>
      <c r="I495" t="s">
        <v>1611</v>
      </c>
      <c r="J495" t="s">
        <v>40</v>
      </c>
      <c r="K495">
        <v>2</v>
      </c>
      <c r="L495" t="s">
        <v>41</v>
      </c>
      <c r="M495" t="s">
        <v>42</v>
      </c>
      <c r="N495" t="s">
        <v>43</v>
      </c>
      <c r="O495" s="7">
        <v>2</v>
      </c>
      <c r="P495" s="8">
        <v>45243.589606481481</v>
      </c>
      <c r="Q495" s="9">
        <v>45244</v>
      </c>
      <c r="R495" t="s">
        <v>37</v>
      </c>
      <c r="S495" t="s">
        <v>44</v>
      </c>
      <c r="T495" t="s">
        <v>45</v>
      </c>
      <c r="U495" t="s">
        <v>52</v>
      </c>
      <c r="V495" t="s">
        <v>1612</v>
      </c>
      <c r="W495">
        <v>21200</v>
      </c>
      <c r="X495" t="s">
        <v>44</v>
      </c>
      <c r="Y495" t="s">
        <v>368</v>
      </c>
      <c r="Z495" t="s">
        <v>48</v>
      </c>
      <c r="AA495" s="10">
        <f>IF(O495&lt;=1,7,7+0.8*ROUNDUP(O495-1,0))</f>
        <v>7.8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14"/>
        <v>0.46799999999999997</v>
      </c>
      <c r="AG495" s="11">
        <f t="shared" si="15"/>
        <v>8.2680000000000007</v>
      </c>
      <c r="AH495" t="s">
        <v>49</v>
      </c>
    </row>
    <row r="496" spans="1:34" ht="15" customHeight="1" x14ac:dyDescent="0.35">
      <c r="A496">
        <v>7547676</v>
      </c>
      <c r="B496">
        <v>690929</v>
      </c>
      <c r="C496" t="s">
        <v>34</v>
      </c>
      <c r="D496" t="s">
        <v>35</v>
      </c>
      <c r="E496" s="6" t="s">
        <v>34</v>
      </c>
      <c r="F496" t="s">
        <v>1613</v>
      </c>
      <c r="G496" t="s">
        <v>37</v>
      </c>
      <c r="H496" t="s">
        <v>38</v>
      </c>
      <c r="I496" t="s">
        <v>1614</v>
      </c>
      <c r="J496" t="s">
        <v>40</v>
      </c>
      <c r="K496">
        <v>2</v>
      </c>
      <c r="L496" t="s">
        <v>41</v>
      </c>
      <c r="M496" t="s">
        <v>42</v>
      </c>
      <c r="N496" t="s">
        <v>43</v>
      </c>
      <c r="O496" s="7">
        <v>1</v>
      </c>
      <c r="P496" s="8">
        <v>45241.951203703706</v>
      </c>
      <c r="Q496" s="9">
        <v>45244</v>
      </c>
      <c r="R496" t="s">
        <v>37</v>
      </c>
      <c r="S496" t="s">
        <v>44</v>
      </c>
      <c r="T496" t="s">
        <v>45</v>
      </c>
      <c r="U496" t="s">
        <v>70</v>
      </c>
      <c r="V496" t="s">
        <v>1615</v>
      </c>
      <c r="W496">
        <v>76450</v>
      </c>
      <c r="X496" t="s">
        <v>44</v>
      </c>
      <c r="Y496" t="s">
        <v>379</v>
      </c>
      <c r="Z496" t="s">
        <v>48</v>
      </c>
      <c r="AA496" s="10">
        <f>IF(O496&lt;=1,7,7+0.8*ROUNDUP(O496-1,0))</f>
        <v>7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14"/>
        <v>0.42</v>
      </c>
      <c r="AG496" s="11">
        <f t="shared" si="15"/>
        <v>7.42</v>
      </c>
      <c r="AH496" t="s">
        <v>49</v>
      </c>
    </row>
    <row r="497" spans="1:34" ht="15" customHeight="1" x14ac:dyDescent="0.35">
      <c r="A497">
        <v>7547676</v>
      </c>
      <c r="B497">
        <v>690929</v>
      </c>
      <c r="C497" t="s">
        <v>34</v>
      </c>
      <c r="D497" t="s">
        <v>35</v>
      </c>
      <c r="E497" s="6" t="s">
        <v>34</v>
      </c>
      <c r="F497" t="s">
        <v>1616</v>
      </c>
      <c r="G497" t="s">
        <v>37</v>
      </c>
      <c r="H497" t="s">
        <v>38</v>
      </c>
      <c r="I497" t="s">
        <v>1617</v>
      </c>
      <c r="J497" t="s">
        <v>40</v>
      </c>
      <c r="K497">
        <v>2</v>
      </c>
      <c r="L497" t="s">
        <v>41</v>
      </c>
      <c r="M497" t="s">
        <v>42</v>
      </c>
      <c r="N497" t="s">
        <v>43</v>
      </c>
      <c r="O497" s="7">
        <v>1</v>
      </c>
      <c r="P497" s="8">
        <v>45241.951203703706</v>
      </c>
      <c r="Q497" s="9">
        <v>45244</v>
      </c>
      <c r="R497" t="s">
        <v>37</v>
      </c>
      <c r="S497" t="s">
        <v>44</v>
      </c>
      <c r="T497" t="s">
        <v>45</v>
      </c>
      <c r="U497" t="s">
        <v>57</v>
      </c>
      <c r="V497" t="s">
        <v>1618</v>
      </c>
      <c r="W497">
        <v>47650</v>
      </c>
      <c r="X497" t="s">
        <v>44</v>
      </c>
      <c r="Y497" t="s">
        <v>63</v>
      </c>
      <c r="Z497" t="s">
        <v>48</v>
      </c>
      <c r="AA497" s="10">
        <f>IF(O497&lt;=1,7,7+0.8*ROUNDUP(O497-1,0))</f>
        <v>7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14"/>
        <v>0.42</v>
      </c>
      <c r="AG497" s="11">
        <f t="shared" si="15"/>
        <v>7.42</v>
      </c>
      <c r="AH497" t="s">
        <v>49</v>
      </c>
    </row>
    <row r="498" spans="1:34" ht="15" customHeight="1" x14ac:dyDescent="0.35">
      <c r="A498">
        <v>7547676</v>
      </c>
      <c r="B498">
        <v>690929</v>
      </c>
      <c r="C498" t="s">
        <v>34</v>
      </c>
      <c r="D498" t="s">
        <v>35</v>
      </c>
      <c r="E498" s="6" t="s">
        <v>34</v>
      </c>
      <c r="F498" t="s">
        <v>1619</v>
      </c>
      <c r="G498" t="s">
        <v>37</v>
      </c>
      <c r="H498" t="s">
        <v>38</v>
      </c>
      <c r="I498" t="s">
        <v>1620</v>
      </c>
      <c r="J498" t="s">
        <v>40</v>
      </c>
      <c r="K498">
        <v>2</v>
      </c>
      <c r="L498" t="s">
        <v>41</v>
      </c>
      <c r="M498" t="s">
        <v>42</v>
      </c>
      <c r="N498" t="s">
        <v>43</v>
      </c>
      <c r="O498" s="7">
        <v>1</v>
      </c>
      <c r="P498" s="8">
        <v>45241.959097222221</v>
      </c>
      <c r="Q498" s="9">
        <v>45244</v>
      </c>
      <c r="R498" t="s">
        <v>37</v>
      </c>
      <c r="S498" t="s">
        <v>44</v>
      </c>
      <c r="T498" t="s">
        <v>45</v>
      </c>
      <c r="U498" t="s">
        <v>66</v>
      </c>
      <c r="V498" t="s">
        <v>1621</v>
      </c>
      <c r="W498">
        <v>47820</v>
      </c>
      <c r="X498" t="s">
        <v>44</v>
      </c>
      <c r="Y498" t="s">
        <v>484</v>
      </c>
      <c r="Z498" t="s">
        <v>48</v>
      </c>
      <c r="AA498" s="10">
        <f>IF(O498&lt;=1,7,7+0.8*ROUNDUP(O498-1,0))</f>
        <v>7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14"/>
        <v>0.42</v>
      </c>
      <c r="AG498" s="11">
        <f t="shared" si="15"/>
        <v>7.42</v>
      </c>
      <c r="AH498" t="s">
        <v>49</v>
      </c>
    </row>
    <row r="499" spans="1:34" ht="15" customHeight="1" x14ac:dyDescent="0.35">
      <c r="A499">
        <v>7547676</v>
      </c>
      <c r="B499">
        <v>690929</v>
      </c>
      <c r="C499" t="s">
        <v>34</v>
      </c>
      <c r="D499" t="s">
        <v>35</v>
      </c>
      <c r="E499" s="6" t="s">
        <v>34</v>
      </c>
      <c r="F499" t="s">
        <v>1622</v>
      </c>
      <c r="G499" t="s">
        <v>37</v>
      </c>
      <c r="H499" t="s">
        <v>38</v>
      </c>
      <c r="I499" t="s">
        <v>1623</v>
      </c>
      <c r="J499" t="s">
        <v>40</v>
      </c>
      <c r="K499">
        <v>2</v>
      </c>
      <c r="L499" t="s">
        <v>41</v>
      </c>
      <c r="M499" t="s">
        <v>42</v>
      </c>
      <c r="N499" t="s">
        <v>43</v>
      </c>
      <c r="O499" s="7">
        <v>1</v>
      </c>
      <c r="P499" s="8">
        <v>45243.725034722222</v>
      </c>
      <c r="Q499" s="9">
        <v>45245</v>
      </c>
      <c r="R499" t="s">
        <v>37</v>
      </c>
      <c r="S499" t="s">
        <v>44</v>
      </c>
      <c r="T499" t="s">
        <v>45</v>
      </c>
      <c r="U499" t="s">
        <v>128</v>
      </c>
      <c r="V499" t="s">
        <v>1624</v>
      </c>
      <c r="W499">
        <v>71350</v>
      </c>
      <c r="X499" t="s">
        <v>44</v>
      </c>
      <c r="Y499" t="s">
        <v>647</v>
      </c>
      <c r="Z499" t="s">
        <v>48</v>
      </c>
      <c r="AA499" s="10">
        <f>IF(O499&lt;=1,7,7+0.8*ROUNDUP(O499-1,0))</f>
        <v>7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14"/>
        <v>0.42</v>
      </c>
      <c r="AG499" s="11">
        <f t="shared" si="15"/>
        <v>7.42</v>
      </c>
      <c r="AH499" t="s">
        <v>49</v>
      </c>
    </row>
    <row r="500" spans="1:34" ht="15" customHeight="1" x14ac:dyDescent="0.35">
      <c r="A500">
        <v>7547676</v>
      </c>
      <c r="B500">
        <v>690929</v>
      </c>
      <c r="C500" t="s">
        <v>34</v>
      </c>
      <c r="D500" t="s">
        <v>35</v>
      </c>
      <c r="E500" s="6" t="s">
        <v>34</v>
      </c>
      <c r="F500" t="s">
        <v>1625</v>
      </c>
      <c r="G500" t="s">
        <v>37</v>
      </c>
      <c r="H500" t="s">
        <v>38</v>
      </c>
      <c r="I500" t="s">
        <v>1626</v>
      </c>
      <c r="J500" t="s">
        <v>40</v>
      </c>
      <c r="K500">
        <v>2</v>
      </c>
      <c r="L500" t="s">
        <v>41</v>
      </c>
      <c r="M500" t="s">
        <v>42</v>
      </c>
      <c r="N500" t="s">
        <v>43</v>
      </c>
      <c r="O500" s="7">
        <v>2</v>
      </c>
      <c r="P500" s="8">
        <v>45241.70753472222</v>
      </c>
      <c r="Q500" s="9">
        <v>45245</v>
      </c>
      <c r="R500" t="s">
        <v>37</v>
      </c>
      <c r="S500" t="s">
        <v>44</v>
      </c>
      <c r="T500" t="s">
        <v>45</v>
      </c>
      <c r="U500" t="s">
        <v>232</v>
      </c>
      <c r="V500" t="s">
        <v>1627</v>
      </c>
      <c r="W500">
        <v>98000</v>
      </c>
      <c r="X500" t="s">
        <v>228</v>
      </c>
      <c r="Y500" t="s">
        <v>63</v>
      </c>
      <c r="Z500" t="s">
        <v>48</v>
      </c>
      <c r="AA500" s="12">
        <f>IF(O500&lt;=1,13,IF(O500&lt;=2,23,IF(O500&lt;=3,35,IF(O500&lt;=4,43,IF(O500&lt;=5,53,IF(O500&lt;=6,63,IF(O500&lt;=7,71,IF(O500&lt;=8,79,IF(O500&lt;=9,87,IF(O500&lt;=10,95,IF(O500&lt;=11,105,IF(O500&lt;=12,114,IF(O500&lt;=13,119,IF(O500&lt;=14,127,IF(O500&lt;=15,135,IF(O500&lt;=16,143,IF(O500&lt;=17,153,IF(O500&lt;=18,163,IF(O500&lt;=19,171,IF(O500&lt;=20,185,IF(O500&lt;=21,193,IF(O500&lt;=22,201,IF(O500&lt;=23,210,IF(O500&lt;=24,220,IF(O500&lt;=25,230,IF(O500&lt;=26,240,IF(O500&lt;=27,250,IF(O500&lt;=28,260,IF(O500&lt;=29,270,IF(O500&lt;=30,280,280+10*ROUNDUP(O500-30,0)))))))))))))))))))))))))))))))</f>
        <v>23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14"/>
        <v>1.38</v>
      </c>
      <c r="AG500" s="11">
        <f t="shared" si="15"/>
        <v>24.38</v>
      </c>
      <c r="AH500" t="s">
        <v>229</v>
      </c>
    </row>
    <row r="501" spans="1:34" ht="15" customHeight="1" x14ac:dyDescent="0.35">
      <c r="A501">
        <v>7547676</v>
      </c>
      <c r="B501">
        <v>690929</v>
      </c>
      <c r="C501" t="s">
        <v>34</v>
      </c>
      <c r="D501" t="s">
        <v>35</v>
      </c>
      <c r="E501" s="6" t="s">
        <v>34</v>
      </c>
      <c r="F501" t="s">
        <v>1628</v>
      </c>
      <c r="G501" t="s">
        <v>37</v>
      </c>
      <c r="H501" t="s">
        <v>38</v>
      </c>
      <c r="I501" t="s">
        <v>1629</v>
      </c>
      <c r="J501" t="s">
        <v>40</v>
      </c>
      <c r="K501">
        <v>2</v>
      </c>
      <c r="L501" t="s">
        <v>41</v>
      </c>
      <c r="M501" t="s">
        <v>42</v>
      </c>
      <c r="N501" t="s">
        <v>43</v>
      </c>
      <c r="O501" s="7">
        <v>1</v>
      </c>
      <c r="P501" s="8">
        <v>45240.449050925927</v>
      </c>
      <c r="Q501" s="9">
        <v>45245</v>
      </c>
      <c r="R501" t="s">
        <v>37</v>
      </c>
      <c r="S501" t="s">
        <v>44</v>
      </c>
      <c r="T501" t="s">
        <v>145</v>
      </c>
      <c r="U501" t="s">
        <v>187</v>
      </c>
      <c r="V501" t="s">
        <v>1630</v>
      </c>
      <c r="W501">
        <v>34600</v>
      </c>
      <c r="X501" t="s">
        <v>44</v>
      </c>
      <c r="Y501" t="s">
        <v>145</v>
      </c>
      <c r="Z501" t="s">
        <v>48</v>
      </c>
      <c r="AA501" s="10">
        <f>IF(O501&lt;=1,7,7+0.8*ROUNDUP(O501-1,0))</f>
        <v>7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14"/>
        <v>0.42</v>
      </c>
      <c r="AG501" s="11">
        <f t="shared" si="15"/>
        <v>7.42</v>
      </c>
      <c r="AH501" t="s">
        <v>49</v>
      </c>
    </row>
    <row r="502" spans="1:34" ht="15" customHeight="1" x14ac:dyDescent="0.35">
      <c r="A502">
        <v>7547676</v>
      </c>
      <c r="B502">
        <v>690929</v>
      </c>
      <c r="C502" t="s">
        <v>34</v>
      </c>
      <c r="D502" t="s">
        <v>35</v>
      </c>
      <c r="E502" s="6" t="s">
        <v>34</v>
      </c>
      <c r="F502" t="s">
        <v>1631</v>
      </c>
      <c r="G502" t="s">
        <v>37</v>
      </c>
      <c r="H502" t="s">
        <v>38</v>
      </c>
      <c r="I502" t="s">
        <v>1632</v>
      </c>
      <c r="J502" t="s">
        <v>40</v>
      </c>
      <c r="K502">
        <v>2</v>
      </c>
      <c r="L502" t="s">
        <v>41</v>
      </c>
      <c r="M502" t="s">
        <v>42</v>
      </c>
      <c r="N502" t="s">
        <v>43</v>
      </c>
      <c r="O502" s="7">
        <v>1</v>
      </c>
      <c r="P502" s="8">
        <v>45243.752233796295</v>
      </c>
      <c r="Q502" s="9">
        <v>45245</v>
      </c>
      <c r="R502" t="s">
        <v>37</v>
      </c>
      <c r="S502" t="s">
        <v>44</v>
      </c>
      <c r="T502" t="s">
        <v>45</v>
      </c>
      <c r="U502" t="s">
        <v>187</v>
      </c>
      <c r="V502" t="s">
        <v>1633</v>
      </c>
      <c r="W502">
        <v>36100</v>
      </c>
      <c r="X502" t="s">
        <v>44</v>
      </c>
      <c r="Y502" t="s">
        <v>1634</v>
      </c>
      <c r="Z502" t="s">
        <v>48</v>
      </c>
      <c r="AA502" s="10">
        <f>IF(O502&lt;=1,7,7+0.8*ROUNDUP(O502-1,0))</f>
        <v>7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14"/>
        <v>0.42</v>
      </c>
      <c r="AG502" s="11">
        <f t="shared" si="15"/>
        <v>7.42</v>
      </c>
      <c r="AH502" t="s">
        <v>49</v>
      </c>
    </row>
    <row r="503" spans="1:34" ht="15" customHeight="1" x14ac:dyDescent="0.35">
      <c r="A503">
        <v>7547676</v>
      </c>
      <c r="B503">
        <v>690929</v>
      </c>
      <c r="C503" t="s">
        <v>34</v>
      </c>
      <c r="D503" t="s">
        <v>35</v>
      </c>
      <c r="E503" s="6" t="s">
        <v>34</v>
      </c>
      <c r="F503" t="s">
        <v>1635</v>
      </c>
      <c r="G503" t="s">
        <v>37</v>
      </c>
      <c r="H503" t="s">
        <v>38</v>
      </c>
      <c r="I503" t="s">
        <v>1636</v>
      </c>
      <c r="J503" t="s">
        <v>40</v>
      </c>
      <c r="K503">
        <v>2</v>
      </c>
      <c r="L503" t="s">
        <v>41</v>
      </c>
      <c r="M503" t="s">
        <v>42</v>
      </c>
      <c r="N503" t="s">
        <v>43</v>
      </c>
      <c r="O503" s="7">
        <v>1</v>
      </c>
      <c r="P503" s="8">
        <v>45243.752233796295</v>
      </c>
      <c r="Q503" s="9">
        <v>45245</v>
      </c>
      <c r="R503" t="s">
        <v>37</v>
      </c>
      <c r="S503" t="s">
        <v>44</v>
      </c>
      <c r="T503" t="s">
        <v>45</v>
      </c>
      <c r="U503" t="s">
        <v>57</v>
      </c>
      <c r="V503" t="s">
        <v>1637</v>
      </c>
      <c r="W503">
        <v>41150</v>
      </c>
      <c r="X503" t="s">
        <v>44</v>
      </c>
      <c r="Y503" t="s">
        <v>63</v>
      </c>
      <c r="Z503" t="s">
        <v>48</v>
      </c>
      <c r="AA503" s="10">
        <f>IF(O503&lt;=1,7,7+0.8*ROUNDUP(O503-1,0))</f>
        <v>7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14"/>
        <v>0.42</v>
      </c>
      <c r="AG503" s="11">
        <f t="shared" si="15"/>
        <v>7.42</v>
      </c>
      <c r="AH503" t="s">
        <v>49</v>
      </c>
    </row>
    <row r="504" spans="1:34" ht="15" customHeight="1" x14ac:dyDescent="0.35">
      <c r="A504">
        <v>7547676</v>
      </c>
      <c r="B504">
        <v>690929</v>
      </c>
      <c r="C504" t="s">
        <v>34</v>
      </c>
      <c r="D504" t="s">
        <v>35</v>
      </c>
      <c r="E504" s="6" t="s">
        <v>34</v>
      </c>
      <c r="F504" t="s">
        <v>1638</v>
      </c>
      <c r="H504" t="s">
        <v>38</v>
      </c>
      <c r="I504" t="s">
        <v>1639</v>
      </c>
      <c r="J504" t="s">
        <v>40</v>
      </c>
      <c r="K504">
        <v>2</v>
      </c>
      <c r="L504" t="s">
        <v>41</v>
      </c>
      <c r="M504" t="s">
        <v>42</v>
      </c>
      <c r="N504" t="s">
        <v>43</v>
      </c>
      <c r="O504" s="7">
        <v>1</v>
      </c>
      <c r="P504" s="8">
        <v>45256.720636574071</v>
      </c>
      <c r="Q504" s="9">
        <v>45258</v>
      </c>
      <c r="S504" t="s">
        <v>44</v>
      </c>
      <c r="T504" t="s">
        <v>63</v>
      </c>
      <c r="U504" t="s">
        <v>128</v>
      </c>
      <c r="V504" t="s">
        <v>1640</v>
      </c>
      <c r="W504">
        <v>71050</v>
      </c>
      <c r="X504" t="s">
        <v>44</v>
      </c>
      <c r="Y504" t="s">
        <v>1641</v>
      </c>
      <c r="Z504" t="s">
        <v>48</v>
      </c>
      <c r="AA504" s="10">
        <f>IF(O504&lt;=1,7,7+0.8*ROUNDUP(O504-1,0))</f>
        <v>7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14"/>
        <v>0.42</v>
      </c>
      <c r="AG504" s="11">
        <f t="shared" si="15"/>
        <v>7.42</v>
      </c>
      <c r="AH504" t="s">
        <v>49</v>
      </c>
    </row>
    <row r="505" spans="1:34" ht="15" customHeight="1" x14ac:dyDescent="0.35">
      <c r="A505">
        <v>7547676</v>
      </c>
      <c r="B505">
        <v>690929</v>
      </c>
      <c r="C505" t="s">
        <v>34</v>
      </c>
      <c r="D505" t="s">
        <v>35</v>
      </c>
      <c r="E505" s="6" t="s">
        <v>34</v>
      </c>
      <c r="F505" t="s">
        <v>1642</v>
      </c>
      <c r="H505" t="s">
        <v>38</v>
      </c>
      <c r="I505" t="s">
        <v>1643</v>
      </c>
      <c r="J505" t="s">
        <v>40</v>
      </c>
      <c r="K505">
        <v>2</v>
      </c>
      <c r="L505" t="s">
        <v>41</v>
      </c>
      <c r="M505" t="s">
        <v>42</v>
      </c>
      <c r="N505" t="s">
        <v>43</v>
      </c>
      <c r="O505" s="7">
        <v>1</v>
      </c>
      <c r="P505" s="8">
        <v>45256.550625000003</v>
      </c>
      <c r="Q505" s="9">
        <v>45258</v>
      </c>
      <c r="S505" t="s">
        <v>44</v>
      </c>
      <c r="T505" t="s">
        <v>63</v>
      </c>
      <c r="U505" t="s">
        <v>89</v>
      </c>
      <c r="V505" t="s">
        <v>1644</v>
      </c>
      <c r="W505">
        <v>83700</v>
      </c>
      <c r="X505" t="s">
        <v>44</v>
      </c>
      <c r="Y505" t="s">
        <v>63</v>
      </c>
      <c r="Z505" t="s">
        <v>48</v>
      </c>
      <c r="AA505" s="10">
        <f>IF(O505&lt;=1,7,7+0.8*ROUNDUP(O505-1,0))</f>
        <v>7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14"/>
        <v>0.42</v>
      </c>
      <c r="AG505" s="11">
        <f t="shared" si="15"/>
        <v>7.42</v>
      </c>
      <c r="AH505" t="s">
        <v>49</v>
      </c>
    </row>
    <row r="506" spans="1:34" ht="15" customHeight="1" x14ac:dyDescent="0.35">
      <c r="A506">
        <v>7547676</v>
      </c>
      <c r="B506">
        <v>690929</v>
      </c>
      <c r="C506" t="s">
        <v>34</v>
      </c>
      <c r="D506" t="s">
        <v>35</v>
      </c>
      <c r="E506" s="6" t="s">
        <v>34</v>
      </c>
      <c r="F506" t="s">
        <v>1645</v>
      </c>
      <c r="H506" t="s">
        <v>38</v>
      </c>
      <c r="I506" t="s">
        <v>1646</v>
      </c>
      <c r="J506" t="s">
        <v>40</v>
      </c>
      <c r="K506">
        <v>2</v>
      </c>
      <c r="L506" t="s">
        <v>41</v>
      </c>
      <c r="M506" t="s">
        <v>42</v>
      </c>
      <c r="N506" t="s">
        <v>43</v>
      </c>
      <c r="O506" s="7">
        <v>1</v>
      </c>
      <c r="P506" s="8">
        <v>45256.492129629631</v>
      </c>
      <c r="Q506" s="9">
        <v>45258</v>
      </c>
      <c r="S506" t="s">
        <v>44</v>
      </c>
      <c r="T506" t="s">
        <v>63</v>
      </c>
      <c r="U506" t="s">
        <v>46</v>
      </c>
      <c r="V506" t="s">
        <v>1647</v>
      </c>
      <c r="W506">
        <v>25000</v>
      </c>
      <c r="X506" t="s">
        <v>44</v>
      </c>
      <c r="Y506" t="s">
        <v>63</v>
      </c>
      <c r="Z506" t="s">
        <v>48</v>
      </c>
      <c r="AA506" s="10">
        <f>IF(O506&lt;=1,7,7+0.8*ROUNDUP(O506-1,0))</f>
        <v>7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14"/>
        <v>0.42</v>
      </c>
      <c r="AG506" s="11">
        <f t="shared" si="15"/>
        <v>7.42</v>
      </c>
      <c r="AH506" t="s">
        <v>49</v>
      </c>
    </row>
    <row r="507" spans="1:34" ht="15" customHeight="1" x14ac:dyDescent="0.35">
      <c r="A507">
        <v>7547676</v>
      </c>
      <c r="B507">
        <v>690929</v>
      </c>
      <c r="C507" t="s">
        <v>34</v>
      </c>
      <c r="D507" t="s">
        <v>35</v>
      </c>
      <c r="E507" s="6" t="s">
        <v>34</v>
      </c>
      <c r="F507" t="s">
        <v>1648</v>
      </c>
      <c r="H507" t="s">
        <v>38</v>
      </c>
      <c r="I507" t="s">
        <v>1649</v>
      </c>
      <c r="J507" t="s">
        <v>40</v>
      </c>
      <c r="K507">
        <v>2</v>
      </c>
      <c r="L507" t="s">
        <v>41</v>
      </c>
      <c r="M507" t="s">
        <v>42</v>
      </c>
      <c r="N507" t="s">
        <v>43</v>
      </c>
      <c r="O507" s="7">
        <v>4</v>
      </c>
      <c r="P507" s="8">
        <v>45256.784178240741</v>
      </c>
      <c r="Q507" s="9">
        <v>45258</v>
      </c>
      <c r="S507" t="s">
        <v>44</v>
      </c>
      <c r="T507" t="s">
        <v>45</v>
      </c>
      <c r="U507" t="s">
        <v>57</v>
      </c>
      <c r="V507" t="s">
        <v>1650</v>
      </c>
      <c r="W507">
        <v>43000</v>
      </c>
      <c r="X507" t="s">
        <v>44</v>
      </c>
      <c r="Y507" t="s">
        <v>63</v>
      </c>
      <c r="Z507" t="s">
        <v>48</v>
      </c>
      <c r="AA507" s="10">
        <f>IF(O507&lt;=1,7,7+0.8*ROUNDUP(O507-1,0))</f>
        <v>9.4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14"/>
        <v>0.56399999999999995</v>
      </c>
      <c r="AG507" s="11">
        <f t="shared" si="15"/>
        <v>9.9640000000000004</v>
      </c>
      <c r="AH507" t="s">
        <v>49</v>
      </c>
    </row>
    <row r="508" spans="1:34" ht="15" customHeight="1" x14ac:dyDescent="0.35">
      <c r="A508">
        <v>7547676</v>
      </c>
      <c r="B508">
        <v>690929</v>
      </c>
      <c r="C508" t="s">
        <v>34</v>
      </c>
      <c r="D508" t="s">
        <v>35</v>
      </c>
      <c r="E508" s="6" t="s">
        <v>34</v>
      </c>
      <c r="F508" t="s">
        <v>1651</v>
      </c>
      <c r="H508" t="s">
        <v>38</v>
      </c>
      <c r="I508" t="s">
        <v>1652</v>
      </c>
      <c r="J508" t="s">
        <v>40</v>
      </c>
      <c r="K508">
        <v>2</v>
      </c>
      <c r="L508" t="s">
        <v>41</v>
      </c>
      <c r="M508" t="s">
        <v>42</v>
      </c>
      <c r="N508" t="s">
        <v>43</v>
      </c>
      <c r="O508" s="7">
        <v>1</v>
      </c>
      <c r="P508" s="8">
        <v>45255.799895833334</v>
      </c>
      <c r="Q508" s="9">
        <v>45258</v>
      </c>
      <c r="S508" t="s">
        <v>44</v>
      </c>
      <c r="T508" t="s">
        <v>45</v>
      </c>
      <c r="U508" t="s">
        <v>236</v>
      </c>
      <c r="V508" t="s">
        <v>1653</v>
      </c>
      <c r="W508">
        <v>6000</v>
      </c>
      <c r="X508" t="s">
        <v>44</v>
      </c>
      <c r="Y508" t="s">
        <v>1004</v>
      </c>
      <c r="Z508" t="s">
        <v>48</v>
      </c>
      <c r="AA508" s="10">
        <f>IF(O508&lt;=1,7,7+0.8*ROUNDUP(O508-1,0))</f>
        <v>7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14"/>
        <v>0.42</v>
      </c>
      <c r="AG508" s="11">
        <f t="shared" si="15"/>
        <v>7.42</v>
      </c>
      <c r="AH508" t="s">
        <v>49</v>
      </c>
    </row>
    <row r="509" spans="1:34" ht="15" customHeight="1" x14ac:dyDescent="0.35">
      <c r="A509">
        <v>7547676</v>
      </c>
      <c r="B509">
        <v>690929</v>
      </c>
      <c r="C509" t="s">
        <v>34</v>
      </c>
      <c r="D509" t="s">
        <v>35</v>
      </c>
      <c r="E509" s="6" t="s">
        <v>34</v>
      </c>
      <c r="F509" t="s">
        <v>1654</v>
      </c>
      <c r="H509" t="s">
        <v>38</v>
      </c>
      <c r="I509" t="s">
        <v>1655</v>
      </c>
      <c r="J509" t="s">
        <v>40</v>
      </c>
      <c r="K509">
        <v>2</v>
      </c>
      <c r="L509" t="s">
        <v>41</v>
      </c>
      <c r="M509" t="s">
        <v>42</v>
      </c>
      <c r="N509" t="s">
        <v>43</v>
      </c>
      <c r="O509" s="7">
        <v>1</v>
      </c>
      <c r="P509" s="8">
        <v>45256.784178240741</v>
      </c>
      <c r="Q509" s="9">
        <v>45258</v>
      </c>
      <c r="S509" t="s">
        <v>44</v>
      </c>
      <c r="T509" t="s">
        <v>45</v>
      </c>
      <c r="U509" t="s">
        <v>52</v>
      </c>
      <c r="V509" t="s">
        <v>1656</v>
      </c>
      <c r="W509">
        <v>22020</v>
      </c>
      <c r="X509" t="s">
        <v>44</v>
      </c>
      <c r="Y509" t="s">
        <v>368</v>
      </c>
      <c r="Z509" t="s">
        <v>48</v>
      </c>
      <c r="AA509" s="10">
        <f>IF(O509&lt;=1,7,7+0.8*ROUNDUP(O509-1,0))</f>
        <v>7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14"/>
        <v>0.42</v>
      </c>
      <c r="AG509" s="11">
        <f t="shared" si="15"/>
        <v>7.42</v>
      </c>
      <c r="AH509" t="s">
        <v>49</v>
      </c>
    </row>
    <row r="510" spans="1:34" ht="15" customHeight="1" x14ac:dyDescent="0.35">
      <c r="A510">
        <v>7547676</v>
      </c>
      <c r="B510">
        <v>690929</v>
      </c>
      <c r="C510" t="s">
        <v>34</v>
      </c>
      <c r="D510" t="s">
        <v>35</v>
      </c>
      <c r="E510" s="6" t="s">
        <v>34</v>
      </c>
      <c r="F510" t="s">
        <v>1657</v>
      </c>
      <c r="H510" t="s">
        <v>38</v>
      </c>
      <c r="I510" t="s">
        <v>1658</v>
      </c>
      <c r="J510" t="s">
        <v>40</v>
      </c>
      <c r="K510">
        <v>2</v>
      </c>
      <c r="L510" t="s">
        <v>41</v>
      </c>
      <c r="M510" t="s">
        <v>42</v>
      </c>
      <c r="N510" t="s">
        <v>43</v>
      </c>
      <c r="O510" s="7">
        <v>1</v>
      </c>
      <c r="P510" s="8">
        <v>45256.538136574076</v>
      </c>
      <c r="Q510" s="9">
        <v>45258</v>
      </c>
      <c r="S510" t="s">
        <v>44</v>
      </c>
      <c r="T510" t="s">
        <v>63</v>
      </c>
      <c r="U510" t="s">
        <v>89</v>
      </c>
      <c r="V510" t="s">
        <v>1659</v>
      </c>
      <c r="W510">
        <v>81100</v>
      </c>
      <c r="X510" t="s">
        <v>44</v>
      </c>
      <c r="Y510" t="s">
        <v>63</v>
      </c>
      <c r="Z510" t="s">
        <v>48</v>
      </c>
      <c r="AA510" s="10">
        <f>IF(O510&lt;=1,7,7+0.8*ROUNDUP(O510-1,0))</f>
        <v>7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14"/>
        <v>0.42</v>
      </c>
      <c r="AG510" s="11">
        <f t="shared" si="15"/>
        <v>7.42</v>
      </c>
      <c r="AH510" t="s">
        <v>49</v>
      </c>
    </row>
    <row r="511" spans="1:34" ht="15" customHeight="1" x14ac:dyDescent="0.35">
      <c r="A511">
        <v>7547676</v>
      </c>
      <c r="B511">
        <v>690929</v>
      </c>
      <c r="C511" t="s">
        <v>34</v>
      </c>
      <c r="D511" t="s">
        <v>35</v>
      </c>
      <c r="E511" s="6" t="s">
        <v>34</v>
      </c>
      <c r="F511" t="s">
        <v>1660</v>
      </c>
      <c r="H511" t="s">
        <v>38</v>
      </c>
      <c r="I511" t="s">
        <v>1661</v>
      </c>
      <c r="J511" t="s">
        <v>40</v>
      </c>
      <c r="K511">
        <v>2</v>
      </c>
      <c r="L511" t="s">
        <v>41</v>
      </c>
      <c r="M511" t="s">
        <v>42</v>
      </c>
      <c r="N511" t="s">
        <v>43</v>
      </c>
      <c r="O511" s="7">
        <v>1</v>
      </c>
      <c r="P511" s="8">
        <v>45256.446585648147</v>
      </c>
      <c r="Q511" s="9">
        <v>45258</v>
      </c>
      <c r="S511" t="s">
        <v>44</v>
      </c>
      <c r="T511" t="s">
        <v>63</v>
      </c>
      <c r="U511" t="s">
        <v>882</v>
      </c>
      <c r="V511" t="s">
        <v>1662</v>
      </c>
      <c r="W511">
        <v>2600</v>
      </c>
      <c r="X511" t="s">
        <v>44</v>
      </c>
      <c r="Y511" t="s">
        <v>884</v>
      </c>
      <c r="Z511" t="s">
        <v>48</v>
      </c>
      <c r="AA511" s="10">
        <f>IF(O511&lt;=1,7,7+0.8*ROUNDUP(O511-1,0))</f>
        <v>7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14"/>
        <v>0.42</v>
      </c>
      <c r="AG511" s="11">
        <f t="shared" si="15"/>
        <v>7.42</v>
      </c>
      <c r="AH511" t="s">
        <v>49</v>
      </c>
    </row>
    <row r="512" spans="1:34" ht="15" customHeight="1" x14ac:dyDescent="0.35">
      <c r="A512">
        <v>7547676</v>
      </c>
      <c r="B512">
        <v>690929</v>
      </c>
      <c r="C512" t="s">
        <v>34</v>
      </c>
      <c r="D512" t="s">
        <v>35</v>
      </c>
      <c r="E512" s="6" t="s">
        <v>34</v>
      </c>
      <c r="F512" t="s">
        <v>1663</v>
      </c>
      <c r="H512" t="s">
        <v>38</v>
      </c>
      <c r="I512" t="s">
        <v>244</v>
      </c>
      <c r="J512" t="s">
        <v>40</v>
      </c>
      <c r="K512">
        <v>2</v>
      </c>
      <c r="L512" t="s">
        <v>41</v>
      </c>
      <c r="M512" t="s">
        <v>42</v>
      </c>
      <c r="N512" t="s">
        <v>43</v>
      </c>
      <c r="O512" s="7">
        <v>7</v>
      </c>
      <c r="P512" s="8">
        <v>45255.651979166665</v>
      </c>
      <c r="Q512" s="9">
        <v>45258</v>
      </c>
      <c r="S512" t="s">
        <v>44</v>
      </c>
      <c r="T512" t="s">
        <v>45</v>
      </c>
      <c r="U512" t="s">
        <v>46</v>
      </c>
      <c r="V512" t="s">
        <v>245</v>
      </c>
      <c r="W512">
        <v>39100</v>
      </c>
      <c r="X512" t="s">
        <v>44</v>
      </c>
      <c r="Y512" t="s">
        <v>63</v>
      </c>
      <c r="Z512" t="s">
        <v>48</v>
      </c>
      <c r="AA512" s="10">
        <f>IF(O512&lt;=1,7,7+0.8*ROUNDUP(O512-1,0))</f>
        <v>11.8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14"/>
        <v>0.70799999999999996</v>
      </c>
      <c r="AG512" s="11">
        <f t="shared" si="15"/>
        <v>12.508000000000001</v>
      </c>
      <c r="AH512" t="s">
        <v>49</v>
      </c>
    </row>
    <row r="513" spans="1:34" ht="15" customHeight="1" x14ac:dyDescent="0.35">
      <c r="A513">
        <v>7547676</v>
      </c>
      <c r="B513">
        <v>690929</v>
      </c>
      <c r="C513" t="s">
        <v>34</v>
      </c>
      <c r="D513" t="s">
        <v>35</v>
      </c>
      <c r="E513" s="6" t="s">
        <v>34</v>
      </c>
      <c r="F513" t="s">
        <v>1664</v>
      </c>
      <c r="H513" t="s">
        <v>38</v>
      </c>
      <c r="I513" t="s">
        <v>1012</v>
      </c>
      <c r="J513" t="s">
        <v>40</v>
      </c>
      <c r="K513">
        <v>2</v>
      </c>
      <c r="L513" t="s">
        <v>41</v>
      </c>
      <c r="M513" t="s">
        <v>42</v>
      </c>
      <c r="N513" t="s">
        <v>43</v>
      </c>
      <c r="O513" s="7">
        <v>1</v>
      </c>
      <c r="P513" s="8">
        <v>45256.550625000003</v>
      </c>
      <c r="Q513" s="9">
        <v>45258</v>
      </c>
      <c r="S513" t="s">
        <v>44</v>
      </c>
      <c r="T513" t="s">
        <v>63</v>
      </c>
      <c r="U513" t="s">
        <v>89</v>
      </c>
      <c r="V513" t="s">
        <v>1665</v>
      </c>
      <c r="W513">
        <v>86100</v>
      </c>
      <c r="X513" t="s">
        <v>44</v>
      </c>
      <c r="Y513" t="s">
        <v>63</v>
      </c>
      <c r="Z513" t="s">
        <v>48</v>
      </c>
      <c r="AA513" s="10">
        <f>IF(O513&lt;=1,7,7+0.8*ROUNDUP(O513-1,0))</f>
        <v>7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14"/>
        <v>0.42</v>
      </c>
      <c r="AG513" s="11">
        <f t="shared" si="15"/>
        <v>7.42</v>
      </c>
      <c r="AH513" t="s">
        <v>49</v>
      </c>
    </row>
    <row r="514" spans="1:34" ht="15" customHeight="1" x14ac:dyDescent="0.35">
      <c r="A514">
        <v>7547676</v>
      </c>
      <c r="B514">
        <v>690929</v>
      </c>
      <c r="C514" t="s">
        <v>34</v>
      </c>
      <c r="D514" t="s">
        <v>35</v>
      </c>
      <c r="E514" s="6" t="s">
        <v>34</v>
      </c>
      <c r="F514" t="s">
        <v>1666</v>
      </c>
      <c r="H514" t="s">
        <v>38</v>
      </c>
      <c r="I514" t="s">
        <v>1667</v>
      </c>
      <c r="J514" t="s">
        <v>40</v>
      </c>
      <c r="K514">
        <v>2</v>
      </c>
      <c r="L514" t="s">
        <v>41</v>
      </c>
      <c r="M514" t="s">
        <v>42</v>
      </c>
      <c r="N514" t="s">
        <v>43</v>
      </c>
      <c r="O514" s="7">
        <v>1</v>
      </c>
      <c r="P514" s="8">
        <v>45256.708356481482</v>
      </c>
      <c r="Q514" s="9">
        <v>45258</v>
      </c>
      <c r="S514" t="s">
        <v>44</v>
      </c>
      <c r="T514" t="s">
        <v>63</v>
      </c>
      <c r="U514" t="s">
        <v>236</v>
      </c>
      <c r="V514" t="s">
        <v>1668</v>
      </c>
      <c r="W514">
        <v>8000</v>
      </c>
      <c r="X514" t="s">
        <v>44</v>
      </c>
      <c r="Y514" t="s">
        <v>684</v>
      </c>
      <c r="Z514" t="s">
        <v>48</v>
      </c>
      <c r="AA514" s="10">
        <f>IF(O514&lt;=1,7,7+0.8*ROUNDUP(O514-1,0))</f>
        <v>7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62" si="16">(AA514+AC514+AE514)*6%</f>
        <v>0.42</v>
      </c>
      <c r="AG514" s="11">
        <f t="shared" ref="AG514:AG562" si="17">AA514+AC514+AE514+AF514</f>
        <v>7.42</v>
      </c>
      <c r="AH514" t="s">
        <v>49</v>
      </c>
    </row>
    <row r="515" spans="1:34" ht="15" customHeight="1" x14ac:dyDescent="0.35">
      <c r="A515">
        <v>7547676</v>
      </c>
      <c r="B515">
        <v>690929</v>
      </c>
      <c r="C515" t="s">
        <v>34</v>
      </c>
      <c r="D515" t="s">
        <v>35</v>
      </c>
      <c r="E515" s="6" t="s">
        <v>34</v>
      </c>
      <c r="F515" t="s">
        <v>1669</v>
      </c>
      <c r="H515" t="s">
        <v>38</v>
      </c>
      <c r="I515" t="s">
        <v>1670</v>
      </c>
      <c r="J515" t="s">
        <v>40</v>
      </c>
      <c r="K515">
        <v>2</v>
      </c>
      <c r="L515" t="s">
        <v>41</v>
      </c>
      <c r="M515" t="s">
        <v>42</v>
      </c>
      <c r="N515" t="s">
        <v>43</v>
      </c>
      <c r="O515" s="7">
        <v>1</v>
      </c>
      <c r="P515" s="8">
        <v>45257.481493055559</v>
      </c>
      <c r="Q515" s="9">
        <v>45258</v>
      </c>
      <c r="S515" t="s">
        <v>44</v>
      </c>
      <c r="T515" t="s">
        <v>45</v>
      </c>
      <c r="U515" t="s">
        <v>52</v>
      </c>
      <c r="V515" t="s">
        <v>1671</v>
      </c>
      <c r="W515">
        <v>20050</v>
      </c>
      <c r="X515" t="s">
        <v>44</v>
      </c>
      <c r="Y515" t="s">
        <v>368</v>
      </c>
      <c r="Z515" t="s">
        <v>48</v>
      </c>
      <c r="AA515" s="10">
        <f>IF(O515&lt;=1,7,7+0.8*ROUNDUP(O515-1,0))</f>
        <v>7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16"/>
        <v>0.42</v>
      </c>
      <c r="AG515" s="11">
        <f t="shared" si="17"/>
        <v>7.42</v>
      </c>
      <c r="AH515" t="s">
        <v>49</v>
      </c>
    </row>
    <row r="516" spans="1:34" ht="15" customHeight="1" x14ac:dyDescent="0.35">
      <c r="A516">
        <v>7547676</v>
      </c>
      <c r="B516">
        <v>690929</v>
      </c>
      <c r="C516" t="s">
        <v>34</v>
      </c>
      <c r="D516" t="s">
        <v>35</v>
      </c>
      <c r="E516" s="6" t="s">
        <v>34</v>
      </c>
      <c r="F516" t="s">
        <v>1672</v>
      </c>
      <c r="H516" t="s">
        <v>38</v>
      </c>
      <c r="I516" t="s">
        <v>1673</v>
      </c>
      <c r="J516" t="s">
        <v>40</v>
      </c>
      <c r="K516">
        <v>2</v>
      </c>
      <c r="L516" t="s">
        <v>41</v>
      </c>
      <c r="M516" t="s">
        <v>42</v>
      </c>
      <c r="N516" t="s">
        <v>43</v>
      </c>
      <c r="O516" s="7">
        <v>2</v>
      </c>
      <c r="P516" s="8">
        <v>45256.714606481481</v>
      </c>
      <c r="Q516" s="9">
        <v>45258</v>
      </c>
      <c r="S516" t="s">
        <v>44</v>
      </c>
      <c r="T516" t="s">
        <v>45</v>
      </c>
      <c r="U516" t="s">
        <v>187</v>
      </c>
      <c r="V516" t="s">
        <v>1674</v>
      </c>
      <c r="W516">
        <v>35000</v>
      </c>
      <c r="X516" t="s">
        <v>44</v>
      </c>
      <c r="Y516" t="s">
        <v>654</v>
      </c>
      <c r="Z516" t="s">
        <v>48</v>
      </c>
      <c r="AA516" s="10">
        <f>IF(O516&lt;=1,7,7+0.8*ROUNDUP(O516-1,0))</f>
        <v>7.8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16"/>
        <v>0.46799999999999997</v>
      </c>
      <c r="AG516" s="11">
        <f t="shared" si="17"/>
        <v>8.2680000000000007</v>
      </c>
      <c r="AH516" t="s">
        <v>49</v>
      </c>
    </row>
    <row r="517" spans="1:34" ht="15" customHeight="1" x14ac:dyDescent="0.35">
      <c r="A517">
        <v>7547676</v>
      </c>
      <c r="B517">
        <v>690929</v>
      </c>
      <c r="C517" t="s">
        <v>34</v>
      </c>
      <c r="D517" t="s">
        <v>35</v>
      </c>
      <c r="E517" s="6" t="s">
        <v>34</v>
      </c>
      <c r="F517" t="s">
        <v>1675</v>
      </c>
      <c r="H517" t="s">
        <v>38</v>
      </c>
      <c r="I517" t="s">
        <v>1676</v>
      </c>
      <c r="J517" t="s">
        <v>40</v>
      </c>
      <c r="K517">
        <v>2</v>
      </c>
      <c r="L517" t="s">
        <v>41</v>
      </c>
      <c r="M517" t="s">
        <v>42</v>
      </c>
      <c r="N517" t="s">
        <v>43</v>
      </c>
      <c r="O517" s="7">
        <v>2.2000000000000002</v>
      </c>
      <c r="P517" s="8">
        <v>45244.597175925926</v>
      </c>
      <c r="Q517" s="9">
        <v>45258</v>
      </c>
      <c r="S517" t="s">
        <v>44</v>
      </c>
      <c r="T517" t="s">
        <v>45</v>
      </c>
      <c r="U517" t="s">
        <v>226</v>
      </c>
      <c r="V517" t="s">
        <v>1677</v>
      </c>
      <c r="W517">
        <v>91150</v>
      </c>
      <c r="X517" t="s">
        <v>228</v>
      </c>
      <c r="Y517" t="s">
        <v>63</v>
      </c>
      <c r="Z517" t="s">
        <v>48</v>
      </c>
      <c r="AA517" s="12">
        <f>IF(O517&lt;=1,13,IF(O517&lt;=2,23,IF(O517&lt;=3,35,IF(O517&lt;=4,43,IF(O517&lt;=5,53,IF(O517&lt;=6,63,IF(O517&lt;=7,71,IF(O517&lt;=8,79,IF(O517&lt;=9,87,IF(O517&lt;=10,95,IF(O517&lt;=11,105,IF(O517&lt;=12,114,IF(O517&lt;=13,119,IF(O517&lt;=14,127,IF(O517&lt;=15,135,IF(O517&lt;=16,143,IF(O517&lt;=17,153,IF(O517&lt;=18,163,IF(O517&lt;=19,171,IF(O517&lt;=20,185,IF(O517&lt;=21,193,IF(O517&lt;=22,201,IF(O517&lt;=23,210,IF(O517&lt;=24,220,IF(O517&lt;=25,230,IF(O517&lt;=26,240,IF(O517&lt;=27,250,IF(O517&lt;=28,260,IF(O517&lt;=29,270,IF(O517&lt;=30,280,280+10*ROUNDUP(O517-30,0)))))))))))))))))))))))))))))))</f>
        <v>35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16"/>
        <v>2.1</v>
      </c>
      <c r="AG517" s="11">
        <f t="shared" si="17"/>
        <v>37.1</v>
      </c>
      <c r="AH517" t="s">
        <v>229</v>
      </c>
    </row>
    <row r="518" spans="1:34" ht="15" customHeight="1" x14ac:dyDescent="0.35">
      <c r="A518">
        <v>7547676</v>
      </c>
      <c r="B518">
        <v>690929</v>
      </c>
      <c r="C518" t="s">
        <v>34</v>
      </c>
      <c r="D518" t="s">
        <v>35</v>
      </c>
      <c r="E518" s="6" t="s">
        <v>34</v>
      </c>
      <c r="F518" t="s">
        <v>1678</v>
      </c>
      <c r="H518" t="s">
        <v>38</v>
      </c>
      <c r="I518" t="s">
        <v>1679</v>
      </c>
      <c r="J518" t="s">
        <v>40</v>
      </c>
      <c r="K518">
        <v>2</v>
      </c>
      <c r="L518" t="s">
        <v>41</v>
      </c>
      <c r="M518" t="s">
        <v>42</v>
      </c>
      <c r="N518" t="s">
        <v>43</v>
      </c>
      <c r="O518" s="7">
        <v>1</v>
      </c>
      <c r="P518" s="8">
        <v>45256.827314814815</v>
      </c>
      <c r="Q518" s="9">
        <v>45258</v>
      </c>
      <c r="S518" t="s">
        <v>44</v>
      </c>
      <c r="T518" t="s">
        <v>45</v>
      </c>
      <c r="U518" t="s">
        <v>57</v>
      </c>
      <c r="V518" t="s">
        <v>1680</v>
      </c>
      <c r="W518">
        <v>48300</v>
      </c>
      <c r="X518" t="s">
        <v>44</v>
      </c>
      <c r="Y518" t="s">
        <v>492</v>
      </c>
      <c r="Z518" t="s">
        <v>48</v>
      </c>
      <c r="AA518" s="10">
        <f>IF(O518&lt;=1,7,7+0.8*ROUNDUP(O518-1,0))</f>
        <v>7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16"/>
        <v>0.42</v>
      </c>
      <c r="AG518" s="11">
        <f t="shared" si="17"/>
        <v>7.42</v>
      </c>
      <c r="AH518" t="s">
        <v>49</v>
      </c>
    </row>
    <row r="519" spans="1:34" ht="15" customHeight="1" x14ac:dyDescent="0.35">
      <c r="A519">
        <v>7547676</v>
      </c>
      <c r="B519">
        <v>690929</v>
      </c>
      <c r="C519" t="s">
        <v>34</v>
      </c>
      <c r="D519" t="s">
        <v>35</v>
      </c>
      <c r="E519" s="6" t="s">
        <v>34</v>
      </c>
      <c r="F519" t="s">
        <v>1681</v>
      </c>
      <c r="H519" t="s">
        <v>38</v>
      </c>
      <c r="I519" t="s">
        <v>1682</v>
      </c>
      <c r="J519" t="s">
        <v>40</v>
      </c>
      <c r="K519">
        <v>2</v>
      </c>
      <c r="L519" t="s">
        <v>41</v>
      </c>
      <c r="M519" t="s">
        <v>42</v>
      </c>
      <c r="N519" t="s">
        <v>43</v>
      </c>
      <c r="O519" s="7">
        <v>1</v>
      </c>
      <c r="P519" s="8">
        <v>45257.481493055559</v>
      </c>
      <c r="Q519" s="9">
        <v>45258</v>
      </c>
      <c r="S519" t="s">
        <v>44</v>
      </c>
      <c r="T519" t="s">
        <v>45</v>
      </c>
      <c r="U519" t="s">
        <v>57</v>
      </c>
      <c r="V519" t="s">
        <v>1683</v>
      </c>
      <c r="W519">
        <v>41200</v>
      </c>
      <c r="X519" t="s">
        <v>44</v>
      </c>
      <c r="Y519" t="s">
        <v>63</v>
      </c>
      <c r="Z519" t="s">
        <v>48</v>
      </c>
      <c r="AA519" s="10">
        <f>IF(O519&lt;=1,7,7+0.8*ROUNDUP(O519-1,0))</f>
        <v>7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16"/>
        <v>0.42</v>
      </c>
      <c r="AG519" s="11">
        <f t="shared" si="17"/>
        <v>7.42</v>
      </c>
      <c r="AH519" t="s">
        <v>49</v>
      </c>
    </row>
    <row r="520" spans="1:34" ht="15" customHeight="1" x14ac:dyDescent="0.35">
      <c r="A520">
        <v>7547676</v>
      </c>
      <c r="B520">
        <v>690929</v>
      </c>
      <c r="C520" t="s">
        <v>34</v>
      </c>
      <c r="D520" t="s">
        <v>35</v>
      </c>
      <c r="E520" s="6" t="s">
        <v>34</v>
      </c>
      <c r="F520" t="s">
        <v>1684</v>
      </c>
      <c r="H520" t="s">
        <v>38</v>
      </c>
      <c r="I520" t="s">
        <v>1685</v>
      </c>
      <c r="J520" t="s">
        <v>40</v>
      </c>
      <c r="K520">
        <v>2</v>
      </c>
      <c r="L520" t="s">
        <v>41</v>
      </c>
      <c r="M520" t="s">
        <v>42</v>
      </c>
      <c r="N520" t="s">
        <v>43</v>
      </c>
      <c r="O520" s="7">
        <v>2</v>
      </c>
      <c r="P520" s="8">
        <v>45257.709247685183</v>
      </c>
      <c r="Q520" s="9">
        <v>45259</v>
      </c>
      <c r="S520" t="s">
        <v>44</v>
      </c>
      <c r="T520" t="s">
        <v>45</v>
      </c>
      <c r="U520" t="s">
        <v>89</v>
      </c>
      <c r="V520" t="s">
        <v>1686</v>
      </c>
      <c r="W520">
        <v>84000</v>
      </c>
      <c r="X520" t="s">
        <v>44</v>
      </c>
      <c r="Y520" t="s">
        <v>361</v>
      </c>
      <c r="Z520" t="s">
        <v>48</v>
      </c>
      <c r="AA520" s="10">
        <f>IF(O520&lt;=1,7,7+0.8*ROUNDUP(O520-1,0))</f>
        <v>7.8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16"/>
        <v>0.46799999999999997</v>
      </c>
      <c r="AG520" s="11">
        <f t="shared" si="17"/>
        <v>8.2680000000000007</v>
      </c>
      <c r="AH520" t="s">
        <v>49</v>
      </c>
    </row>
    <row r="521" spans="1:34" ht="15" customHeight="1" x14ac:dyDescent="0.35">
      <c r="A521">
        <v>7547676</v>
      </c>
      <c r="B521">
        <v>690929</v>
      </c>
      <c r="C521" t="s">
        <v>34</v>
      </c>
      <c r="D521" t="s">
        <v>35</v>
      </c>
      <c r="E521" s="6" t="s">
        <v>34</v>
      </c>
      <c r="F521" t="s">
        <v>1687</v>
      </c>
      <c r="H521" t="s">
        <v>38</v>
      </c>
      <c r="I521" t="s">
        <v>1688</v>
      </c>
      <c r="J521" t="s">
        <v>40</v>
      </c>
      <c r="K521">
        <v>2</v>
      </c>
      <c r="L521" t="s">
        <v>41</v>
      </c>
      <c r="M521" t="s">
        <v>42</v>
      </c>
      <c r="N521" t="s">
        <v>43</v>
      </c>
      <c r="O521" s="7">
        <v>1</v>
      </c>
      <c r="P521" s="8">
        <v>45258.514097222222</v>
      </c>
      <c r="Q521" s="9">
        <v>45259</v>
      </c>
      <c r="S521" t="s">
        <v>44</v>
      </c>
      <c r="T521" t="s">
        <v>45</v>
      </c>
      <c r="U521" t="s">
        <v>57</v>
      </c>
      <c r="V521" t="s">
        <v>1689</v>
      </c>
      <c r="W521">
        <v>41050</v>
      </c>
      <c r="X521" t="s">
        <v>44</v>
      </c>
      <c r="Y521" t="s">
        <v>63</v>
      </c>
      <c r="Z521" t="s">
        <v>48</v>
      </c>
      <c r="AA521" s="10">
        <f>IF(O521&lt;=1,7,7+0.8*ROUNDUP(O521-1,0))</f>
        <v>7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16"/>
        <v>0.42</v>
      </c>
      <c r="AG521" s="11">
        <f t="shared" si="17"/>
        <v>7.42</v>
      </c>
      <c r="AH521" t="s">
        <v>49</v>
      </c>
    </row>
    <row r="522" spans="1:34" ht="15" customHeight="1" x14ac:dyDescent="0.35">
      <c r="A522">
        <v>7547676</v>
      </c>
      <c r="B522">
        <v>690929</v>
      </c>
      <c r="C522" t="s">
        <v>34</v>
      </c>
      <c r="D522" t="s">
        <v>35</v>
      </c>
      <c r="E522" s="6" t="s">
        <v>34</v>
      </c>
      <c r="F522" t="s">
        <v>1690</v>
      </c>
      <c r="H522" t="s">
        <v>38</v>
      </c>
      <c r="I522" t="s">
        <v>1691</v>
      </c>
      <c r="J522" t="s">
        <v>40</v>
      </c>
      <c r="K522">
        <v>2</v>
      </c>
      <c r="L522" t="s">
        <v>41</v>
      </c>
      <c r="M522" t="s">
        <v>42</v>
      </c>
      <c r="N522" t="s">
        <v>43</v>
      </c>
      <c r="O522" s="7">
        <v>1</v>
      </c>
      <c r="P522" s="8">
        <v>45258.637106481481</v>
      </c>
      <c r="Q522" s="9">
        <v>45259</v>
      </c>
      <c r="S522" t="s">
        <v>44</v>
      </c>
      <c r="T522" t="s">
        <v>45</v>
      </c>
      <c r="U522" t="s">
        <v>156</v>
      </c>
      <c r="V522" t="s">
        <v>1692</v>
      </c>
      <c r="W522">
        <v>16200</v>
      </c>
      <c r="X522" t="s">
        <v>44</v>
      </c>
      <c r="Y522" t="s">
        <v>145</v>
      </c>
      <c r="Z522" t="s">
        <v>48</v>
      </c>
      <c r="AA522" s="10">
        <f>IF(O522&lt;=1,7,7+0.8*ROUNDUP(O522-1,0))</f>
        <v>7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16"/>
        <v>0.42</v>
      </c>
      <c r="AG522" s="11">
        <f t="shared" si="17"/>
        <v>7.42</v>
      </c>
      <c r="AH522" t="s">
        <v>49</v>
      </c>
    </row>
    <row r="523" spans="1:34" ht="15" customHeight="1" x14ac:dyDescent="0.35">
      <c r="A523">
        <v>7547676</v>
      </c>
      <c r="B523">
        <v>690929</v>
      </c>
      <c r="C523" t="s">
        <v>34</v>
      </c>
      <c r="D523" t="s">
        <v>35</v>
      </c>
      <c r="E523" s="6" t="s">
        <v>34</v>
      </c>
      <c r="F523" t="s">
        <v>1693</v>
      </c>
      <c r="H523" t="s">
        <v>38</v>
      </c>
      <c r="I523" t="s">
        <v>1694</v>
      </c>
      <c r="J523" t="s">
        <v>40</v>
      </c>
      <c r="K523">
        <v>2</v>
      </c>
      <c r="L523" t="s">
        <v>41</v>
      </c>
      <c r="M523" t="s">
        <v>42</v>
      </c>
      <c r="N523" t="s">
        <v>43</v>
      </c>
      <c r="O523" s="7">
        <v>1</v>
      </c>
      <c r="P523" s="8">
        <v>45257.762372685182</v>
      </c>
      <c r="Q523" s="9">
        <v>45259</v>
      </c>
      <c r="S523" t="s">
        <v>44</v>
      </c>
      <c r="T523" t="s">
        <v>45</v>
      </c>
      <c r="U523" t="s">
        <v>57</v>
      </c>
      <c r="V523" t="s">
        <v>1695</v>
      </c>
      <c r="W523">
        <v>42500</v>
      </c>
      <c r="X523" t="s">
        <v>44</v>
      </c>
      <c r="Y523" t="s">
        <v>63</v>
      </c>
      <c r="Z523" t="s">
        <v>48</v>
      </c>
      <c r="AA523" s="10">
        <f>IF(O523&lt;=1,7,7+0.8*ROUNDUP(O523-1,0))</f>
        <v>7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16"/>
        <v>0.42</v>
      </c>
      <c r="AG523" s="11">
        <f t="shared" si="17"/>
        <v>7.42</v>
      </c>
      <c r="AH523" t="s">
        <v>49</v>
      </c>
    </row>
    <row r="524" spans="1:34" ht="15" customHeight="1" x14ac:dyDescent="0.35">
      <c r="A524">
        <v>7547676</v>
      </c>
      <c r="B524">
        <v>690929</v>
      </c>
      <c r="C524" t="s">
        <v>34</v>
      </c>
      <c r="D524" t="s">
        <v>35</v>
      </c>
      <c r="E524" s="6" t="s">
        <v>34</v>
      </c>
      <c r="F524" t="s">
        <v>1696</v>
      </c>
      <c r="H524" t="s">
        <v>38</v>
      </c>
      <c r="I524" t="s">
        <v>1697</v>
      </c>
      <c r="J524" t="s">
        <v>40</v>
      </c>
      <c r="K524">
        <v>2</v>
      </c>
      <c r="L524" t="s">
        <v>41</v>
      </c>
      <c r="M524" t="s">
        <v>42</v>
      </c>
      <c r="N524" t="s">
        <v>43</v>
      </c>
      <c r="O524" s="7">
        <v>1</v>
      </c>
      <c r="P524" s="8">
        <v>45258.564606481479</v>
      </c>
      <c r="Q524" s="9">
        <v>45259</v>
      </c>
      <c r="S524" t="s">
        <v>44</v>
      </c>
      <c r="T524" t="s">
        <v>45</v>
      </c>
      <c r="U524" t="s">
        <v>128</v>
      </c>
      <c r="V524" t="s">
        <v>1698</v>
      </c>
      <c r="W524">
        <v>72120</v>
      </c>
      <c r="X524" t="s">
        <v>44</v>
      </c>
      <c r="Y524" t="s">
        <v>1246</v>
      </c>
      <c r="Z524" t="s">
        <v>48</v>
      </c>
      <c r="AA524" s="10">
        <f>IF(O524&lt;=1,7,7+0.8*ROUNDUP(O524-1,0))</f>
        <v>7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16"/>
        <v>0.42</v>
      </c>
      <c r="AG524" s="11">
        <f t="shared" si="17"/>
        <v>7.42</v>
      </c>
      <c r="AH524" t="s">
        <v>49</v>
      </c>
    </row>
    <row r="525" spans="1:34" ht="15" customHeight="1" x14ac:dyDescent="0.35">
      <c r="A525">
        <v>7547676</v>
      </c>
      <c r="B525">
        <v>690929</v>
      </c>
      <c r="C525" t="s">
        <v>34</v>
      </c>
      <c r="D525" t="s">
        <v>35</v>
      </c>
      <c r="E525" s="6" t="s">
        <v>34</v>
      </c>
      <c r="F525" t="s">
        <v>1699</v>
      </c>
      <c r="H525" t="s">
        <v>38</v>
      </c>
      <c r="I525" t="s">
        <v>1700</v>
      </c>
      <c r="J525" t="s">
        <v>40</v>
      </c>
      <c r="K525">
        <v>2</v>
      </c>
      <c r="L525" t="s">
        <v>41</v>
      </c>
      <c r="M525" t="s">
        <v>42</v>
      </c>
      <c r="N525" t="s">
        <v>43</v>
      </c>
      <c r="O525" s="7">
        <v>11</v>
      </c>
      <c r="P525" s="8">
        <v>45256.641435185185</v>
      </c>
      <c r="Q525" s="9">
        <v>45259</v>
      </c>
      <c r="S525" t="s">
        <v>44</v>
      </c>
      <c r="T525" t="s">
        <v>45</v>
      </c>
      <c r="U525" t="s">
        <v>226</v>
      </c>
      <c r="V525" t="s">
        <v>1701</v>
      </c>
      <c r="W525">
        <v>88300</v>
      </c>
      <c r="X525" t="s">
        <v>228</v>
      </c>
      <c r="Y525" t="s">
        <v>447</v>
      </c>
      <c r="Z525" t="s">
        <v>48</v>
      </c>
      <c r="AA525" s="12">
        <f>IF(O525&lt;=1,13,IF(O525&lt;=2,23,IF(O525&lt;=3,35,IF(O525&lt;=4,43,IF(O525&lt;=5,53,IF(O525&lt;=6,63,IF(O525&lt;=7,71,IF(O525&lt;=8,79,IF(O525&lt;=9,87,IF(O525&lt;=10,95,IF(O525&lt;=11,105,IF(O525&lt;=12,114,IF(O525&lt;=13,119,IF(O525&lt;=14,127,IF(O525&lt;=15,135,IF(O525&lt;=16,143,IF(O525&lt;=17,153,IF(O525&lt;=18,163,IF(O525&lt;=19,171,IF(O525&lt;=20,185,IF(O525&lt;=21,193,IF(O525&lt;=22,201,IF(O525&lt;=23,210,IF(O525&lt;=24,220,IF(O525&lt;=25,230,IF(O525&lt;=26,240,IF(O525&lt;=27,250,IF(O525&lt;=28,260,IF(O525&lt;=29,270,IF(O525&lt;=30,280,280+10*ROUNDUP(O525-30,0)))))))))))))))))))))))))))))))</f>
        <v>105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16"/>
        <v>6.3</v>
      </c>
      <c r="AG525" s="11">
        <f t="shared" si="17"/>
        <v>111.3</v>
      </c>
      <c r="AH525" t="s">
        <v>229</v>
      </c>
    </row>
    <row r="526" spans="1:34" ht="15" customHeight="1" x14ac:dyDescent="0.35">
      <c r="A526">
        <v>7547676</v>
      </c>
      <c r="B526">
        <v>690929</v>
      </c>
      <c r="C526" t="s">
        <v>34</v>
      </c>
      <c r="D526" t="s">
        <v>35</v>
      </c>
      <c r="E526" s="6" t="s">
        <v>34</v>
      </c>
      <c r="F526" t="s">
        <v>1702</v>
      </c>
      <c r="H526" t="s">
        <v>38</v>
      </c>
      <c r="I526" t="s">
        <v>1703</v>
      </c>
      <c r="J526" t="s">
        <v>40</v>
      </c>
      <c r="K526">
        <v>2</v>
      </c>
      <c r="L526" t="s">
        <v>41</v>
      </c>
      <c r="M526" t="s">
        <v>42</v>
      </c>
      <c r="N526" t="s">
        <v>43</v>
      </c>
      <c r="O526" s="7">
        <v>12</v>
      </c>
      <c r="P526" s="8">
        <v>45258.559293981481</v>
      </c>
      <c r="Q526" s="9">
        <v>45259</v>
      </c>
      <c r="S526" t="s">
        <v>44</v>
      </c>
      <c r="T526" t="s">
        <v>45</v>
      </c>
      <c r="U526" t="s">
        <v>46</v>
      </c>
      <c r="V526" t="s">
        <v>1704</v>
      </c>
      <c r="W526">
        <v>28100</v>
      </c>
      <c r="X526" t="s">
        <v>44</v>
      </c>
      <c r="Y526" t="s">
        <v>394</v>
      </c>
      <c r="Z526" t="s">
        <v>48</v>
      </c>
      <c r="AA526" s="10">
        <f>IF(O526&lt;=1,7,7+0.8*ROUNDUP(O526-1,0))</f>
        <v>15.8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16"/>
        <v>0.94799999999999995</v>
      </c>
      <c r="AG526" s="11">
        <f t="shared" si="17"/>
        <v>16.748000000000001</v>
      </c>
      <c r="AH526" t="s">
        <v>49</v>
      </c>
    </row>
    <row r="527" spans="1:34" ht="15" customHeight="1" x14ac:dyDescent="0.35">
      <c r="A527">
        <v>7547676</v>
      </c>
      <c r="B527">
        <v>690929</v>
      </c>
      <c r="C527" t="s">
        <v>34</v>
      </c>
      <c r="D527" t="s">
        <v>35</v>
      </c>
      <c r="E527" s="6" t="s">
        <v>34</v>
      </c>
      <c r="F527" t="s">
        <v>1705</v>
      </c>
      <c r="H527" t="s">
        <v>38</v>
      </c>
      <c r="I527" t="s">
        <v>1706</v>
      </c>
      <c r="J527" t="s">
        <v>40</v>
      </c>
      <c r="K527">
        <v>2</v>
      </c>
      <c r="L527" t="s">
        <v>41</v>
      </c>
      <c r="M527" t="s">
        <v>42</v>
      </c>
      <c r="N527" t="s">
        <v>43</v>
      </c>
      <c r="O527" s="7">
        <v>1</v>
      </c>
      <c r="P527" s="8">
        <v>45257.481493055559</v>
      </c>
      <c r="Q527" s="9">
        <v>45259</v>
      </c>
      <c r="S527" t="s">
        <v>44</v>
      </c>
      <c r="T527" t="s">
        <v>45</v>
      </c>
      <c r="U527" t="s">
        <v>236</v>
      </c>
      <c r="V527" t="s">
        <v>1707</v>
      </c>
      <c r="W527">
        <v>5300</v>
      </c>
      <c r="X527" t="s">
        <v>44</v>
      </c>
      <c r="Y527" t="s">
        <v>63</v>
      </c>
      <c r="Z527" t="s">
        <v>48</v>
      </c>
      <c r="AA527" s="10">
        <f>IF(O527&lt;=1,7,7+0.8*ROUNDUP(O527-1,0))</f>
        <v>7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16"/>
        <v>0.42</v>
      </c>
      <c r="AG527" s="11">
        <f t="shared" si="17"/>
        <v>7.42</v>
      </c>
      <c r="AH527" t="s">
        <v>49</v>
      </c>
    </row>
    <row r="528" spans="1:34" ht="15" customHeight="1" x14ac:dyDescent="0.35">
      <c r="A528">
        <v>7547676</v>
      </c>
      <c r="B528">
        <v>690929</v>
      </c>
      <c r="C528" t="s">
        <v>34</v>
      </c>
      <c r="D528" t="s">
        <v>35</v>
      </c>
      <c r="E528" s="6" t="s">
        <v>34</v>
      </c>
      <c r="F528" t="s">
        <v>1708</v>
      </c>
      <c r="H528" t="s">
        <v>38</v>
      </c>
      <c r="I528" t="s">
        <v>1709</v>
      </c>
      <c r="J528" t="s">
        <v>40</v>
      </c>
      <c r="K528">
        <v>2</v>
      </c>
      <c r="L528" t="s">
        <v>41</v>
      </c>
      <c r="M528" t="s">
        <v>42</v>
      </c>
      <c r="N528" t="s">
        <v>43</v>
      </c>
      <c r="O528" s="7">
        <v>2</v>
      </c>
      <c r="P528" s="8">
        <v>45258.467326388891</v>
      </c>
      <c r="Q528" s="9">
        <v>45259</v>
      </c>
      <c r="S528" t="s">
        <v>44</v>
      </c>
      <c r="T528" t="s">
        <v>45</v>
      </c>
      <c r="U528" t="s">
        <v>46</v>
      </c>
      <c r="V528" t="s">
        <v>1710</v>
      </c>
      <c r="W528">
        <v>26820</v>
      </c>
      <c r="X528" t="s">
        <v>44</v>
      </c>
      <c r="Y528" t="s">
        <v>45</v>
      </c>
      <c r="Z528" t="s">
        <v>48</v>
      </c>
      <c r="AA528" s="10">
        <f>IF(O528&lt;=1,7,7+0.8*ROUNDUP(O528-1,0))</f>
        <v>7.8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16"/>
        <v>0.46799999999999997</v>
      </c>
      <c r="AG528" s="11">
        <f t="shared" si="17"/>
        <v>8.2680000000000007</v>
      </c>
      <c r="AH528" t="s">
        <v>49</v>
      </c>
    </row>
    <row r="529" spans="1:34" ht="15" customHeight="1" x14ac:dyDescent="0.35">
      <c r="A529">
        <v>7547676</v>
      </c>
      <c r="B529">
        <v>690929</v>
      </c>
      <c r="C529" t="s">
        <v>34</v>
      </c>
      <c r="D529" t="s">
        <v>35</v>
      </c>
      <c r="E529" s="6" t="s">
        <v>34</v>
      </c>
      <c r="F529" t="s">
        <v>1711</v>
      </c>
      <c r="H529" t="s">
        <v>38</v>
      </c>
      <c r="I529" t="s">
        <v>1712</v>
      </c>
      <c r="J529" t="s">
        <v>40</v>
      </c>
      <c r="K529">
        <v>2</v>
      </c>
      <c r="L529" t="s">
        <v>41</v>
      </c>
      <c r="M529" t="s">
        <v>42</v>
      </c>
      <c r="N529" t="s">
        <v>43</v>
      </c>
      <c r="O529" s="7">
        <v>1</v>
      </c>
      <c r="P529" s="8">
        <v>45258.60496527778</v>
      </c>
      <c r="Q529" s="9">
        <v>45259</v>
      </c>
      <c r="S529" t="s">
        <v>44</v>
      </c>
      <c r="T529" t="s">
        <v>45</v>
      </c>
      <c r="U529" t="s">
        <v>57</v>
      </c>
      <c r="V529" t="s">
        <v>1713</v>
      </c>
      <c r="W529">
        <v>68100</v>
      </c>
      <c r="X529" t="s">
        <v>44</v>
      </c>
      <c r="Y529" t="s">
        <v>872</v>
      </c>
      <c r="Z529" t="s">
        <v>48</v>
      </c>
      <c r="AA529" s="10">
        <f>IF(O529&lt;=1,7,7+0.8*ROUNDUP(O529-1,0))</f>
        <v>7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16"/>
        <v>0.42</v>
      </c>
      <c r="AG529" s="11">
        <f t="shared" si="17"/>
        <v>7.42</v>
      </c>
      <c r="AH529" t="s">
        <v>49</v>
      </c>
    </row>
    <row r="530" spans="1:34" ht="15" customHeight="1" x14ac:dyDescent="0.35">
      <c r="A530">
        <v>7547676</v>
      </c>
      <c r="B530">
        <v>690929</v>
      </c>
      <c r="C530" t="s">
        <v>34</v>
      </c>
      <c r="D530" t="s">
        <v>35</v>
      </c>
      <c r="E530" s="6" t="s">
        <v>34</v>
      </c>
      <c r="F530" t="s">
        <v>1714</v>
      </c>
      <c r="H530" t="s">
        <v>38</v>
      </c>
      <c r="I530" t="s">
        <v>1715</v>
      </c>
      <c r="J530" t="s">
        <v>40</v>
      </c>
      <c r="K530">
        <v>2</v>
      </c>
      <c r="L530" t="s">
        <v>41</v>
      </c>
      <c r="M530" t="s">
        <v>42</v>
      </c>
      <c r="N530" t="s">
        <v>43</v>
      </c>
      <c r="O530" s="7">
        <v>2</v>
      </c>
      <c r="P530" s="8">
        <v>45258.467326388891</v>
      </c>
      <c r="Q530" s="9">
        <v>45259</v>
      </c>
      <c r="S530" t="s">
        <v>44</v>
      </c>
      <c r="T530" t="s">
        <v>45</v>
      </c>
      <c r="U530" t="s">
        <v>57</v>
      </c>
      <c r="V530" t="s">
        <v>1716</v>
      </c>
      <c r="W530">
        <v>40460</v>
      </c>
      <c r="X530" t="s">
        <v>44</v>
      </c>
      <c r="Y530" t="s">
        <v>337</v>
      </c>
      <c r="Z530" t="s">
        <v>48</v>
      </c>
      <c r="AA530" s="10">
        <f>IF(O530&lt;=1,7,7+0.8*ROUNDUP(O530-1,0))</f>
        <v>7.8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16"/>
        <v>0.46799999999999997</v>
      </c>
      <c r="AG530" s="11">
        <f t="shared" si="17"/>
        <v>8.2680000000000007</v>
      </c>
      <c r="AH530" t="s">
        <v>49</v>
      </c>
    </row>
    <row r="531" spans="1:34" ht="15" customHeight="1" x14ac:dyDescent="0.35">
      <c r="A531">
        <v>7547676</v>
      </c>
      <c r="B531">
        <v>690929</v>
      </c>
      <c r="C531" t="s">
        <v>34</v>
      </c>
      <c r="D531" t="s">
        <v>35</v>
      </c>
      <c r="E531" s="6" t="s">
        <v>34</v>
      </c>
      <c r="F531" t="s">
        <v>1717</v>
      </c>
      <c r="H531" t="s">
        <v>38</v>
      </c>
      <c r="I531" t="s">
        <v>1718</v>
      </c>
      <c r="J531" t="s">
        <v>40</v>
      </c>
      <c r="K531">
        <v>2</v>
      </c>
      <c r="L531" t="s">
        <v>41</v>
      </c>
      <c r="M531" t="s">
        <v>42</v>
      </c>
      <c r="N531" t="s">
        <v>43</v>
      </c>
      <c r="O531" s="7">
        <v>1</v>
      </c>
      <c r="P531" s="8">
        <v>45257.481493055559</v>
      </c>
      <c r="Q531" s="9">
        <v>45259</v>
      </c>
      <c r="S531" t="s">
        <v>44</v>
      </c>
      <c r="T531" t="s">
        <v>45</v>
      </c>
      <c r="U531" t="s">
        <v>226</v>
      </c>
      <c r="V531" t="s">
        <v>1719</v>
      </c>
      <c r="W531">
        <v>90000</v>
      </c>
      <c r="X531" t="s">
        <v>228</v>
      </c>
      <c r="Y531" t="s">
        <v>63</v>
      </c>
      <c r="Z531" t="s">
        <v>48</v>
      </c>
      <c r="AA531" s="12">
        <f>IF(O531&lt;=1,13,IF(O531&lt;=2,23,IF(O531&lt;=3,35,IF(O531&lt;=4,43,IF(O531&lt;=5,53,IF(O531&lt;=6,63,IF(O531&lt;=7,71,IF(O531&lt;=8,79,IF(O531&lt;=9,87,IF(O531&lt;=10,95,IF(O531&lt;=11,105,IF(O531&lt;=12,114,IF(O531&lt;=13,119,IF(O531&lt;=14,127,IF(O531&lt;=15,135,IF(O531&lt;=16,143,IF(O531&lt;=17,153,IF(O531&lt;=18,163,IF(O531&lt;=19,171,IF(O531&lt;=20,185,IF(O531&lt;=21,193,IF(O531&lt;=22,201,IF(O531&lt;=23,210,IF(O531&lt;=24,220,IF(O531&lt;=25,230,IF(O531&lt;=26,240,IF(O531&lt;=27,250,IF(O531&lt;=28,260,IF(O531&lt;=29,270,IF(O531&lt;=30,280,280+10*ROUNDUP(O531-30,0)))))))))))))))))))))))))))))))</f>
        <v>13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16"/>
        <v>0.78</v>
      </c>
      <c r="AG531" s="11">
        <f t="shared" si="17"/>
        <v>13.78</v>
      </c>
      <c r="AH531" t="s">
        <v>229</v>
      </c>
    </row>
    <row r="532" spans="1:34" ht="15" customHeight="1" x14ac:dyDescent="0.35">
      <c r="A532">
        <v>7547676</v>
      </c>
      <c r="B532">
        <v>690929</v>
      </c>
      <c r="C532" t="s">
        <v>34</v>
      </c>
      <c r="D532" t="s">
        <v>35</v>
      </c>
      <c r="E532" s="6" t="s">
        <v>34</v>
      </c>
      <c r="F532" t="s">
        <v>1720</v>
      </c>
      <c r="H532" t="s">
        <v>38</v>
      </c>
      <c r="I532" t="s">
        <v>1721</v>
      </c>
      <c r="J532" t="s">
        <v>40</v>
      </c>
      <c r="K532">
        <v>2</v>
      </c>
      <c r="L532" t="s">
        <v>41</v>
      </c>
      <c r="M532" t="s">
        <v>42</v>
      </c>
      <c r="N532" t="s">
        <v>43</v>
      </c>
      <c r="O532" s="7">
        <v>1</v>
      </c>
      <c r="P532" s="8">
        <v>45257.600937499999</v>
      </c>
      <c r="Q532" s="9">
        <v>45259</v>
      </c>
      <c r="S532" t="s">
        <v>44</v>
      </c>
      <c r="T532" t="s">
        <v>45</v>
      </c>
      <c r="U532" t="s">
        <v>57</v>
      </c>
      <c r="V532" t="s">
        <v>1722</v>
      </c>
      <c r="W532">
        <v>62150</v>
      </c>
      <c r="X532" t="s">
        <v>44</v>
      </c>
      <c r="Y532" t="s">
        <v>1723</v>
      </c>
      <c r="Z532" t="s">
        <v>48</v>
      </c>
      <c r="AA532" s="10">
        <f>IF(O532&lt;=1,7,7+0.8*ROUNDUP(O532-1,0))</f>
        <v>7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16"/>
        <v>0.42</v>
      </c>
      <c r="AG532" s="11">
        <f t="shared" si="17"/>
        <v>7.42</v>
      </c>
      <c r="AH532" t="s">
        <v>49</v>
      </c>
    </row>
    <row r="533" spans="1:34" ht="15" customHeight="1" x14ac:dyDescent="0.35">
      <c r="A533">
        <v>7547676</v>
      </c>
      <c r="B533">
        <v>690929</v>
      </c>
      <c r="C533" t="s">
        <v>34</v>
      </c>
      <c r="D533" t="s">
        <v>35</v>
      </c>
      <c r="E533" s="6" t="s">
        <v>34</v>
      </c>
      <c r="F533" t="s">
        <v>1724</v>
      </c>
      <c r="H533" t="s">
        <v>38</v>
      </c>
      <c r="I533" t="s">
        <v>1725</v>
      </c>
      <c r="J533" t="s">
        <v>40</v>
      </c>
      <c r="K533">
        <v>2</v>
      </c>
      <c r="L533" t="s">
        <v>41</v>
      </c>
      <c r="M533" t="s">
        <v>42</v>
      </c>
      <c r="N533" t="s">
        <v>43</v>
      </c>
      <c r="O533" s="7">
        <v>1</v>
      </c>
      <c r="P533" s="8">
        <v>45258.467326388891</v>
      </c>
      <c r="Q533" s="9">
        <v>45259</v>
      </c>
      <c r="S533" t="s">
        <v>44</v>
      </c>
      <c r="T533" t="s">
        <v>45</v>
      </c>
      <c r="U533" t="s">
        <v>52</v>
      </c>
      <c r="V533" t="s">
        <v>1726</v>
      </c>
      <c r="W533">
        <v>21800</v>
      </c>
      <c r="X533" t="s">
        <v>44</v>
      </c>
      <c r="Y533" t="s">
        <v>368</v>
      </c>
      <c r="Z533" t="s">
        <v>48</v>
      </c>
      <c r="AA533" s="10">
        <f>IF(O533&lt;=1,7,7+0.8*ROUNDUP(O533-1,0))</f>
        <v>7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16"/>
        <v>0.42</v>
      </c>
      <c r="AG533" s="11">
        <f t="shared" si="17"/>
        <v>7.42</v>
      </c>
      <c r="AH533" t="s">
        <v>49</v>
      </c>
    </row>
    <row r="534" spans="1:34" ht="15" customHeight="1" x14ac:dyDescent="0.35">
      <c r="A534">
        <v>7547676</v>
      </c>
      <c r="B534">
        <v>690929</v>
      </c>
      <c r="C534" t="s">
        <v>34</v>
      </c>
      <c r="D534" t="s">
        <v>35</v>
      </c>
      <c r="E534" s="6" t="s">
        <v>34</v>
      </c>
      <c r="F534" t="s">
        <v>1727</v>
      </c>
      <c r="H534" t="s">
        <v>38</v>
      </c>
      <c r="I534" t="s">
        <v>1728</v>
      </c>
      <c r="J534" t="s">
        <v>40</v>
      </c>
      <c r="K534">
        <v>2</v>
      </c>
      <c r="L534" t="s">
        <v>41</v>
      </c>
      <c r="M534" t="s">
        <v>42</v>
      </c>
      <c r="N534" t="s">
        <v>43</v>
      </c>
      <c r="O534" s="7">
        <v>1</v>
      </c>
      <c r="P534" s="8">
        <v>45259.404791666668</v>
      </c>
      <c r="Q534" s="9">
        <v>45260</v>
      </c>
      <c r="S534" t="s">
        <v>44</v>
      </c>
      <c r="T534" t="s">
        <v>45</v>
      </c>
      <c r="U534" t="s">
        <v>66</v>
      </c>
      <c r="V534" t="s">
        <v>1729</v>
      </c>
      <c r="W534">
        <v>53000</v>
      </c>
      <c r="X534" t="s">
        <v>44</v>
      </c>
      <c r="Y534" t="s">
        <v>786</v>
      </c>
      <c r="Z534" t="s">
        <v>48</v>
      </c>
      <c r="AA534" s="10">
        <f>IF(O534&lt;=1,7,7+0.8*ROUNDUP(O534-1,0))</f>
        <v>7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16"/>
        <v>0.42</v>
      </c>
      <c r="AG534" s="11">
        <f t="shared" si="17"/>
        <v>7.42</v>
      </c>
      <c r="AH534" t="s">
        <v>49</v>
      </c>
    </row>
    <row r="535" spans="1:34" ht="15" customHeight="1" x14ac:dyDescent="0.35">
      <c r="A535">
        <v>7547676</v>
      </c>
      <c r="B535">
        <v>690929</v>
      </c>
      <c r="C535" t="s">
        <v>34</v>
      </c>
      <c r="D535" t="s">
        <v>35</v>
      </c>
      <c r="E535" s="6" t="s">
        <v>34</v>
      </c>
      <c r="F535" t="s">
        <v>1730</v>
      </c>
      <c r="H535" t="s">
        <v>38</v>
      </c>
      <c r="I535" t="s">
        <v>1731</v>
      </c>
      <c r="J535" t="s">
        <v>40</v>
      </c>
      <c r="K535">
        <v>2</v>
      </c>
      <c r="L535" t="s">
        <v>41</v>
      </c>
      <c r="M535" t="s">
        <v>42</v>
      </c>
      <c r="N535" t="s">
        <v>43</v>
      </c>
      <c r="O535" s="7">
        <v>1</v>
      </c>
      <c r="P535" s="8">
        <v>45258.64534722222</v>
      </c>
      <c r="Q535" s="9">
        <v>45259</v>
      </c>
      <c r="S535" t="s">
        <v>44</v>
      </c>
      <c r="T535" t="s">
        <v>45</v>
      </c>
      <c r="U535" t="s">
        <v>46</v>
      </c>
      <c r="V535" t="s">
        <v>1732</v>
      </c>
      <c r="W535">
        <v>26080</v>
      </c>
      <c r="X535" t="s">
        <v>44</v>
      </c>
      <c r="Y535" t="s">
        <v>45</v>
      </c>
      <c r="Z535" t="s">
        <v>48</v>
      </c>
      <c r="AA535" s="10">
        <f>IF(O535&lt;=1,7,7+0.8*ROUNDUP(O535-1,0))</f>
        <v>7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16"/>
        <v>0.42</v>
      </c>
      <c r="AG535" s="11">
        <f t="shared" si="17"/>
        <v>7.42</v>
      </c>
      <c r="AH535" t="s">
        <v>49</v>
      </c>
    </row>
    <row r="536" spans="1:34" ht="15" customHeight="1" x14ac:dyDescent="0.35">
      <c r="A536">
        <v>7547676</v>
      </c>
      <c r="B536">
        <v>690929</v>
      </c>
      <c r="C536" t="s">
        <v>34</v>
      </c>
      <c r="D536" t="s">
        <v>35</v>
      </c>
      <c r="E536" s="6" t="s">
        <v>34</v>
      </c>
      <c r="F536" t="s">
        <v>1733</v>
      </c>
      <c r="H536" t="s">
        <v>38</v>
      </c>
      <c r="I536" t="s">
        <v>1734</v>
      </c>
      <c r="J536" t="s">
        <v>40</v>
      </c>
      <c r="K536">
        <v>2</v>
      </c>
      <c r="L536" t="s">
        <v>41</v>
      </c>
      <c r="M536" t="s">
        <v>42</v>
      </c>
      <c r="N536" t="s">
        <v>43</v>
      </c>
      <c r="O536" s="7">
        <v>1</v>
      </c>
      <c r="P536" s="8">
        <v>45257.707060185188</v>
      </c>
      <c r="Q536" s="9">
        <v>45260</v>
      </c>
      <c r="S536" t="s">
        <v>44</v>
      </c>
      <c r="T536" t="s">
        <v>45</v>
      </c>
      <c r="U536" t="s">
        <v>232</v>
      </c>
      <c r="V536" t="s">
        <v>1735</v>
      </c>
      <c r="W536">
        <v>93400</v>
      </c>
      <c r="X536" t="s">
        <v>228</v>
      </c>
      <c r="Y536" t="s">
        <v>63</v>
      </c>
      <c r="Z536" t="s">
        <v>48</v>
      </c>
      <c r="AA536" s="12">
        <f>IF(O536&lt;=1,13,IF(O536&lt;=2,23,IF(O536&lt;=3,35,IF(O536&lt;=4,43,IF(O536&lt;=5,53,IF(O536&lt;=6,63,IF(O536&lt;=7,71,IF(O536&lt;=8,79,IF(O536&lt;=9,87,IF(O536&lt;=10,95,IF(O536&lt;=11,105,IF(O536&lt;=12,114,IF(O536&lt;=13,119,IF(O536&lt;=14,127,IF(O536&lt;=15,135,IF(O536&lt;=16,143,IF(O536&lt;=17,153,IF(O536&lt;=18,163,IF(O536&lt;=19,171,IF(O536&lt;=20,185,IF(O536&lt;=21,193,IF(O536&lt;=22,201,IF(O536&lt;=23,210,IF(O536&lt;=24,220,IF(O536&lt;=25,230,IF(O536&lt;=26,240,IF(O536&lt;=27,250,IF(O536&lt;=28,260,IF(O536&lt;=29,270,IF(O536&lt;=30,280,280+10*ROUNDUP(O536-30,0)))))))))))))))))))))))))))))))</f>
        <v>13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16"/>
        <v>0.78</v>
      </c>
      <c r="AG536" s="11">
        <f t="shared" si="17"/>
        <v>13.78</v>
      </c>
      <c r="AH536" t="s">
        <v>229</v>
      </c>
    </row>
    <row r="537" spans="1:34" ht="15" customHeight="1" x14ac:dyDescent="0.35">
      <c r="A537">
        <v>7547676</v>
      </c>
      <c r="B537">
        <v>690929</v>
      </c>
      <c r="C537" t="s">
        <v>34</v>
      </c>
      <c r="D537" t="s">
        <v>35</v>
      </c>
      <c r="E537" s="6" t="s">
        <v>34</v>
      </c>
      <c r="F537" t="s">
        <v>1736</v>
      </c>
      <c r="H537" t="s">
        <v>38</v>
      </c>
      <c r="I537" t="s">
        <v>1737</v>
      </c>
      <c r="J537" t="s">
        <v>40</v>
      </c>
      <c r="K537">
        <v>2</v>
      </c>
      <c r="L537" t="s">
        <v>41</v>
      </c>
      <c r="M537" t="s">
        <v>42</v>
      </c>
      <c r="N537" t="s">
        <v>43</v>
      </c>
      <c r="O537" s="7">
        <v>1</v>
      </c>
      <c r="P537" s="8">
        <v>45257.844618055555</v>
      </c>
      <c r="Q537" s="9">
        <v>45260</v>
      </c>
      <c r="S537" t="s">
        <v>44</v>
      </c>
      <c r="T537" t="s">
        <v>45</v>
      </c>
      <c r="U537" t="s">
        <v>89</v>
      </c>
      <c r="V537" t="s">
        <v>1738</v>
      </c>
      <c r="W537">
        <v>81300</v>
      </c>
      <c r="X537" t="s">
        <v>44</v>
      </c>
      <c r="Y537" t="s">
        <v>746</v>
      </c>
      <c r="Z537" t="s">
        <v>48</v>
      </c>
      <c r="AA537" s="10">
        <f>IF(O537&lt;=1,7,7+0.8*ROUNDUP(O537-1,0))</f>
        <v>7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16"/>
        <v>0.42</v>
      </c>
      <c r="AG537" s="11">
        <f t="shared" si="17"/>
        <v>7.42</v>
      </c>
      <c r="AH537" t="s">
        <v>49</v>
      </c>
    </row>
    <row r="538" spans="1:34" ht="15" customHeight="1" x14ac:dyDescent="0.35">
      <c r="A538">
        <v>7547676</v>
      </c>
      <c r="B538">
        <v>690929</v>
      </c>
      <c r="C538" t="s">
        <v>34</v>
      </c>
      <c r="D538" t="s">
        <v>35</v>
      </c>
      <c r="E538" s="6" t="s">
        <v>34</v>
      </c>
      <c r="F538" t="s">
        <v>1739</v>
      </c>
      <c r="H538" t="s">
        <v>38</v>
      </c>
      <c r="I538" t="s">
        <v>1740</v>
      </c>
      <c r="J538" t="s">
        <v>40</v>
      </c>
      <c r="K538">
        <v>2</v>
      </c>
      <c r="L538" t="s">
        <v>41</v>
      </c>
      <c r="M538" t="s">
        <v>42</v>
      </c>
      <c r="N538" t="s">
        <v>43</v>
      </c>
      <c r="O538" s="7">
        <v>1</v>
      </c>
      <c r="P538" s="8">
        <v>45259.73337962963</v>
      </c>
      <c r="Q538" s="9">
        <v>45260</v>
      </c>
      <c r="S538" t="s">
        <v>44</v>
      </c>
      <c r="T538" t="s">
        <v>45</v>
      </c>
      <c r="U538" t="s">
        <v>156</v>
      </c>
      <c r="V538" t="s">
        <v>1741</v>
      </c>
      <c r="W538">
        <v>16700</v>
      </c>
      <c r="X538" t="s">
        <v>44</v>
      </c>
      <c r="Y538" t="s">
        <v>145</v>
      </c>
      <c r="Z538" t="s">
        <v>48</v>
      </c>
      <c r="AA538" s="10">
        <f>IF(O538&lt;=1,7,7+0.8*ROUNDUP(O538-1,0))</f>
        <v>7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16"/>
        <v>0.42</v>
      </c>
      <c r="AG538" s="11">
        <f t="shared" si="17"/>
        <v>7.42</v>
      </c>
      <c r="AH538" t="s">
        <v>49</v>
      </c>
    </row>
    <row r="539" spans="1:34" ht="15" customHeight="1" x14ac:dyDescent="0.35">
      <c r="A539">
        <v>7547676</v>
      </c>
      <c r="B539">
        <v>690929</v>
      </c>
      <c r="C539" t="s">
        <v>34</v>
      </c>
      <c r="D539" t="s">
        <v>35</v>
      </c>
      <c r="E539" s="6" t="s">
        <v>34</v>
      </c>
      <c r="F539" t="s">
        <v>1742</v>
      </c>
      <c r="H539" t="s">
        <v>38</v>
      </c>
      <c r="I539" t="s">
        <v>1743</v>
      </c>
      <c r="J539" t="s">
        <v>40</v>
      </c>
      <c r="K539">
        <v>2</v>
      </c>
      <c r="L539" t="s">
        <v>41</v>
      </c>
      <c r="M539" t="s">
        <v>42</v>
      </c>
      <c r="N539" t="s">
        <v>43</v>
      </c>
      <c r="O539" s="7">
        <v>1</v>
      </c>
      <c r="P539" s="8">
        <v>45259.642071759263</v>
      </c>
      <c r="Q539" s="9">
        <v>45260</v>
      </c>
      <c r="S539" t="s">
        <v>44</v>
      </c>
      <c r="T539" t="s">
        <v>45</v>
      </c>
      <c r="U539" t="s">
        <v>57</v>
      </c>
      <c r="V539" t="s">
        <v>1744</v>
      </c>
      <c r="W539">
        <v>46100</v>
      </c>
      <c r="X539" t="s">
        <v>44</v>
      </c>
      <c r="Y539" t="s">
        <v>316</v>
      </c>
      <c r="Z539" t="s">
        <v>48</v>
      </c>
      <c r="AA539" s="10">
        <f>IF(O539&lt;=1,7,7+0.8*ROUNDUP(O539-1,0))</f>
        <v>7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16"/>
        <v>0.42</v>
      </c>
      <c r="AG539" s="11">
        <f t="shared" si="17"/>
        <v>7.42</v>
      </c>
      <c r="AH539" t="s">
        <v>49</v>
      </c>
    </row>
    <row r="540" spans="1:34" ht="15" customHeight="1" x14ac:dyDescent="0.35">
      <c r="A540">
        <v>7547676</v>
      </c>
      <c r="B540">
        <v>690929</v>
      </c>
      <c r="C540" t="s">
        <v>34</v>
      </c>
      <c r="D540" t="s">
        <v>35</v>
      </c>
      <c r="E540" s="6" t="s">
        <v>34</v>
      </c>
      <c r="F540" t="s">
        <v>1745</v>
      </c>
      <c r="H540" t="s">
        <v>38</v>
      </c>
      <c r="I540" t="s">
        <v>1746</v>
      </c>
      <c r="J540" t="s">
        <v>40</v>
      </c>
      <c r="K540">
        <v>2</v>
      </c>
      <c r="L540" t="s">
        <v>41</v>
      </c>
      <c r="M540" t="s">
        <v>42</v>
      </c>
      <c r="N540" t="s">
        <v>43</v>
      </c>
      <c r="O540" s="7">
        <v>1</v>
      </c>
      <c r="P540" s="8">
        <v>45258.467326388891</v>
      </c>
      <c r="Q540" s="9">
        <v>45260</v>
      </c>
      <c r="S540" t="s">
        <v>44</v>
      </c>
      <c r="T540" t="s">
        <v>45</v>
      </c>
      <c r="U540" t="s">
        <v>89</v>
      </c>
      <c r="V540" t="s">
        <v>1747</v>
      </c>
      <c r="W540">
        <v>84000</v>
      </c>
      <c r="X540" t="s">
        <v>44</v>
      </c>
      <c r="Y540" t="s">
        <v>361</v>
      </c>
      <c r="Z540" t="s">
        <v>48</v>
      </c>
      <c r="AA540" s="10">
        <f>IF(O540&lt;=1,7,7+0.8*ROUNDUP(O540-1,0))</f>
        <v>7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16"/>
        <v>0.42</v>
      </c>
      <c r="AG540" s="11">
        <f t="shared" si="17"/>
        <v>7.42</v>
      </c>
      <c r="AH540" t="s">
        <v>49</v>
      </c>
    </row>
    <row r="541" spans="1:34" ht="15" customHeight="1" x14ac:dyDescent="0.35">
      <c r="A541">
        <v>7547676</v>
      </c>
      <c r="B541">
        <v>690929</v>
      </c>
      <c r="C541" t="s">
        <v>34</v>
      </c>
      <c r="D541" t="s">
        <v>35</v>
      </c>
      <c r="E541" s="6" t="s">
        <v>34</v>
      </c>
      <c r="F541" t="s">
        <v>1748</v>
      </c>
      <c r="H541" t="s">
        <v>38</v>
      </c>
      <c r="I541" t="s">
        <v>1749</v>
      </c>
      <c r="J541" t="s">
        <v>40</v>
      </c>
      <c r="K541">
        <v>2</v>
      </c>
      <c r="L541" t="s">
        <v>41</v>
      </c>
      <c r="M541" t="s">
        <v>42</v>
      </c>
      <c r="N541" t="s">
        <v>43</v>
      </c>
      <c r="O541" s="7">
        <v>7</v>
      </c>
      <c r="P541" s="8">
        <v>45259.68545138889</v>
      </c>
      <c r="Q541" s="9">
        <v>45260</v>
      </c>
      <c r="S541" t="s">
        <v>44</v>
      </c>
      <c r="T541" t="s">
        <v>45</v>
      </c>
      <c r="U541" t="s">
        <v>57</v>
      </c>
      <c r="V541" t="s">
        <v>1750</v>
      </c>
      <c r="W541">
        <v>47301</v>
      </c>
      <c r="X541" t="s">
        <v>44</v>
      </c>
      <c r="Y541" t="s">
        <v>1751</v>
      </c>
      <c r="Z541" t="s">
        <v>48</v>
      </c>
      <c r="AA541" s="10">
        <f>IF(O541&lt;=1,7,7+0.8*ROUNDUP(O541-1,0))</f>
        <v>11.8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16"/>
        <v>0.70799999999999996</v>
      </c>
      <c r="AG541" s="11">
        <f t="shared" si="17"/>
        <v>12.508000000000001</v>
      </c>
      <c r="AH541" t="s">
        <v>49</v>
      </c>
    </row>
    <row r="542" spans="1:34" ht="15" customHeight="1" x14ac:dyDescent="0.35">
      <c r="A542">
        <v>7547676</v>
      </c>
      <c r="B542">
        <v>690929</v>
      </c>
      <c r="C542" t="s">
        <v>34</v>
      </c>
      <c r="D542" t="s">
        <v>35</v>
      </c>
      <c r="E542" s="6" t="s">
        <v>34</v>
      </c>
      <c r="F542" t="s">
        <v>1752</v>
      </c>
      <c r="H542" t="s">
        <v>38</v>
      </c>
      <c r="I542" t="s">
        <v>1753</v>
      </c>
      <c r="J542" t="s">
        <v>40</v>
      </c>
      <c r="K542">
        <v>2</v>
      </c>
      <c r="L542" t="s">
        <v>41</v>
      </c>
      <c r="M542" t="s">
        <v>42</v>
      </c>
      <c r="N542" t="s">
        <v>43</v>
      </c>
      <c r="O542" s="7">
        <v>9</v>
      </c>
      <c r="P542" s="8">
        <v>45259.68545138889</v>
      </c>
      <c r="Q542" s="9">
        <v>45260</v>
      </c>
      <c r="S542" t="s">
        <v>44</v>
      </c>
      <c r="T542" t="s">
        <v>45</v>
      </c>
      <c r="U542" t="s">
        <v>57</v>
      </c>
      <c r="V542" t="s">
        <v>79</v>
      </c>
      <c r="W542">
        <v>47301</v>
      </c>
      <c r="X542" t="s">
        <v>44</v>
      </c>
      <c r="Y542" t="s">
        <v>1751</v>
      </c>
      <c r="Z542" t="s">
        <v>48</v>
      </c>
      <c r="AA542" s="10">
        <f>IF(O542&lt;=1,7,7+0.8*ROUNDUP(O542-1,0))</f>
        <v>13.4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16"/>
        <v>0.80399999999999994</v>
      </c>
      <c r="AG542" s="11">
        <f t="shared" si="17"/>
        <v>14.204000000000001</v>
      </c>
      <c r="AH542" t="s">
        <v>49</v>
      </c>
    </row>
    <row r="543" spans="1:34" ht="15" customHeight="1" x14ac:dyDescent="0.35">
      <c r="A543">
        <v>7547676</v>
      </c>
      <c r="B543">
        <v>690929</v>
      </c>
      <c r="C543" t="s">
        <v>34</v>
      </c>
      <c r="D543" t="s">
        <v>35</v>
      </c>
      <c r="E543" s="6" t="s">
        <v>34</v>
      </c>
      <c r="F543" t="s">
        <v>1754</v>
      </c>
      <c r="H543" t="s">
        <v>38</v>
      </c>
      <c r="I543" t="s">
        <v>1755</v>
      </c>
      <c r="J543" t="s">
        <v>40</v>
      </c>
      <c r="K543">
        <v>2</v>
      </c>
      <c r="L543" t="s">
        <v>41</v>
      </c>
      <c r="M543" t="s">
        <v>42</v>
      </c>
      <c r="N543" t="s">
        <v>43</v>
      </c>
      <c r="O543" s="7">
        <v>2</v>
      </c>
      <c r="P543" s="8">
        <v>45259.693553240744</v>
      </c>
      <c r="Q543" s="9">
        <v>45260</v>
      </c>
      <c r="S543" t="s">
        <v>44</v>
      </c>
      <c r="T543" t="s">
        <v>45</v>
      </c>
      <c r="U543" t="s">
        <v>156</v>
      </c>
      <c r="V543" t="s">
        <v>1756</v>
      </c>
      <c r="W543">
        <v>17020</v>
      </c>
      <c r="X543" t="s">
        <v>44</v>
      </c>
      <c r="Y543" t="s">
        <v>145</v>
      </c>
      <c r="Z543" t="s">
        <v>48</v>
      </c>
      <c r="AA543" s="10">
        <f>IF(O543&lt;=1,7,7+0.8*ROUNDUP(O543-1,0))</f>
        <v>7.8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16"/>
        <v>0.46799999999999997</v>
      </c>
      <c r="AG543" s="11">
        <f t="shared" si="17"/>
        <v>8.2680000000000007</v>
      </c>
      <c r="AH543" t="s">
        <v>49</v>
      </c>
    </row>
    <row r="544" spans="1:34" ht="15" customHeight="1" x14ac:dyDescent="0.35">
      <c r="A544">
        <v>7547676</v>
      </c>
      <c r="B544">
        <v>690929</v>
      </c>
      <c r="C544" t="s">
        <v>34</v>
      </c>
      <c r="D544" t="s">
        <v>35</v>
      </c>
      <c r="E544" s="6" t="s">
        <v>34</v>
      </c>
      <c r="F544" t="s">
        <v>1757</v>
      </c>
      <c r="H544" t="s">
        <v>38</v>
      </c>
      <c r="I544" t="s">
        <v>1758</v>
      </c>
      <c r="J544" t="s">
        <v>40</v>
      </c>
      <c r="K544">
        <v>2</v>
      </c>
      <c r="L544" t="s">
        <v>41</v>
      </c>
      <c r="M544" t="s">
        <v>42</v>
      </c>
      <c r="N544" t="s">
        <v>43</v>
      </c>
      <c r="O544" s="7">
        <v>1</v>
      </c>
      <c r="P544" s="8">
        <v>45258.761516203704</v>
      </c>
      <c r="Q544" s="9">
        <v>45260</v>
      </c>
      <c r="S544" t="s">
        <v>44</v>
      </c>
      <c r="T544" t="s">
        <v>45</v>
      </c>
      <c r="U544" t="s">
        <v>57</v>
      </c>
      <c r="V544" t="s">
        <v>1759</v>
      </c>
      <c r="W544">
        <v>40100</v>
      </c>
      <c r="X544" t="s">
        <v>44</v>
      </c>
      <c r="Y544" t="s">
        <v>219</v>
      </c>
      <c r="Z544" t="s">
        <v>48</v>
      </c>
      <c r="AA544" s="10">
        <f>IF(O544&lt;=1,7,7+0.8*ROUNDUP(O544-1,0))</f>
        <v>7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16"/>
        <v>0.42</v>
      </c>
      <c r="AG544" s="11">
        <f t="shared" si="17"/>
        <v>7.42</v>
      </c>
      <c r="AH544" t="s">
        <v>49</v>
      </c>
    </row>
    <row r="545" spans="1:34" ht="15" customHeight="1" x14ac:dyDescent="0.35">
      <c r="A545">
        <v>7547676</v>
      </c>
      <c r="B545">
        <v>690929</v>
      </c>
      <c r="C545" t="s">
        <v>34</v>
      </c>
      <c r="D545" t="s">
        <v>35</v>
      </c>
      <c r="E545" s="6" t="s">
        <v>34</v>
      </c>
      <c r="F545" t="s">
        <v>1760</v>
      </c>
      <c r="H545" t="s">
        <v>38</v>
      </c>
      <c r="I545" t="s">
        <v>1761</v>
      </c>
      <c r="J545" t="s">
        <v>40</v>
      </c>
      <c r="K545">
        <v>2</v>
      </c>
      <c r="L545" t="s">
        <v>41</v>
      </c>
      <c r="M545" t="s">
        <v>42</v>
      </c>
      <c r="N545" t="s">
        <v>43</v>
      </c>
      <c r="O545" s="7">
        <v>1</v>
      </c>
      <c r="P545" s="8">
        <v>45258.750879629632</v>
      </c>
      <c r="Q545" s="9">
        <v>45260</v>
      </c>
      <c r="S545" t="s">
        <v>44</v>
      </c>
      <c r="T545" t="s">
        <v>45</v>
      </c>
      <c r="U545" t="s">
        <v>57</v>
      </c>
      <c r="V545" t="s">
        <v>1762</v>
      </c>
      <c r="W545">
        <v>46000</v>
      </c>
      <c r="X545" t="s">
        <v>44</v>
      </c>
      <c r="Y545" t="s">
        <v>802</v>
      </c>
      <c r="Z545" t="s">
        <v>48</v>
      </c>
      <c r="AA545" s="10">
        <f>IF(O545&lt;=1,7,7+0.8*ROUNDUP(O545-1,0))</f>
        <v>7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16"/>
        <v>0.42</v>
      </c>
      <c r="AG545" s="11">
        <f t="shared" si="17"/>
        <v>7.42</v>
      </c>
      <c r="AH545" t="s">
        <v>49</v>
      </c>
    </row>
    <row r="546" spans="1:34" ht="15" customHeight="1" x14ac:dyDescent="0.35">
      <c r="A546">
        <v>7547676</v>
      </c>
      <c r="B546">
        <v>690929</v>
      </c>
      <c r="C546" t="s">
        <v>34</v>
      </c>
      <c r="D546" t="s">
        <v>35</v>
      </c>
      <c r="E546" s="6" t="s">
        <v>34</v>
      </c>
      <c r="F546" t="s">
        <v>1763</v>
      </c>
      <c r="H546" t="s">
        <v>38</v>
      </c>
      <c r="I546" t="s">
        <v>1764</v>
      </c>
      <c r="J546" t="s">
        <v>40</v>
      </c>
      <c r="K546">
        <v>2</v>
      </c>
      <c r="L546" t="s">
        <v>41</v>
      </c>
      <c r="M546" t="s">
        <v>42</v>
      </c>
      <c r="N546" t="s">
        <v>43</v>
      </c>
      <c r="O546" s="7">
        <v>5</v>
      </c>
      <c r="P546" s="8">
        <v>45258.78266203704</v>
      </c>
      <c r="Q546" s="9">
        <v>45260</v>
      </c>
      <c r="S546" t="s">
        <v>44</v>
      </c>
      <c r="T546" t="s">
        <v>45</v>
      </c>
      <c r="U546" t="s">
        <v>57</v>
      </c>
      <c r="V546" t="s">
        <v>1765</v>
      </c>
      <c r="W546">
        <v>48300</v>
      </c>
      <c r="X546" t="s">
        <v>44</v>
      </c>
      <c r="Y546" t="s">
        <v>492</v>
      </c>
      <c r="Z546" t="s">
        <v>48</v>
      </c>
      <c r="AA546" s="10">
        <f>IF(O546&lt;=1,7,7+0.8*ROUNDUP(O546-1,0))</f>
        <v>10.199999999999999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16"/>
        <v>0.61199999999999999</v>
      </c>
      <c r="AG546" s="11">
        <f t="shared" si="17"/>
        <v>10.811999999999999</v>
      </c>
      <c r="AH546" t="s">
        <v>49</v>
      </c>
    </row>
    <row r="547" spans="1:34" ht="15" customHeight="1" x14ac:dyDescent="0.35">
      <c r="A547">
        <v>7547676</v>
      </c>
      <c r="B547">
        <v>690929</v>
      </c>
      <c r="C547" t="s">
        <v>34</v>
      </c>
      <c r="D547" t="s">
        <v>35</v>
      </c>
      <c r="E547" s="6" t="s">
        <v>34</v>
      </c>
      <c r="F547" t="s">
        <v>1766</v>
      </c>
      <c r="H547" t="s">
        <v>38</v>
      </c>
      <c r="I547" t="s">
        <v>1767</v>
      </c>
      <c r="J547" t="s">
        <v>40</v>
      </c>
      <c r="K547">
        <v>2</v>
      </c>
      <c r="L547" t="s">
        <v>41</v>
      </c>
      <c r="M547" t="s">
        <v>42</v>
      </c>
      <c r="N547" t="s">
        <v>43</v>
      </c>
      <c r="O547" s="7">
        <v>1</v>
      </c>
      <c r="P547" s="8">
        <v>45257.762372685182</v>
      </c>
      <c r="Q547" s="9">
        <v>45260</v>
      </c>
      <c r="S547" t="s">
        <v>44</v>
      </c>
      <c r="T547" t="s">
        <v>45</v>
      </c>
      <c r="U547" t="s">
        <v>187</v>
      </c>
      <c r="V547" t="s">
        <v>1768</v>
      </c>
      <c r="W547">
        <v>31900</v>
      </c>
      <c r="X547" t="s">
        <v>44</v>
      </c>
      <c r="Y547" t="s">
        <v>63</v>
      </c>
      <c r="Z547" t="s">
        <v>48</v>
      </c>
      <c r="AA547" s="10">
        <f>IF(O547&lt;=1,7,7+0.8*ROUNDUP(O547-1,0))</f>
        <v>7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16"/>
        <v>0.42</v>
      </c>
      <c r="AG547" s="11">
        <f t="shared" si="17"/>
        <v>7.42</v>
      </c>
      <c r="AH547" t="s">
        <v>49</v>
      </c>
    </row>
    <row r="548" spans="1:34" ht="15" customHeight="1" x14ac:dyDescent="0.35">
      <c r="A548">
        <v>7547676</v>
      </c>
      <c r="B548">
        <v>690929</v>
      </c>
      <c r="C548" t="s">
        <v>34</v>
      </c>
      <c r="D548" t="s">
        <v>35</v>
      </c>
      <c r="E548" s="6" t="s">
        <v>34</v>
      </c>
      <c r="F548" t="s">
        <v>1769</v>
      </c>
      <c r="H548" t="s">
        <v>38</v>
      </c>
      <c r="I548" t="s">
        <v>1770</v>
      </c>
      <c r="J548" t="s">
        <v>40</v>
      </c>
      <c r="K548">
        <v>2</v>
      </c>
      <c r="L548" t="s">
        <v>41</v>
      </c>
      <c r="M548" t="s">
        <v>42</v>
      </c>
      <c r="N548" t="s">
        <v>43</v>
      </c>
      <c r="O548" s="7">
        <v>1</v>
      </c>
      <c r="P548" s="8">
        <v>45259.704398148147</v>
      </c>
      <c r="Q548" s="9">
        <v>45260</v>
      </c>
      <c r="S548" t="s">
        <v>44</v>
      </c>
      <c r="T548" t="s">
        <v>45</v>
      </c>
      <c r="U548" t="s">
        <v>57</v>
      </c>
      <c r="V548" t="s">
        <v>1771</v>
      </c>
      <c r="W548">
        <v>42300</v>
      </c>
      <c r="X548" t="s">
        <v>44</v>
      </c>
      <c r="Y548" t="s">
        <v>1150</v>
      </c>
      <c r="Z548" t="s">
        <v>48</v>
      </c>
      <c r="AA548" s="10">
        <f>IF(O548&lt;=1,7,7+0.8*ROUNDUP(O548-1,0))</f>
        <v>7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16"/>
        <v>0.42</v>
      </c>
      <c r="AG548" s="11">
        <f t="shared" si="17"/>
        <v>7.42</v>
      </c>
      <c r="AH548" t="s">
        <v>49</v>
      </c>
    </row>
    <row r="549" spans="1:34" ht="15" customHeight="1" x14ac:dyDescent="0.35">
      <c r="A549">
        <v>7547676</v>
      </c>
      <c r="B549">
        <v>690929</v>
      </c>
      <c r="C549" t="s">
        <v>34</v>
      </c>
      <c r="D549" t="s">
        <v>35</v>
      </c>
      <c r="E549" s="6" t="s">
        <v>34</v>
      </c>
      <c r="F549" t="s">
        <v>1772</v>
      </c>
      <c r="H549" t="s">
        <v>38</v>
      </c>
      <c r="I549" t="s">
        <v>1773</v>
      </c>
      <c r="J549" t="s">
        <v>40</v>
      </c>
      <c r="K549">
        <v>2</v>
      </c>
      <c r="L549" t="s">
        <v>41</v>
      </c>
      <c r="M549" t="s">
        <v>42</v>
      </c>
      <c r="N549" t="s">
        <v>43</v>
      </c>
      <c r="O549" s="7">
        <v>1</v>
      </c>
      <c r="P549" s="8">
        <v>45259.688298611109</v>
      </c>
      <c r="Q549" s="9">
        <v>45260</v>
      </c>
      <c r="S549" t="s">
        <v>44</v>
      </c>
      <c r="T549" t="s">
        <v>45</v>
      </c>
      <c r="U549" t="s">
        <v>57</v>
      </c>
      <c r="V549" t="s">
        <v>1774</v>
      </c>
      <c r="W549">
        <v>42920</v>
      </c>
      <c r="X549" t="s">
        <v>44</v>
      </c>
      <c r="Y549" t="s">
        <v>969</v>
      </c>
      <c r="Z549" t="s">
        <v>48</v>
      </c>
      <c r="AA549" s="10">
        <f>IF(O549&lt;=1,7,7+0.8*ROUNDUP(O549-1,0))</f>
        <v>7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16"/>
        <v>0.42</v>
      </c>
      <c r="AG549" s="11">
        <f t="shared" si="17"/>
        <v>7.42</v>
      </c>
      <c r="AH549" t="s">
        <v>49</v>
      </c>
    </row>
    <row r="550" spans="1:34" ht="15" customHeight="1" x14ac:dyDescent="0.35">
      <c r="A550">
        <v>7547676</v>
      </c>
      <c r="B550">
        <v>690929</v>
      </c>
      <c r="C550" t="s">
        <v>34</v>
      </c>
      <c r="D550" t="s">
        <v>35</v>
      </c>
      <c r="E550" s="6" t="s">
        <v>34</v>
      </c>
      <c r="F550" t="s">
        <v>1775</v>
      </c>
      <c r="H550" t="s">
        <v>38</v>
      </c>
      <c r="I550" t="s">
        <v>1400</v>
      </c>
      <c r="J550" t="s">
        <v>40</v>
      </c>
      <c r="K550">
        <v>2</v>
      </c>
      <c r="L550" t="s">
        <v>41</v>
      </c>
      <c r="M550" t="s">
        <v>42</v>
      </c>
      <c r="N550" t="s">
        <v>43</v>
      </c>
      <c r="O550" s="7">
        <v>13</v>
      </c>
      <c r="P550" s="8">
        <v>45258.782650462963</v>
      </c>
      <c r="Q550" s="9">
        <v>45260</v>
      </c>
      <c r="S550" t="s">
        <v>44</v>
      </c>
      <c r="T550" t="s">
        <v>45</v>
      </c>
      <c r="U550" t="s">
        <v>57</v>
      </c>
      <c r="V550" t="s">
        <v>1401</v>
      </c>
      <c r="W550">
        <v>42000</v>
      </c>
      <c r="X550" t="s">
        <v>44</v>
      </c>
      <c r="Y550" t="s">
        <v>969</v>
      </c>
      <c r="Z550" t="s">
        <v>48</v>
      </c>
      <c r="AA550" s="10">
        <f>IF(O550&lt;=1,7,7+0.8*ROUNDUP(O550-1,0))</f>
        <v>16.600000000000001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16"/>
        <v>0.996</v>
      </c>
      <c r="AG550" s="11">
        <f t="shared" si="17"/>
        <v>17.596</v>
      </c>
      <c r="AH550" t="s">
        <v>49</v>
      </c>
    </row>
    <row r="551" spans="1:34" ht="15" customHeight="1" x14ac:dyDescent="0.35">
      <c r="A551">
        <v>7547676</v>
      </c>
      <c r="B551">
        <v>690929</v>
      </c>
      <c r="C551" t="s">
        <v>34</v>
      </c>
      <c r="D551" t="s">
        <v>35</v>
      </c>
      <c r="E551" s="6" t="s">
        <v>34</v>
      </c>
      <c r="F551" t="s">
        <v>1776</v>
      </c>
      <c r="H551" t="s">
        <v>38</v>
      </c>
      <c r="I551" t="s">
        <v>1400</v>
      </c>
      <c r="J551" t="s">
        <v>40</v>
      </c>
      <c r="K551">
        <v>2</v>
      </c>
      <c r="L551" t="s">
        <v>41</v>
      </c>
      <c r="M551" t="s">
        <v>42</v>
      </c>
      <c r="N551" t="s">
        <v>43</v>
      </c>
      <c r="O551" s="7">
        <v>9</v>
      </c>
      <c r="P551" s="8">
        <v>45258.78266203704</v>
      </c>
      <c r="Q551" s="9">
        <v>45260</v>
      </c>
      <c r="S551" t="s">
        <v>44</v>
      </c>
      <c r="T551" t="s">
        <v>45</v>
      </c>
      <c r="U551" t="s">
        <v>57</v>
      </c>
      <c r="V551" t="s">
        <v>1401</v>
      </c>
      <c r="W551">
        <v>42000</v>
      </c>
      <c r="X551" t="s">
        <v>44</v>
      </c>
      <c r="Y551" t="s">
        <v>969</v>
      </c>
      <c r="Z551" t="s">
        <v>48</v>
      </c>
      <c r="AA551" s="10">
        <f>IF(O551&lt;=1,7,7+0.8*ROUNDUP(O551-1,0))</f>
        <v>13.4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16"/>
        <v>0.80399999999999994</v>
      </c>
      <c r="AG551" s="11">
        <f t="shared" si="17"/>
        <v>14.204000000000001</v>
      </c>
      <c r="AH551" t="s">
        <v>49</v>
      </c>
    </row>
    <row r="552" spans="1:34" ht="15" customHeight="1" x14ac:dyDescent="0.35">
      <c r="A552">
        <v>7547676</v>
      </c>
      <c r="B552">
        <v>690929</v>
      </c>
      <c r="C552" t="s">
        <v>34</v>
      </c>
      <c r="D552" t="s">
        <v>35</v>
      </c>
      <c r="E552" s="6" t="s">
        <v>34</v>
      </c>
      <c r="F552" t="s">
        <v>1777</v>
      </c>
      <c r="H552" t="s">
        <v>38</v>
      </c>
      <c r="I552" t="s">
        <v>1778</v>
      </c>
      <c r="J552" t="s">
        <v>40</v>
      </c>
      <c r="K552">
        <v>2</v>
      </c>
      <c r="L552" t="s">
        <v>41</v>
      </c>
      <c r="M552" t="s">
        <v>42</v>
      </c>
      <c r="N552" t="s">
        <v>43</v>
      </c>
      <c r="O552" s="7">
        <v>1</v>
      </c>
      <c r="P552" s="8">
        <v>45259.546770833331</v>
      </c>
      <c r="Q552" s="9">
        <v>45260</v>
      </c>
      <c r="S552" t="s">
        <v>44</v>
      </c>
      <c r="T552" t="s">
        <v>45</v>
      </c>
      <c r="U552" t="s">
        <v>57</v>
      </c>
      <c r="V552" t="s">
        <v>1779</v>
      </c>
      <c r="W552">
        <v>62604</v>
      </c>
      <c r="X552" t="s">
        <v>44</v>
      </c>
      <c r="Y552" t="s">
        <v>63</v>
      </c>
      <c r="Z552" t="s">
        <v>48</v>
      </c>
      <c r="AA552" s="10">
        <f>IF(O552&lt;=1,7,7+0.8*ROUNDUP(O552-1,0))</f>
        <v>7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16"/>
        <v>0.42</v>
      </c>
      <c r="AG552" s="11">
        <f t="shared" si="17"/>
        <v>7.42</v>
      </c>
      <c r="AH552" t="s">
        <v>49</v>
      </c>
    </row>
    <row r="553" spans="1:34" ht="15" customHeight="1" x14ac:dyDescent="0.35">
      <c r="A553">
        <v>7547676</v>
      </c>
      <c r="B553">
        <v>690929</v>
      </c>
      <c r="C553" t="s">
        <v>34</v>
      </c>
      <c r="D553" t="s">
        <v>35</v>
      </c>
      <c r="E553" s="6" t="s">
        <v>34</v>
      </c>
      <c r="F553" t="s">
        <v>1780</v>
      </c>
      <c r="H553" t="s">
        <v>38</v>
      </c>
      <c r="I553" t="s">
        <v>1781</v>
      </c>
      <c r="J553" t="s">
        <v>40</v>
      </c>
      <c r="K553">
        <v>2</v>
      </c>
      <c r="L553" t="s">
        <v>41</v>
      </c>
      <c r="M553" t="s">
        <v>42</v>
      </c>
      <c r="N553" t="s">
        <v>43</v>
      </c>
      <c r="O553" s="7">
        <v>2</v>
      </c>
      <c r="P553" s="8">
        <v>45259.711157407408</v>
      </c>
      <c r="Q553" s="9">
        <v>45260</v>
      </c>
      <c r="S553" t="s">
        <v>44</v>
      </c>
      <c r="T553" t="s">
        <v>45</v>
      </c>
      <c r="U553" t="s">
        <v>156</v>
      </c>
      <c r="V553" t="s">
        <v>1782</v>
      </c>
      <c r="W553">
        <v>18400</v>
      </c>
      <c r="X553" t="s">
        <v>44</v>
      </c>
      <c r="Y553" t="s">
        <v>145</v>
      </c>
      <c r="Z553" t="s">
        <v>48</v>
      </c>
      <c r="AA553" s="10">
        <f>IF(O553&lt;=1,7,7+0.8*ROUNDUP(O553-1,0))</f>
        <v>7.8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16"/>
        <v>0.46799999999999997</v>
      </c>
      <c r="AG553" s="11">
        <f t="shared" si="17"/>
        <v>8.2680000000000007</v>
      </c>
      <c r="AH553" t="s">
        <v>49</v>
      </c>
    </row>
    <row r="554" spans="1:34" ht="15" customHeight="1" x14ac:dyDescent="0.35">
      <c r="A554">
        <v>7547676</v>
      </c>
      <c r="B554">
        <v>690929</v>
      </c>
      <c r="C554" t="s">
        <v>34</v>
      </c>
      <c r="D554" t="s">
        <v>35</v>
      </c>
      <c r="E554" s="6" t="s">
        <v>34</v>
      </c>
      <c r="F554" t="s">
        <v>1783</v>
      </c>
      <c r="H554" t="s">
        <v>38</v>
      </c>
      <c r="I554" t="s">
        <v>1784</v>
      </c>
      <c r="J554" t="s">
        <v>40</v>
      </c>
      <c r="K554">
        <v>2</v>
      </c>
      <c r="L554" t="s">
        <v>41</v>
      </c>
      <c r="M554" t="s">
        <v>42</v>
      </c>
      <c r="N554" t="s">
        <v>43</v>
      </c>
      <c r="O554" s="7">
        <v>1</v>
      </c>
      <c r="P554" s="8">
        <v>45258.78266203704</v>
      </c>
      <c r="Q554" s="9">
        <v>45260</v>
      </c>
      <c r="S554" t="s">
        <v>44</v>
      </c>
      <c r="T554" t="s">
        <v>45</v>
      </c>
      <c r="U554" t="s">
        <v>57</v>
      </c>
      <c r="V554" t="s">
        <v>1785</v>
      </c>
      <c r="W554">
        <v>42920</v>
      </c>
      <c r="X554" t="s">
        <v>44</v>
      </c>
      <c r="Y554" t="s">
        <v>63</v>
      </c>
      <c r="Z554" t="s">
        <v>48</v>
      </c>
      <c r="AA554" s="10">
        <f>IF(O554&lt;=1,7,7+0.8*ROUNDUP(O554-1,0))</f>
        <v>7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16"/>
        <v>0.42</v>
      </c>
      <c r="AG554" s="11">
        <f t="shared" si="17"/>
        <v>7.42</v>
      </c>
      <c r="AH554" t="s">
        <v>49</v>
      </c>
    </row>
    <row r="555" spans="1:34" ht="15" customHeight="1" x14ac:dyDescent="0.35">
      <c r="A555">
        <v>7547676</v>
      </c>
      <c r="B555">
        <v>690929</v>
      </c>
      <c r="C555" t="s">
        <v>34</v>
      </c>
      <c r="D555" t="s">
        <v>35</v>
      </c>
      <c r="E555" s="6" t="s">
        <v>34</v>
      </c>
      <c r="F555" t="s">
        <v>1786</v>
      </c>
      <c r="H555" t="s">
        <v>38</v>
      </c>
      <c r="I555" t="s">
        <v>210</v>
      </c>
      <c r="J555" t="s">
        <v>40</v>
      </c>
      <c r="K555">
        <v>2</v>
      </c>
      <c r="L555" t="s">
        <v>41</v>
      </c>
      <c r="M555" t="s">
        <v>42</v>
      </c>
      <c r="N555" t="s">
        <v>43</v>
      </c>
      <c r="O555" s="7">
        <v>2</v>
      </c>
      <c r="P555" s="8">
        <v>45258.78266203704</v>
      </c>
      <c r="Q555" s="9">
        <v>45260</v>
      </c>
      <c r="S555" t="s">
        <v>44</v>
      </c>
      <c r="T555" t="s">
        <v>45</v>
      </c>
      <c r="U555" t="s">
        <v>57</v>
      </c>
      <c r="V555" t="s">
        <v>211</v>
      </c>
      <c r="W555">
        <v>40150</v>
      </c>
      <c r="X555" t="s">
        <v>44</v>
      </c>
      <c r="Y555" t="s">
        <v>63</v>
      </c>
      <c r="Z555" t="s">
        <v>48</v>
      </c>
      <c r="AA555" s="10">
        <f>IF(O555&lt;=1,7,7+0.8*ROUNDUP(O555-1,0))</f>
        <v>7.8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16"/>
        <v>0.46799999999999997</v>
      </c>
      <c r="AG555" s="11">
        <f t="shared" si="17"/>
        <v>8.2680000000000007</v>
      </c>
      <c r="AH555" t="s">
        <v>49</v>
      </c>
    </row>
    <row r="556" spans="1:34" ht="15" customHeight="1" x14ac:dyDescent="0.35">
      <c r="A556">
        <v>7547676</v>
      </c>
      <c r="B556">
        <v>690929</v>
      </c>
      <c r="C556" t="s">
        <v>34</v>
      </c>
      <c r="D556" t="s">
        <v>35</v>
      </c>
      <c r="E556" s="6" t="s">
        <v>34</v>
      </c>
      <c r="F556" t="s">
        <v>1787</v>
      </c>
      <c r="H556" t="s">
        <v>38</v>
      </c>
      <c r="I556" t="s">
        <v>1788</v>
      </c>
      <c r="J556" t="s">
        <v>40</v>
      </c>
      <c r="K556">
        <v>2</v>
      </c>
      <c r="L556" t="s">
        <v>41</v>
      </c>
      <c r="M556" t="s">
        <v>42</v>
      </c>
      <c r="N556" t="s">
        <v>43</v>
      </c>
      <c r="O556" s="7">
        <v>12</v>
      </c>
      <c r="P556" s="8">
        <v>45259.73337962963</v>
      </c>
      <c r="Q556" s="9">
        <v>45260</v>
      </c>
      <c r="S556" t="s">
        <v>44</v>
      </c>
      <c r="T556" t="s">
        <v>45</v>
      </c>
      <c r="U556" t="s">
        <v>52</v>
      </c>
      <c r="V556" t="s">
        <v>1789</v>
      </c>
      <c r="W556">
        <v>21600</v>
      </c>
      <c r="X556" t="s">
        <v>44</v>
      </c>
      <c r="Y556" t="s">
        <v>153</v>
      </c>
      <c r="Z556" t="s">
        <v>48</v>
      </c>
      <c r="AA556" s="10">
        <f>IF(O556&lt;=1,7,7+0.8*ROUNDUP(O556-1,0))</f>
        <v>15.8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16"/>
        <v>0.94799999999999995</v>
      </c>
      <c r="AG556" s="11">
        <f t="shared" si="17"/>
        <v>16.748000000000001</v>
      </c>
      <c r="AH556" t="s">
        <v>49</v>
      </c>
    </row>
    <row r="557" spans="1:34" ht="15" customHeight="1" x14ac:dyDescent="0.35">
      <c r="A557">
        <v>7547676</v>
      </c>
      <c r="B557">
        <v>690929</v>
      </c>
      <c r="C557" t="s">
        <v>34</v>
      </c>
      <c r="D557" t="s">
        <v>35</v>
      </c>
      <c r="E557" s="6" t="s">
        <v>34</v>
      </c>
      <c r="F557" t="s">
        <v>1790</v>
      </c>
      <c r="H557" t="s">
        <v>38</v>
      </c>
      <c r="I557" t="s">
        <v>1788</v>
      </c>
      <c r="J557" t="s">
        <v>40</v>
      </c>
      <c r="K557">
        <v>2</v>
      </c>
      <c r="L557" t="s">
        <v>41</v>
      </c>
      <c r="M557" t="s">
        <v>42</v>
      </c>
      <c r="N557" t="s">
        <v>43</v>
      </c>
      <c r="O557" s="7">
        <v>15</v>
      </c>
      <c r="P557" s="8">
        <v>45259.73337962963</v>
      </c>
      <c r="Q557" s="9">
        <v>45260</v>
      </c>
      <c r="S557" t="s">
        <v>44</v>
      </c>
      <c r="T557" t="s">
        <v>45</v>
      </c>
      <c r="U557" t="s">
        <v>52</v>
      </c>
      <c r="V557" t="s">
        <v>1789</v>
      </c>
      <c r="W557">
        <v>21600</v>
      </c>
      <c r="X557" t="s">
        <v>44</v>
      </c>
      <c r="Y557" t="s">
        <v>153</v>
      </c>
      <c r="Z557" t="s">
        <v>48</v>
      </c>
      <c r="AA557" s="10">
        <f>IF(O557&lt;=1,7,7+0.8*ROUNDUP(O557-1,0))</f>
        <v>18.200000000000003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16"/>
        <v>1.0920000000000001</v>
      </c>
      <c r="AG557" s="11">
        <f t="shared" si="17"/>
        <v>19.292000000000002</v>
      </c>
      <c r="AH557" t="s">
        <v>49</v>
      </c>
    </row>
    <row r="558" spans="1:34" ht="15" customHeight="1" x14ac:dyDescent="0.35">
      <c r="A558">
        <v>7547676</v>
      </c>
      <c r="B558">
        <v>690929</v>
      </c>
      <c r="C558" t="s">
        <v>34</v>
      </c>
      <c r="D558" t="s">
        <v>35</v>
      </c>
      <c r="E558" s="6" t="s">
        <v>34</v>
      </c>
      <c r="F558" t="s">
        <v>1791</v>
      </c>
      <c r="H558" t="s">
        <v>38</v>
      </c>
      <c r="I558" t="s">
        <v>1792</v>
      </c>
      <c r="J558" t="s">
        <v>40</v>
      </c>
      <c r="K558">
        <v>2</v>
      </c>
      <c r="L558" t="s">
        <v>41</v>
      </c>
      <c r="M558" t="s">
        <v>42</v>
      </c>
      <c r="N558" t="s">
        <v>43</v>
      </c>
      <c r="O558" s="7">
        <v>1</v>
      </c>
      <c r="P558" s="8">
        <v>45258.758958333332</v>
      </c>
      <c r="Q558" s="9">
        <v>45260</v>
      </c>
      <c r="S558" t="s">
        <v>44</v>
      </c>
      <c r="T558" t="s">
        <v>45</v>
      </c>
      <c r="U558" t="s">
        <v>57</v>
      </c>
      <c r="V558" t="s">
        <v>1793</v>
      </c>
      <c r="W558">
        <v>47180</v>
      </c>
      <c r="X558" t="s">
        <v>44</v>
      </c>
      <c r="Y558" t="s">
        <v>1794</v>
      </c>
      <c r="Z558" t="s">
        <v>48</v>
      </c>
      <c r="AA558" s="10">
        <f>IF(O558&lt;=1,7,7+0.8*ROUNDUP(O558-1,0))</f>
        <v>7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16"/>
        <v>0.42</v>
      </c>
      <c r="AG558" s="11">
        <f t="shared" si="17"/>
        <v>7.42</v>
      </c>
      <c r="AH558" t="s">
        <v>49</v>
      </c>
    </row>
    <row r="559" spans="1:34" ht="15" customHeight="1" x14ac:dyDescent="0.35">
      <c r="A559">
        <v>7547676</v>
      </c>
      <c r="B559">
        <v>690929</v>
      </c>
      <c r="C559" t="s">
        <v>34</v>
      </c>
      <c r="D559" t="s">
        <v>35</v>
      </c>
      <c r="E559" s="6" t="s">
        <v>34</v>
      </c>
      <c r="F559" t="s">
        <v>1795</v>
      </c>
      <c r="H559" t="s">
        <v>38</v>
      </c>
      <c r="I559" t="s">
        <v>1796</v>
      </c>
      <c r="J559" t="s">
        <v>40</v>
      </c>
      <c r="K559">
        <v>2</v>
      </c>
      <c r="L559" t="s">
        <v>41</v>
      </c>
      <c r="M559" t="s">
        <v>42</v>
      </c>
      <c r="N559" t="s">
        <v>43</v>
      </c>
      <c r="O559" s="7">
        <v>2</v>
      </c>
      <c r="P559" s="8">
        <v>45258.758958333332</v>
      </c>
      <c r="Q559" s="9">
        <v>45260</v>
      </c>
      <c r="S559" t="s">
        <v>44</v>
      </c>
      <c r="T559" t="s">
        <v>45</v>
      </c>
      <c r="U559" t="s">
        <v>156</v>
      </c>
      <c r="V559" t="s">
        <v>1797</v>
      </c>
      <c r="W559">
        <v>18300</v>
      </c>
      <c r="X559" t="s">
        <v>44</v>
      </c>
      <c r="Y559" t="s">
        <v>145</v>
      </c>
      <c r="Z559" t="s">
        <v>48</v>
      </c>
      <c r="AA559" s="10">
        <f>IF(O559&lt;=1,7,7+0.8*ROUNDUP(O559-1,0))</f>
        <v>7.8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16"/>
        <v>0.46799999999999997</v>
      </c>
      <c r="AG559" s="11">
        <f t="shared" si="17"/>
        <v>8.2680000000000007</v>
      </c>
      <c r="AH559" t="s">
        <v>49</v>
      </c>
    </row>
    <row r="560" spans="1:34" ht="15" customHeight="1" x14ac:dyDescent="0.35">
      <c r="A560">
        <v>7547676</v>
      </c>
      <c r="B560">
        <v>690929</v>
      </c>
      <c r="C560" t="s">
        <v>34</v>
      </c>
      <c r="D560" t="s">
        <v>35</v>
      </c>
      <c r="E560" s="6" t="s">
        <v>34</v>
      </c>
      <c r="F560" t="s">
        <v>1798</v>
      </c>
      <c r="H560" t="s">
        <v>38</v>
      </c>
      <c r="I560" t="s">
        <v>1799</v>
      </c>
      <c r="J560" t="s">
        <v>40</v>
      </c>
      <c r="K560">
        <v>2</v>
      </c>
      <c r="L560" t="s">
        <v>41</v>
      </c>
      <c r="M560" t="s">
        <v>42</v>
      </c>
      <c r="N560" t="s">
        <v>43</v>
      </c>
      <c r="O560" s="7">
        <v>1</v>
      </c>
      <c r="P560" s="8">
        <v>45258.758958333332</v>
      </c>
      <c r="Q560" s="9">
        <v>45260</v>
      </c>
      <c r="S560" t="s">
        <v>44</v>
      </c>
      <c r="T560" t="s">
        <v>45</v>
      </c>
      <c r="U560" t="s">
        <v>156</v>
      </c>
      <c r="V560" t="s">
        <v>1800</v>
      </c>
      <c r="W560">
        <v>16300</v>
      </c>
      <c r="X560" t="s">
        <v>44</v>
      </c>
      <c r="Y560" t="s">
        <v>145</v>
      </c>
      <c r="Z560" t="s">
        <v>48</v>
      </c>
      <c r="AA560" s="10">
        <f>IF(O560&lt;=1,7,7+0.8*ROUNDUP(O560-1,0))</f>
        <v>7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16"/>
        <v>0.42</v>
      </c>
      <c r="AG560" s="11">
        <f t="shared" si="17"/>
        <v>7.42</v>
      </c>
      <c r="AH560" t="s">
        <v>49</v>
      </c>
    </row>
    <row r="561" spans="1:34" ht="15" customHeight="1" x14ac:dyDescent="0.35">
      <c r="A561">
        <v>7547676</v>
      </c>
      <c r="B561">
        <v>690929</v>
      </c>
      <c r="C561" t="s">
        <v>34</v>
      </c>
      <c r="D561" t="s">
        <v>35</v>
      </c>
      <c r="E561" s="6" t="s">
        <v>34</v>
      </c>
      <c r="F561" t="s">
        <v>1801</v>
      </c>
      <c r="H561" t="s">
        <v>38</v>
      </c>
      <c r="I561" t="s">
        <v>1802</v>
      </c>
      <c r="J561" t="s">
        <v>40</v>
      </c>
      <c r="K561">
        <v>2</v>
      </c>
      <c r="L561" t="s">
        <v>41</v>
      </c>
      <c r="M561" t="s">
        <v>42</v>
      </c>
      <c r="N561" t="s">
        <v>43</v>
      </c>
      <c r="O561" s="7">
        <v>1</v>
      </c>
      <c r="P561" s="8">
        <v>45259.689710648148</v>
      </c>
      <c r="Q561" s="9">
        <v>45260</v>
      </c>
      <c r="S561" t="s">
        <v>44</v>
      </c>
      <c r="T561" t="s">
        <v>45</v>
      </c>
      <c r="U561" t="s">
        <v>52</v>
      </c>
      <c r="V561" t="s">
        <v>1803</v>
      </c>
      <c r="W561">
        <v>23200</v>
      </c>
      <c r="X561" t="s">
        <v>44</v>
      </c>
      <c r="Y561" t="s">
        <v>368</v>
      </c>
      <c r="Z561" t="s">
        <v>48</v>
      </c>
      <c r="AA561" s="10">
        <f>IF(O561&lt;=1,7,7+0.8*ROUNDUP(O561-1,0))</f>
        <v>7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16"/>
        <v>0.42</v>
      </c>
      <c r="AG561" s="11">
        <f t="shared" si="17"/>
        <v>7.42</v>
      </c>
      <c r="AH561" t="s">
        <v>49</v>
      </c>
    </row>
    <row r="562" spans="1:34" ht="15" customHeight="1" x14ac:dyDescent="0.35">
      <c r="A562">
        <v>7547676</v>
      </c>
      <c r="B562">
        <v>690929</v>
      </c>
      <c r="C562" t="s">
        <v>34</v>
      </c>
      <c r="D562" t="s">
        <v>35</v>
      </c>
      <c r="E562" s="6" t="s">
        <v>34</v>
      </c>
      <c r="F562" t="s">
        <v>1804</v>
      </c>
      <c r="H562" t="s">
        <v>38</v>
      </c>
      <c r="I562" t="s">
        <v>1805</v>
      </c>
      <c r="J562" t="s">
        <v>40</v>
      </c>
      <c r="K562">
        <v>2</v>
      </c>
      <c r="L562" t="s">
        <v>41</v>
      </c>
      <c r="M562" t="s">
        <v>42</v>
      </c>
      <c r="N562" t="s">
        <v>43</v>
      </c>
      <c r="O562" s="7">
        <v>1</v>
      </c>
      <c r="P562" s="8">
        <v>45258.467326388891</v>
      </c>
      <c r="Q562" s="9">
        <v>45260</v>
      </c>
      <c r="S562" t="s">
        <v>44</v>
      </c>
      <c r="T562" t="s">
        <v>45</v>
      </c>
      <c r="U562" t="s">
        <v>119</v>
      </c>
      <c r="V562" t="s">
        <v>1806</v>
      </c>
      <c r="W562">
        <v>11700</v>
      </c>
      <c r="X562" t="s">
        <v>44</v>
      </c>
      <c r="Y562" t="s">
        <v>1807</v>
      </c>
      <c r="Z562" t="s">
        <v>48</v>
      </c>
      <c r="AA562" s="10">
        <f>IF(O562&lt;=1,7,7+0.8*ROUNDUP(O562-1,0))</f>
        <v>7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16"/>
        <v>0.42</v>
      </c>
      <c r="AG562" s="11">
        <f t="shared" si="17"/>
        <v>7.42</v>
      </c>
      <c r="AH562" t="s">
        <v>49</v>
      </c>
    </row>
    <row r="564" spans="1:34" x14ac:dyDescent="0.35">
      <c r="AA564" s="13">
        <f>SUM(AA2:AA562)</f>
        <v>5052.0000000000045</v>
      </c>
      <c r="AB564" s="13">
        <f>SUM(AB2:AB562)</f>
        <v>0</v>
      </c>
      <c r="AC564" s="13">
        <f>SUM(AC2:AC562)</f>
        <v>0</v>
      </c>
      <c r="AD564" s="13">
        <f>SUM(AD2:AD562)</f>
        <v>0</v>
      </c>
      <c r="AE564" s="13">
        <f>SUM(AE2:AE562)</f>
        <v>0</v>
      </c>
      <c r="AF564" s="13">
        <f>SUM(AF2:AF562)</f>
        <v>303.11999999999864</v>
      </c>
      <c r="AG564" s="13">
        <f>SUM(AG2:AG562)</f>
        <v>5355.120000000019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2023-12-02T18:02:24Z</dcterms:created>
  <dcterms:modified xsi:type="dcterms:W3CDTF">2023-12-02T18:02:25Z</dcterms:modified>
</cp:coreProperties>
</file>