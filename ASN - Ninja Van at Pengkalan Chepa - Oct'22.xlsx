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INJAVAN\BILLING 2022\Oct'22\Billing\ASN\Final\Individual\Partner\"/>
    </mc:Choice>
  </mc:AlternateContent>
  <xr:revisionPtr revIDLastSave="0" documentId="8_{5DD8B825-BEAB-4614-B865-DA0144BAD169}" xr6:coauthVersionLast="47" xr6:coauthVersionMax="47" xr10:uidLastSave="{00000000-0000-0000-0000-000000000000}"/>
  <bookViews>
    <workbookView xWindow="-110" yWindow="490" windowWidth="19420" windowHeight="10420" xr2:uid="{DCB75FE5-B3F6-4638-894B-5DDA7DF46DD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J283" i="1" l="1"/>
  <c r="AI283" i="1"/>
  <c r="AH283" i="1"/>
  <c r="AG283" i="1"/>
  <c r="AF283" i="1"/>
  <c r="AE283" i="1"/>
  <c r="AD283" i="1"/>
  <c r="AD281" i="1"/>
  <c r="AD280" i="1"/>
  <c r="AI279" i="1"/>
  <c r="AD279" i="1"/>
  <c r="AJ279" i="1" s="1"/>
  <c r="AI278" i="1"/>
  <c r="AD278" i="1"/>
  <c r="AJ278" i="1" s="1"/>
  <c r="AD277" i="1"/>
  <c r="AJ276" i="1"/>
  <c r="AI276" i="1"/>
  <c r="AD276" i="1"/>
  <c r="AJ275" i="1"/>
  <c r="AI275" i="1"/>
  <c r="AD275" i="1"/>
  <c r="AD274" i="1"/>
  <c r="AD273" i="1"/>
  <c r="AD272" i="1"/>
  <c r="AI271" i="1"/>
  <c r="AD271" i="1"/>
  <c r="AJ271" i="1" s="1"/>
  <c r="AI270" i="1"/>
  <c r="AD270" i="1"/>
  <c r="AJ270" i="1" s="1"/>
  <c r="AD269" i="1"/>
  <c r="AJ268" i="1"/>
  <c r="AI268" i="1"/>
  <c r="AD268" i="1"/>
  <c r="AJ267" i="1"/>
  <c r="AI267" i="1"/>
  <c r="AD267" i="1"/>
  <c r="AD266" i="1"/>
  <c r="AD265" i="1"/>
  <c r="AI265" i="1" s="1"/>
  <c r="AJ265" i="1" s="1"/>
  <c r="AD264" i="1"/>
  <c r="AI263" i="1"/>
  <c r="AD263" i="1"/>
  <c r="AJ263" i="1" s="1"/>
  <c r="AI262" i="1"/>
  <c r="AD262" i="1"/>
  <c r="AJ262" i="1" s="1"/>
  <c r="AD261" i="1"/>
  <c r="AJ260" i="1"/>
  <c r="AI260" i="1"/>
  <c r="AD260" i="1"/>
  <c r="AD259" i="1"/>
  <c r="AI259" i="1" s="1"/>
  <c r="AJ259" i="1" s="1"/>
  <c r="AD258" i="1"/>
  <c r="AD257" i="1"/>
  <c r="AI257" i="1" s="1"/>
  <c r="AJ257" i="1" s="1"/>
  <c r="AD256" i="1"/>
  <c r="AI255" i="1"/>
  <c r="AD255" i="1"/>
  <c r="AJ255" i="1" s="1"/>
  <c r="AI254" i="1"/>
  <c r="AD254" i="1"/>
  <c r="AJ254" i="1" s="1"/>
  <c r="AD253" i="1"/>
  <c r="AJ252" i="1"/>
  <c r="AI252" i="1"/>
  <c r="AD252" i="1"/>
  <c r="AD251" i="1"/>
  <c r="AI251" i="1" s="1"/>
  <c r="AJ251" i="1" s="1"/>
  <c r="AD250" i="1"/>
  <c r="AD249" i="1"/>
  <c r="AI249" i="1" s="1"/>
  <c r="AJ249" i="1" s="1"/>
  <c r="AD248" i="1"/>
  <c r="AI247" i="1"/>
  <c r="AD247" i="1"/>
  <c r="AJ247" i="1" s="1"/>
  <c r="AI246" i="1"/>
  <c r="AD246" i="1"/>
  <c r="AJ246" i="1" s="1"/>
  <c r="AD245" i="1"/>
  <c r="AJ244" i="1"/>
  <c r="AI244" i="1"/>
  <c r="AD244" i="1"/>
  <c r="AD243" i="1"/>
  <c r="AI243" i="1" s="1"/>
  <c r="AJ243" i="1" s="1"/>
  <c r="AD242" i="1"/>
  <c r="AD241" i="1"/>
  <c r="AI241" i="1" s="1"/>
  <c r="AJ241" i="1" s="1"/>
  <c r="AD240" i="1"/>
  <c r="AI239" i="1"/>
  <c r="AD239" i="1"/>
  <c r="AJ239" i="1" s="1"/>
  <c r="AI238" i="1"/>
  <c r="AJ238" i="1" s="1"/>
  <c r="AD238" i="1"/>
  <c r="AD237" i="1"/>
  <c r="AJ236" i="1"/>
  <c r="AI236" i="1"/>
  <c r="AD236" i="1"/>
  <c r="AJ235" i="1"/>
  <c r="AI235" i="1"/>
  <c r="AD235" i="1"/>
  <c r="AD234" i="1"/>
  <c r="AD233" i="1"/>
  <c r="AD232" i="1"/>
  <c r="AI231" i="1"/>
  <c r="AD231" i="1"/>
  <c r="AJ231" i="1" s="1"/>
  <c r="AI230" i="1"/>
  <c r="AD230" i="1"/>
  <c r="AJ230" i="1" s="1"/>
  <c r="AD229" i="1"/>
  <c r="AJ228" i="1"/>
  <c r="AI228" i="1"/>
  <c r="AD228" i="1"/>
  <c r="AJ227" i="1"/>
  <c r="AI227" i="1"/>
  <c r="AD227" i="1"/>
  <c r="AD226" i="1"/>
  <c r="AD225" i="1"/>
  <c r="AI224" i="1"/>
  <c r="AJ224" i="1" s="1"/>
  <c r="AD224" i="1"/>
  <c r="AI223" i="1"/>
  <c r="AD223" i="1"/>
  <c r="AJ223" i="1" s="1"/>
  <c r="AI222" i="1"/>
  <c r="AD222" i="1"/>
  <c r="AJ222" i="1" s="1"/>
  <c r="AD221" i="1"/>
  <c r="AJ220" i="1"/>
  <c r="AI220" i="1"/>
  <c r="AD220" i="1"/>
  <c r="AD219" i="1"/>
  <c r="AI219" i="1" s="1"/>
  <c r="AJ219" i="1" s="1"/>
  <c r="AD218" i="1"/>
  <c r="AD217" i="1"/>
  <c r="AI216" i="1"/>
  <c r="AJ216" i="1" s="1"/>
  <c r="AD216" i="1"/>
  <c r="AI215" i="1"/>
  <c r="AD215" i="1"/>
  <c r="AJ215" i="1" s="1"/>
  <c r="AI214" i="1"/>
  <c r="AD214" i="1"/>
  <c r="AJ214" i="1" s="1"/>
  <c r="AD213" i="1"/>
  <c r="AJ212" i="1"/>
  <c r="AI212" i="1"/>
  <c r="AD212" i="1"/>
  <c r="AJ211" i="1"/>
  <c r="AI211" i="1"/>
  <c r="AD211" i="1"/>
  <c r="AD210" i="1"/>
  <c r="AD209" i="1"/>
  <c r="AJ208" i="1"/>
  <c r="AI208" i="1"/>
  <c r="AD208" i="1"/>
  <c r="AI207" i="1"/>
  <c r="AD207" i="1"/>
  <c r="AJ207" i="1" s="1"/>
  <c r="AI206" i="1"/>
  <c r="AD206" i="1"/>
  <c r="AJ206" i="1" s="1"/>
  <c r="AD205" i="1"/>
  <c r="AJ204" i="1"/>
  <c r="AI204" i="1"/>
  <c r="AD204" i="1"/>
  <c r="AJ203" i="1"/>
  <c r="AI203" i="1"/>
  <c r="AD203" i="1"/>
  <c r="AD202" i="1"/>
  <c r="AD201" i="1"/>
  <c r="AJ200" i="1"/>
  <c r="AI200" i="1"/>
  <c r="AD200" i="1"/>
  <c r="AI199" i="1"/>
  <c r="AD199" i="1"/>
  <c r="AJ199" i="1" s="1"/>
  <c r="AI198" i="1"/>
  <c r="AD198" i="1"/>
  <c r="AJ198" i="1" s="1"/>
  <c r="AD197" i="1"/>
  <c r="AJ196" i="1"/>
  <c r="AI196" i="1"/>
  <c r="AD196" i="1"/>
  <c r="AJ195" i="1"/>
  <c r="AI195" i="1"/>
  <c r="AD195" i="1"/>
  <c r="AD194" i="1"/>
  <c r="AD193" i="1"/>
  <c r="AJ192" i="1"/>
  <c r="AI192" i="1"/>
  <c r="AD192" i="1"/>
  <c r="AI191" i="1"/>
  <c r="AD191" i="1"/>
  <c r="AJ191" i="1" s="1"/>
  <c r="AI190" i="1"/>
  <c r="AD190" i="1"/>
  <c r="AJ190" i="1" s="1"/>
  <c r="AD189" i="1"/>
  <c r="AJ188" i="1"/>
  <c r="AI188" i="1"/>
  <c r="AD188" i="1"/>
  <c r="AJ187" i="1"/>
  <c r="AI187" i="1"/>
  <c r="AD187" i="1"/>
  <c r="AD186" i="1"/>
  <c r="AD185" i="1"/>
  <c r="AJ184" i="1"/>
  <c r="AI184" i="1"/>
  <c r="AD184" i="1"/>
  <c r="AI183" i="1"/>
  <c r="AD183" i="1"/>
  <c r="AJ183" i="1" s="1"/>
  <c r="AI182" i="1"/>
  <c r="AD182" i="1"/>
  <c r="AJ182" i="1" s="1"/>
  <c r="AD181" i="1"/>
  <c r="AJ180" i="1"/>
  <c r="AI180" i="1"/>
  <c r="AD180" i="1"/>
  <c r="AJ179" i="1"/>
  <c r="AI179" i="1"/>
  <c r="AD179" i="1"/>
  <c r="AD178" i="1"/>
  <c r="AD177" i="1"/>
  <c r="AJ176" i="1"/>
  <c r="AI176" i="1"/>
  <c r="AD176" i="1"/>
  <c r="AI175" i="1"/>
  <c r="AD175" i="1"/>
  <c r="AJ175" i="1" s="1"/>
  <c r="AI174" i="1"/>
  <c r="AD174" i="1"/>
  <c r="AJ174" i="1" s="1"/>
  <c r="AD173" i="1"/>
  <c r="AJ172" i="1"/>
  <c r="AI172" i="1"/>
  <c r="AD172" i="1"/>
  <c r="AJ171" i="1"/>
  <c r="AI171" i="1"/>
  <c r="AD171" i="1"/>
  <c r="AD170" i="1"/>
  <c r="AD169" i="1"/>
  <c r="AJ168" i="1"/>
  <c r="AI168" i="1"/>
  <c r="AD168" i="1"/>
  <c r="AI167" i="1"/>
  <c r="AD167" i="1"/>
  <c r="AJ167" i="1" s="1"/>
  <c r="AI166" i="1"/>
  <c r="AD166" i="1"/>
  <c r="AJ166" i="1" s="1"/>
  <c r="AD165" i="1"/>
  <c r="AJ164" i="1"/>
  <c r="AI164" i="1"/>
  <c r="AD164" i="1"/>
  <c r="AJ163" i="1"/>
  <c r="AI163" i="1"/>
  <c r="AD163" i="1"/>
  <c r="AD162" i="1"/>
  <c r="AD161" i="1"/>
  <c r="AJ160" i="1"/>
  <c r="AI160" i="1"/>
  <c r="AD160" i="1"/>
  <c r="AI159" i="1"/>
  <c r="AD159" i="1"/>
  <c r="AJ159" i="1" s="1"/>
  <c r="AI158" i="1"/>
  <c r="AD158" i="1"/>
  <c r="AJ158" i="1" s="1"/>
  <c r="AD157" i="1"/>
  <c r="AJ156" i="1"/>
  <c r="AI156" i="1"/>
  <c r="AD156" i="1"/>
  <c r="AJ155" i="1"/>
  <c r="AI155" i="1"/>
  <c r="AD155" i="1"/>
  <c r="AD154" i="1"/>
  <c r="AD153" i="1"/>
  <c r="AJ152" i="1"/>
  <c r="AI152" i="1"/>
  <c r="AD152" i="1"/>
  <c r="AI151" i="1"/>
  <c r="AD151" i="1"/>
  <c r="AJ151" i="1" s="1"/>
  <c r="AI150" i="1"/>
  <c r="AD150" i="1"/>
  <c r="AJ150" i="1" s="1"/>
  <c r="AD149" i="1"/>
  <c r="AJ148" i="1"/>
  <c r="AI148" i="1"/>
  <c r="AD148" i="1"/>
  <c r="AJ147" i="1"/>
  <c r="AI147" i="1"/>
  <c r="AD147" i="1"/>
  <c r="AD146" i="1"/>
  <c r="AD145" i="1"/>
  <c r="AJ144" i="1"/>
  <c r="AI144" i="1"/>
  <c r="AD144" i="1"/>
  <c r="AI143" i="1"/>
  <c r="AD143" i="1"/>
  <c r="AJ143" i="1" s="1"/>
  <c r="AI142" i="1"/>
  <c r="AD142" i="1"/>
  <c r="AJ142" i="1" s="1"/>
  <c r="AD141" i="1"/>
  <c r="AJ140" i="1"/>
  <c r="AI140" i="1"/>
  <c r="AD140" i="1"/>
  <c r="AJ139" i="1"/>
  <c r="AI139" i="1"/>
  <c r="AD139" i="1"/>
  <c r="AD138" i="1"/>
  <c r="AD137" i="1"/>
  <c r="AJ136" i="1"/>
  <c r="AI136" i="1"/>
  <c r="AD136" i="1"/>
  <c r="AI135" i="1"/>
  <c r="AD135" i="1"/>
  <c r="AJ135" i="1" s="1"/>
  <c r="AI134" i="1"/>
  <c r="AD134" i="1"/>
  <c r="AJ134" i="1" s="1"/>
  <c r="AD133" i="1"/>
  <c r="AJ132" i="1"/>
  <c r="AI132" i="1"/>
  <c r="AD132" i="1"/>
  <c r="AJ131" i="1"/>
  <c r="AI131" i="1"/>
  <c r="AD131" i="1"/>
  <c r="AD130" i="1"/>
  <c r="AD129" i="1"/>
  <c r="AJ128" i="1"/>
  <c r="AI128" i="1"/>
  <c r="AD128" i="1"/>
  <c r="AI127" i="1"/>
  <c r="AD127" i="1"/>
  <c r="AJ127" i="1" s="1"/>
  <c r="AI126" i="1"/>
  <c r="AD126" i="1"/>
  <c r="AJ126" i="1" s="1"/>
  <c r="AD125" i="1"/>
  <c r="AJ124" i="1"/>
  <c r="AI124" i="1"/>
  <c r="AD124" i="1"/>
  <c r="AJ123" i="1"/>
  <c r="AI123" i="1"/>
  <c r="AD123" i="1"/>
  <c r="AD122" i="1"/>
  <c r="AD121" i="1"/>
  <c r="AJ120" i="1"/>
  <c r="AI120" i="1"/>
  <c r="AD120" i="1"/>
  <c r="AI119" i="1"/>
  <c r="AD119" i="1"/>
  <c r="AJ119" i="1" s="1"/>
  <c r="AI118" i="1"/>
  <c r="AD118" i="1"/>
  <c r="AJ118" i="1" s="1"/>
  <c r="AD117" i="1"/>
  <c r="AJ116" i="1"/>
  <c r="AI116" i="1"/>
  <c r="AD116" i="1"/>
  <c r="AJ115" i="1"/>
  <c r="AI115" i="1"/>
  <c r="AD115" i="1"/>
  <c r="AD114" i="1"/>
  <c r="AD113" i="1"/>
  <c r="AD112" i="1"/>
  <c r="AI112" i="1" s="1"/>
  <c r="AJ112" i="1" s="1"/>
  <c r="AI111" i="1"/>
  <c r="AD111" i="1"/>
  <c r="AJ111" i="1" s="1"/>
  <c r="AI110" i="1"/>
  <c r="AD110" i="1"/>
  <c r="AJ110" i="1" s="1"/>
  <c r="AD109" i="1"/>
  <c r="AJ108" i="1"/>
  <c r="AI108" i="1"/>
  <c r="AD108" i="1"/>
  <c r="AJ107" i="1"/>
  <c r="AI107" i="1"/>
  <c r="AD107" i="1"/>
  <c r="AD106" i="1"/>
  <c r="AD105" i="1"/>
  <c r="AD104" i="1"/>
  <c r="AI104" i="1" s="1"/>
  <c r="AJ104" i="1" s="1"/>
  <c r="AI103" i="1"/>
  <c r="AD103" i="1"/>
  <c r="AJ103" i="1" s="1"/>
  <c r="AI102" i="1"/>
  <c r="AD102" i="1"/>
  <c r="AJ102" i="1" s="1"/>
  <c r="AD101" i="1"/>
  <c r="AJ100" i="1"/>
  <c r="AI100" i="1"/>
  <c r="AD100" i="1"/>
  <c r="AJ99" i="1"/>
  <c r="AI99" i="1"/>
  <c r="AD99" i="1"/>
  <c r="AD98" i="1"/>
  <c r="AD97" i="1"/>
  <c r="AD96" i="1"/>
  <c r="AI96" i="1" s="1"/>
  <c r="AJ96" i="1" s="1"/>
  <c r="AI95" i="1"/>
  <c r="AD95" i="1"/>
  <c r="AJ95" i="1" s="1"/>
  <c r="AI94" i="1"/>
  <c r="AD94" i="1"/>
  <c r="AJ94" i="1" s="1"/>
  <c r="AD93" i="1"/>
  <c r="AJ92" i="1"/>
  <c r="AI92" i="1"/>
  <c r="AD92" i="1"/>
  <c r="AJ91" i="1"/>
  <c r="AI91" i="1"/>
  <c r="AD91" i="1"/>
  <c r="AD90" i="1"/>
  <c r="AD89" i="1"/>
  <c r="AD88" i="1"/>
  <c r="AI88" i="1" s="1"/>
  <c r="AJ88" i="1" s="1"/>
  <c r="AI87" i="1"/>
  <c r="AD87" i="1"/>
  <c r="AJ87" i="1" s="1"/>
  <c r="AI86" i="1"/>
  <c r="AD86" i="1"/>
  <c r="AJ86" i="1" s="1"/>
  <c r="AD85" i="1"/>
  <c r="AJ84" i="1"/>
  <c r="AI84" i="1"/>
  <c r="AD84" i="1"/>
  <c r="AJ83" i="1"/>
  <c r="AI83" i="1"/>
  <c r="AD83" i="1"/>
  <c r="AD82" i="1"/>
  <c r="AD81" i="1"/>
  <c r="AD80" i="1"/>
  <c r="AI80" i="1" s="1"/>
  <c r="AJ80" i="1" s="1"/>
  <c r="AI79" i="1"/>
  <c r="AD79" i="1"/>
  <c r="AJ79" i="1" s="1"/>
  <c r="AI78" i="1"/>
  <c r="AD78" i="1"/>
  <c r="AJ78" i="1" s="1"/>
  <c r="AD77" i="1"/>
  <c r="AJ76" i="1"/>
  <c r="AI76" i="1"/>
  <c r="AD76" i="1"/>
  <c r="AJ75" i="1"/>
  <c r="AI75" i="1"/>
  <c r="AD75" i="1"/>
  <c r="AD74" i="1"/>
  <c r="AD73" i="1"/>
  <c r="AD72" i="1"/>
  <c r="AI72" i="1" s="1"/>
  <c r="AJ72" i="1" s="1"/>
  <c r="AI71" i="1"/>
  <c r="AD71" i="1"/>
  <c r="AJ71" i="1" s="1"/>
  <c r="AI70" i="1"/>
  <c r="AD70" i="1"/>
  <c r="AJ70" i="1" s="1"/>
  <c r="AD69" i="1"/>
  <c r="AJ68" i="1"/>
  <c r="AI68" i="1"/>
  <c r="AD68" i="1"/>
  <c r="AJ67" i="1"/>
  <c r="AI67" i="1"/>
  <c r="AD67" i="1"/>
  <c r="AD66" i="1"/>
  <c r="AD65" i="1"/>
  <c r="AD64" i="1"/>
  <c r="AI64" i="1" s="1"/>
  <c r="AJ64" i="1" s="1"/>
  <c r="AI63" i="1"/>
  <c r="AD63" i="1"/>
  <c r="AJ63" i="1" s="1"/>
  <c r="AI62" i="1"/>
  <c r="AD62" i="1"/>
  <c r="AJ62" i="1" s="1"/>
  <c r="AD61" i="1"/>
  <c r="AJ60" i="1"/>
  <c r="AI60" i="1"/>
  <c r="AD60" i="1"/>
  <c r="AJ59" i="1"/>
  <c r="AI59" i="1"/>
  <c r="AD59" i="1"/>
  <c r="AD58" i="1"/>
  <c r="AD57" i="1"/>
  <c r="AJ56" i="1"/>
  <c r="AI56" i="1"/>
  <c r="AD56" i="1"/>
  <c r="AI55" i="1"/>
  <c r="AD55" i="1"/>
  <c r="AJ55" i="1" s="1"/>
  <c r="AI54" i="1"/>
  <c r="AD54" i="1"/>
  <c r="AJ54" i="1" s="1"/>
  <c r="AD53" i="1"/>
  <c r="AJ52" i="1"/>
  <c r="AI52" i="1"/>
  <c r="AD52" i="1"/>
  <c r="AJ51" i="1"/>
  <c r="AI51" i="1"/>
  <c r="AD51" i="1"/>
  <c r="AD50" i="1"/>
  <c r="AD49" i="1"/>
  <c r="AJ48" i="1"/>
  <c r="AI48" i="1"/>
  <c r="AD48" i="1"/>
  <c r="AI47" i="1"/>
  <c r="AD47" i="1"/>
  <c r="AJ47" i="1" s="1"/>
  <c r="AI46" i="1"/>
  <c r="AD46" i="1"/>
  <c r="AJ46" i="1" s="1"/>
  <c r="AD45" i="1"/>
  <c r="AJ44" i="1"/>
  <c r="AI44" i="1"/>
  <c r="AD44" i="1"/>
  <c r="AJ43" i="1"/>
  <c r="AI43" i="1"/>
  <c r="AD43" i="1"/>
  <c r="AD42" i="1"/>
  <c r="AD41" i="1"/>
  <c r="AJ40" i="1"/>
  <c r="AI40" i="1"/>
  <c r="AD40" i="1"/>
  <c r="AI39" i="1"/>
  <c r="AD39" i="1"/>
  <c r="AJ39" i="1" s="1"/>
  <c r="AI38" i="1"/>
  <c r="AD38" i="1"/>
  <c r="AJ38" i="1" s="1"/>
  <c r="AD37" i="1"/>
  <c r="AJ36" i="1"/>
  <c r="AI36" i="1"/>
  <c r="AD36" i="1"/>
  <c r="AJ35" i="1"/>
  <c r="AI35" i="1"/>
  <c r="AD35" i="1"/>
  <c r="AD34" i="1"/>
  <c r="AD33" i="1"/>
  <c r="AJ32" i="1"/>
  <c r="AI32" i="1"/>
  <c r="AD32" i="1"/>
  <c r="AI31" i="1"/>
  <c r="AD31" i="1"/>
  <c r="AJ31" i="1" s="1"/>
  <c r="AI30" i="1"/>
  <c r="AD30" i="1"/>
  <c r="AJ30" i="1" s="1"/>
  <c r="AD29" i="1"/>
  <c r="AJ28" i="1"/>
  <c r="AI28" i="1"/>
  <c r="AD28" i="1"/>
  <c r="AJ27" i="1"/>
  <c r="AI27" i="1"/>
  <c r="AD27" i="1"/>
  <c r="AD26" i="1"/>
  <c r="AD25" i="1"/>
  <c r="AJ24" i="1"/>
  <c r="AI24" i="1"/>
  <c r="AD24" i="1"/>
  <c r="AI23" i="1"/>
  <c r="AD23" i="1"/>
  <c r="AJ23" i="1" s="1"/>
  <c r="AI22" i="1"/>
  <c r="AD22" i="1"/>
  <c r="AJ22" i="1" s="1"/>
  <c r="AD21" i="1"/>
  <c r="AJ20" i="1"/>
  <c r="AI20" i="1"/>
  <c r="AD20" i="1"/>
  <c r="AJ19" i="1"/>
  <c r="AI19" i="1"/>
  <c r="AD19" i="1"/>
  <c r="AD18" i="1"/>
  <c r="AD17" i="1"/>
  <c r="AJ16" i="1"/>
  <c r="AI16" i="1"/>
  <c r="AD16" i="1"/>
  <c r="AI15" i="1"/>
  <c r="AD15" i="1"/>
  <c r="AJ15" i="1" s="1"/>
  <c r="AI14" i="1"/>
  <c r="AD14" i="1"/>
  <c r="AJ14" i="1" s="1"/>
  <c r="AD13" i="1"/>
  <c r="AJ12" i="1"/>
  <c r="AI12" i="1"/>
  <c r="AD12" i="1"/>
  <c r="AJ11" i="1"/>
  <c r="AI11" i="1"/>
  <c r="AD11" i="1"/>
  <c r="AD10" i="1"/>
  <c r="AD9" i="1"/>
  <c r="AJ8" i="1"/>
  <c r="AI8" i="1"/>
  <c r="AD8" i="1"/>
  <c r="AI7" i="1"/>
  <c r="AD7" i="1"/>
  <c r="AJ7" i="1" s="1"/>
  <c r="AI6" i="1"/>
  <c r="AD6" i="1"/>
  <c r="AJ6" i="1" s="1"/>
  <c r="AD5" i="1"/>
  <c r="AJ4" i="1"/>
  <c r="AI4" i="1"/>
  <c r="AD4" i="1"/>
  <c r="AJ3" i="1"/>
  <c r="AI3" i="1"/>
  <c r="AD3" i="1"/>
  <c r="AD2" i="1"/>
  <c r="AJ146" i="1" l="1"/>
  <c r="AJ162" i="1"/>
  <c r="AJ210" i="1"/>
  <c r="AJ232" i="1"/>
  <c r="AJ242" i="1"/>
  <c r="AJ109" i="1"/>
  <c r="AJ237" i="1"/>
  <c r="AJ234" i="1"/>
  <c r="AJ248" i="1"/>
  <c r="AJ264" i="1"/>
  <c r="AJ225" i="1"/>
  <c r="AJ229" i="1"/>
  <c r="AJ269" i="1"/>
  <c r="AJ9" i="1"/>
  <c r="AJ33" i="1"/>
  <c r="AJ37" i="1"/>
  <c r="AJ41" i="1"/>
  <c r="AJ89" i="1"/>
  <c r="AJ93" i="1"/>
  <c r="AJ245" i="1"/>
  <c r="AJ34" i="1"/>
  <c r="AJ42" i="1"/>
  <c r="AJ50" i="1"/>
  <c r="AJ280" i="1"/>
  <c r="AJ81" i="1"/>
  <c r="AJ85" i="1"/>
  <c r="AJ137" i="1"/>
  <c r="AJ141" i="1"/>
  <c r="AJ165" i="1"/>
  <c r="AJ173" i="1"/>
  <c r="AJ201" i="1"/>
  <c r="AJ205" i="1"/>
  <c r="AI2" i="1"/>
  <c r="AJ2" i="1" s="1"/>
  <c r="AI10" i="1"/>
  <c r="AJ10" i="1" s="1"/>
  <c r="AI18" i="1"/>
  <c r="AJ18" i="1" s="1"/>
  <c r="AI26" i="1"/>
  <c r="AJ26" i="1" s="1"/>
  <c r="AI34" i="1"/>
  <c r="AI42" i="1"/>
  <c r="AI50" i="1"/>
  <c r="AI58" i="1"/>
  <c r="AJ58" i="1" s="1"/>
  <c r="AI66" i="1"/>
  <c r="AJ66" i="1" s="1"/>
  <c r="AI74" i="1"/>
  <c r="AJ74" i="1" s="1"/>
  <c r="AI82" i="1"/>
  <c r="AJ82" i="1" s="1"/>
  <c r="AI90" i="1"/>
  <c r="AJ90" i="1" s="1"/>
  <c r="AI98" i="1"/>
  <c r="AJ98" i="1" s="1"/>
  <c r="AI106" i="1"/>
  <c r="AJ106" i="1" s="1"/>
  <c r="AI114" i="1"/>
  <c r="AJ114" i="1" s="1"/>
  <c r="AI122" i="1"/>
  <c r="AJ122" i="1" s="1"/>
  <c r="AI130" i="1"/>
  <c r="AJ130" i="1" s="1"/>
  <c r="AI138" i="1"/>
  <c r="AJ138" i="1" s="1"/>
  <c r="AI146" i="1"/>
  <c r="AI154" i="1"/>
  <c r="AJ154" i="1" s="1"/>
  <c r="AI162" i="1"/>
  <c r="AI170" i="1"/>
  <c r="AJ170" i="1" s="1"/>
  <c r="AI178" i="1"/>
  <c r="AJ178" i="1" s="1"/>
  <c r="AI186" i="1"/>
  <c r="AJ186" i="1" s="1"/>
  <c r="AI194" i="1"/>
  <c r="AJ194" i="1" s="1"/>
  <c r="AI202" i="1"/>
  <c r="AJ202" i="1" s="1"/>
  <c r="AI210" i="1"/>
  <c r="AI218" i="1"/>
  <c r="AJ218" i="1" s="1"/>
  <c r="AI226" i="1"/>
  <c r="AJ226" i="1" s="1"/>
  <c r="AI234" i="1"/>
  <c r="AI242" i="1"/>
  <c r="AI250" i="1"/>
  <c r="AJ250" i="1" s="1"/>
  <c r="AI258" i="1"/>
  <c r="AJ258" i="1" s="1"/>
  <c r="AI266" i="1"/>
  <c r="AJ266" i="1" s="1"/>
  <c r="AI274" i="1"/>
  <c r="AJ274" i="1" s="1"/>
  <c r="AI5" i="1"/>
  <c r="AJ5" i="1" s="1"/>
  <c r="AI13" i="1"/>
  <c r="AJ13" i="1" s="1"/>
  <c r="AI21" i="1"/>
  <c r="AJ21" i="1" s="1"/>
  <c r="AI29" i="1"/>
  <c r="AJ29" i="1" s="1"/>
  <c r="AI37" i="1"/>
  <c r="AI45" i="1"/>
  <c r="AJ45" i="1" s="1"/>
  <c r="AI53" i="1"/>
  <c r="AJ53" i="1" s="1"/>
  <c r="AI61" i="1"/>
  <c r="AJ61" i="1" s="1"/>
  <c r="AI69" i="1"/>
  <c r="AJ69" i="1" s="1"/>
  <c r="AI77" i="1"/>
  <c r="AJ77" i="1" s="1"/>
  <c r="AI85" i="1"/>
  <c r="AI93" i="1"/>
  <c r="AI101" i="1"/>
  <c r="AJ101" i="1" s="1"/>
  <c r="AI109" i="1"/>
  <c r="AI117" i="1"/>
  <c r="AJ117" i="1" s="1"/>
  <c r="AI125" i="1"/>
  <c r="AJ125" i="1" s="1"/>
  <c r="AI133" i="1"/>
  <c r="AJ133" i="1" s="1"/>
  <c r="AI141" i="1"/>
  <c r="AI149" i="1"/>
  <c r="AJ149" i="1" s="1"/>
  <c r="AI157" i="1"/>
  <c r="AJ157" i="1" s="1"/>
  <c r="AI165" i="1"/>
  <c r="AI173" i="1"/>
  <c r="AI181" i="1"/>
  <c r="AJ181" i="1" s="1"/>
  <c r="AI189" i="1"/>
  <c r="AJ189" i="1" s="1"/>
  <c r="AI197" i="1"/>
  <c r="AJ197" i="1" s="1"/>
  <c r="AI205" i="1"/>
  <c r="AI213" i="1"/>
  <c r="AJ213" i="1" s="1"/>
  <c r="AI221" i="1"/>
  <c r="AJ221" i="1" s="1"/>
  <c r="AI229" i="1"/>
  <c r="AI237" i="1"/>
  <c r="AI245" i="1"/>
  <c r="AI253" i="1"/>
  <c r="AJ253" i="1" s="1"/>
  <c r="AI261" i="1"/>
  <c r="AJ261" i="1" s="1"/>
  <c r="AI269" i="1"/>
  <c r="AI277" i="1"/>
  <c r="AJ277" i="1" s="1"/>
  <c r="AI232" i="1"/>
  <c r="AI240" i="1"/>
  <c r="AJ240" i="1" s="1"/>
  <c r="AI248" i="1"/>
  <c r="AI256" i="1"/>
  <c r="AJ256" i="1" s="1"/>
  <c r="AI264" i="1"/>
  <c r="AI272" i="1"/>
  <c r="AJ272" i="1" s="1"/>
  <c r="AI280" i="1"/>
  <c r="AI9" i="1"/>
  <c r="AI17" i="1"/>
  <c r="AJ17" i="1" s="1"/>
  <c r="AI25" i="1"/>
  <c r="AJ25" i="1" s="1"/>
  <c r="AI33" i="1"/>
  <c r="AI41" i="1"/>
  <c r="AI49" i="1"/>
  <c r="AJ49" i="1" s="1"/>
  <c r="AI57" i="1"/>
  <c r="AJ57" i="1" s="1"/>
  <c r="AI65" i="1"/>
  <c r="AJ65" i="1" s="1"/>
  <c r="AI73" i="1"/>
  <c r="AJ73" i="1" s="1"/>
  <c r="AI81" i="1"/>
  <c r="AI89" i="1"/>
  <c r="AI97" i="1"/>
  <c r="AJ97" i="1" s="1"/>
  <c r="AI105" i="1"/>
  <c r="AJ105" i="1" s="1"/>
  <c r="AI113" i="1"/>
  <c r="AJ113" i="1" s="1"/>
  <c r="AI121" i="1"/>
  <c r="AJ121" i="1" s="1"/>
  <c r="AI129" i="1"/>
  <c r="AJ129" i="1" s="1"/>
  <c r="AI137" i="1"/>
  <c r="AI145" i="1"/>
  <c r="AJ145" i="1" s="1"/>
  <c r="AI153" i="1"/>
  <c r="AJ153" i="1" s="1"/>
  <c r="AI161" i="1"/>
  <c r="AJ161" i="1" s="1"/>
  <c r="AI169" i="1"/>
  <c r="AJ169" i="1" s="1"/>
  <c r="AI177" i="1"/>
  <c r="AJ177" i="1" s="1"/>
  <c r="AI185" i="1"/>
  <c r="AJ185" i="1" s="1"/>
  <c r="AI193" i="1"/>
  <c r="AJ193" i="1" s="1"/>
  <c r="AI201" i="1"/>
  <c r="AI209" i="1"/>
  <c r="AJ209" i="1" s="1"/>
  <c r="AI217" i="1"/>
  <c r="AJ217" i="1" s="1"/>
  <c r="AI225" i="1"/>
  <c r="AI233" i="1"/>
  <c r="AJ233" i="1" s="1"/>
  <c r="AI273" i="1"/>
  <c r="AJ273" i="1" s="1"/>
  <c r="AI281" i="1"/>
  <c r="AJ281" i="1" s="1"/>
</calcChain>
</file>

<file path=xl/sharedStrings.xml><?xml version="1.0" encoding="utf-8"?>
<sst xmlns="http://schemas.openxmlformats.org/spreadsheetml/2006/main" count="5865" uniqueCount="958">
  <si>
    <t>Shipper ID</t>
  </si>
  <si>
    <t>Shipper Name</t>
  </si>
  <si>
    <t>Billing Name</t>
  </si>
  <si>
    <t>TYPE</t>
  </si>
  <si>
    <t>MAIN AGENT</t>
  </si>
  <si>
    <t>ASN AGENT FOR PREPAID</t>
  </si>
  <si>
    <t>Tracking ID</t>
  </si>
  <si>
    <t>Shipper Order Ref</t>
  </si>
  <si>
    <t>Order Granular Status</t>
  </si>
  <si>
    <t>Customer Name</t>
  </si>
  <si>
    <t>Delivery Type Name</t>
  </si>
  <si>
    <t>Delivery Type ID</t>
  </si>
  <si>
    <t>Service Type</t>
  </si>
  <si>
    <t>Service Level</t>
  </si>
  <si>
    <t>Parcel Size ID</t>
  </si>
  <si>
    <t>Original Weight</t>
  </si>
  <si>
    <t>Create Time</t>
  </si>
  <si>
    <t>Delivery Date</t>
  </si>
  <si>
    <t>From City</t>
  </si>
  <si>
    <t>From Billing Zone</t>
  </si>
  <si>
    <t>Origin Hub</t>
  </si>
  <si>
    <t>L1 Name</t>
  </si>
  <si>
    <t>L2 Name</t>
  </si>
  <si>
    <t>L3 Name</t>
  </si>
  <si>
    <t>To Address</t>
  </si>
  <si>
    <t>To Postcode</t>
  </si>
  <si>
    <t>To Billing Zone</t>
  </si>
  <si>
    <t>Destination Hub</t>
  </si>
  <si>
    <t>Finance</t>
  </si>
  <si>
    <t>Actual delivery_fee</t>
  </si>
  <si>
    <t>cod_collected</t>
  </si>
  <si>
    <t>cod_fee</t>
  </si>
  <si>
    <t>insured_value</t>
  </si>
  <si>
    <t>insurance_fee</t>
  </si>
  <si>
    <t>SST (6%)</t>
  </si>
  <si>
    <t>Total Charge</t>
  </si>
  <si>
    <t>Country</t>
  </si>
  <si>
    <t>ASN - Ninja Van at Pengkalan Chepa</t>
  </si>
  <si>
    <t>NAHKHODA LINK EXPRESS</t>
  </si>
  <si>
    <t>Partner</t>
  </si>
  <si>
    <t>NVMY34535000003173</t>
  </si>
  <si>
    <t/>
  </si>
  <si>
    <t>Completed</t>
  </si>
  <si>
    <t>JURIANAH</t>
  </si>
  <si>
    <t>DELIVERY_THREE_DAYS_ANYTIME</t>
  </si>
  <si>
    <t>Parcel</t>
  </si>
  <si>
    <t>STANDARD</t>
  </si>
  <si>
    <t>SMALL</t>
  </si>
  <si>
    <t>WMSIA</t>
  </si>
  <si>
    <t>KBR1-KBR1</t>
  </si>
  <si>
    <t>Kedah</t>
  </si>
  <si>
    <t>IQDAR, INSTITUT AL QURAN DARUL AMAN YAYASAN ISLAM NEGERI KEDAH LEBUHRAYA SULTANAH BAHIYAH 05350 ALOR SETAR, KEDAH DARUL AMAN   Kedah  05350</t>
  </si>
  <si>
    <t>MM-MM</t>
  </si>
  <si>
    <t>AHMAD ASN</t>
  </si>
  <si>
    <t>NVMY34535000003194</t>
  </si>
  <si>
    <t>ELEENA BINTI JAIHAN</t>
  </si>
  <si>
    <t>Johor</t>
  </si>
  <si>
    <t>POS 255 PARIT MOIN 2 BAGAN 83000 BATU PAHAT JOHOR   Johor  83000</t>
  </si>
  <si>
    <t>7-BPT-47</t>
  </si>
  <si>
    <t>NVMY34535000003192</t>
  </si>
  <si>
    <t>MKF. EMPIRE</t>
  </si>
  <si>
    <t>Selangor</t>
  </si>
  <si>
    <t>C-06-03, BLOK C, JALAN PJS 2C/2 TAMAN MEDAN CAHAYA 46000 PETALING JAYA, SELANGOR   Selangor  46000</t>
  </si>
  <si>
    <t>NVMY34535000003171</t>
  </si>
  <si>
    <t>AHLIM</t>
  </si>
  <si>
    <t>62, JALAN HASAN KAMPONG BENTONG KLUANG 86000 JOHOR   Johor  86000</t>
  </si>
  <si>
    <t>NVMY34535000003197</t>
  </si>
  <si>
    <t>NOR SHAZLINDA</t>
  </si>
  <si>
    <t>Melaka</t>
  </si>
  <si>
    <t>B1-1-01 pangsapuri bukit beruang utama 75450,ayerkeroh,melaka   Melaka  75450</t>
  </si>
  <si>
    <t>NVMY34535000003163</t>
  </si>
  <si>
    <t>MUHAMMAD HAZIQ HAFIY BIN MAT NOOR</t>
  </si>
  <si>
    <t>Pulau Pinang</t>
  </si>
  <si>
    <t>277 MK A SUNGAI PINANG 11010 BALIK PULAU, PULAU PINANG   Pulau Pinang  11010</t>
  </si>
  <si>
    <t>5-BAY-32</t>
  </si>
  <si>
    <t>NVMY34535000003190</t>
  </si>
  <si>
    <t>KHAIRIL RIJAL BIN CHE OTHMAN</t>
  </si>
  <si>
    <t>103-1-2A TAMAN PERUMAHAN POLIS LONE PINE,JALAN BUKIT KUKUS 11060 AIR ITAM PULAU PINANG   Pulau Pinang  11060</t>
  </si>
  <si>
    <t>5-FLM-137</t>
  </si>
  <si>
    <t>NVMY34535000003195</t>
  </si>
  <si>
    <t>APM NUCLEAR TECHNOLOGY SDN BHD</t>
  </si>
  <si>
    <t>BLOCK 32 MAKMAL STANDARD DOSIMETRI SEKUNDER AGENSI NUKLEAR MALAYSIA KAJANG 43000 SELANGOR   Selangor  43000</t>
  </si>
  <si>
    <t>NVMY34535000003205</t>
  </si>
  <si>
    <t>SHAFIQ ABDULLAH MY ANGKASA AMANAH BERHAD</t>
  </si>
  <si>
    <t>SUITE C401 BLOCK C GLOMAC  BUSINESS CENTRE JALAN SS6/1 KELANA JAYA 47301 PETALING JAYA SELANGOR   Selangor my 47301</t>
  </si>
  <si>
    <t>NVMY34535000003210</t>
  </si>
  <si>
    <t>IBRAHIM BIN ISMAIL</t>
  </si>
  <si>
    <t>Terengganu</t>
  </si>
  <si>
    <t>NO 2 BAZAAR LAMA MDS CHALOK KEDAI (LIE ELEKTRIK) 21450 SETIU TERENGGANU (01112920591)   Terengganu my 21450</t>
  </si>
  <si>
    <t>2-STU-11</t>
  </si>
  <si>
    <t>NVMY34535000003200</t>
  </si>
  <si>
    <t>NARAA COLLECTION</t>
  </si>
  <si>
    <t>Sabah</t>
  </si>
  <si>
    <t>LOT G-B-60 SEJATI WALK TMN MERPATI MILE BATU 7 OFF JLN AIRPORT 90000 SANDAKAN SABAH   Sabah  90000</t>
  </si>
  <si>
    <t>EMSIA</t>
  </si>
  <si>
    <t>NVMY34535000003202</t>
  </si>
  <si>
    <t>KHAIRUNISSA</t>
  </si>
  <si>
    <t>SU682 JLN MAKMUR 1 TAMAN MAKMUR 78300 MASJID TANAH MELAKA   Melaka  78300</t>
  </si>
  <si>
    <t>NVMY34535000003204</t>
  </si>
  <si>
    <t>MOHD NAZRI ( KIOK ) BIN MUHAMAD</t>
  </si>
  <si>
    <t>1338 LOKONG RIA 9/7 TAMAN RIA 09400 PADANG SERAI KEDAH   Kedah my 09400</t>
  </si>
  <si>
    <t>NVMY34535000003209</t>
  </si>
  <si>
    <t>JAMILAH BT MUSTAFA</t>
  </si>
  <si>
    <t>8A KAMPUNG BUKIT MALI BUKIT PAYUNG 22010 JERTEH TERENGGANU   Terengganu my 22010</t>
  </si>
  <si>
    <t>KEL-KEL</t>
  </si>
  <si>
    <t>NVMY34535000003206</t>
  </si>
  <si>
    <t>NORHAYATI BT ISMAIL</t>
  </si>
  <si>
    <t>NO 7 PRA 15/7 JALAN SULUNG MEWAH 2 PARID RAJA  AHMAD 83500 PARID SULUNG BATU PAHAT JOHOR   Johor  my 83500</t>
  </si>
  <si>
    <t>NVMY34535000003198</t>
  </si>
  <si>
    <t>ZAMANI</t>
  </si>
  <si>
    <t xml:space="preserve"> 401 blok 17 jalan pelanduk felda simpang waha 81900 kota tinggi johor   Johor  81900</t>
  </si>
  <si>
    <t>NVMY34535000003207</t>
  </si>
  <si>
    <t>PUAN HALIMAH BT AB RAHMAN</t>
  </si>
  <si>
    <t>BLOCK C 80A KG MELAYU SRI KUNDANG 48050 RAWANG SELANGOR   Selangor my 48050</t>
  </si>
  <si>
    <t>NVMY34535000003201</t>
  </si>
  <si>
    <t>NUR ALISYA HUMAIRA BT MOHD JAIS</t>
  </si>
  <si>
    <t>SEKOLAH MENENGAH KEBANGSAAN BAGAN TERAP 45300 SG BESAR SELANGOR   Selangor  45300</t>
  </si>
  <si>
    <t>NVMY34535000003203</t>
  </si>
  <si>
    <t>XEPA-SOUL PATTINSON SDN BHD ( MS TAN HUEY JUEN )</t>
  </si>
  <si>
    <t>INDUSTRIAL ESTATE 1-5 JALAN TTC 1 TAMAN TEKNOLOGI CHENG 75250 CHENG MELAKA   Melaka my 75250</t>
  </si>
  <si>
    <t>NVMY34535000003215</t>
  </si>
  <si>
    <t>AIMI FARHANA</t>
  </si>
  <si>
    <t>Kelantan</t>
  </si>
  <si>
    <t>PT 3362 TAMAN PPJ BUKIT MERBAU KG CHE ARUS KOK LANAS JALAN SELISING 16450 KETEREH KOTA BHARU KELANTAN   Kelantan my 16450</t>
  </si>
  <si>
    <t>NVMY34535000003213</t>
  </si>
  <si>
    <t>SITI NUR KHAIRUNNISA</t>
  </si>
  <si>
    <t>Lot 34733-B,Kampung Tok Jembal 21300 Kuala Terengganu, Terengganu   Terengganu my 21300</t>
  </si>
  <si>
    <t>NVMY34535000003211</t>
  </si>
  <si>
    <t>HAMID BIN MOHAMAD</t>
  </si>
  <si>
    <t>LOT 11039 KG KALAI SEBERANG AIR KERANAN 17600 JELI KELANTAN   Kelantan my 17600</t>
  </si>
  <si>
    <t>1A-MAC-3</t>
  </si>
  <si>
    <t>NVMY34535000003225</t>
  </si>
  <si>
    <t>NORFAIZA BINTI JAMRI</t>
  </si>
  <si>
    <t>Pahang</t>
  </si>
  <si>
    <t>NO 45 LORONG 35 PERUMAHAN MAKMUR INDERAPURAJAYA 25150 KUANTAN PAHANG   Pahang my 25150</t>
  </si>
  <si>
    <t>NVMY34535000003218</t>
  </si>
  <si>
    <t>MAZUWAN</t>
  </si>
  <si>
    <t>A-11 KAMPUNG MINDA 23200 BUKIT BESI DUNGUN TERENGGANU   Terengganu my 23200</t>
  </si>
  <si>
    <t>NVMY34535000003217</t>
  </si>
  <si>
    <t>NURUL HAZWANI BINTI ZULKIFLI</t>
  </si>
  <si>
    <t>KG BENDANG KELADI BATU GAJAH 17510 TANAH MERAH KELANTAN   Kelantan my 17510</t>
  </si>
  <si>
    <t>NVMY34535000003212</t>
  </si>
  <si>
    <t>Amira Norfarhana binti Nordin</t>
  </si>
  <si>
    <t>AMIRA NORFARHANA BINTI NORDIN (19BE01036) FAKULTI PENDIDIKAN (60+) 11-12714667 KOLEJ UNIVERSITI ISLAM ANTARABANGSA SELANGOR, PERSIARAN PUTRA, BANDAR SERI PUTRA, HULU LANGAT, 43000 SELANGOR   Selangor my 43000</t>
  </si>
  <si>
    <t>NVMY34535000003216</t>
  </si>
  <si>
    <t>RIZQI NAUFAL</t>
  </si>
  <si>
    <t>Negeri Sembilan</t>
  </si>
  <si>
    <t>538 LORONG DELIMA 2 TAMAN SENAWANG JAYA 70450 SENAWANG NEGERI SEMBILAN   Negeri Sembilan my 70450</t>
  </si>
  <si>
    <t>NVMY34535000003229</t>
  </si>
  <si>
    <t>SOFEA ADRIANA</t>
  </si>
  <si>
    <t>No.217, Jalan Jati 14, Acacia Park, 71800, Nilai, Negeri Sembilan   Negeri Sembilan my 71800</t>
  </si>
  <si>
    <t>NVMY34535000003214</t>
  </si>
  <si>
    <t>Fatin Kadim</t>
  </si>
  <si>
    <t>No 3,Jalan Karyawan Bestari,Puncak Bestari,42300 Bandar Puncak Alam,Selangor   Selangor my 42300</t>
  </si>
  <si>
    <t>NVMY34535000003222</t>
  </si>
  <si>
    <t>BAIM</t>
  </si>
  <si>
    <t>BALAI POLIS KIJAL 24100 KEMAMAN TERENGGANU   Terengganu my 24100</t>
  </si>
  <si>
    <t>6A-CHU-34</t>
  </si>
  <si>
    <t>NVMY34535000003228</t>
  </si>
  <si>
    <t>Siti Aishah Malak</t>
  </si>
  <si>
    <t>INNO Values Precision Sdn Bhd  PLO 505, Jalan Keluli 3,kawasan perindustrian pasir gudang,81700 pasir gudang,johor   Johor my 81700</t>
  </si>
  <si>
    <t>NVMY34535000003224</t>
  </si>
  <si>
    <t>ZULNASRI BIN MD ISA</t>
  </si>
  <si>
    <t>1157 ,bagan lebai tahir,bagan Ajam 13050,Butterworth p pinang.   Pulau Pinang my 13050</t>
  </si>
  <si>
    <t>NVMY34535000003220</t>
  </si>
  <si>
    <t>NORHAYATI BINTI TALIB</t>
  </si>
  <si>
    <t>NO 4, JALAN SRI KLUANG 31, TAMAN SRI KLUANG, 86000 KLUANG JOHOR   Johor my 86000</t>
  </si>
  <si>
    <t>7-KLU-43</t>
  </si>
  <si>
    <t>NVMY34535000003230</t>
  </si>
  <si>
    <t>Ashira Yassilah</t>
  </si>
  <si>
    <t>20BI01015, Pusat Serahan &amp; Mel, Kolej Universiti Islam Antarabangsa Selangor, 43000 Kajang, Selangor   Selangor my 43000</t>
  </si>
  <si>
    <t>NVMY34535000003208</t>
  </si>
  <si>
    <t>KEMENTERIAN PENGAJIAN TINGGI</t>
  </si>
  <si>
    <t>BAHAGIAN BIASISWA, UNIT PRA PERKHIDMATAN, ARAS 2, NO. 2, MENARA 2, JALAN P5/6, PRESINT 5, 62200 WILAYAH PERSEKUTUAN PUTRAJAYA   Putrajaya my 62200</t>
  </si>
  <si>
    <t>NVMY34535000003221</t>
  </si>
  <si>
    <t>AHMAD MUNAWAR BIN MUHAMAD</t>
  </si>
  <si>
    <t>POS PENGAWAL IPD BALING JALAN TAMAN SAGA 09100 BALING KEDAH (139496902)   Kedah my 09100</t>
  </si>
  <si>
    <t>NVMY34535000003227</t>
  </si>
  <si>
    <t>AMIRUL AIMAN</t>
  </si>
  <si>
    <t>A1-23-05 BANGUNAN DWIPUTRA RESIDENCES , NO A1-23-05 BLOCK A1 DWIPUTRA RESIDENCES , JALAN P15H ,PRESINT 15, 62050 PUTRAJAYA   Putrajaya my 62050</t>
  </si>
  <si>
    <t>NVMY34535000003232</t>
  </si>
  <si>
    <t>SYAZA NAJLAA</t>
  </si>
  <si>
    <t>DYNATON HOLDINGS NO 1 TINGKAT BASEMENT JALAN DAGANG 2 DYNATON BUKIT ANGIN 28000 TEMERLOH PAHANG   Pahang my 28000</t>
  </si>
  <si>
    <t>NVMY34535000003236</t>
  </si>
  <si>
    <t>SITI MARNI BINTI MOHD DIN</t>
  </si>
  <si>
    <t>JALAN SRI PURNAMA 5 KAMPUNG SERI PURNAMA JOHOR BHARU 81100 JOHOR   Johor my 81100</t>
  </si>
  <si>
    <t>NVMY34535000003226</t>
  </si>
  <si>
    <t>NUR HAYATI BT MARZUKI</t>
  </si>
  <si>
    <t>Sarawak</t>
  </si>
  <si>
    <t>LOT 2002 SKIM PEMBESARAN KAMPUMAM 94300 KOTA SEMARAHAN SARAWAK   Sarawak my 94300</t>
  </si>
  <si>
    <t>16-SAM-149</t>
  </si>
  <si>
    <t>NVMY34535000003238</t>
  </si>
  <si>
    <t>EYRAA LEE</t>
  </si>
  <si>
    <t>Kuala Lumpur</t>
  </si>
  <si>
    <t>167-5-20 SRI MUTIARA APARTMET JALAN LAPANGAN PERMAI 1 PUDU KUALA LUMPUR 57100 KUALA LUMPUR   Kuala Lumpur my 57100</t>
  </si>
  <si>
    <t>14-SHM-119</t>
  </si>
  <si>
    <t>NVMY34535000003240</t>
  </si>
  <si>
    <t>FAIZAL MOHAMED</t>
  </si>
  <si>
    <t>PT 2928 JALAN JATI BANDAR UTAMA 18300 GUA MUSANG KELANTAN   Kelantan my 18300</t>
  </si>
  <si>
    <t>1B-GUA-106</t>
  </si>
  <si>
    <t>NVMY34535000003223</t>
  </si>
  <si>
    <t>NUR HAZIQAH</t>
  </si>
  <si>
    <t>NO 102A, PARIT DAUN 86400 PARIT RAJA, BATU PAHAT JOHOR  Johor  Johor my 86400</t>
  </si>
  <si>
    <t>7-HTM-135</t>
  </si>
  <si>
    <t>NVMY34535000003233</t>
  </si>
  <si>
    <t>BANK PERTANIAN MALAYSIA BERHAD (AGRO BANK)</t>
  </si>
  <si>
    <t>TRADE FINANCE DEPARTMENT SUITE 8.0 8TH FLOOR WISMA MARAN NO 28 MEDAN PASAR 50050 KUALA LUMPUR   Kuala Lumpur my 50050</t>
  </si>
  <si>
    <t>NVMY34535000003252</t>
  </si>
  <si>
    <t>muhammad hilmi bin fhaudzi</t>
  </si>
  <si>
    <t>1628 taman limau, pengadang baru, 20050 kuala terengganu   Terengganu my 20050</t>
  </si>
  <si>
    <t>2-PYG-170</t>
  </si>
  <si>
    <t>NVMY34535000003235</t>
  </si>
  <si>
    <t>AZLAN SYAWAL</t>
  </si>
  <si>
    <t>NO 5 SIGNATURE PARK JALAN TUN HUSSEIN ONN 97000 BINTULU SARAWAK   Sarawak  my 97000</t>
  </si>
  <si>
    <t>16-BTU-114</t>
  </si>
  <si>
    <t>NVMY34535000003253</t>
  </si>
  <si>
    <t>Iffah Iman birthday girl</t>
  </si>
  <si>
    <t>LOT 10367 TAMAN INDAH JAYA KG LIMBONG  23100 PAKA , DUNGUN , TERENGGANU    Terengganu my 23100</t>
  </si>
  <si>
    <t>NVMY34535000003243</t>
  </si>
  <si>
    <t>FARIZA</t>
  </si>
  <si>
    <t>45, JALAN PJU 10/7 TAMAN DESA RIANG 47830 PETALING JAYA SELANGOR   Selangor my 47830</t>
  </si>
  <si>
    <t>11A-KEP-79</t>
  </si>
  <si>
    <t>NVMY34535000003251</t>
  </si>
  <si>
    <t>Mohd Rafee bin Mohamed Shariff</t>
  </si>
  <si>
    <t>No 51 Jalan Gaya 2 Taman Saleng Gaya 81400 Senai Kulai Johor darul takzim   Johor my 81400</t>
  </si>
  <si>
    <t>4-SEN-181</t>
  </si>
  <si>
    <t>NVMY34535000003245</t>
  </si>
  <si>
    <t>RARA</t>
  </si>
  <si>
    <t>NO 17, JALAN KEMUNING INDAH 32/142, KEMUNING UTAMA, SEKSYEN 32, 40460 SHAH ALAM SELANGOR   Selangor my 40460</t>
  </si>
  <si>
    <t>NVMY34535000003249</t>
  </si>
  <si>
    <t>NIK AZMI NIK ABDULLAH</t>
  </si>
  <si>
    <t>Perak</t>
  </si>
  <si>
    <t>NO 14 LORONG 3 TAMAN JEBONG AMAN 34700 SIMPANG PERAK   Perak my 34700</t>
  </si>
  <si>
    <t>8A-TPG-51</t>
  </si>
  <si>
    <t>NVMY34535000003246</t>
  </si>
  <si>
    <t>NIK NOOR AMERA</t>
  </si>
  <si>
    <t>50, JALAN TC 2B/1 CEMERLANG HEIGHTS 53100 KUALA LUMPUR   Kuala Lumpur my 53100</t>
  </si>
  <si>
    <t>NVMY34535000003231</t>
  </si>
  <si>
    <t>RARA ROSLAN</t>
  </si>
  <si>
    <t xml:space="preserve"> Rmh Keluarga Malaysia,  Angkatan Tentera Darat (RKMAT-TD), Taman LTAT, Jln Jalil Indah 4, Bukit Jalil,  Kuala Lumpur   MY 57000</t>
  </si>
  <si>
    <t>NVMY34535000003244</t>
  </si>
  <si>
    <t>NOR BAIZURA BINTI CHE OMAR</t>
  </si>
  <si>
    <t>PANCARAGAM PUSAT KOR ARMOR DIRAJA SI RUSA 71050 PORT DICKSON NEGERI SEMBILAN    Negeri Sembilan my 71050</t>
  </si>
  <si>
    <t>NVMY34535000003237</t>
  </si>
  <si>
    <t>AGENSI NUKLEAR MALAYSIA</t>
  </si>
  <si>
    <t>MAKMAL STANDARD DOSIMETRI SEKUNDER (SSDL) BLOK 32, BANGI 43000 KAJANG SELANGOR   Selangor my 43000</t>
  </si>
  <si>
    <t>12A-BGI-91</t>
  </si>
  <si>
    <t>NVMY34535000003234</t>
  </si>
  <si>
    <t>SEVENTH-DAY ADVENTIST CORPORATION (MALAYSIA) BHD</t>
  </si>
  <si>
    <t>22-1 JALAN 2/114 KUCHAI BUSINESS CENTRE JALAN KUCHAI LAMA 58200 KUALA LUMPUR MALAYSIA   Kuala Lumpur my 58200</t>
  </si>
  <si>
    <t>NVMY34535000003239</t>
  </si>
  <si>
    <t>MALAYSIA RETURN WAREHOUSE</t>
  </si>
  <si>
    <t>NO 447A JALAN 18/2A TAMAN SRI SERDANG 43300 SERI KEMBANGAN SELANGOR   Selangor my 43300</t>
  </si>
  <si>
    <t>NVMY34535000003247</t>
  </si>
  <si>
    <t>WAN MOHD YUSUR WAN DOLLAH</t>
  </si>
  <si>
    <t>KAMPUNG TELOKBAYU JELI 17600 KELANTAN   Kelantan my 17600</t>
  </si>
  <si>
    <t>NVMY34535000003254</t>
  </si>
  <si>
    <t>syed badruzzaman</t>
  </si>
  <si>
    <t xml:space="preserve"> no C16, jalan belanak ladang sungai papan, 81930 kota tinggi, johor darul Takzim   Johor my 81930</t>
  </si>
  <si>
    <t>NVMY34535000003255</t>
  </si>
  <si>
    <t>Nor Aida Nasuha</t>
  </si>
  <si>
    <t>NO 7A JALAN SELENGKOH SPG 3 SEDAKA 06900 YAN KEDAH   Kedah my 06900</t>
  </si>
  <si>
    <t>NVMY34535000003259</t>
  </si>
  <si>
    <t>PUTERI ANIS SAADAH</t>
  </si>
  <si>
    <t>LOT 1780 JLN RAWAI BINJAI BONGKOK BUKIT PAYUNG MARANG 21400 TERENGGANU   Terengganu my 21400</t>
  </si>
  <si>
    <t>NVMY34535000003262</t>
  </si>
  <si>
    <t>MOHD ZULKIFLI BIN ISMAIL</t>
  </si>
  <si>
    <t>APARTMENT F ARAS 2 UNIT 7 SM SAINS SETIU 22100 SETIU TERENGGANU   Terengganu my 22100</t>
  </si>
  <si>
    <t>NVMY34535000003242</t>
  </si>
  <si>
    <t>AZLYNA BINTI LADJALINO</t>
  </si>
  <si>
    <t>KAMPUNG TANJUNG KAPOR 89050 KUDAT SABAH   Sabah my 89050</t>
  </si>
  <si>
    <t>15-KDT-156</t>
  </si>
  <si>
    <t>NVMY34535000003264</t>
  </si>
  <si>
    <t>NUR FADHLIN</t>
  </si>
  <si>
    <t>C-09-30 PANGSAPURI DAMAI MEWAH B OFFJALAN SEMENYIH 43000 KAJANG SELANGOR   Selangor my 43000</t>
  </si>
  <si>
    <t>NVMY34535000003268</t>
  </si>
  <si>
    <t>EMA AKMAL</t>
  </si>
  <si>
    <t>A1-04-06 JLN TKK 2/5 TAMAN PUNCAK KINRARA 47180 PUCHONG SELANGOR   Selangor my 47180</t>
  </si>
  <si>
    <t>NVMY34535000003250</t>
  </si>
  <si>
    <t>MOHAMAD HAFIZ BIN MD DESA</t>
  </si>
  <si>
    <t>IBUPEJABAT POLIS DAERAH TAWAU P/S 70, 91007 TAWAU SABAH   Sabah my 91007</t>
  </si>
  <si>
    <t>NVMY34535000003257</t>
  </si>
  <si>
    <t>KEMENTERIAN KESIHATAN MALAYSIA (ATTN : PN NUR SHAZLIDA BINTI ROSLY) SEKTOR IMPLEMENTASI PROJEK CAWANGAN PERKHIDMATAN</t>
  </si>
  <si>
    <t>BAHAGIAN PERKHIDMATAN KEJURUTERAAN ARAS 3-7 BLOK E3 KOMPLEKS E PUSAT PENTADBIRAN KERAJAAN PERSEKUTUAN 62590 PUTRAJAYA MALAYSIA   Putrajaya my 62590</t>
  </si>
  <si>
    <t>NVMY34535000003271</t>
  </si>
  <si>
    <t>ZULL RIZKY (M) SDN BHD (NORIZA HASSAN)</t>
  </si>
  <si>
    <t>NO 16 JALAN NOUVELLE INDUSTRIAL PARK BALAKONG 43300 SERI KEMBANGAN SELANGOR   Selangor my 43300</t>
  </si>
  <si>
    <t>NVMY34535000003248</t>
  </si>
  <si>
    <t>HABIBAH BT SHERIFE</t>
  </si>
  <si>
    <t>7B LORONG HADAPAN MASJID JALAN TG BENDAHARA 05300 ALOR SETAR KEDAH   Kedah my 05300</t>
  </si>
  <si>
    <t>NVMY34535000003272</t>
  </si>
  <si>
    <t>MAHALLAH MARYAM</t>
  </si>
  <si>
    <t>UNIVERSITI ISLAM ANTARABANGSA MALAYSIA 53100 GOMBAK SELANGOR   Selangor  my 53100</t>
  </si>
  <si>
    <t>NVMY34535000003277</t>
  </si>
  <si>
    <t>NOR AZURA BT LONG</t>
  </si>
  <si>
    <t>TINGKAT 6 SURUHANJAYA SYARIKAT MALAYSIA MENARA YAYASAN ISLAM TERENGGANU JALAN SULTAN OMAR 20300 KUALA TERENGGANU TERENGGANU   Terengganu my 20300</t>
  </si>
  <si>
    <t>NVMY34535000003241</t>
  </si>
  <si>
    <t>KARIM GHANI @ LVV</t>
  </si>
  <si>
    <t>IBU PEJABAT POLIS DAERAH BEAUFORT 89807 BEAUFORT SABAH   Sabah my 89807</t>
  </si>
  <si>
    <t>15-BFT-155</t>
  </si>
  <si>
    <t>NVMY34535000003256</t>
  </si>
  <si>
    <t>NORFAIZAH BT MOHD PUAD</t>
  </si>
  <si>
    <t>486 PERSIARAN SG BULOH 30 TAMAN SG BULOH 31100 SG SIPUT PERAK   Perak my 31100</t>
  </si>
  <si>
    <t>NVMY34535000003276</t>
  </si>
  <si>
    <t>MUHAMAD NAZMI</t>
  </si>
  <si>
    <t>NO PT 1443 KG PARIT SETERPA KUBANG KERIAN 16150 KOTA BHARU KELANTAN   Kelantan my 16150</t>
  </si>
  <si>
    <t>NVMY34535000003266</t>
  </si>
  <si>
    <t>WANIKHARI</t>
  </si>
  <si>
    <t>ARMADA 1, UNIKL MIMET, Dataran Industri Teknologi Kejuruteraan Marin, Bandar Teknologi Maritim, Jalan Pantai Remis, 32200, Lumut, Perak   Perak my 32200</t>
  </si>
  <si>
    <t>NVMY34535000003260</t>
  </si>
  <si>
    <t>NUR SHAHIRA BT HAMDAN DAVID CHONG</t>
  </si>
  <si>
    <t>CAWANGAN BEKALAN BATALION 6 PASUKAN GERAKKAN AM BAKRI 84200 MUAR JOHOR   Johor my 84200</t>
  </si>
  <si>
    <t>NVMY34535000003273</t>
  </si>
  <si>
    <t>MOHD RIDZWAN</t>
  </si>
  <si>
    <t>11-KLG-83</t>
  </si>
  <si>
    <t>6668-G113 JALAN DATO MOHD SIDIN KAMPUNG BUKIT BADAK 41300 KLANG SELANGOR    Selangor my 41300</t>
  </si>
  <si>
    <t>NVMY34535000003261</t>
  </si>
  <si>
    <t>AIN SYAFIQAH</t>
  </si>
  <si>
    <t>POS 6 LOT 2747 PAYA PANJANG JLN BUKIT PASIR MUAR 84300 JOHOR   Johor my 84300</t>
  </si>
  <si>
    <t>NVMY34535000003274</t>
  </si>
  <si>
    <t>MOHAMAD SHAHIR BIN MAT YAACOB</t>
  </si>
  <si>
    <t>BLOK G4-3-3 RUMAH KELUARGA ANGKATAN TENTERA KEM SUNGAI PANCHING KUANTAN 26010 PAHANG   Pahang my 26010</t>
  </si>
  <si>
    <t>NVMY34535000003269</t>
  </si>
  <si>
    <t>NURUL HAINI BT MOHD KHOZI</t>
  </si>
  <si>
    <t>NO C 132A KAMPUNG CHANGKAT SETOL MUKIM TEMIN CHANGLUN 06010 KEDAH   Kedah my 06010</t>
  </si>
  <si>
    <t>NVMY34535000003270</t>
  </si>
  <si>
    <t>KHAMSIAH</t>
  </si>
  <si>
    <t>NO 79 KAMPUNG TRADISI REMBAH KERIANG 06010 CHANGLUN KEDAH   Kedah my 06010</t>
  </si>
  <si>
    <t>NVMY34535000003263</t>
  </si>
  <si>
    <t>AHMED IKHWAN</t>
  </si>
  <si>
    <t>NO 75 JALAN 4 TAMAN GUAR PERAHU 14400 KUBANG SEMANG PULAU PINANG (0175040559)   Pulau Pinang my 14400</t>
  </si>
  <si>
    <t>NVMY34535000003275</t>
  </si>
  <si>
    <t>MISS SURI</t>
  </si>
  <si>
    <t>NO 28 RUMAH KOS RENDAH BUKIT BESI DUNGUN 23200 TERENGGANU   Terengganu my 23200</t>
  </si>
  <si>
    <t>2-DGN-134</t>
  </si>
  <si>
    <t>NVMY34535000003258</t>
  </si>
  <si>
    <t>MOHD TARMIZI BIN ASHAARI</t>
  </si>
  <si>
    <t>F-13A-05 TROPICANA BAY RESIDENCE PERSIARAN BAYAN INDAH 11900 BAYAN LEPAS PULAU PINANG   Pulau Pinang my 11900</t>
  </si>
  <si>
    <t>NVMY34535000003002</t>
  </si>
  <si>
    <t>HAMDAN (MEDAN)</t>
  </si>
  <si>
    <t>LOT 1253-T, JALAN TANJUNG KUPANG, KG TIRAM DUKU 81550 GELANG PATAH JOHOR   Johor  81550</t>
  </si>
  <si>
    <t>NVMY34535000003031</t>
  </si>
  <si>
    <t>Diana Ismail</t>
  </si>
  <si>
    <t>No 132 1/1 taman dahlia, jalan junjung  09000, Kulim, Kedah.   Kedah  09000</t>
  </si>
  <si>
    <t>NVMY34535000003020</t>
  </si>
  <si>
    <t>ASNADIRAH AMIR HAMZAH</t>
  </si>
  <si>
    <t>B9-11 KUARTERS HOSPITAL SULTANAH BAHIYAH 05460 JLN LANGGAR ALOR SETAR KEDAH   Kedah  05460</t>
  </si>
  <si>
    <t>NVMY34535000003033</t>
  </si>
  <si>
    <t>NVMY34535000003025</t>
  </si>
  <si>
    <t>AZIZAH BINTI YUSOFF</t>
  </si>
  <si>
    <t>NO 54 FELDA CHIKU 1 18300 GUA MUSANG KELANTAN   Kelantan  18300</t>
  </si>
  <si>
    <t>NVMY34535000003006</t>
  </si>
  <si>
    <t>MUHAMMAD AZAM</t>
  </si>
  <si>
    <t>960 TAMAN SAMA GAGAH JALAN PERMATANG PAUH 13500 PERMATANG PAUH PULAU PINANG   Pulau Pinang  13500</t>
  </si>
  <si>
    <t>NVMY34535000003007</t>
  </si>
  <si>
    <t>MOHD RAHIMI BIN MOHD ROSLI</t>
  </si>
  <si>
    <t>03-12 BLOK B3 PANGSAPURI KENARI JALAN PULAI HARMONI 3 BANDAR BARU KANGKAR PULAI 81110 JOHOR BAHRU JOHOR   Johor  81110</t>
  </si>
  <si>
    <t>4-GLG-136</t>
  </si>
  <si>
    <t>NVMY34535000003016</t>
  </si>
  <si>
    <t>MUHAMMAD JUNAIDI</t>
  </si>
  <si>
    <t>KS10 KG GELAM PAGOH MUAR 84600 JOHOR  Johor  Johor  84600</t>
  </si>
  <si>
    <t>7-GMR-45</t>
  </si>
  <si>
    <t>NVMY34535000003043</t>
  </si>
  <si>
    <t>Mohamad ismi izzi murad</t>
  </si>
  <si>
    <t>Lot 4197,jln air pasir kg baru bukit sedanan,77500,selandar,melaka.   Melaka  77500</t>
  </si>
  <si>
    <t>MKZ-MKZ</t>
  </si>
  <si>
    <t>NVMY34535000003009</t>
  </si>
  <si>
    <t>CHE MUHAMAD NAZRI BIN SOH SIVA</t>
  </si>
  <si>
    <t>KEMENTERIAN PERDAGANGAN DALAM NEGERI KOPERASI DAN KEPENGGUNAAN CAWANGAN MUAR, NO.134-10, BANGUNAN HOKKIEN, JALAN SALLEH 84000 MUAR JOHOR  Johor  Johor  84000</t>
  </si>
  <si>
    <t>7-MUA-46</t>
  </si>
  <si>
    <t>NVMY34535000003004</t>
  </si>
  <si>
    <t>MUHAMAD IKHWAN BIN AB AZIZ</t>
  </si>
  <si>
    <t>LOT 1268, JALAN KUBUR PAUH MANIS KG.KEDAI PIAH 16450 KETEREH KOTA BHARU KELANTAN  Kelantan  Kelantan  16450</t>
  </si>
  <si>
    <t>1-KET-141</t>
  </si>
  <si>
    <t>NVMY34535000003037</t>
  </si>
  <si>
    <t>HASRIZAM RZALI</t>
  </si>
  <si>
    <t>PT 4085 JLN KERANJI 2/1 BDR UTAMA 18300 GUA MUSANG KELANTAN   Kelantan  18300</t>
  </si>
  <si>
    <t>NVMY34535000003032</t>
  </si>
  <si>
    <t>AZZAHRA MANSOR</t>
  </si>
  <si>
    <t>LOT 441G NO 56 TAMAN LEELING LORONG LEELING 3 JALAN MATANG JAYA KUCHING 93050 SARAWAK   Sarawak  93050</t>
  </si>
  <si>
    <t>16-KCH-112</t>
  </si>
  <si>
    <t>NVMY34535000003047</t>
  </si>
  <si>
    <t>CHE KU ASBULLAH</t>
  </si>
  <si>
    <t>NO 50 JLN NUSARIA 9/2 TAMAN NUSANTARA GELANG PATAH 81550 NUSAJAYA JOHOR   Johor  81550</t>
  </si>
  <si>
    <t>NVMY34535000003041</t>
  </si>
  <si>
    <t>Radzy Nurhakim</t>
  </si>
  <si>
    <t>D 89 , T/L 91 kampung parit mustaffa 83500 parit sulong batu pahat Johor   Johor  83500</t>
  </si>
  <si>
    <t>NVMY34535000003036</t>
  </si>
  <si>
    <t>M/S ALAN KANG &amp; CO</t>
  </si>
  <si>
    <t>ATUOCATES &amp; SOLICITORS 5.06, 5TH FLOOR ,PLAZA PRIMA JALAN KLANG LAMA ,58200 KUALA LUMPUR   Kuala Lumpur  58200</t>
  </si>
  <si>
    <t>NVMY34535000003045</t>
  </si>
  <si>
    <t>KHAIZANHQ</t>
  </si>
  <si>
    <t>NO 13 JALAN KOTA KECIL 1, 81900 KOTA TINGGI JOHOR   Johor  81900</t>
  </si>
  <si>
    <t>NVMY34535000003039</t>
  </si>
  <si>
    <t>Hazidie Bin Roselamat</t>
  </si>
  <si>
    <t>No. 75 Jalan Kasih 1/9 Alam Sari 43000 Kajang Selangor   Selangor  43000</t>
  </si>
  <si>
    <t>NVMY34535000002962</t>
  </si>
  <si>
    <t>ABDUL SALAM BUSHRA BIN NASIR</t>
  </si>
  <si>
    <t>BLOK G5-3C RKTLDM KD SRI SEMPORNA -UNIT 2 PASKAL PANGKALAN TLDM 91308 SEMPORNA SABAH   Sabah  91308</t>
  </si>
  <si>
    <t>15A-TWU-109</t>
  </si>
  <si>
    <t>NVMY34535000003038</t>
  </si>
  <si>
    <t>YANI</t>
  </si>
  <si>
    <t>PT 9026 TAMAN KESEDAR JAYA 18300 GUA MUSANG KELANTAN   Kelantan  18300</t>
  </si>
  <si>
    <t>NVMY34535000003044</t>
  </si>
  <si>
    <t>WAN AMIRUN HAQIM BIN WAN MOHD SUPIAN</t>
  </si>
  <si>
    <t>MRSM BAGAN DATUK,LOT 18202,JALAN BAGAN DATUK,36100 BAGAN DATUK   Perak  36100</t>
  </si>
  <si>
    <t>8-HML-175</t>
  </si>
  <si>
    <t>NVMY34535000003042</t>
  </si>
  <si>
    <t>HASLINA BINTI HAMID</t>
  </si>
  <si>
    <t>NO 5 LORONG GUAR PERAHU 24 TAMAN GUAR PERAHU 14400 KUBANG SEMANG PULAU PINANG   Pulau Pinang  my 14400</t>
  </si>
  <si>
    <t>NVMY34535000003035</t>
  </si>
  <si>
    <t>MKF.EMPIRE</t>
  </si>
  <si>
    <t>C-06-03, BLOK C, JALAN PJS 2C/2 TAMAN MEDAN CAHAYA, 46000 PETALING JAYA, SELANGOR   Selangor  46000</t>
  </si>
  <si>
    <t>10-SUN-77</t>
  </si>
  <si>
    <t>NVMY34535000003049</t>
  </si>
  <si>
    <t>FATIM NOOR AIZA NATASHA BT SAHABUDDIN</t>
  </si>
  <si>
    <t>NO 287 FELDA KERTEH 1, KETENGAH JAYA 23300 DUNGUN TERENGGANU   Terengganu  23300</t>
  </si>
  <si>
    <t>NVMY34535000003040</t>
  </si>
  <si>
    <t>Ahmad aiman naufal</t>
  </si>
  <si>
    <t>Kompleks KTM Berhad, Lot 259, Jalan Sri Bukit, 14000  Bukit Mertajam, Pulau Pinang.   Pulau Pinang  14000</t>
  </si>
  <si>
    <t>5-BKM-144</t>
  </si>
  <si>
    <t>NVMY34535000003057</t>
  </si>
  <si>
    <t>MAZNAH BT ARSHAD</t>
  </si>
  <si>
    <t>NO 32 BATU 18 KAMPUNG IBOL KUALA PILAH 71500 NEGERI SEMBILAN   Negeri Sembilan  71500</t>
  </si>
  <si>
    <t>NVMY34535000003063</t>
  </si>
  <si>
    <t>ILYANI BINTI SALIM</t>
  </si>
  <si>
    <t>LOT 8932 JALAN TERATAI KAMPUNG BARU KERTEH 24300 KEMAMAN TERENGGANU   Terengganu  24300</t>
  </si>
  <si>
    <t>NVMY34535000003058</t>
  </si>
  <si>
    <t>NUR KHAIZAD</t>
  </si>
  <si>
    <t>KIA SETAPAK RAZA MOTOR LOT PT 5695 JALAN USAHAWAN 6 OFF JALAN GENTING KLANG SETAPAK WILAYAH PERSEKUTUAN 53300 KUALA LUMPUR   Kuala Lumpur  my 53300</t>
  </si>
  <si>
    <t>NVMY34535000003062</t>
  </si>
  <si>
    <t>AMYRA RAHMAN</t>
  </si>
  <si>
    <t>NO 6 TAMAN ANGKASA JAYA KUALA PILAH 72000 NEGERI SEMBILAN   Negeri Sembilan  72000</t>
  </si>
  <si>
    <t>NVMY34535000003052</t>
  </si>
  <si>
    <t>NURUL IZZAH BINTI HANAFI</t>
  </si>
  <si>
    <t>D-23A-10 VERTEX TOWER CYBERSQUARE JALAN TEKNOKRAT 7 CYBER 5 63000 CYBERJAYA SELANGOR   Selangor  63000</t>
  </si>
  <si>
    <t>MM-XDK</t>
  </si>
  <si>
    <t>NVMY34535000003054</t>
  </si>
  <si>
    <t>45 JALAN PJU 10/7 TAMAN DESA RIANG 47830 PETALING JAYA SELANGOR   Selangor  47830</t>
  </si>
  <si>
    <t>NVMY34535000003046</t>
  </si>
  <si>
    <t>ADHA SHAH</t>
  </si>
  <si>
    <t>KOLAM UDANG SUNGAI NIPAH, PT 3750 SIMPANG 5, 45300 SUNGAI BESAR SELANGOR  Selangor  Selangor  45300</t>
  </si>
  <si>
    <t>NVMY34535000003059</t>
  </si>
  <si>
    <t>WAN HAMIRA BT WAN MUSA</t>
  </si>
  <si>
    <t>NO 69 JALAN JASA 4 TAMAN JASA SUNGAI TUA BHARU 68100 BATU CAVES SELANGOR   Selangor  68100</t>
  </si>
  <si>
    <t>NVMY34535000003034</t>
  </si>
  <si>
    <t>RABIATUL ADAWIYAH</t>
  </si>
  <si>
    <t>253B, JALAN ANGGERIK 9/7 BANDAR AMANJAYA 08000 SUNGAI PETANI KEDAH   Kedah  08000</t>
  </si>
  <si>
    <t>3-SPT-17</t>
  </si>
  <si>
    <t>NVMY34535000003064</t>
  </si>
  <si>
    <t>MUHAMMAD NUR SYUHAIMIE</t>
  </si>
  <si>
    <t>869-1 JALAN MAHANG KG BUKIT KUANG KEMAMAN 24000 TERENGGANU   Terengganu  24000</t>
  </si>
  <si>
    <t>NVMY34535000003050</t>
  </si>
  <si>
    <t>AHMED IKHWAN BIN ABDUL RAHIM</t>
  </si>
  <si>
    <t>NO 75 JALAN 4 TAMAN GUAR PERAHU 14400 KUBANG SEMANG PULAU PINANG   Pulau Pinang  14400</t>
  </si>
  <si>
    <t>NVMY34535000003068</t>
  </si>
  <si>
    <t>NURUL MUNA BT JAMALUDDIN</t>
  </si>
  <si>
    <t>M06-08-04 PANGSAPURI SERI MUTIARA JALAN SETIA GEMILANG U13/45B SETIA ALAM 40170 SHAH ALAM SELANGOR   Selangor  40170</t>
  </si>
  <si>
    <t>NVMY34535000003075</t>
  </si>
  <si>
    <t>T/N KHAIRUDIN, NGIAM &amp; TAN</t>
  </si>
  <si>
    <t>PEGUAMBELA &amp; PEGUAMCARA UNIT 7-4-1 BLOCK A MEGAN SALAK PARK JALAN 2/125E TAMAN DESA PETALING 57100 KUALA LUMPUR MALAYSIA   Kuala Lumpur  57100</t>
  </si>
  <si>
    <t>NVMY34535000003079</t>
  </si>
  <si>
    <t>AZMAN BIN SAMSUDIN</t>
  </si>
  <si>
    <t>NO 25 JALAN IXORA 1/16 TAMAN IXORA BANDAR BARU SALAK TINGGI 43900 SEPANG SELANGOR   Selangor  43900</t>
  </si>
  <si>
    <t>13-STG-99</t>
  </si>
  <si>
    <t>NVMY34535000003076</t>
  </si>
  <si>
    <t>NUR AUNIE BT MALEKI</t>
  </si>
  <si>
    <t>C2-07-022 APARTMENT CEMARA TAMAN BUKIT SEGAR JAYA 2 CHERAS HULU LANGAT 43200 SELANGOR   Selangor  43200</t>
  </si>
  <si>
    <t>NVMY34535000003060</t>
  </si>
  <si>
    <t>SYARIFAH</t>
  </si>
  <si>
    <t>82 TAMAN TUNKU TABOR JLN GANGSA 05150 ALOR SETAR KEDAH   Kedah  05150</t>
  </si>
  <si>
    <t>NVMY34535000003067</t>
  </si>
  <si>
    <t>NUR SARA IZRA BT KAMARULZAMAN</t>
  </si>
  <si>
    <t>LOT 1951 BATU 3 1/2 JALAN MARAN 28000 TEMERLOH PAHANG   Pahang  28000</t>
  </si>
  <si>
    <t>NVMY34535000003065</t>
  </si>
  <si>
    <t>KTA TENAGA SDN BHD (IR NOOR HARIZAL BIN HUSSEIN)</t>
  </si>
  <si>
    <t>D1-21 JALAN PJU 1/41 DATARAN PRIMA KELANA JAYA 47301 PETALING JAYA SELANGOR DARUL EHSAN   Selangor  47301</t>
  </si>
  <si>
    <t>NVMY34535000003077</t>
  </si>
  <si>
    <t>SITI SARAH</t>
  </si>
  <si>
    <t>NO 181 JALAN DESA BAIDURI 23 TAMAN DESA BAIDURI  GERIK 33300 PERAK   Perak  33300</t>
  </si>
  <si>
    <t>NVMY34535000003061</t>
  </si>
  <si>
    <t>NUR ATHIRAH SYAZANA BINTI SUHAIMI</t>
  </si>
  <si>
    <t>NO 24C PENGHULU HIM 08000 SUNGAI PETANI KEDAH   Kedah  08000</t>
  </si>
  <si>
    <t>NVMY34535000003069</t>
  </si>
  <si>
    <t>DYNATON HOLDINGS NO 1 TINGKAT BASEMENT JALAN DAGANG 2 DYNATON BUKIT ANGIN 28000 TEMERLOH PAHANG   Pahang  28000</t>
  </si>
  <si>
    <t>NVMY34535000003030</t>
  </si>
  <si>
    <t>Hazwan Haziq</t>
  </si>
  <si>
    <t>no 12, persiaran iskandar 12/1, taman iskandar perdana, 32610, seri iskandar, perak   Perak  32610</t>
  </si>
  <si>
    <t>NVMY34535000003066</t>
  </si>
  <si>
    <t>CHOIZES CONCEPT STORE SDN BHD</t>
  </si>
  <si>
    <t>UNIT NO D6-3A-17 BANGUNAN PERDAGANGAN D6, SENTUL RAYA, 801 JLN SENTUL 51100 KUALA LUMPUR   Kuala Lumpur  51100</t>
  </si>
  <si>
    <t>NVMY34535000003053</t>
  </si>
  <si>
    <t>MOHAMMAD BIN SHERIFF</t>
  </si>
  <si>
    <t>625 LORONG 1/4 TAMAN MAKMUR SUNGAI SELUANG LUNAS 09600 KEDAH   Kedah  09600</t>
  </si>
  <si>
    <t>5-KLM-27</t>
  </si>
  <si>
    <t>NVMY34535000003070</t>
  </si>
  <si>
    <t>NOOR AINUN BINTI ABOO BAKAR</t>
  </si>
  <si>
    <t>NO 17 JALAN SD1 1/31 TAMAN SERI DAGANG BUKIT CHANGGANG 42700 BANTING SELANGOR (01114239420)   Selangor  42700</t>
  </si>
  <si>
    <t>NVMY34535000003073</t>
  </si>
  <si>
    <t>ZATUL IFFAH BINTI ZAIMI</t>
  </si>
  <si>
    <t>BLOK D-T09-U05 PARCEL 5R4 PRESINT 5 62200 PUTRAJAYA   Putrajaya  62200</t>
  </si>
  <si>
    <t>NVMY34535000003078</t>
  </si>
  <si>
    <t>NUR ZULAIKHA BINTI ZULKIFLI</t>
  </si>
  <si>
    <t>6-2-07 POLITEKNIK MUADZAM SHAH LEBUHRAYA TUN ABDUL RAZAK 26700 MUADZAM SHAH PAHANG   Pahang  26700</t>
  </si>
  <si>
    <t>NVMY34535000003074</t>
  </si>
  <si>
    <t>MOHD NOR FAIZAL BIN NOR HASSIM</t>
  </si>
  <si>
    <t>F-12-4 BLOK F MENTARI COURT JALAN PJS 8/9 TAMAN SRI MENTARI 46150 PETALING JAYA SELANGOR   Selangor  46150</t>
  </si>
  <si>
    <t>NVMY34535000003056</t>
  </si>
  <si>
    <t>SITI NURULAINI BINTI ABDUL NASIR</t>
  </si>
  <si>
    <t>34 LENGKOK NELAYAN KUALA SG PINANG 11010 BALIK PULAU PULAU PINANG   Pulau Pinang  11010</t>
  </si>
  <si>
    <t>NVMY34535000003055</t>
  </si>
  <si>
    <t>NVMY34535000003051</t>
  </si>
  <si>
    <t>AZIAN JOHARI</t>
  </si>
  <si>
    <t>SMK AGAMA SARATOK KM 3 JALAN ROBAN LAMA 95400 SARATOK SARAWAK   Sarawak  95400</t>
  </si>
  <si>
    <t>16-TOK-166</t>
  </si>
  <si>
    <t>NVMY34535000003086</t>
  </si>
  <si>
    <t>NURAFIFAH BT NORIZAN</t>
  </si>
  <si>
    <t>NO 69 JLN KASIH 1/9 SETIA ALAM SARI 43000 KAJANG SELANGOR   Selangor  43000</t>
  </si>
  <si>
    <t>NVMY34535000003091</t>
  </si>
  <si>
    <t>AMIR AIZAD SHAH BIN ROSLIMAN SHAH</t>
  </si>
  <si>
    <t>NO.264 FASA 3C 32040 SERI MANJUNG, PERAK   Perak  32040</t>
  </si>
  <si>
    <t>8A-STW-52</t>
  </si>
  <si>
    <t>NVMY34535000003048</t>
  </si>
  <si>
    <t>NAIDA BINTI HASSAN</t>
  </si>
  <si>
    <t>Labuan</t>
  </si>
  <si>
    <t>HOTEL PULAU LABUAN LOT 27.28 JALAN MUHIBBAH P.O BOX 80056 W P LABUAN SABAH   Sabah  80056</t>
  </si>
  <si>
    <t>15B-LBN-111</t>
  </si>
  <si>
    <t>NVMY34535000003072</t>
  </si>
  <si>
    <t>MUHD DANIAL</t>
  </si>
  <si>
    <t>NO 46 MUKIM 5 KUBANG SEMAN BUKIT MERTAJAM 14400 KUBANG SEMAN PULAU PINANG   Pulau Pinang  14400</t>
  </si>
  <si>
    <t>NVMY34535000003090</t>
  </si>
  <si>
    <t>NIK ZUHAR BIN CHE JOHARI</t>
  </si>
  <si>
    <t>11-4-11 Gugusan Semarak,  Jalan Camar 4/6 PJU 5,  Seksyen 4, Kota Damansara,  47810 Petaling Jaya,  Selangor.   Selangor  47810</t>
  </si>
  <si>
    <t>10A-DAM-72</t>
  </si>
  <si>
    <t>NVMY34535000003071</t>
  </si>
  <si>
    <t>MUNIRA HASHIM</t>
  </si>
  <si>
    <t>1481 KAMPUNG CHANGKAT BARUH 14300 NIBONG TEBAL PULAU PINANG   Pulau Pinang  14300</t>
  </si>
  <si>
    <t>NVMY34535000003081</t>
  </si>
  <si>
    <t>PUTERI ARIANA</t>
  </si>
  <si>
    <t>NO 611 JALAN JAMBU SUNGAI KOYAN 3 27650 RAUB PAHANG   Pahang  27650</t>
  </si>
  <si>
    <t>NVMY34535000003084</t>
  </si>
  <si>
    <t>MAIZURA WAHID</t>
  </si>
  <si>
    <t>LOT 2702 TAMAN DATIN HALIMAH KG PADANG LUAS 22000 JERTEH TERENGGANU   Terengganu  22000</t>
  </si>
  <si>
    <t>NVMY34535000003094</t>
  </si>
  <si>
    <t>FAHMI</t>
  </si>
  <si>
    <t xml:space="preserve"> C-13A-06, Season Garden Residence, wangsa Maju seksyen 10, 53300 KL   Kuala Lumpur  53300</t>
  </si>
  <si>
    <t>NVMY34535000003093</t>
  </si>
  <si>
    <t>Ammar bin Azmi</t>
  </si>
  <si>
    <t>Lot 6970 jalan ibrahim desa putra  43000 Kajang Selangor    Selangor  43000</t>
  </si>
  <si>
    <t>NVMY34535000003082</t>
  </si>
  <si>
    <t>NORAZIMA BT YAHAYA</t>
  </si>
  <si>
    <t>NO 29 KAMPUNG DATO SAGAR 31100 SG SIPUT UTARA PERAK   Perak  31100</t>
  </si>
  <si>
    <t>NVMY34535000003092</t>
  </si>
  <si>
    <t>Mohamad Shafiq Bin Abdullah</t>
  </si>
  <si>
    <t>No 3, Lorong BDK 1/4, Bandar Damansara, 26100, Kuantan PAHANG   Pahang  36100</t>
  </si>
  <si>
    <t>PHG-PHG</t>
  </si>
  <si>
    <t>NVMY34535000003085</t>
  </si>
  <si>
    <t>SITI AISYAH</t>
  </si>
  <si>
    <t>PT 13313 JALAN KAMPUNG SILIAU HILIR 71200 RANTAU NEGERI SEMBILAN   Negeri Sembilan  71200</t>
  </si>
  <si>
    <t>NVMY34535000003087</t>
  </si>
  <si>
    <t>MUHAMMAD AQIL WAFIUDDIN BIN AMRAN</t>
  </si>
  <si>
    <t>15 , JLN RIMBA 57 BANDAR SERI ALAM , 81750 MASAI , JOHOR BAHRU   Johor  81750</t>
  </si>
  <si>
    <t>4A-PSG-24</t>
  </si>
  <si>
    <t>NVMY34535000003099</t>
  </si>
  <si>
    <t>ZULPATAH JUSOH</t>
  </si>
  <si>
    <t>LOT 743 KG ALOR MAS 16450 KETEREH KELANTAN   Kelantan  16450</t>
  </si>
  <si>
    <t>NVMY34535000003088</t>
  </si>
  <si>
    <t>Norfazlina izzati binti noorzaman</t>
  </si>
  <si>
    <t>Klinik kesihatan seri kembangan, jalan besar, taman muhibbah, Petaling Jaya, 43300, Selangor  Selangor  Selangor  43300</t>
  </si>
  <si>
    <t>12-SRD-94</t>
  </si>
  <si>
    <t>NVMY34535000003089</t>
  </si>
  <si>
    <t>MOHD HAIRIL HISYAM BIN ISHAK</t>
  </si>
  <si>
    <t>NO 1223, JALAN NUSA INTAN 1/10, TAMAN NUSA INTAN, SENAWANG, 70450 SEREMBAN, NEGERI SEMBILAN   Negeri Sembilan  70450</t>
  </si>
  <si>
    <t>MM-Prio</t>
  </si>
  <si>
    <t>NVMY34535000003101</t>
  </si>
  <si>
    <t>MUHAMAD SYAMIM</t>
  </si>
  <si>
    <t>PUSAT PEMBELAJARAN P8 JALAN P8C, PRESINT 8 62250 WILAYAN PERSEKUTUAN, PUTRAJAYA   Putrajaya  62250</t>
  </si>
  <si>
    <t>NVMY34535000003098</t>
  </si>
  <si>
    <t>SITI ROHAIDA</t>
  </si>
  <si>
    <t>LOT 1490 KAMPUNG SURAU KOTA 15100 KOTA BHARU KELANTAN   Kelantan  15100</t>
  </si>
  <si>
    <t>NVMY34535000003080</t>
  </si>
  <si>
    <t>NURAFIQAH BINTI ABDUL JALANI</t>
  </si>
  <si>
    <t>NO 6 JALAN TEMBIKAI 29 TAMAN KOTA MASAI 81700 PASIR GUDANG JOHOR   Johor  81700</t>
  </si>
  <si>
    <t>NVMY34535000003095</t>
  </si>
  <si>
    <t>AHMAD MUHSIN BIN SUKARI</t>
  </si>
  <si>
    <t>209 BLOCK 26 JALAN SELAYANG SATU 27/27A SEK 27 SHAH ALAM SELANGOR 40000 MALAYSIA    Selangor  40000</t>
  </si>
  <si>
    <t>NVMY34535000003083</t>
  </si>
  <si>
    <t>NASIRUDDIN BIN HADI</t>
  </si>
  <si>
    <t>BAROH PIAL 17200 RANTAU PANJANG KELANTAN  Kelantan  Kelantan  17200</t>
  </si>
  <si>
    <t>NVMY34535000003103</t>
  </si>
  <si>
    <t>HASNAH BT MAMAT</t>
  </si>
  <si>
    <t>Q-220 APARTMENT HARMONI JALAN PJU 10/4C DAMANSARA DAMAI 47830 PETALING JAYA SELANGOR   Selangor  47830</t>
  </si>
  <si>
    <t>NVMY34535000003102</t>
  </si>
  <si>
    <t>KHAIRUNNISA MAHPODZ</t>
  </si>
  <si>
    <t>NO 61 PARIT KARIM 2 BATU 18 AIR HITAM MUAR 84050 JOHOR   Johor  84050</t>
  </si>
  <si>
    <t>NVMY34535000003100</t>
  </si>
  <si>
    <t>SHARFIZA BINTI OSMAN</t>
  </si>
  <si>
    <t>PEJABAT FELDA TELOI KANAN 09300 KUALA KETIL KEDAH   Kedah  09300</t>
  </si>
  <si>
    <t>NVMY34535000003104</t>
  </si>
  <si>
    <t>ASMA AINI x ALIF AZRI</t>
  </si>
  <si>
    <t>NO 5 KG KUALA IBAI DEPAN MASJID TERAPUNG 20400 KUALA TERENGGANU TERENGGANU DARUL IMAN   Terengganu  20400</t>
  </si>
  <si>
    <t>NVMY34535000003096</t>
  </si>
  <si>
    <t>TUAN HAMZAH BIN TUAN HASSAN</t>
  </si>
  <si>
    <t>NO 21, JLN ALIFF HARMONI 7/2, ALIFF PUTERI 3, DAMANSARA ALIFF, 81200 JOHOR BAHRU, JOHOR   Johor  81200</t>
  </si>
  <si>
    <t>NVMY34535000003105</t>
  </si>
  <si>
    <t>NORHAFIZAH BINTI KHAMIS</t>
  </si>
  <si>
    <t>NO 23 KAMPUNG OLAK BATU MUKIM 7 86400 PARIT RAJA BATU PAHAT JOHOR   Johor  86400</t>
  </si>
  <si>
    <t>NVMY34535000003116</t>
  </si>
  <si>
    <t>MIRAE</t>
  </si>
  <si>
    <t>NO 3 BOUGAINVILLEA B/4  BANDAR SERI BOTANI 31350 IPOH PERAK   Perak  31350</t>
  </si>
  <si>
    <t>NVMY34535000003111</t>
  </si>
  <si>
    <t>SALINA BT ABDULLAH</t>
  </si>
  <si>
    <t>NO 36 LORONG BBKL 2/3/4 BANDAR BARU LIPIS 27200 KUALA LIPIS PAHANG   Pahang  27200</t>
  </si>
  <si>
    <t>NVMY34535000003106</t>
  </si>
  <si>
    <t>ANIZAH GULAM SARWAR</t>
  </si>
  <si>
    <t>NO 18 JALAN PERDANA 12 TAMAN BUKIT PERDANA 83000 BATU PAHAT JOHOR   Johor  83000</t>
  </si>
  <si>
    <t>NVMY34535000003107</t>
  </si>
  <si>
    <t>MOHD FITRI FAHMI BIN ABDULLAH</t>
  </si>
  <si>
    <t>PUSAT LATIHAN TEKNOLOGI TINGGI ADTEC KEMAMAN PAYAH 24210 KEMASIK TERENGGANU   Terengganu  24210</t>
  </si>
  <si>
    <t>NVMY34535000003114</t>
  </si>
  <si>
    <t>AINA GENDUT</t>
  </si>
  <si>
    <t xml:space="preserve"> No 22 Jalan Gambir 35/2 Taman Bandar Baru Bukit Gambir 84800 Tangkak Johor   Johor  84800</t>
  </si>
  <si>
    <t>NVMY34535000003122</t>
  </si>
  <si>
    <t>Muhammad Izwan Ismail</t>
  </si>
  <si>
    <t>no 4, lorong cakera Purnama 12/4, seksyen 12, 42300 puncak alam selangor   Selangor  42300</t>
  </si>
  <si>
    <t>13-PCK-101</t>
  </si>
  <si>
    <t>NVMY34535000003121</t>
  </si>
  <si>
    <t>YUSOF</t>
  </si>
  <si>
    <t>No 91 jalan su 18 taman selayang utama 68100 batu caves selangor   Selangor  68100</t>
  </si>
  <si>
    <t>12-SLG-95</t>
  </si>
  <si>
    <t>NVMY34535000003113</t>
  </si>
  <si>
    <t>SYAMIZA</t>
  </si>
  <si>
    <t>1D 20-07 AMBERSIDE @ COUNTRY GARDEN, JALAN SKUDAI, 80200 JOHOR BAHRU, JOHOR   Johor  80200</t>
  </si>
  <si>
    <t>NVMY34535000003127</t>
  </si>
  <si>
    <t>Muhd aiman</t>
  </si>
  <si>
    <t>5240 jalan BBN 9/1B Taman desa anggerik 71800 nilai negeri sembilan   Negeri Sembilan  71800</t>
  </si>
  <si>
    <t>9-NIL-61</t>
  </si>
  <si>
    <t>NVMY34535000003134</t>
  </si>
  <si>
    <t>Amirul hareez</t>
  </si>
  <si>
    <t>Lot 7062-F lorong 3, kg limbong 23100 paka terengganu   Terengganu  23100</t>
  </si>
  <si>
    <t>2-PAK-10</t>
  </si>
  <si>
    <t>NVMY34535000003124</t>
  </si>
  <si>
    <t>Hasanul Azmi bin Abdul Wahab</t>
  </si>
  <si>
    <t>No 869, Lorong Kurau 11, Taman Samudera,Seri Manjung,23040 Perak Darul Ridzuan.   Perak  23040</t>
  </si>
  <si>
    <t>NVMY34535000003132</t>
  </si>
  <si>
    <t>Mohamad salleh</t>
  </si>
  <si>
    <t>No17 PT72 persiaran lada 14 taman changkat lada raya 36800 kg gajah Perak   Perak  36800</t>
  </si>
  <si>
    <t>NVMY34535000003131</t>
  </si>
  <si>
    <t>Affendi bin Ajis</t>
  </si>
  <si>
    <t>no 4 perumahan bukit Rangin Perdana 1 lorong 1/13 , 25150 Kuantan Pahang.   Pahang  25150</t>
  </si>
  <si>
    <t>NVMY34535000003125</t>
  </si>
  <si>
    <t>Raja muhammad shafiq</t>
  </si>
  <si>
    <t>A1 lot 1414 jalan sultan Harun lembah pinggiran batu 7 3/4 sg chinchin gombak 68100 batu cave Selangor    Selangor  68100</t>
  </si>
  <si>
    <t>10-CAV-75</t>
  </si>
  <si>
    <t>NVMY34535000003129</t>
  </si>
  <si>
    <t>Ahmad Aizuddin Bin Awang Kechik</t>
  </si>
  <si>
    <t xml:space="preserve"> Blok S-G21 Apartment Idaman, Jalan PJU 10/1, Damansara Damai, 47830, Petaling Jaya, Selangor D.E   Selangor  47830</t>
  </si>
  <si>
    <t>NVMY34535000003136</t>
  </si>
  <si>
    <t>Paisal</t>
  </si>
  <si>
    <t>No 2084 jalan felcra semungkis batu 14 hulu Langat Selangor 43100   Selangor  43100</t>
  </si>
  <si>
    <t>14-BMC-120</t>
  </si>
  <si>
    <t>NVMY34535000003139</t>
  </si>
  <si>
    <t>ATIQAH</t>
  </si>
  <si>
    <t>NO 54 JALAN 4/1 SERDANG JAYA 43300 SERI KEMBANGAN SELANGOR   Selangor  43300</t>
  </si>
  <si>
    <t>NVMY34535000003133</t>
  </si>
  <si>
    <t>Mohd shafiq bin abdullah</t>
  </si>
  <si>
    <t>1,jalan sungai keramat 32,taman Klang utaman 42100 Klang Selangor    Selangor  42100</t>
  </si>
  <si>
    <t>14-RPG-172</t>
  </si>
  <si>
    <t>NVMY34535000003126</t>
  </si>
  <si>
    <t>Mohamad syazwan bin mohamad noor</t>
  </si>
  <si>
    <t>No.202 fasa 2c, 32040 seri manjung, perak   Perak  32040</t>
  </si>
  <si>
    <t>NVMY34535000003137</t>
  </si>
  <si>
    <t>ZIAUDEEN BIN NAINA MOHAMED</t>
  </si>
  <si>
    <t>Blk .F .00.02.jln Batu nilam 35.Bukit tinggi 2.klang .41200.selangor.   Selangor  41200</t>
  </si>
  <si>
    <t>14-BTK-117</t>
  </si>
  <si>
    <t>NVMY34535000003123</t>
  </si>
  <si>
    <t>ADIB NIYAZI</t>
  </si>
  <si>
    <t>NO 44, JALAN UP 3/7f, UKAY PERDANA, AMPANG 68000 SELANGOR   Selangor  68000</t>
  </si>
  <si>
    <t>10-MLT-74</t>
  </si>
  <si>
    <t>NVMY34535000003112</t>
  </si>
  <si>
    <t>NUR AFIQAH ADLINA BINTI ROMLI</t>
  </si>
  <si>
    <t>NO 9, LORONG RAJAWALI 13, TAMAN BERJAYA, 14300 NIBONG TEBAL, PULAU PINANG   Pulau Pinang  my 14300</t>
  </si>
  <si>
    <t>NVMY34535000003115</t>
  </si>
  <si>
    <t>SURIYAH</t>
  </si>
  <si>
    <t>no 19 jalan seniman 9  kg seri serdang baru 81200 johor bahru johor   Johor  81200</t>
  </si>
  <si>
    <t>NVMY34535000003110</t>
  </si>
  <si>
    <t>NURMISYA EFFABELLA BT MOHAMAD NOR</t>
  </si>
  <si>
    <t>BLOK G 10 ARAS G PINTU NO 1 RKAT 11 RAMD KEM SEMENGGO BATU 7 93677 KUCHING SARAWAK   Sarawak  93677</t>
  </si>
  <si>
    <t>NVMY34535000003097</t>
  </si>
  <si>
    <t>NVMY34535000003138</t>
  </si>
  <si>
    <t>FADILAH SAMARON</t>
  </si>
  <si>
    <t>NO 10 LORONG HAJI ISMAIL LOT 2796 42200 KAPAR SELANGOR   Selangor  42200</t>
  </si>
  <si>
    <t>12A-MRU-90</t>
  </si>
  <si>
    <t>NVMY34535000003140</t>
  </si>
  <si>
    <t>NURUL AFIQAH BINTI WAHID</t>
  </si>
  <si>
    <t>AB3-13 GLENVIEW BUSINESS CENTRE (RUMAH KEDAI) TAMAN PINGGIRAN CHERAS JALAN 49 OFF JALAN KUARI 56100 KL   Kuala Lumpur  56100</t>
  </si>
  <si>
    <t>11-TMJ-186</t>
  </si>
  <si>
    <t>NVMY34535000003108</t>
  </si>
  <si>
    <t>RAFIDAH BINTI SULLE</t>
  </si>
  <si>
    <t>NO 5871 TAMAN KINABUTAN BATU 5 JLN APAS 91000 TAWAU SABAH    Sabah  91000</t>
  </si>
  <si>
    <t>NVMY34535000003145</t>
  </si>
  <si>
    <t>shahira natasha</t>
  </si>
  <si>
    <t xml:space="preserve"> Lot 12271 Taman Sri Pahlawan, Kg Banggol Pak Ali, Bukit Payong, 21400 Marang, Terengganu   Terengganu  21400</t>
  </si>
  <si>
    <t>NVMY34535000003130</t>
  </si>
  <si>
    <t>Muhammad sazwan bin mohd moksan</t>
  </si>
  <si>
    <t>Lot 1791, lorong haji mohd amin kg batu 4 1/2 jalan kapar Klang Selangor 42100   Selangor  42100</t>
  </si>
  <si>
    <t>NVMY34535000003141</t>
  </si>
  <si>
    <t>USTAZ WIRA BIN YUNUS</t>
  </si>
  <si>
    <t>75 JALAN PP2/23 TAMAN PUTRA PERDANA PUCHONG 47130 SELANGOR   Selangor  47130</t>
  </si>
  <si>
    <t>NVMY34535000003128</t>
  </si>
  <si>
    <t>MOHD ALI OTHMAN</t>
  </si>
  <si>
    <t>No 7 Jalan Kempas 1, Taman Desaru Utama, 81930 Bandar Penawar, Johor    Johor  81930</t>
  </si>
  <si>
    <t>4-PWR-26</t>
  </si>
  <si>
    <t>NVMY34535000003142</t>
  </si>
  <si>
    <t>WAN NUR HASNI SAFIRA BT WAN AZIZI</t>
  </si>
  <si>
    <t>NO 1 LORONG JALAN BATU NILAM 14C BANDAR BUKIT TINGGI KLANG 41200 SELANGOR   Selangor  41200</t>
  </si>
  <si>
    <t>NVMY34535000003120</t>
  </si>
  <si>
    <t>HISHAMUDDIN BIN MOHD ASAMDI</t>
  </si>
  <si>
    <t>ASIA AQUACULTURE (M) SDN BHD AQ-2301,PARCEL B, BI0 DESARU, KM 20, JLN TG BALAU-TG SEDILI BANDAR PENAWAR, 81930 KOTA TINGGI JOHOR   Johor  81930</t>
  </si>
  <si>
    <t>NVMY34535000003118</t>
  </si>
  <si>
    <t>MOHAMAD ASYRAF BIN AHMAD</t>
  </si>
  <si>
    <t>SIMPANG ULU MELAKA,MUKIM ULU MELAKA,LANGKAWI,07000,KEDAH   Kedah  07000</t>
  </si>
  <si>
    <t>Warehouse to Freight-LGK</t>
  </si>
  <si>
    <t>NVMY34535000003135</t>
  </si>
  <si>
    <t>Hakimi bin samshool</t>
  </si>
  <si>
    <t>Tb 11946,Taman citra,jalan nissan norrin bt 3 jalan kuhara Lorong Citra,91000 Tawau,Sabah    Sabah  91000</t>
  </si>
  <si>
    <t>NVMY34535000003146</t>
  </si>
  <si>
    <t>SITI AISYAH AZHAR - 2021352593</t>
  </si>
  <si>
    <t>CELLERIUM CENTRE DAHLIA KEDAI NO 2 PUSAT KEGIATAN PELAYAR KOLEJ DAHLIA UITM PUNCAK ALAM 42300 KUALA SELANGOR SELANGOR   Selangor  42300</t>
  </si>
  <si>
    <t>NVMY34535000003143</t>
  </si>
  <si>
    <t>Wan Muhammad Afiq</t>
  </si>
  <si>
    <t xml:space="preserve"> Pertubuhan Peladang Kawasan Bakat Baru, Kg. Paloh, 16250 Wakaf Bharu, Kelantan.   Kelantan  16250</t>
  </si>
  <si>
    <t>NVMY34535000003144</t>
  </si>
  <si>
    <t>nurul farah najwa</t>
  </si>
  <si>
    <t xml:space="preserve"> POPBOX @ UNIVERSITI PUTRA MALAYSIA - SERUMPUN, JALAN UPM, 43400 SERDANG, SELANGOR   Selangor  43400</t>
  </si>
  <si>
    <t>NVMY34535000003119</t>
  </si>
  <si>
    <t>elby saiful bin bolhi</t>
  </si>
  <si>
    <t>lot fasa 1 lorong 2a2,kampung tanjung bundung 94300 kota samarahan sarawak   Sarawak  94300</t>
  </si>
  <si>
    <t>NVMY34535000003117</t>
  </si>
  <si>
    <t>Shannizam sani</t>
  </si>
  <si>
    <t>Apartment Ganggarak Permai, Block Dahlia, Tingkat 8, No. 13, 87000 Wilayah Persekutuan Labuan Sabah   Sabah  87000</t>
  </si>
  <si>
    <t>NVMY34535000003148</t>
  </si>
  <si>
    <t>MILA</t>
  </si>
  <si>
    <t>60 C JALAN JEJAKA TAMAN MALURI CHERAS 55100  KUALA LUMPUR   Kuala Lumpur  55100</t>
  </si>
  <si>
    <t>NVMY34535000003109</t>
  </si>
  <si>
    <t>AWIE DARSONO</t>
  </si>
  <si>
    <t>DIGI TELECOMMUNICATIONS SDN BHD LOT 36 SEDCO LIGHT INDUSTRIAL ESTATE JALAN KILANG KOLOMBONG INANAM 88450 KOTA KINABALU SABAH   Sabah  88450</t>
  </si>
  <si>
    <t>15-INM-107</t>
  </si>
  <si>
    <t>NVMY34535000003147</t>
  </si>
  <si>
    <t>CHENTA ASHIQIN SNAN</t>
  </si>
  <si>
    <t>47A, JLN IMPIAN 5, TMN IMPIAN INDAH, 47000 SUNGAI BULOH, SELANGOR   Selangor  47000</t>
  </si>
  <si>
    <t>NVMY34535000003153</t>
  </si>
  <si>
    <t>CHE MOHD ZAID YUSOF</t>
  </si>
  <si>
    <t>14783 KAMPUNG GONG DATOK JALAN MENGAMBANG TELIPOT 21030 KUALA NERUS TERENGGANU   Terengganu  21030</t>
  </si>
  <si>
    <t>2-GBK-8</t>
  </si>
  <si>
    <t>NVMY34535000003154</t>
  </si>
  <si>
    <t>NVMY34535000003152</t>
  </si>
  <si>
    <t>NVMY34535000003150</t>
  </si>
  <si>
    <t>Raja Nurul Izzah</t>
  </si>
  <si>
    <t>No 22 Jalan TP 7/G Taman Perindustrian UEP 47620 Subang Jaya, Selangor.   Selangor  47620</t>
  </si>
  <si>
    <t>NVMY34535000003157</t>
  </si>
  <si>
    <t>NUR NADIAH BINTI AB AZIZ</t>
  </si>
  <si>
    <t>LOT 2340 KG HUTAN CHENGAL TENDONG 17030 PASIR MAS KELANTAN   Kelantan  17030</t>
  </si>
  <si>
    <t>NVMY34535000003160</t>
  </si>
  <si>
    <t>NUR ATHIRAH BT ANUAR</t>
  </si>
  <si>
    <t>NO 9 JALAN PLATINUM 7/43A SEKSYEN 7 40000 SHAH ALAM SELANGOR   Selangor  40000</t>
  </si>
  <si>
    <t>NVMY34535000003149</t>
  </si>
  <si>
    <t>Najehah apendi</t>
  </si>
  <si>
    <t>1B, LOT 5470 JALAN TAN SRI MUHD TAIB KG SG KEMBONG 42000 PULAU INDAH, SELANGOR. Pulau Indah (Pulau Lumut), Selangor,   Selangor  42000</t>
  </si>
  <si>
    <t>NVMY34535000003151</t>
  </si>
  <si>
    <t>ASMA'SABIHAH</t>
  </si>
  <si>
    <t>No.6, jalan 1/10, taman teratai putih, kg. sg. kelambu, 42700, banting, kuala langat, selangor   Selangor  42700</t>
  </si>
  <si>
    <t>NVMY34535000003156</t>
  </si>
  <si>
    <t>NOR AZIMAH BT CHE AHMAD</t>
  </si>
  <si>
    <t>B10-00-08 APARTMENT ANGGERIK DESA PANDAN JALAN KAMPUNG PANDAN 55100 KUALA LUMPUR   Kuala Lumpur  55100</t>
  </si>
  <si>
    <t>NVMY34535000003181</t>
  </si>
  <si>
    <t>AHMAD SHAFRIZAL FAZRIE BIN SUKIMAN</t>
  </si>
  <si>
    <t>LOT 2841B, JALAN PAHLAWAN, KG BUKIT PELONG 22100 PERMAISURI, SETIU, TERENGGANU   Terengganu  22100</t>
  </si>
  <si>
    <t>NVMY34535000003158</t>
  </si>
  <si>
    <t>NAJIB FARHAN</t>
  </si>
  <si>
    <t>(DA410), Pejabat Kamsis, Politeknik Sultan Mizan Zainal Abidin, KM 8, Jalan Paka 23000 Dungun, Terengganu   Terengganu  23000</t>
  </si>
  <si>
    <t>NVMY34535000003185</t>
  </si>
  <si>
    <t>NUR AZNIDA IZZATY BINTI ZAWAWI</t>
  </si>
  <si>
    <t>NO 5 JALAN EMAS 3, TAMAN EMAS 27200 KUALA LIPIS PAHANG   Pahang  27200</t>
  </si>
  <si>
    <t>NVMY34535000003189</t>
  </si>
  <si>
    <t>WAN NURUL BAZILAH BT WAN MOHAMAD</t>
  </si>
  <si>
    <t>KUARTERS 2 KLINIK DESA SERADA 20050 KUALA TERENGGANU,TERENGGANU   Terengganu  20050</t>
  </si>
  <si>
    <t>NVMY34535000003159</t>
  </si>
  <si>
    <t>JUAN DANAR</t>
  </si>
  <si>
    <t>10A LORONG OYA 8, 96000 SIBU SARAWAK   Sarawak  96000</t>
  </si>
  <si>
    <t>16-SBW-113</t>
  </si>
  <si>
    <t>NVMY34535000003161</t>
  </si>
  <si>
    <t>SIMBA OPTICS SMART KEMPAS</t>
  </si>
  <si>
    <t>LOT D65, D66 SMART KEMPAS , JALAN PERSIARAN TANJUNG , TAMAN CEMPAKA 81200 JOHOR BAHRU, JOHOR   Johor  81200</t>
  </si>
  <si>
    <t>4A-KEM-22</t>
  </si>
  <si>
    <t>NVMY34535000003188</t>
  </si>
  <si>
    <t>NOORAZILAH BT ABU BAKAR</t>
  </si>
  <si>
    <t>NO 63 JALAN SI 18,TAMAN SAUJANA INDAH , BUKIT KATIL 75450 MELAKA   Melaka  75450</t>
  </si>
  <si>
    <t>NVMY34535000003165</t>
  </si>
  <si>
    <t>NORA ABDDULLAH</t>
  </si>
  <si>
    <t>NO 45A, JALAN GEMILANG 3, TAMAN PERINDUSTRIAN CEMERLANG, 81800 ULU TIRAM JOHOR    Johor  81800</t>
  </si>
  <si>
    <t>4-TRM-173</t>
  </si>
  <si>
    <t>NVMY34535000003186</t>
  </si>
  <si>
    <t>HAJAH ROSNAH BT KASMANI</t>
  </si>
  <si>
    <t>1402,JALAN HIJAU 3/48,TAMAN HIJAU 3D 71950 BANDAR SRI SENDAYAN SEREMBAN NEGERI SEMBILAN   Negeri Sembilan  71950</t>
  </si>
  <si>
    <t>NVMY34535000003196</t>
  </si>
  <si>
    <t>AIN NUR BATHRISYA BT CHE ROSLI</t>
  </si>
  <si>
    <t>Mahallah Fatimah Azzahra, IIUM Kuantan, Jalan Sultan Ahmad Shah, Bandar Indera Mahkota, 25200 Kuantan, Pahang, Malaysia.   Pahang  25200</t>
  </si>
  <si>
    <t>NVMY34535000003155</t>
  </si>
  <si>
    <t>RHONNA F SEVILLA</t>
  </si>
  <si>
    <t>KAMPUNG SINAR HARAPAN SOOK 89008 KENINGAU SABAH   Sabah  89008</t>
  </si>
  <si>
    <t>NVMY34535000003166</t>
  </si>
  <si>
    <t>RAMLI BIN TUASIN</t>
  </si>
  <si>
    <t>12A 03A CASA MILA CONDOMINIUM, JALAN BUKIT IDAMAN 3, TAMAN BUKIT IDAMAN 68100 BATU CAVES, SELANGOR DARUL EHSAN   Selangor  68100</t>
  </si>
  <si>
    <t>NVMY34535000003180</t>
  </si>
  <si>
    <t>MOHD FAWWAZ</t>
  </si>
  <si>
    <t>C-9-30, LESTARI APARTMENT, JLN PJU10/1B, DAMANSARA DAMAI, 47830 PETALING JAYA, SELANGOR   Selangor  47830</t>
  </si>
  <si>
    <t>NVMY34535000003176</t>
  </si>
  <si>
    <t>NUR AYUNI BT MD ZAMBRI</t>
  </si>
  <si>
    <t>KPDNHEP ARAS G ZON A WISMA PERSEKUTUAN ANAK BUKIT 06550 ALOR SETAR KEDAH   Kedah  06550</t>
  </si>
  <si>
    <t>NVMY34535000003170</t>
  </si>
  <si>
    <t>SYAH PUTERA BIN MAT ZAIN</t>
  </si>
  <si>
    <t>LOT 377A BT 21 1/2 JALAN SUNGAI LALANG, SEMENYIH 43500 SELANGOR   Selangor  43500</t>
  </si>
  <si>
    <t>NVMY34535000003178</t>
  </si>
  <si>
    <t>ALIFF IMRAN</t>
  </si>
  <si>
    <t>NO 30, LORONG SERI DAMAI BARU 27, TAMAN ALAM IMPIAN 25150 KUANTAN PAHANG   Pahang  25150</t>
  </si>
  <si>
    <t>NVMY34535000003193</t>
  </si>
  <si>
    <t>NIK NUR SALWANI BINTI NIK PA</t>
  </si>
  <si>
    <t>DEWAN BERSALIN HOSPITAL GUA MUSANG 18300 GUA MUSANG KELANTAN   Kelantan  18300</t>
  </si>
  <si>
    <t>NVMY34535000003184</t>
  </si>
  <si>
    <t>NORA BT HAMID</t>
  </si>
  <si>
    <t>2358 KG BANGGOL PASIR 34850 CHANGKAT JERING TAIPING PERAK   Perak  34850</t>
  </si>
  <si>
    <t>NVMY34535000003174</t>
  </si>
  <si>
    <t>JEFFRI BIN MOHD TAHA</t>
  </si>
  <si>
    <t>10A - JALAN SLIM, KAMPUNG CHANGKAT KHIR JOHARI TANJUNG MALIM 35900 PERAK   Perak  35900</t>
  </si>
  <si>
    <t>8-SLM-56</t>
  </si>
  <si>
    <t>NVMY34535000003169</t>
  </si>
  <si>
    <t>MUHAMMAD ZAIDI BIN MOHD KIMAN</t>
  </si>
  <si>
    <t>LOT 1798-2C2 JALAN MAWAR KIRI, SIJANGKANG, 42500 TELOK PANGLIMA GARANG, SELANGOR   Selangor  42500</t>
  </si>
  <si>
    <t>NVMY34535000003172</t>
  </si>
  <si>
    <t>MUHAMMAD AMIR KHAN</t>
  </si>
  <si>
    <t>JALAN 13/154D BLOK 9,9-2-10 TAMAN DESA CHERAS 56000 CHERAS KUALA LUMPUR   Kuala Lumpur  56000</t>
  </si>
  <si>
    <t>NVMY34535000003164</t>
  </si>
  <si>
    <t>MOHD SYAIFUL AZUAN BIN HASAN</t>
  </si>
  <si>
    <t>NO 13 PIDA BARU LANA BULU 06150 AYER HITAM JITRA KEDAH   Kedah  06150</t>
  </si>
  <si>
    <t>NVMY34535000003168</t>
  </si>
  <si>
    <t>AMYLIZYANA</t>
  </si>
  <si>
    <t>TH04 JALAN GOH HOCK HUAT 41400 KLANG SELANGOR   Selangor  41400</t>
  </si>
  <si>
    <t>NVMY34535000003167</t>
  </si>
  <si>
    <t>MOHD SAIFUDDIN BIN MOHD ZAN</t>
  </si>
  <si>
    <t>NO 1 (A) FELDA BUKIT MENDI 28320 TRIANG PAHANG DARUL MAKMUR   Pahang  28320</t>
  </si>
  <si>
    <t>NVMY34535000003183</t>
  </si>
  <si>
    <t>NVMY34535000003162</t>
  </si>
  <si>
    <t>IBRAHIM MAT NAWI</t>
  </si>
  <si>
    <t>B7 PERUMAHAN AWAM KOS RENDAH (PAKR), PERINGKAT 3&amp;4 27000 JERANTUT PAHANG   Pahang  27000</t>
  </si>
  <si>
    <t>NVMY34535000003187</t>
  </si>
  <si>
    <t>RAPIAH MOHAMED</t>
  </si>
  <si>
    <t>NO 85 TAMAN KEMPAS 06010 CHANGLOON KEDAH   Kedah  06010</t>
  </si>
  <si>
    <t>NVMY34535000003191</t>
  </si>
  <si>
    <t>PHUADECLOSET</t>
  </si>
  <si>
    <t>UNIT 204 ,DBKK A -2-2,BLOCK A,LORONG INANAM KAPITAL 2, INANAM CAPITAL,JALAN KIAN YAP KOLOMBONG 88450,KOTA KINABALU SABAH   Sabah  88450</t>
  </si>
  <si>
    <t>NVMY34535000003182</t>
  </si>
  <si>
    <t>WAN MASLIYANA BT WAN HARIS</t>
  </si>
  <si>
    <t>171, JALAN SRI TEMENGGONG 8, TAMAN SRI TEMENGGONG, MUAR 84000 JOHOR    Johor  84000</t>
  </si>
  <si>
    <t>NVMY34535000003199</t>
  </si>
  <si>
    <t>Wan Eisyraf</t>
  </si>
  <si>
    <t>No.5 , Lorong Sri Damak 59, Taman Andalas Jaya, 41200, Klang, Selangor   Selangor  41200</t>
  </si>
  <si>
    <t>NVMY34535000003175</t>
  </si>
  <si>
    <t>AHMAD HAIRI BIN ABU HASSAN</t>
  </si>
  <si>
    <t>643A LORONG DAMAI 1, BANDAR UTAMA 08000 SUNGAI PETANI KEDAH  Kedah  Kedah  08000</t>
  </si>
  <si>
    <t>NVMY34535000003179</t>
  </si>
  <si>
    <t>MOHD FUAD BIN OTHMAN</t>
  </si>
  <si>
    <t>NO22 KG BUKIT PUPOK, BATU 5, JLN MUAR, SEGAMAT, JOHOR   Johor  85000</t>
  </si>
  <si>
    <t>NVMY34535000003177</t>
  </si>
  <si>
    <t>NORDIN SANAT</t>
  </si>
  <si>
    <t>40, JALAN SUTERA 8, TAMAN SUTERA 85000 SEGAMAT JOHOR   Johor  85000</t>
  </si>
  <si>
    <t>NVMY34535000003282</t>
  </si>
  <si>
    <t>FIFI SOFEA</t>
  </si>
  <si>
    <t>636, kg surau haji mat zain , bukit payong , 21400 marang , terengganu   Terengganu my 21400</t>
  </si>
  <si>
    <t>NVMY34535000003265</t>
  </si>
  <si>
    <t>NULYANI SIRI</t>
  </si>
  <si>
    <t>SK BANDAR SAMARIANG LORONG CAHYA MATA 2 BANDAR BARU SAMARIANG JALAN SULTAN TENGAH 93050 KUCHING SARAWAK   Sarawak my 93050</t>
  </si>
  <si>
    <t>NVMY34535000003281</t>
  </si>
  <si>
    <t>WAN AREISYA</t>
  </si>
  <si>
    <t>BRAINY BUNCH COMPLEX @ RAUDHAH CITY JALAN SP 10/1 SELANGOR CYBER VALLEY 63000 SELANGOR   Selangor my 63000</t>
  </si>
  <si>
    <t>NVMY34535000003286</t>
  </si>
  <si>
    <t>MAIMUNAH BINTI YA'ACOB</t>
  </si>
  <si>
    <t>NO 842 JALAN SEMARAK 15 TAMAN PANCHOR JAYA 70400 AMPANGAN NEGERI SEMBILAN   Negeri Sembilan my 70400</t>
  </si>
  <si>
    <t>NVMY34535000003278</t>
  </si>
  <si>
    <t>NUR SHAHIRAH AQILAH</t>
  </si>
  <si>
    <t>NO 438 FELDA PASIR BESAR 73420 GEMAS NEGERI SEMBILAN   Negeri Sembilan my 73420</t>
  </si>
  <si>
    <t>NVMY34535000003284</t>
  </si>
  <si>
    <t>NUR AIN</t>
  </si>
  <si>
    <t xml:space="preserve"> Lot9796 Taman Wakaf Kedondong , Bukit Payong , 21400 , Marang , Terengganu   Terengganu my 21400</t>
  </si>
  <si>
    <t>NVMY34535000003283</t>
  </si>
  <si>
    <t>Nor Haslieda Bt Mat Roni</t>
  </si>
  <si>
    <t>Lot 597, jalan berangan Padang jawa 40200 Shah alam, selangor   Selangor my 40200</t>
  </si>
  <si>
    <t>NVMY34535000003288</t>
  </si>
  <si>
    <t>NUR FATIHAH BINTI YA'COB</t>
  </si>
  <si>
    <t>39A, JALAN SIMFONI 3, SIMFONI PERDANA, LBS ALAM PERDANA 42300 BANDAR PUNCAK ALAM, SELANGOR   Selangor my 42300</t>
  </si>
  <si>
    <t>NVMY34535000003285</t>
  </si>
  <si>
    <t>SITI NURAINI BT NAZULA</t>
  </si>
  <si>
    <t>NO 45 JALAN TG GELANG 30/36 TAMAN ANDAMAN KG JALAN KEBUN SEKSYEN 30 40460 SHAH ALAM SELANGOR   Selangor my 40460</t>
  </si>
  <si>
    <t>11A-KMU-81</t>
  </si>
  <si>
    <t>NVMY34535000003280</t>
  </si>
  <si>
    <t>FIERA ZAIROL</t>
  </si>
  <si>
    <t>KL TRADERS SQUARE BLOCK C-11-16 JALAN GOMBAK SETAPAK 53000 KUALA LUMPUR   Kuala Lumpur my 53000</t>
  </si>
  <si>
    <t>NVMY34535000003290</t>
  </si>
  <si>
    <t>KETUA POLIS DAERAH (U/P : SJN MANIZAM) (JSJ)</t>
  </si>
  <si>
    <t>IBU PEJABAT POLIS DAERAH PASIR PUTEH POLIS DIRAJA MALAYSIA 16800 PASIR PUTEH KELANTAN   Kelantan my 16800</t>
  </si>
  <si>
    <t>NVMY34535000003267</t>
  </si>
  <si>
    <t>SITI MARDINAH BT YACO</t>
  </si>
  <si>
    <t>BEREK POLIS BLOCK B4-5 TINGKAT 4 89808 BEAUFORT INTERIOR DIVISON SABAH   Sabah my 89808</t>
  </si>
  <si>
    <t>NVMY34535000003279</t>
  </si>
  <si>
    <t>KAPLAK DAMASCUS ENTERPRISE</t>
  </si>
  <si>
    <t>LOT 1616 MARA ENTERPRENEUR PARK, PONGSU SERIBU, 13200 KEPALA BATASM PUKAU PINANG   Pulau Pinang my 13200</t>
  </si>
  <si>
    <t>5-BTS-29</t>
  </si>
  <si>
    <t>NVMY34535000003289</t>
  </si>
  <si>
    <t>AZMIN AZAM</t>
  </si>
  <si>
    <t>1-1-1 IDAMAN APARTMENT 13500 PERMATANG PAUH BUTTERWORTH PULAU PINANG   Pulau Pinang my 13500</t>
  </si>
  <si>
    <t>NVMY34535000003295</t>
  </si>
  <si>
    <t>WAN NORSYUHANA BT WAN IBRAHIM</t>
  </si>
  <si>
    <t>LOT 555B JALAN SUNGAI UDANG KAMPUNG TELUK GADUNG KECIL 42000 KLANG SELANGOR (RUMAH COLOUR CHOCOLATE)   Selangor my 42000</t>
  </si>
  <si>
    <t>NVMY34535000003291</t>
  </si>
  <si>
    <t>AB HAMID BIN MAT ARIFF</t>
  </si>
  <si>
    <t>1113C JALAN MASJID,TEBUK PULAI 45200 SABAK BERNAM SELANGOR   Selangor my 45200</t>
  </si>
  <si>
    <t>NVMY34535000003292</t>
  </si>
  <si>
    <t>ZAITON BT CHE DAUD</t>
  </si>
  <si>
    <t>LOT 345 KG PERMATANG RAMBAI 16800 PASIR PUTEH KELANTAN   Kelantan my 16800</t>
  </si>
  <si>
    <t>1A-PTH-5</t>
  </si>
  <si>
    <t>NVMY34535000003294</t>
  </si>
  <si>
    <t>AMIN</t>
  </si>
  <si>
    <t>NO 5 BLOK 2 JLN JUJUR 2 BANDAR TUN RAZAK 56000 WP KUALA LUMPUR   Kuala Lumpur my 56000</t>
  </si>
  <si>
    <t>12A-BTR-88</t>
  </si>
  <si>
    <t>NVMY34535000003299</t>
  </si>
  <si>
    <t>SAIFUL HASBULLAH (ACONG FASILITI)</t>
  </si>
  <si>
    <t>RUMAH STAF RESIDEN KOLEJ NO 3 , KOLEJ MAYANG SELIDA ,UNIVERSITI TEKNOLOGI MARA KAMPUS SEREMBAN 70300 SEREMBAN NEGERI SEMBILAN   Negeri Sembilan my 70300</t>
  </si>
  <si>
    <t>NVMY34535000003304</t>
  </si>
  <si>
    <t>Fatimahtul Zarah</t>
  </si>
  <si>
    <t>No 13, Persiaran Delima 4,Feldajaya Selatan Raja Alias, 72120, Bandar Seri Jempol, Negeri Sembilan    Negeri Sembilan my 72120</t>
  </si>
  <si>
    <t>NVMY34535000003305</t>
  </si>
  <si>
    <t>nur Athirah Syahirah binti Abdullah</t>
  </si>
  <si>
    <t xml:space="preserve"> 1-2-16 Gugusan Siantan seksyen 5 jalan sepah puteri 5/7, 47810 kota damansara petaling jaya, Selangor   Selangor my 47810</t>
  </si>
  <si>
    <t>NVMY34535000003303</t>
  </si>
  <si>
    <t>NUR SHAHIRAH BINTI SHAMSOL</t>
  </si>
  <si>
    <t>MCDONALD GENTING SEMPAH DT KAWASAN REHAT KM 38.4 KARAK EXPY GENTING SEMPAH 28750 BENTONG PAHANG   Pahang my 28750</t>
  </si>
  <si>
    <t>NVMY34535000003296</t>
  </si>
  <si>
    <t>RISKI CHA</t>
  </si>
  <si>
    <t>L32-205 PANDAN JAYA CHERAS 55100 KUALA LUMPUR  Kuala Lumpur  Kuala Lumpur my 55100</t>
  </si>
  <si>
    <t>NVMY34535000003293</t>
  </si>
  <si>
    <t>ALI AHMAD BIN AMINUDDIN</t>
  </si>
  <si>
    <t>NO 2 LORONG SG PULOH 8B TAMAN CEMPAKASARI, KLANG UTAMA 42100 SELANGOR   Selangor my 42100</t>
  </si>
  <si>
    <t>NVMY34535000003287</t>
  </si>
  <si>
    <t>QUDRATUL AIN AFIZA BINTI JAMALI</t>
  </si>
  <si>
    <t>NO 13 PEKAN BATU KITANG JALAN BATU KITANG 93250 KUCHING SARAWAK   Sarawak my 93250</t>
  </si>
  <si>
    <t>NVMY34535000003302</t>
  </si>
  <si>
    <t>SITI AISHAH BINTI SALLEH</t>
  </si>
  <si>
    <t>A-G-06 PANGSAPURI KEMPAS JALAN CHERAS HARTAMAS TAMAN SEGAR 43200 CHERAS SELANGOR   Selangor my 43200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</si>
</sst>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-* #,##0.00_-;\-* #,##0.00_-;_-* &quot;-&quot;??_-;_-@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rgb="FFF4B083"/>
        <bgColor rgb="FFF4B083"/>
      </patternFill>
    </fill>
    <fill>
      <patternFill patternType="solid">
        <fgColor rgb="FFFFD965"/>
        <bgColor rgb="FFFFD965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CCFF"/>
        <bgColor rgb="FFFFCCFF"/>
      </patternFill>
    </fill>
    <fill>
      <patternFill patternType="solid">
        <fgColor rgb="FFC1F7D3"/>
        <bgColor rgb="FFC1F7D3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0" borderId="0" xfId="0" applyFont="1"/>
    <xf numFmtId="0" fontId="3" fillId="2" borderId="0" xfId="0" applyFont="1" applyFill="1" applyAlignment="1">
      <alignment horizontal="center"/>
    </xf>
    <xf numFmtId="0" fontId="3" fillId="3" borderId="0" xfId="0" applyFont="1" applyFill="1"/>
    <xf numFmtId="0" fontId="1" fillId="4" borderId="0" xfId="0" applyFont="1" applyFill="1"/>
    <xf numFmtId="0" fontId="0" fillId="5" borderId="0" xfId="0" applyFill="1"/>
    <xf numFmtId="0" fontId="2" fillId="6" borderId="0" xfId="0" applyFont="1" applyFill="1"/>
    <xf numFmtId="164" fontId="3" fillId="7" borderId="0" xfId="0" applyNumberFormat="1" applyFont="1" applyFill="1" applyAlignment="1">
      <alignment horizontal="left"/>
    </xf>
    <xf numFmtId="0" fontId="3" fillId="8" borderId="0" xfId="0" applyFont="1" applyFill="1"/>
    <xf numFmtId="0" fontId="0" fillId="9" borderId="0" xfId="0" applyFill="1"/>
    <xf numFmtId="0" fontId="0" fillId="10" borderId="0" xfId="0" applyFill="1"/>
    <xf numFmtId="22" fontId="0" fillId="0" borderId="0" xfId="0" applyNumberFormat="1"/>
    <xf numFmtId="14" fontId="0" fillId="0" borderId="0" xfId="0" applyNumberFormat="1"/>
    <xf numFmtId="43" fontId="2" fillId="7" borderId="0" xfId="0" applyNumberFormat="1" applyFont="1" applyFill="1"/>
    <xf numFmtId="43" fontId="0" fillId="11" borderId="0" xfId="0" applyNumberFormat="1" applyFill="1"/>
    <xf numFmtId="164" fontId="2" fillId="6" borderId="0" xfId="0" applyNumberFormat="1" applyFont="1" applyFill="1"/>
    <xf numFmtId="4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ADC35-2E5C-4F8C-8D4D-0547A37D4BE4}">
  <dimension ref="A1:AN283"/>
  <sheetViews>
    <sheetView tabSelected="1" workbookViewId="0">
      <selection sqref="A1:AN281"/>
    </sheetView>
  </sheetViews>
  <sheetFormatPr defaultRowHeight="14.5" x14ac:dyDescent="0.35"/>
  <cols>
    <col min="1" max="40" width="9.08984375" customWidth="1"/>
  </cols>
  <sheetData>
    <row r="1" spans="1:40" ht="15" customHeight="1" x14ac:dyDescent="0.35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4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t="s">
        <v>14</v>
      </c>
      <c r="P1" s="5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6" t="s">
        <v>28</v>
      </c>
      <c r="AD1" s="7" t="s">
        <v>29</v>
      </c>
      <c r="AE1" s="7" t="s">
        <v>30</v>
      </c>
      <c r="AF1" s="7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8" t="s">
        <v>36</v>
      </c>
    </row>
    <row r="2" spans="1:40" ht="15" customHeight="1" x14ac:dyDescent="0.35">
      <c r="A2">
        <v>690929</v>
      </c>
      <c r="B2" t="s">
        <v>37</v>
      </c>
      <c r="C2" t="s">
        <v>38</v>
      </c>
      <c r="D2" s="2" t="s">
        <v>39</v>
      </c>
      <c r="E2" s="9" t="s">
        <v>37</v>
      </c>
      <c r="F2" s="10"/>
      <c r="G2" t="s">
        <v>40</v>
      </c>
      <c r="H2" t="s">
        <v>41</v>
      </c>
      <c r="I2" t="s">
        <v>42</v>
      </c>
      <c r="J2" t="s">
        <v>43</v>
      </c>
      <c r="K2" t="s">
        <v>44</v>
      </c>
      <c r="L2">
        <v>2</v>
      </c>
      <c r="M2" t="s">
        <v>45</v>
      </c>
      <c r="N2" t="s">
        <v>46</v>
      </c>
      <c r="O2" t="s">
        <v>47</v>
      </c>
      <c r="P2" s="5">
        <v>2</v>
      </c>
      <c r="Q2" s="11">
        <v>44848.663842592592</v>
      </c>
      <c r="R2" s="12">
        <v>44852</v>
      </c>
      <c r="S2" t="s">
        <v>41</v>
      </c>
      <c r="T2" t="s">
        <v>48</v>
      </c>
      <c r="U2" t="s">
        <v>49</v>
      </c>
      <c r="V2" t="s">
        <v>50</v>
      </c>
      <c r="Y2" t="s">
        <v>51</v>
      </c>
      <c r="Z2">
        <v>5350</v>
      </c>
      <c r="AA2" t="s">
        <v>48</v>
      </c>
      <c r="AB2" t="s">
        <v>52</v>
      </c>
      <c r="AC2" t="s">
        <v>53</v>
      </c>
      <c r="AD2" s="13">
        <f>IF(P2&lt;=1,7,7+0.8*ROUNDUP(P2-1,0))</f>
        <v>7.8</v>
      </c>
      <c r="AE2" s="14">
        <v>0</v>
      </c>
      <c r="AF2" s="14">
        <v>0</v>
      </c>
      <c r="AG2" s="14">
        <v>0</v>
      </c>
      <c r="AH2" s="14">
        <v>0</v>
      </c>
      <c r="AI2" s="14">
        <f t="shared" ref="AI2:AI65" si="0">(AD2+AF2+AH2)*6%</f>
        <v>0.46799999999999997</v>
      </c>
      <c r="AJ2" s="14">
        <f t="shared" ref="AJ2:AJ65" si="1">AD2+AF2+AH2+AI2</f>
        <v>8.2680000000000007</v>
      </c>
      <c r="AK2" t="s">
        <v>48</v>
      </c>
      <c r="AN2" s="12"/>
    </row>
    <row r="3" spans="1:40" ht="15" customHeight="1" x14ac:dyDescent="0.35">
      <c r="A3">
        <v>690929</v>
      </c>
      <c r="B3" t="s">
        <v>37</v>
      </c>
      <c r="C3" t="s">
        <v>38</v>
      </c>
      <c r="D3" s="2" t="s">
        <v>39</v>
      </c>
      <c r="E3" s="9" t="s">
        <v>37</v>
      </c>
      <c r="F3" s="10"/>
      <c r="G3" t="s">
        <v>54</v>
      </c>
      <c r="H3" t="s">
        <v>41</v>
      </c>
      <c r="I3" t="s">
        <v>42</v>
      </c>
      <c r="J3" t="s">
        <v>55</v>
      </c>
      <c r="K3" t="s">
        <v>44</v>
      </c>
      <c r="L3">
        <v>2</v>
      </c>
      <c r="M3" t="s">
        <v>45</v>
      </c>
      <c r="N3" t="s">
        <v>46</v>
      </c>
      <c r="O3" t="s">
        <v>47</v>
      </c>
      <c r="P3" s="5">
        <v>5</v>
      </c>
      <c r="Q3" s="11">
        <v>44850.567060185182</v>
      </c>
      <c r="R3" s="12">
        <v>44852</v>
      </c>
      <c r="S3" t="s">
        <v>41</v>
      </c>
      <c r="T3" t="s">
        <v>48</v>
      </c>
      <c r="U3" t="s">
        <v>49</v>
      </c>
      <c r="V3" t="s">
        <v>56</v>
      </c>
      <c r="Y3" t="s">
        <v>57</v>
      </c>
      <c r="Z3">
        <v>83000</v>
      </c>
      <c r="AA3" t="s">
        <v>48</v>
      </c>
      <c r="AB3" t="s">
        <v>58</v>
      </c>
      <c r="AC3" t="s">
        <v>53</v>
      </c>
      <c r="AD3" s="13">
        <f>IF(P3&lt;=1,7,7+0.8*ROUNDUP(P3-1,0))</f>
        <v>10.199999999999999</v>
      </c>
      <c r="AE3" s="14">
        <v>0</v>
      </c>
      <c r="AF3" s="14">
        <v>0</v>
      </c>
      <c r="AG3" s="14">
        <v>0</v>
      </c>
      <c r="AH3" s="14">
        <v>0</v>
      </c>
      <c r="AI3" s="14">
        <f t="shared" si="0"/>
        <v>0.61199999999999999</v>
      </c>
      <c r="AJ3" s="14">
        <f t="shared" si="1"/>
        <v>10.811999999999999</v>
      </c>
      <c r="AK3" t="s">
        <v>48</v>
      </c>
      <c r="AN3" s="12"/>
    </row>
    <row r="4" spans="1:40" ht="15" customHeight="1" x14ac:dyDescent="0.35">
      <c r="A4">
        <v>690929</v>
      </c>
      <c r="B4" t="s">
        <v>37</v>
      </c>
      <c r="C4" t="s">
        <v>38</v>
      </c>
      <c r="D4" s="2" t="s">
        <v>39</v>
      </c>
      <c r="E4" s="9" t="s">
        <v>37</v>
      </c>
      <c r="F4" s="10"/>
      <c r="G4" t="s">
        <v>59</v>
      </c>
      <c r="H4" t="s">
        <v>41</v>
      </c>
      <c r="I4" t="s">
        <v>42</v>
      </c>
      <c r="J4" t="s">
        <v>60</v>
      </c>
      <c r="K4" t="s">
        <v>44</v>
      </c>
      <c r="L4">
        <v>2</v>
      </c>
      <c r="M4" t="s">
        <v>45</v>
      </c>
      <c r="N4" t="s">
        <v>46</v>
      </c>
      <c r="O4" t="s">
        <v>47</v>
      </c>
      <c r="P4" s="5">
        <v>2</v>
      </c>
      <c r="Q4" s="11">
        <v>44849.737118055556</v>
      </c>
      <c r="R4" s="12">
        <v>44852</v>
      </c>
      <c r="S4" t="s">
        <v>41</v>
      </c>
      <c r="T4" t="s">
        <v>48</v>
      </c>
      <c r="U4" t="s">
        <v>49</v>
      </c>
      <c r="V4" t="s">
        <v>61</v>
      </c>
      <c r="Y4" t="s">
        <v>62</v>
      </c>
      <c r="Z4">
        <v>46000</v>
      </c>
      <c r="AA4" t="s">
        <v>48</v>
      </c>
      <c r="AB4" t="s">
        <v>49</v>
      </c>
      <c r="AC4" t="s">
        <v>53</v>
      </c>
      <c r="AD4" s="13">
        <f>IF(P4&lt;=1,7,7+0.8*ROUNDUP(P4-1,0))</f>
        <v>7.8</v>
      </c>
      <c r="AE4" s="14">
        <v>0</v>
      </c>
      <c r="AF4" s="14">
        <v>0</v>
      </c>
      <c r="AG4" s="14">
        <v>0</v>
      </c>
      <c r="AH4" s="14">
        <v>0</v>
      </c>
      <c r="AI4" s="14">
        <f t="shared" si="0"/>
        <v>0.46799999999999997</v>
      </c>
      <c r="AJ4" s="14">
        <f t="shared" si="1"/>
        <v>8.2680000000000007</v>
      </c>
      <c r="AK4" t="s">
        <v>48</v>
      </c>
      <c r="AN4" s="12"/>
    </row>
    <row r="5" spans="1:40" ht="15" customHeight="1" x14ac:dyDescent="0.35">
      <c r="A5">
        <v>690929</v>
      </c>
      <c r="B5" t="s">
        <v>37</v>
      </c>
      <c r="C5" t="s">
        <v>38</v>
      </c>
      <c r="D5" s="2" t="s">
        <v>39</v>
      </c>
      <c r="E5" s="9" t="s">
        <v>37</v>
      </c>
      <c r="F5" s="10"/>
      <c r="G5" t="s">
        <v>63</v>
      </c>
      <c r="H5" t="s">
        <v>41</v>
      </c>
      <c r="I5" t="s">
        <v>42</v>
      </c>
      <c r="J5" t="s">
        <v>64</v>
      </c>
      <c r="K5" t="s">
        <v>44</v>
      </c>
      <c r="L5">
        <v>2</v>
      </c>
      <c r="M5" t="s">
        <v>45</v>
      </c>
      <c r="N5" t="s">
        <v>46</v>
      </c>
      <c r="O5" t="s">
        <v>47</v>
      </c>
      <c r="P5" s="5">
        <v>2</v>
      </c>
      <c r="Q5" s="11">
        <v>44848.659178240741</v>
      </c>
      <c r="R5" s="12">
        <v>44852</v>
      </c>
      <c r="S5" t="s">
        <v>41</v>
      </c>
      <c r="T5" t="s">
        <v>48</v>
      </c>
      <c r="U5" t="s">
        <v>49</v>
      </c>
      <c r="V5" t="s">
        <v>56</v>
      </c>
      <c r="Y5" t="s">
        <v>65</v>
      </c>
      <c r="Z5">
        <v>86000</v>
      </c>
      <c r="AA5" t="s">
        <v>48</v>
      </c>
      <c r="AB5" t="s">
        <v>52</v>
      </c>
      <c r="AC5" t="s">
        <v>53</v>
      </c>
      <c r="AD5" s="13">
        <f>IF(P5&lt;=1,7,7+0.8*ROUNDUP(P5-1,0))</f>
        <v>7.8</v>
      </c>
      <c r="AE5" s="14">
        <v>0</v>
      </c>
      <c r="AF5" s="14">
        <v>0</v>
      </c>
      <c r="AG5" s="14">
        <v>0</v>
      </c>
      <c r="AH5" s="14">
        <v>0</v>
      </c>
      <c r="AI5" s="14">
        <f t="shared" si="0"/>
        <v>0.46799999999999997</v>
      </c>
      <c r="AJ5" s="14">
        <f t="shared" si="1"/>
        <v>8.2680000000000007</v>
      </c>
      <c r="AK5" t="s">
        <v>48</v>
      </c>
      <c r="AN5" s="12"/>
    </row>
    <row r="6" spans="1:40" ht="15" customHeight="1" x14ac:dyDescent="0.35">
      <c r="A6">
        <v>690929</v>
      </c>
      <c r="B6" t="s">
        <v>37</v>
      </c>
      <c r="C6" t="s">
        <v>38</v>
      </c>
      <c r="D6" s="2" t="s">
        <v>39</v>
      </c>
      <c r="E6" s="9" t="s">
        <v>37</v>
      </c>
      <c r="F6" s="10"/>
      <c r="G6" t="s">
        <v>66</v>
      </c>
      <c r="H6" t="s">
        <v>41</v>
      </c>
      <c r="I6" t="s">
        <v>42</v>
      </c>
      <c r="J6" t="s">
        <v>67</v>
      </c>
      <c r="K6" t="s">
        <v>44</v>
      </c>
      <c r="L6">
        <v>2</v>
      </c>
      <c r="M6" t="s">
        <v>45</v>
      </c>
      <c r="N6" t="s">
        <v>46</v>
      </c>
      <c r="O6" t="s">
        <v>47</v>
      </c>
      <c r="P6" s="5">
        <v>1</v>
      </c>
      <c r="Q6" s="11">
        <v>44850.578206018516</v>
      </c>
      <c r="R6" s="12">
        <v>44852</v>
      </c>
      <c r="S6" t="s">
        <v>41</v>
      </c>
      <c r="T6" t="s">
        <v>48</v>
      </c>
      <c r="U6" t="s">
        <v>49</v>
      </c>
      <c r="V6" t="s">
        <v>68</v>
      </c>
      <c r="Y6" t="s">
        <v>69</v>
      </c>
      <c r="Z6">
        <v>75450</v>
      </c>
      <c r="AA6" t="s">
        <v>48</v>
      </c>
      <c r="AB6" t="s">
        <v>49</v>
      </c>
      <c r="AC6" t="s">
        <v>53</v>
      </c>
      <c r="AD6" s="13">
        <f>IF(P6&lt;=1,7,7+0.8*ROUNDUP(P6-1,0))</f>
        <v>7</v>
      </c>
      <c r="AE6" s="14">
        <v>0</v>
      </c>
      <c r="AF6" s="14">
        <v>0</v>
      </c>
      <c r="AG6" s="14">
        <v>0</v>
      </c>
      <c r="AH6" s="14">
        <v>0</v>
      </c>
      <c r="AI6" s="14">
        <f t="shared" si="0"/>
        <v>0.42</v>
      </c>
      <c r="AJ6" s="14">
        <f t="shared" si="1"/>
        <v>7.42</v>
      </c>
      <c r="AK6" t="s">
        <v>48</v>
      </c>
      <c r="AN6" s="12"/>
    </row>
    <row r="7" spans="1:40" ht="15" customHeight="1" x14ac:dyDescent="0.35">
      <c r="A7">
        <v>690929</v>
      </c>
      <c r="B7" t="s">
        <v>37</v>
      </c>
      <c r="C7" t="s">
        <v>38</v>
      </c>
      <c r="D7" s="2" t="s">
        <v>39</v>
      </c>
      <c r="E7" s="9" t="s">
        <v>37</v>
      </c>
      <c r="F7" s="10"/>
      <c r="G7" t="s">
        <v>70</v>
      </c>
      <c r="H7" t="s">
        <v>41</v>
      </c>
      <c r="I7" t="s">
        <v>42</v>
      </c>
      <c r="J7" t="s">
        <v>71</v>
      </c>
      <c r="K7" t="s">
        <v>44</v>
      </c>
      <c r="L7">
        <v>2</v>
      </c>
      <c r="M7" t="s">
        <v>45</v>
      </c>
      <c r="N7" t="s">
        <v>46</v>
      </c>
      <c r="O7" t="s">
        <v>47</v>
      </c>
      <c r="P7" s="5">
        <v>2</v>
      </c>
      <c r="Q7" s="11">
        <v>44848.648090277777</v>
      </c>
      <c r="R7" s="12">
        <v>44852</v>
      </c>
      <c r="S7" t="s">
        <v>41</v>
      </c>
      <c r="T7" t="s">
        <v>48</v>
      </c>
      <c r="U7" t="s">
        <v>49</v>
      </c>
      <c r="V7" t="s">
        <v>72</v>
      </c>
      <c r="Y7" t="s">
        <v>73</v>
      </c>
      <c r="Z7">
        <v>11010</v>
      </c>
      <c r="AA7" t="s">
        <v>48</v>
      </c>
      <c r="AB7" t="s">
        <v>74</v>
      </c>
      <c r="AC7" t="s">
        <v>53</v>
      </c>
      <c r="AD7" s="13">
        <f>IF(P7&lt;=1,7,7+0.8*ROUNDUP(P7-1,0))</f>
        <v>7.8</v>
      </c>
      <c r="AE7" s="14">
        <v>0</v>
      </c>
      <c r="AF7" s="14">
        <v>0</v>
      </c>
      <c r="AG7" s="14">
        <v>0</v>
      </c>
      <c r="AH7" s="14">
        <v>0</v>
      </c>
      <c r="AI7" s="14">
        <f t="shared" si="0"/>
        <v>0.46799999999999997</v>
      </c>
      <c r="AJ7" s="14">
        <f t="shared" si="1"/>
        <v>8.2680000000000007</v>
      </c>
      <c r="AK7" t="s">
        <v>48</v>
      </c>
      <c r="AN7" s="12"/>
    </row>
    <row r="8" spans="1:40" ht="15" customHeight="1" x14ac:dyDescent="0.35">
      <c r="A8">
        <v>690929</v>
      </c>
      <c r="B8" t="s">
        <v>37</v>
      </c>
      <c r="C8" t="s">
        <v>38</v>
      </c>
      <c r="D8" s="2" t="s">
        <v>39</v>
      </c>
      <c r="E8" s="9" t="s">
        <v>37</v>
      </c>
      <c r="F8" s="10"/>
      <c r="G8" t="s">
        <v>75</v>
      </c>
      <c r="H8" t="s">
        <v>41</v>
      </c>
      <c r="I8" t="s">
        <v>42</v>
      </c>
      <c r="J8" t="s">
        <v>76</v>
      </c>
      <c r="K8" t="s">
        <v>44</v>
      </c>
      <c r="L8">
        <v>2</v>
      </c>
      <c r="M8" t="s">
        <v>45</v>
      </c>
      <c r="N8" t="s">
        <v>46</v>
      </c>
      <c r="O8" t="s">
        <v>47</v>
      </c>
      <c r="P8" s="5">
        <v>5</v>
      </c>
      <c r="Q8" s="11">
        <v>44849.574097222219</v>
      </c>
      <c r="R8" s="12">
        <v>44852</v>
      </c>
      <c r="S8" t="s">
        <v>41</v>
      </c>
      <c r="T8" t="s">
        <v>48</v>
      </c>
      <c r="U8" t="s">
        <v>49</v>
      </c>
      <c r="V8" t="s">
        <v>72</v>
      </c>
      <c r="Y8" t="s">
        <v>77</v>
      </c>
      <c r="Z8">
        <v>11060</v>
      </c>
      <c r="AA8" t="s">
        <v>48</v>
      </c>
      <c r="AB8" t="s">
        <v>78</v>
      </c>
      <c r="AC8" t="s">
        <v>53</v>
      </c>
      <c r="AD8" s="13">
        <f>IF(P8&lt;=1,7,7+0.8*ROUNDUP(P8-1,0))</f>
        <v>10.199999999999999</v>
      </c>
      <c r="AE8" s="14">
        <v>0</v>
      </c>
      <c r="AF8" s="14">
        <v>0</v>
      </c>
      <c r="AG8" s="14">
        <v>0</v>
      </c>
      <c r="AH8" s="14">
        <v>0</v>
      </c>
      <c r="AI8" s="14">
        <f t="shared" si="0"/>
        <v>0.61199999999999999</v>
      </c>
      <c r="AJ8" s="14">
        <f t="shared" si="1"/>
        <v>10.811999999999999</v>
      </c>
      <c r="AK8" t="s">
        <v>48</v>
      </c>
      <c r="AN8" s="12"/>
    </row>
    <row r="9" spans="1:40" ht="15" customHeight="1" x14ac:dyDescent="0.35">
      <c r="A9">
        <v>690929</v>
      </c>
      <c r="B9" t="s">
        <v>37</v>
      </c>
      <c r="C9" t="s">
        <v>38</v>
      </c>
      <c r="D9" s="2" t="s">
        <v>39</v>
      </c>
      <c r="E9" s="9" t="s">
        <v>37</v>
      </c>
      <c r="F9" s="10"/>
      <c r="G9" t="s">
        <v>79</v>
      </c>
      <c r="H9" t="s">
        <v>41</v>
      </c>
      <c r="I9" t="s">
        <v>42</v>
      </c>
      <c r="J9" t="s">
        <v>80</v>
      </c>
      <c r="K9" t="s">
        <v>44</v>
      </c>
      <c r="L9">
        <v>2</v>
      </c>
      <c r="M9" t="s">
        <v>45</v>
      </c>
      <c r="N9" t="s">
        <v>46</v>
      </c>
      <c r="O9" t="s">
        <v>47</v>
      </c>
      <c r="P9" s="5">
        <v>1</v>
      </c>
      <c r="Q9" s="11">
        <v>44850.57309027778</v>
      </c>
      <c r="R9" s="12">
        <v>44853</v>
      </c>
      <c r="S9" t="s">
        <v>41</v>
      </c>
      <c r="T9" t="s">
        <v>48</v>
      </c>
      <c r="U9" t="s">
        <v>49</v>
      </c>
      <c r="V9" t="s">
        <v>61</v>
      </c>
      <c r="Y9" t="s">
        <v>81</v>
      </c>
      <c r="Z9">
        <v>43000</v>
      </c>
      <c r="AA9" t="s">
        <v>48</v>
      </c>
      <c r="AB9" t="s">
        <v>49</v>
      </c>
      <c r="AC9" t="s">
        <v>53</v>
      </c>
      <c r="AD9" s="13">
        <f>IF(P9&lt;=1,7,7+0.8*ROUNDUP(P9-1,0))</f>
        <v>7</v>
      </c>
      <c r="AE9" s="14">
        <v>0</v>
      </c>
      <c r="AF9" s="14">
        <v>0</v>
      </c>
      <c r="AG9" s="14">
        <v>0</v>
      </c>
      <c r="AH9" s="14">
        <v>0</v>
      </c>
      <c r="AI9" s="14">
        <f t="shared" si="0"/>
        <v>0.42</v>
      </c>
      <c r="AJ9" s="14">
        <f t="shared" si="1"/>
        <v>7.42</v>
      </c>
      <c r="AK9" t="s">
        <v>48</v>
      </c>
      <c r="AN9" s="12"/>
    </row>
    <row r="10" spans="1:40" ht="15" customHeight="1" x14ac:dyDescent="0.35">
      <c r="A10">
        <v>690929</v>
      </c>
      <c r="B10" t="s">
        <v>37</v>
      </c>
      <c r="C10" t="s">
        <v>38</v>
      </c>
      <c r="D10" s="2" t="s">
        <v>39</v>
      </c>
      <c r="E10" s="9" t="s">
        <v>37</v>
      </c>
      <c r="F10" s="10"/>
      <c r="G10" t="s">
        <v>82</v>
      </c>
      <c r="H10" t="s">
        <v>41</v>
      </c>
      <c r="I10" t="s">
        <v>42</v>
      </c>
      <c r="J10" t="s">
        <v>83</v>
      </c>
      <c r="K10" t="s">
        <v>44</v>
      </c>
      <c r="L10">
        <v>2</v>
      </c>
      <c r="M10" t="s">
        <v>45</v>
      </c>
      <c r="N10" t="s">
        <v>46</v>
      </c>
      <c r="O10" t="s">
        <v>47</v>
      </c>
      <c r="P10" s="5">
        <v>1</v>
      </c>
      <c r="Q10" s="11">
        <v>44851.59747685185</v>
      </c>
      <c r="R10" s="12">
        <v>44853</v>
      </c>
      <c r="S10" t="s">
        <v>41</v>
      </c>
      <c r="T10" t="s">
        <v>48</v>
      </c>
      <c r="U10" t="s">
        <v>49</v>
      </c>
      <c r="V10" t="s">
        <v>61</v>
      </c>
      <c r="Y10" t="s">
        <v>84</v>
      </c>
      <c r="Z10">
        <v>47301</v>
      </c>
      <c r="AA10" t="s">
        <v>48</v>
      </c>
      <c r="AB10" t="s">
        <v>49</v>
      </c>
      <c r="AC10" t="s">
        <v>53</v>
      </c>
      <c r="AD10" s="13">
        <f>IF(P10&lt;=1,7,7+0.8*ROUNDUP(P10-1,0))</f>
        <v>7</v>
      </c>
      <c r="AE10" s="14">
        <v>0</v>
      </c>
      <c r="AF10" s="14">
        <v>0</v>
      </c>
      <c r="AG10" s="14">
        <v>0</v>
      </c>
      <c r="AH10" s="14">
        <v>0</v>
      </c>
      <c r="AI10" s="14">
        <f t="shared" si="0"/>
        <v>0.42</v>
      </c>
      <c r="AJ10" s="14">
        <f t="shared" si="1"/>
        <v>7.42</v>
      </c>
      <c r="AK10" t="s">
        <v>48</v>
      </c>
      <c r="AN10" s="12"/>
    </row>
    <row r="11" spans="1:40" ht="15" customHeight="1" x14ac:dyDescent="0.35">
      <c r="A11">
        <v>690929</v>
      </c>
      <c r="B11" t="s">
        <v>37</v>
      </c>
      <c r="C11" t="s">
        <v>38</v>
      </c>
      <c r="D11" s="2" t="s">
        <v>39</v>
      </c>
      <c r="E11" s="9" t="s">
        <v>37</v>
      </c>
      <c r="F11" s="10"/>
      <c r="G11" t="s">
        <v>85</v>
      </c>
      <c r="H11" t="s">
        <v>41</v>
      </c>
      <c r="I11" t="s">
        <v>42</v>
      </c>
      <c r="J11" t="s">
        <v>86</v>
      </c>
      <c r="K11" t="s">
        <v>44</v>
      </c>
      <c r="L11">
        <v>2</v>
      </c>
      <c r="M11" t="s">
        <v>45</v>
      </c>
      <c r="N11" t="s">
        <v>46</v>
      </c>
      <c r="O11" t="s">
        <v>47</v>
      </c>
      <c r="P11" s="5">
        <v>12</v>
      </c>
      <c r="Q11" s="11">
        <v>44852.401875000003</v>
      </c>
      <c r="R11" s="12">
        <v>44853</v>
      </c>
      <c r="S11" t="s">
        <v>41</v>
      </c>
      <c r="T11" t="s">
        <v>48</v>
      </c>
      <c r="U11" t="s">
        <v>49</v>
      </c>
      <c r="V11" t="s">
        <v>87</v>
      </c>
      <c r="Y11" t="s">
        <v>88</v>
      </c>
      <c r="Z11">
        <v>21450</v>
      </c>
      <c r="AA11" t="s">
        <v>48</v>
      </c>
      <c r="AB11" t="s">
        <v>89</v>
      </c>
      <c r="AC11" t="s">
        <v>53</v>
      </c>
      <c r="AD11" s="13">
        <f>IF(P11&lt;=1,7,7+0.8*ROUNDUP(P11-1,0))</f>
        <v>15.8</v>
      </c>
      <c r="AE11" s="14">
        <v>0</v>
      </c>
      <c r="AF11" s="14">
        <v>0</v>
      </c>
      <c r="AG11" s="14">
        <v>0</v>
      </c>
      <c r="AH11" s="14">
        <v>0</v>
      </c>
      <c r="AI11" s="14">
        <f t="shared" si="0"/>
        <v>0.94799999999999995</v>
      </c>
      <c r="AJ11" s="14">
        <f t="shared" si="1"/>
        <v>16.748000000000001</v>
      </c>
      <c r="AK11" t="s">
        <v>48</v>
      </c>
      <c r="AN11" s="12"/>
    </row>
    <row r="12" spans="1:40" ht="15" customHeight="1" x14ac:dyDescent="0.35">
      <c r="A12">
        <v>690929</v>
      </c>
      <c r="B12" t="s">
        <v>37</v>
      </c>
      <c r="C12" t="s">
        <v>38</v>
      </c>
      <c r="D12" s="2" t="s">
        <v>39</v>
      </c>
      <c r="E12" s="9" t="s">
        <v>37</v>
      </c>
      <c r="F12" s="10"/>
      <c r="G12" t="s">
        <v>90</v>
      </c>
      <c r="H12" t="s">
        <v>41</v>
      </c>
      <c r="I12" t="s">
        <v>42</v>
      </c>
      <c r="J12" t="s">
        <v>91</v>
      </c>
      <c r="K12" t="s">
        <v>44</v>
      </c>
      <c r="L12">
        <v>2</v>
      </c>
      <c r="M12" t="s">
        <v>45</v>
      </c>
      <c r="N12" t="s">
        <v>46</v>
      </c>
      <c r="O12" t="s">
        <v>47</v>
      </c>
      <c r="P12" s="5">
        <v>7</v>
      </c>
      <c r="Q12" s="11">
        <v>44850.599791666667</v>
      </c>
      <c r="R12" s="12">
        <v>44853</v>
      </c>
      <c r="S12" t="s">
        <v>41</v>
      </c>
      <c r="T12" t="s">
        <v>48</v>
      </c>
      <c r="U12" t="s">
        <v>49</v>
      </c>
      <c r="V12" t="s">
        <v>92</v>
      </c>
      <c r="Y12" t="s">
        <v>93</v>
      </c>
      <c r="Z12">
        <v>90000</v>
      </c>
      <c r="AA12" t="s">
        <v>94</v>
      </c>
      <c r="AB12" t="s">
        <v>52</v>
      </c>
      <c r="AC12" t="s">
        <v>53</v>
      </c>
      <c r="AD12" s="15">
        <f>IF(P12&lt;=1,13,IF(P12&lt;=2,23,IF(P12&lt;=3,35,IF(P12&lt;=4,43,IF(P12&lt;=5,53,IF(P12&lt;=6,63,IF(P12&lt;=7,71,IF(P12&lt;=8,79,IF(P12&lt;=9,87,IF(P12&lt;=10,95,IF(P12&lt;=11,105,IF(P12&lt;=12,114,IF(P12&lt;=13,119,IF(P12&lt;=14,127,IF(P12&lt;=15,135,IF(P12&lt;=16,143,IF(P12&lt;=17,153,IF(P12&lt;=18,163,IF(P12&lt;=19,171,IF(P12&lt;=20,185,IF(P12&lt;=21,193,IF(P12&lt;=22,201,IF(P12&lt;=23,210,IF(P12&lt;=24,220,IF(P12&lt;=25,230,IF(P12&lt;=26,240,IF(P12&lt;=27,250,IF(P12&lt;=28,260,IF(P12&lt;=29,270,IF(P12&lt;=30,280,280))))))))))))))))))))))))))))))</f>
        <v>71</v>
      </c>
      <c r="AE12" s="14">
        <v>0</v>
      </c>
      <c r="AF12" s="14">
        <v>0</v>
      </c>
      <c r="AG12" s="14">
        <v>0</v>
      </c>
      <c r="AH12" s="14">
        <v>0</v>
      </c>
      <c r="AI12" s="14">
        <f t="shared" si="0"/>
        <v>4.26</v>
      </c>
      <c r="AJ12" s="14">
        <f t="shared" si="1"/>
        <v>75.260000000000005</v>
      </c>
      <c r="AK12" t="s">
        <v>94</v>
      </c>
      <c r="AN12" s="12"/>
    </row>
    <row r="13" spans="1:40" ht="15" customHeight="1" x14ac:dyDescent="0.35">
      <c r="A13">
        <v>690929</v>
      </c>
      <c r="B13" t="s">
        <v>37</v>
      </c>
      <c r="C13" t="s">
        <v>38</v>
      </c>
      <c r="D13" s="2" t="s">
        <v>39</v>
      </c>
      <c r="E13" s="9" t="s">
        <v>37</v>
      </c>
      <c r="F13" s="10"/>
      <c r="G13" t="s">
        <v>95</v>
      </c>
      <c r="H13" t="s">
        <v>41</v>
      </c>
      <c r="I13" t="s">
        <v>42</v>
      </c>
      <c r="J13" t="s">
        <v>96</v>
      </c>
      <c r="K13" t="s">
        <v>44</v>
      </c>
      <c r="L13">
        <v>2</v>
      </c>
      <c r="M13" t="s">
        <v>45</v>
      </c>
      <c r="N13" t="s">
        <v>46</v>
      </c>
      <c r="O13" t="s">
        <v>47</v>
      </c>
      <c r="P13" s="5">
        <v>1</v>
      </c>
      <c r="Q13" s="11">
        <v>44850.728506944448</v>
      </c>
      <c r="R13" s="12">
        <v>44853</v>
      </c>
      <c r="S13" t="s">
        <v>41</v>
      </c>
      <c r="T13" t="s">
        <v>48</v>
      </c>
      <c r="U13" t="s">
        <v>49</v>
      </c>
      <c r="V13" t="s">
        <v>68</v>
      </c>
      <c r="Y13" t="s">
        <v>97</v>
      </c>
      <c r="Z13">
        <v>78300</v>
      </c>
      <c r="AA13" t="s">
        <v>48</v>
      </c>
      <c r="AB13" t="s">
        <v>49</v>
      </c>
      <c r="AC13" t="s">
        <v>53</v>
      </c>
      <c r="AD13" s="13">
        <f>IF(P13&lt;=1,7,7+0.8*ROUNDUP(P13-1,0))</f>
        <v>7</v>
      </c>
      <c r="AE13" s="14">
        <v>0</v>
      </c>
      <c r="AF13" s="14">
        <v>0</v>
      </c>
      <c r="AG13" s="14">
        <v>0</v>
      </c>
      <c r="AH13" s="14">
        <v>0</v>
      </c>
      <c r="AI13" s="14">
        <f t="shared" si="0"/>
        <v>0.42</v>
      </c>
      <c r="AJ13" s="14">
        <f t="shared" si="1"/>
        <v>7.42</v>
      </c>
      <c r="AK13" t="s">
        <v>48</v>
      </c>
      <c r="AN13" s="12"/>
    </row>
    <row r="14" spans="1:40" ht="15" customHeight="1" x14ac:dyDescent="0.35">
      <c r="A14">
        <v>690929</v>
      </c>
      <c r="B14" t="s">
        <v>37</v>
      </c>
      <c r="C14" t="s">
        <v>38</v>
      </c>
      <c r="D14" s="2" t="s">
        <v>39</v>
      </c>
      <c r="E14" s="9" t="s">
        <v>37</v>
      </c>
      <c r="F14" s="10"/>
      <c r="G14" t="s">
        <v>98</v>
      </c>
      <c r="H14" t="s">
        <v>41</v>
      </c>
      <c r="I14" t="s">
        <v>42</v>
      </c>
      <c r="J14" t="s">
        <v>99</v>
      </c>
      <c r="K14" t="s">
        <v>44</v>
      </c>
      <c r="L14">
        <v>2</v>
      </c>
      <c r="M14" t="s">
        <v>45</v>
      </c>
      <c r="N14" t="s">
        <v>46</v>
      </c>
      <c r="O14" t="s">
        <v>47</v>
      </c>
      <c r="P14" s="5">
        <v>1</v>
      </c>
      <c r="Q14" s="11">
        <v>44851.444768518515</v>
      </c>
      <c r="R14" s="12">
        <v>44853</v>
      </c>
      <c r="S14" t="s">
        <v>41</v>
      </c>
      <c r="T14" t="s">
        <v>48</v>
      </c>
      <c r="U14" t="s">
        <v>49</v>
      </c>
      <c r="V14" t="s">
        <v>50</v>
      </c>
      <c r="Y14" t="s">
        <v>100</v>
      </c>
      <c r="Z14">
        <v>9400</v>
      </c>
      <c r="AA14" t="s">
        <v>48</v>
      </c>
      <c r="AB14" t="s">
        <v>49</v>
      </c>
      <c r="AC14" t="s">
        <v>53</v>
      </c>
      <c r="AD14" s="13">
        <f>IF(P14&lt;=1,7,7+0.8*ROUNDUP(P14-1,0))</f>
        <v>7</v>
      </c>
      <c r="AE14" s="14">
        <v>0</v>
      </c>
      <c r="AF14" s="14">
        <v>0</v>
      </c>
      <c r="AG14" s="14">
        <v>0</v>
      </c>
      <c r="AH14" s="14">
        <v>0</v>
      </c>
      <c r="AI14" s="14">
        <f t="shared" si="0"/>
        <v>0.42</v>
      </c>
      <c r="AJ14" s="14">
        <f t="shared" si="1"/>
        <v>7.42</v>
      </c>
      <c r="AK14" t="s">
        <v>48</v>
      </c>
      <c r="AN14" s="12"/>
    </row>
    <row r="15" spans="1:40" ht="15" customHeight="1" x14ac:dyDescent="0.35">
      <c r="A15">
        <v>690929</v>
      </c>
      <c r="B15" t="s">
        <v>37</v>
      </c>
      <c r="C15" t="s">
        <v>38</v>
      </c>
      <c r="D15" s="2" t="s">
        <v>39</v>
      </c>
      <c r="E15" s="9" t="s">
        <v>37</v>
      </c>
      <c r="F15" s="10"/>
      <c r="G15" t="s">
        <v>101</v>
      </c>
      <c r="H15" t="s">
        <v>41</v>
      </c>
      <c r="I15" t="s">
        <v>42</v>
      </c>
      <c r="J15" t="s">
        <v>102</v>
      </c>
      <c r="K15" t="s">
        <v>44</v>
      </c>
      <c r="L15">
        <v>2</v>
      </c>
      <c r="M15" t="s">
        <v>45</v>
      </c>
      <c r="N15" t="s">
        <v>46</v>
      </c>
      <c r="O15" t="s">
        <v>47</v>
      </c>
      <c r="P15" s="5">
        <v>1</v>
      </c>
      <c r="Q15" s="11">
        <v>44852.382523148146</v>
      </c>
      <c r="R15" s="12">
        <v>44853</v>
      </c>
      <c r="S15" t="s">
        <v>41</v>
      </c>
      <c r="T15" t="s">
        <v>48</v>
      </c>
      <c r="U15" t="s">
        <v>49</v>
      </c>
      <c r="V15" t="s">
        <v>87</v>
      </c>
      <c r="Y15" t="s">
        <v>103</v>
      </c>
      <c r="Z15">
        <v>22010</v>
      </c>
      <c r="AA15" t="s">
        <v>48</v>
      </c>
      <c r="AB15" t="s">
        <v>104</v>
      </c>
      <c r="AC15" t="s">
        <v>53</v>
      </c>
      <c r="AD15" s="13">
        <f>IF(P15&lt;=1,7,7+0.8*ROUNDUP(P15-1,0))</f>
        <v>7</v>
      </c>
      <c r="AE15" s="14">
        <v>0</v>
      </c>
      <c r="AF15" s="14">
        <v>0</v>
      </c>
      <c r="AG15" s="14">
        <v>0</v>
      </c>
      <c r="AH15" s="14">
        <v>0</v>
      </c>
      <c r="AI15" s="14">
        <f t="shared" si="0"/>
        <v>0.42</v>
      </c>
      <c r="AJ15" s="14">
        <f t="shared" si="1"/>
        <v>7.42</v>
      </c>
      <c r="AK15" t="s">
        <v>48</v>
      </c>
      <c r="AN15" s="12"/>
    </row>
    <row r="16" spans="1:40" ht="15" customHeight="1" x14ac:dyDescent="0.35">
      <c r="A16">
        <v>690929</v>
      </c>
      <c r="B16" t="s">
        <v>37</v>
      </c>
      <c r="C16" t="s">
        <v>38</v>
      </c>
      <c r="D16" s="2" t="s">
        <v>39</v>
      </c>
      <c r="E16" s="9" t="s">
        <v>37</v>
      </c>
      <c r="F16" s="10"/>
      <c r="G16" t="s">
        <v>105</v>
      </c>
      <c r="H16" t="s">
        <v>41</v>
      </c>
      <c r="I16" t="s">
        <v>42</v>
      </c>
      <c r="J16" t="s">
        <v>106</v>
      </c>
      <c r="K16" t="s">
        <v>44</v>
      </c>
      <c r="L16">
        <v>2</v>
      </c>
      <c r="M16" t="s">
        <v>45</v>
      </c>
      <c r="N16" t="s">
        <v>46</v>
      </c>
      <c r="O16" t="s">
        <v>47</v>
      </c>
      <c r="P16" s="5">
        <v>1</v>
      </c>
      <c r="Q16" s="11">
        <v>44851.60659722222</v>
      </c>
      <c r="R16" s="12">
        <v>44853</v>
      </c>
      <c r="S16" t="s">
        <v>41</v>
      </c>
      <c r="T16" t="s">
        <v>48</v>
      </c>
      <c r="U16" t="s">
        <v>49</v>
      </c>
      <c r="V16" t="s">
        <v>56</v>
      </c>
      <c r="Y16" t="s">
        <v>107</v>
      </c>
      <c r="Z16">
        <v>83500</v>
      </c>
      <c r="AA16" t="s">
        <v>48</v>
      </c>
      <c r="AB16" t="s">
        <v>49</v>
      </c>
      <c r="AC16" t="s">
        <v>53</v>
      </c>
      <c r="AD16" s="13">
        <f>IF(P16&lt;=1,7,7+0.8*ROUNDUP(P16-1,0))</f>
        <v>7</v>
      </c>
      <c r="AE16" s="14">
        <v>0</v>
      </c>
      <c r="AF16" s="14">
        <v>0</v>
      </c>
      <c r="AG16" s="14">
        <v>0</v>
      </c>
      <c r="AH16" s="14">
        <v>0</v>
      </c>
      <c r="AI16" s="14">
        <f t="shared" si="0"/>
        <v>0.42</v>
      </c>
      <c r="AJ16" s="14">
        <f t="shared" si="1"/>
        <v>7.42</v>
      </c>
      <c r="AK16" t="s">
        <v>48</v>
      </c>
      <c r="AN16" s="12"/>
    </row>
    <row r="17" spans="1:40" ht="15" customHeight="1" x14ac:dyDescent="0.35">
      <c r="A17">
        <v>690929</v>
      </c>
      <c r="B17" t="s">
        <v>37</v>
      </c>
      <c r="C17" t="s">
        <v>38</v>
      </c>
      <c r="D17" s="2" t="s">
        <v>39</v>
      </c>
      <c r="E17" s="9" t="s">
        <v>37</v>
      </c>
      <c r="F17" s="10"/>
      <c r="G17" t="s">
        <v>108</v>
      </c>
      <c r="H17" t="s">
        <v>41</v>
      </c>
      <c r="I17" t="s">
        <v>42</v>
      </c>
      <c r="J17" t="s">
        <v>109</v>
      </c>
      <c r="K17" t="s">
        <v>44</v>
      </c>
      <c r="L17">
        <v>2</v>
      </c>
      <c r="M17" t="s">
        <v>45</v>
      </c>
      <c r="N17" t="s">
        <v>46</v>
      </c>
      <c r="O17" t="s">
        <v>47</v>
      </c>
      <c r="P17" s="5">
        <v>1</v>
      </c>
      <c r="Q17" s="11">
        <v>44850.578842592593</v>
      </c>
      <c r="R17" s="12">
        <v>44853</v>
      </c>
      <c r="S17" t="s">
        <v>41</v>
      </c>
      <c r="T17" t="s">
        <v>48</v>
      </c>
      <c r="U17" t="s">
        <v>49</v>
      </c>
      <c r="V17" t="s">
        <v>56</v>
      </c>
      <c r="Y17" t="s">
        <v>110</v>
      </c>
      <c r="Z17">
        <v>81900</v>
      </c>
      <c r="AA17" t="s">
        <v>48</v>
      </c>
      <c r="AB17" t="s">
        <v>49</v>
      </c>
      <c r="AC17" t="s">
        <v>53</v>
      </c>
      <c r="AD17" s="13">
        <f>IF(P17&lt;=1,7,7+0.8*ROUNDUP(P17-1,0))</f>
        <v>7</v>
      </c>
      <c r="AE17" s="14">
        <v>0</v>
      </c>
      <c r="AF17" s="14">
        <v>0</v>
      </c>
      <c r="AG17" s="14">
        <v>0</v>
      </c>
      <c r="AH17" s="14">
        <v>0</v>
      </c>
      <c r="AI17" s="14">
        <f t="shared" si="0"/>
        <v>0.42</v>
      </c>
      <c r="AJ17" s="14">
        <f t="shared" si="1"/>
        <v>7.42</v>
      </c>
      <c r="AK17" t="s">
        <v>48</v>
      </c>
      <c r="AN17" s="12"/>
    </row>
    <row r="18" spans="1:40" ht="15" customHeight="1" x14ac:dyDescent="0.35">
      <c r="A18">
        <v>690929</v>
      </c>
      <c r="B18" t="s">
        <v>37</v>
      </c>
      <c r="C18" t="s">
        <v>38</v>
      </c>
      <c r="D18" s="2" t="s">
        <v>39</v>
      </c>
      <c r="E18" s="9" t="s">
        <v>37</v>
      </c>
      <c r="F18" s="10"/>
      <c r="G18" t="s">
        <v>111</v>
      </c>
      <c r="H18" t="s">
        <v>41</v>
      </c>
      <c r="I18" t="s">
        <v>42</v>
      </c>
      <c r="J18" t="s">
        <v>112</v>
      </c>
      <c r="K18" t="s">
        <v>44</v>
      </c>
      <c r="L18">
        <v>2</v>
      </c>
      <c r="M18" t="s">
        <v>45</v>
      </c>
      <c r="N18" t="s">
        <v>46</v>
      </c>
      <c r="O18" t="s">
        <v>47</v>
      </c>
      <c r="P18" s="5">
        <v>1</v>
      </c>
      <c r="Q18" s="11">
        <v>44851.609837962962</v>
      </c>
      <c r="R18" s="12">
        <v>44853</v>
      </c>
      <c r="S18" t="s">
        <v>41</v>
      </c>
      <c r="T18" t="s">
        <v>48</v>
      </c>
      <c r="U18" t="s">
        <v>49</v>
      </c>
      <c r="V18" t="s">
        <v>61</v>
      </c>
      <c r="Y18" t="s">
        <v>113</v>
      </c>
      <c r="Z18">
        <v>48050</v>
      </c>
      <c r="AA18" t="s">
        <v>48</v>
      </c>
      <c r="AB18" t="s">
        <v>49</v>
      </c>
      <c r="AC18" t="s">
        <v>53</v>
      </c>
      <c r="AD18" s="13">
        <f>IF(P18&lt;=1,7,7+0.8*ROUNDUP(P18-1,0))</f>
        <v>7</v>
      </c>
      <c r="AE18" s="14">
        <v>0</v>
      </c>
      <c r="AF18" s="14">
        <v>0</v>
      </c>
      <c r="AG18" s="14">
        <v>0</v>
      </c>
      <c r="AH18" s="14">
        <v>0</v>
      </c>
      <c r="AI18" s="14">
        <f t="shared" si="0"/>
        <v>0.42</v>
      </c>
      <c r="AJ18" s="14">
        <f t="shared" si="1"/>
        <v>7.42</v>
      </c>
      <c r="AK18" t="s">
        <v>48</v>
      </c>
      <c r="AN18" s="12"/>
    </row>
    <row r="19" spans="1:40" ht="15" customHeight="1" x14ac:dyDescent="0.35">
      <c r="A19">
        <v>690929</v>
      </c>
      <c r="B19" t="s">
        <v>37</v>
      </c>
      <c r="C19" t="s">
        <v>38</v>
      </c>
      <c r="D19" s="2" t="s">
        <v>39</v>
      </c>
      <c r="E19" s="9" t="s">
        <v>37</v>
      </c>
      <c r="F19" s="10"/>
      <c r="G19" t="s">
        <v>114</v>
      </c>
      <c r="H19" t="s">
        <v>41</v>
      </c>
      <c r="I19" t="s">
        <v>42</v>
      </c>
      <c r="J19" t="s">
        <v>115</v>
      </c>
      <c r="K19" t="s">
        <v>44</v>
      </c>
      <c r="L19">
        <v>2</v>
      </c>
      <c r="M19" t="s">
        <v>45</v>
      </c>
      <c r="N19" t="s">
        <v>46</v>
      </c>
      <c r="O19" t="s">
        <v>47</v>
      </c>
      <c r="P19" s="5">
        <v>1</v>
      </c>
      <c r="Q19" s="11">
        <v>44850.727118055554</v>
      </c>
      <c r="R19" s="12">
        <v>44853</v>
      </c>
      <c r="S19" t="s">
        <v>41</v>
      </c>
      <c r="T19" t="s">
        <v>48</v>
      </c>
      <c r="U19" t="s">
        <v>49</v>
      </c>
      <c r="V19" t="s">
        <v>61</v>
      </c>
      <c r="Y19" t="s">
        <v>116</v>
      </c>
      <c r="Z19">
        <v>45300</v>
      </c>
      <c r="AA19" t="s">
        <v>48</v>
      </c>
      <c r="AB19" t="s">
        <v>49</v>
      </c>
      <c r="AC19" t="s">
        <v>53</v>
      </c>
      <c r="AD19" s="13">
        <f>IF(P19&lt;=1,7,7+0.8*ROUNDUP(P19-1,0))</f>
        <v>7</v>
      </c>
      <c r="AE19" s="14">
        <v>0</v>
      </c>
      <c r="AF19" s="14">
        <v>0</v>
      </c>
      <c r="AG19" s="14">
        <v>0</v>
      </c>
      <c r="AH19" s="14">
        <v>0</v>
      </c>
      <c r="AI19" s="14">
        <f t="shared" si="0"/>
        <v>0.42</v>
      </c>
      <c r="AJ19" s="14">
        <f t="shared" si="1"/>
        <v>7.42</v>
      </c>
      <c r="AK19" t="s">
        <v>48</v>
      </c>
      <c r="AN19" s="12"/>
    </row>
    <row r="20" spans="1:40" ht="15" customHeight="1" x14ac:dyDescent="0.35">
      <c r="A20">
        <v>690929</v>
      </c>
      <c r="B20" t="s">
        <v>37</v>
      </c>
      <c r="C20" t="s">
        <v>38</v>
      </c>
      <c r="D20" s="2" t="s">
        <v>39</v>
      </c>
      <c r="E20" s="9" t="s">
        <v>37</v>
      </c>
      <c r="F20" s="10"/>
      <c r="G20" t="s">
        <v>117</v>
      </c>
      <c r="H20" t="s">
        <v>41</v>
      </c>
      <c r="I20" t="s">
        <v>42</v>
      </c>
      <c r="J20" t="s">
        <v>118</v>
      </c>
      <c r="K20" t="s">
        <v>44</v>
      </c>
      <c r="L20">
        <v>2</v>
      </c>
      <c r="M20" t="s">
        <v>45</v>
      </c>
      <c r="N20" t="s">
        <v>46</v>
      </c>
      <c r="O20" t="s">
        <v>47</v>
      </c>
      <c r="P20" s="5">
        <v>1</v>
      </c>
      <c r="Q20" s="11">
        <v>44851.44189814815</v>
      </c>
      <c r="R20" s="12">
        <v>44853</v>
      </c>
      <c r="S20" t="s">
        <v>41</v>
      </c>
      <c r="T20" t="s">
        <v>48</v>
      </c>
      <c r="U20" t="s">
        <v>49</v>
      </c>
      <c r="V20" t="s">
        <v>68</v>
      </c>
      <c r="Y20" t="s">
        <v>119</v>
      </c>
      <c r="Z20">
        <v>75250</v>
      </c>
      <c r="AA20" t="s">
        <v>48</v>
      </c>
      <c r="AB20" t="s">
        <v>49</v>
      </c>
      <c r="AC20" t="s">
        <v>53</v>
      </c>
      <c r="AD20" s="13">
        <f>IF(P20&lt;=1,7,7+0.8*ROUNDUP(P20-1,0))</f>
        <v>7</v>
      </c>
      <c r="AE20" s="14">
        <v>0</v>
      </c>
      <c r="AF20" s="14">
        <v>0</v>
      </c>
      <c r="AG20" s="14">
        <v>0</v>
      </c>
      <c r="AH20" s="14">
        <v>0</v>
      </c>
      <c r="AI20" s="14">
        <f t="shared" si="0"/>
        <v>0.42</v>
      </c>
      <c r="AJ20" s="14">
        <f t="shared" si="1"/>
        <v>7.42</v>
      </c>
      <c r="AK20" t="s">
        <v>48</v>
      </c>
      <c r="AN20" s="12"/>
    </row>
    <row r="21" spans="1:40" ht="15" customHeight="1" x14ac:dyDescent="0.35">
      <c r="A21">
        <v>690929</v>
      </c>
      <c r="B21" t="s">
        <v>37</v>
      </c>
      <c r="C21" t="s">
        <v>38</v>
      </c>
      <c r="D21" s="2" t="s">
        <v>39</v>
      </c>
      <c r="E21" s="9" t="s">
        <v>37</v>
      </c>
      <c r="F21" s="10"/>
      <c r="G21" t="s">
        <v>120</v>
      </c>
      <c r="H21" t="s">
        <v>41</v>
      </c>
      <c r="I21" t="s">
        <v>42</v>
      </c>
      <c r="J21" t="s">
        <v>121</v>
      </c>
      <c r="K21" t="s">
        <v>44</v>
      </c>
      <c r="L21">
        <v>2</v>
      </c>
      <c r="M21" t="s">
        <v>45</v>
      </c>
      <c r="N21" t="s">
        <v>46</v>
      </c>
      <c r="O21" t="s">
        <v>47</v>
      </c>
      <c r="P21" s="5">
        <v>1</v>
      </c>
      <c r="Q21" s="11">
        <v>44852.628009259257</v>
      </c>
      <c r="R21" s="12">
        <v>44853</v>
      </c>
      <c r="S21" t="s">
        <v>41</v>
      </c>
      <c r="T21" t="s">
        <v>48</v>
      </c>
      <c r="U21" t="s">
        <v>49</v>
      </c>
      <c r="V21" t="s">
        <v>122</v>
      </c>
      <c r="Y21" t="s">
        <v>123</v>
      </c>
      <c r="Z21">
        <v>16450</v>
      </c>
      <c r="AA21" t="s">
        <v>48</v>
      </c>
      <c r="AB21" t="s">
        <v>104</v>
      </c>
      <c r="AC21" t="s">
        <v>53</v>
      </c>
      <c r="AD21" s="13">
        <f>IF(P21&lt;=1,7,7+0.8*ROUNDUP(P21-1,0))</f>
        <v>7</v>
      </c>
      <c r="AE21" s="14">
        <v>0</v>
      </c>
      <c r="AF21" s="14">
        <v>0</v>
      </c>
      <c r="AG21" s="14">
        <v>0</v>
      </c>
      <c r="AH21" s="14">
        <v>0</v>
      </c>
      <c r="AI21" s="14">
        <f t="shared" si="0"/>
        <v>0.42</v>
      </c>
      <c r="AJ21" s="14">
        <f t="shared" si="1"/>
        <v>7.42</v>
      </c>
      <c r="AK21" t="s">
        <v>48</v>
      </c>
      <c r="AN21" s="12"/>
    </row>
    <row r="22" spans="1:40" ht="15" customHeight="1" x14ac:dyDescent="0.35">
      <c r="A22">
        <v>690929</v>
      </c>
      <c r="B22" t="s">
        <v>37</v>
      </c>
      <c r="C22" t="s">
        <v>38</v>
      </c>
      <c r="D22" s="2" t="s">
        <v>39</v>
      </c>
      <c r="E22" s="9" t="s">
        <v>37</v>
      </c>
      <c r="F22" s="10"/>
      <c r="G22" t="s">
        <v>124</v>
      </c>
      <c r="H22" t="s">
        <v>41</v>
      </c>
      <c r="I22" t="s">
        <v>42</v>
      </c>
      <c r="J22" t="s">
        <v>125</v>
      </c>
      <c r="K22" t="s">
        <v>44</v>
      </c>
      <c r="L22">
        <v>2</v>
      </c>
      <c r="M22" t="s">
        <v>45</v>
      </c>
      <c r="N22" t="s">
        <v>46</v>
      </c>
      <c r="O22" t="s">
        <v>47</v>
      </c>
      <c r="P22" s="5">
        <v>1</v>
      </c>
      <c r="Q22" s="11">
        <v>44852.475914351853</v>
      </c>
      <c r="R22" s="12">
        <v>44853</v>
      </c>
      <c r="S22" t="s">
        <v>41</v>
      </c>
      <c r="T22" t="s">
        <v>48</v>
      </c>
      <c r="U22" t="s">
        <v>49</v>
      </c>
      <c r="V22" t="s">
        <v>87</v>
      </c>
      <c r="Y22" t="s">
        <v>126</v>
      </c>
      <c r="Z22">
        <v>21300</v>
      </c>
      <c r="AA22" t="s">
        <v>48</v>
      </c>
      <c r="AB22" t="s">
        <v>49</v>
      </c>
      <c r="AC22" t="s">
        <v>53</v>
      </c>
      <c r="AD22" s="13">
        <f>IF(P22&lt;=1,7,7+0.8*ROUNDUP(P22-1,0))</f>
        <v>7</v>
      </c>
      <c r="AE22" s="14">
        <v>0</v>
      </c>
      <c r="AF22" s="14">
        <v>0</v>
      </c>
      <c r="AG22" s="14">
        <v>0</v>
      </c>
      <c r="AH22" s="14">
        <v>0</v>
      </c>
      <c r="AI22" s="14">
        <f t="shared" si="0"/>
        <v>0.42</v>
      </c>
      <c r="AJ22" s="14">
        <f t="shared" si="1"/>
        <v>7.42</v>
      </c>
      <c r="AK22" t="s">
        <v>48</v>
      </c>
      <c r="AN22" s="12"/>
    </row>
    <row r="23" spans="1:40" ht="15" customHeight="1" x14ac:dyDescent="0.35">
      <c r="A23">
        <v>690929</v>
      </c>
      <c r="B23" t="s">
        <v>37</v>
      </c>
      <c r="C23" t="s">
        <v>38</v>
      </c>
      <c r="D23" s="2" t="s">
        <v>39</v>
      </c>
      <c r="E23" s="9" t="s">
        <v>37</v>
      </c>
      <c r="F23" s="10"/>
      <c r="G23" t="s">
        <v>127</v>
      </c>
      <c r="H23" t="s">
        <v>41</v>
      </c>
      <c r="I23" t="s">
        <v>42</v>
      </c>
      <c r="J23" t="s">
        <v>128</v>
      </c>
      <c r="K23" t="s">
        <v>44</v>
      </c>
      <c r="L23">
        <v>2</v>
      </c>
      <c r="M23" t="s">
        <v>45</v>
      </c>
      <c r="N23" t="s">
        <v>46</v>
      </c>
      <c r="O23" t="s">
        <v>47</v>
      </c>
      <c r="P23" s="5">
        <v>8</v>
      </c>
      <c r="Q23" s="11">
        <v>44852.403761574074</v>
      </c>
      <c r="R23" s="12">
        <v>44853</v>
      </c>
      <c r="S23" t="s">
        <v>41</v>
      </c>
      <c r="T23" t="s">
        <v>48</v>
      </c>
      <c r="U23" t="s">
        <v>49</v>
      </c>
      <c r="V23" t="s">
        <v>122</v>
      </c>
      <c r="Y23" t="s">
        <v>129</v>
      </c>
      <c r="Z23">
        <v>17600</v>
      </c>
      <c r="AA23" t="s">
        <v>48</v>
      </c>
      <c r="AB23" t="s">
        <v>130</v>
      </c>
      <c r="AC23" t="s">
        <v>53</v>
      </c>
      <c r="AD23" s="13">
        <f>IF(P23&lt;=1,7,7+0.8*ROUNDUP(P23-1,0))</f>
        <v>12.600000000000001</v>
      </c>
      <c r="AE23" s="14">
        <v>0</v>
      </c>
      <c r="AF23" s="14">
        <v>0</v>
      </c>
      <c r="AG23" s="14">
        <v>0</v>
      </c>
      <c r="AH23" s="14">
        <v>0</v>
      </c>
      <c r="AI23" s="14">
        <f t="shared" si="0"/>
        <v>0.75600000000000001</v>
      </c>
      <c r="AJ23" s="14">
        <f t="shared" si="1"/>
        <v>13.356000000000002</v>
      </c>
      <c r="AK23" t="s">
        <v>48</v>
      </c>
      <c r="AN23" s="12"/>
    </row>
    <row r="24" spans="1:40" ht="15" customHeight="1" x14ac:dyDescent="0.35">
      <c r="A24">
        <v>690929</v>
      </c>
      <c r="B24" t="s">
        <v>37</v>
      </c>
      <c r="C24" t="s">
        <v>38</v>
      </c>
      <c r="D24" s="2" t="s">
        <v>39</v>
      </c>
      <c r="E24" s="9" t="s">
        <v>37</v>
      </c>
      <c r="F24" s="10"/>
      <c r="G24" t="s">
        <v>131</v>
      </c>
      <c r="H24" t="s">
        <v>41</v>
      </c>
      <c r="I24" t="s">
        <v>42</v>
      </c>
      <c r="J24" t="s">
        <v>132</v>
      </c>
      <c r="K24" t="s">
        <v>44</v>
      </c>
      <c r="L24">
        <v>2</v>
      </c>
      <c r="M24" t="s">
        <v>45</v>
      </c>
      <c r="N24" t="s">
        <v>46</v>
      </c>
      <c r="O24" t="s">
        <v>47</v>
      </c>
      <c r="P24" s="5">
        <v>1</v>
      </c>
      <c r="Q24" s="11">
        <v>44853.562071759261</v>
      </c>
      <c r="R24" s="12">
        <v>44854</v>
      </c>
      <c r="S24" t="s">
        <v>41</v>
      </c>
      <c r="T24" t="s">
        <v>48</v>
      </c>
      <c r="U24" t="s">
        <v>49</v>
      </c>
      <c r="V24" t="s">
        <v>133</v>
      </c>
      <c r="Y24" t="s">
        <v>134</v>
      </c>
      <c r="Z24">
        <v>25150</v>
      </c>
      <c r="AA24" t="s">
        <v>48</v>
      </c>
      <c r="AB24" t="s">
        <v>49</v>
      </c>
      <c r="AC24" t="s">
        <v>53</v>
      </c>
      <c r="AD24" s="13">
        <f>IF(P24&lt;=1,7,7+0.8*ROUNDUP(P24-1,0))</f>
        <v>7</v>
      </c>
      <c r="AE24" s="14">
        <v>0</v>
      </c>
      <c r="AF24" s="14">
        <v>0</v>
      </c>
      <c r="AG24" s="14">
        <v>0</v>
      </c>
      <c r="AH24" s="14">
        <v>0</v>
      </c>
      <c r="AI24" s="14">
        <f t="shared" si="0"/>
        <v>0.42</v>
      </c>
      <c r="AJ24" s="14">
        <f t="shared" si="1"/>
        <v>7.42</v>
      </c>
      <c r="AK24" t="s">
        <v>48</v>
      </c>
      <c r="AN24" s="12"/>
    </row>
    <row r="25" spans="1:40" ht="15" customHeight="1" x14ac:dyDescent="0.35">
      <c r="A25">
        <v>690929</v>
      </c>
      <c r="B25" t="s">
        <v>37</v>
      </c>
      <c r="C25" t="s">
        <v>38</v>
      </c>
      <c r="D25" s="2" t="s">
        <v>39</v>
      </c>
      <c r="E25" s="9" t="s">
        <v>37</v>
      </c>
      <c r="F25" s="10"/>
      <c r="G25" t="s">
        <v>135</v>
      </c>
      <c r="H25" t="s">
        <v>41</v>
      </c>
      <c r="I25" t="s">
        <v>42</v>
      </c>
      <c r="J25" t="s">
        <v>136</v>
      </c>
      <c r="K25" t="s">
        <v>44</v>
      </c>
      <c r="L25">
        <v>2</v>
      </c>
      <c r="M25" t="s">
        <v>45</v>
      </c>
      <c r="N25" t="s">
        <v>46</v>
      </c>
      <c r="O25" t="s">
        <v>47</v>
      </c>
      <c r="P25" s="5">
        <v>1</v>
      </c>
      <c r="Q25" s="11">
        <v>44852.725844907407</v>
      </c>
      <c r="R25" s="12">
        <v>44854</v>
      </c>
      <c r="S25" t="s">
        <v>41</v>
      </c>
      <c r="T25" t="s">
        <v>48</v>
      </c>
      <c r="U25" t="s">
        <v>49</v>
      </c>
      <c r="V25" t="s">
        <v>87</v>
      </c>
      <c r="Y25" t="s">
        <v>137</v>
      </c>
      <c r="Z25">
        <v>23200</v>
      </c>
      <c r="AA25" t="s">
        <v>48</v>
      </c>
      <c r="AB25" t="s">
        <v>49</v>
      </c>
      <c r="AC25" t="s">
        <v>53</v>
      </c>
      <c r="AD25" s="13">
        <f>IF(P25&lt;=1,7,7+0.8*ROUNDUP(P25-1,0))</f>
        <v>7</v>
      </c>
      <c r="AE25" s="14">
        <v>0</v>
      </c>
      <c r="AF25" s="14">
        <v>0</v>
      </c>
      <c r="AG25" s="14">
        <v>0</v>
      </c>
      <c r="AH25" s="14">
        <v>0</v>
      </c>
      <c r="AI25" s="14">
        <f t="shared" si="0"/>
        <v>0.42</v>
      </c>
      <c r="AJ25" s="14">
        <f t="shared" si="1"/>
        <v>7.42</v>
      </c>
      <c r="AK25" t="s">
        <v>48</v>
      </c>
      <c r="AN25" s="12"/>
    </row>
    <row r="26" spans="1:40" ht="15" customHeight="1" x14ac:dyDescent="0.35">
      <c r="A26">
        <v>690929</v>
      </c>
      <c r="B26" t="s">
        <v>37</v>
      </c>
      <c r="C26" t="s">
        <v>38</v>
      </c>
      <c r="D26" s="2" t="s">
        <v>39</v>
      </c>
      <c r="E26" s="9" t="s">
        <v>37</v>
      </c>
      <c r="F26" s="10"/>
      <c r="G26" t="s">
        <v>138</v>
      </c>
      <c r="H26" t="s">
        <v>41</v>
      </c>
      <c r="I26" t="s">
        <v>42</v>
      </c>
      <c r="J26" t="s">
        <v>139</v>
      </c>
      <c r="K26" t="s">
        <v>44</v>
      </c>
      <c r="L26">
        <v>2</v>
      </c>
      <c r="M26" t="s">
        <v>45</v>
      </c>
      <c r="N26" t="s">
        <v>46</v>
      </c>
      <c r="O26" t="s">
        <v>47</v>
      </c>
      <c r="P26" s="5">
        <v>1</v>
      </c>
      <c r="Q26" s="11">
        <v>44852.721678240741</v>
      </c>
      <c r="R26" s="12">
        <v>44854</v>
      </c>
      <c r="S26" t="s">
        <v>41</v>
      </c>
      <c r="T26" t="s">
        <v>48</v>
      </c>
      <c r="U26" t="s">
        <v>49</v>
      </c>
      <c r="V26" t="s">
        <v>122</v>
      </c>
      <c r="Y26" t="s">
        <v>140</v>
      </c>
      <c r="Z26">
        <v>17510</v>
      </c>
      <c r="AA26" t="s">
        <v>48</v>
      </c>
      <c r="AB26" t="s">
        <v>104</v>
      </c>
      <c r="AC26" t="s">
        <v>53</v>
      </c>
      <c r="AD26" s="13">
        <f>IF(P26&lt;=1,7,7+0.8*ROUNDUP(P26-1,0))</f>
        <v>7</v>
      </c>
      <c r="AE26" s="14">
        <v>0</v>
      </c>
      <c r="AF26" s="14">
        <v>0</v>
      </c>
      <c r="AG26" s="14">
        <v>0</v>
      </c>
      <c r="AH26" s="14">
        <v>0</v>
      </c>
      <c r="AI26" s="14">
        <f t="shared" si="0"/>
        <v>0.42</v>
      </c>
      <c r="AJ26" s="14">
        <f t="shared" si="1"/>
        <v>7.42</v>
      </c>
      <c r="AK26" t="s">
        <v>48</v>
      </c>
      <c r="AN26" s="12"/>
    </row>
    <row r="27" spans="1:40" ht="15" customHeight="1" x14ac:dyDescent="0.35">
      <c r="A27">
        <v>690929</v>
      </c>
      <c r="B27" t="s">
        <v>37</v>
      </c>
      <c r="C27" t="s">
        <v>38</v>
      </c>
      <c r="D27" s="2" t="s">
        <v>39</v>
      </c>
      <c r="E27" s="9" t="s">
        <v>37</v>
      </c>
      <c r="F27" s="10"/>
      <c r="G27" t="s">
        <v>141</v>
      </c>
      <c r="H27" t="s">
        <v>41</v>
      </c>
      <c r="I27" t="s">
        <v>42</v>
      </c>
      <c r="J27" t="s">
        <v>142</v>
      </c>
      <c r="K27" t="s">
        <v>44</v>
      </c>
      <c r="L27">
        <v>2</v>
      </c>
      <c r="M27" t="s">
        <v>45</v>
      </c>
      <c r="N27" t="s">
        <v>46</v>
      </c>
      <c r="O27" t="s">
        <v>47</v>
      </c>
      <c r="P27" s="5">
        <v>1</v>
      </c>
      <c r="Q27" s="11">
        <v>44852.474652777775</v>
      </c>
      <c r="R27" s="12">
        <v>44854</v>
      </c>
      <c r="S27" t="s">
        <v>41</v>
      </c>
      <c r="T27" t="s">
        <v>48</v>
      </c>
      <c r="U27" t="s">
        <v>49</v>
      </c>
      <c r="V27" t="s">
        <v>61</v>
      </c>
      <c r="Y27" t="s">
        <v>143</v>
      </c>
      <c r="Z27">
        <v>43000</v>
      </c>
      <c r="AA27" t="s">
        <v>48</v>
      </c>
      <c r="AB27" t="s">
        <v>49</v>
      </c>
      <c r="AC27" t="s">
        <v>53</v>
      </c>
      <c r="AD27" s="13">
        <f>IF(P27&lt;=1,7,7+0.8*ROUNDUP(P27-1,0))</f>
        <v>7</v>
      </c>
      <c r="AE27" s="14">
        <v>0</v>
      </c>
      <c r="AF27" s="14">
        <v>0</v>
      </c>
      <c r="AG27" s="14">
        <v>0</v>
      </c>
      <c r="AH27" s="14">
        <v>0</v>
      </c>
      <c r="AI27" s="14">
        <f t="shared" si="0"/>
        <v>0.42</v>
      </c>
      <c r="AJ27" s="14">
        <f t="shared" si="1"/>
        <v>7.42</v>
      </c>
      <c r="AK27" t="s">
        <v>48</v>
      </c>
      <c r="AN27" s="12"/>
    </row>
    <row r="28" spans="1:40" ht="15" customHeight="1" x14ac:dyDescent="0.35">
      <c r="A28">
        <v>690929</v>
      </c>
      <c r="B28" t="s">
        <v>37</v>
      </c>
      <c r="C28" t="s">
        <v>38</v>
      </c>
      <c r="D28" s="2" t="s">
        <v>39</v>
      </c>
      <c r="E28" s="9" t="s">
        <v>37</v>
      </c>
      <c r="F28" s="10"/>
      <c r="G28" t="s">
        <v>144</v>
      </c>
      <c r="H28" t="s">
        <v>41</v>
      </c>
      <c r="I28" t="s">
        <v>42</v>
      </c>
      <c r="J28" t="s">
        <v>145</v>
      </c>
      <c r="K28" t="s">
        <v>44</v>
      </c>
      <c r="L28">
        <v>2</v>
      </c>
      <c r="M28" t="s">
        <v>45</v>
      </c>
      <c r="N28" t="s">
        <v>46</v>
      </c>
      <c r="O28" t="s">
        <v>47</v>
      </c>
      <c r="P28" s="5">
        <v>4</v>
      </c>
      <c r="Q28" s="11">
        <v>44852.655462962961</v>
      </c>
      <c r="R28" s="12">
        <v>44854</v>
      </c>
      <c r="S28" t="s">
        <v>41</v>
      </c>
      <c r="T28" t="s">
        <v>48</v>
      </c>
      <c r="U28" t="s">
        <v>49</v>
      </c>
      <c r="V28" t="s">
        <v>146</v>
      </c>
      <c r="Y28" t="s">
        <v>147</v>
      </c>
      <c r="Z28">
        <v>70450</v>
      </c>
      <c r="AA28" t="s">
        <v>48</v>
      </c>
      <c r="AB28" t="s">
        <v>52</v>
      </c>
      <c r="AC28" t="s">
        <v>53</v>
      </c>
      <c r="AD28" s="13">
        <f>IF(P28&lt;=1,7,7+0.8*ROUNDUP(P28-1,0))</f>
        <v>9.4</v>
      </c>
      <c r="AE28" s="14">
        <v>0</v>
      </c>
      <c r="AF28" s="14">
        <v>0</v>
      </c>
      <c r="AG28" s="14">
        <v>0</v>
      </c>
      <c r="AH28" s="14">
        <v>0</v>
      </c>
      <c r="AI28" s="14">
        <f t="shared" si="0"/>
        <v>0.56399999999999995</v>
      </c>
      <c r="AJ28" s="14">
        <f t="shared" si="1"/>
        <v>9.9640000000000004</v>
      </c>
      <c r="AK28" t="s">
        <v>48</v>
      </c>
      <c r="AN28" s="12"/>
    </row>
    <row r="29" spans="1:40" ht="15" customHeight="1" x14ac:dyDescent="0.35">
      <c r="A29">
        <v>690929</v>
      </c>
      <c r="B29" t="s">
        <v>37</v>
      </c>
      <c r="C29" t="s">
        <v>38</v>
      </c>
      <c r="D29" s="2" t="s">
        <v>39</v>
      </c>
      <c r="E29" s="9" t="s">
        <v>37</v>
      </c>
      <c r="F29" s="10"/>
      <c r="G29" t="s">
        <v>148</v>
      </c>
      <c r="H29" t="s">
        <v>41</v>
      </c>
      <c r="I29" t="s">
        <v>42</v>
      </c>
      <c r="J29" t="s">
        <v>149</v>
      </c>
      <c r="K29" t="s">
        <v>44</v>
      </c>
      <c r="L29">
        <v>2</v>
      </c>
      <c r="M29" t="s">
        <v>45</v>
      </c>
      <c r="N29" t="s">
        <v>46</v>
      </c>
      <c r="O29" t="s">
        <v>47</v>
      </c>
      <c r="P29" s="5">
        <v>1</v>
      </c>
      <c r="Q29" s="11">
        <v>44853.569768518515</v>
      </c>
      <c r="R29" s="12">
        <v>44854</v>
      </c>
      <c r="S29" t="s">
        <v>41</v>
      </c>
      <c r="T29" t="s">
        <v>48</v>
      </c>
      <c r="U29" t="s">
        <v>49</v>
      </c>
      <c r="V29" t="s">
        <v>146</v>
      </c>
      <c r="Y29" t="s">
        <v>150</v>
      </c>
      <c r="Z29">
        <v>71800</v>
      </c>
      <c r="AA29" t="s">
        <v>48</v>
      </c>
      <c r="AB29" t="s">
        <v>49</v>
      </c>
      <c r="AC29" t="s">
        <v>53</v>
      </c>
      <c r="AD29" s="13">
        <f>IF(P29&lt;=1,7,7+0.8*ROUNDUP(P29-1,0))</f>
        <v>7</v>
      </c>
      <c r="AE29" s="14">
        <v>0</v>
      </c>
      <c r="AF29" s="14">
        <v>0</v>
      </c>
      <c r="AG29" s="14">
        <v>0</v>
      </c>
      <c r="AH29" s="14">
        <v>0</v>
      </c>
      <c r="AI29" s="14">
        <f t="shared" si="0"/>
        <v>0.42</v>
      </c>
      <c r="AJ29" s="14">
        <f t="shared" si="1"/>
        <v>7.42</v>
      </c>
      <c r="AK29" t="s">
        <v>48</v>
      </c>
      <c r="AN29" s="12"/>
    </row>
    <row r="30" spans="1:40" ht="15" customHeight="1" x14ac:dyDescent="0.35">
      <c r="A30">
        <v>690929</v>
      </c>
      <c r="B30" t="s">
        <v>37</v>
      </c>
      <c r="C30" t="s">
        <v>38</v>
      </c>
      <c r="D30" s="2" t="s">
        <v>39</v>
      </c>
      <c r="E30" s="9" t="s">
        <v>37</v>
      </c>
      <c r="F30" s="10"/>
      <c r="G30" t="s">
        <v>151</v>
      </c>
      <c r="H30" t="s">
        <v>41</v>
      </c>
      <c r="I30" t="s">
        <v>42</v>
      </c>
      <c r="J30" t="s">
        <v>152</v>
      </c>
      <c r="K30" t="s">
        <v>44</v>
      </c>
      <c r="L30">
        <v>2</v>
      </c>
      <c r="M30" t="s">
        <v>45</v>
      </c>
      <c r="N30" t="s">
        <v>46</v>
      </c>
      <c r="O30" t="s">
        <v>47</v>
      </c>
      <c r="P30" s="5">
        <v>1</v>
      </c>
      <c r="Q30" s="11">
        <v>44852.626863425925</v>
      </c>
      <c r="R30" s="12">
        <v>44854</v>
      </c>
      <c r="S30" t="s">
        <v>41</v>
      </c>
      <c r="T30" t="s">
        <v>48</v>
      </c>
      <c r="U30" t="s">
        <v>49</v>
      </c>
      <c r="V30" t="s">
        <v>61</v>
      </c>
      <c r="Y30" t="s">
        <v>153</v>
      </c>
      <c r="Z30">
        <v>42300</v>
      </c>
      <c r="AA30" t="s">
        <v>48</v>
      </c>
      <c r="AB30" t="s">
        <v>49</v>
      </c>
      <c r="AC30" t="s">
        <v>53</v>
      </c>
      <c r="AD30" s="13">
        <f>IF(P30&lt;=1,7,7+0.8*ROUNDUP(P30-1,0))</f>
        <v>7</v>
      </c>
      <c r="AE30" s="14">
        <v>0</v>
      </c>
      <c r="AF30" s="14">
        <v>0</v>
      </c>
      <c r="AG30" s="14">
        <v>0</v>
      </c>
      <c r="AH30" s="14">
        <v>0</v>
      </c>
      <c r="AI30" s="14">
        <f t="shared" si="0"/>
        <v>0.42</v>
      </c>
      <c r="AJ30" s="14">
        <f t="shared" si="1"/>
        <v>7.42</v>
      </c>
      <c r="AK30" t="s">
        <v>48</v>
      </c>
      <c r="AN30" s="12"/>
    </row>
    <row r="31" spans="1:40" ht="15" customHeight="1" x14ac:dyDescent="0.35">
      <c r="A31">
        <v>690929</v>
      </c>
      <c r="B31" t="s">
        <v>37</v>
      </c>
      <c r="C31" t="s">
        <v>38</v>
      </c>
      <c r="D31" s="2" t="s">
        <v>39</v>
      </c>
      <c r="E31" s="9" t="s">
        <v>37</v>
      </c>
      <c r="F31" s="10"/>
      <c r="G31" t="s">
        <v>154</v>
      </c>
      <c r="H31" t="s">
        <v>41</v>
      </c>
      <c r="I31" t="s">
        <v>42</v>
      </c>
      <c r="J31" t="s">
        <v>155</v>
      </c>
      <c r="K31" t="s">
        <v>44</v>
      </c>
      <c r="L31">
        <v>2</v>
      </c>
      <c r="M31" t="s">
        <v>45</v>
      </c>
      <c r="N31" t="s">
        <v>46</v>
      </c>
      <c r="O31" t="s">
        <v>47</v>
      </c>
      <c r="P31" s="5">
        <v>2</v>
      </c>
      <c r="Q31" s="11">
        <v>44853.54896990741</v>
      </c>
      <c r="R31" s="12">
        <v>44854</v>
      </c>
      <c r="S31" t="s">
        <v>41</v>
      </c>
      <c r="T31" t="s">
        <v>48</v>
      </c>
      <c r="U31" t="s">
        <v>49</v>
      </c>
      <c r="V31" t="s">
        <v>87</v>
      </c>
      <c r="Y31" t="s">
        <v>156</v>
      </c>
      <c r="Z31">
        <v>24100</v>
      </c>
      <c r="AA31" t="s">
        <v>48</v>
      </c>
      <c r="AB31" t="s">
        <v>157</v>
      </c>
      <c r="AC31" t="s">
        <v>53</v>
      </c>
      <c r="AD31" s="13">
        <f>IF(P31&lt;=1,7,7+0.8*ROUNDUP(P31-1,0))</f>
        <v>7.8</v>
      </c>
      <c r="AE31" s="14">
        <v>0</v>
      </c>
      <c r="AF31" s="14">
        <v>0</v>
      </c>
      <c r="AG31" s="14">
        <v>0</v>
      </c>
      <c r="AH31" s="14">
        <v>0</v>
      </c>
      <c r="AI31" s="14">
        <f t="shared" si="0"/>
        <v>0.46799999999999997</v>
      </c>
      <c r="AJ31" s="14">
        <f t="shared" si="1"/>
        <v>8.2680000000000007</v>
      </c>
      <c r="AK31" t="s">
        <v>48</v>
      </c>
      <c r="AN31" s="12"/>
    </row>
    <row r="32" spans="1:40" ht="15" customHeight="1" x14ac:dyDescent="0.35">
      <c r="A32">
        <v>690929</v>
      </c>
      <c r="B32" t="s">
        <v>37</v>
      </c>
      <c r="C32" t="s">
        <v>38</v>
      </c>
      <c r="D32" s="2" t="s">
        <v>39</v>
      </c>
      <c r="E32" s="9" t="s">
        <v>37</v>
      </c>
      <c r="F32" s="10"/>
      <c r="G32" t="s">
        <v>158</v>
      </c>
      <c r="H32" t="s">
        <v>41</v>
      </c>
      <c r="I32" t="s">
        <v>42</v>
      </c>
      <c r="J32" t="s">
        <v>159</v>
      </c>
      <c r="K32" t="s">
        <v>44</v>
      </c>
      <c r="L32">
        <v>2</v>
      </c>
      <c r="M32" t="s">
        <v>45</v>
      </c>
      <c r="N32" t="s">
        <v>46</v>
      </c>
      <c r="O32" t="s">
        <v>47</v>
      </c>
      <c r="P32" s="5">
        <v>1</v>
      </c>
      <c r="Q32" s="11">
        <v>44853.569039351853</v>
      </c>
      <c r="R32" s="12">
        <v>44855</v>
      </c>
      <c r="S32" t="s">
        <v>41</v>
      </c>
      <c r="T32" t="s">
        <v>48</v>
      </c>
      <c r="U32" t="s">
        <v>49</v>
      </c>
      <c r="V32" t="s">
        <v>56</v>
      </c>
      <c r="Y32" t="s">
        <v>160</v>
      </c>
      <c r="Z32">
        <v>81700</v>
      </c>
      <c r="AA32" t="s">
        <v>48</v>
      </c>
      <c r="AB32" t="s">
        <v>49</v>
      </c>
      <c r="AC32" t="s">
        <v>53</v>
      </c>
      <c r="AD32" s="13">
        <f>IF(P32&lt;=1,7,7+0.8*ROUNDUP(P32-1,0))</f>
        <v>7</v>
      </c>
      <c r="AE32" s="14">
        <v>0</v>
      </c>
      <c r="AF32" s="14">
        <v>0</v>
      </c>
      <c r="AG32" s="14">
        <v>0</v>
      </c>
      <c r="AH32" s="14">
        <v>0</v>
      </c>
      <c r="AI32" s="14">
        <f t="shared" si="0"/>
        <v>0.42</v>
      </c>
      <c r="AJ32" s="14">
        <f t="shared" si="1"/>
        <v>7.42</v>
      </c>
      <c r="AK32" t="s">
        <v>48</v>
      </c>
      <c r="AN32" s="12"/>
    </row>
    <row r="33" spans="1:40" ht="15" customHeight="1" x14ac:dyDescent="0.35">
      <c r="A33">
        <v>690929</v>
      </c>
      <c r="B33" t="s">
        <v>37</v>
      </c>
      <c r="C33" t="s">
        <v>38</v>
      </c>
      <c r="D33" s="2" t="s">
        <v>39</v>
      </c>
      <c r="E33" s="9" t="s">
        <v>37</v>
      </c>
      <c r="F33" s="10"/>
      <c r="G33" t="s">
        <v>161</v>
      </c>
      <c r="H33" t="s">
        <v>41</v>
      </c>
      <c r="I33" t="s">
        <v>42</v>
      </c>
      <c r="J33" t="s">
        <v>162</v>
      </c>
      <c r="K33" t="s">
        <v>44</v>
      </c>
      <c r="L33">
        <v>2</v>
      </c>
      <c r="M33" t="s">
        <v>45</v>
      </c>
      <c r="N33" t="s">
        <v>46</v>
      </c>
      <c r="O33" t="s">
        <v>47</v>
      </c>
      <c r="P33" s="5">
        <v>2</v>
      </c>
      <c r="Q33" s="11">
        <v>44853.554699074077</v>
      </c>
      <c r="R33" s="12">
        <v>44855</v>
      </c>
      <c r="S33" t="s">
        <v>41</v>
      </c>
      <c r="T33" t="s">
        <v>48</v>
      </c>
      <c r="U33" t="s">
        <v>49</v>
      </c>
      <c r="V33" t="s">
        <v>72</v>
      </c>
      <c r="Y33" t="s">
        <v>163</v>
      </c>
      <c r="Z33">
        <v>13050</v>
      </c>
      <c r="AA33" t="s">
        <v>48</v>
      </c>
      <c r="AB33" t="s">
        <v>52</v>
      </c>
      <c r="AC33" t="s">
        <v>53</v>
      </c>
      <c r="AD33" s="13">
        <f>IF(P33&lt;=1,7,7+0.8*ROUNDUP(P33-1,0))</f>
        <v>7.8</v>
      </c>
      <c r="AE33" s="14">
        <v>0</v>
      </c>
      <c r="AF33" s="14">
        <v>0</v>
      </c>
      <c r="AG33" s="14">
        <v>0</v>
      </c>
      <c r="AH33" s="14">
        <v>0</v>
      </c>
      <c r="AI33" s="14">
        <f t="shared" si="0"/>
        <v>0.46799999999999997</v>
      </c>
      <c r="AJ33" s="14">
        <f t="shared" si="1"/>
        <v>8.2680000000000007</v>
      </c>
      <c r="AK33" t="s">
        <v>48</v>
      </c>
      <c r="AN33" s="12"/>
    </row>
    <row r="34" spans="1:40" ht="15" customHeight="1" x14ac:dyDescent="0.35">
      <c r="A34">
        <v>690929</v>
      </c>
      <c r="B34" t="s">
        <v>37</v>
      </c>
      <c r="C34" t="s">
        <v>38</v>
      </c>
      <c r="D34" s="2" t="s">
        <v>39</v>
      </c>
      <c r="E34" s="9" t="s">
        <v>37</v>
      </c>
      <c r="F34" s="10"/>
      <c r="G34" t="s">
        <v>164</v>
      </c>
      <c r="H34" t="s">
        <v>41</v>
      </c>
      <c r="I34" t="s">
        <v>42</v>
      </c>
      <c r="J34" t="s">
        <v>165</v>
      </c>
      <c r="K34" t="s">
        <v>44</v>
      </c>
      <c r="L34">
        <v>2</v>
      </c>
      <c r="M34" t="s">
        <v>45</v>
      </c>
      <c r="N34" t="s">
        <v>46</v>
      </c>
      <c r="O34" t="s">
        <v>47</v>
      </c>
      <c r="P34" s="5">
        <v>2</v>
      </c>
      <c r="Q34" s="11">
        <v>44853.545648148145</v>
      </c>
      <c r="R34" s="12">
        <v>44855</v>
      </c>
      <c r="S34" t="s">
        <v>41</v>
      </c>
      <c r="T34" t="s">
        <v>48</v>
      </c>
      <c r="U34" t="s">
        <v>49</v>
      </c>
      <c r="V34" t="s">
        <v>56</v>
      </c>
      <c r="Y34" t="s">
        <v>166</v>
      </c>
      <c r="Z34">
        <v>86000</v>
      </c>
      <c r="AA34" t="s">
        <v>48</v>
      </c>
      <c r="AB34" t="s">
        <v>167</v>
      </c>
      <c r="AC34" t="s">
        <v>53</v>
      </c>
      <c r="AD34" s="13">
        <f>IF(P34&lt;=1,7,7+0.8*ROUNDUP(P34-1,0))</f>
        <v>7.8</v>
      </c>
      <c r="AE34" s="14">
        <v>0</v>
      </c>
      <c r="AF34" s="14">
        <v>0</v>
      </c>
      <c r="AG34" s="14">
        <v>0</v>
      </c>
      <c r="AH34" s="14">
        <v>0</v>
      </c>
      <c r="AI34" s="14">
        <f t="shared" si="0"/>
        <v>0.46799999999999997</v>
      </c>
      <c r="AJ34" s="14">
        <f t="shared" si="1"/>
        <v>8.2680000000000007</v>
      </c>
      <c r="AK34" t="s">
        <v>48</v>
      </c>
      <c r="AN34" s="12"/>
    </row>
    <row r="35" spans="1:40" ht="15" customHeight="1" x14ac:dyDescent="0.35">
      <c r="A35">
        <v>690929</v>
      </c>
      <c r="B35" t="s">
        <v>37</v>
      </c>
      <c r="C35" t="s">
        <v>38</v>
      </c>
      <c r="D35" s="2" t="s">
        <v>39</v>
      </c>
      <c r="E35" s="9" t="s">
        <v>37</v>
      </c>
      <c r="F35" s="10"/>
      <c r="G35" t="s">
        <v>168</v>
      </c>
      <c r="H35" t="s">
        <v>41</v>
      </c>
      <c r="I35" t="s">
        <v>42</v>
      </c>
      <c r="J35" t="s">
        <v>169</v>
      </c>
      <c r="K35" t="s">
        <v>44</v>
      </c>
      <c r="L35">
        <v>2</v>
      </c>
      <c r="M35" t="s">
        <v>45</v>
      </c>
      <c r="N35" t="s">
        <v>46</v>
      </c>
      <c r="O35" t="s">
        <v>47</v>
      </c>
      <c r="P35" s="5">
        <v>1</v>
      </c>
      <c r="Q35" s="11">
        <v>44853.570393518516</v>
      </c>
      <c r="R35" s="12">
        <v>44855</v>
      </c>
      <c r="S35" t="s">
        <v>41</v>
      </c>
      <c r="T35" t="s">
        <v>48</v>
      </c>
      <c r="U35" t="s">
        <v>49</v>
      </c>
      <c r="V35" t="s">
        <v>61</v>
      </c>
      <c r="Y35" t="s">
        <v>170</v>
      </c>
      <c r="Z35">
        <v>43000</v>
      </c>
      <c r="AA35" t="s">
        <v>48</v>
      </c>
      <c r="AB35" t="s">
        <v>49</v>
      </c>
      <c r="AC35" t="s">
        <v>53</v>
      </c>
      <c r="AD35" s="13">
        <f>IF(P35&lt;=1,7,7+0.8*ROUNDUP(P35-1,0))</f>
        <v>7</v>
      </c>
      <c r="AE35" s="14">
        <v>0</v>
      </c>
      <c r="AF35" s="14">
        <v>0</v>
      </c>
      <c r="AG35" s="14">
        <v>0</v>
      </c>
      <c r="AH35" s="14">
        <v>0</v>
      </c>
      <c r="AI35" s="14">
        <f t="shared" si="0"/>
        <v>0.42</v>
      </c>
      <c r="AJ35" s="14">
        <f t="shared" si="1"/>
        <v>7.42</v>
      </c>
      <c r="AK35" t="s">
        <v>48</v>
      </c>
      <c r="AN35" s="12"/>
    </row>
    <row r="36" spans="1:40" ht="15" customHeight="1" x14ac:dyDescent="0.35">
      <c r="A36">
        <v>690929</v>
      </c>
      <c r="B36" t="s">
        <v>37</v>
      </c>
      <c r="C36" t="s">
        <v>38</v>
      </c>
      <c r="D36" s="2" t="s">
        <v>39</v>
      </c>
      <c r="E36" s="9" t="s">
        <v>37</v>
      </c>
      <c r="F36" s="10"/>
      <c r="G36" t="s">
        <v>171</v>
      </c>
      <c r="H36" t="s">
        <v>41</v>
      </c>
      <c r="I36" t="s">
        <v>42</v>
      </c>
      <c r="J36" t="s">
        <v>172</v>
      </c>
      <c r="K36" t="s">
        <v>44</v>
      </c>
      <c r="L36">
        <v>2</v>
      </c>
      <c r="M36" t="s">
        <v>45</v>
      </c>
      <c r="N36" t="s">
        <v>46</v>
      </c>
      <c r="O36" t="s">
        <v>47</v>
      </c>
      <c r="P36" s="5">
        <v>1</v>
      </c>
      <c r="Q36" s="11">
        <v>44851.74359953704</v>
      </c>
      <c r="R36" s="12">
        <v>44855</v>
      </c>
      <c r="S36" t="s">
        <v>41</v>
      </c>
      <c r="T36" t="s">
        <v>48</v>
      </c>
      <c r="U36" t="s">
        <v>49</v>
      </c>
      <c r="V36" t="s">
        <v>61</v>
      </c>
      <c r="Y36" t="s">
        <v>173</v>
      </c>
      <c r="Z36">
        <v>62200</v>
      </c>
      <c r="AA36" t="s">
        <v>48</v>
      </c>
      <c r="AB36" t="s">
        <v>49</v>
      </c>
      <c r="AC36" t="s">
        <v>53</v>
      </c>
      <c r="AD36" s="13">
        <f>IF(P36&lt;=1,7,7+0.8*ROUNDUP(P36-1,0))</f>
        <v>7</v>
      </c>
      <c r="AE36" s="14">
        <v>0</v>
      </c>
      <c r="AF36" s="14">
        <v>0</v>
      </c>
      <c r="AG36" s="14">
        <v>0</v>
      </c>
      <c r="AH36" s="14">
        <v>0</v>
      </c>
      <c r="AI36" s="14">
        <f t="shared" si="0"/>
        <v>0.42</v>
      </c>
      <c r="AJ36" s="14">
        <f t="shared" si="1"/>
        <v>7.42</v>
      </c>
      <c r="AK36" t="s">
        <v>48</v>
      </c>
      <c r="AN36" s="12"/>
    </row>
    <row r="37" spans="1:40" ht="15" customHeight="1" x14ac:dyDescent="0.35">
      <c r="A37">
        <v>690929</v>
      </c>
      <c r="B37" t="s">
        <v>37</v>
      </c>
      <c r="C37" t="s">
        <v>38</v>
      </c>
      <c r="D37" s="2" t="s">
        <v>39</v>
      </c>
      <c r="E37" s="9" t="s">
        <v>37</v>
      </c>
      <c r="F37" s="10"/>
      <c r="G37" t="s">
        <v>174</v>
      </c>
      <c r="H37" t="s">
        <v>41</v>
      </c>
      <c r="I37" t="s">
        <v>42</v>
      </c>
      <c r="J37" t="s">
        <v>175</v>
      </c>
      <c r="K37" t="s">
        <v>44</v>
      </c>
      <c r="L37">
        <v>2</v>
      </c>
      <c r="M37" t="s">
        <v>45</v>
      </c>
      <c r="N37" t="s">
        <v>46</v>
      </c>
      <c r="O37" t="s">
        <v>47</v>
      </c>
      <c r="P37" s="5">
        <v>2</v>
      </c>
      <c r="Q37" s="11">
        <v>44853.54755787037</v>
      </c>
      <c r="R37" s="12">
        <v>44855</v>
      </c>
      <c r="S37" t="s">
        <v>41</v>
      </c>
      <c r="T37" t="s">
        <v>48</v>
      </c>
      <c r="U37" t="s">
        <v>49</v>
      </c>
      <c r="V37" t="s">
        <v>50</v>
      </c>
      <c r="Y37" t="s">
        <v>176</v>
      </c>
      <c r="Z37">
        <v>9100</v>
      </c>
      <c r="AA37" t="s">
        <v>48</v>
      </c>
      <c r="AB37" t="s">
        <v>52</v>
      </c>
      <c r="AC37" t="s">
        <v>53</v>
      </c>
      <c r="AD37" s="13">
        <f>IF(P37&lt;=1,7,7+0.8*ROUNDUP(P37-1,0))</f>
        <v>7.8</v>
      </c>
      <c r="AE37" s="14">
        <v>0</v>
      </c>
      <c r="AF37" s="14">
        <v>0</v>
      </c>
      <c r="AG37" s="14">
        <v>0</v>
      </c>
      <c r="AH37" s="14">
        <v>0</v>
      </c>
      <c r="AI37" s="14">
        <f t="shared" si="0"/>
        <v>0.46799999999999997</v>
      </c>
      <c r="AJ37" s="14">
        <f t="shared" si="1"/>
        <v>8.2680000000000007</v>
      </c>
      <c r="AK37" t="s">
        <v>48</v>
      </c>
      <c r="AN37" s="12"/>
    </row>
    <row r="38" spans="1:40" ht="15" customHeight="1" x14ac:dyDescent="0.35">
      <c r="A38">
        <v>690929</v>
      </c>
      <c r="B38" t="s">
        <v>37</v>
      </c>
      <c r="C38" t="s">
        <v>38</v>
      </c>
      <c r="D38" s="2" t="s">
        <v>39</v>
      </c>
      <c r="E38" s="9" t="s">
        <v>37</v>
      </c>
      <c r="F38" s="10"/>
      <c r="G38" t="s">
        <v>177</v>
      </c>
      <c r="H38" t="s">
        <v>41</v>
      </c>
      <c r="I38" t="s">
        <v>42</v>
      </c>
      <c r="J38" t="s">
        <v>178</v>
      </c>
      <c r="K38" t="s">
        <v>44</v>
      </c>
      <c r="L38">
        <v>2</v>
      </c>
      <c r="M38" t="s">
        <v>45</v>
      </c>
      <c r="N38" t="s">
        <v>46</v>
      </c>
      <c r="O38" t="s">
        <v>47</v>
      </c>
      <c r="P38" s="5">
        <v>1</v>
      </c>
      <c r="Q38" s="11">
        <v>44853.567893518521</v>
      </c>
      <c r="R38" s="12">
        <v>44855</v>
      </c>
      <c r="S38" t="s">
        <v>41</v>
      </c>
      <c r="T38" t="s">
        <v>48</v>
      </c>
      <c r="U38" t="s">
        <v>49</v>
      </c>
      <c r="V38" t="s">
        <v>61</v>
      </c>
      <c r="Y38" t="s">
        <v>179</v>
      </c>
      <c r="Z38">
        <v>62050</v>
      </c>
      <c r="AA38" t="s">
        <v>48</v>
      </c>
      <c r="AB38" t="s">
        <v>49</v>
      </c>
      <c r="AC38" t="s">
        <v>53</v>
      </c>
      <c r="AD38" s="13">
        <f>IF(P38&lt;=1,7,7+0.8*ROUNDUP(P38-1,0))</f>
        <v>7</v>
      </c>
      <c r="AE38" s="14">
        <v>0</v>
      </c>
      <c r="AF38" s="14">
        <v>0</v>
      </c>
      <c r="AG38" s="14">
        <v>0</v>
      </c>
      <c r="AH38" s="14">
        <v>0</v>
      </c>
      <c r="AI38" s="14">
        <f t="shared" si="0"/>
        <v>0.42</v>
      </c>
      <c r="AJ38" s="14">
        <f t="shared" si="1"/>
        <v>7.42</v>
      </c>
      <c r="AK38" t="s">
        <v>48</v>
      </c>
      <c r="AN38" s="12"/>
    </row>
    <row r="39" spans="1:40" ht="15" customHeight="1" x14ac:dyDescent="0.35">
      <c r="A39">
        <v>690929</v>
      </c>
      <c r="B39" t="s">
        <v>37</v>
      </c>
      <c r="C39" t="s">
        <v>38</v>
      </c>
      <c r="D39" s="2" t="s">
        <v>39</v>
      </c>
      <c r="E39" s="9" t="s">
        <v>37</v>
      </c>
      <c r="F39" s="10"/>
      <c r="G39" t="s">
        <v>180</v>
      </c>
      <c r="H39" t="s">
        <v>41</v>
      </c>
      <c r="I39" t="s">
        <v>42</v>
      </c>
      <c r="J39" t="s">
        <v>181</v>
      </c>
      <c r="K39" t="s">
        <v>44</v>
      </c>
      <c r="L39">
        <v>2</v>
      </c>
      <c r="M39" t="s">
        <v>45</v>
      </c>
      <c r="N39" t="s">
        <v>46</v>
      </c>
      <c r="O39" t="s">
        <v>47</v>
      </c>
      <c r="P39" s="5">
        <v>1</v>
      </c>
      <c r="Q39" s="11">
        <v>44854.384108796294</v>
      </c>
      <c r="R39" s="12">
        <v>44855</v>
      </c>
      <c r="S39" t="s">
        <v>41</v>
      </c>
      <c r="T39" t="s">
        <v>48</v>
      </c>
      <c r="U39" t="s">
        <v>49</v>
      </c>
      <c r="V39" t="s">
        <v>133</v>
      </c>
      <c r="Y39" t="s">
        <v>182</v>
      </c>
      <c r="Z39">
        <v>28000</v>
      </c>
      <c r="AA39" t="s">
        <v>48</v>
      </c>
      <c r="AB39" t="s">
        <v>49</v>
      </c>
      <c r="AC39" t="s">
        <v>53</v>
      </c>
      <c r="AD39" s="13">
        <f>IF(P39&lt;=1,7,7+0.8*ROUNDUP(P39-1,0))</f>
        <v>7</v>
      </c>
      <c r="AE39" s="14">
        <v>0</v>
      </c>
      <c r="AF39" s="14">
        <v>0</v>
      </c>
      <c r="AG39" s="14">
        <v>0</v>
      </c>
      <c r="AH39" s="14">
        <v>0</v>
      </c>
      <c r="AI39" s="14">
        <f t="shared" si="0"/>
        <v>0.42</v>
      </c>
      <c r="AJ39" s="14">
        <f t="shared" si="1"/>
        <v>7.42</v>
      </c>
      <c r="AK39" t="s">
        <v>48</v>
      </c>
      <c r="AN39" s="12"/>
    </row>
    <row r="40" spans="1:40" ht="15" customHeight="1" x14ac:dyDescent="0.35">
      <c r="A40">
        <v>690929</v>
      </c>
      <c r="B40" t="s">
        <v>37</v>
      </c>
      <c r="C40" t="s">
        <v>38</v>
      </c>
      <c r="D40" s="2" t="s">
        <v>39</v>
      </c>
      <c r="E40" s="9" t="s">
        <v>37</v>
      </c>
      <c r="F40" s="10"/>
      <c r="G40" t="s">
        <v>183</v>
      </c>
      <c r="H40" t="s">
        <v>41</v>
      </c>
      <c r="I40" t="s">
        <v>42</v>
      </c>
      <c r="J40" t="s">
        <v>184</v>
      </c>
      <c r="K40" t="s">
        <v>44</v>
      </c>
      <c r="L40">
        <v>2</v>
      </c>
      <c r="M40" t="s">
        <v>45</v>
      </c>
      <c r="N40" t="s">
        <v>46</v>
      </c>
      <c r="O40" t="s">
        <v>47</v>
      </c>
      <c r="P40" s="5">
        <v>1</v>
      </c>
      <c r="Q40" s="11">
        <v>44854.690752314818</v>
      </c>
      <c r="R40" s="12">
        <v>44856</v>
      </c>
      <c r="S40" t="s">
        <v>41</v>
      </c>
      <c r="T40" t="s">
        <v>48</v>
      </c>
      <c r="U40" t="s">
        <v>104</v>
      </c>
      <c r="V40" t="s">
        <v>56</v>
      </c>
      <c r="Y40" t="s">
        <v>185</v>
      </c>
      <c r="Z40">
        <v>81100</v>
      </c>
      <c r="AA40" t="s">
        <v>48</v>
      </c>
      <c r="AB40" t="s">
        <v>104</v>
      </c>
      <c r="AC40" t="s">
        <v>53</v>
      </c>
      <c r="AD40" s="13">
        <f>IF(P40&lt;=1,7,7+0.8*ROUNDUP(P40-1,0))</f>
        <v>7</v>
      </c>
      <c r="AE40" s="14">
        <v>0</v>
      </c>
      <c r="AF40" s="14">
        <v>0</v>
      </c>
      <c r="AG40" s="14">
        <v>0</v>
      </c>
      <c r="AH40" s="14">
        <v>0</v>
      </c>
      <c r="AI40" s="14">
        <f t="shared" si="0"/>
        <v>0.42</v>
      </c>
      <c r="AJ40" s="14">
        <f t="shared" si="1"/>
        <v>7.42</v>
      </c>
      <c r="AK40" t="s">
        <v>48</v>
      </c>
      <c r="AN40" s="12"/>
    </row>
    <row r="41" spans="1:40" ht="15" customHeight="1" x14ac:dyDescent="0.35">
      <c r="A41">
        <v>690929</v>
      </c>
      <c r="B41" t="s">
        <v>37</v>
      </c>
      <c r="C41" t="s">
        <v>38</v>
      </c>
      <c r="D41" s="2" t="s">
        <v>39</v>
      </c>
      <c r="E41" s="9" t="s">
        <v>37</v>
      </c>
      <c r="F41" s="10"/>
      <c r="G41" t="s">
        <v>186</v>
      </c>
      <c r="H41" t="s">
        <v>41</v>
      </c>
      <c r="I41" t="s">
        <v>42</v>
      </c>
      <c r="J41" t="s">
        <v>187</v>
      </c>
      <c r="K41" t="s">
        <v>44</v>
      </c>
      <c r="L41">
        <v>2</v>
      </c>
      <c r="M41" t="s">
        <v>45</v>
      </c>
      <c r="N41" t="s">
        <v>46</v>
      </c>
      <c r="O41" t="s">
        <v>47</v>
      </c>
      <c r="P41" s="5">
        <v>1</v>
      </c>
      <c r="Q41" s="11">
        <v>44853.562951388885</v>
      </c>
      <c r="R41" s="12">
        <v>44856</v>
      </c>
      <c r="S41" t="s">
        <v>41</v>
      </c>
      <c r="T41" t="s">
        <v>48</v>
      </c>
      <c r="U41" t="s">
        <v>49</v>
      </c>
      <c r="V41" t="s">
        <v>188</v>
      </c>
      <c r="Y41" t="s">
        <v>189</v>
      </c>
      <c r="Z41">
        <v>94300</v>
      </c>
      <c r="AA41" t="s">
        <v>94</v>
      </c>
      <c r="AB41" t="s">
        <v>190</v>
      </c>
      <c r="AC41" t="s">
        <v>53</v>
      </c>
      <c r="AD41" s="15">
        <f>IF(P41&lt;=1,13,IF(P41&lt;=2,23,IF(P41&lt;=3,35,IF(P41&lt;=4,43,IF(P41&lt;=5,53,IF(P41&lt;=6,63,IF(P41&lt;=7,71,IF(P41&lt;=8,79,IF(P41&lt;=9,87,IF(P41&lt;=10,95,IF(P41&lt;=11,105,IF(P41&lt;=12,114,IF(P41&lt;=13,119,IF(P41&lt;=14,127,IF(P41&lt;=15,135,IF(P41&lt;=16,143,IF(P41&lt;=17,153,IF(P41&lt;=18,163,IF(P41&lt;=19,171,IF(P41&lt;=20,185,IF(P41&lt;=21,193,IF(P41&lt;=22,201,IF(P41&lt;=23,210,IF(P41&lt;=24,220,IF(P41&lt;=25,230,IF(P41&lt;=26,240,IF(P41&lt;=27,250,IF(P41&lt;=28,260,IF(P41&lt;=29,270,IF(P41&lt;=30,280,280))))))))))))))))))))))))))))))</f>
        <v>13</v>
      </c>
      <c r="AE41" s="14">
        <v>0</v>
      </c>
      <c r="AF41" s="14">
        <v>0</v>
      </c>
      <c r="AG41" s="14">
        <v>0</v>
      </c>
      <c r="AH41" s="14">
        <v>0</v>
      </c>
      <c r="AI41" s="14">
        <f t="shared" si="0"/>
        <v>0.78</v>
      </c>
      <c r="AJ41" s="14">
        <f t="shared" si="1"/>
        <v>13.78</v>
      </c>
      <c r="AK41" t="s">
        <v>94</v>
      </c>
      <c r="AN41" s="12"/>
    </row>
    <row r="42" spans="1:40" ht="15" customHeight="1" x14ac:dyDescent="0.35">
      <c r="A42">
        <v>690929</v>
      </c>
      <c r="B42" t="s">
        <v>37</v>
      </c>
      <c r="C42" t="s">
        <v>38</v>
      </c>
      <c r="D42" s="2" t="s">
        <v>39</v>
      </c>
      <c r="E42" s="9" t="s">
        <v>37</v>
      </c>
      <c r="F42" s="10"/>
      <c r="G42" t="s">
        <v>191</v>
      </c>
      <c r="H42" t="s">
        <v>41</v>
      </c>
      <c r="I42" t="s">
        <v>42</v>
      </c>
      <c r="J42" t="s">
        <v>192</v>
      </c>
      <c r="K42" t="s">
        <v>44</v>
      </c>
      <c r="L42">
        <v>2</v>
      </c>
      <c r="M42" t="s">
        <v>45</v>
      </c>
      <c r="N42" t="s">
        <v>46</v>
      </c>
      <c r="O42" t="s">
        <v>47</v>
      </c>
      <c r="P42" s="5">
        <v>2</v>
      </c>
      <c r="Q42" s="11">
        <v>44856.577905092592</v>
      </c>
      <c r="R42" s="12">
        <v>44857</v>
      </c>
      <c r="S42" t="s">
        <v>41</v>
      </c>
      <c r="T42" t="s">
        <v>48</v>
      </c>
      <c r="U42" t="s">
        <v>49</v>
      </c>
      <c r="V42" t="s">
        <v>193</v>
      </c>
      <c r="Y42" t="s">
        <v>194</v>
      </c>
      <c r="Z42">
        <v>57100</v>
      </c>
      <c r="AA42" t="s">
        <v>48</v>
      </c>
      <c r="AB42" t="s">
        <v>195</v>
      </c>
      <c r="AC42" t="s">
        <v>53</v>
      </c>
      <c r="AD42" s="13">
        <f>IF(P42&lt;=1,7,7+0.8*ROUNDUP(P42-1,0))</f>
        <v>7.8</v>
      </c>
      <c r="AE42" s="14">
        <v>0</v>
      </c>
      <c r="AF42" s="14">
        <v>0</v>
      </c>
      <c r="AG42" s="14">
        <v>0</v>
      </c>
      <c r="AH42" s="14">
        <v>0</v>
      </c>
      <c r="AI42" s="14">
        <f t="shared" si="0"/>
        <v>0.46799999999999997</v>
      </c>
      <c r="AJ42" s="14">
        <f t="shared" si="1"/>
        <v>8.2680000000000007</v>
      </c>
      <c r="AK42" t="s">
        <v>48</v>
      </c>
      <c r="AN42" s="12"/>
    </row>
    <row r="43" spans="1:40" ht="15" customHeight="1" x14ac:dyDescent="0.35">
      <c r="A43">
        <v>690929</v>
      </c>
      <c r="B43" t="s">
        <v>37</v>
      </c>
      <c r="C43" t="s">
        <v>38</v>
      </c>
      <c r="D43" s="2" t="s">
        <v>39</v>
      </c>
      <c r="E43" s="9" t="s">
        <v>37</v>
      </c>
      <c r="F43" s="10"/>
      <c r="G43" t="s">
        <v>196</v>
      </c>
      <c r="H43" t="s">
        <v>41</v>
      </c>
      <c r="I43" t="s">
        <v>42</v>
      </c>
      <c r="J43" t="s">
        <v>197</v>
      </c>
      <c r="K43" t="s">
        <v>44</v>
      </c>
      <c r="L43">
        <v>2</v>
      </c>
      <c r="M43" t="s">
        <v>45</v>
      </c>
      <c r="N43" t="s">
        <v>46</v>
      </c>
      <c r="O43" t="s">
        <v>47</v>
      </c>
      <c r="P43" s="5">
        <v>5</v>
      </c>
      <c r="Q43" s="11">
        <v>44856.604305555556</v>
      </c>
      <c r="R43" s="12">
        <v>44857</v>
      </c>
      <c r="S43" t="s">
        <v>41</v>
      </c>
      <c r="T43" t="s">
        <v>48</v>
      </c>
      <c r="U43" t="s">
        <v>49</v>
      </c>
      <c r="V43" t="s">
        <v>122</v>
      </c>
      <c r="Y43" t="s">
        <v>198</v>
      </c>
      <c r="Z43">
        <v>18300</v>
      </c>
      <c r="AA43" t="s">
        <v>48</v>
      </c>
      <c r="AB43" t="s">
        <v>199</v>
      </c>
      <c r="AC43" t="s">
        <v>53</v>
      </c>
      <c r="AD43" s="13">
        <f>IF(P43&lt;=1,7,7+0.8*ROUNDUP(P43-1,0))</f>
        <v>10.199999999999999</v>
      </c>
      <c r="AE43" s="14">
        <v>0</v>
      </c>
      <c r="AF43" s="14">
        <v>0</v>
      </c>
      <c r="AG43" s="14">
        <v>0</v>
      </c>
      <c r="AH43" s="14">
        <v>0</v>
      </c>
      <c r="AI43" s="14">
        <f t="shared" si="0"/>
        <v>0.61199999999999999</v>
      </c>
      <c r="AJ43" s="14">
        <f t="shared" si="1"/>
        <v>10.811999999999999</v>
      </c>
      <c r="AK43" t="s">
        <v>48</v>
      </c>
      <c r="AN43" s="12"/>
    </row>
    <row r="44" spans="1:40" ht="15" customHeight="1" x14ac:dyDescent="0.35">
      <c r="A44">
        <v>690929</v>
      </c>
      <c r="B44" t="s">
        <v>37</v>
      </c>
      <c r="C44" t="s">
        <v>38</v>
      </c>
      <c r="D44" s="2" t="s">
        <v>39</v>
      </c>
      <c r="E44" s="9" t="s">
        <v>37</v>
      </c>
      <c r="F44" s="10"/>
      <c r="G44" t="s">
        <v>200</v>
      </c>
      <c r="H44" t="s">
        <v>41</v>
      </c>
      <c r="I44" t="s">
        <v>42</v>
      </c>
      <c r="J44" t="s">
        <v>201</v>
      </c>
      <c r="K44" t="s">
        <v>44</v>
      </c>
      <c r="L44">
        <v>2</v>
      </c>
      <c r="M44" t="s">
        <v>45</v>
      </c>
      <c r="N44" t="s">
        <v>46</v>
      </c>
      <c r="O44" t="s">
        <v>47</v>
      </c>
      <c r="P44" s="5">
        <v>1</v>
      </c>
      <c r="Q44" s="11">
        <v>44853.550497685188</v>
      </c>
      <c r="R44" s="12">
        <v>44857</v>
      </c>
      <c r="S44" t="s">
        <v>41</v>
      </c>
      <c r="T44" t="s">
        <v>48</v>
      </c>
      <c r="U44" t="s">
        <v>49</v>
      </c>
      <c r="V44" t="s">
        <v>56</v>
      </c>
      <c r="Y44" t="s">
        <v>202</v>
      </c>
      <c r="Z44">
        <v>86400</v>
      </c>
      <c r="AA44" t="s">
        <v>48</v>
      </c>
      <c r="AB44" t="s">
        <v>203</v>
      </c>
      <c r="AC44" t="s">
        <v>53</v>
      </c>
      <c r="AD44" s="13">
        <f>IF(P44&lt;=1,7,7+0.8*ROUNDUP(P44-1,0))</f>
        <v>7</v>
      </c>
      <c r="AE44" s="14">
        <v>0</v>
      </c>
      <c r="AF44" s="14">
        <v>0</v>
      </c>
      <c r="AG44" s="14">
        <v>0</v>
      </c>
      <c r="AH44" s="14">
        <v>0</v>
      </c>
      <c r="AI44" s="14">
        <f t="shared" si="0"/>
        <v>0.42</v>
      </c>
      <c r="AJ44" s="14">
        <f t="shared" si="1"/>
        <v>7.42</v>
      </c>
      <c r="AK44" t="s">
        <v>48</v>
      </c>
      <c r="AN44" s="12"/>
    </row>
    <row r="45" spans="1:40" ht="15" customHeight="1" x14ac:dyDescent="0.35">
      <c r="A45">
        <v>690929</v>
      </c>
      <c r="B45" t="s">
        <v>37</v>
      </c>
      <c r="C45" t="s">
        <v>38</v>
      </c>
      <c r="D45" s="2" t="s">
        <v>39</v>
      </c>
      <c r="E45" s="9" t="s">
        <v>37</v>
      </c>
      <c r="F45" s="10"/>
      <c r="G45" t="s">
        <v>204</v>
      </c>
      <c r="H45" t="s">
        <v>41</v>
      </c>
      <c r="I45" t="s">
        <v>42</v>
      </c>
      <c r="J45" t="s">
        <v>205</v>
      </c>
      <c r="K45" t="s">
        <v>44</v>
      </c>
      <c r="L45">
        <v>2</v>
      </c>
      <c r="M45" t="s">
        <v>45</v>
      </c>
      <c r="N45" t="s">
        <v>46</v>
      </c>
      <c r="O45" t="s">
        <v>47</v>
      </c>
      <c r="P45" s="5">
        <v>1</v>
      </c>
      <c r="Q45" s="11">
        <v>44854.491446759261</v>
      </c>
      <c r="R45" s="12">
        <v>44859</v>
      </c>
      <c r="S45" t="s">
        <v>41</v>
      </c>
      <c r="T45" t="s">
        <v>48</v>
      </c>
      <c r="U45" t="s">
        <v>49</v>
      </c>
      <c r="V45" t="s">
        <v>193</v>
      </c>
      <c r="Y45" t="s">
        <v>206</v>
      </c>
      <c r="Z45">
        <v>50050</v>
      </c>
      <c r="AA45" t="s">
        <v>48</v>
      </c>
      <c r="AB45" t="s">
        <v>104</v>
      </c>
      <c r="AC45" t="s">
        <v>53</v>
      </c>
      <c r="AD45" s="13">
        <f>IF(P45&lt;=1,7,7+0.8*ROUNDUP(P45-1,0))</f>
        <v>7</v>
      </c>
      <c r="AE45" s="14">
        <v>0</v>
      </c>
      <c r="AF45" s="14">
        <v>0</v>
      </c>
      <c r="AG45" s="14">
        <v>0</v>
      </c>
      <c r="AH45" s="14">
        <v>0</v>
      </c>
      <c r="AI45" s="14">
        <f t="shared" si="0"/>
        <v>0.42</v>
      </c>
      <c r="AJ45" s="14">
        <f t="shared" si="1"/>
        <v>7.42</v>
      </c>
      <c r="AK45" t="s">
        <v>48</v>
      </c>
      <c r="AN45" s="12"/>
    </row>
    <row r="46" spans="1:40" ht="15" customHeight="1" x14ac:dyDescent="0.35">
      <c r="A46">
        <v>690929</v>
      </c>
      <c r="B46" t="s">
        <v>37</v>
      </c>
      <c r="C46" t="s">
        <v>38</v>
      </c>
      <c r="D46" s="2" t="s">
        <v>39</v>
      </c>
      <c r="E46" s="9" t="s">
        <v>37</v>
      </c>
      <c r="F46" s="10"/>
      <c r="G46" t="s">
        <v>207</v>
      </c>
      <c r="H46" t="s">
        <v>41</v>
      </c>
      <c r="I46" t="s">
        <v>42</v>
      </c>
      <c r="J46" t="s">
        <v>208</v>
      </c>
      <c r="K46" t="s">
        <v>44</v>
      </c>
      <c r="L46">
        <v>2</v>
      </c>
      <c r="M46" t="s">
        <v>45</v>
      </c>
      <c r="N46" t="s">
        <v>46</v>
      </c>
      <c r="O46" t="s">
        <v>47</v>
      </c>
      <c r="P46" s="5">
        <v>1</v>
      </c>
      <c r="Q46" s="11">
        <v>44857.608564814815</v>
      </c>
      <c r="R46" s="12">
        <v>44859</v>
      </c>
      <c r="S46" t="s">
        <v>41</v>
      </c>
      <c r="T46" t="s">
        <v>48</v>
      </c>
      <c r="U46" t="s">
        <v>49</v>
      </c>
      <c r="V46" t="s">
        <v>87</v>
      </c>
      <c r="Y46" t="s">
        <v>209</v>
      </c>
      <c r="Z46">
        <v>20050</v>
      </c>
      <c r="AA46" t="s">
        <v>48</v>
      </c>
      <c r="AB46" t="s">
        <v>210</v>
      </c>
      <c r="AC46" t="s">
        <v>53</v>
      </c>
      <c r="AD46" s="13">
        <f>IF(P46&lt;=1,7,7+0.8*ROUNDUP(P46-1,0))</f>
        <v>7</v>
      </c>
      <c r="AE46" s="14">
        <v>0</v>
      </c>
      <c r="AF46" s="14">
        <v>0</v>
      </c>
      <c r="AG46" s="14">
        <v>0</v>
      </c>
      <c r="AH46" s="14">
        <v>0</v>
      </c>
      <c r="AI46" s="14">
        <f t="shared" si="0"/>
        <v>0.42</v>
      </c>
      <c r="AJ46" s="14">
        <f t="shared" si="1"/>
        <v>7.42</v>
      </c>
      <c r="AK46" t="s">
        <v>48</v>
      </c>
      <c r="AN46" s="12"/>
    </row>
    <row r="47" spans="1:40" ht="15" customHeight="1" x14ac:dyDescent="0.35">
      <c r="A47">
        <v>690929</v>
      </c>
      <c r="B47" t="s">
        <v>37</v>
      </c>
      <c r="C47" t="s">
        <v>38</v>
      </c>
      <c r="D47" s="2" t="s">
        <v>39</v>
      </c>
      <c r="E47" s="9" t="s">
        <v>37</v>
      </c>
      <c r="F47" s="10"/>
      <c r="G47" t="s">
        <v>211</v>
      </c>
      <c r="H47" t="s">
        <v>41</v>
      </c>
      <c r="I47" t="s">
        <v>42</v>
      </c>
      <c r="J47" t="s">
        <v>212</v>
      </c>
      <c r="K47" t="s">
        <v>44</v>
      </c>
      <c r="L47">
        <v>2</v>
      </c>
      <c r="M47" t="s">
        <v>45</v>
      </c>
      <c r="N47" t="s">
        <v>46</v>
      </c>
      <c r="O47" t="s">
        <v>47</v>
      </c>
      <c r="P47" s="5">
        <v>1</v>
      </c>
      <c r="Q47" s="11">
        <v>44854.629976851851</v>
      </c>
      <c r="R47" s="12">
        <v>44859</v>
      </c>
      <c r="S47" t="s">
        <v>41</v>
      </c>
      <c r="T47" t="s">
        <v>48</v>
      </c>
      <c r="U47" t="s">
        <v>49</v>
      </c>
      <c r="V47" t="s">
        <v>188</v>
      </c>
      <c r="Y47" t="s">
        <v>213</v>
      </c>
      <c r="Z47">
        <v>97000</v>
      </c>
      <c r="AA47" t="s">
        <v>94</v>
      </c>
      <c r="AB47" t="s">
        <v>214</v>
      </c>
      <c r="AC47" t="s">
        <v>53</v>
      </c>
      <c r="AD47" s="15">
        <f>IF(P47&lt;=1,13,IF(P47&lt;=2,23,IF(P47&lt;=3,35,IF(P47&lt;=4,43,IF(P47&lt;=5,53,IF(P47&lt;=6,63,IF(P47&lt;=7,71,IF(P47&lt;=8,79,IF(P47&lt;=9,87,IF(P47&lt;=10,95,IF(P47&lt;=11,105,IF(P47&lt;=12,114,IF(P47&lt;=13,119,IF(P47&lt;=14,127,IF(P47&lt;=15,135,IF(P47&lt;=16,143,IF(P47&lt;=17,153,IF(P47&lt;=18,163,IF(P47&lt;=19,171,IF(P47&lt;=20,185,IF(P47&lt;=21,193,IF(P47&lt;=22,201,IF(P47&lt;=23,210,IF(P47&lt;=24,220,IF(P47&lt;=25,230,IF(P47&lt;=26,240,IF(P47&lt;=27,250,IF(P47&lt;=28,260,IF(P47&lt;=29,270,IF(P47&lt;=30,280,280))))))))))))))))))))))))))))))</f>
        <v>13</v>
      </c>
      <c r="AE47" s="14">
        <v>0</v>
      </c>
      <c r="AF47" s="14">
        <v>0</v>
      </c>
      <c r="AG47" s="14">
        <v>0</v>
      </c>
      <c r="AH47" s="14">
        <v>0</v>
      </c>
      <c r="AI47" s="14">
        <f t="shared" si="0"/>
        <v>0.78</v>
      </c>
      <c r="AJ47" s="14">
        <f t="shared" si="1"/>
        <v>13.78</v>
      </c>
      <c r="AK47" t="s">
        <v>94</v>
      </c>
      <c r="AN47" s="12"/>
    </row>
    <row r="48" spans="1:40" ht="15" customHeight="1" x14ac:dyDescent="0.35">
      <c r="A48">
        <v>690929</v>
      </c>
      <c r="B48" t="s">
        <v>37</v>
      </c>
      <c r="C48" t="s">
        <v>38</v>
      </c>
      <c r="D48" s="2" t="s">
        <v>39</v>
      </c>
      <c r="E48" s="9" t="s">
        <v>37</v>
      </c>
      <c r="F48" s="10"/>
      <c r="G48" t="s">
        <v>215</v>
      </c>
      <c r="H48" t="s">
        <v>41</v>
      </c>
      <c r="I48" t="s">
        <v>42</v>
      </c>
      <c r="J48" t="s">
        <v>216</v>
      </c>
      <c r="K48" t="s">
        <v>44</v>
      </c>
      <c r="L48">
        <v>2</v>
      </c>
      <c r="M48" t="s">
        <v>45</v>
      </c>
      <c r="N48" t="s">
        <v>46</v>
      </c>
      <c r="O48" t="s">
        <v>47</v>
      </c>
      <c r="P48" s="5">
        <v>1</v>
      </c>
      <c r="Q48" s="11">
        <v>44857.61619212963</v>
      </c>
      <c r="R48" s="12">
        <v>44859</v>
      </c>
      <c r="S48" t="s">
        <v>41</v>
      </c>
      <c r="T48" t="s">
        <v>48</v>
      </c>
      <c r="U48" t="s">
        <v>49</v>
      </c>
      <c r="V48" t="s">
        <v>87</v>
      </c>
      <c r="Y48" t="s">
        <v>217</v>
      </c>
      <c r="Z48">
        <v>23100</v>
      </c>
      <c r="AA48" t="s">
        <v>48</v>
      </c>
      <c r="AB48" t="s">
        <v>49</v>
      </c>
      <c r="AC48" t="s">
        <v>53</v>
      </c>
      <c r="AD48" s="13">
        <f>IF(P48&lt;=1,7,7+0.8*ROUNDUP(P48-1,0))</f>
        <v>7</v>
      </c>
      <c r="AE48" s="14">
        <v>0</v>
      </c>
      <c r="AF48" s="14">
        <v>0</v>
      </c>
      <c r="AG48" s="14">
        <v>0</v>
      </c>
      <c r="AH48" s="14">
        <v>0</v>
      </c>
      <c r="AI48" s="14">
        <f t="shared" si="0"/>
        <v>0.42</v>
      </c>
      <c r="AJ48" s="14">
        <f t="shared" si="1"/>
        <v>7.42</v>
      </c>
      <c r="AK48" t="s">
        <v>48</v>
      </c>
      <c r="AN48" s="12"/>
    </row>
    <row r="49" spans="1:40" ht="15" customHeight="1" x14ac:dyDescent="0.35">
      <c r="A49">
        <v>690929</v>
      </c>
      <c r="B49" t="s">
        <v>37</v>
      </c>
      <c r="C49" t="s">
        <v>38</v>
      </c>
      <c r="D49" s="2" t="s">
        <v>39</v>
      </c>
      <c r="E49" s="9" t="s">
        <v>37</v>
      </c>
      <c r="F49" s="10"/>
      <c r="G49" t="s">
        <v>218</v>
      </c>
      <c r="H49" t="s">
        <v>41</v>
      </c>
      <c r="I49" t="s">
        <v>42</v>
      </c>
      <c r="J49" t="s">
        <v>219</v>
      </c>
      <c r="K49" t="s">
        <v>44</v>
      </c>
      <c r="L49">
        <v>2</v>
      </c>
      <c r="M49" t="s">
        <v>45</v>
      </c>
      <c r="N49" t="s">
        <v>46</v>
      </c>
      <c r="O49" t="s">
        <v>47</v>
      </c>
      <c r="P49" s="5">
        <v>3</v>
      </c>
      <c r="Q49" s="11">
        <v>44856.710740740738</v>
      </c>
      <c r="R49" s="12">
        <v>44859</v>
      </c>
      <c r="S49" t="s">
        <v>41</v>
      </c>
      <c r="T49" t="s">
        <v>48</v>
      </c>
      <c r="U49" t="s">
        <v>49</v>
      </c>
      <c r="V49" t="s">
        <v>61</v>
      </c>
      <c r="Y49" t="s">
        <v>220</v>
      </c>
      <c r="Z49">
        <v>47830</v>
      </c>
      <c r="AA49" t="s">
        <v>48</v>
      </c>
      <c r="AB49" t="s">
        <v>221</v>
      </c>
      <c r="AC49" t="s">
        <v>53</v>
      </c>
      <c r="AD49" s="13">
        <f>IF(P49&lt;=1,7,7+0.8*ROUNDUP(P49-1,0))</f>
        <v>8.6</v>
      </c>
      <c r="AE49" s="14">
        <v>0</v>
      </c>
      <c r="AF49" s="14">
        <v>0</v>
      </c>
      <c r="AG49" s="14">
        <v>0</v>
      </c>
      <c r="AH49" s="14">
        <v>0</v>
      </c>
      <c r="AI49" s="14">
        <f t="shared" si="0"/>
        <v>0.51600000000000001</v>
      </c>
      <c r="AJ49" s="14">
        <f t="shared" si="1"/>
        <v>9.1159999999999997</v>
      </c>
      <c r="AK49" t="s">
        <v>48</v>
      </c>
      <c r="AN49" s="12"/>
    </row>
    <row r="50" spans="1:40" ht="15" customHeight="1" x14ac:dyDescent="0.35">
      <c r="A50">
        <v>690929</v>
      </c>
      <c r="B50" t="s">
        <v>37</v>
      </c>
      <c r="C50" t="s">
        <v>38</v>
      </c>
      <c r="D50" s="2" t="s">
        <v>39</v>
      </c>
      <c r="E50" s="9" t="s">
        <v>37</v>
      </c>
      <c r="F50" s="10"/>
      <c r="G50" t="s">
        <v>222</v>
      </c>
      <c r="H50" t="s">
        <v>41</v>
      </c>
      <c r="I50" t="s">
        <v>42</v>
      </c>
      <c r="J50" t="s">
        <v>223</v>
      </c>
      <c r="K50" t="s">
        <v>44</v>
      </c>
      <c r="L50">
        <v>2</v>
      </c>
      <c r="M50" t="s">
        <v>45</v>
      </c>
      <c r="N50" t="s">
        <v>46</v>
      </c>
      <c r="O50" t="s">
        <v>47</v>
      </c>
      <c r="P50" s="5">
        <v>1</v>
      </c>
      <c r="Q50" s="11">
        <v>44857.607719907406</v>
      </c>
      <c r="R50" s="12">
        <v>44859</v>
      </c>
      <c r="S50" t="s">
        <v>41</v>
      </c>
      <c r="T50" t="s">
        <v>48</v>
      </c>
      <c r="U50" t="s">
        <v>49</v>
      </c>
      <c r="V50" t="s">
        <v>56</v>
      </c>
      <c r="Y50" t="s">
        <v>224</v>
      </c>
      <c r="Z50">
        <v>81400</v>
      </c>
      <c r="AA50" t="s">
        <v>48</v>
      </c>
      <c r="AB50" t="s">
        <v>225</v>
      </c>
      <c r="AC50" t="s">
        <v>53</v>
      </c>
      <c r="AD50" s="13">
        <f>IF(P50&lt;=1,7,7+0.8*ROUNDUP(P50-1,0))</f>
        <v>7</v>
      </c>
      <c r="AE50" s="14">
        <v>0</v>
      </c>
      <c r="AF50" s="14">
        <v>0</v>
      </c>
      <c r="AG50" s="14">
        <v>0</v>
      </c>
      <c r="AH50" s="14">
        <v>0</v>
      </c>
      <c r="AI50" s="14">
        <f t="shared" si="0"/>
        <v>0.42</v>
      </c>
      <c r="AJ50" s="14">
        <f t="shared" si="1"/>
        <v>7.42</v>
      </c>
      <c r="AK50" t="s">
        <v>48</v>
      </c>
      <c r="AN50" s="12"/>
    </row>
    <row r="51" spans="1:40" ht="15" customHeight="1" x14ac:dyDescent="0.35">
      <c r="A51">
        <v>690929</v>
      </c>
      <c r="B51" t="s">
        <v>37</v>
      </c>
      <c r="C51" t="s">
        <v>38</v>
      </c>
      <c r="D51" s="2" t="s">
        <v>39</v>
      </c>
      <c r="E51" s="9" t="s">
        <v>37</v>
      </c>
      <c r="F51" s="10"/>
      <c r="G51" t="s">
        <v>226</v>
      </c>
      <c r="H51" t="s">
        <v>41</v>
      </c>
      <c r="I51" t="s">
        <v>42</v>
      </c>
      <c r="J51" t="s">
        <v>227</v>
      </c>
      <c r="K51" t="s">
        <v>44</v>
      </c>
      <c r="L51">
        <v>2</v>
      </c>
      <c r="M51" t="s">
        <v>45</v>
      </c>
      <c r="N51" t="s">
        <v>46</v>
      </c>
      <c r="O51" t="s">
        <v>47</v>
      </c>
      <c r="P51" s="5">
        <v>1</v>
      </c>
      <c r="Q51" s="11">
        <v>44856.71597222222</v>
      </c>
      <c r="R51" s="12">
        <v>44859</v>
      </c>
      <c r="S51" t="s">
        <v>41</v>
      </c>
      <c r="T51" t="s">
        <v>48</v>
      </c>
      <c r="U51" t="s">
        <v>49</v>
      </c>
      <c r="V51" t="s">
        <v>61</v>
      </c>
      <c r="Y51" t="s">
        <v>228</v>
      </c>
      <c r="Z51">
        <v>40460</v>
      </c>
      <c r="AA51" t="s">
        <v>48</v>
      </c>
      <c r="AB51" t="s">
        <v>52</v>
      </c>
      <c r="AC51" t="s">
        <v>53</v>
      </c>
      <c r="AD51" s="13">
        <f>IF(P51&lt;=1,7,7+0.8*ROUNDUP(P51-1,0))</f>
        <v>7</v>
      </c>
      <c r="AE51" s="14">
        <v>0</v>
      </c>
      <c r="AF51" s="14">
        <v>0</v>
      </c>
      <c r="AG51" s="14">
        <v>0</v>
      </c>
      <c r="AH51" s="14">
        <v>0</v>
      </c>
      <c r="AI51" s="14">
        <f t="shared" si="0"/>
        <v>0.42</v>
      </c>
      <c r="AJ51" s="14">
        <f t="shared" si="1"/>
        <v>7.42</v>
      </c>
      <c r="AK51" t="s">
        <v>48</v>
      </c>
      <c r="AN51" s="12"/>
    </row>
    <row r="52" spans="1:40" ht="15" customHeight="1" x14ac:dyDescent="0.35">
      <c r="A52">
        <v>690929</v>
      </c>
      <c r="B52" t="s">
        <v>37</v>
      </c>
      <c r="C52" t="s">
        <v>38</v>
      </c>
      <c r="D52" s="2" t="s">
        <v>39</v>
      </c>
      <c r="E52" s="9" t="s">
        <v>37</v>
      </c>
      <c r="F52" s="10"/>
      <c r="G52" t="s">
        <v>229</v>
      </c>
      <c r="H52" t="s">
        <v>41</v>
      </c>
      <c r="I52" t="s">
        <v>42</v>
      </c>
      <c r="J52" t="s">
        <v>230</v>
      </c>
      <c r="K52" t="s">
        <v>44</v>
      </c>
      <c r="L52">
        <v>2</v>
      </c>
      <c r="M52" t="s">
        <v>45</v>
      </c>
      <c r="N52" t="s">
        <v>46</v>
      </c>
      <c r="O52" t="s">
        <v>47</v>
      </c>
      <c r="P52" s="5">
        <v>5</v>
      </c>
      <c r="Q52" s="11">
        <v>44857.47965277778</v>
      </c>
      <c r="R52" s="12">
        <v>44859</v>
      </c>
      <c r="S52" t="s">
        <v>41</v>
      </c>
      <c r="T52" t="s">
        <v>48</v>
      </c>
      <c r="U52" t="s">
        <v>49</v>
      </c>
      <c r="V52" t="s">
        <v>231</v>
      </c>
      <c r="Y52" t="s">
        <v>232</v>
      </c>
      <c r="Z52">
        <v>34700</v>
      </c>
      <c r="AA52" t="s">
        <v>48</v>
      </c>
      <c r="AB52" t="s">
        <v>233</v>
      </c>
      <c r="AC52" t="s">
        <v>53</v>
      </c>
      <c r="AD52" s="13">
        <f>IF(P52&lt;=1,7,7+0.8*ROUNDUP(P52-1,0))</f>
        <v>10.199999999999999</v>
      </c>
      <c r="AE52" s="14">
        <v>0</v>
      </c>
      <c r="AF52" s="14">
        <v>0</v>
      </c>
      <c r="AG52" s="14">
        <v>0</v>
      </c>
      <c r="AH52" s="14">
        <v>0</v>
      </c>
      <c r="AI52" s="14">
        <f t="shared" si="0"/>
        <v>0.61199999999999999</v>
      </c>
      <c r="AJ52" s="14">
        <f t="shared" si="1"/>
        <v>10.811999999999999</v>
      </c>
      <c r="AK52" t="s">
        <v>48</v>
      </c>
      <c r="AN52" s="12"/>
    </row>
    <row r="53" spans="1:40" ht="15" customHeight="1" x14ac:dyDescent="0.35">
      <c r="A53">
        <v>690929</v>
      </c>
      <c r="B53" t="s">
        <v>37</v>
      </c>
      <c r="C53" t="s">
        <v>38</v>
      </c>
      <c r="D53" s="2" t="s">
        <v>39</v>
      </c>
      <c r="E53" s="9" t="s">
        <v>37</v>
      </c>
      <c r="F53" s="10"/>
      <c r="G53" t="s">
        <v>234</v>
      </c>
      <c r="H53" t="s">
        <v>41</v>
      </c>
      <c r="I53" t="s">
        <v>42</v>
      </c>
      <c r="J53" t="s">
        <v>235</v>
      </c>
      <c r="K53" t="s">
        <v>44</v>
      </c>
      <c r="L53">
        <v>2</v>
      </c>
      <c r="M53" t="s">
        <v>45</v>
      </c>
      <c r="N53" t="s">
        <v>46</v>
      </c>
      <c r="O53" t="s">
        <v>47</v>
      </c>
      <c r="P53" s="5">
        <v>1</v>
      </c>
      <c r="Q53" s="11">
        <v>44856.757638888892</v>
      </c>
      <c r="R53" s="12">
        <v>44859</v>
      </c>
      <c r="S53" t="s">
        <v>41</v>
      </c>
      <c r="T53" t="s">
        <v>48</v>
      </c>
      <c r="U53" t="s">
        <v>49</v>
      </c>
      <c r="V53" t="s">
        <v>61</v>
      </c>
      <c r="Y53" t="s">
        <v>236</v>
      </c>
      <c r="Z53">
        <v>53100</v>
      </c>
      <c r="AA53" t="s">
        <v>48</v>
      </c>
      <c r="AB53" t="s">
        <v>52</v>
      </c>
      <c r="AC53" t="s">
        <v>53</v>
      </c>
      <c r="AD53" s="13">
        <f>IF(P53&lt;=1,7,7+0.8*ROUNDUP(P53-1,0))</f>
        <v>7</v>
      </c>
      <c r="AE53" s="14">
        <v>0</v>
      </c>
      <c r="AF53" s="14">
        <v>0</v>
      </c>
      <c r="AG53" s="14">
        <v>0</v>
      </c>
      <c r="AH53" s="14">
        <v>0</v>
      </c>
      <c r="AI53" s="14">
        <f t="shared" si="0"/>
        <v>0.42</v>
      </c>
      <c r="AJ53" s="14">
        <f t="shared" si="1"/>
        <v>7.42</v>
      </c>
      <c r="AK53" t="s">
        <v>48</v>
      </c>
      <c r="AN53" s="12"/>
    </row>
    <row r="54" spans="1:40" ht="15" customHeight="1" x14ac:dyDescent="0.35">
      <c r="A54">
        <v>690929</v>
      </c>
      <c r="B54" t="s">
        <v>37</v>
      </c>
      <c r="C54" t="s">
        <v>38</v>
      </c>
      <c r="D54" s="2" t="s">
        <v>39</v>
      </c>
      <c r="E54" s="9" t="s">
        <v>37</v>
      </c>
      <c r="F54" s="10"/>
      <c r="G54" t="s">
        <v>237</v>
      </c>
      <c r="H54" t="s">
        <v>41</v>
      </c>
      <c r="I54" t="s">
        <v>42</v>
      </c>
      <c r="J54" t="s">
        <v>238</v>
      </c>
      <c r="K54" t="s">
        <v>44</v>
      </c>
      <c r="L54">
        <v>2</v>
      </c>
      <c r="M54" t="s">
        <v>45</v>
      </c>
      <c r="N54" t="s">
        <v>46</v>
      </c>
      <c r="O54" t="s">
        <v>47</v>
      </c>
      <c r="P54" s="5">
        <v>2</v>
      </c>
      <c r="Q54" s="11">
        <v>44854.383055555554</v>
      </c>
      <c r="R54" s="12">
        <v>44859</v>
      </c>
      <c r="S54" t="s">
        <v>41</v>
      </c>
      <c r="T54" t="s">
        <v>48</v>
      </c>
      <c r="U54" t="s">
        <v>49</v>
      </c>
      <c r="V54" t="s">
        <v>193</v>
      </c>
      <c r="Y54" t="s">
        <v>239</v>
      </c>
      <c r="Z54">
        <v>57000</v>
      </c>
      <c r="AA54" t="s">
        <v>48</v>
      </c>
      <c r="AB54" t="s">
        <v>104</v>
      </c>
      <c r="AC54" t="s">
        <v>53</v>
      </c>
      <c r="AD54" s="13">
        <f>IF(P54&lt;=1,7,7+0.8*ROUNDUP(P54-1,0))</f>
        <v>7.8</v>
      </c>
      <c r="AE54" s="14">
        <v>0</v>
      </c>
      <c r="AF54" s="14">
        <v>0</v>
      </c>
      <c r="AG54" s="14">
        <v>0</v>
      </c>
      <c r="AH54" s="14">
        <v>0</v>
      </c>
      <c r="AI54" s="14">
        <f t="shared" si="0"/>
        <v>0.46799999999999997</v>
      </c>
      <c r="AJ54" s="14">
        <f t="shared" si="1"/>
        <v>8.2680000000000007</v>
      </c>
      <c r="AK54" t="s">
        <v>48</v>
      </c>
      <c r="AN54" s="12"/>
    </row>
    <row r="55" spans="1:40" ht="15" customHeight="1" x14ac:dyDescent="0.35">
      <c r="A55">
        <v>690929</v>
      </c>
      <c r="B55" t="s">
        <v>37</v>
      </c>
      <c r="C55" t="s">
        <v>38</v>
      </c>
      <c r="D55" s="2" t="s">
        <v>39</v>
      </c>
      <c r="E55" s="9" t="s">
        <v>37</v>
      </c>
      <c r="F55" s="10"/>
      <c r="G55" t="s">
        <v>240</v>
      </c>
      <c r="H55" t="s">
        <v>41</v>
      </c>
      <c r="I55" t="s">
        <v>42</v>
      </c>
      <c r="J55" t="s">
        <v>241</v>
      </c>
      <c r="K55" t="s">
        <v>44</v>
      </c>
      <c r="L55">
        <v>2</v>
      </c>
      <c r="M55" t="s">
        <v>45</v>
      </c>
      <c r="N55" t="s">
        <v>46</v>
      </c>
      <c r="O55" t="s">
        <v>47</v>
      </c>
      <c r="P55" s="5">
        <v>1</v>
      </c>
      <c r="Q55" s="11">
        <v>44856.713321759256</v>
      </c>
      <c r="R55" s="12">
        <v>44859</v>
      </c>
      <c r="S55" t="s">
        <v>41</v>
      </c>
      <c r="T55" t="s">
        <v>48</v>
      </c>
      <c r="U55" t="s">
        <v>49</v>
      </c>
      <c r="V55" t="s">
        <v>146</v>
      </c>
      <c r="Y55" t="s">
        <v>242</v>
      </c>
      <c r="Z55">
        <v>71050</v>
      </c>
      <c r="AA55" t="s">
        <v>48</v>
      </c>
      <c r="AB55" t="s">
        <v>52</v>
      </c>
      <c r="AC55" t="s">
        <v>53</v>
      </c>
      <c r="AD55" s="13">
        <f>IF(P55&lt;=1,7,7+0.8*ROUNDUP(P55-1,0))</f>
        <v>7</v>
      </c>
      <c r="AE55" s="14">
        <v>0</v>
      </c>
      <c r="AF55" s="14">
        <v>0</v>
      </c>
      <c r="AG55" s="14">
        <v>0</v>
      </c>
      <c r="AH55" s="14">
        <v>0</v>
      </c>
      <c r="AI55" s="14">
        <f t="shared" si="0"/>
        <v>0.42</v>
      </c>
      <c r="AJ55" s="14">
        <f t="shared" si="1"/>
        <v>7.42</v>
      </c>
      <c r="AK55" t="s">
        <v>48</v>
      </c>
      <c r="AN55" s="12"/>
    </row>
    <row r="56" spans="1:40" ht="15" customHeight="1" x14ac:dyDescent="0.35">
      <c r="A56">
        <v>690929</v>
      </c>
      <c r="B56" t="s">
        <v>37</v>
      </c>
      <c r="C56" t="s">
        <v>38</v>
      </c>
      <c r="D56" s="2" t="s">
        <v>39</v>
      </c>
      <c r="E56" s="9" t="s">
        <v>37</v>
      </c>
      <c r="F56" s="10"/>
      <c r="G56" t="s">
        <v>243</v>
      </c>
      <c r="H56" t="s">
        <v>41</v>
      </c>
      <c r="I56" t="s">
        <v>42</v>
      </c>
      <c r="J56" t="s">
        <v>244</v>
      </c>
      <c r="K56" t="s">
        <v>44</v>
      </c>
      <c r="L56">
        <v>2</v>
      </c>
      <c r="M56" t="s">
        <v>45</v>
      </c>
      <c r="N56" t="s">
        <v>46</v>
      </c>
      <c r="O56" t="s">
        <v>47</v>
      </c>
      <c r="P56" s="5">
        <v>1</v>
      </c>
      <c r="Q56" s="11">
        <v>44855.409317129626</v>
      </c>
      <c r="R56" s="12">
        <v>44859</v>
      </c>
      <c r="S56" t="s">
        <v>41</v>
      </c>
      <c r="T56" t="s">
        <v>48</v>
      </c>
      <c r="U56" t="s">
        <v>104</v>
      </c>
      <c r="V56" t="s">
        <v>61</v>
      </c>
      <c r="Y56" t="s">
        <v>245</v>
      </c>
      <c r="Z56">
        <v>43000</v>
      </c>
      <c r="AA56" t="s">
        <v>48</v>
      </c>
      <c r="AB56" t="s">
        <v>246</v>
      </c>
      <c r="AC56" t="s">
        <v>53</v>
      </c>
      <c r="AD56" s="13">
        <f>IF(P56&lt;=1,7,7+0.8*ROUNDUP(P56-1,0))</f>
        <v>7</v>
      </c>
      <c r="AE56" s="14">
        <v>0</v>
      </c>
      <c r="AF56" s="14">
        <v>0</v>
      </c>
      <c r="AG56" s="14">
        <v>0</v>
      </c>
      <c r="AH56" s="14">
        <v>0</v>
      </c>
      <c r="AI56" s="14">
        <f t="shared" si="0"/>
        <v>0.42</v>
      </c>
      <c r="AJ56" s="14">
        <f t="shared" si="1"/>
        <v>7.42</v>
      </c>
      <c r="AK56" t="s">
        <v>48</v>
      </c>
      <c r="AN56" s="12"/>
    </row>
    <row r="57" spans="1:40" ht="15" customHeight="1" x14ac:dyDescent="0.35">
      <c r="A57">
        <v>690929</v>
      </c>
      <c r="B57" t="s">
        <v>37</v>
      </c>
      <c r="C57" t="s">
        <v>38</v>
      </c>
      <c r="D57" s="2" t="s">
        <v>39</v>
      </c>
      <c r="E57" s="9" t="s">
        <v>37</v>
      </c>
      <c r="F57" s="10"/>
      <c r="G57" t="s">
        <v>247</v>
      </c>
      <c r="H57" t="s">
        <v>41</v>
      </c>
      <c r="I57" t="s">
        <v>42</v>
      </c>
      <c r="J57" t="s">
        <v>248</v>
      </c>
      <c r="K57" t="s">
        <v>44</v>
      </c>
      <c r="L57">
        <v>2</v>
      </c>
      <c r="M57" t="s">
        <v>45</v>
      </c>
      <c r="N57" t="s">
        <v>46</v>
      </c>
      <c r="O57" t="s">
        <v>47</v>
      </c>
      <c r="P57" s="5">
        <v>1</v>
      </c>
      <c r="Q57" s="11">
        <v>44854.493425925924</v>
      </c>
      <c r="R57" s="12">
        <v>44859</v>
      </c>
      <c r="S57" t="s">
        <v>41</v>
      </c>
      <c r="T57" t="s">
        <v>48</v>
      </c>
      <c r="U57" t="s">
        <v>49</v>
      </c>
      <c r="V57" t="s">
        <v>193</v>
      </c>
      <c r="Y57" t="s">
        <v>249</v>
      </c>
      <c r="Z57">
        <v>58200</v>
      </c>
      <c r="AA57" t="s">
        <v>48</v>
      </c>
      <c r="AB57" t="s">
        <v>104</v>
      </c>
      <c r="AC57" t="s">
        <v>53</v>
      </c>
      <c r="AD57" s="13">
        <f>IF(P57&lt;=1,7,7+0.8*ROUNDUP(P57-1,0))</f>
        <v>7</v>
      </c>
      <c r="AE57" s="14">
        <v>0</v>
      </c>
      <c r="AF57" s="14">
        <v>0</v>
      </c>
      <c r="AG57" s="14">
        <v>0</v>
      </c>
      <c r="AH57" s="14">
        <v>0</v>
      </c>
      <c r="AI57" s="14">
        <f t="shared" si="0"/>
        <v>0.42</v>
      </c>
      <c r="AJ57" s="14">
        <f t="shared" si="1"/>
        <v>7.42</v>
      </c>
      <c r="AK57" t="s">
        <v>48</v>
      </c>
      <c r="AN57" s="12"/>
    </row>
    <row r="58" spans="1:40" ht="15" customHeight="1" x14ac:dyDescent="0.35">
      <c r="A58">
        <v>690929</v>
      </c>
      <c r="B58" t="s">
        <v>37</v>
      </c>
      <c r="C58" t="s">
        <v>38</v>
      </c>
      <c r="D58" s="2" t="s">
        <v>39</v>
      </c>
      <c r="E58" s="9" t="s">
        <v>37</v>
      </c>
      <c r="F58" s="10"/>
      <c r="G58" t="s">
        <v>250</v>
      </c>
      <c r="H58" t="s">
        <v>41</v>
      </c>
      <c r="I58" t="s">
        <v>42</v>
      </c>
      <c r="J58" t="s">
        <v>251</v>
      </c>
      <c r="K58" t="s">
        <v>44</v>
      </c>
      <c r="L58">
        <v>2</v>
      </c>
      <c r="M58" t="s">
        <v>45</v>
      </c>
      <c r="N58" t="s">
        <v>46</v>
      </c>
      <c r="O58" t="s">
        <v>47</v>
      </c>
      <c r="P58" s="5">
        <v>1</v>
      </c>
      <c r="Q58" s="11">
        <v>44856.601875</v>
      </c>
      <c r="R58" s="12">
        <v>44859</v>
      </c>
      <c r="S58" t="s">
        <v>41</v>
      </c>
      <c r="T58" t="s">
        <v>48</v>
      </c>
      <c r="U58" t="s">
        <v>49</v>
      </c>
      <c r="V58" t="s">
        <v>61</v>
      </c>
      <c r="Y58" t="s">
        <v>252</v>
      </c>
      <c r="Z58">
        <v>43300</v>
      </c>
      <c r="AA58" t="s">
        <v>48</v>
      </c>
      <c r="AB58" t="s">
        <v>52</v>
      </c>
      <c r="AC58" t="s">
        <v>53</v>
      </c>
      <c r="AD58" s="13">
        <f>IF(P58&lt;=1,7,7+0.8*ROUNDUP(P58-1,0))</f>
        <v>7</v>
      </c>
      <c r="AE58" s="14">
        <v>0</v>
      </c>
      <c r="AF58" s="14">
        <v>0</v>
      </c>
      <c r="AG58" s="14">
        <v>0</v>
      </c>
      <c r="AH58" s="14">
        <v>0</v>
      </c>
      <c r="AI58" s="14">
        <f t="shared" si="0"/>
        <v>0.42</v>
      </c>
      <c r="AJ58" s="14">
        <f t="shared" si="1"/>
        <v>7.42</v>
      </c>
      <c r="AK58" t="s">
        <v>48</v>
      </c>
      <c r="AN58" s="12"/>
    </row>
    <row r="59" spans="1:40" ht="15" customHeight="1" x14ac:dyDescent="0.35">
      <c r="A59">
        <v>690929</v>
      </c>
      <c r="B59" t="s">
        <v>37</v>
      </c>
      <c r="C59" t="s">
        <v>38</v>
      </c>
      <c r="D59" s="2" t="s">
        <v>39</v>
      </c>
      <c r="E59" s="9" t="s">
        <v>37</v>
      </c>
      <c r="F59" s="10"/>
      <c r="G59" t="s">
        <v>253</v>
      </c>
      <c r="H59" t="s">
        <v>41</v>
      </c>
      <c r="I59" t="s">
        <v>42</v>
      </c>
      <c r="J59" t="s">
        <v>254</v>
      </c>
      <c r="K59" t="s">
        <v>44</v>
      </c>
      <c r="L59">
        <v>2</v>
      </c>
      <c r="M59" t="s">
        <v>45</v>
      </c>
      <c r="N59" t="s">
        <v>46</v>
      </c>
      <c r="O59" t="s">
        <v>47</v>
      </c>
      <c r="P59" s="5">
        <v>8</v>
      </c>
      <c r="Q59" s="11">
        <v>44857.39671296296</v>
      </c>
      <c r="R59" s="12">
        <v>44859</v>
      </c>
      <c r="S59" t="s">
        <v>41</v>
      </c>
      <c r="T59" t="s">
        <v>48</v>
      </c>
      <c r="U59" t="s">
        <v>49</v>
      </c>
      <c r="V59" t="s">
        <v>122</v>
      </c>
      <c r="Y59" t="s">
        <v>255</v>
      </c>
      <c r="Z59">
        <v>17600</v>
      </c>
      <c r="AA59" t="s">
        <v>48</v>
      </c>
      <c r="AB59" t="s">
        <v>130</v>
      </c>
      <c r="AC59" t="s">
        <v>53</v>
      </c>
      <c r="AD59" s="13">
        <f>IF(P59&lt;=1,7,7+0.8*ROUNDUP(P59-1,0))</f>
        <v>12.600000000000001</v>
      </c>
      <c r="AE59" s="14">
        <v>0</v>
      </c>
      <c r="AF59" s="14">
        <v>0</v>
      </c>
      <c r="AG59" s="14">
        <v>0</v>
      </c>
      <c r="AH59" s="14">
        <v>0</v>
      </c>
      <c r="AI59" s="14">
        <f t="shared" si="0"/>
        <v>0.75600000000000001</v>
      </c>
      <c r="AJ59" s="14">
        <f t="shared" si="1"/>
        <v>13.356000000000002</v>
      </c>
      <c r="AK59" t="s">
        <v>48</v>
      </c>
      <c r="AN59" s="12"/>
    </row>
    <row r="60" spans="1:40" ht="15" customHeight="1" x14ac:dyDescent="0.35">
      <c r="A60">
        <v>690929</v>
      </c>
      <c r="B60" t="s">
        <v>37</v>
      </c>
      <c r="C60" t="s">
        <v>38</v>
      </c>
      <c r="D60" s="2" t="s">
        <v>39</v>
      </c>
      <c r="E60" s="9" t="s">
        <v>37</v>
      </c>
      <c r="F60" s="10"/>
      <c r="G60" t="s">
        <v>256</v>
      </c>
      <c r="H60" t="s">
        <v>41</v>
      </c>
      <c r="I60" t="s">
        <v>42</v>
      </c>
      <c r="J60" t="s">
        <v>257</v>
      </c>
      <c r="K60" t="s">
        <v>44</v>
      </c>
      <c r="L60">
        <v>2</v>
      </c>
      <c r="M60" t="s">
        <v>45</v>
      </c>
      <c r="N60" t="s">
        <v>46</v>
      </c>
      <c r="O60" t="s">
        <v>47</v>
      </c>
      <c r="P60" s="5">
        <v>1</v>
      </c>
      <c r="Q60" s="11">
        <v>44857.617592592593</v>
      </c>
      <c r="R60" s="12">
        <v>44859</v>
      </c>
      <c r="S60" t="s">
        <v>41</v>
      </c>
      <c r="T60" t="s">
        <v>48</v>
      </c>
      <c r="U60" t="s">
        <v>49</v>
      </c>
      <c r="V60" t="s">
        <v>56</v>
      </c>
      <c r="Y60" t="s">
        <v>258</v>
      </c>
      <c r="Z60">
        <v>81930</v>
      </c>
      <c r="AA60" t="s">
        <v>48</v>
      </c>
      <c r="AB60" t="s">
        <v>49</v>
      </c>
      <c r="AC60" t="s">
        <v>53</v>
      </c>
      <c r="AD60" s="13">
        <f>IF(P60&lt;=1,7,7+0.8*ROUNDUP(P60-1,0))</f>
        <v>7</v>
      </c>
      <c r="AE60" s="14">
        <v>0</v>
      </c>
      <c r="AF60" s="14">
        <v>0</v>
      </c>
      <c r="AG60" s="14">
        <v>0</v>
      </c>
      <c r="AH60" s="14">
        <v>0</v>
      </c>
      <c r="AI60" s="14">
        <f t="shared" si="0"/>
        <v>0.42</v>
      </c>
      <c r="AJ60" s="14">
        <f t="shared" si="1"/>
        <v>7.42</v>
      </c>
      <c r="AK60" t="s">
        <v>48</v>
      </c>
      <c r="AN60" s="12"/>
    </row>
    <row r="61" spans="1:40" ht="15" customHeight="1" x14ac:dyDescent="0.35">
      <c r="A61">
        <v>690929</v>
      </c>
      <c r="B61" t="s">
        <v>37</v>
      </c>
      <c r="C61" t="s">
        <v>38</v>
      </c>
      <c r="D61" s="2" t="s">
        <v>39</v>
      </c>
      <c r="E61" s="9" t="s">
        <v>37</v>
      </c>
      <c r="F61" s="10"/>
      <c r="G61" t="s">
        <v>259</v>
      </c>
      <c r="H61" t="s">
        <v>41</v>
      </c>
      <c r="I61" t="s">
        <v>42</v>
      </c>
      <c r="J61" t="s">
        <v>260</v>
      </c>
      <c r="K61" t="s">
        <v>44</v>
      </c>
      <c r="L61">
        <v>2</v>
      </c>
      <c r="M61" t="s">
        <v>45</v>
      </c>
      <c r="N61" t="s">
        <v>46</v>
      </c>
      <c r="O61" t="s">
        <v>47</v>
      </c>
      <c r="P61" s="5">
        <v>1</v>
      </c>
      <c r="Q61" s="11">
        <v>44857.618449074071</v>
      </c>
      <c r="R61" s="12">
        <v>44859</v>
      </c>
      <c r="S61" t="s">
        <v>41</v>
      </c>
      <c r="T61" t="s">
        <v>48</v>
      </c>
      <c r="U61" t="s">
        <v>49</v>
      </c>
      <c r="V61" t="s">
        <v>50</v>
      </c>
      <c r="Y61" t="s">
        <v>261</v>
      </c>
      <c r="Z61">
        <v>6900</v>
      </c>
      <c r="AA61" t="s">
        <v>48</v>
      </c>
      <c r="AB61" t="s">
        <v>49</v>
      </c>
      <c r="AC61" t="s">
        <v>53</v>
      </c>
      <c r="AD61" s="13">
        <f>IF(P61&lt;=1,7,7+0.8*ROUNDUP(P61-1,0))</f>
        <v>7</v>
      </c>
      <c r="AE61" s="14">
        <v>0</v>
      </c>
      <c r="AF61" s="14">
        <v>0</v>
      </c>
      <c r="AG61" s="14">
        <v>0</v>
      </c>
      <c r="AH61" s="14">
        <v>0</v>
      </c>
      <c r="AI61" s="14">
        <f t="shared" si="0"/>
        <v>0.42</v>
      </c>
      <c r="AJ61" s="14">
        <f t="shared" si="1"/>
        <v>7.42</v>
      </c>
      <c r="AK61" t="s">
        <v>48</v>
      </c>
      <c r="AN61" s="12"/>
    </row>
    <row r="62" spans="1:40" ht="15" customHeight="1" x14ac:dyDescent="0.35">
      <c r="A62">
        <v>690929</v>
      </c>
      <c r="B62" t="s">
        <v>37</v>
      </c>
      <c r="C62" t="s">
        <v>38</v>
      </c>
      <c r="D62" s="2" t="s">
        <v>39</v>
      </c>
      <c r="E62" s="9" t="s">
        <v>37</v>
      </c>
      <c r="F62" s="10"/>
      <c r="G62" t="s">
        <v>262</v>
      </c>
      <c r="H62" t="s">
        <v>41</v>
      </c>
      <c r="I62" t="s">
        <v>42</v>
      </c>
      <c r="J62" t="s">
        <v>263</v>
      </c>
      <c r="K62" t="s">
        <v>44</v>
      </c>
      <c r="L62">
        <v>2</v>
      </c>
      <c r="M62" t="s">
        <v>45</v>
      </c>
      <c r="N62" t="s">
        <v>46</v>
      </c>
      <c r="O62" t="s">
        <v>47</v>
      </c>
      <c r="P62" s="5">
        <v>3</v>
      </c>
      <c r="Q62" s="11">
        <v>44859.457314814812</v>
      </c>
      <c r="R62" s="12">
        <v>44860</v>
      </c>
      <c r="S62" t="s">
        <v>41</v>
      </c>
      <c r="T62" t="s">
        <v>48</v>
      </c>
      <c r="U62" t="s">
        <v>49</v>
      </c>
      <c r="V62" t="s">
        <v>87</v>
      </c>
      <c r="Y62" t="s">
        <v>264</v>
      </c>
      <c r="Z62">
        <v>21400</v>
      </c>
      <c r="AA62" t="s">
        <v>48</v>
      </c>
      <c r="AB62" t="s">
        <v>49</v>
      </c>
      <c r="AC62" t="s">
        <v>53</v>
      </c>
      <c r="AD62" s="13">
        <f>IF(P62&lt;=1,7,7+0.8*ROUNDUP(P62-1,0))</f>
        <v>8.6</v>
      </c>
      <c r="AE62" s="14">
        <v>0</v>
      </c>
      <c r="AF62" s="14">
        <v>0</v>
      </c>
      <c r="AG62" s="14">
        <v>0</v>
      </c>
      <c r="AH62" s="14">
        <v>0</v>
      </c>
      <c r="AI62" s="14">
        <f t="shared" si="0"/>
        <v>0.51600000000000001</v>
      </c>
      <c r="AJ62" s="14">
        <f t="shared" si="1"/>
        <v>9.1159999999999997</v>
      </c>
      <c r="AK62" t="s">
        <v>48</v>
      </c>
      <c r="AN62" s="12"/>
    </row>
    <row r="63" spans="1:40" ht="15" customHeight="1" x14ac:dyDescent="0.35">
      <c r="A63">
        <v>690929</v>
      </c>
      <c r="B63" t="s">
        <v>37</v>
      </c>
      <c r="C63" t="s">
        <v>38</v>
      </c>
      <c r="D63" s="2" t="s">
        <v>39</v>
      </c>
      <c r="E63" s="9" t="s">
        <v>37</v>
      </c>
      <c r="F63" s="10"/>
      <c r="G63" t="s">
        <v>265</v>
      </c>
      <c r="H63" t="s">
        <v>41</v>
      </c>
      <c r="I63" t="s">
        <v>42</v>
      </c>
      <c r="J63" t="s">
        <v>266</v>
      </c>
      <c r="K63" t="s">
        <v>44</v>
      </c>
      <c r="L63">
        <v>2</v>
      </c>
      <c r="M63" t="s">
        <v>45</v>
      </c>
      <c r="N63" t="s">
        <v>46</v>
      </c>
      <c r="O63" t="s">
        <v>47</v>
      </c>
      <c r="P63" s="5">
        <v>1</v>
      </c>
      <c r="Q63" s="11">
        <v>44859.476226851853</v>
      </c>
      <c r="R63" s="12">
        <v>44860</v>
      </c>
      <c r="S63" t="s">
        <v>41</v>
      </c>
      <c r="T63" t="s">
        <v>48</v>
      </c>
      <c r="U63" t="s">
        <v>49</v>
      </c>
      <c r="V63" t="s">
        <v>87</v>
      </c>
      <c r="Y63" t="s">
        <v>267</v>
      </c>
      <c r="Z63">
        <v>22100</v>
      </c>
      <c r="AA63" t="s">
        <v>48</v>
      </c>
      <c r="AB63" t="s">
        <v>49</v>
      </c>
      <c r="AC63" t="s">
        <v>53</v>
      </c>
      <c r="AD63" s="13">
        <f>IF(P63&lt;=1,7,7+0.8*ROUNDUP(P63-1,0))</f>
        <v>7</v>
      </c>
      <c r="AE63" s="14">
        <v>0</v>
      </c>
      <c r="AF63" s="14">
        <v>0</v>
      </c>
      <c r="AG63" s="14">
        <v>0</v>
      </c>
      <c r="AH63" s="14">
        <v>0</v>
      </c>
      <c r="AI63" s="14">
        <f t="shared" si="0"/>
        <v>0.42</v>
      </c>
      <c r="AJ63" s="14">
        <f t="shared" si="1"/>
        <v>7.42</v>
      </c>
      <c r="AK63" t="s">
        <v>48</v>
      </c>
      <c r="AN63" s="12"/>
    </row>
    <row r="64" spans="1:40" ht="15" customHeight="1" x14ac:dyDescent="0.35">
      <c r="A64">
        <v>690929</v>
      </c>
      <c r="B64" t="s">
        <v>37</v>
      </c>
      <c r="C64" t="s">
        <v>38</v>
      </c>
      <c r="D64" s="2" t="s">
        <v>39</v>
      </c>
      <c r="E64" s="9" t="s">
        <v>37</v>
      </c>
      <c r="F64" s="10"/>
      <c r="G64" t="s">
        <v>268</v>
      </c>
      <c r="H64" t="s">
        <v>41</v>
      </c>
      <c r="I64" t="s">
        <v>42</v>
      </c>
      <c r="J64" t="s">
        <v>269</v>
      </c>
      <c r="K64" t="s">
        <v>44</v>
      </c>
      <c r="L64">
        <v>2</v>
      </c>
      <c r="M64" t="s">
        <v>45</v>
      </c>
      <c r="N64" t="s">
        <v>46</v>
      </c>
      <c r="O64" t="s">
        <v>47</v>
      </c>
      <c r="P64" s="5">
        <v>3</v>
      </c>
      <c r="Q64" s="11">
        <v>44856.618020833332</v>
      </c>
      <c r="R64" s="12">
        <v>44860</v>
      </c>
      <c r="S64" t="s">
        <v>41</v>
      </c>
      <c r="T64" t="s">
        <v>48</v>
      </c>
      <c r="U64" t="s">
        <v>49</v>
      </c>
      <c r="V64" t="s">
        <v>92</v>
      </c>
      <c r="Y64" t="s">
        <v>270</v>
      </c>
      <c r="Z64">
        <v>89050</v>
      </c>
      <c r="AA64" t="s">
        <v>94</v>
      </c>
      <c r="AB64" t="s">
        <v>271</v>
      </c>
      <c r="AC64" t="s">
        <v>53</v>
      </c>
      <c r="AD64" s="15">
        <f>IF(P64&lt;=1,13,IF(P64&lt;=2,23,IF(P64&lt;=3,35,IF(P64&lt;=4,43,IF(P64&lt;=5,53,IF(P64&lt;=6,63,IF(P64&lt;=7,71,IF(P64&lt;=8,79,IF(P64&lt;=9,87,IF(P64&lt;=10,95,IF(P64&lt;=11,105,IF(P64&lt;=12,114,IF(P64&lt;=13,119,IF(P64&lt;=14,127,IF(P64&lt;=15,135,IF(P64&lt;=16,143,IF(P64&lt;=17,153,IF(P64&lt;=18,163,IF(P64&lt;=19,171,IF(P64&lt;=20,185,IF(P64&lt;=21,193,IF(P64&lt;=22,201,IF(P64&lt;=23,210,IF(P64&lt;=24,220,IF(P64&lt;=25,230,IF(P64&lt;=26,240,IF(P64&lt;=27,250,IF(P64&lt;=28,260,IF(P64&lt;=29,270,IF(P64&lt;=30,280,280))))))))))))))))))))))))))))))</f>
        <v>35</v>
      </c>
      <c r="AE64" s="14">
        <v>0</v>
      </c>
      <c r="AF64" s="14">
        <v>0</v>
      </c>
      <c r="AG64" s="14">
        <v>0</v>
      </c>
      <c r="AH64" s="14">
        <v>0</v>
      </c>
      <c r="AI64" s="14">
        <f t="shared" si="0"/>
        <v>2.1</v>
      </c>
      <c r="AJ64" s="14">
        <f t="shared" si="1"/>
        <v>37.1</v>
      </c>
      <c r="AK64" t="s">
        <v>94</v>
      </c>
      <c r="AN64" s="12"/>
    </row>
    <row r="65" spans="1:40" ht="15" customHeight="1" x14ac:dyDescent="0.35">
      <c r="A65">
        <v>690929</v>
      </c>
      <c r="B65" t="s">
        <v>37</v>
      </c>
      <c r="C65" t="s">
        <v>38</v>
      </c>
      <c r="D65" s="2" t="s">
        <v>39</v>
      </c>
      <c r="E65" s="9" t="s">
        <v>37</v>
      </c>
      <c r="F65" s="10"/>
      <c r="G65" t="s">
        <v>272</v>
      </c>
      <c r="H65" t="s">
        <v>41</v>
      </c>
      <c r="I65" t="s">
        <v>42</v>
      </c>
      <c r="J65" t="s">
        <v>273</v>
      </c>
      <c r="K65" t="s">
        <v>44</v>
      </c>
      <c r="L65">
        <v>2</v>
      </c>
      <c r="M65" t="s">
        <v>45</v>
      </c>
      <c r="N65" t="s">
        <v>46</v>
      </c>
      <c r="O65" t="s">
        <v>47</v>
      </c>
      <c r="P65" s="5">
        <v>1</v>
      </c>
      <c r="Q65" s="11">
        <v>44859.496481481481</v>
      </c>
      <c r="R65" s="12">
        <v>44860</v>
      </c>
      <c r="S65" t="s">
        <v>41</v>
      </c>
      <c r="T65" t="s">
        <v>48</v>
      </c>
      <c r="U65" t="s">
        <v>49</v>
      </c>
      <c r="V65" t="s">
        <v>61</v>
      </c>
      <c r="Y65" t="s">
        <v>274</v>
      </c>
      <c r="Z65">
        <v>43000</v>
      </c>
      <c r="AA65" t="s">
        <v>48</v>
      </c>
      <c r="AB65" t="s">
        <v>52</v>
      </c>
      <c r="AC65" t="s">
        <v>53</v>
      </c>
      <c r="AD65" s="13">
        <f>IF(P65&lt;=1,7,7+0.8*ROUNDUP(P65-1,0))</f>
        <v>7</v>
      </c>
      <c r="AE65" s="14">
        <v>0</v>
      </c>
      <c r="AF65" s="14">
        <v>0</v>
      </c>
      <c r="AG65" s="14">
        <v>0</v>
      </c>
      <c r="AH65" s="14">
        <v>0</v>
      </c>
      <c r="AI65" s="14">
        <f t="shared" si="0"/>
        <v>0.42</v>
      </c>
      <c r="AJ65" s="14">
        <f t="shared" si="1"/>
        <v>7.42</v>
      </c>
      <c r="AK65" t="s">
        <v>48</v>
      </c>
      <c r="AN65" s="12"/>
    </row>
    <row r="66" spans="1:40" ht="15" customHeight="1" x14ac:dyDescent="0.35">
      <c r="A66">
        <v>690929</v>
      </c>
      <c r="B66" t="s">
        <v>37</v>
      </c>
      <c r="C66" t="s">
        <v>38</v>
      </c>
      <c r="D66" s="2" t="s">
        <v>39</v>
      </c>
      <c r="E66" s="9" t="s">
        <v>37</v>
      </c>
      <c r="F66" s="10"/>
      <c r="G66" t="s">
        <v>275</v>
      </c>
      <c r="H66" t="s">
        <v>41</v>
      </c>
      <c r="I66" t="s">
        <v>42</v>
      </c>
      <c r="J66" t="s">
        <v>276</v>
      </c>
      <c r="K66" t="s">
        <v>44</v>
      </c>
      <c r="L66">
        <v>2</v>
      </c>
      <c r="M66" t="s">
        <v>45</v>
      </c>
      <c r="N66" t="s">
        <v>46</v>
      </c>
      <c r="O66" t="s">
        <v>47</v>
      </c>
      <c r="P66" s="5">
        <v>2</v>
      </c>
      <c r="Q66" s="11">
        <v>44859.585613425923</v>
      </c>
      <c r="R66" s="12">
        <v>44860</v>
      </c>
      <c r="S66" t="s">
        <v>41</v>
      </c>
      <c r="T66" t="s">
        <v>48</v>
      </c>
      <c r="U66" t="s">
        <v>49</v>
      </c>
      <c r="V66" t="s">
        <v>61</v>
      </c>
      <c r="Y66" t="s">
        <v>277</v>
      </c>
      <c r="Z66">
        <v>47180</v>
      </c>
      <c r="AA66" t="s">
        <v>48</v>
      </c>
      <c r="AB66" t="s">
        <v>52</v>
      </c>
      <c r="AC66" t="s">
        <v>53</v>
      </c>
      <c r="AD66" s="13">
        <f>IF(P66&lt;=1,7,7+0.8*ROUNDUP(P66-1,0))</f>
        <v>7.8</v>
      </c>
      <c r="AE66" s="14">
        <v>0</v>
      </c>
      <c r="AF66" s="14">
        <v>0</v>
      </c>
      <c r="AG66" s="14">
        <v>0</v>
      </c>
      <c r="AH66" s="14">
        <v>0</v>
      </c>
      <c r="AI66" s="14">
        <f t="shared" ref="AI66:AI129" si="2">(AD66+AF66+AH66)*6%</f>
        <v>0.46799999999999997</v>
      </c>
      <c r="AJ66" s="14">
        <f t="shared" ref="AJ66:AJ129" si="3">AD66+AF66+AH66+AI66</f>
        <v>8.2680000000000007</v>
      </c>
      <c r="AK66" t="s">
        <v>48</v>
      </c>
      <c r="AN66" s="12"/>
    </row>
    <row r="67" spans="1:40" ht="15" customHeight="1" x14ac:dyDescent="0.35">
      <c r="A67">
        <v>690929</v>
      </c>
      <c r="B67" t="s">
        <v>37</v>
      </c>
      <c r="C67" t="s">
        <v>38</v>
      </c>
      <c r="D67" s="2" t="s">
        <v>39</v>
      </c>
      <c r="E67" s="9" t="s">
        <v>37</v>
      </c>
      <c r="F67" s="10"/>
      <c r="G67" t="s">
        <v>278</v>
      </c>
      <c r="H67" t="s">
        <v>41</v>
      </c>
      <c r="I67" t="s">
        <v>42</v>
      </c>
      <c r="J67" t="s">
        <v>279</v>
      </c>
      <c r="K67" t="s">
        <v>44</v>
      </c>
      <c r="L67">
        <v>2</v>
      </c>
      <c r="M67" t="s">
        <v>45</v>
      </c>
      <c r="N67" t="s">
        <v>46</v>
      </c>
      <c r="O67" t="s">
        <v>47</v>
      </c>
      <c r="P67" s="5">
        <v>1</v>
      </c>
      <c r="Q67" s="11">
        <v>44857.605844907404</v>
      </c>
      <c r="R67" s="12">
        <v>44860</v>
      </c>
      <c r="S67" t="s">
        <v>41</v>
      </c>
      <c r="T67" t="s">
        <v>48</v>
      </c>
      <c r="U67" t="s">
        <v>49</v>
      </c>
      <c r="V67" t="s">
        <v>92</v>
      </c>
      <c r="Y67" t="s">
        <v>280</v>
      </c>
      <c r="Z67">
        <v>91007</v>
      </c>
      <c r="AA67" t="s">
        <v>94</v>
      </c>
      <c r="AB67" t="s">
        <v>52</v>
      </c>
      <c r="AC67" t="s">
        <v>53</v>
      </c>
      <c r="AD67" s="15">
        <f>IF(P67&lt;=1,13,IF(P67&lt;=2,23,IF(P67&lt;=3,35,IF(P67&lt;=4,43,IF(P67&lt;=5,53,IF(P67&lt;=6,63,IF(P67&lt;=7,71,IF(P67&lt;=8,79,IF(P67&lt;=9,87,IF(P67&lt;=10,95,IF(P67&lt;=11,105,IF(P67&lt;=12,114,IF(P67&lt;=13,119,IF(P67&lt;=14,127,IF(P67&lt;=15,135,IF(P67&lt;=16,143,IF(P67&lt;=17,153,IF(P67&lt;=18,163,IF(P67&lt;=19,171,IF(P67&lt;=20,185,IF(P67&lt;=21,193,IF(P67&lt;=22,201,IF(P67&lt;=23,210,IF(P67&lt;=24,220,IF(P67&lt;=25,230,IF(P67&lt;=26,240,IF(P67&lt;=27,250,IF(P67&lt;=28,260,IF(P67&lt;=29,270,IF(P67&lt;=30,280,280))))))))))))))))))))))))))))))</f>
        <v>13</v>
      </c>
      <c r="AE67" s="14">
        <v>0</v>
      </c>
      <c r="AF67" s="14">
        <v>0</v>
      </c>
      <c r="AG67" s="14">
        <v>0</v>
      </c>
      <c r="AH67" s="14">
        <v>0</v>
      </c>
      <c r="AI67" s="14">
        <f t="shared" si="2"/>
        <v>0.78</v>
      </c>
      <c r="AJ67" s="14">
        <f t="shared" si="3"/>
        <v>13.78</v>
      </c>
      <c r="AK67" t="s">
        <v>94</v>
      </c>
      <c r="AN67" s="12"/>
    </row>
    <row r="68" spans="1:40" ht="15" customHeight="1" x14ac:dyDescent="0.35">
      <c r="A68">
        <v>690929</v>
      </c>
      <c r="B68" t="s">
        <v>37</v>
      </c>
      <c r="C68" t="s">
        <v>38</v>
      </c>
      <c r="D68" s="2" t="s">
        <v>39</v>
      </c>
      <c r="E68" s="9" t="s">
        <v>37</v>
      </c>
      <c r="F68" s="10"/>
      <c r="G68" t="s">
        <v>281</v>
      </c>
      <c r="H68" t="s">
        <v>41</v>
      </c>
      <c r="I68" t="s">
        <v>42</v>
      </c>
      <c r="J68" t="s">
        <v>282</v>
      </c>
      <c r="K68" t="s">
        <v>44</v>
      </c>
      <c r="L68">
        <v>2</v>
      </c>
      <c r="M68" t="s">
        <v>45</v>
      </c>
      <c r="N68" t="s">
        <v>46</v>
      </c>
      <c r="O68" t="s">
        <v>47</v>
      </c>
      <c r="P68" s="5">
        <v>1</v>
      </c>
      <c r="Q68" s="11">
        <v>44859.419421296298</v>
      </c>
      <c r="R68" s="12">
        <v>44860</v>
      </c>
      <c r="S68" t="s">
        <v>41</v>
      </c>
      <c r="T68" t="s">
        <v>48</v>
      </c>
      <c r="U68" t="s">
        <v>49</v>
      </c>
      <c r="V68" t="s">
        <v>61</v>
      </c>
      <c r="Y68" t="s">
        <v>283</v>
      </c>
      <c r="Z68">
        <v>62590</v>
      </c>
      <c r="AA68" t="s">
        <v>48</v>
      </c>
      <c r="AB68" t="s">
        <v>52</v>
      </c>
      <c r="AC68" t="s">
        <v>53</v>
      </c>
      <c r="AD68" s="13">
        <f>IF(P68&lt;=1,7,7+0.8*ROUNDUP(P68-1,0))</f>
        <v>7</v>
      </c>
      <c r="AE68" s="14">
        <v>0</v>
      </c>
      <c r="AF68" s="14">
        <v>0</v>
      </c>
      <c r="AG68" s="14">
        <v>0</v>
      </c>
      <c r="AH68" s="14">
        <v>0</v>
      </c>
      <c r="AI68" s="14">
        <f t="shared" si="2"/>
        <v>0.42</v>
      </c>
      <c r="AJ68" s="14">
        <f t="shared" si="3"/>
        <v>7.42</v>
      </c>
      <c r="AK68" t="s">
        <v>48</v>
      </c>
      <c r="AN68" s="12"/>
    </row>
    <row r="69" spans="1:40" ht="15" customHeight="1" x14ac:dyDescent="0.35">
      <c r="A69">
        <v>690929</v>
      </c>
      <c r="B69" t="s">
        <v>37</v>
      </c>
      <c r="C69" t="s">
        <v>38</v>
      </c>
      <c r="D69" s="2" t="s">
        <v>39</v>
      </c>
      <c r="E69" s="9" t="s">
        <v>37</v>
      </c>
      <c r="F69" s="10"/>
      <c r="G69" t="s">
        <v>284</v>
      </c>
      <c r="H69" t="s">
        <v>41</v>
      </c>
      <c r="I69" t="s">
        <v>42</v>
      </c>
      <c r="J69" t="s">
        <v>285</v>
      </c>
      <c r="K69" t="s">
        <v>44</v>
      </c>
      <c r="L69">
        <v>2</v>
      </c>
      <c r="M69" t="s">
        <v>45</v>
      </c>
      <c r="N69" t="s">
        <v>46</v>
      </c>
      <c r="O69" t="s">
        <v>47</v>
      </c>
      <c r="P69" s="5">
        <v>1</v>
      </c>
      <c r="Q69" s="11">
        <v>44859.604803240742</v>
      </c>
      <c r="R69" s="12">
        <v>44860</v>
      </c>
      <c r="S69" t="s">
        <v>41</v>
      </c>
      <c r="T69" t="s">
        <v>48</v>
      </c>
      <c r="U69" t="s">
        <v>49</v>
      </c>
      <c r="V69" t="s">
        <v>61</v>
      </c>
      <c r="Y69" t="s">
        <v>286</v>
      </c>
      <c r="Z69">
        <v>43300</v>
      </c>
      <c r="AA69" t="s">
        <v>48</v>
      </c>
      <c r="AB69" t="s">
        <v>52</v>
      </c>
      <c r="AC69" t="s">
        <v>53</v>
      </c>
      <c r="AD69" s="13">
        <f>IF(P69&lt;=1,7,7+0.8*ROUNDUP(P69-1,0))</f>
        <v>7</v>
      </c>
      <c r="AE69" s="14">
        <v>0</v>
      </c>
      <c r="AF69" s="14">
        <v>0</v>
      </c>
      <c r="AG69" s="14">
        <v>0</v>
      </c>
      <c r="AH69" s="14">
        <v>0</v>
      </c>
      <c r="AI69" s="14">
        <f t="shared" si="2"/>
        <v>0.42</v>
      </c>
      <c r="AJ69" s="14">
        <f t="shared" si="3"/>
        <v>7.42</v>
      </c>
      <c r="AK69" t="s">
        <v>48</v>
      </c>
      <c r="AN69" s="12"/>
    </row>
    <row r="70" spans="1:40" ht="15" customHeight="1" x14ac:dyDescent="0.35">
      <c r="A70">
        <v>690929</v>
      </c>
      <c r="B70" t="s">
        <v>37</v>
      </c>
      <c r="C70" t="s">
        <v>38</v>
      </c>
      <c r="D70" s="2" t="s">
        <v>39</v>
      </c>
      <c r="E70" s="9" t="s">
        <v>37</v>
      </c>
      <c r="F70" s="10"/>
      <c r="G70" t="s">
        <v>287</v>
      </c>
      <c r="H70" t="s">
        <v>41</v>
      </c>
      <c r="I70" t="s">
        <v>42</v>
      </c>
      <c r="J70" t="s">
        <v>288</v>
      </c>
      <c r="K70" t="s">
        <v>44</v>
      </c>
      <c r="L70">
        <v>2</v>
      </c>
      <c r="M70" t="s">
        <v>45</v>
      </c>
      <c r="N70" t="s">
        <v>46</v>
      </c>
      <c r="O70" t="s">
        <v>47</v>
      </c>
      <c r="P70" s="5">
        <v>1</v>
      </c>
      <c r="Q70" s="11">
        <v>44857.47583333333</v>
      </c>
      <c r="R70" s="12">
        <v>44860</v>
      </c>
      <c r="S70" t="s">
        <v>41</v>
      </c>
      <c r="T70" t="s">
        <v>48</v>
      </c>
      <c r="U70" t="s">
        <v>49</v>
      </c>
      <c r="V70" t="s">
        <v>50</v>
      </c>
      <c r="Y70" t="s">
        <v>289</v>
      </c>
      <c r="Z70">
        <v>5300</v>
      </c>
      <c r="AA70" t="s">
        <v>48</v>
      </c>
      <c r="AB70" t="s">
        <v>49</v>
      </c>
      <c r="AC70" t="s">
        <v>53</v>
      </c>
      <c r="AD70" s="13">
        <f>IF(P70&lt;=1,7,7+0.8*ROUNDUP(P70-1,0))</f>
        <v>7</v>
      </c>
      <c r="AE70" s="14">
        <v>0</v>
      </c>
      <c r="AF70" s="14">
        <v>0</v>
      </c>
      <c r="AG70" s="14">
        <v>0</v>
      </c>
      <c r="AH70" s="14">
        <v>0</v>
      </c>
      <c r="AI70" s="14">
        <f t="shared" si="2"/>
        <v>0.42</v>
      </c>
      <c r="AJ70" s="14">
        <f t="shared" si="3"/>
        <v>7.42</v>
      </c>
      <c r="AK70" t="s">
        <v>48</v>
      </c>
      <c r="AN70" s="12"/>
    </row>
    <row r="71" spans="1:40" ht="15" customHeight="1" x14ac:dyDescent="0.35">
      <c r="A71">
        <v>690929</v>
      </c>
      <c r="B71" t="s">
        <v>37</v>
      </c>
      <c r="C71" t="s">
        <v>38</v>
      </c>
      <c r="D71" s="2" t="s">
        <v>39</v>
      </c>
      <c r="E71" s="9" t="s">
        <v>37</v>
      </c>
      <c r="F71" s="10"/>
      <c r="G71" t="s">
        <v>290</v>
      </c>
      <c r="H71" t="s">
        <v>41</v>
      </c>
      <c r="I71" t="s">
        <v>42</v>
      </c>
      <c r="J71" t="s">
        <v>291</v>
      </c>
      <c r="K71" t="s">
        <v>44</v>
      </c>
      <c r="L71">
        <v>2</v>
      </c>
      <c r="M71" t="s">
        <v>45</v>
      </c>
      <c r="N71" t="s">
        <v>46</v>
      </c>
      <c r="O71" t="s">
        <v>47</v>
      </c>
      <c r="P71" s="5">
        <v>1</v>
      </c>
      <c r="Q71" s="11">
        <v>44859.606886574074</v>
      </c>
      <c r="R71" s="12">
        <v>44860</v>
      </c>
      <c r="S71" t="s">
        <v>41</v>
      </c>
      <c r="T71" t="s">
        <v>48</v>
      </c>
      <c r="U71" t="s">
        <v>49</v>
      </c>
      <c r="V71" t="s">
        <v>61</v>
      </c>
      <c r="Y71" t="s">
        <v>292</v>
      </c>
      <c r="Z71">
        <v>53100</v>
      </c>
      <c r="AA71" t="s">
        <v>48</v>
      </c>
      <c r="AB71" t="s">
        <v>52</v>
      </c>
      <c r="AC71" t="s">
        <v>53</v>
      </c>
      <c r="AD71" s="13">
        <f>IF(P71&lt;=1,7,7+0.8*ROUNDUP(P71-1,0))</f>
        <v>7</v>
      </c>
      <c r="AE71" s="14">
        <v>0</v>
      </c>
      <c r="AF71" s="14">
        <v>0</v>
      </c>
      <c r="AG71" s="14">
        <v>0</v>
      </c>
      <c r="AH71" s="14">
        <v>0</v>
      </c>
      <c r="AI71" s="14">
        <f t="shared" si="2"/>
        <v>0.42</v>
      </c>
      <c r="AJ71" s="14">
        <f t="shared" si="3"/>
        <v>7.42</v>
      </c>
      <c r="AK71" t="s">
        <v>48</v>
      </c>
      <c r="AN71" s="12"/>
    </row>
    <row r="72" spans="1:40" ht="15" customHeight="1" x14ac:dyDescent="0.35">
      <c r="A72">
        <v>690929</v>
      </c>
      <c r="B72" t="s">
        <v>37</v>
      </c>
      <c r="C72" t="s">
        <v>38</v>
      </c>
      <c r="D72" s="2" t="s">
        <v>39</v>
      </c>
      <c r="E72" s="9" t="s">
        <v>37</v>
      </c>
      <c r="F72" s="10"/>
      <c r="G72" t="s">
        <v>293</v>
      </c>
      <c r="H72" t="s">
        <v>41</v>
      </c>
      <c r="I72" t="s">
        <v>42</v>
      </c>
      <c r="J72" t="s">
        <v>294</v>
      </c>
      <c r="K72" t="s">
        <v>44</v>
      </c>
      <c r="L72">
        <v>2</v>
      </c>
      <c r="M72" t="s">
        <v>45</v>
      </c>
      <c r="N72" t="s">
        <v>46</v>
      </c>
      <c r="O72" t="s">
        <v>47</v>
      </c>
      <c r="P72" s="5">
        <v>1</v>
      </c>
      <c r="Q72" s="11">
        <v>44860.671111111114</v>
      </c>
      <c r="R72" s="12">
        <v>44861</v>
      </c>
      <c r="S72" t="s">
        <v>41</v>
      </c>
      <c r="T72" t="s">
        <v>48</v>
      </c>
      <c r="U72" t="s">
        <v>49</v>
      </c>
      <c r="V72" t="s">
        <v>87</v>
      </c>
      <c r="Y72" t="s">
        <v>295</v>
      </c>
      <c r="Z72">
        <v>20300</v>
      </c>
      <c r="AA72" t="s">
        <v>48</v>
      </c>
      <c r="AB72" t="s">
        <v>49</v>
      </c>
      <c r="AC72" t="s">
        <v>53</v>
      </c>
      <c r="AD72" s="13">
        <f>IF(P72&lt;=1,7,7+0.8*ROUNDUP(P72-1,0))</f>
        <v>7</v>
      </c>
      <c r="AE72" s="14">
        <v>0</v>
      </c>
      <c r="AF72" s="14">
        <v>0</v>
      </c>
      <c r="AG72" s="14">
        <v>0</v>
      </c>
      <c r="AH72" s="14">
        <v>0</v>
      </c>
      <c r="AI72" s="14">
        <f t="shared" si="2"/>
        <v>0.42</v>
      </c>
      <c r="AJ72" s="14">
        <f t="shared" si="3"/>
        <v>7.42</v>
      </c>
      <c r="AK72" t="s">
        <v>48</v>
      </c>
      <c r="AN72" s="12"/>
    </row>
    <row r="73" spans="1:40" ht="15" customHeight="1" x14ac:dyDescent="0.35">
      <c r="A73">
        <v>690929</v>
      </c>
      <c r="B73" t="s">
        <v>37</v>
      </c>
      <c r="C73" t="s">
        <v>38</v>
      </c>
      <c r="D73" s="2" t="s">
        <v>39</v>
      </c>
      <c r="E73" s="9" t="s">
        <v>37</v>
      </c>
      <c r="F73" s="10"/>
      <c r="G73" t="s">
        <v>296</v>
      </c>
      <c r="H73" t="s">
        <v>41</v>
      </c>
      <c r="I73" t="s">
        <v>42</v>
      </c>
      <c r="J73" t="s">
        <v>297</v>
      </c>
      <c r="K73" t="s">
        <v>44</v>
      </c>
      <c r="L73">
        <v>2</v>
      </c>
      <c r="M73" t="s">
        <v>45</v>
      </c>
      <c r="N73" t="s">
        <v>46</v>
      </c>
      <c r="O73" t="s">
        <v>47</v>
      </c>
      <c r="P73" s="5">
        <v>1</v>
      </c>
      <c r="Q73" s="11">
        <v>44856.616724537038</v>
      </c>
      <c r="R73" s="12">
        <v>44861</v>
      </c>
      <c r="S73" t="s">
        <v>41</v>
      </c>
      <c r="T73" t="s">
        <v>48</v>
      </c>
      <c r="U73" t="s">
        <v>49</v>
      </c>
      <c r="V73" t="s">
        <v>92</v>
      </c>
      <c r="Y73" t="s">
        <v>298</v>
      </c>
      <c r="Z73">
        <v>89807</v>
      </c>
      <c r="AA73" t="s">
        <v>94</v>
      </c>
      <c r="AB73" t="s">
        <v>299</v>
      </c>
      <c r="AC73" t="s">
        <v>53</v>
      </c>
      <c r="AD73" s="15">
        <f>IF(P73&lt;=1,13,IF(P73&lt;=2,23,IF(P73&lt;=3,35,IF(P73&lt;=4,43,IF(P73&lt;=5,53,IF(P73&lt;=6,63,IF(P73&lt;=7,71,IF(P73&lt;=8,79,IF(P73&lt;=9,87,IF(P73&lt;=10,95,IF(P73&lt;=11,105,IF(P73&lt;=12,114,IF(P73&lt;=13,119,IF(P73&lt;=14,127,IF(P73&lt;=15,135,IF(P73&lt;=16,143,IF(P73&lt;=17,153,IF(P73&lt;=18,163,IF(P73&lt;=19,171,IF(P73&lt;=20,185,IF(P73&lt;=21,193,IF(P73&lt;=22,201,IF(P73&lt;=23,210,IF(P73&lt;=24,220,IF(P73&lt;=25,230,IF(P73&lt;=26,240,IF(P73&lt;=27,250,IF(P73&lt;=28,260,IF(P73&lt;=29,270,IF(P73&lt;=30,280,280))))))))))))))))))))))))))))))</f>
        <v>13</v>
      </c>
      <c r="AE73" s="14">
        <v>0</v>
      </c>
      <c r="AF73" s="14">
        <v>0</v>
      </c>
      <c r="AG73" s="14">
        <v>0</v>
      </c>
      <c r="AH73" s="14">
        <v>0</v>
      </c>
      <c r="AI73" s="14">
        <f t="shared" si="2"/>
        <v>0.78</v>
      </c>
      <c r="AJ73" s="14">
        <f t="shared" si="3"/>
        <v>13.78</v>
      </c>
      <c r="AK73" t="s">
        <v>94</v>
      </c>
      <c r="AN73" s="12"/>
    </row>
    <row r="74" spans="1:40" ht="15" customHeight="1" x14ac:dyDescent="0.35">
      <c r="A74">
        <v>690929</v>
      </c>
      <c r="B74" t="s">
        <v>37</v>
      </c>
      <c r="C74" t="s">
        <v>38</v>
      </c>
      <c r="D74" s="2" t="s">
        <v>39</v>
      </c>
      <c r="E74" s="9" t="s">
        <v>37</v>
      </c>
      <c r="F74" s="10"/>
      <c r="G74" t="s">
        <v>300</v>
      </c>
      <c r="H74" t="s">
        <v>41</v>
      </c>
      <c r="I74" t="s">
        <v>42</v>
      </c>
      <c r="J74" t="s">
        <v>301</v>
      </c>
      <c r="K74" t="s">
        <v>44</v>
      </c>
      <c r="L74">
        <v>2</v>
      </c>
      <c r="M74" t="s">
        <v>45</v>
      </c>
      <c r="N74" t="s">
        <v>46</v>
      </c>
      <c r="O74" t="s">
        <v>47</v>
      </c>
      <c r="P74" s="5">
        <v>1</v>
      </c>
      <c r="Q74" s="11">
        <v>44859.416631944441</v>
      </c>
      <c r="R74" s="12">
        <v>44861</v>
      </c>
      <c r="S74" t="s">
        <v>41</v>
      </c>
      <c r="T74" t="s">
        <v>48</v>
      </c>
      <c r="U74" t="s">
        <v>49</v>
      </c>
      <c r="V74" t="s">
        <v>231</v>
      </c>
      <c r="Y74" t="s">
        <v>302</v>
      </c>
      <c r="Z74">
        <v>31100</v>
      </c>
      <c r="AA74" t="s">
        <v>48</v>
      </c>
      <c r="AB74" t="s">
        <v>52</v>
      </c>
      <c r="AC74" t="s">
        <v>53</v>
      </c>
      <c r="AD74" s="13">
        <f>IF(P74&lt;=1,7,7+0.8*ROUNDUP(P74-1,0))</f>
        <v>7</v>
      </c>
      <c r="AE74" s="14">
        <v>0</v>
      </c>
      <c r="AF74" s="14">
        <v>0</v>
      </c>
      <c r="AG74" s="14">
        <v>0</v>
      </c>
      <c r="AH74" s="14">
        <v>0</v>
      </c>
      <c r="AI74" s="14">
        <f t="shared" si="2"/>
        <v>0.42</v>
      </c>
      <c r="AJ74" s="14">
        <f t="shared" si="3"/>
        <v>7.42</v>
      </c>
      <c r="AK74" t="s">
        <v>48</v>
      </c>
      <c r="AN74" s="12"/>
    </row>
    <row r="75" spans="1:40" ht="15" customHeight="1" x14ac:dyDescent="0.35">
      <c r="A75">
        <v>690929</v>
      </c>
      <c r="B75" t="s">
        <v>37</v>
      </c>
      <c r="C75" t="s">
        <v>38</v>
      </c>
      <c r="D75" s="2" t="s">
        <v>39</v>
      </c>
      <c r="E75" s="9" t="s">
        <v>37</v>
      </c>
      <c r="F75" s="10"/>
      <c r="G75" t="s">
        <v>303</v>
      </c>
      <c r="H75" t="s">
        <v>41</v>
      </c>
      <c r="I75" t="s">
        <v>42</v>
      </c>
      <c r="J75" t="s">
        <v>304</v>
      </c>
      <c r="K75" t="s">
        <v>44</v>
      </c>
      <c r="L75">
        <v>2</v>
      </c>
      <c r="M75" t="s">
        <v>45</v>
      </c>
      <c r="N75" t="s">
        <v>46</v>
      </c>
      <c r="O75" t="s">
        <v>47</v>
      </c>
      <c r="P75" s="5">
        <v>1</v>
      </c>
      <c r="Q75" s="11">
        <v>44860.501504629632</v>
      </c>
      <c r="R75" s="12">
        <v>44861</v>
      </c>
      <c r="S75" t="s">
        <v>41</v>
      </c>
      <c r="T75" t="s">
        <v>48</v>
      </c>
      <c r="U75" t="s">
        <v>49</v>
      </c>
      <c r="V75" t="s">
        <v>122</v>
      </c>
      <c r="Y75" t="s">
        <v>305</v>
      </c>
      <c r="Z75">
        <v>16150</v>
      </c>
      <c r="AA75" t="s">
        <v>48</v>
      </c>
      <c r="AB75" t="s">
        <v>104</v>
      </c>
      <c r="AC75" t="s">
        <v>53</v>
      </c>
      <c r="AD75" s="13">
        <f>IF(P75&lt;=1,7,7+0.8*ROUNDUP(P75-1,0))</f>
        <v>7</v>
      </c>
      <c r="AE75" s="14">
        <v>0</v>
      </c>
      <c r="AF75" s="14">
        <v>0</v>
      </c>
      <c r="AG75" s="14">
        <v>0</v>
      </c>
      <c r="AH75" s="14">
        <v>0</v>
      </c>
      <c r="AI75" s="14">
        <f t="shared" si="2"/>
        <v>0.42</v>
      </c>
      <c r="AJ75" s="14">
        <f t="shared" si="3"/>
        <v>7.42</v>
      </c>
      <c r="AK75" t="s">
        <v>48</v>
      </c>
      <c r="AN75" s="12"/>
    </row>
    <row r="76" spans="1:40" ht="15" customHeight="1" x14ac:dyDescent="0.35">
      <c r="A76">
        <v>690929</v>
      </c>
      <c r="B76" t="s">
        <v>37</v>
      </c>
      <c r="C76" t="s">
        <v>38</v>
      </c>
      <c r="D76" s="2" t="s">
        <v>39</v>
      </c>
      <c r="E76" s="9" t="s">
        <v>37</v>
      </c>
      <c r="F76" s="10"/>
      <c r="G76" t="s">
        <v>306</v>
      </c>
      <c r="H76" t="s">
        <v>41</v>
      </c>
      <c r="I76" t="s">
        <v>42</v>
      </c>
      <c r="J76" t="s">
        <v>307</v>
      </c>
      <c r="K76" t="s">
        <v>44</v>
      </c>
      <c r="L76">
        <v>2</v>
      </c>
      <c r="M76" t="s">
        <v>45</v>
      </c>
      <c r="N76" t="s">
        <v>46</v>
      </c>
      <c r="O76" t="s">
        <v>47</v>
      </c>
      <c r="P76" s="5">
        <v>1</v>
      </c>
      <c r="Q76" s="11">
        <v>44859.57539351852</v>
      </c>
      <c r="R76" s="12">
        <v>44861</v>
      </c>
      <c r="S76" t="s">
        <v>41</v>
      </c>
      <c r="T76" t="s">
        <v>48</v>
      </c>
      <c r="U76" t="s">
        <v>49</v>
      </c>
      <c r="V76" t="s">
        <v>231</v>
      </c>
      <c r="Y76" t="s">
        <v>308</v>
      </c>
      <c r="Z76">
        <v>32200</v>
      </c>
      <c r="AA76" t="s">
        <v>48</v>
      </c>
      <c r="AB76" t="s">
        <v>49</v>
      </c>
      <c r="AC76" t="s">
        <v>53</v>
      </c>
      <c r="AD76" s="13">
        <f>IF(P76&lt;=1,7,7+0.8*ROUNDUP(P76-1,0))</f>
        <v>7</v>
      </c>
      <c r="AE76" s="14">
        <v>0</v>
      </c>
      <c r="AF76" s="14">
        <v>0</v>
      </c>
      <c r="AG76" s="14">
        <v>0</v>
      </c>
      <c r="AH76" s="14">
        <v>0</v>
      </c>
      <c r="AI76" s="14">
        <f t="shared" si="2"/>
        <v>0.42</v>
      </c>
      <c r="AJ76" s="14">
        <f t="shared" si="3"/>
        <v>7.42</v>
      </c>
      <c r="AK76" t="s">
        <v>48</v>
      </c>
      <c r="AN76" s="12"/>
    </row>
    <row r="77" spans="1:40" ht="15" customHeight="1" x14ac:dyDescent="0.35">
      <c r="A77">
        <v>690929</v>
      </c>
      <c r="B77" t="s">
        <v>37</v>
      </c>
      <c r="C77" t="s">
        <v>38</v>
      </c>
      <c r="D77" s="2" t="s">
        <v>39</v>
      </c>
      <c r="E77" s="9" t="s">
        <v>37</v>
      </c>
      <c r="F77" s="10"/>
      <c r="G77" t="s">
        <v>309</v>
      </c>
      <c r="H77" t="s">
        <v>41</v>
      </c>
      <c r="I77" t="s">
        <v>42</v>
      </c>
      <c r="J77" t="s">
        <v>310</v>
      </c>
      <c r="K77" t="s">
        <v>44</v>
      </c>
      <c r="L77">
        <v>2</v>
      </c>
      <c r="M77" t="s">
        <v>45</v>
      </c>
      <c r="N77" t="s">
        <v>46</v>
      </c>
      <c r="O77" t="s">
        <v>47</v>
      </c>
      <c r="P77" s="5">
        <v>2</v>
      </c>
      <c r="Q77" s="11">
        <v>44859.459305555552</v>
      </c>
      <c r="R77" s="12">
        <v>44861</v>
      </c>
      <c r="S77" t="s">
        <v>41</v>
      </c>
      <c r="T77" t="s">
        <v>48</v>
      </c>
      <c r="U77" t="s">
        <v>49</v>
      </c>
      <c r="V77" t="s">
        <v>56</v>
      </c>
      <c r="Y77" t="s">
        <v>311</v>
      </c>
      <c r="Z77">
        <v>84200</v>
      </c>
      <c r="AA77" t="s">
        <v>48</v>
      </c>
      <c r="AB77" t="s">
        <v>52</v>
      </c>
      <c r="AC77" t="s">
        <v>53</v>
      </c>
      <c r="AD77" s="13">
        <f>IF(P77&lt;=1,7,7+0.8*ROUNDUP(P77-1,0))</f>
        <v>7.8</v>
      </c>
      <c r="AE77" s="14">
        <v>0</v>
      </c>
      <c r="AF77" s="14">
        <v>0</v>
      </c>
      <c r="AG77" s="14">
        <v>0</v>
      </c>
      <c r="AH77" s="14">
        <v>0</v>
      </c>
      <c r="AI77" s="14">
        <f t="shared" si="2"/>
        <v>0.46799999999999997</v>
      </c>
      <c r="AJ77" s="14">
        <f t="shared" si="3"/>
        <v>8.2680000000000007</v>
      </c>
      <c r="AK77" t="s">
        <v>48</v>
      </c>
      <c r="AN77" s="12"/>
    </row>
    <row r="78" spans="1:40" ht="15" customHeight="1" x14ac:dyDescent="0.35">
      <c r="A78">
        <v>690929</v>
      </c>
      <c r="B78" t="s">
        <v>37</v>
      </c>
      <c r="C78" t="s">
        <v>38</v>
      </c>
      <c r="D78" s="2" t="s">
        <v>39</v>
      </c>
      <c r="E78" s="9" t="s">
        <v>37</v>
      </c>
      <c r="F78" s="10"/>
      <c r="G78" t="s">
        <v>312</v>
      </c>
      <c r="H78" t="s">
        <v>41</v>
      </c>
      <c r="I78" t="s">
        <v>42</v>
      </c>
      <c r="J78" t="s">
        <v>313</v>
      </c>
      <c r="K78" t="s">
        <v>44</v>
      </c>
      <c r="L78">
        <v>2</v>
      </c>
      <c r="M78" t="s">
        <v>45</v>
      </c>
      <c r="N78" t="s">
        <v>46</v>
      </c>
      <c r="O78" t="s">
        <v>47</v>
      </c>
      <c r="P78" s="5">
        <v>3</v>
      </c>
      <c r="Q78" s="11">
        <v>44859.608263888891</v>
      </c>
      <c r="R78" s="12">
        <v>44861</v>
      </c>
      <c r="S78" t="s">
        <v>41</v>
      </c>
      <c r="T78" t="s">
        <v>48</v>
      </c>
      <c r="U78" t="s">
        <v>314</v>
      </c>
      <c r="V78" t="s">
        <v>61</v>
      </c>
      <c r="Y78" t="s">
        <v>315</v>
      </c>
      <c r="Z78">
        <v>41300</v>
      </c>
      <c r="AA78" t="s">
        <v>48</v>
      </c>
      <c r="AB78" t="s">
        <v>314</v>
      </c>
      <c r="AC78" t="s">
        <v>53</v>
      </c>
      <c r="AD78" s="13">
        <f>IF(P78&lt;=1,7,7+0.8*ROUNDUP(P78-1,0))</f>
        <v>8.6</v>
      </c>
      <c r="AE78" s="14">
        <v>0</v>
      </c>
      <c r="AF78" s="14">
        <v>0</v>
      </c>
      <c r="AG78" s="14">
        <v>0</v>
      </c>
      <c r="AH78" s="14">
        <v>0</v>
      </c>
      <c r="AI78" s="14">
        <f t="shared" si="2"/>
        <v>0.51600000000000001</v>
      </c>
      <c r="AJ78" s="14">
        <f t="shared" si="3"/>
        <v>9.1159999999999997</v>
      </c>
      <c r="AK78" t="s">
        <v>48</v>
      </c>
      <c r="AN78" s="12"/>
    </row>
    <row r="79" spans="1:40" ht="15" customHeight="1" x14ac:dyDescent="0.35">
      <c r="A79">
        <v>690929</v>
      </c>
      <c r="B79" t="s">
        <v>37</v>
      </c>
      <c r="C79" t="s">
        <v>38</v>
      </c>
      <c r="D79" s="2" t="s">
        <v>39</v>
      </c>
      <c r="E79" s="9" t="s">
        <v>37</v>
      </c>
      <c r="F79" s="10"/>
      <c r="G79" t="s">
        <v>316</v>
      </c>
      <c r="H79" t="s">
        <v>41</v>
      </c>
      <c r="I79" t="s">
        <v>42</v>
      </c>
      <c r="J79" t="s">
        <v>317</v>
      </c>
      <c r="K79" t="s">
        <v>44</v>
      </c>
      <c r="L79">
        <v>2</v>
      </c>
      <c r="M79" t="s">
        <v>45</v>
      </c>
      <c r="N79" t="s">
        <v>46</v>
      </c>
      <c r="O79" t="s">
        <v>47</v>
      </c>
      <c r="P79" s="5">
        <v>2</v>
      </c>
      <c r="Q79" s="11">
        <v>44859.460219907407</v>
      </c>
      <c r="R79" s="12">
        <v>44861</v>
      </c>
      <c r="S79" t="s">
        <v>41</v>
      </c>
      <c r="T79" t="s">
        <v>48</v>
      </c>
      <c r="U79" t="s">
        <v>49</v>
      </c>
      <c r="V79" t="s">
        <v>56</v>
      </c>
      <c r="Y79" t="s">
        <v>318</v>
      </c>
      <c r="Z79">
        <v>84300</v>
      </c>
      <c r="AA79" t="s">
        <v>48</v>
      </c>
      <c r="AB79" t="s">
        <v>52</v>
      </c>
      <c r="AC79" t="s">
        <v>53</v>
      </c>
      <c r="AD79" s="13">
        <f>IF(P79&lt;=1,7,7+0.8*ROUNDUP(P79-1,0))</f>
        <v>7.8</v>
      </c>
      <c r="AE79" s="14">
        <v>0</v>
      </c>
      <c r="AF79" s="14">
        <v>0</v>
      </c>
      <c r="AG79" s="14">
        <v>0</v>
      </c>
      <c r="AH79" s="14">
        <v>0</v>
      </c>
      <c r="AI79" s="14">
        <f t="shared" si="2"/>
        <v>0.46799999999999997</v>
      </c>
      <c r="AJ79" s="14">
        <f t="shared" si="3"/>
        <v>8.2680000000000007</v>
      </c>
      <c r="AK79" t="s">
        <v>48</v>
      </c>
      <c r="AN79" s="12"/>
    </row>
    <row r="80" spans="1:40" ht="15" customHeight="1" x14ac:dyDescent="0.35">
      <c r="A80">
        <v>690929</v>
      </c>
      <c r="B80" t="s">
        <v>37</v>
      </c>
      <c r="C80" t="s">
        <v>38</v>
      </c>
      <c r="D80" s="2" t="s">
        <v>39</v>
      </c>
      <c r="E80" s="9" t="s">
        <v>37</v>
      </c>
      <c r="F80" s="10"/>
      <c r="G80" t="s">
        <v>319</v>
      </c>
      <c r="H80" t="s">
        <v>41</v>
      </c>
      <c r="I80" t="s">
        <v>42</v>
      </c>
      <c r="J80" t="s">
        <v>320</v>
      </c>
      <c r="K80" t="s">
        <v>44</v>
      </c>
      <c r="L80">
        <v>2</v>
      </c>
      <c r="M80" t="s">
        <v>45</v>
      </c>
      <c r="N80" t="s">
        <v>46</v>
      </c>
      <c r="O80" t="s">
        <v>47</v>
      </c>
      <c r="P80" s="5">
        <v>1</v>
      </c>
      <c r="Q80" s="11">
        <v>44859.738252314812</v>
      </c>
      <c r="R80" s="12">
        <v>44861</v>
      </c>
      <c r="S80" t="s">
        <v>41</v>
      </c>
      <c r="T80" t="s">
        <v>48</v>
      </c>
      <c r="U80" t="s">
        <v>49</v>
      </c>
      <c r="V80" t="s">
        <v>133</v>
      </c>
      <c r="Y80" t="s">
        <v>321</v>
      </c>
      <c r="Z80">
        <v>26010</v>
      </c>
      <c r="AA80" t="s">
        <v>48</v>
      </c>
      <c r="AB80" t="s">
        <v>49</v>
      </c>
      <c r="AC80" t="s">
        <v>53</v>
      </c>
      <c r="AD80" s="13">
        <f>IF(P80&lt;=1,7,7+0.8*ROUNDUP(P80-1,0))</f>
        <v>7</v>
      </c>
      <c r="AE80" s="14">
        <v>0</v>
      </c>
      <c r="AF80" s="14">
        <v>0</v>
      </c>
      <c r="AG80" s="14">
        <v>0</v>
      </c>
      <c r="AH80" s="14">
        <v>0</v>
      </c>
      <c r="AI80" s="14">
        <f t="shared" si="2"/>
        <v>0.42</v>
      </c>
      <c r="AJ80" s="14">
        <f t="shared" si="3"/>
        <v>7.42</v>
      </c>
      <c r="AK80" t="s">
        <v>48</v>
      </c>
      <c r="AN80" s="12"/>
    </row>
    <row r="81" spans="1:40" ht="15" customHeight="1" x14ac:dyDescent="0.35">
      <c r="A81">
        <v>690929</v>
      </c>
      <c r="B81" t="s">
        <v>37</v>
      </c>
      <c r="C81" t="s">
        <v>38</v>
      </c>
      <c r="D81" s="2" t="s">
        <v>39</v>
      </c>
      <c r="E81" s="9" t="s">
        <v>37</v>
      </c>
      <c r="F81" s="10"/>
      <c r="G81" t="s">
        <v>322</v>
      </c>
      <c r="H81" t="s">
        <v>41</v>
      </c>
      <c r="I81" t="s">
        <v>42</v>
      </c>
      <c r="J81" t="s">
        <v>323</v>
      </c>
      <c r="K81" t="s">
        <v>44</v>
      </c>
      <c r="L81">
        <v>2</v>
      </c>
      <c r="M81" t="s">
        <v>45</v>
      </c>
      <c r="N81" t="s">
        <v>46</v>
      </c>
      <c r="O81" t="s">
        <v>47</v>
      </c>
      <c r="P81" s="5">
        <v>1</v>
      </c>
      <c r="Q81" s="11">
        <v>44859.588530092595</v>
      </c>
      <c r="R81" s="12">
        <v>44861</v>
      </c>
      <c r="S81" t="s">
        <v>41</v>
      </c>
      <c r="T81" t="s">
        <v>48</v>
      </c>
      <c r="U81" t="s">
        <v>49</v>
      </c>
      <c r="V81" t="s">
        <v>50</v>
      </c>
      <c r="Y81" t="s">
        <v>324</v>
      </c>
      <c r="Z81">
        <v>6010</v>
      </c>
      <c r="AA81" t="s">
        <v>48</v>
      </c>
      <c r="AB81" t="s">
        <v>49</v>
      </c>
      <c r="AC81" t="s">
        <v>53</v>
      </c>
      <c r="AD81" s="13">
        <f>IF(P81&lt;=1,7,7+0.8*ROUNDUP(P81-1,0))</f>
        <v>7</v>
      </c>
      <c r="AE81" s="14">
        <v>0</v>
      </c>
      <c r="AF81" s="14">
        <v>0</v>
      </c>
      <c r="AG81" s="14">
        <v>0</v>
      </c>
      <c r="AH81" s="14">
        <v>0</v>
      </c>
      <c r="AI81" s="14">
        <f t="shared" si="2"/>
        <v>0.42</v>
      </c>
      <c r="AJ81" s="14">
        <f t="shared" si="3"/>
        <v>7.42</v>
      </c>
      <c r="AK81" t="s">
        <v>48</v>
      </c>
      <c r="AN81" s="12"/>
    </row>
    <row r="82" spans="1:40" ht="15" customHeight="1" x14ac:dyDescent="0.35">
      <c r="A82">
        <v>690929</v>
      </c>
      <c r="B82" t="s">
        <v>37</v>
      </c>
      <c r="C82" t="s">
        <v>38</v>
      </c>
      <c r="D82" s="2" t="s">
        <v>39</v>
      </c>
      <c r="E82" s="9" t="s">
        <v>37</v>
      </c>
      <c r="F82" s="10"/>
      <c r="G82" t="s">
        <v>325</v>
      </c>
      <c r="H82" t="s">
        <v>41</v>
      </c>
      <c r="I82" t="s">
        <v>42</v>
      </c>
      <c r="J82" t="s">
        <v>326</v>
      </c>
      <c r="K82" t="s">
        <v>44</v>
      </c>
      <c r="L82">
        <v>2</v>
      </c>
      <c r="M82" t="s">
        <v>45</v>
      </c>
      <c r="N82" t="s">
        <v>46</v>
      </c>
      <c r="O82" t="s">
        <v>47</v>
      </c>
      <c r="P82" s="5">
        <v>1</v>
      </c>
      <c r="Q82" s="11">
        <v>44859.59547453704</v>
      </c>
      <c r="R82" s="12">
        <v>44861</v>
      </c>
      <c r="S82" t="s">
        <v>41</v>
      </c>
      <c r="T82" t="s">
        <v>48</v>
      </c>
      <c r="U82" t="s">
        <v>49</v>
      </c>
      <c r="V82" t="s">
        <v>50</v>
      </c>
      <c r="Y82" t="s">
        <v>327</v>
      </c>
      <c r="Z82">
        <v>6010</v>
      </c>
      <c r="AA82" t="s">
        <v>48</v>
      </c>
      <c r="AB82" t="s">
        <v>49</v>
      </c>
      <c r="AC82" t="s">
        <v>53</v>
      </c>
      <c r="AD82" s="13">
        <f>IF(P82&lt;=1,7,7+0.8*ROUNDUP(P82-1,0))</f>
        <v>7</v>
      </c>
      <c r="AE82" s="14">
        <v>0</v>
      </c>
      <c r="AF82" s="14">
        <v>0</v>
      </c>
      <c r="AG82" s="14">
        <v>0</v>
      </c>
      <c r="AH82" s="14">
        <v>0</v>
      </c>
      <c r="AI82" s="14">
        <f t="shared" si="2"/>
        <v>0.42</v>
      </c>
      <c r="AJ82" s="14">
        <f t="shared" si="3"/>
        <v>7.42</v>
      </c>
      <c r="AK82" t="s">
        <v>48</v>
      </c>
      <c r="AN82" s="12"/>
    </row>
    <row r="83" spans="1:40" ht="15" customHeight="1" x14ac:dyDescent="0.35">
      <c r="A83">
        <v>690929</v>
      </c>
      <c r="B83" t="s">
        <v>37</v>
      </c>
      <c r="C83" t="s">
        <v>38</v>
      </c>
      <c r="D83" s="2" t="s">
        <v>39</v>
      </c>
      <c r="E83" s="9" t="s">
        <v>37</v>
      </c>
      <c r="F83" s="10"/>
      <c r="G83" t="s">
        <v>328</v>
      </c>
      <c r="H83" t="s">
        <v>41</v>
      </c>
      <c r="I83" t="s">
        <v>42</v>
      </c>
      <c r="J83" t="s">
        <v>329</v>
      </c>
      <c r="K83" t="s">
        <v>44</v>
      </c>
      <c r="L83">
        <v>2</v>
      </c>
      <c r="M83" t="s">
        <v>45</v>
      </c>
      <c r="N83" t="s">
        <v>46</v>
      </c>
      <c r="O83" t="s">
        <v>47</v>
      </c>
      <c r="P83" s="5">
        <v>1</v>
      </c>
      <c r="Q83" s="11">
        <v>44859.483703703707</v>
      </c>
      <c r="R83" s="12">
        <v>44861</v>
      </c>
      <c r="S83" t="s">
        <v>41</v>
      </c>
      <c r="T83" t="s">
        <v>48</v>
      </c>
      <c r="U83" t="s">
        <v>49</v>
      </c>
      <c r="V83" t="s">
        <v>72</v>
      </c>
      <c r="Y83" t="s">
        <v>330</v>
      </c>
      <c r="Z83">
        <v>14400</v>
      </c>
      <c r="AA83" t="s">
        <v>48</v>
      </c>
      <c r="AB83" t="s">
        <v>52</v>
      </c>
      <c r="AC83" t="s">
        <v>53</v>
      </c>
      <c r="AD83" s="13">
        <f>IF(P83&lt;=1,7,7+0.8*ROUNDUP(P83-1,0))</f>
        <v>7</v>
      </c>
      <c r="AE83" s="14">
        <v>0</v>
      </c>
      <c r="AF83" s="14">
        <v>0</v>
      </c>
      <c r="AG83" s="14">
        <v>0</v>
      </c>
      <c r="AH83" s="14">
        <v>0</v>
      </c>
      <c r="AI83" s="14">
        <f t="shared" si="2"/>
        <v>0.42</v>
      </c>
      <c r="AJ83" s="14">
        <f t="shared" si="3"/>
        <v>7.42</v>
      </c>
      <c r="AK83" t="s">
        <v>48</v>
      </c>
      <c r="AN83" s="12"/>
    </row>
    <row r="84" spans="1:40" ht="15" customHeight="1" x14ac:dyDescent="0.35">
      <c r="A84">
        <v>690929</v>
      </c>
      <c r="B84" t="s">
        <v>37</v>
      </c>
      <c r="C84" t="s">
        <v>38</v>
      </c>
      <c r="D84" s="2" t="s">
        <v>39</v>
      </c>
      <c r="E84" s="9" t="s">
        <v>37</v>
      </c>
      <c r="F84" s="10"/>
      <c r="G84" t="s">
        <v>331</v>
      </c>
      <c r="H84" t="s">
        <v>41</v>
      </c>
      <c r="I84" t="s">
        <v>42</v>
      </c>
      <c r="J84" t="s">
        <v>332</v>
      </c>
      <c r="K84" t="s">
        <v>44</v>
      </c>
      <c r="L84">
        <v>2</v>
      </c>
      <c r="M84" t="s">
        <v>45</v>
      </c>
      <c r="N84" t="s">
        <v>46</v>
      </c>
      <c r="O84" t="s">
        <v>47</v>
      </c>
      <c r="P84" s="5">
        <v>1</v>
      </c>
      <c r="Q84" s="11">
        <v>44859.744386574072</v>
      </c>
      <c r="R84" s="12">
        <v>44861</v>
      </c>
      <c r="S84" t="s">
        <v>41</v>
      </c>
      <c r="T84" t="s">
        <v>48</v>
      </c>
      <c r="U84" t="s">
        <v>49</v>
      </c>
      <c r="V84" t="s">
        <v>87</v>
      </c>
      <c r="Y84" t="s">
        <v>333</v>
      </c>
      <c r="Z84">
        <v>23200</v>
      </c>
      <c r="AA84" t="s">
        <v>48</v>
      </c>
      <c r="AB84" t="s">
        <v>334</v>
      </c>
      <c r="AC84" t="s">
        <v>53</v>
      </c>
      <c r="AD84" s="13">
        <f>IF(P84&lt;=1,7,7+0.8*ROUNDUP(P84-1,0))</f>
        <v>7</v>
      </c>
      <c r="AE84" s="14">
        <v>0</v>
      </c>
      <c r="AF84" s="14">
        <v>0</v>
      </c>
      <c r="AG84" s="14">
        <v>0</v>
      </c>
      <c r="AH84" s="14">
        <v>0</v>
      </c>
      <c r="AI84" s="14">
        <f t="shared" si="2"/>
        <v>0.42</v>
      </c>
      <c r="AJ84" s="14">
        <f t="shared" si="3"/>
        <v>7.42</v>
      </c>
      <c r="AK84" t="s">
        <v>48</v>
      </c>
      <c r="AN84" s="12"/>
    </row>
    <row r="85" spans="1:40" ht="15" customHeight="1" x14ac:dyDescent="0.35">
      <c r="A85">
        <v>690929</v>
      </c>
      <c r="B85" t="s">
        <v>37</v>
      </c>
      <c r="C85" t="s">
        <v>38</v>
      </c>
      <c r="D85" s="2" t="s">
        <v>39</v>
      </c>
      <c r="E85" s="9" t="s">
        <v>37</v>
      </c>
      <c r="F85" s="10"/>
      <c r="G85" t="s">
        <v>335</v>
      </c>
      <c r="H85" t="s">
        <v>41</v>
      </c>
      <c r="I85" t="s">
        <v>42</v>
      </c>
      <c r="J85" t="s">
        <v>336</v>
      </c>
      <c r="K85" t="s">
        <v>44</v>
      </c>
      <c r="L85">
        <v>2</v>
      </c>
      <c r="M85" t="s">
        <v>45</v>
      </c>
      <c r="N85" t="s">
        <v>46</v>
      </c>
      <c r="O85" t="s">
        <v>47</v>
      </c>
      <c r="P85" s="5">
        <v>2</v>
      </c>
      <c r="Q85" s="11">
        <v>44859.436944444446</v>
      </c>
      <c r="R85" s="12">
        <v>44861</v>
      </c>
      <c r="S85" t="s">
        <v>41</v>
      </c>
      <c r="T85" t="s">
        <v>48</v>
      </c>
      <c r="U85" t="s">
        <v>49</v>
      </c>
      <c r="V85" t="s">
        <v>72</v>
      </c>
      <c r="Y85" t="s">
        <v>337</v>
      </c>
      <c r="Z85">
        <v>11900</v>
      </c>
      <c r="AA85" t="s">
        <v>48</v>
      </c>
      <c r="AB85" t="s">
        <v>74</v>
      </c>
      <c r="AC85" t="s">
        <v>53</v>
      </c>
      <c r="AD85" s="13">
        <f>IF(P85&lt;=1,7,7+0.8*ROUNDUP(P85-1,0))</f>
        <v>7.8</v>
      </c>
      <c r="AE85" s="14">
        <v>0</v>
      </c>
      <c r="AF85" s="14">
        <v>0</v>
      </c>
      <c r="AG85" s="14">
        <v>0</v>
      </c>
      <c r="AH85" s="14">
        <v>0</v>
      </c>
      <c r="AI85" s="14">
        <f t="shared" si="2"/>
        <v>0.46799999999999997</v>
      </c>
      <c r="AJ85" s="14">
        <f t="shared" si="3"/>
        <v>8.2680000000000007</v>
      </c>
      <c r="AK85" t="s">
        <v>48</v>
      </c>
      <c r="AN85" s="12"/>
    </row>
    <row r="86" spans="1:40" ht="15" customHeight="1" x14ac:dyDescent="0.35">
      <c r="A86">
        <v>690929</v>
      </c>
      <c r="B86" t="s">
        <v>37</v>
      </c>
      <c r="C86" t="s">
        <v>38</v>
      </c>
      <c r="D86" s="2" t="s">
        <v>39</v>
      </c>
      <c r="E86" s="9" t="s">
        <v>37</v>
      </c>
      <c r="F86" s="10"/>
      <c r="G86" t="s">
        <v>338</v>
      </c>
      <c r="H86" t="s">
        <v>41</v>
      </c>
      <c r="I86" t="s">
        <v>42</v>
      </c>
      <c r="J86" t="s">
        <v>339</v>
      </c>
      <c r="K86" t="s">
        <v>44</v>
      </c>
      <c r="L86">
        <v>2</v>
      </c>
      <c r="M86" t="s">
        <v>45</v>
      </c>
      <c r="N86" t="s">
        <v>46</v>
      </c>
      <c r="O86" t="s">
        <v>47</v>
      </c>
      <c r="P86" s="5">
        <v>1</v>
      </c>
      <c r="Q86" s="11">
        <v>44832.680254629631</v>
      </c>
      <c r="R86" s="12">
        <v>44835</v>
      </c>
      <c r="S86" t="s">
        <v>41</v>
      </c>
      <c r="T86" t="s">
        <v>48</v>
      </c>
      <c r="U86" t="s">
        <v>49</v>
      </c>
      <c r="V86" t="s">
        <v>56</v>
      </c>
      <c r="Y86" t="s">
        <v>340</v>
      </c>
      <c r="Z86">
        <v>81550</v>
      </c>
      <c r="AA86" t="s">
        <v>48</v>
      </c>
      <c r="AB86" t="s">
        <v>52</v>
      </c>
      <c r="AC86" t="s">
        <v>53</v>
      </c>
      <c r="AD86" s="13">
        <f>IF(P86&lt;=1,7,7+0.8*ROUNDUP(P86-1,0))</f>
        <v>7</v>
      </c>
      <c r="AE86" s="14">
        <v>0</v>
      </c>
      <c r="AF86" s="14">
        <v>0</v>
      </c>
      <c r="AG86" s="14">
        <v>0</v>
      </c>
      <c r="AH86" s="14">
        <v>0</v>
      </c>
      <c r="AI86" s="14">
        <f t="shared" si="2"/>
        <v>0.42</v>
      </c>
      <c r="AJ86" s="14">
        <f t="shared" si="3"/>
        <v>7.42</v>
      </c>
      <c r="AK86" t="s">
        <v>48</v>
      </c>
      <c r="AN86" s="12"/>
    </row>
    <row r="87" spans="1:40" ht="15" customHeight="1" x14ac:dyDescent="0.35">
      <c r="A87">
        <v>690929</v>
      </c>
      <c r="B87" t="s">
        <v>37</v>
      </c>
      <c r="C87" t="s">
        <v>38</v>
      </c>
      <c r="D87" s="2" t="s">
        <v>39</v>
      </c>
      <c r="E87" s="9" t="s">
        <v>37</v>
      </c>
      <c r="F87" s="10"/>
      <c r="G87" t="s">
        <v>341</v>
      </c>
      <c r="H87" t="s">
        <v>41</v>
      </c>
      <c r="I87" t="s">
        <v>42</v>
      </c>
      <c r="J87" t="s">
        <v>342</v>
      </c>
      <c r="K87" t="s">
        <v>44</v>
      </c>
      <c r="L87">
        <v>2</v>
      </c>
      <c r="M87" t="s">
        <v>45</v>
      </c>
      <c r="N87" t="s">
        <v>46</v>
      </c>
      <c r="O87" t="s">
        <v>47</v>
      </c>
      <c r="P87" s="5">
        <v>1</v>
      </c>
      <c r="Q87" s="11">
        <v>44833.660104166665</v>
      </c>
      <c r="R87" s="12">
        <v>44835</v>
      </c>
      <c r="S87" t="s">
        <v>41</v>
      </c>
      <c r="T87" t="s">
        <v>48</v>
      </c>
      <c r="U87" t="s">
        <v>49</v>
      </c>
      <c r="V87" t="s">
        <v>50</v>
      </c>
      <c r="Y87" t="s">
        <v>343</v>
      </c>
      <c r="Z87">
        <v>9000</v>
      </c>
      <c r="AA87" t="s">
        <v>48</v>
      </c>
      <c r="AB87" t="s">
        <v>52</v>
      </c>
      <c r="AC87" t="s">
        <v>53</v>
      </c>
      <c r="AD87" s="13">
        <f>IF(P87&lt;=1,7,7+0.8*ROUNDUP(P87-1,0))</f>
        <v>7</v>
      </c>
      <c r="AE87" s="14">
        <v>0</v>
      </c>
      <c r="AF87" s="14">
        <v>0</v>
      </c>
      <c r="AG87" s="14">
        <v>0</v>
      </c>
      <c r="AH87" s="14">
        <v>0</v>
      </c>
      <c r="AI87" s="14">
        <f t="shared" si="2"/>
        <v>0.42</v>
      </c>
      <c r="AJ87" s="14">
        <f t="shared" si="3"/>
        <v>7.42</v>
      </c>
      <c r="AK87" t="s">
        <v>48</v>
      </c>
      <c r="AN87" s="12"/>
    </row>
    <row r="88" spans="1:40" ht="15" customHeight="1" x14ac:dyDescent="0.35">
      <c r="A88">
        <v>690929</v>
      </c>
      <c r="B88" t="s">
        <v>37</v>
      </c>
      <c r="C88" t="s">
        <v>38</v>
      </c>
      <c r="D88" s="2" t="s">
        <v>39</v>
      </c>
      <c r="E88" s="9" t="s">
        <v>37</v>
      </c>
      <c r="F88" s="10"/>
      <c r="G88" t="s">
        <v>344</v>
      </c>
      <c r="H88" t="s">
        <v>41</v>
      </c>
      <c r="I88" t="s">
        <v>42</v>
      </c>
      <c r="J88" t="s">
        <v>345</v>
      </c>
      <c r="K88" t="s">
        <v>44</v>
      </c>
      <c r="L88">
        <v>2</v>
      </c>
      <c r="M88" t="s">
        <v>45</v>
      </c>
      <c r="N88" t="s">
        <v>46</v>
      </c>
      <c r="O88" t="s">
        <v>47</v>
      </c>
      <c r="P88" s="5">
        <v>1</v>
      </c>
      <c r="Q88" s="11">
        <v>44833.383564814816</v>
      </c>
      <c r="R88" s="12">
        <v>44835</v>
      </c>
      <c r="S88" t="s">
        <v>41</v>
      </c>
      <c r="T88" t="s">
        <v>48</v>
      </c>
      <c r="U88" t="s">
        <v>49</v>
      </c>
      <c r="V88" t="s">
        <v>50</v>
      </c>
      <c r="Y88" t="s">
        <v>346</v>
      </c>
      <c r="Z88">
        <v>5460</v>
      </c>
      <c r="AA88" t="s">
        <v>48</v>
      </c>
      <c r="AB88" t="s">
        <v>52</v>
      </c>
      <c r="AC88" t="s">
        <v>53</v>
      </c>
      <c r="AD88" s="13">
        <f>IF(P88&lt;=1,7,7+0.8*ROUNDUP(P88-1,0))</f>
        <v>7</v>
      </c>
      <c r="AE88" s="14">
        <v>0</v>
      </c>
      <c r="AF88" s="14">
        <v>0</v>
      </c>
      <c r="AG88" s="14">
        <v>0</v>
      </c>
      <c r="AH88" s="14">
        <v>0</v>
      </c>
      <c r="AI88" s="14">
        <f t="shared" si="2"/>
        <v>0.42</v>
      </c>
      <c r="AJ88" s="14">
        <f t="shared" si="3"/>
        <v>7.42</v>
      </c>
      <c r="AK88" t="s">
        <v>48</v>
      </c>
      <c r="AN88" s="12"/>
    </row>
    <row r="89" spans="1:40" ht="15" customHeight="1" x14ac:dyDescent="0.35">
      <c r="A89">
        <v>690929</v>
      </c>
      <c r="B89" t="s">
        <v>37</v>
      </c>
      <c r="C89" t="s">
        <v>38</v>
      </c>
      <c r="D89" s="2" t="s">
        <v>39</v>
      </c>
      <c r="E89" s="9" t="s">
        <v>37</v>
      </c>
      <c r="F89" s="10"/>
      <c r="G89" t="s">
        <v>347</v>
      </c>
      <c r="H89" t="s">
        <v>41</v>
      </c>
      <c r="I89" t="s">
        <v>42</v>
      </c>
      <c r="J89" t="s">
        <v>55</v>
      </c>
      <c r="K89" t="s">
        <v>44</v>
      </c>
      <c r="L89">
        <v>2</v>
      </c>
      <c r="M89" t="s">
        <v>45</v>
      </c>
      <c r="N89" t="s">
        <v>46</v>
      </c>
      <c r="O89" t="s">
        <v>47</v>
      </c>
      <c r="P89" s="5">
        <v>3</v>
      </c>
      <c r="Q89" s="11">
        <v>44834.420856481483</v>
      </c>
      <c r="R89" s="12">
        <v>44835</v>
      </c>
      <c r="S89" t="s">
        <v>41</v>
      </c>
      <c r="T89" t="s">
        <v>48</v>
      </c>
      <c r="U89" t="s">
        <v>104</v>
      </c>
      <c r="V89" t="s">
        <v>56</v>
      </c>
      <c r="Y89" t="s">
        <v>57</v>
      </c>
      <c r="Z89">
        <v>83000</v>
      </c>
      <c r="AA89" t="s">
        <v>48</v>
      </c>
      <c r="AB89" t="s">
        <v>58</v>
      </c>
      <c r="AC89" t="s">
        <v>53</v>
      </c>
      <c r="AD89" s="13">
        <f>IF(P89&lt;=1,7,7+0.8*ROUNDUP(P89-1,0))</f>
        <v>8.6</v>
      </c>
      <c r="AE89" s="14">
        <v>0</v>
      </c>
      <c r="AF89" s="14">
        <v>0</v>
      </c>
      <c r="AG89" s="14">
        <v>0</v>
      </c>
      <c r="AH89" s="14">
        <v>0</v>
      </c>
      <c r="AI89" s="14">
        <f t="shared" si="2"/>
        <v>0.51600000000000001</v>
      </c>
      <c r="AJ89" s="14">
        <f t="shared" si="3"/>
        <v>9.1159999999999997</v>
      </c>
      <c r="AK89" t="s">
        <v>48</v>
      </c>
      <c r="AN89" s="12"/>
    </row>
    <row r="90" spans="1:40" ht="15" customHeight="1" x14ac:dyDescent="0.35">
      <c r="A90">
        <v>690929</v>
      </c>
      <c r="B90" t="s">
        <v>37</v>
      </c>
      <c r="C90" t="s">
        <v>38</v>
      </c>
      <c r="D90" s="2" t="s">
        <v>39</v>
      </c>
      <c r="E90" s="9" t="s">
        <v>37</v>
      </c>
      <c r="F90" s="10"/>
      <c r="G90" t="s">
        <v>348</v>
      </c>
      <c r="H90" t="s">
        <v>41</v>
      </c>
      <c r="I90" t="s">
        <v>42</v>
      </c>
      <c r="J90" t="s">
        <v>349</v>
      </c>
      <c r="K90" t="s">
        <v>44</v>
      </c>
      <c r="L90">
        <v>2</v>
      </c>
      <c r="M90" t="s">
        <v>45</v>
      </c>
      <c r="N90" t="s">
        <v>46</v>
      </c>
      <c r="O90" t="s">
        <v>47</v>
      </c>
      <c r="P90" s="5">
        <v>2</v>
      </c>
      <c r="Q90" s="11">
        <v>44833.604375000003</v>
      </c>
      <c r="R90" s="12">
        <v>44835</v>
      </c>
      <c r="S90" t="s">
        <v>41</v>
      </c>
      <c r="T90" t="s">
        <v>48</v>
      </c>
      <c r="U90" t="s">
        <v>49</v>
      </c>
      <c r="V90" t="s">
        <v>122</v>
      </c>
      <c r="Y90" t="s">
        <v>350</v>
      </c>
      <c r="Z90">
        <v>18300</v>
      </c>
      <c r="AA90" t="s">
        <v>48</v>
      </c>
      <c r="AB90" t="s">
        <v>104</v>
      </c>
      <c r="AC90" t="s">
        <v>53</v>
      </c>
      <c r="AD90" s="13">
        <f>IF(P90&lt;=1,7,7+0.8*ROUNDUP(P90-1,0))</f>
        <v>7.8</v>
      </c>
      <c r="AE90" s="14">
        <v>0</v>
      </c>
      <c r="AF90" s="14">
        <v>0</v>
      </c>
      <c r="AG90" s="14">
        <v>0</v>
      </c>
      <c r="AH90" s="14">
        <v>0</v>
      </c>
      <c r="AI90" s="14">
        <f t="shared" si="2"/>
        <v>0.46799999999999997</v>
      </c>
      <c r="AJ90" s="14">
        <f t="shared" si="3"/>
        <v>8.2680000000000007</v>
      </c>
      <c r="AK90" t="s">
        <v>48</v>
      </c>
      <c r="AN90" s="12"/>
    </row>
    <row r="91" spans="1:40" ht="15" customHeight="1" x14ac:dyDescent="0.35">
      <c r="A91">
        <v>690929</v>
      </c>
      <c r="B91" t="s">
        <v>37</v>
      </c>
      <c r="C91" t="s">
        <v>38</v>
      </c>
      <c r="D91" s="2" t="s">
        <v>39</v>
      </c>
      <c r="E91" s="9" t="s">
        <v>37</v>
      </c>
      <c r="F91" s="10"/>
      <c r="G91" t="s">
        <v>351</v>
      </c>
      <c r="H91" t="s">
        <v>41</v>
      </c>
      <c r="I91" t="s">
        <v>42</v>
      </c>
      <c r="J91" t="s">
        <v>352</v>
      </c>
      <c r="K91" t="s">
        <v>44</v>
      </c>
      <c r="L91">
        <v>2</v>
      </c>
      <c r="M91" t="s">
        <v>45</v>
      </c>
      <c r="N91" t="s">
        <v>46</v>
      </c>
      <c r="O91" t="s">
        <v>47</v>
      </c>
      <c r="P91" s="5">
        <v>1</v>
      </c>
      <c r="Q91" s="11">
        <v>44832.687361111108</v>
      </c>
      <c r="R91" s="12">
        <v>44835</v>
      </c>
      <c r="S91" t="s">
        <v>41</v>
      </c>
      <c r="T91" t="s">
        <v>48</v>
      </c>
      <c r="U91" t="s">
        <v>49</v>
      </c>
      <c r="V91" t="s">
        <v>72</v>
      </c>
      <c r="Y91" t="s">
        <v>353</v>
      </c>
      <c r="Z91">
        <v>13500</v>
      </c>
      <c r="AA91" t="s">
        <v>48</v>
      </c>
      <c r="AB91" t="s">
        <v>52</v>
      </c>
      <c r="AC91" t="s">
        <v>53</v>
      </c>
      <c r="AD91" s="13">
        <f>IF(P91&lt;=1,7,7+0.8*ROUNDUP(P91-1,0))</f>
        <v>7</v>
      </c>
      <c r="AE91" s="14">
        <v>0</v>
      </c>
      <c r="AF91" s="14">
        <v>0</v>
      </c>
      <c r="AG91" s="14">
        <v>0</v>
      </c>
      <c r="AH91" s="14">
        <v>0</v>
      </c>
      <c r="AI91" s="14">
        <f t="shared" si="2"/>
        <v>0.42</v>
      </c>
      <c r="AJ91" s="14">
        <f t="shared" si="3"/>
        <v>7.42</v>
      </c>
      <c r="AK91" t="s">
        <v>48</v>
      </c>
      <c r="AN91" s="12"/>
    </row>
    <row r="92" spans="1:40" ht="15" customHeight="1" x14ac:dyDescent="0.35">
      <c r="A92">
        <v>690929</v>
      </c>
      <c r="B92" t="s">
        <v>37</v>
      </c>
      <c r="C92" t="s">
        <v>38</v>
      </c>
      <c r="D92" s="2" t="s">
        <v>39</v>
      </c>
      <c r="E92" s="9" t="s">
        <v>37</v>
      </c>
      <c r="F92" s="10"/>
      <c r="G92" t="s">
        <v>354</v>
      </c>
      <c r="H92" t="s">
        <v>41</v>
      </c>
      <c r="I92" t="s">
        <v>42</v>
      </c>
      <c r="J92" t="s">
        <v>355</v>
      </c>
      <c r="K92" t="s">
        <v>44</v>
      </c>
      <c r="L92">
        <v>2</v>
      </c>
      <c r="M92" t="s">
        <v>45</v>
      </c>
      <c r="N92" t="s">
        <v>46</v>
      </c>
      <c r="O92" t="s">
        <v>47</v>
      </c>
      <c r="P92" s="5">
        <v>2</v>
      </c>
      <c r="Q92" s="11">
        <v>44832.688391203701</v>
      </c>
      <c r="R92" s="12">
        <v>44835</v>
      </c>
      <c r="S92" t="s">
        <v>41</v>
      </c>
      <c r="T92" t="s">
        <v>48</v>
      </c>
      <c r="U92" t="s">
        <v>49</v>
      </c>
      <c r="V92" t="s">
        <v>56</v>
      </c>
      <c r="Y92" t="s">
        <v>356</v>
      </c>
      <c r="Z92">
        <v>81110</v>
      </c>
      <c r="AA92" t="s">
        <v>48</v>
      </c>
      <c r="AB92" t="s">
        <v>357</v>
      </c>
      <c r="AC92" t="s">
        <v>53</v>
      </c>
      <c r="AD92" s="13">
        <f>IF(P92&lt;=1,7,7+0.8*ROUNDUP(P92-1,0))</f>
        <v>7.8</v>
      </c>
      <c r="AE92" s="14">
        <v>0</v>
      </c>
      <c r="AF92" s="14">
        <v>0</v>
      </c>
      <c r="AG92" s="14">
        <v>0</v>
      </c>
      <c r="AH92" s="14">
        <v>0</v>
      </c>
      <c r="AI92" s="14">
        <f t="shared" si="2"/>
        <v>0.46799999999999997</v>
      </c>
      <c r="AJ92" s="14">
        <f t="shared" si="3"/>
        <v>8.2680000000000007</v>
      </c>
      <c r="AK92" t="s">
        <v>48</v>
      </c>
      <c r="AN92" s="12"/>
    </row>
    <row r="93" spans="1:40" ht="15" customHeight="1" x14ac:dyDescent="0.35">
      <c r="A93">
        <v>690929</v>
      </c>
      <c r="B93" t="s">
        <v>37</v>
      </c>
      <c r="C93" t="s">
        <v>38</v>
      </c>
      <c r="D93" s="2" t="s">
        <v>39</v>
      </c>
      <c r="E93" s="9" t="s">
        <v>37</v>
      </c>
      <c r="F93" s="10"/>
      <c r="G93" t="s">
        <v>358</v>
      </c>
      <c r="H93" t="s">
        <v>41</v>
      </c>
      <c r="I93" t="s">
        <v>42</v>
      </c>
      <c r="J93" t="s">
        <v>359</v>
      </c>
      <c r="K93" t="s">
        <v>44</v>
      </c>
      <c r="L93">
        <v>2</v>
      </c>
      <c r="M93" t="s">
        <v>45</v>
      </c>
      <c r="N93" t="s">
        <v>46</v>
      </c>
      <c r="O93" t="s">
        <v>47</v>
      </c>
      <c r="P93" s="5">
        <v>2</v>
      </c>
      <c r="Q93" s="11">
        <v>44832.70108796296</v>
      </c>
      <c r="R93" s="12">
        <v>44836</v>
      </c>
      <c r="S93" t="s">
        <v>41</v>
      </c>
      <c r="T93" t="s">
        <v>48</v>
      </c>
      <c r="U93" t="s">
        <v>49</v>
      </c>
      <c r="V93" t="s">
        <v>56</v>
      </c>
      <c r="Y93" t="s">
        <v>360</v>
      </c>
      <c r="Z93">
        <v>84600</v>
      </c>
      <c r="AA93" t="s">
        <v>48</v>
      </c>
      <c r="AB93" t="s">
        <v>361</v>
      </c>
      <c r="AC93" t="s">
        <v>53</v>
      </c>
      <c r="AD93" s="13">
        <f>IF(P93&lt;=1,7,7+0.8*ROUNDUP(P93-1,0))</f>
        <v>7.8</v>
      </c>
      <c r="AE93" s="14">
        <v>0</v>
      </c>
      <c r="AF93" s="14">
        <v>0</v>
      </c>
      <c r="AG93" s="14">
        <v>0</v>
      </c>
      <c r="AH93" s="14">
        <v>0</v>
      </c>
      <c r="AI93" s="14">
        <f t="shared" si="2"/>
        <v>0.46799999999999997</v>
      </c>
      <c r="AJ93" s="14">
        <f t="shared" si="3"/>
        <v>8.2680000000000007</v>
      </c>
      <c r="AK93" t="s">
        <v>48</v>
      </c>
      <c r="AN93" s="12"/>
    </row>
    <row r="94" spans="1:40" ht="15" customHeight="1" x14ac:dyDescent="0.35">
      <c r="A94">
        <v>690929</v>
      </c>
      <c r="B94" t="s">
        <v>37</v>
      </c>
      <c r="C94" t="s">
        <v>38</v>
      </c>
      <c r="D94" s="2" t="s">
        <v>39</v>
      </c>
      <c r="E94" s="9" t="s">
        <v>37</v>
      </c>
      <c r="F94" s="10"/>
      <c r="G94" t="s">
        <v>362</v>
      </c>
      <c r="H94" t="s">
        <v>41</v>
      </c>
      <c r="I94" t="s">
        <v>42</v>
      </c>
      <c r="J94" t="s">
        <v>363</v>
      </c>
      <c r="K94" t="s">
        <v>44</v>
      </c>
      <c r="L94">
        <v>2</v>
      </c>
      <c r="M94" t="s">
        <v>45</v>
      </c>
      <c r="N94" t="s">
        <v>46</v>
      </c>
      <c r="O94" t="s">
        <v>47</v>
      </c>
      <c r="P94" s="5">
        <v>1</v>
      </c>
      <c r="Q94" s="11">
        <v>44835.637430555558</v>
      </c>
      <c r="R94" s="12">
        <v>44836</v>
      </c>
      <c r="S94" t="s">
        <v>41</v>
      </c>
      <c r="T94" t="s">
        <v>48</v>
      </c>
      <c r="U94" t="s">
        <v>49</v>
      </c>
      <c r="V94" t="s">
        <v>68</v>
      </c>
      <c r="Y94" t="s">
        <v>364</v>
      </c>
      <c r="Z94">
        <v>77500</v>
      </c>
      <c r="AA94" t="s">
        <v>48</v>
      </c>
      <c r="AB94" t="s">
        <v>365</v>
      </c>
      <c r="AC94" t="s">
        <v>53</v>
      </c>
      <c r="AD94" s="13">
        <f>IF(P94&lt;=1,7,7+0.8*ROUNDUP(P94-1,0))</f>
        <v>7</v>
      </c>
      <c r="AE94" s="14">
        <v>0</v>
      </c>
      <c r="AF94" s="14">
        <v>0</v>
      </c>
      <c r="AG94" s="14">
        <v>0</v>
      </c>
      <c r="AH94" s="14">
        <v>0</v>
      </c>
      <c r="AI94" s="14">
        <f t="shared" si="2"/>
        <v>0.42</v>
      </c>
      <c r="AJ94" s="14">
        <f t="shared" si="3"/>
        <v>7.42</v>
      </c>
      <c r="AK94" t="s">
        <v>48</v>
      </c>
      <c r="AN94" s="12"/>
    </row>
    <row r="95" spans="1:40" ht="15" customHeight="1" x14ac:dyDescent="0.35">
      <c r="A95">
        <v>690929</v>
      </c>
      <c r="B95" t="s">
        <v>37</v>
      </c>
      <c r="C95" t="s">
        <v>38</v>
      </c>
      <c r="D95" s="2" t="s">
        <v>39</v>
      </c>
      <c r="E95" s="9" t="s">
        <v>37</v>
      </c>
      <c r="F95" s="10"/>
      <c r="G95" t="s">
        <v>366</v>
      </c>
      <c r="H95" t="s">
        <v>41</v>
      </c>
      <c r="I95" t="s">
        <v>42</v>
      </c>
      <c r="J95" t="s">
        <v>367</v>
      </c>
      <c r="K95" t="s">
        <v>44</v>
      </c>
      <c r="L95">
        <v>2</v>
      </c>
      <c r="M95" t="s">
        <v>45</v>
      </c>
      <c r="N95" t="s">
        <v>46</v>
      </c>
      <c r="O95" t="s">
        <v>47</v>
      </c>
      <c r="P95" s="5">
        <v>2</v>
      </c>
      <c r="Q95" s="11">
        <v>44832.691319444442</v>
      </c>
      <c r="R95" s="12">
        <v>44836</v>
      </c>
      <c r="S95" t="s">
        <v>41</v>
      </c>
      <c r="T95" t="s">
        <v>48</v>
      </c>
      <c r="U95" t="s">
        <v>49</v>
      </c>
      <c r="V95" t="s">
        <v>56</v>
      </c>
      <c r="Y95" t="s">
        <v>368</v>
      </c>
      <c r="Z95">
        <v>84000</v>
      </c>
      <c r="AA95" t="s">
        <v>48</v>
      </c>
      <c r="AB95" t="s">
        <v>369</v>
      </c>
      <c r="AC95" t="s">
        <v>53</v>
      </c>
      <c r="AD95" s="13">
        <f>IF(P95&lt;=1,7,7+0.8*ROUNDUP(P95-1,0))</f>
        <v>7.8</v>
      </c>
      <c r="AE95" s="14">
        <v>0</v>
      </c>
      <c r="AF95" s="14">
        <v>0</v>
      </c>
      <c r="AG95" s="14">
        <v>0</v>
      </c>
      <c r="AH95" s="14">
        <v>0</v>
      </c>
      <c r="AI95" s="14">
        <f t="shared" si="2"/>
        <v>0.46799999999999997</v>
      </c>
      <c r="AJ95" s="14">
        <f t="shared" si="3"/>
        <v>8.2680000000000007</v>
      </c>
      <c r="AK95" t="s">
        <v>48</v>
      </c>
      <c r="AN95" s="12"/>
    </row>
    <row r="96" spans="1:40" ht="15" customHeight="1" x14ac:dyDescent="0.35">
      <c r="A96">
        <v>690929</v>
      </c>
      <c r="B96" t="s">
        <v>37</v>
      </c>
      <c r="C96" t="s">
        <v>38</v>
      </c>
      <c r="D96" s="2" t="s">
        <v>39</v>
      </c>
      <c r="E96" s="9" t="s">
        <v>37</v>
      </c>
      <c r="F96" s="10"/>
      <c r="G96" t="s">
        <v>370</v>
      </c>
      <c r="H96" t="s">
        <v>41</v>
      </c>
      <c r="I96" t="s">
        <v>42</v>
      </c>
      <c r="J96" t="s">
        <v>371</v>
      </c>
      <c r="K96" t="s">
        <v>44</v>
      </c>
      <c r="L96">
        <v>2</v>
      </c>
      <c r="M96" t="s">
        <v>45</v>
      </c>
      <c r="N96" t="s">
        <v>46</v>
      </c>
      <c r="O96" t="s">
        <v>47</v>
      </c>
      <c r="P96" s="5">
        <v>2</v>
      </c>
      <c r="Q96" s="11">
        <v>44832.683807870373</v>
      </c>
      <c r="R96" s="12">
        <v>44836</v>
      </c>
      <c r="S96" t="s">
        <v>41</v>
      </c>
      <c r="T96" t="s">
        <v>48</v>
      </c>
      <c r="U96" t="s">
        <v>49</v>
      </c>
      <c r="V96" t="s">
        <v>122</v>
      </c>
      <c r="Y96" t="s">
        <v>372</v>
      </c>
      <c r="Z96">
        <v>16450</v>
      </c>
      <c r="AA96" t="s">
        <v>48</v>
      </c>
      <c r="AB96" t="s">
        <v>373</v>
      </c>
      <c r="AC96" t="s">
        <v>53</v>
      </c>
      <c r="AD96" s="13">
        <f>IF(P96&lt;=1,7,7+0.8*ROUNDUP(P96-1,0))</f>
        <v>7.8</v>
      </c>
      <c r="AE96" s="14">
        <v>0</v>
      </c>
      <c r="AF96" s="14">
        <v>0</v>
      </c>
      <c r="AG96" s="14">
        <v>0</v>
      </c>
      <c r="AH96" s="14">
        <v>0</v>
      </c>
      <c r="AI96" s="14">
        <f t="shared" si="2"/>
        <v>0.46799999999999997</v>
      </c>
      <c r="AJ96" s="14">
        <f t="shared" si="3"/>
        <v>8.2680000000000007</v>
      </c>
      <c r="AK96" t="s">
        <v>48</v>
      </c>
      <c r="AN96" s="12"/>
    </row>
    <row r="97" spans="1:40" ht="15" customHeight="1" x14ac:dyDescent="0.35">
      <c r="A97">
        <v>690929</v>
      </c>
      <c r="B97" t="s">
        <v>37</v>
      </c>
      <c r="C97" t="s">
        <v>38</v>
      </c>
      <c r="D97" s="2" t="s">
        <v>39</v>
      </c>
      <c r="E97" s="9" t="s">
        <v>37</v>
      </c>
      <c r="F97" s="10"/>
      <c r="G97" t="s">
        <v>374</v>
      </c>
      <c r="H97" t="s">
        <v>41</v>
      </c>
      <c r="I97" t="s">
        <v>42</v>
      </c>
      <c r="J97" t="s">
        <v>375</v>
      </c>
      <c r="K97" t="s">
        <v>44</v>
      </c>
      <c r="L97">
        <v>2</v>
      </c>
      <c r="M97" t="s">
        <v>45</v>
      </c>
      <c r="N97" t="s">
        <v>46</v>
      </c>
      <c r="O97" t="s">
        <v>47</v>
      </c>
      <c r="P97" s="5">
        <v>1</v>
      </c>
      <c r="Q97" s="11">
        <v>44835.567129629628</v>
      </c>
      <c r="R97" s="12">
        <v>44837</v>
      </c>
      <c r="S97" t="s">
        <v>41</v>
      </c>
      <c r="T97" t="s">
        <v>48</v>
      </c>
      <c r="U97" t="s">
        <v>49</v>
      </c>
      <c r="V97" t="s">
        <v>122</v>
      </c>
      <c r="Y97" t="s">
        <v>376</v>
      </c>
      <c r="Z97">
        <v>18300</v>
      </c>
      <c r="AA97" t="s">
        <v>48</v>
      </c>
      <c r="AB97" t="s">
        <v>104</v>
      </c>
      <c r="AC97" t="s">
        <v>53</v>
      </c>
      <c r="AD97" s="13">
        <f>IF(P97&lt;=1,7,7+0.8*ROUNDUP(P97-1,0))</f>
        <v>7</v>
      </c>
      <c r="AE97" s="14">
        <v>0</v>
      </c>
      <c r="AF97" s="14">
        <v>0</v>
      </c>
      <c r="AG97" s="14">
        <v>0</v>
      </c>
      <c r="AH97" s="14">
        <v>0</v>
      </c>
      <c r="AI97" s="14">
        <f t="shared" si="2"/>
        <v>0.42</v>
      </c>
      <c r="AJ97" s="14">
        <f t="shared" si="3"/>
        <v>7.42</v>
      </c>
      <c r="AK97" t="s">
        <v>48</v>
      </c>
      <c r="AN97" s="12"/>
    </row>
    <row r="98" spans="1:40" ht="15" customHeight="1" x14ac:dyDescent="0.35">
      <c r="A98">
        <v>690929</v>
      </c>
      <c r="B98" t="s">
        <v>37</v>
      </c>
      <c r="C98" t="s">
        <v>38</v>
      </c>
      <c r="D98" s="2" t="s">
        <v>39</v>
      </c>
      <c r="E98" s="9" t="s">
        <v>37</v>
      </c>
      <c r="F98" s="10"/>
      <c r="G98" t="s">
        <v>377</v>
      </c>
      <c r="H98" t="s">
        <v>41</v>
      </c>
      <c r="I98" t="s">
        <v>42</v>
      </c>
      <c r="J98" t="s">
        <v>378</v>
      </c>
      <c r="K98" t="s">
        <v>44</v>
      </c>
      <c r="L98">
        <v>2</v>
      </c>
      <c r="M98" t="s">
        <v>45</v>
      </c>
      <c r="N98" t="s">
        <v>46</v>
      </c>
      <c r="O98" t="s">
        <v>47</v>
      </c>
      <c r="P98" s="5">
        <v>8</v>
      </c>
      <c r="Q98" s="11">
        <v>44833.666620370372</v>
      </c>
      <c r="R98" s="12">
        <v>44837</v>
      </c>
      <c r="S98" t="s">
        <v>41</v>
      </c>
      <c r="T98" t="s">
        <v>48</v>
      </c>
      <c r="U98" t="s">
        <v>49</v>
      </c>
      <c r="V98" t="s">
        <v>188</v>
      </c>
      <c r="Y98" t="s">
        <v>379</v>
      </c>
      <c r="Z98">
        <v>93050</v>
      </c>
      <c r="AA98" t="s">
        <v>94</v>
      </c>
      <c r="AB98" t="s">
        <v>380</v>
      </c>
      <c r="AC98" t="s">
        <v>53</v>
      </c>
      <c r="AD98" s="15">
        <f>IF(P98&lt;=1,13,IF(P98&lt;=2,23,IF(P98&lt;=3,35,IF(P98&lt;=4,43,IF(P98&lt;=5,53,IF(P98&lt;=6,63,IF(P98&lt;=7,71,IF(P98&lt;=8,79,IF(P98&lt;=9,87,IF(P98&lt;=10,95,IF(P98&lt;=11,105,IF(P98&lt;=12,114,IF(P98&lt;=13,119,IF(P98&lt;=14,127,IF(P98&lt;=15,135,IF(P98&lt;=16,143,IF(P98&lt;=17,153,IF(P98&lt;=18,163,IF(P98&lt;=19,171,IF(P98&lt;=20,185,IF(P98&lt;=21,193,IF(P98&lt;=22,201,IF(P98&lt;=23,210,IF(P98&lt;=24,220,IF(P98&lt;=25,230,IF(P98&lt;=26,240,IF(P98&lt;=27,250,IF(P98&lt;=28,260,IF(P98&lt;=29,270,IF(P98&lt;=30,280,280))))))))))))))))))))))))))))))</f>
        <v>79</v>
      </c>
      <c r="AE98" s="14">
        <v>0</v>
      </c>
      <c r="AF98" s="14">
        <v>0</v>
      </c>
      <c r="AG98" s="14">
        <v>0</v>
      </c>
      <c r="AH98" s="14">
        <v>0</v>
      </c>
      <c r="AI98" s="14">
        <f t="shared" si="2"/>
        <v>4.74</v>
      </c>
      <c r="AJ98" s="14">
        <f t="shared" si="3"/>
        <v>83.74</v>
      </c>
      <c r="AK98" t="s">
        <v>94</v>
      </c>
      <c r="AN98" s="12"/>
    </row>
    <row r="99" spans="1:40" ht="15" customHeight="1" x14ac:dyDescent="0.35">
      <c r="A99">
        <v>690929</v>
      </c>
      <c r="B99" t="s">
        <v>37</v>
      </c>
      <c r="C99" t="s">
        <v>38</v>
      </c>
      <c r="D99" s="2" t="s">
        <v>39</v>
      </c>
      <c r="E99" s="9" t="s">
        <v>37</v>
      </c>
      <c r="F99" s="10"/>
      <c r="G99" t="s">
        <v>381</v>
      </c>
      <c r="H99" t="s">
        <v>41</v>
      </c>
      <c r="I99" t="s">
        <v>42</v>
      </c>
      <c r="J99" t="s">
        <v>382</v>
      </c>
      <c r="K99" t="s">
        <v>44</v>
      </c>
      <c r="L99">
        <v>2</v>
      </c>
      <c r="M99" t="s">
        <v>45</v>
      </c>
      <c r="N99" t="s">
        <v>46</v>
      </c>
      <c r="O99" t="s">
        <v>47</v>
      </c>
      <c r="P99" s="5">
        <v>1</v>
      </c>
      <c r="Q99" s="11">
        <v>44835.682337962964</v>
      </c>
      <c r="R99" s="12">
        <v>44837</v>
      </c>
      <c r="S99" t="s">
        <v>41</v>
      </c>
      <c r="T99" t="s">
        <v>48</v>
      </c>
      <c r="U99" t="s">
        <v>49</v>
      </c>
      <c r="V99" t="s">
        <v>56</v>
      </c>
      <c r="Y99" t="s">
        <v>383</v>
      </c>
      <c r="Z99">
        <v>81550</v>
      </c>
      <c r="AA99" t="s">
        <v>48</v>
      </c>
      <c r="AB99" t="s">
        <v>52</v>
      </c>
      <c r="AC99" t="s">
        <v>53</v>
      </c>
      <c r="AD99" s="13">
        <f>IF(P99&lt;=1,7,7+0.8*ROUNDUP(P99-1,0))</f>
        <v>7</v>
      </c>
      <c r="AE99" s="14">
        <v>0</v>
      </c>
      <c r="AF99" s="14">
        <v>0</v>
      </c>
      <c r="AG99" s="14">
        <v>0</v>
      </c>
      <c r="AH99" s="14">
        <v>0</v>
      </c>
      <c r="AI99" s="14">
        <f t="shared" si="2"/>
        <v>0.42</v>
      </c>
      <c r="AJ99" s="14">
        <f t="shared" si="3"/>
        <v>7.42</v>
      </c>
      <c r="AK99" t="s">
        <v>48</v>
      </c>
      <c r="AN99" s="12"/>
    </row>
    <row r="100" spans="1:40" ht="15" customHeight="1" x14ac:dyDescent="0.35">
      <c r="A100">
        <v>690929</v>
      </c>
      <c r="B100" t="s">
        <v>37</v>
      </c>
      <c r="C100" t="s">
        <v>38</v>
      </c>
      <c r="D100" s="2" t="s">
        <v>39</v>
      </c>
      <c r="E100" s="9" t="s">
        <v>37</v>
      </c>
      <c r="F100" s="10"/>
      <c r="G100" t="s">
        <v>384</v>
      </c>
      <c r="H100" t="s">
        <v>41</v>
      </c>
      <c r="I100" t="s">
        <v>42</v>
      </c>
      <c r="J100" t="s">
        <v>385</v>
      </c>
      <c r="K100" t="s">
        <v>44</v>
      </c>
      <c r="L100">
        <v>2</v>
      </c>
      <c r="M100" t="s">
        <v>45</v>
      </c>
      <c r="N100" t="s">
        <v>46</v>
      </c>
      <c r="O100" t="s">
        <v>47</v>
      </c>
      <c r="P100" s="5">
        <v>1</v>
      </c>
      <c r="Q100" s="11">
        <v>44835.627789351849</v>
      </c>
      <c r="R100" s="12">
        <v>44837</v>
      </c>
      <c r="S100" t="s">
        <v>41</v>
      </c>
      <c r="T100" t="s">
        <v>48</v>
      </c>
      <c r="U100" t="s">
        <v>49</v>
      </c>
      <c r="V100" t="s">
        <v>56</v>
      </c>
      <c r="Y100" t="s">
        <v>386</v>
      </c>
      <c r="Z100">
        <v>83500</v>
      </c>
      <c r="AA100" t="s">
        <v>48</v>
      </c>
      <c r="AB100" t="s">
        <v>58</v>
      </c>
      <c r="AC100" t="s">
        <v>53</v>
      </c>
      <c r="AD100" s="13">
        <f>IF(P100&lt;=1,7,7+0.8*ROUNDUP(P100-1,0))</f>
        <v>7</v>
      </c>
      <c r="AE100" s="14">
        <v>0</v>
      </c>
      <c r="AF100" s="14">
        <v>0</v>
      </c>
      <c r="AG100" s="14">
        <v>0</v>
      </c>
      <c r="AH100" s="14">
        <v>0</v>
      </c>
      <c r="AI100" s="14">
        <f t="shared" si="2"/>
        <v>0.42</v>
      </c>
      <c r="AJ100" s="14">
        <f t="shared" si="3"/>
        <v>7.42</v>
      </c>
      <c r="AK100" t="s">
        <v>48</v>
      </c>
      <c r="AN100" s="12"/>
    </row>
    <row r="101" spans="1:40" ht="15" customHeight="1" x14ac:dyDescent="0.35">
      <c r="A101">
        <v>690929</v>
      </c>
      <c r="B101" t="s">
        <v>37</v>
      </c>
      <c r="C101" t="s">
        <v>38</v>
      </c>
      <c r="D101" s="2" t="s">
        <v>39</v>
      </c>
      <c r="E101" s="9" t="s">
        <v>37</v>
      </c>
      <c r="F101" s="10"/>
      <c r="G101" t="s">
        <v>387</v>
      </c>
      <c r="H101" t="s">
        <v>41</v>
      </c>
      <c r="I101" t="s">
        <v>42</v>
      </c>
      <c r="J101" t="s">
        <v>388</v>
      </c>
      <c r="K101" t="s">
        <v>44</v>
      </c>
      <c r="L101">
        <v>2</v>
      </c>
      <c r="M101" t="s">
        <v>45</v>
      </c>
      <c r="N101" t="s">
        <v>46</v>
      </c>
      <c r="O101" t="s">
        <v>47</v>
      </c>
      <c r="P101" s="5">
        <v>1</v>
      </c>
      <c r="Q101" s="11">
        <v>44834.681018518517</v>
      </c>
      <c r="R101" s="12">
        <v>44837</v>
      </c>
      <c r="S101" t="s">
        <v>41</v>
      </c>
      <c r="T101" t="s">
        <v>48</v>
      </c>
      <c r="U101" t="s">
        <v>49</v>
      </c>
      <c r="V101" t="s">
        <v>193</v>
      </c>
      <c r="Y101" t="s">
        <v>389</v>
      </c>
      <c r="Z101">
        <v>58200</v>
      </c>
      <c r="AA101" t="s">
        <v>48</v>
      </c>
      <c r="AB101" t="s">
        <v>52</v>
      </c>
      <c r="AC101" t="s">
        <v>53</v>
      </c>
      <c r="AD101" s="13">
        <f>IF(P101&lt;=1,7,7+0.8*ROUNDUP(P101-1,0))</f>
        <v>7</v>
      </c>
      <c r="AE101" s="14">
        <v>0</v>
      </c>
      <c r="AF101" s="14">
        <v>0</v>
      </c>
      <c r="AG101" s="14">
        <v>0</v>
      </c>
      <c r="AH101" s="14">
        <v>0</v>
      </c>
      <c r="AI101" s="14">
        <f t="shared" si="2"/>
        <v>0.42</v>
      </c>
      <c r="AJ101" s="14">
        <f t="shared" si="3"/>
        <v>7.42</v>
      </c>
      <c r="AK101" t="s">
        <v>48</v>
      </c>
      <c r="AN101" s="12"/>
    </row>
    <row r="102" spans="1:40" ht="15" customHeight="1" x14ac:dyDescent="0.35">
      <c r="A102">
        <v>690929</v>
      </c>
      <c r="B102" t="s">
        <v>37</v>
      </c>
      <c r="C102" t="s">
        <v>38</v>
      </c>
      <c r="D102" s="2" t="s">
        <v>39</v>
      </c>
      <c r="E102" s="9" t="s">
        <v>37</v>
      </c>
      <c r="F102" s="10"/>
      <c r="G102" t="s">
        <v>390</v>
      </c>
      <c r="H102" t="s">
        <v>41</v>
      </c>
      <c r="I102" t="s">
        <v>42</v>
      </c>
      <c r="J102" t="s">
        <v>391</v>
      </c>
      <c r="K102" t="s">
        <v>44</v>
      </c>
      <c r="L102">
        <v>2</v>
      </c>
      <c r="M102" t="s">
        <v>45</v>
      </c>
      <c r="N102" t="s">
        <v>46</v>
      </c>
      <c r="O102" t="s">
        <v>47</v>
      </c>
      <c r="P102" s="5">
        <v>1</v>
      </c>
      <c r="Q102" s="11">
        <v>44835.646180555559</v>
      </c>
      <c r="R102" s="12">
        <v>44837</v>
      </c>
      <c r="S102" t="s">
        <v>41</v>
      </c>
      <c r="T102" t="s">
        <v>48</v>
      </c>
      <c r="U102" t="s">
        <v>49</v>
      </c>
      <c r="V102" t="s">
        <v>56</v>
      </c>
      <c r="Y102" t="s">
        <v>392</v>
      </c>
      <c r="Z102">
        <v>81900</v>
      </c>
      <c r="AA102" t="s">
        <v>48</v>
      </c>
      <c r="AB102" t="s">
        <v>52</v>
      </c>
      <c r="AC102" t="s">
        <v>53</v>
      </c>
      <c r="AD102" s="13">
        <f>IF(P102&lt;=1,7,7+0.8*ROUNDUP(P102-1,0))</f>
        <v>7</v>
      </c>
      <c r="AE102" s="14">
        <v>0</v>
      </c>
      <c r="AF102" s="14">
        <v>0</v>
      </c>
      <c r="AG102" s="14">
        <v>0</v>
      </c>
      <c r="AH102" s="14">
        <v>0</v>
      </c>
      <c r="AI102" s="14">
        <f t="shared" si="2"/>
        <v>0.42</v>
      </c>
      <c r="AJ102" s="14">
        <f t="shared" si="3"/>
        <v>7.42</v>
      </c>
      <c r="AK102" t="s">
        <v>48</v>
      </c>
      <c r="AN102" s="12"/>
    </row>
    <row r="103" spans="1:40" ht="15" customHeight="1" x14ac:dyDescent="0.35">
      <c r="A103">
        <v>690929</v>
      </c>
      <c r="B103" t="s">
        <v>37</v>
      </c>
      <c r="C103" t="s">
        <v>38</v>
      </c>
      <c r="D103" s="2" t="s">
        <v>39</v>
      </c>
      <c r="E103" s="9" t="s">
        <v>37</v>
      </c>
      <c r="F103" s="10"/>
      <c r="G103" t="s">
        <v>393</v>
      </c>
      <c r="H103" t="s">
        <v>41</v>
      </c>
      <c r="I103" t="s">
        <v>42</v>
      </c>
      <c r="J103" t="s">
        <v>394</v>
      </c>
      <c r="K103" t="s">
        <v>44</v>
      </c>
      <c r="L103">
        <v>2</v>
      </c>
      <c r="M103" t="s">
        <v>45</v>
      </c>
      <c r="N103" t="s">
        <v>46</v>
      </c>
      <c r="O103" t="s">
        <v>47</v>
      </c>
      <c r="P103" s="5">
        <v>1</v>
      </c>
      <c r="Q103" s="11">
        <v>44835.624988425923</v>
      </c>
      <c r="R103" s="12">
        <v>44837</v>
      </c>
      <c r="S103" t="s">
        <v>41</v>
      </c>
      <c r="T103" t="s">
        <v>48</v>
      </c>
      <c r="U103" t="s">
        <v>49</v>
      </c>
      <c r="V103" t="s">
        <v>61</v>
      </c>
      <c r="Y103" t="s">
        <v>395</v>
      </c>
      <c r="Z103">
        <v>43000</v>
      </c>
      <c r="AA103" t="s">
        <v>48</v>
      </c>
      <c r="AB103" t="s">
        <v>246</v>
      </c>
      <c r="AC103" t="s">
        <v>53</v>
      </c>
      <c r="AD103" s="13">
        <f>IF(P103&lt;=1,7,7+0.8*ROUNDUP(P103-1,0))</f>
        <v>7</v>
      </c>
      <c r="AE103" s="14">
        <v>0</v>
      </c>
      <c r="AF103" s="14">
        <v>0</v>
      </c>
      <c r="AG103" s="14">
        <v>0</v>
      </c>
      <c r="AH103" s="14">
        <v>0</v>
      </c>
      <c r="AI103" s="14">
        <f t="shared" si="2"/>
        <v>0.42</v>
      </c>
      <c r="AJ103" s="14">
        <f t="shared" si="3"/>
        <v>7.42</v>
      </c>
      <c r="AK103" t="s">
        <v>48</v>
      </c>
      <c r="AN103" s="12"/>
    </row>
    <row r="104" spans="1:40" ht="15" customHeight="1" x14ac:dyDescent="0.35">
      <c r="A104">
        <v>690929</v>
      </c>
      <c r="B104" t="s">
        <v>37</v>
      </c>
      <c r="C104" t="s">
        <v>38</v>
      </c>
      <c r="D104" s="2" t="s">
        <v>39</v>
      </c>
      <c r="E104" s="9" t="s">
        <v>37</v>
      </c>
      <c r="F104" s="10"/>
      <c r="G104" t="s">
        <v>396</v>
      </c>
      <c r="H104" t="s">
        <v>41</v>
      </c>
      <c r="I104" t="s">
        <v>42</v>
      </c>
      <c r="J104" t="s">
        <v>397</v>
      </c>
      <c r="K104" t="s">
        <v>44</v>
      </c>
      <c r="L104">
        <v>2</v>
      </c>
      <c r="M104" t="s">
        <v>45</v>
      </c>
      <c r="N104" t="s">
        <v>46</v>
      </c>
      <c r="O104" t="s">
        <v>47</v>
      </c>
      <c r="P104" s="5">
        <v>4</v>
      </c>
      <c r="Q104" s="11">
        <v>44829.45</v>
      </c>
      <c r="R104" s="12">
        <v>44837</v>
      </c>
      <c r="S104" t="s">
        <v>41</v>
      </c>
      <c r="T104" t="s">
        <v>48</v>
      </c>
      <c r="U104" t="s">
        <v>49</v>
      </c>
      <c r="V104" t="s">
        <v>92</v>
      </c>
      <c r="Y104" t="s">
        <v>398</v>
      </c>
      <c r="Z104">
        <v>91308</v>
      </c>
      <c r="AA104" t="s">
        <v>94</v>
      </c>
      <c r="AB104" t="s">
        <v>399</v>
      </c>
      <c r="AC104" t="s">
        <v>53</v>
      </c>
      <c r="AD104" s="15">
        <f>IF(P104&lt;=1,13,IF(P104&lt;=2,23,IF(P104&lt;=3,35,IF(P104&lt;=4,43,IF(P104&lt;=5,53,IF(P104&lt;=6,63,IF(P104&lt;=7,71,IF(P104&lt;=8,79,IF(P104&lt;=9,87,IF(P104&lt;=10,95,IF(P104&lt;=11,105,IF(P104&lt;=12,114,IF(P104&lt;=13,119,IF(P104&lt;=14,127,IF(P104&lt;=15,135,IF(P104&lt;=16,143,IF(P104&lt;=17,153,IF(P104&lt;=18,163,IF(P104&lt;=19,171,IF(P104&lt;=20,185,IF(P104&lt;=21,193,IF(P104&lt;=22,201,IF(P104&lt;=23,210,IF(P104&lt;=24,220,IF(P104&lt;=25,230,IF(P104&lt;=26,240,IF(P104&lt;=27,250,IF(P104&lt;=28,260,IF(P104&lt;=29,270,IF(P104&lt;=30,280,280))))))))))))))))))))))))))))))</f>
        <v>43</v>
      </c>
      <c r="AE104" s="14">
        <v>0</v>
      </c>
      <c r="AF104" s="14">
        <v>0</v>
      </c>
      <c r="AG104" s="14">
        <v>0</v>
      </c>
      <c r="AH104" s="14">
        <v>0</v>
      </c>
      <c r="AI104" s="14">
        <f t="shared" si="2"/>
        <v>2.58</v>
      </c>
      <c r="AJ104" s="14">
        <f t="shared" si="3"/>
        <v>45.58</v>
      </c>
      <c r="AK104" t="s">
        <v>94</v>
      </c>
      <c r="AN104" s="12"/>
    </row>
    <row r="105" spans="1:40" ht="15" customHeight="1" x14ac:dyDescent="0.35">
      <c r="A105">
        <v>690929</v>
      </c>
      <c r="B105" t="s">
        <v>37</v>
      </c>
      <c r="C105" t="s">
        <v>38</v>
      </c>
      <c r="D105" s="2" t="s">
        <v>39</v>
      </c>
      <c r="E105" s="9" t="s">
        <v>37</v>
      </c>
      <c r="F105" s="10"/>
      <c r="G105" t="s">
        <v>400</v>
      </c>
      <c r="H105" t="s">
        <v>41</v>
      </c>
      <c r="I105" t="s">
        <v>42</v>
      </c>
      <c r="J105" t="s">
        <v>401</v>
      </c>
      <c r="K105" t="s">
        <v>44</v>
      </c>
      <c r="L105">
        <v>2</v>
      </c>
      <c r="M105" t="s">
        <v>45</v>
      </c>
      <c r="N105" t="s">
        <v>46</v>
      </c>
      <c r="O105" t="s">
        <v>47</v>
      </c>
      <c r="P105" s="5">
        <v>1</v>
      </c>
      <c r="Q105" s="11">
        <v>44835.602465277778</v>
      </c>
      <c r="R105" s="12">
        <v>44837</v>
      </c>
      <c r="S105" t="s">
        <v>41</v>
      </c>
      <c r="T105" t="s">
        <v>48</v>
      </c>
      <c r="U105" t="s">
        <v>49</v>
      </c>
      <c r="V105" t="s">
        <v>122</v>
      </c>
      <c r="Y105" t="s">
        <v>402</v>
      </c>
      <c r="Z105">
        <v>18300</v>
      </c>
      <c r="AA105" t="s">
        <v>48</v>
      </c>
      <c r="AB105" t="s">
        <v>104</v>
      </c>
      <c r="AC105" t="s">
        <v>53</v>
      </c>
      <c r="AD105" s="13">
        <f>IF(P105&lt;=1,7,7+0.8*ROUNDUP(P105-1,0))</f>
        <v>7</v>
      </c>
      <c r="AE105" s="14">
        <v>0</v>
      </c>
      <c r="AF105" s="14">
        <v>0</v>
      </c>
      <c r="AG105" s="14">
        <v>0</v>
      </c>
      <c r="AH105" s="14">
        <v>0</v>
      </c>
      <c r="AI105" s="14">
        <f t="shared" si="2"/>
        <v>0.42</v>
      </c>
      <c r="AJ105" s="14">
        <f t="shared" si="3"/>
        <v>7.42</v>
      </c>
      <c r="AK105" t="s">
        <v>48</v>
      </c>
      <c r="AN105" s="12"/>
    </row>
    <row r="106" spans="1:40" ht="15" customHeight="1" x14ac:dyDescent="0.35">
      <c r="A106">
        <v>690929</v>
      </c>
      <c r="B106" t="s">
        <v>37</v>
      </c>
      <c r="C106" t="s">
        <v>38</v>
      </c>
      <c r="D106" s="2" t="s">
        <v>39</v>
      </c>
      <c r="E106" s="9" t="s">
        <v>37</v>
      </c>
      <c r="F106" s="10"/>
      <c r="G106" t="s">
        <v>403</v>
      </c>
      <c r="H106" t="s">
        <v>41</v>
      </c>
      <c r="I106" t="s">
        <v>42</v>
      </c>
      <c r="J106" t="s">
        <v>404</v>
      </c>
      <c r="K106" t="s">
        <v>44</v>
      </c>
      <c r="L106">
        <v>2</v>
      </c>
      <c r="M106" t="s">
        <v>45</v>
      </c>
      <c r="N106" t="s">
        <v>46</v>
      </c>
      <c r="O106" t="s">
        <v>47</v>
      </c>
      <c r="P106" s="5">
        <v>3</v>
      </c>
      <c r="Q106" s="11">
        <v>44835.643125000002</v>
      </c>
      <c r="R106" s="12">
        <v>44837</v>
      </c>
      <c r="S106" t="s">
        <v>41</v>
      </c>
      <c r="T106" t="s">
        <v>48</v>
      </c>
      <c r="U106" t="s">
        <v>49</v>
      </c>
      <c r="V106" t="s">
        <v>231</v>
      </c>
      <c r="Y106" t="s">
        <v>405</v>
      </c>
      <c r="Z106">
        <v>36100</v>
      </c>
      <c r="AA106" t="s">
        <v>48</v>
      </c>
      <c r="AB106" t="s">
        <v>406</v>
      </c>
      <c r="AC106" t="s">
        <v>53</v>
      </c>
      <c r="AD106" s="13">
        <f>IF(P106&lt;=1,7,7+0.8*ROUNDUP(P106-1,0))</f>
        <v>8.6</v>
      </c>
      <c r="AE106" s="14">
        <v>0</v>
      </c>
      <c r="AF106" s="14">
        <v>0</v>
      </c>
      <c r="AG106" s="14">
        <v>0</v>
      </c>
      <c r="AH106" s="14">
        <v>0</v>
      </c>
      <c r="AI106" s="14">
        <f t="shared" si="2"/>
        <v>0.51600000000000001</v>
      </c>
      <c r="AJ106" s="14">
        <f t="shared" si="3"/>
        <v>9.1159999999999997</v>
      </c>
      <c r="AK106" t="s">
        <v>48</v>
      </c>
      <c r="AN106" s="12"/>
    </row>
    <row r="107" spans="1:40" ht="15" customHeight="1" x14ac:dyDescent="0.35">
      <c r="A107">
        <v>690929</v>
      </c>
      <c r="B107" t="s">
        <v>37</v>
      </c>
      <c r="C107" t="s">
        <v>38</v>
      </c>
      <c r="D107" s="2" t="s">
        <v>39</v>
      </c>
      <c r="E107" s="9" t="s">
        <v>37</v>
      </c>
      <c r="F107" s="10"/>
      <c r="G107" t="s">
        <v>407</v>
      </c>
      <c r="H107" t="s">
        <v>41</v>
      </c>
      <c r="I107" t="s">
        <v>42</v>
      </c>
      <c r="J107" t="s">
        <v>408</v>
      </c>
      <c r="K107" t="s">
        <v>44</v>
      </c>
      <c r="L107">
        <v>2</v>
      </c>
      <c r="M107" t="s">
        <v>45</v>
      </c>
      <c r="N107" t="s">
        <v>46</v>
      </c>
      <c r="O107" t="s">
        <v>47</v>
      </c>
      <c r="P107" s="5">
        <v>1</v>
      </c>
      <c r="Q107" s="11">
        <v>44835.629143518519</v>
      </c>
      <c r="R107" s="12">
        <v>44837</v>
      </c>
      <c r="S107" t="s">
        <v>41</v>
      </c>
      <c r="T107" t="s">
        <v>48</v>
      </c>
      <c r="U107" t="s">
        <v>49</v>
      </c>
      <c r="V107" t="s">
        <v>72</v>
      </c>
      <c r="Y107" t="s">
        <v>409</v>
      </c>
      <c r="Z107">
        <v>14400</v>
      </c>
      <c r="AA107" t="s">
        <v>48</v>
      </c>
      <c r="AB107" t="s">
        <v>52</v>
      </c>
      <c r="AC107" t="s">
        <v>53</v>
      </c>
      <c r="AD107" s="13">
        <f>IF(P107&lt;=1,7,7+0.8*ROUNDUP(P107-1,0))</f>
        <v>7</v>
      </c>
      <c r="AE107" s="14">
        <v>0</v>
      </c>
      <c r="AF107" s="14">
        <v>0</v>
      </c>
      <c r="AG107" s="14">
        <v>0</v>
      </c>
      <c r="AH107" s="14">
        <v>0</v>
      </c>
      <c r="AI107" s="14">
        <f t="shared" si="2"/>
        <v>0.42</v>
      </c>
      <c r="AJ107" s="14">
        <f t="shared" si="3"/>
        <v>7.42</v>
      </c>
      <c r="AK107" t="s">
        <v>48</v>
      </c>
      <c r="AN107" s="12"/>
    </row>
    <row r="108" spans="1:40" ht="15" customHeight="1" x14ac:dyDescent="0.35">
      <c r="A108">
        <v>690929</v>
      </c>
      <c r="B108" t="s">
        <v>37</v>
      </c>
      <c r="C108" t="s">
        <v>38</v>
      </c>
      <c r="D108" s="2" t="s">
        <v>39</v>
      </c>
      <c r="E108" s="9" t="s">
        <v>37</v>
      </c>
      <c r="F108" s="10"/>
      <c r="G108" t="s">
        <v>410</v>
      </c>
      <c r="H108" t="s">
        <v>41</v>
      </c>
      <c r="I108" t="s">
        <v>42</v>
      </c>
      <c r="J108" t="s">
        <v>411</v>
      </c>
      <c r="K108" t="s">
        <v>44</v>
      </c>
      <c r="L108">
        <v>2</v>
      </c>
      <c r="M108" t="s">
        <v>45</v>
      </c>
      <c r="N108" t="s">
        <v>46</v>
      </c>
      <c r="O108" t="s">
        <v>47</v>
      </c>
      <c r="P108" s="5">
        <v>4</v>
      </c>
      <c r="Q108" s="11">
        <v>44834.486689814818</v>
      </c>
      <c r="R108" s="12">
        <v>44837</v>
      </c>
      <c r="S108" t="s">
        <v>41</v>
      </c>
      <c r="T108" t="s">
        <v>48</v>
      </c>
      <c r="U108" t="s">
        <v>49</v>
      </c>
      <c r="V108" t="s">
        <v>61</v>
      </c>
      <c r="Y108" t="s">
        <v>412</v>
      </c>
      <c r="Z108">
        <v>46000</v>
      </c>
      <c r="AA108" t="s">
        <v>48</v>
      </c>
      <c r="AB108" t="s">
        <v>413</v>
      </c>
      <c r="AC108" t="s">
        <v>53</v>
      </c>
      <c r="AD108" s="13">
        <f>IF(P108&lt;=1,7,7+0.8*ROUNDUP(P108-1,0))</f>
        <v>9.4</v>
      </c>
      <c r="AE108" s="14">
        <v>0</v>
      </c>
      <c r="AF108" s="14">
        <v>0</v>
      </c>
      <c r="AG108" s="14">
        <v>0</v>
      </c>
      <c r="AH108" s="14">
        <v>0</v>
      </c>
      <c r="AI108" s="14">
        <f t="shared" si="2"/>
        <v>0.56399999999999995</v>
      </c>
      <c r="AJ108" s="14">
        <f t="shared" si="3"/>
        <v>9.9640000000000004</v>
      </c>
      <c r="AK108" t="s">
        <v>48</v>
      </c>
      <c r="AN108" s="12"/>
    </row>
    <row r="109" spans="1:40" ht="15" customHeight="1" x14ac:dyDescent="0.35">
      <c r="A109">
        <v>690929</v>
      </c>
      <c r="B109" t="s">
        <v>37</v>
      </c>
      <c r="C109" t="s">
        <v>38</v>
      </c>
      <c r="D109" s="2" t="s">
        <v>39</v>
      </c>
      <c r="E109" s="9" t="s">
        <v>37</v>
      </c>
      <c r="F109" s="10"/>
      <c r="G109" t="s">
        <v>414</v>
      </c>
      <c r="H109" t="s">
        <v>41</v>
      </c>
      <c r="I109" t="s">
        <v>42</v>
      </c>
      <c r="J109" t="s">
        <v>415</v>
      </c>
      <c r="K109" t="s">
        <v>44</v>
      </c>
      <c r="L109">
        <v>2</v>
      </c>
      <c r="M109" t="s">
        <v>45</v>
      </c>
      <c r="N109" t="s">
        <v>46</v>
      </c>
      <c r="O109" t="s">
        <v>47</v>
      </c>
      <c r="P109" s="5">
        <v>1</v>
      </c>
      <c r="Q109" s="11">
        <v>44835.772291666668</v>
      </c>
      <c r="R109" s="12">
        <v>44837</v>
      </c>
      <c r="S109" t="s">
        <v>41</v>
      </c>
      <c r="T109" t="s">
        <v>48</v>
      </c>
      <c r="U109" t="s">
        <v>49</v>
      </c>
      <c r="V109" t="s">
        <v>87</v>
      </c>
      <c r="Y109" t="s">
        <v>416</v>
      </c>
      <c r="Z109">
        <v>23300</v>
      </c>
      <c r="AA109" t="s">
        <v>48</v>
      </c>
      <c r="AB109" t="s">
        <v>49</v>
      </c>
      <c r="AC109" t="s">
        <v>53</v>
      </c>
      <c r="AD109" s="13">
        <f>IF(P109&lt;=1,7,7+0.8*ROUNDUP(P109-1,0))</f>
        <v>7</v>
      </c>
      <c r="AE109" s="14">
        <v>0</v>
      </c>
      <c r="AF109" s="14">
        <v>0</v>
      </c>
      <c r="AG109" s="14">
        <v>0</v>
      </c>
      <c r="AH109" s="14">
        <v>0</v>
      </c>
      <c r="AI109" s="14">
        <f t="shared" si="2"/>
        <v>0.42</v>
      </c>
      <c r="AJ109" s="14">
        <f t="shared" si="3"/>
        <v>7.42</v>
      </c>
      <c r="AK109" t="s">
        <v>48</v>
      </c>
      <c r="AN109" s="12"/>
    </row>
    <row r="110" spans="1:40" ht="15" customHeight="1" x14ac:dyDescent="0.35">
      <c r="A110">
        <v>690929</v>
      </c>
      <c r="B110" t="s">
        <v>37</v>
      </c>
      <c r="C110" t="s">
        <v>38</v>
      </c>
      <c r="D110" s="2" t="s">
        <v>39</v>
      </c>
      <c r="E110" s="9" t="s">
        <v>37</v>
      </c>
      <c r="F110" s="10"/>
      <c r="G110" t="s">
        <v>417</v>
      </c>
      <c r="H110" t="s">
        <v>41</v>
      </c>
      <c r="I110" t="s">
        <v>42</v>
      </c>
      <c r="J110" t="s">
        <v>418</v>
      </c>
      <c r="K110" t="s">
        <v>44</v>
      </c>
      <c r="L110">
        <v>2</v>
      </c>
      <c r="M110" t="s">
        <v>45</v>
      </c>
      <c r="N110" t="s">
        <v>46</v>
      </c>
      <c r="O110" t="s">
        <v>47</v>
      </c>
      <c r="P110" s="5">
        <v>2</v>
      </c>
      <c r="Q110" s="11">
        <v>44835.626250000001</v>
      </c>
      <c r="R110" s="12">
        <v>44837</v>
      </c>
      <c r="S110" t="s">
        <v>41</v>
      </c>
      <c r="T110" t="s">
        <v>48</v>
      </c>
      <c r="U110" t="s">
        <v>49</v>
      </c>
      <c r="V110" t="s">
        <v>72</v>
      </c>
      <c r="Y110" t="s">
        <v>419</v>
      </c>
      <c r="Z110">
        <v>14000</v>
      </c>
      <c r="AA110" t="s">
        <v>48</v>
      </c>
      <c r="AB110" t="s">
        <v>420</v>
      </c>
      <c r="AC110" t="s">
        <v>53</v>
      </c>
      <c r="AD110" s="13">
        <f>IF(P110&lt;=1,7,7+0.8*ROUNDUP(P110-1,0))</f>
        <v>7.8</v>
      </c>
      <c r="AE110" s="14">
        <v>0</v>
      </c>
      <c r="AF110" s="14">
        <v>0</v>
      </c>
      <c r="AG110" s="14">
        <v>0</v>
      </c>
      <c r="AH110" s="14">
        <v>0</v>
      </c>
      <c r="AI110" s="14">
        <f t="shared" si="2"/>
        <v>0.46799999999999997</v>
      </c>
      <c r="AJ110" s="14">
        <f t="shared" si="3"/>
        <v>8.2680000000000007</v>
      </c>
      <c r="AK110" t="s">
        <v>48</v>
      </c>
      <c r="AN110" s="12"/>
    </row>
    <row r="111" spans="1:40" ht="15" customHeight="1" x14ac:dyDescent="0.35">
      <c r="A111">
        <v>690929</v>
      </c>
      <c r="B111" t="s">
        <v>37</v>
      </c>
      <c r="C111" t="s">
        <v>38</v>
      </c>
      <c r="D111" s="2" t="s">
        <v>39</v>
      </c>
      <c r="E111" s="9" t="s">
        <v>37</v>
      </c>
      <c r="F111" s="10"/>
      <c r="G111" t="s">
        <v>421</v>
      </c>
      <c r="H111" t="s">
        <v>41</v>
      </c>
      <c r="I111" t="s">
        <v>42</v>
      </c>
      <c r="J111" t="s">
        <v>422</v>
      </c>
      <c r="K111" t="s">
        <v>44</v>
      </c>
      <c r="L111">
        <v>2</v>
      </c>
      <c r="M111" t="s">
        <v>45</v>
      </c>
      <c r="N111" t="s">
        <v>46</v>
      </c>
      <c r="O111" t="s">
        <v>47</v>
      </c>
      <c r="P111" s="5">
        <v>1</v>
      </c>
      <c r="Q111" s="11">
        <v>44837.457453703704</v>
      </c>
      <c r="R111" s="12">
        <v>44838</v>
      </c>
      <c r="S111" t="s">
        <v>41</v>
      </c>
      <c r="T111" t="s">
        <v>48</v>
      </c>
      <c r="U111" t="s">
        <v>49</v>
      </c>
      <c r="V111" t="s">
        <v>146</v>
      </c>
      <c r="Y111" t="s">
        <v>423</v>
      </c>
      <c r="Z111">
        <v>71500</v>
      </c>
      <c r="AA111" t="s">
        <v>48</v>
      </c>
      <c r="AB111" t="s">
        <v>52</v>
      </c>
      <c r="AC111" t="s">
        <v>53</v>
      </c>
      <c r="AD111" s="13">
        <f>IF(P111&lt;=1,7,7+0.8*ROUNDUP(P111-1,0))</f>
        <v>7</v>
      </c>
      <c r="AE111" s="14">
        <v>0</v>
      </c>
      <c r="AF111" s="14">
        <v>0</v>
      </c>
      <c r="AG111" s="14">
        <v>0</v>
      </c>
      <c r="AH111" s="14">
        <v>0</v>
      </c>
      <c r="AI111" s="14">
        <f t="shared" si="2"/>
        <v>0.42</v>
      </c>
      <c r="AJ111" s="14">
        <f t="shared" si="3"/>
        <v>7.42</v>
      </c>
      <c r="AK111" t="s">
        <v>48</v>
      </c>
      <c r="AN111" s="12"/>
    </row>
    <row r="112" spans="1:40" ht="15" customHeight="1" x14ac:dyDescent="0.35">
      <c r="A112">
        <v>690929</v>
      </c>
      <c r="B112" t="s">
        <v>37</v>
      </c>
      <c r="C112" t="s">
        <v>38</v>
      </c>
      <c r="D112" s="2" t="s">
        <v>39</v>
      </c>
      <c r="E112" s="9" t="s">
        <v>37</v>
      </c>
      <c r="F112" s="10"/>
      <c r="G112" t="s">
        <v>424</v>
      </c>
      <c r="H112" t="s">
        <v>41</v>
      </c>
      <c r="I112" t="s">
        <v>42</v>
      </c>
      <c r="J112" t="s">
        <v>425</v>
      </c>
      <c r="K112" t="s">
        <v>44</v>
      </c>
      <c r="L112">
        <v>2</v>
      </c>
      <c r="M112" t="s">
        <v>45</v>
      </c>
      <c r="N112" t="s">
        <v>46</v>
      </c>
      <c r="O112" t="s">
        <v>47</v>
      </c>
      <c r="P112" s="5">
        <v>3</v>
      </c>
      <c r="Q112" s="11">
        <v>44837.597766203704</v>
      </c>
      <c r="R112" s="12">
        <v>44838</v>
      </c>
      <c r="S112" t="s">
        <v>41</v>
      </c>
      <c r="T112" t="s">
        <v>48</v>
      </c>
      <c r="U112" t="s">
        <v>49</v>
      </c>
      <c r="V112" t="s">
        <v>87</v>
      </c>
      <c r="Y112" t="s">
        <v>426</v>
      </c>
      <c r="Z112">
        <v>24300</v>
      </c>
      <c r="AA112" t="s">
        <v>48</v>
      </c>
      <c r="AB112" t="s">
        <v>49</v>
      </c>
      <c r="AC112" t="s">
        <v>53</v>
      </c>
      <c r="AD112" s="13">
        <f>IF(P112&lt;=1,7,7+0.8*ROUNDUP(P112-1,0))</f>
        <v>8.6</v>
      </c>
      <c r="AE112" s="14">
        <v>0</v>
      </c>
      <c r="AF112" s="14">
        <v>0</v>
      </c>
      <c r="AG112" s="14">
        <v>0</v>
      </c>
      <c r="AH112" s="14">
        <v>0</v>
      </c>
      <c r="AI112" s="14">
        <f t="shared" si="2"/>
        <v>0.51600000000000001</v>
      </c>
      <c r="AJ112" s="14">
        <f t="shared" si="3"/>
        <v>9.1159999999999997</v>
      </c>
      <c r="AK112" t="s">
        <v>48</v>
      </c>
      <c r="AN112" s="12"/>
    </row>
    <row r="113" spans="1:40" ht="15" customHeight="1" x14ac:dyDescent="0.35">
      <c r="A113">
        <v>690929</v>
      </c>
      <c r="B113" t="s">
        <v>37</v>
      </c>
      <c r="C113" t="s">
        <v>38</v>
      </c>
      <c r="D113" s="2" t="s">
        <v>39</v>
      </c>
      <c r="E113" s="9" t="s">
        <v>37</v>
      </c>
      <c r="F113" s="10"/>
      <c r="G113" t="s">
        <v>427</v>
      </c>
      <c r="H113" t="s">
        <v>41</v>
      </c>
      <c r="I113" t="s">
        <v>42</v>
      </c>
      <c r="J113" t="s">
        <v>428</v>
      </c>
      <c r="K113" t="s">
        <v>44</v>
      </c>
      <c r="L113">
        <v>2</v>
      </c>
      <c r="M113" t="s">
        <v>45</v>
      </c>
      <c r="N113" t="s">
        <v>46</v>
      </c>
      <c r="O113" t="s">
        <v>47</v>
      </c>
      <c r="P113" s="5">
        <v>2</v>
      </c>
      <c r="Q113" s="11">
        <v>44837.488865740743</v>
      </c>
      <c r="R113" s="12">
        <v>44838</v>
      </c>
      <c r="S113" t="s">
        <v>41</v>
      </c>
      <c r="T113" t="s">
        <v>48</v>
      </c>
      <c r="U113" t="s">
        <v>49</v>
      </c>
      <c r="V113" t="s">
        <v>193</v>
      </c>
      <c r="Y113" t="s">
        <v>429</v>
      </c>
      <c r="Z113">
        <v>53300</v>
      </c>
      <c r="AA113" t="s">
        <v>48</v>
      </c>
      <c r="AB113" t="s">
        <v>52</v>
      </c>
      <c r="AC113" t="s">
        <v>53</v>
      </c>
      <c r="AD113" s="13">
        <f>IF(P113&lt;=1,7,7+0.8*ROUNDUP(P113-1,0))</f>
        <v>7.8</v>
      </c>
      <c r="AE113" s="14">
        <v>0</v>
      </c>
      <c r="AF113" s="14">
        <v>0</v>
      </c>
      <c r="AG113" s="14">
        <v>0</v>
      </c>
      <c r="AH113" s="14">
        <v>0</v>
      </c>
      <c r="AI113" s="14">
        <f t="shared" si="2"/>
        <v>0.46799999999999997</v>
      </c>
      <c r="AJ113" s="14">
        <f t="shared" si="3"/>
        <v>8.2680000000000007</v>
      </c>
      <c r="AK113" t="s">
        <v>48</v>
      </c>
      <c r="AN113" s="12"/>
    </row>
    <row r="114" spans="1:40" ht="15" customHeight="1" x14ac:dyDescent="0.35">
      <c r="A114">
        <v>690929</v>
      </c>
      <c r="B114" t="s">
        <v>37</v>
      </c>
      <c r="C114" t="s">
        <v>38</v>
      </c>
      <c r="D114" s="2" t="s">
        <v>39</v>
      </c>
      <c r="E114" s="9" t="s">
        <v>37</v>
      </c>
      <c r="F114" s="10"/>
      <c r="G114" t="s">
        <v>430</v>
      </c>
      <c r="H114" t="s">
        <v>41</v>
      </c>
      <c r="I114" t="s">
        <v>42</v>
      </c>
      <c r="J114" t="s">
        <v>431</v>
      </c>
      <c r="K114" t="s">
        <v>44</v>
      </c>
      <c r="L114">
        <v>2</v>
      </c>
      <c r="M114" t="s">
        <v>45</v>
      </c>
      <c r="N114" t="s">
        <v>46</v>
      </c>
      <c r="O114" t="s">
        <v>47</v>
      </c>
      <c r="P114" s="5">
        <v>1</v>
      </c>
      <c r="Q114" s="11">
        <v>44837.552743055552</v>
      </c>
      <c r="R114" s="12">
        <v>44838</v>
      </c>
      <c r="S114" t="s">
        <v>41</v>
      </c>
      <c r="T114" t="s">
        <v>48</v>
      </c>
      <c r="U114" t="s">
        <v>49</v>
      </c>
      <c r="V114" t="s">
        <v>146</v>
      </c>
      <c r="Y114" t="s">
        <v>432</v>
      </c>
      <c r="Z114">
        <v>72000</v>
      </c>
      <c r="AA114" t="s">
        <v>48</v>
      </c>
      <c r="AB114" t="s">
        <v>52</v>
      </c>
      <c r="AC114" t="s">
        <v>53</v>
      </c>
      <c r="AD114" s="13">
        <f>IF(P114&lt;=1,7,7+0.8*ROUNDUP(P114-1,0))</f>
        <v>7</v>
      </c>
      <c r="AE114" s="14">
        <v>0</v>
      </c>
      <c r="AF114" s="14">
        <v>0</v>
      </c>
      <c r="AG114" s="14">
        <v>0</v>
      </c>
      <c r="AH114" s="14">
        <v>0</v>
      </c>
      <c r="AI114" s="14">
        <f t="shared" si="2"/>
        <v>0.42</v>
      </c>
      <c r="AJ114" s="14">
        <f t="shared" si="3"/>
        <v>7.42</v>
      </c>
      <c r="AK114" t="s">
        <v>48</v>
      </c>
      <c r="AN114" s="12"/>
    </row>
    <row r="115" spans="1:40" ht="15" customHeight="1" x14ac:dyDescent="0.35">
      <c r="A115">
        <v>690929</v>
      </c>
      <c r="B115" t="s">
        <v>37</v>
      </c>
      <c r="C115" t="s">
        <v>38</v>
      </c>
      <c r="D115" s="2" t="s">
        <v>39</v>
      </c>
      <c r="E115" s="9" t="s">
        <v>37</v>
      </c>
      <c r="F115" s="10"/>
      <c r="G115" t="s">
        <v>433</v>
      </c>
      <c r="H115" t="s">
        <v>41</v>
      </c>
      <c r="I115" t="s">
        <v>42</v>
      </c>
      <c r="J115" t="s">
        <v>434</v>
      </c>
      <c r="K115" t="s">
        <v>44</v>
      </c>
      <c r="L115">
        <v>2</v>
      </c>
      <c r="M115" t="s">
        <v>45</v>
      </c>
      <c r="N115" t="s">
        <v>46</v>
      </c>
      <c r="O115" t="s">
        <v>47</v>
      </c>
      <c r="P115" s="5">
        <v>1</v>
      </c>
      <c r="Q115" s="11">
        <v>44836.635000000002</v>
      </c>
      <c r="R115" s="12">
        <v>44838</v>
      </c>
      <c r="S115" t="s">
        <v>41</v>
      </c>
      <c r="T115" t="s">
        <v>48</v>
      </c>
      <c r="U115" t="s">
        <v>49</v>
      </c>
      <c r="V115" t="s">
        <v>61</v>
      </c>
      <c r="Y115" t="s">
        <v>435</v>
      </c>
      <c r="Z115">
        <v>63000</v>
      </c>
      <c r="AA115" t="s">
        <v>48</v>
      </c>
      <c r="AB115" t="s">
        <v>436</v>
      </c>
      <c r="AC115" t="s">
        <v>53</v>
      </c>
      <c r="AD115" s="13">
        <f>IF(P115&lt;=1,7,7+0.8*ROUNDUP(P115-1,0))</f>
        <v>7</v>
      </c>
      <c r="AE115" s="14">
        <v>0</v>
      </c>
      <c r="AF115" s="14">
        <v>0</v>
      </c>
      <c r="AG115" s="14">
        <v>0</v>
      </c>
      <c r="AH115" s="14">
        <v>0</v>
      </c>
      <c r="AI115" s="14">
        <f t="shared" si="2"/>
        <v>0.42</v>
      </c>
      <c r="AJ115" s="14">
        <f t="shared" si="3"/>
        <v>7.42</v>
      </c>
      <c r="AK115" t="s">
        <v>48</v>
      </c>
      <c r="AN115" s="12"/>
    </row>
    <row r="116" spans="1:40" ht="15" customHeight="1" x14ac:dyDescent="0.35">
      <c r="A116">
        <v>690929</v>
      </c>
      <c r="B116" t="s">
        <v>37</v>
      </c>
      <c r="C116" t="s">
        <v>38</v>
      </c>
      <c r="D116" s="2" t="s">
        <v>39</v>
      </c>
      <c r="E116" s="9" t="s">
        <v>37</v>
      </c>
      <c r="F116" s="10"/>
      <c r="G116" t="s">
        <v>437</v>
      </c>
      <c r="H116" t="s">
        <v>41</v>
      </c>
      <c r="I116" t="s">
        <v>42</v>
      </c>
      <c r="J116" t="s">
        <v>219</v>
      </c>
      <c r="K116" t="s">
        <v>44</v>
      </c>
      <c r="L116">
        <v>2</v>
      </c>
      <c r="M116" t="s">
        <v>45</v>
      </c>
      <c r="N116" t="s">
        <v>46</v>
      </c>
      <c r="O116" t="s">
        <v>47</v>
      </c>
      <c r="P116" s="5">
        <v>3</v>
      </c>
      <c r="Q116" s="11">
        <v>44836.666400462964</v>
      </c>
      <c r="R116" s="12">
        <v>44838</v>
      </c>
      <c r="S116" t="s">
        <v>41</v>
      </c>
      <c r="T116" t="s">
        <v>48</v>
      </c>
      <c r="U116" t="s">
        <v>49</v>
      </c>
      <c r="V116" t="s">
        <v>61</v>
      </c>
      <c r="Y116" t="s">
        <v>438</v>
      </c>
      <c r="Z116">
        <v>47830</v>
      </c>
      <c r="AA116" t="s">
        <v>48</v>
      </c>
      <c r="AB116" t="s">
        <v>221</v>
      </c>
      <c r="AC116" t="s">
        <v>53</v>
      </c>
      <c r="AD116" s="13">
        <f>IF(P116&lt;=1,7,7+0.8*ROUNDUP(P116-1,0))</f>
        <v>8.6</v>
      </c>
      <c r="AE116" s="14">
        <v>0</v>
      </c>
      <c r="AF116" s="14">
        <v>0</v>
      </c>
      <c r="AG116" s="14">
        <v>0</v>
      </c>
      <c r="AH116" s="14">
        <v>0</v>
      </c>
      <c r="AI116" s="14">
        <f t="shared" si="2"/>
        <v>0.51600000000000001</v>
      </c>
      <c r="AJ116" s="14">
        <f t="shared" si="3"/>
        <v>9.1159999999999997</v>
      </c>
      <c r="AK116" t="s">
        <v>48</v>
      </c>
      <c r="AN116" s="12"/>
    </row>
    <row r="117" spans="1:40" ht="15" customHeight="1" x14ac:dyDescent="0.35">
      <c r="A117">
        <v>690929</v>
      </c>
      <c r="B117" t="s">
        <v>37</v>
      </c>
      <c r="C117" t="s">
        <v>38</v>
      </c>
      <c r="D117" s="2" t="s">
        <v>39</v>
      </c>
      <c r="E117" s="9" t="s">
        <v>37</v>
      </c>
      <c r="F117" s="10"/>
      <c r="G117" t="s">
        <v>439</v>
      </c>
      <c r="H117" t="s">
        <v>41</v>
      </c>
      <c r="I117" t="s">
        <v>42</v>
      </c>
      <c r="J117" t="s">
        <v>440</v>
      </c>
      <c r="K117" t="s">
        <v>44</v>
      </c>
      <c r="L117">
        <v>2</v>
      </c>
      <c r="M117" t="s">
        <v>45</v>
      </c>
      <c r="N117" t="s">
        <v>46</v>
      </c>
      <c r="O117" t="s">
        <v>47</v>
      </c>
      <c r="P117" s="5">
        <v>1</v>
      </c>
      <c r="Q117" s="11">
        <v>44835.662581018521</v>
      </c>
      <c r="R117" s="12">
        <v>44838</v>
      </c>
      <c r="S117" t="s">
        <v>41</v>
      </c>
      <c r="T117" t="s">
        <v>48</v>
      </c>
      <c r="U117" t="s">
        <v>49</v>
      </c>
      <c r="V117" t="s">
        <v>61</v>
      </c>
      <c r="Y117" t="s">
        <v>441</v>
      </c>
      <c r="Z117">
        <v>45300</v>
      </c>
      <c r="AA117" t="s">
        <v>48</v>
      </c>
      <c r="AB117" t="s">
        <v>436</v>
      </c>
      <c r="AC117" t="s">
        <v>53</v>
      </c>
      <c r="AD117" s="13">
        <f>IF(P117&lt;=1,7,7+0.8*ROUNDUP(P117-1,0))</f>
        <v>7</v>
      </c>
      <c r="AE117" s="14">
        <v>0</v>
      </c>
      <c r="AF117" s="14">
        <v>0</v>
      </c>
      <c r="AG117" s="14">
        <v>0</v>
      </c>
      <c r="AH117" s="14">
        <v>0</v>
      </c>
      <c r="AI117" s="14">
        <f t="shared" si="2"/>
        <v>0.42</v>
      </c>
      <c r="AJ117" s="14">
        <f t="shared" si="3"/>
        <v>7.42</v>
      </c>
      <c r="AK117" t="s">
        <v>48</v>
      </c>
      <c r="AN117" s="12"/>
    </row>
    <row r="118" spans="1:40" ht="15" customHeight="1" x14ac:dyDescent="0.35">
      <c r="A118">
        <v>690929</v>
      </c>
      <c r="B118" t="s">
        <v>37</v>
      </c>
      <c r="C118" t="s">
        <v>38</v>
      </c>
      <c r="D118" s="2" t="s">
        <v>39</v>
      </c>
      <c r="E118" s="9" t="s">
        <v>37</v>
      </c>
      <c r="F118" s="10"/>
      <c r="G118" t="s">
        <v>442</v>
      </c>
      <c r="H118" t="s">
        <v>41</v>
      </c>
      <c r="I118" t="s">
        <v>42</v>
      </c>
      <c r="J118" t="s">
        <v>443</v>
      </c>
      <c r="K118" t="s">
        <v>44</v>
      </c>
      <c r="L118">
        <v>2</v>
      </c>
      <c r="M118" t="s">
        <v>45</v>
      </c>
      <c r="N118" t="s">
        <v>46</v>
      </c>
      <c r="O118" t="s">
        <v>47</v>
      </c>
      <c r="P118" s="5">
        <v>2</v>
      </c>
      <c r="Q118" s="11">
        <v>44837.543298611112</v>
      </c>
      <c r="R118" s="12">
        <v>44838</v>
      </c>
      <c r="S118" t="s">
        <v>41</v>
      </c>
      <c r="T118" t="s">
        <v>48</v>
      </c>
      <c r="U118" t="s">
        <v>49</v>
      </c>
      <c r="V118" t="s">
        <v>61</v>
      </c>
      <c r="Y118" t="s">
        <v>444</v>
      </c>
      <c r="Z118">
        <v>68100</v>
      </c>
      <c r="AA118" t="s">
        <v>48</v>
      </c>
      <c r="AB118" t="s">
        <v>52</v>
      </c>
      <c r="AC118" t="s">
        <v>53</v>
      </c>
      <c r="AD118" s="13">
        <f>IF(P118&lt;=1,7,7+0.8*ROUNDUP(P118-1,0))</f>
        <v>7.8</v>
      </c>
      <c r="AE118" s="14">
        <v>0</v>
      </c>
      <c r="AF118" s="14">
        <v>0</v>
      </c>
      <c r="AG118" s="14">
        <v>0</v>
      </c>
      <c r="AH118" s="14">
        <v>0</v>
      </c>
      <c r="AI118" s="14">
        <f t="shared" si="2"/>
        <v>0.46799999999999997</v>
      </c>
      <c r="AJ118" s="14">
        <f t="shared" si="3"/>
        <v>8.2680000000000007</v>
      </c>
      <c r="AK118" t="s">
        <v>48</v>
      </c>
      <c r="AN118" s="12"/>
    </row>
    <row r="119" spans="1:40" ht="15" customHeight="1" x14ac:dyDescent="0.35">
      <c r="A119">
        <v>690929</v>
      </c>
      <c r="B119" t="s">
        <v>37</v>
      </c>
      <c r="C119" t="s">
        <v>38</v>
      </c>
      <c r="D119" s="2" t="s">
        <v>39</v>
      </c>
      <c r="E119" s="9" t="s">
        <v>37</v>
      </c>
      <c r="F119" s="10"/>
      <c r="G119" t="s">
        <v>445</v>
      </c>
      <c r="H119" t="s">
        <v>41</v>
      </c>
      <c r="I119" t="s">
        <v>42</v>
      </c>
      <c r="J119" t="s">
        <v>446</v>
      </c>
      <c r="K119" t="s">
        <v>44</v>
      </c>
      <c r="L119">
        <v>2</v>
      </c>
      <c r="M119" t="s">
        <v>45</v>
      </c>
      <c r="N119" t="s">
        <v>46</v>
      </c>
      <c r="O119" t="s">
        <v>47</v>
      </c>
      <c r="P119" s="5">
        <v>1</v>
      </c>
      <c r="Q119" s="11">
        <v>44834.424618055556</v>
      </c>
      <c r="R119" s="12">
        <v>44838</v>
      </c>
      <c r="S119" t="s">
        <v>41</v>
      </c>
      <c r="T119" t="s">
        <v>48</v>
      </c>
      <c r="U119" t="s">
        <v>104</v>
      </c>
      <c r="V119" t="s">
        <v>50</v>
      </c>
      <c r="Y119" t="s">
        <v>447</v>
      </c>
      <c r="Z119">
        <v>8000</v>
      </c>
      <c r="AA119" t="s">
        <v>48</v>
      </c>
      <c r="AB119" t="s">
        <v>448</v>
      </c>
      <c r="AC119" t="s">
        <v>53</v>
      </c>
      <c r="AD119" s="13">
        <f>IF(P119&lt;=1,7,7+0.8*ROUNDUP(P119-1,0))</f>
        <v>7</v>
      </c>
      <c r="AE119" s="14">
        <v>0</v>
      </c>
      <c r="AF119" s="14">
        <v>0</v>
      </c>
      <c r="AG119" s="14">
        <v>0</v>
      </c>
      <c r="AH119" s="14">
        <v>0</v>
      </c>
      <c r="AI119" s="14">
        <f t="shared" si="2"/>
        <v>0.42</v>
      </c>
      <c r="AJ119" s="14">
        <f t="shared" si="3"/>
        <v>7.42</v>
      </c>
      <c r="AK119" t="s">
        <v>48</v>
      </c>
      <c r="AN119" s="12"/>
    </row>
    <row r="120" spans="1:40" ht="15" customHeight="1" x14ac:dyDescent="0.35">
      <c r="A120">
        <v>690929</v>
      </c>
      <c r="B120" t="s">
        <v>37</v>
      </c>
      <c r="C120" t="s">
        <v>38</v>
      </c>
      <c r="D120" s="2" t="s">
        <v>39</v>
      </c>
      <c r="E120" s="9" t="s">
        <v>37</v>
      </c>
      <c r="F120" s="10"/>
      <c r="G120" t="s">
        <v>449</v>
      </c>
      <c r="H120" t="s">
        <v>41</v>
      </c>
      <c r="I120" t="s">
        <v>42</v>
      </c>
      <c r="J120" t="s">
        <v>450</v>
      </c>
      <c r="K120" t="s">
        <v>44</v>
      </c>
      <c r="L120">
        <v>2</v>
      </c>
      <c r="M120" t="s">
        <v>45</v>
      </c>
      <c r="N120" t="s">
        <v>46</v>
      </c>
      <c r="O120" t="s">
        <v>47</v>
      </c>
      <c r="P120" s="5">
        <v>4</v>
      </c>
      <c r="Q120" s="11">
        <v>44837.629074074073</v>
      </c>
      <c r="R120" s="12">
        <v>44838</v>
      </c>
      <c r="S120" t="s">
        <v>41</v>
      </c>
      <c r="T120" t="s">
        <v>48</v>
      </c>
      <c r="U120" t="s">
        <v>49</v>
      </c>
      <c r="V120" t="s">
        <v>87</v>
      </c>
      <c r="Y120" t="s">
        <v>451</v>
      </c>
      <c r="Z120">
        <v>24000</v>
      </c>
      <c r="AA120" t="s">
        <v>48</v>
      </c>
      <c r="AB120" t="s">
        <v>157</v>
      </c>
      <c r="AC120" t="s">
        <v>53</v>
      </c>
      <c r="AD120" s="13">
        <f>IF(P120&lt;=1,7,7+0.8*ROUNDUP(P120-1,0))</f>
        <v>9.4</v>
      </c>
      <c r="AE120" s="14">
        <v>0</v>
      </c>
      <c r="AF120" s="14">
        <v>0</v>
      </c>
      <c r="AG120" s="14">
        <v>0</v>
      </c>
      <c r="AH120" s="14">
        <v>0</v>
      </c>
      <c r="AI120" s="14">
        <f t="shared" si="2"/>
        <v>0.56399999999999995</v>
      </c>
      <c r="AJ120" s="14">
        <f t="shared" si="3"/>
        <v>9.9640000000000004</v>
      </c>
      <c r="AK120" t="s">
        <v>48</v>
      </c>
      <c r="AN120" s="12"/>
    </row>
    <row r="121" spans="1:40" ht="15" customHeight="1" x14ac:dyDescent="0.35">
      <c r="A121">
        <v>690929</v>
      </c>
      <c r="B121" t="s">
        <v>37</v>
      </c>
      <c r="C121" t="s">
        <v>38</v>
      </c>
      <c r="D121" s="2" t="s">
        <v>39</v>
      </c>
      <c r="E121" s="9" t="s">
        <v>37</v>
      </c>
      <c r="F121" s="10"/>
      <c r="G121" t="s">
        <v>452</v>
      </c>
      <c r="H121" t="s">
        <v>41</v>
      </c>
      <c r="I121" t="s">
        <v>42</v>
      </c>
      <c r="J121" t="s">
        <v>453</v>
      </c>
      <c r="K121" t="s">
        <v>44</v>
      </c>
      <c r="L121">
        <v>2</v>
      </c>
      <c r="M121" t="s">
        <v>45</v>
      </c>
      <c r="N121" t="s">
        <v>46</v>
      </c>
      <c r="O121" t="s">
        <v>47</v>
      </c>
      <c r="P121" s="5">
        <v>1</v>
      </c>
      <c r="Q121" s="11">
        <v>44836.453217592592</v>
      </c>
      <c r="R121" s="12">
        <v>44838</v>
      </c>
      <c r="S121" t="s">
        <v>41</v>
      </c>
      <c r="T121" t="s">
        <v>48</v>
      </c>
      <c r="U121" t="s">
        <v>49</v>
      </c>
      <c r="V121" t="s">
        <v>72</v>
      </c>
      <c r="Y121" t="s">
        <v>454</v>
      </c>
      <c r="Z121">
        <v>14400</v>
      </c>
      <c r="AA121" t="s">
        <v>48</v>
      </c>
      <c r="AB121" t="s">
        <v>52</v>
      </c>
      <c r="AC121" t="s">
        <v>53</v>
      </c>
      <c r="AD121" s="13">
        <f>IF(P121&lt;=1,7,7+0.8*ROUNDUP(P121-1,0))</f>
        <v>7</v>
      </c>
      <c r="AE121" s="14">
        <v>0</v>
      </c>
      <c r="AF121" s="14">
        <v>0</v>
      </c>
      <c r="AG121" s="14">
        <v>0</v>
      </c>
      <c r="AH121" s="14">
        <v>0</v>
      </c>
      <c r="AI121" s="14">
        <f t="shared" si="2"/>
        <v>0.42</v>
      </c>
      <c r="AJ121" s="14">
        <f t="shared" si="3"/>
        <v>7.42</v>
      </c>
      <c r="AK121" t="s">
        <v>48</v>
      </c>
      <c r="AN121" s="12"/>
    </row>
    <row r="122" spans="1:40" ht="15" customHeight="1" x14ac:dyDescent="0.35">
      <c r="A122">
        <v>690929</v>
      </c>
      <c r="B122" t="s">
        <v>37</v>
      </c>
      <c r="C122" t="s">
        <v>38</v>
      </c>
      <c r="D122" s="2" t="s">
        <v>39</v>
      </c>
      <c r="E122" s="9" t="s">
        <v>37</v>
      </c>
      <c r="F122" s="10"/>
      <c r="G122" t="s">
        <v>455</v>
      </c>
      <c r="H122" t="s">
        <v>41</v>
      </c>
      <c r="I122" t="s">
        <v>42</v>
      </c>
      <c r="J122" t="s">
        <v>456</v>
      </c>
      <c r="K122" t="s">
        <v>44</v>
      </c>
      <c r="L122">
        <v>2</v>
      </c>
      <c r="M122" t="s">
        <v>45</v>
      </c>
      <c r="N122" t="s">
        <v>46</v>
      </c>
      <c r="O122" t="s">
        <v>47</v>
      </c>
      <c r="P122" s="5">
        <v>1</v>
      </c>
      <c r="Q122" s="11">
        <v>44838.378182870372</v>
      </c>
      <c r="R122" s="12">
        <v>44839</v>
      </c>
      <c r="S122" t="s">
        <v>41</v>
      </c>
      <c r="T122" t="s">
        <v>48</v>
      </c>
      <c r="U122" t="s">
        <v>49</v>
      </c>
      <c r="V122" t="s">
        <v>61</v>
      </c>
      <c r="Y122" t="s">
        <v>457</v>
      </c>
      <c r="Z122">
        <v>40170</v>
      </c>
      <c r="AA122" t="s">
        <v>48</v>
      </c>
      <c r="AB122" t="s">
        <v>52</v>
      </c>
      <c r="AC122" t="s">
        <v>53</v>
      </c>
      <c r="AD122" s="13">
        <f>IF(P122&lt;=1,7,7+0.8*ROUNDUP(P122-1,0))</f>
        <v>7</v>
      </c>
      <c r="AE122" s="14">
        <v>0</v>
      </c>
      <c r="AF122" s="14">
        <v>0</v>
      </c>
      <c r="AG122" s="14">
        <v>0</v>
      </c>
      <c r="AH122" s="14">
        <v>0</v>
      </c>
      <c r="AI122" s="14">
        <f t="shared" si="2"/>
        <v>0.42</v>
      </c>
      <c r="AJ122" s="14">
        <f t="shared" si="3"/>
        <v>7.42</v>
      </c>
      <c r="AK122" t="s">
        <v>48</v>
      </c>
      <c r="AN122" s="12"/>
    </row>
    <row r="123" spans="1:40" ht="15" customHeight="1" x14ac:dyDescent="0.35">
      <c r="A123">
        <v>690929</v>
      </c>
      <c r="B123" t="s">
        <v>37</v>
      </c>
      <c r="C123" t="s">
        <v>38</v>
      </c>
      <c r="D123" s="2" t="s">
        <v>39</v>
      </c>
      <c r="E123" s="9" t="s">
        <v>37</v>
      </c>
      <c r="F123" s="10"/>
      <c r="G123" t="s">
        <v>458</v>
      </c>
      <c r="H123" t="s">
        <v>41</v>
      </c>
      <c r="I123" t="s">
        <v>42</v>
      </c>
      <c r="J123" t="s">
        <v>459</v>
      </c>
      <c r="K123" t="s">
        <v>44</v>
      </c>
      <c r="L123">
        <v>2</v>
      </c>
      <c r="M123" t="s">
        <v>45</v>
      </c>
      <c r="N123" t="s">
        <v>46</v>
      </c>
      <c r="O123" t="s">
        <v>47</v>
      </c>
      <c r="P123" s="5">
        <v>1</v>
      </c>
      <c r="Q123" s="11">
        <v>44838.569224537037</v>
      </c>
      <c r="R123" s="12">
        <v>44839</v>
      </c>
      <c r="S123" t="s">
        <v>41</v>
      </c>
      <c r="T123" t="s">
        <v>48</v>
      </c>
      <c r="U123" t="s">
        <v>49</v>
      </c>
      <c r="V123" t="s">
        <v>193</v>
      </c>
      <c r="Y123" t="s">
        <v>460</v>
      </c>
      <c r="Z123">
        <v>57100</v>
      </c>
      <c r="AA123" t="s">
        <v>48</v>
      </c>
      <c r="AB123" t="s">
        <v>52</v>
      </c>
      <c r="AC123" t="s">
        <v>53</v>
      </c>
      <c r="AD123" s="13">
        <f>IF(P123&lt;=1,7,7+0.8*ROUNDUP(P123-1,0))</f>
        <v>7</v>
      </c>
      <c r="AE123" s="14">
        <v>0</v>
      </c>
      <c r="AF123" s="14">
        <v>0</v>
      </c>
      <c r="AG123" s="14">
        <v>0</v>
      </c>
      <c r="AH123" s="14">
        <v>0</v>
      </c>
      <c r="AI123" s="14">
        <f t="shared" si="2"/>
        <v>0.42</v>
      </c>
      <c r="AJ123" s="14">
        <f t="shared" si="3"/>
        <v>7.42</v>
      </c>
      <c r="AK123" t="s">
        <v>48</v>
      </c>
      <c r="AN123" s="12"/>
    </row>
    <row r="124" spans="1:40" ht="15" customHeight="1" x14ac:dyDescent="0.35">
      <c r="A124">
        <v>690929</v>
      </c>
      <c r="B124" t="s">
        <v>37</v>
      </c>
      <c r="C124" t="s">
        <v>38</v>
      </c>
      <c r="D124" s="2" t="s">
        <v>39</v>
      </c>
      <c r="E124" s="9" t="s">
        <v>37</v>
      </c>
      <c r="F124" s="10"/>
      <c r="G124" t="s">
        <v>461</v>
      </c>
      <c r="H124" t="s">
        <v>41</v>
      </c>
      <c r="I124" t="s">
        <v>42</v>
      </c>
      <c r="J124" t="s">
        <v>462</v>
      </c>
      <c r="K124" t="s">
        <v>44</v>
      </c>
      <c r="L124">
        <v>2</v>
      </c>
      <c r="M124" t="s">
        <v>45</v>
      </c>
      <c r="N124" t="s">
        <v>46</v>
      </c>
      <c r="O124" t="s">
        <v>47</v>
      </c>
      <c r="P124" s="5">
        <v>4</v>
      </c>
      <c r="Q124" s="11">
        <v>44838.634965277779</v>
      </c>
      <c r="R124" s="12">
        <v>44839</v>
      </c>
      <c r="S124" t="s">
        <v>41</v>
      </c>
      <c r="T124" t="s">
        <v>48</v>
      </c>
      <c r="U124" t="s">
        <v>49</v>
      </c>
      <c r="V124" t="s">
        <v>61</v>
      </c>
      <c r="Y124" t="s">
        <v>463</v>
      </c>
      <c r="Z124">
        <v>43900</v>
      </c>
      <c r="AA124" t="s">
        <v>48</v>
      </c>
      <c r="AB124" t="s">
        <v>464</v>
      </c>
      <c r="AC124" t="s">
        <v>53</v>
      </c>
      <c r="AD124" s="13">
        <f>IF(P124&lt;=1,7,7+0.8*ROUNDUP(P124-1,0))</f>
        <v>9.4</v>
      </c>
      <c r="AE124" s="14">
        <v>0</v>
      </c>
      <c r="AF124" s="14">
        <v>0</v>
      </c>
      <c r="AG124" s="14">
        <v>0</v>
      </c>
      <c r="AH124" s="14">
        <v>0</v>
      </c>
      <c r="AI124" s="14">
        <f t="shared" si="2"/>
        <v>0.56399999999999995</v>
      </c>
      <c r="AJ124" s="14">
        <f t="shared" si="3"/>
        <v>9.9640000000000004</v>
      </c>
      <c r="AK124" t="s">
        <v>48</v>
      </c>
      <c r="AN124" s="12"/>
    </row>
    <row r="125" spans="1:40" ht="15" customHeight="1" x14ac:dyDescent="0.35">
      <c r="A125">
        <v>690929</v>
      </c>
      <c r="B125" t="s">
        <v>37</v>
      </c>
      <c r="C125" t="s">
        <v>38</v>
      </c>
      <c r="D125" s="2" t="s">
        <v>39</v>
      </c>
      <c r="E125" s="9" t="s">
        <v>37</v>
      </c>
      <c r="F125" s="10"/>
      <c r="G125" t="s">
        <v>465</v>
      </c>
      <c r="H125" t="s">
        <v>41</v>
      </c>
      <c r="I125" t="s">
        <v>42</v>
      </c>
      <c r="J125" t="s">
        <v>466</v>
      </c>
      <c r="K125" t="s">
        <v>44</v>
      </c>
      <c r="L125">
        <v>2</v>
      </c>
      <c r="M125" t="s">
        <v>45</v>
      </c>
      <c r="N125" t="s">
        <v>46</v>
      </c>
      <c r="O125" t="s">
        <v>47</v>
      </c>
      <c r="P125" s="5">
        <v>1</v>
      </c>
      <c r="Q125" s="11">
        <v>44838.612187500003</v>
      </c>
      <c r="R125" s="12">
        <v>44839</v>
      </c>
      <c r="S125" t="s">
        <v>41</v>
      </c>
      <c r="T125" t="s">
        <v>48</v>
      </c>
      <c r="U125" t="s">
        <v>49</v>
      </c>
      <c r="V125" t="s">
        <v>61</v>
      </c>
      <c r="Y125" t="s">
        <v>467</v>
      </c>
      <c r="Z125">
        <v>43200</v>
      </c>
      <c r="AA125" t="s">
        <v>48</v>
      </c>
      <c r="AB125" t="s">
        <v>52</v>
      </c>
      <c r="AC125" t="s">
        <v>53</v>
      </c>
      <c r="AD125" s="13">
        <f>IF(P125&lt;=1,7,7+0.8*ROUNDUP(P125-1,0))</f>
        <v>7</v>
      </c>
      <c r="AE125" s="14">
        <v>0</v>
      </c>
      <c r="AF125" s="14">
        <v>0</v>
      </c>
      <c r="AG125" s="14">
        <v>0</v>
      </c>
      <c r="AH125" s="14">
        <v>0</v>
      </c>
      <c r="AI125" s="14">
        <f t="shared" si="2"/>
        <v>0.42</v>
      </c>
      <c r="AJ125" s="14">
        <f t="shared" si="3"/>
        <v>7.42</v>
      </c>
      <c r="AK125" t="s">
        <v>48</v>
      </c>
      <c r="AN125" s="12"/>
    </row>
    <row r="126" spans="1:40" ht="15" customHeight="1" x14ac:dyDescent="0.35">
      <c r="A126">
        <v>690929</v>
      </c>
      <c r="B126" t="s">
        <v>37</v>
      </c>
      <c r="C126" t="s">
        <v>38</v>
      </c>
      <c r="D126" s="2" t="s">
        <v>39</v>
      </c>
      <c r="E126" s="9" t="s">
        <v>37</v>
      </c>
      <c r="F126" s="10"/>
      <c r="G126" t="s">
        <v>468</v>
      </c>
      <c r="H126" t="s">
        <v>41</v>
      </c>
      <c r="I126" t="s">
        <v>42</v>
      </c>
      <c r="J126" t="s">
        <v>469</v>
      </c>
      <c r="K126" t="s">
        <v>44</v>
      </c>
      <c r="L126">
        <v>2</v>
      </c>
      <c r="M126" t="s">
        <v>45</v>
      </c>
      <c r="N126" t="s">
        <v>46</v>
      </c>
      <c r="O126" t="s">
        <v>47</v>
      </c>
      <c r="P126" s="5">
        <v>1</v>
      </c>
      <c r="Q126" s="11">
        <v>44837.54824074074</v>
      </c>
      <c r="R126" s="12">
        <v>44839</v>
      </c>
      <c r="S126" t="s">
        <v>41</v>
      </c>
      <c r="T126" t="s">
        <v>48</v>
      </c>
      <c r="U126" t="s">
        <v>49</v>
      </c>
      <c r="V126" t="s">
        <v>50</v>
      </c>
      <c r="Y126" t="s">
        <v>470</v>
      </c>
      <c r="Z126">
        <v>5150</v>
      </c>
      <c r="AA126" t="s">
        <v>48</v>
      </c>
      <c r="AB126" t="s">
        <v>52</v>
      </c>
      <c r="AC126" t="s">
        <v>53</v>
      </c>
      <c r="AD126" s="13">
        <f>IF(P126&lt;=1,7,7+0.8*ROUNDUP(P126-1,0))</f>
        <v>7</v>
      </c>
      <c r="AE126" s="14">
        <v>0</v>
      </c>
      <c r="AF126" s="14">
        <v>0</v>
      </c>
      <c r="AG126" s="14">
        <v>0</v>
      </c>
      <c r="AH126" s="14">
        <v>0</v>
      </c>
      <c r="AI126" s="14">
        <f t="shared" si="2"/>
        <v>0.42</v>
      </c>
      <c r="AJ126" s="14">
        <f t="shared" si="3"/>
        <v>7.42</v>
      </c>
      <c r="AK126" t="s">
        <v>48</v>
      </c>
      <c r="AN126" s="12"/>
    </row>
    <row r="127" spans="1:40" ht="15" customHeight="1" x14ac:dyDescent="0.35">
      <c r="A127">
        <v>690929</v>
      </c>
      <c r="B127" t="s">
        <v>37</v>
      </c>
      <c r="C127" t="s">
        <v>38</v>
      </c>
      <c r="D127" s="2" t="s">
        <v>39</v>
      </c>
      <c r="E127" s="9" t="s">
        <v>37</v>
      </c>
      <c r="F127" s="10"/>
      <c r="G127" t="s">
        <v>471</v>
      </c>
      <c r="H127" t="s">
        <v>41</v>
      </c>
      <c r="I127" t="s">
        <v>42</v>
      </c>
      <c r="J127" t="s">
        <v>472</v>
      </c>
      <c r="K127" t="s">
        <v>44</v>
      </c>
      <c r="L127">
        <v>2</v>
      </c>
      <c r="M127" t="s">
        <v>45</v>
      </c>
      <c r="N127" t="s">
        <v>46</v>
      </c>
      <c r="O127" t="s">
        <v>47</v>
      </c>
      <c r="P127" s="5">
        <v>1</v>
      </c>
      <c r="Q127" s="11">
        <v>44838.376863425925</v>
      </c>
      <c r="R127" s="12">
        <v>44839</v>
      </c>
      <c r="S127" t="s">
        <v>41</v>
      </c>
      <c r="T127" t="s">
        <v>48</v>
      </c>
      <c r="U127" t="s">
        <v>49</v>
      </c>
      <c r="V127" t="s">
        <v>133</v>
      </c>
      <c r="Y127" t="s">
        <v>473</v>
      </c>
      <c r="Z127">
        <v>28000</v>
      </c>
      <c r="AA127" t="s">
        <v>48</v>
      </c>
      <c r="AB127" t="s">
        <v>49</v>
      </c>
      <c r="AC127" t="s">
        <v>53</v>
      </c>
      <c r="AD127" s="13">
        <f>IF(P127&lt;=1,7,7+0.8*ROUNDUP(P127-1,0))</f>
        <v>7</v>
      </c>
      <c r="AE127" s="14">
        <v>0</v>
      </c>
      <c r="AF127" s="14">
        <v>0</v>
      </c>
      <c r="AG127" s="14">
        <v>0</v>
      </c>
      <c r="AH127" s="14">
        <v>0</v>
      </c>
      <c r="AI127" s="14">
        <f t="shared" si="2"/>
        <v>0.42</v>
      </c>
      <c r="AJ127" s="14">
        <f t="shared" si="3"/>
        <v>7.42</v>
      </c>
      <c r="AK127" t="s">
        <v>48</v>
      </c>
      <c r="AN127" s="12"/>
    </row>
    <row r="128" spans="1:40" ht="15" customHeight="1" x14ac:dyDescent="0.35">
      <c r="A128">
        <v>690929</v>
      </c>
      <c r="B128" t="s">
        <v>37</v>
      </c>
      <c r="C128" t="s">
        <v>38</v>
      </c>
      <c r="D128" s="2" t="s">
        <v>39</v>
      </c>
      <c r="E128" s="9" t="s">
        <v>37</v>
      </c>
      <c r="F128" s="10"/>
      <c r="G128" t="s">
        <v>474</v>
      </c>
      <c r="H128" t="s">
        <v>41</v>
      </c>
      <c r="I128" t="s">
        <v>42</v>
      </c>
      <c r="J128" t="s">
        <v>475</v>
      </c>
      <c r="K128" t="s">
        <v>44</v>
      </c>
      <c r="L128">
        <v>2</v>
      </c>
      <c r="M128" t="s">
        <v>45</v>
      </c>
      <c r="N128" t="s">
        <v>46</v>
      </c>
      <c r="O128" t="s">
        <v>47</v>
      </c>
      <c r="P128" s="5">
        <v>1</v>
      </c>
      <c r="Q128" s="11">
        <v>44837.705370370371</v>
      </c>
      <c r="R128" s="12">
        <v>44839</v>
      </c>
      <c r="S128" t="s">
        <v>41</v>
      </c>
      <c r="T128" t="s">
        <v>48</v>
      </c>
      <c r="U128" t="s">
        <v>49</v>
      </c>
      <c r="V128" t="s">
        <v>61</v>
      </c>
      <c r="Y128" t="s">
        <v>476</v>
      </c>
      <c r="Z128">
        <v>47301</v>
      </c>
      <c r="AA128" t="s">
        <v>48</v>
      </c>
      <c r="AB128" t="s">
        <v>52</v>
      </c>
      <c r="AC128" t="s">
        <v>53</v>
      </c>
      <c r="AD128" s="13">
        <f>IF(P128&lt;=1,7,7+0.8*ROUNDUP(P128-1,0))</f>
        <v>7</v>
      </c>
      <c r="AE128" s="14">
        <v>0</v>
      </c>
      <c r="AF128" s="14">
        <v>0</v>
      </c>
      <c r="AG128" s="14">
        <v>0</v>
      </c>
      <c r="AH128" s="14">
        <v>0</v>
      </c>
      <c r="AI128" s="14">
        <f t="shared" si="2"/>
        <v>0.42</v>
      </c>
      <c r="AJ128" s="14">
        <f t="shared" si="3"/>
        <v>7.42</v>
      </c>
      <c r="AK128" t="s">
        <v>48</v>
      </c>
      <c r="AN128" s="12"/>
    </row>
    <row r="129" spans="1:40" ht="15" customHeight="1" x14ac:dyDescent="0.35">
      <c r="A129">
        <v>690929</v>
      </c>
      <c r="B129" t="s">
        <v>37</v>
      </c>
      <c r="C129" t="s">
        <v>38</v>
      </c>
      <c r="D129" s="2" t="s">
        <v>39</v>
      </c>
      <c r="E129" s="9" t="s">
        <v>37</v>
      </c>
      <c r="F129" s="10"/>
      <c r="G129" t="s">
        <v>477</v>
      </c>
      <c r="H129" t="s">
        <v>41</v>
      </c>
      <c r="I129" t="s">
        <v>42</v>
      </c>
      <c r="J129" t="s">
        <v>478</v>
      </c>
      <c r="K129" t="s">
        <v>44</v>
      </c>
      <c r="L129">
        <v>2</v>
      </c>
      <c r="M129" t="s">
        <v>45</v>
      </c>
      <c r="N129" t="s">
        <v>46</v>
      </c>
      <c r="O129" t="s">
        <v>47</v>
      </c>
      <c r="P129" s="5">
        <v>1</v>
      </c>
      <c r="Q129" s="11">
        <v>44838.613449074073</v>
      </c>
      <c r="R129" s="12">
        <v>44839</v>
      </c>
      <c r="S129" t="s">
        <v>41</v>
      </c>
      <c r="T129" t="s">
        <v>48</v>
      </c>
      <c r="U129" t="s">
        <v>49</v>
      </c>
      <c r="V129" t="s">
        <v>231</v>
      </c>
      <c r="Y129" t="s">
        <v>479</v>
      </c>
      <c r="Z129">
        <v>33300</v>
      </c>
      <c r="AA129" t="s">
        <v>48</v>
      </c>
      <c r="AB129" t="s">
        <v>49</v>
      </c>
      <c r="AC129" t="s">
        <v>53</v>
      </c>
      <c r="AD129" s="13">
        <f>IF(P129&lt;=1,7,7+0.8*ROUNDUP(P129-1,0))</f>
        <v>7</v>
      </c>
      <c r="AE129" s="14">
        <v>0</v>
      </c>
      <c r="AF129" s="14">
        <v>0</v>
      </c>
      <c r="AG129" s="14">
        <v>0</v>
      </c>
      <c r="AH129" s="14">
        <v>0</v>
      </c>
      <c r="AI129" s="14">
        <f t="shared" si="2"/>
        <v>0.42</v>
      </c>
      <c r="AJ129" s="14">
        <f t="shared" si="3"/>
        <v>7.42</v>
      </c>
      <c r="AK129" t="s">
        <v>48</v>
      </c>
      <c r="AN129" s="12"/>
    </row>
    <row r="130" spans="1:40" ht="15" customHeight="1" x14ac:dyDescent="0.35">
      <c r="A130">
        <v>690929</v>
      </c>
      <c r="B130" t="s">
        <v>37</v>
      </c>
      <c r="C130" t="s">
        <v>38</v>
      </c>
      <c r="D130" s="2" t="s">
        <v>39</v>
      </c>
      <c r="E130" s="9" t="s">
        <v>37</v>
      </c>
      <c r="F130" s="10"/>
      <c r="G130" t="s">
        <v>480</v>
      </c>
      <c r="H130" t="s">
        <v>41</v>
      </c>
      <c r="I130" t="s">
        <v>42</v>
      </c>
      <c r="J130" t="s">
        <v>481</v>
      </c>
      <c r="K130" t="s">
        <v>44</v>
      </c>
      <c r="L130">
        <v>2</v>
      </c>
      <c r="M130" t="s">
        <v>45</v>
      </c>
      <c r="N130" t="s">
        <v>46</v>
      </c>
      <c r="O130" t="s">
        <v>47</v>
      </c>
      <c r="P130" s="5">
        <v>1</v>
      </c>
      <c r="Q130" s="11">
        <v>44837.549189814818</v>
      </c>
      <c r="R130" s="12">
        <v>44839</v>
      </c>
      <c r="S130" t="s">
        <v>41</v>
      </c>
      <c r="T130" t="s">
        <v>48</v>
      </c>
      <c r="U130" t="s">
        <v>49</v>
      </c>
      <c r="V130" t="s">
        <v>50</v>
      </c>
      <c r="Y130" t="s">
        <v>482</v>
      </c>
      <c r="Z130">
        <v>8000</v>
      </c>
      <c r="AA130" t="s">
        <v>48</v>
      </c>
      <c r="AB130" t="s">
        <v>52</v>
      </c>
      <c r="AC130" t="s">
        <v>53</v>
      </c>
      <c r="AD130" s="13">
        <f>IF(P130&lt;=1,7,7+0.8*ROUNDUP(P130-1,0))</f>
        <v>7</v>
      </c>
      <c r="AE130" s="14">
        <v>0</v>
      </c>
      <c r="AF130" s="14">
        <v>0</v>
      </c>
      <c r="AG130" s="14">
        <v>0</v>
      </c>
      <c r="AH130" s="14">
        <v>0</v>
      </c>
      <c r="AI130" s="14">
        <f t="shared" ref="AI130:AI193" si="4">(AD130+AF130+AH130)*6%</f>
        <v>0.42</v>
      </c>
      <c r="AJ130" s="14">
        <f t="shared" ref="AJ130:AJ193" si="5">AD130+AF130+AH130+AI130</f>
        <v>7.42</v>
      </c>
      <c r="AK130" t="s">
        <v>48</v>
      </c>
      <c r="AN130" s="12"/>
    </row>
    <row r="131" spans="1:40" ht="15" customHeight="1" x14ac:dyDescent="0.35">
      <c r="A131">
        <v>690929</v>
      </c>
      <c r="B131" t="s">
        <v>37</v>
      </c>
      <c r="C131" t="s">
        <v>38</v>
      </c>
      <c r="D131" s="2" t="s">
        <v>39</v>
      </c>
      <c r="E131" s="9" t="s">
        <v>37</v>
      </c>
      <c r="F131" s="10"/>
      <c r="G131" t="s">
        <v>483</v>
      </c>
      <c r="H131" t="s">
        <v>41</v>
      </c>
      <c r="I131" t="s">
        <v>42</v>
      </c>
      <c r="J131" t="s">
        <v>181</v>
      </c>
      <c r="K131" t="s">
        <v>44</v>
      </c>
      <c r="L131">
        <v>2</v>
      </c>
      <c r="M131" t="s">
        <v>45</v>
      </c>
      <c r="N131" t="s">
        <v>46</v>
      </c>
      <c r="O131" t="s">
        <v>47</v>
      </c>
      <c r="P131" s="5">
        <v>1</v>
      </c>
      <c r="Q131" s="11">
        <v>44838.379537037035</v>
      </c>
      <c r="R131" s="12">
        <v>44839</v>
      </c>
      <c r="S131" t="s">
        <v>41</v>
      </c>
      <c r="T131" t="s">
        <v>48</v>
      </c>
      <c r="U131" t="s">
        <v>49</v>
      </c>
      <c r="V131" t="s">
        <v>133</v>
      </c>
      <c r="Y131" t="s">
        <v>484</v>
      </c>
      <c r="Z131">
        <v>28000</v>
      </c>
      <c r="AA131" t="s">
        <v>48</v>
      </c>
      <c r="AB131" t="s">
        <v>49</v>
      </c>
      <c r="AC131" t="s">
        <v>53</v>
      </c>
      <c r="AD131" s="13">
        <f>IF(P131&lt;=1,7,7+0.8*ROUNDUP(P131-1,0))</f>
        <v>7</v>
      </c>
      <c r="AE131" s="14">
        <v>0</v>
      </c>
      <c r="AF131" s="14">
        <v>0</v>
      </c>
      <c r="AG131" s="14">
        <v>0</v>
      </c>
      <c r="AH131" s="14">
        <v>0</v>
      </c>
      <c r="AI131" s="14">
        <f t="shared" si="4"/>
        <v>0.42</v>
      </c>
      <c r="AJ131" s="14">
        <f t="shared" si="5"/>
        <v>7.42</v>
      </c>
      <c r="AK131" t="s">
        <v>48</v>
      </c>
      <c r="AN131" s="12"/>
    </row>
    <row r="132" spans="1:40" ht="15" customHeight="1" x14ac:dyDescent="0.35">
      <c r="A132">
        <v>690929</v>
      </c>
      <c r="B132" t="s">
        <v>37</v>
      </c>
      <c r="C132" t="s">
        <v>38</v>
      </c>
      <c r="D132" s="2" t="s">
        <v>39</v>
      </c>
      <c r="E132" s="9" t="s">
        <v>37</v>
      </c>
      <c r="F132" s="10"/>
      <c r="G132" t="s">
        <v>485</v>
      </c>
      <c r="H132" t="s">
        <v>41</v>
      </c>
      <c r="I132" t="s">
        <v>42</v>
      </c>
      <c r="J132" t="s">
        <v>486</v>
      </c>
      <c r="K132" t="s">
        <v>44</v>
      </c>
      <c r="L132">
        <v>2</v>
      </c>
      <c r="M132" t="s">
        <v>45</v>
      </c>
      <c r="N132" t="s">
        <v>46</v>
      </c>
      <c r="O132" t="s">
        <v>47</v>
      </c>
      <c r="P132" s="5">
        <v>1</v>
      </c>
      <c r="Q132" s="11">
        <v>44833.659432870372</v>
      </c>
      <c r="R132" s="12">
        <v>44839</v>
      </c>
      <c r="S132" t="s">
        <v>41</v>
      </c>
      <c r="T132" t="s">
        <v>48</v>
      </c>
      <c r="U132" t="s">
        <v>52</v>
      </c>
      <c r="V132" t="s">
        <v>231</v>
      </c>
      <c r="Y132" t="s">
        <v>487</v>
      </c>
      <c r="Z132">
        <v>32610</v>
      </c>
      <c r="AA132" t="s">
        <v>48</v>
      </c>
      <c r="AB132" t="s">
        <v>52</v>
      </c>
      <c r="AC132" t="s">
        <v>53</v>
      </c>
      <c r="AD132" s="13">
        <f>IF(P132&lt;=1,7,7+0.8*ROUNDUP(P132-1,0))</f>
        <v>7</v>
      </c>
      <c r="AE132" s="14">
        <v>0</v>
      </c>
      <c r="AF132" s="14">
        <v>0</v>
      </c>
      <c r="AG132" s="14">
        <v>0</v>
      </c>
      <c r="AH132" s="14">
        <v>0</v>
      </c>
      <c r="AI132" s="14">
        <f t="shared" si="4"/>
        <v>0.42</v>
      </c>
      <c r="AJ132" s="14">
        <f t="shared" si="5"/>
        <v>7.42</v>
      </c>
      <c r="AK132" t="s">
        <v>48</v>
      </c>
      <c r="AN132" s="12"/>
    </row>
    <row r="133" spans="1:40" ht="15" customHeight="1" x14ac:dyDescent="0.35">
      <c r="A133">
        <v>690929</v>
      </c>
      <c r="B133" t="s">
        <v>37</v>
      </c>
      <c r="C133" t="s">
        <v>38</v>
      </c>
      <c r="D133" s="2" t="s">
        <v>39</v>
      </c>
      <c r="E133" s="9" t="s">
        <v>37</v>
      </c>
      <c r="F133" s="10"/>
      <c r="G133" t="s">
        <v>488</v>
      </c>
      <c r="H133" t="s">
        <v>41</v>
      </c>
      <c r="I133" t="s">
        <v>42</v>
      </c>
      <c r="J133" t="s">
        <v>489</v>
      </c>
      <c r="K133" t="s">
        <v>44</v>
      </c>
      <c r="L133">
        <v>2</v>
      </c>
      <c r="M133" t="s">
        <v>45</v>
      </c>
      <c r="N133" t="s">
        <v>46</v>
      </c>
      <c r="O133" t="s">
        <v>47</v>
      </c>
      <c r="P133" s="5">
        <v>1</v>
      </c>
      <c r="Q133" s="11">
        <v>44837.735243055555</v>
      </c>
      <c r="R133" s="12">
        <v>44839</v>
      </c>
      <c r="S133" t="s">
        <v>41</v>
      </c>
      <c r="T133" t="s">
        <v>48</v>
      </c>
      <c r="U133" t="s">
        <v>49</v>
      </c>
      <c r="V133" t="s">
        <v>193</v>
      </c>
      <c r="Y133" t="s">
        <v>490</v>
      </c>
      <c r="Z133">
        <v>51100</v>
      </c>
      <c r="AA133" t="s">
        <v>48</v>
      </c>
      <c r="AB133" t="s">
        <v>52</v>
      </c>
      <c r="AC133" t="s">
        <v>53</v>
      </c>
      <c r="AD133" s="13">
        <f>IF(P133&lt;=1,7,7+0.8*ROUNDUP(P133-1,0))</f>
        <v>7</v>
      </c>
      <c r="AE133" s="14">
        <v>0</v>
      </c>
      <c r="AF133" s="14">
        <v>0</v>
      </c>
      <c r="AG133" s="14">
        <v>0</v>
      </c>
      <c r="AH133" s="14">
        <v>0</v>
      </c>
      <c r="AI133" s="14">
        <f t="shared" si="4"/>
        <v>0.42</v>
      </c>
      <c r="AJ133" s="14">
        <f t="shared" si="5"/>
        <v>7.42</v>
      </c>
      <c r="AK133" t="s">
        <v>48</v>
      </c>
      <c r="AN133" s="12"/>
    </row>
    <row r="134" spans="1:40" ht="15" customHeight="1" x14ac:dyDescent="0.35">
      <c r="A134">
        <v>690929</v>
      </c>
      <c r="B134" t="s">
        <v>37</v>
      </c>
      <c r="C134" t="s">
        <v>38</v>
      </c>
      <c r="D134" s="2" t="s">
        <v>39</v>
      </c>
      <c r="E134" s="9" t="s">
        <v>37</v>
      </c>
      <c r="F134" s="10"/>
      <c r="G134" t="s">
        <v>491</v>
      </c>
      <c r="H134" t="s">
        <v>41</v>
      </c>
      <c r="I134" t="s">
        <v>42</v>
      </c>
      <c r="J134" t="s">
        <v>492</v>
      </c>
      <c r="K134" t="s">
        <v>44</v>
      </c>
      <c r="L134">
        <v>2</v>
      </c>
      <c r="M134" t="s">
        <v>45</v>
      </c>
      <c r="N134" t="s">
        <v>46</v>
      </c>
      <c r="O134" t="s">
        <v>47</v>
      </c>
      <c r="P134" s="5">
        <v>1</v>
      </c>
      <c r="Q134" s="11">
        <v>44836.658784722225</v>
      </c>
      <c r="R134" s="12">
        <v>44839</v>
      </c>
      <c r="S134" t="s">
        <v>41</v>
      </c>
      <c r="T134" t="s">
        <v>48</v>
      </c>
      <c r="U134" t="s">
        <v>49</v>
      </c>
      <c r="V134" t="s">
        <v>50</v>
      </c>
      <c r="Y134" t="s">
        <v>493</v>
      </c>
      <c r="Z134">
        <v>9600</v>
      </c>
      <c r="AA134" t="s">
        <v>48</v>
      </c>
      <c r="AB134" t="s">
        <v>494</v>
      </c>
      <c r="AC134" t="s">
        <v>53</v>
      </c>
      <c r="AD134" s="13">
        <f>IF(P134&lt;=1,7,7+0.8*ROUNDUP(P134-1,0))</f>
        <v>7</v>
      </c>
      <c r="AE134" s="14">
        <v>0</v>
      </c>
      <c r="AF134" s="14">
        <v>0</v>
      </c>
      <c r="AG134" s="14">
        <v>0</v>
      </c>
      <c r="AH134" s="14">
        <v>0</v>
      </c>
      <c r="AI134" s="14">
        <f t="shared" si="4"/>
        <v>0.42</v>
      </c>
      <c r="AJ134" s="14">
        <f t="shared" si="5"/>
        <v>7.42</v>
      </c>
      <c r="AK134" t="s">
        <v>48</v>
      </c>
      <c r="AN134" s="12"/>
    </row>
    <row r="135" spans="1:40" ht="15" customHeight="1" x14ac:dyDescent="0.35">
      <c r="A135">
        <v>690929</v>
      </c>
      <c r="B135" t="s">
        <v>37</v>
      </c>
      <c r="C135" t="s">
        <v>38</v>
      </c>
      <c r="D135" s="2" t="s">
        <v>39</v>
      </c>
      <c r="E135" s="9" t="s">
        <v>37</v>
      </c>
      <c r="F135" s="10"/>
      <c r="G135" t="s">
        <v>495</v>
      </c>
      <c r="H135" t="s">
        <v>41</v>
      </c>
      <c r="I135" t="s">
        <v>42</v>
      </c>
      <c r="J135" t="s">
        <v>496</v>
      </c>
      <c r="K135" t="s">
        <v>44</v>
      </c>
      <c r="L135">
        <v>2</v>
      </c>
      <c r="M135" t="s">
        <v>45</v>
      </c>
      <c r="N135" t="s">
        <v>46</v>
      </c>
      <c r="O135" t="s">
        <v>47</v>
      </c>
      <c r="P135" s="5">
        <v>1</v>
      </c>
      <c r="Q135" s="11">
        <v>44838.380925925929</v>
      </c>
      <c r="R135" s="12">
        <v>44839</v>
      </c>
      <c r="S135" t="s">
        <v>41</v>
      </c>
      <c r="T135" t="s">
        <v>48</v>
      </c>
      <c r="U135" t="s">
        <v>49</v>
      </c>
      <c r="V135" t="s">
        <v>61</v>
      </c>
      <c r="Y135" t="s">
        <v>497</v>
      </c>
      <c r="Z135">
        <v>42700</v>
      </c>
      <c r="AA135" t="s">
        <v>48</v>
      </c>
      <c r="AB135" t="s">
        <v>52</v>
      </c>
      <c r="AC135" t="s">
        <v>53</v>
      </c>
      <c r="AD135" s="13">
        <f>IF(P135&lt;=1,7,7+0.8*ROUNDUP(P135-1,0))</f>
        <v>7</v>
      </c>
      <c r="AE135" s="14">
        <v>0</v>
      </c>
      <c r="AF135" s="14">
        <v>0</v>
      </c>
      <c r="AG135" s="14">
        <v>0</v>
      </c>
      <c r="AH135" s="14">
        <v>0</v>
      </c>
      <c r="AI135" s="14">
        <f t="shared" si="4"/>
        <v>0.42</v>
      </c>
      <c r="AJ135" s="14">
        <f t="shared" si="5"/>
        <v>7.42</v>
      </c>
      <c r="AK135" t="s">
        <v>48</v>
      </c>
      <c r="AN135" s="12"/>
    </row>
    <row r="136" spans="1:40" ht="15" customHeight="1" x14ac:dyDescent="0.35">
      <c r="A136">
        <v>690929</v>
      </c>
      <c r="B136" t="s">
        <v>37</v>
      </c>
      <c r="C136" t="s">
        <v>38</v>
      </c>
      <c r="D136" s="2" t="s">
        <v>39</v>
      </c>
      <c r="E136" s="9" t="s">
        <v>37</v>
      </c>
      <c r="F136" s="10"/>
      <c r="G136" t="s">
        <v>498</v>
      </c>
      <c r="H136" t="s">
        <v>41</v>
      </c>
      <c r="I136" t="s">
        <v>42</v>
      </c>
      <c r="J136" t="s">
        <v>499</v>
      </c>
      <c r="K136" t="s">
        <v>44</v>
      </c>
      <c r="L136">
        <v>2</v>
      </c>
      <c r="M136" t="s">
        <v>45</v>
      </c>
      <c r="N136" t="s">
        <v>46</v>
      </c>
      <c r="O136" t="s">
        <v>47</v>
      </c>
      <c r="P136" s="5">
        <v>1</v>
      </c>
      <c r="Q136" s="11">
        <v>44838.566134259258</v>
      </c>
      <c r="R136" s="12">
        <v>44839</v>
      </c>
      <c r="S136" t="s">
        <v>41</v>
      </c>
      <c r="T136" t="s">
        <v>48</v>
      </c>
      <c r="U136" t="s">
        <v>49</v>
      </c>
      <c r="V136" t="s">
        <v>61</v>
      </c>
      <c r="Y136" t="s">
        <v>500</v>
      </c>
      <c r="Z136">
        <v>62200</v>
      </c>
      <c r="AA136" t="s">
        <v>48</v>
      </c>
      <c r="AB136" t="s">
        <v>52</v>
      </c>
      <c r="AC136" t="s">
        <v>53</v>
      </c>
      <c r="AD136" s="13">
        <f>IF(P136&lt;=1,7,7+0.8*ROUNDUP(P136-1,0))</f>
        <v>7</v>
      </c>
      <c r="AE136" s="14">
        <v>0</v>
      </c>
      <c r="AF136" s="14">
        <v>0</v>
      </c>
      <c r="AG136" s="14">
        <v>0</v>
      </c>
      <c r="AH136" s="14">
        <v>0</v>
      </c>
      <c r="AI136" s="14">
        <f t="shared" si="4"/>
        <v>0.42</v>
      </c>
      <c r="AJ136" s="14">
        <f t="shared" si="5"/>
        <v>7.42</v>
      </c>
      <c r="AK136" t="s">
        <v>48</v>
      </c>
      <c r="AN136" s="12"/>
    </row>
    <row r="137" spans="1:40" ht="15" customHeight="1" x14ac:dyDescent="0.35">
      <c r="A137">
        <v>690929</v>
      </c>
      <c r="B137" t="s">
        <v>37</v>
      </c>
      <c r="C137" t="s">
        <v>38</v>
      </c>
      <c r="D137" s="2" t="s">
        <v>39</v>
      </c>
      <c r="E137" s="9" t="s">
        <v>37</v>
      </c>
      <c r="F137" s="10"/>
      <c r="G137" t="s">
        <v>501</v>
      </c>
      <c r="H137" t="s">
        <v>41</v>
      </c>
      <c r="I137" t="s">
        <v>42</v>
      </c>
      <c r="J137" t="s">
        <v>502</v>
      </c>
      <c r="K137" t="s">
        <v>44</v>
      </c>
      <c r="L137">
        <v>2</v>
      </c>
      <c r="M137" t="s">
        <v>45</v>
      </c>
      <c r="N137" t="s">
        <v>46</v>
      </c>
      <c r="O137" t="s">
        <v>47</v>
      </c>
      <c r="P137" s="5">
        <v>1</v>
      </c>
      <c r="Q137" s="11">
        <v>44838.630428240744</v>
      </c>
      <c r="R137" s="12">
        <v>44839</v>
      </c>
      <c r="S137" t="s">
        <v>41</v>
      </c>
      <c r="T137" t="s">
        <v>48</v>
      </c>
      <c r="U137" t="s">
        <v>49</v>
      </c>
      <c r="V137" t="s">
        <v>133</v>
      </c>
      <c r="Y137" t="s">
        <v>503</v>
      </c>
      <c r="Z137">
        <v>26700</v>
      </c>
      <c r="AA137" t="s">
        <v>48</v>
      </c>
      <c r="AB137" t="s">
        <v>49</v>
      </c>
      <c r="AC137" t="s">
        <v>53</v>
      </c>
      <c r="AD137" s="13">
        <f>IF(P137&lt;=1,7,7+0.8*ROUNDUP(P137-1,0))</f>
        <v>7</v>
      </c>
      <c r="AE137" s="14">
        <v>0</v>
      </c>
      <c r="AF137" s="14">
        <v>0</v>
      </c>
      <c r="AG137" s="14">
        <v>0</v>
      </c>
      <c r="AH137" s="14">
        <v>0</v>
      </c>
      <c r="AI137" s="14">
        <f t="shared" si="4"/>
        <v>0.42</v>
      </c>
      <c r="AJ137" s="14">
        <f t="shared" si="5"/>
        <v>7.42</v>
      </c>
      <c r="AK137" t="s">
        <v>48</v>
      </c>
      <c r="AN137" s="12"/>
    </row>
    <row r="138" spans="1:40" ht="15" customHeight="1" x14ac:dyDescent="0.35">
      <c r="A138">
        <v>690929</v>
      </c>
      <c r="B138" t="s">
        <v>37</v>
      </c>
      <c r="C138" t="s">
        <v>38</v>
      </c>
      <c r="D138" s="2" t="s">
        <v>39</v>
      </c>
      <c r="E138" s="9" t="s">
        <v>37</v>
      </c>
      <c r="F138" s="10"/>
      <c r="G138" t="s">
        <v>504</v>
      </c>
      <c r="H138" t="s">
        <v>41</v>
      </c>
      <c r="I138" t="s">
        <v>42</v>
      </c>
      <c r="J138" t="s">
        <v>505</v>
      </c>
      <c r="K138" t="s">
        <v>44</v>
      </c>
      <c r="L138">
        <v>2</v>
      </c>
      <c r="M138" t="s">
        <v>45</v>
      </c>
      <c r="N138" t="s">
        <v>46</v>
      </c>
      <c r="O138" t="s">
        <v>47</v>
      </c>
      <c r="P138" s="5">
        <v>1</v>
      </c>
      <c r="Q138" s="11">
        <v>44838.567395833335</v>
      </c>
      <c r="R138" s="12">
        <v>44839</v>
      </c>
      <c r="S138" t="s">
        <v>41</v>
      </c>
      <c r="T138" t="s">
        <v>48</v>
      </c>
      <c r="U138" t="s">
        <v>49</v>
      </c>
      <c r="V138" t="s">
        <v>61</v>
      </c>
      <c r="Y138" t="s">
        <v>506</v>
      </c>
      <c r="Z138">
        <v>46150</v>
      </c>
      <c r="AA138" t="s">
        <v>48</v>
      </c>
      <c r="AB138" t="s">
        <v>52</v>
      </c>
      <c r="AC138" t="s">
        <v>53</v>
      </c>
      <c r="AD138" s="13">
        <f>IF(P138&lt;=1,7,7+0.8*ROUNDUP(P138-1,0))</f>
        <v>7</v>
      </c>
      <c r="AE138" s="14">
        <v>0</v>
      </c>
      <c r="AF138" s="14">
        <v>0</v>
      </c>
      <c r="AG138" s="14">
        <v>0</v>
      </c>
      <c r="AH138" s="14">
        <v>0</v>
      </c>
      <c r="AI138" s="14">
        <f t="shared" si="4"/>
        <v>0.42</v>
      </c>
      <c r="AJ138" s="14">
        <f t="shared" si="5"/>
        <v>7.42</v>
      </c>
      <c r="AK138" t="s">
        <v>48</v>
      </c>
      <c r="AN138" s="12"/>
    </row>
    <row r="139" spans="1:40" ht="15" customHeight="1" x14ac:dyDescent="0.35">
      <c r="A139">
        <v>690929</v>
      </c>
      <c r="B139" t="s">
        <v>37</v>
      </c>
      <c r="C139" t="s">
        <v>38</v>
      </c>
      <c r="D139" s="2" t="s">
        <v>39</v>
      </c>
      <c r="E139" s="9" t="s">
        <v>37</v>
      </c>
      <c r="F139" s="10"/>
      <c r="G139" t="s">
        <v>507</v>
      </c>
      <c r="H139" t="s">
        <v>41</v>
      </c>
      <c r="I139" t="s">
        <v>42</v>
      </c>
      <c r="J139" t="s">
        <v>508</v>
      </c>
      <c r="K139" t="s">
        <v>44</v>
      </c>
      <c r="L139">
        <v>2</v>
      </c>
      <c r="M139" t="s">
        <v>45</v>
      </c>
      <c r="N139" t="s">
        <v>46</v>
      </c>
      <c r="O139" t="s">
        <v>47</v>
      </c>
      <c r="P139" s="5">
        <v>2</v>
      </c>
      <c r="Q139" s="11">
        <v>44837.455682870372</v>
      </c>
      <c r="R139" s="12">
        <v>44839</v>
      </c>
      <c r="S139" t="s">
        <v>41</v>
      </c>
      <c r="T139" t="s">
        <v>48</v>
      </c>
      <c r="U139" t="s">
        <v>49</v>
      </c>
      <c r="V139" t="s">
        <v>72</v>
      </c>
      <c r="Y139" t="s">
        <v>509</v>
      </c>
      <c r="Z139">
        <v>11010</v>
      </c>
      <c r="AA139" t="s">
        <v>48</v>
      </c>
      <c r="AB139" t="s">
        <v>74</v>
      </c>
      <c r="AC139" t="s">
        <v>53</v>
      </c>
      <c r="AD139" s="13">
        <f>IF(P139&lt;=1,7,7+0.8*ROUNDUP(P139-1,0))</f>
        <v>7.8</v>
      </c>
      <c r="AE139" s="14">
        <v>0</v>
      </c>
      <c r="AF139" s="14">
        <v>0</v>
      </c>
      <c r="AG139" s="14">
        <v>0</v>
      </c>
      <c r="AH139" s="14">
        <v>0</v>
      </c>
      <c r="AI139" s="14">
        <f t="shared" si="4"/>
        <v>0.46799999999999997</v>
      </c>
      <c r="AJ139" s="14">
        <f t="shared" si="5"/>
        <v>8.2680000000000007</v>
      </c>
      <c r="AK139" t="s">
        <v>48</v>
      </c>
      <c r="AN139" s="12"/>
    </row>
    <row r="140" spans="1:40" ht="15" customHeight="1" x14ac:dyDescent="0.35">
      <c r="A140">
        <v>690929</v>
      </c>
      <c r="B140" t="s">
        <v>37</v>
      </c>
      <c r="C140" t="s">
        <v>38</v>
      </c>
      <c r="D140" s="2" t="s">
        <v>39</v>
      </c>
      <c r="E140" s="9" t="s">
        <v>37</v>
      </c>
      <c r="F140" s="10"/>
      <c r="G140" t="s">
        <v>510</v>
      </c>
      <c r="H140" t="s">
        <v>41</v>
      </c>
      <c r="I140" t="s">
        <v>42</v>
      </c>
      <c r="J140" t="s">
        <v>508</v>
      </c>
      <c r="K140" t="s">
        <v>44</v>
      </c>
      <c r="L140">
        <v>2</v>
      </c>
      <c r="M140" t="s">
        <v>45</v>
      </c>
      <c r="N140" t="s">
        <v>46</v>
      </c>
      <c r="O140" t="s">
        <v>47</v>
      </c>
      <c r="P140" s="5">
        <v>6</v>
      </c>
      <c r="Q140" s="11">
        <v>44837.453252314815</v>
      </c>
      <c r="R140" s="12">
        <v>44839</v>
      </c>
      <c r="S140" t="s">
        <v>41</v>
      </c>
      <c r="T140" t="s">
        <v>48</v>
      </c>
      <c r="U140" t="s">
        <v>49</v>
      </c>
      <c r="V140" t="s">
        <v>72</v>
      </c>
      <c r="Y140" t="s">
        <v>509</v>
      </c>
      <c r="Z140">
        <v>11010</v>
      </c>
      <c r="AA140" t="s">
        <v>48</v>
      </c>
      <c r="AB140" t="s">
        <v>74</v>
      </c>
      <c r="AC140" t="s">
        <v>53</v>
      </c>
      <c r="AD140" s="13">
        <f>IF(P140&lt;=1,7,7+0.8*ROUNDUP(P140-1,0))</f>
        <v>11</v>
      </c>
      <c r="AE140" s="14">
        <v>0</v>
      </c>
      <c r="AF140" s="14">
        <v>0</v>
      </c>
      <c r="AG140" s="14">
        <v>0</v>
      </c>
      <c r="AH140" s="14">
        <v>0</v>
      </c>
      <c r="AI140" s="14">
        <f t="shared" si="4"/>
        <v>0.65999999999999992</v>
      </c>
      <c r="AJ140" s="14">
        <f t="shared" si="5"/>
        <v>11.66</v>
      </c>
      <c r="AK140" t="s">
        <v>48</v>
      </c>
      <c r="AN140" s="12"/>
    </row>
    <row r="141" spans="1:40" ht="15" customHeight="1" x14ac:dyDescent="0.35">
      <c r="A141">
        <v>690929</v>
      </c>
      <c r="B141" t="s">
        <v>37</v>
      </c>
      <c r="C141" t="s">
        <v>38</v>
      </c>
      <c r="D141" s="2" t="s">
        <v>39</v>
      </c>
      <c r="E141" s="9" t="s">
        <v>37</v>
      </c>
      <c r="F141" s="10"/>
      <c r="G141" t="s">
        <v>511</v>
      </c>
      <c r="H141" t="s">
        <v>41</v>
      </c>
      <c r="I141" t="s">
        <v>42</v>
      </c>
      <c r="J141" t="s">
        <v>512</v>
      </c>
      <c r="K141" t="s">
        <v>44</v>
      </c>
      <c r="L141">
        <v>2</v>
      </c>
      <c r="M141" t="s">
        <v>45</v>
      </c>
      <c r="N141" t="s">
        <v>46</v>
      </c>
      <c r="O141" t="s">
        <v>47</v>
      </c>
      <c r="P141" s="5">
        <v>18</v>
      </c>
      <c r="Q141" s="11">
        <v>44836.601018518515</v>
      </c>
      <c r="R141" s="12">
        <v>44840</v>
      </c>
      <c r="S141" t="s">
        <v>41</v>
      </c>
      <c r="T141" t="s">
        <v>48</v>
      </c>
      <c r="U141" t="s">
        <v>49</v>
      </c>
      <c r="V141" t="s">
        <v>188</v>
      </c>
      <c r="Y141" t="s">
        <v>513</v>
      </c>
      <c r="Z141">
        <v>95400</v>
      </c>
      <c r="AA141" t="s">
        <v>94</v>
      </c>
      <c r="AB141" t="s">
        <v>514</v>
      </c>
      <c r="AC141" t="s">
        <v>53</v>
      </c>
      <c r="AD141" s="15">
        <f>IF(P141&lt;=1,13,IF(P141&lt;=2,23,IF(P141&lt;=3,35,IF(P141&lt;=4,43,IF(P141&lt;=5,53,IF(P141&lt;=6,63,IF(P141&lt;=7,71,IF(P141&lt;=8,79,IF(P141&lt;=9,87,IF(P141&lt;=10,95,IF(P141&lt;=11,105,IF(P141&lt;=12,114,IF(P141&lt;=13,119,IF(P141&lt;=14,127,IF(P141&lt;=15,135,IF(P141&lt;=16,143,IF(P141&lt;=17,153,IF(P141&lt;=18,163,IF(P141&lt;=19,171,IF(P141&lt;=20,185,IF(P141&lt;=21,193,IF(P141&lt;=22,201,IF(P141&lt;=23,210,IF(P141&lt;=24,220,IF(P141&lt;=25,230,IF(P141&lt;=26,240,IF(P141&lt;=27,250,IF(P141&lt;=28,260,IF(P141&lt;=29,270,IF(P141&lt;=30,280,280))))))))))))))))))))))))))))))</f>
        <v>163</v>
      </c>
      <c r="AE141" s="14">
        <v>0</v>
      </c>
      <c r="AF141" s="14">
        <v>0</v>
      </c>
      <c r="AG141" s="14">
        <v>0</v>
      </c>
      <c r="AH141" s="14">
        <v>0</v>
      </c>
      <c r="AI141" s="14">
        <f t="shared" si="4"/>
        <v>9.7799999999999994</v>
      </c>
      <c r="AJ141" s="14">
        <f t="shared" si="5"/>
        <v>172.78</v>
      </c>
      <c r="AK141" t="s">
        <v>94</v>
      </c>
      <c r="AN141" s="12"/>
    </row>
    <row r="142" spans="1:40" ht="15" customHeight="1" x14ac:dyDescent="0.35">
      <c r="A142">
        <v>690929</v>
      </c>
      <c r="B142" t="s">
        <v>37</v>
      </c>
      <c r="C142" t="s">
        <v>38</v>
      </c>
      <c r="D142" s="2" t="s">
        <v>39</v>
      </c>
      <c r="E142" s="9" t="s">
        <v>37</v>
      </c>
      <c r="F142" s="10"/>
      <c r="G142" t="s">
        <v>515</v>
      </c>
      <c r="H142" t="s">
        <v>41</v>
      </c>
      <c r="I142" t="s">
        <v>42</v>
      </c>
      <c r="J142" t="s">
        <v>516</v>
      </c>
      <c r="K142" t="s">
        <v>44</v>
      </c>
      <c r="L142">
        <v>2</v>
      </c>
      <c r="M142" t="s">
        <v>45</v>
      </c>
      <c r="N142" t="s">
        <v>46</v>
      </c>
      <c r="O142" t="s">
        <v>47</v>
      </c>
      <c r="P142" s="5">
        <v>1</v>
      </c>
      <c r="Q142" s="11">
        <v>44839.612638888888</v>
      </c>
      <c r="R142" s="12">
        <v>44840</v>
      </c>
      <c r="S142" t="s">
        <v>41</v>
      </c>
      <c r="T142" t="s">
        <v>48</v>
      </c>
      <c r="U142" t="s">
        <v>49</v>
      </c>
      <c r="V142" t="s">
        <v>61</v>
      </c>
      <c r="Y142" t="s">
        <v>517</v>
      </c>
      <c r="Z142">
        <v>43000</v>
      </c>
      <c r="AA142" t="s">
        <v>48</v>
      </c>
      <c r="AB142" t="s">
        <v>246</v>
      </c>
      <c r="AC142" t="s">
        <v>53</v>
      </c>
      <c r="AD142" s="13">
        <f>IF(P142&lt;=1,7,7+0.8*ROUNDUP(P142-1,0))</f>
        <v>7</v>
      </c>
      <c r="AE142" s="14">
        <v>0</v>
      </c>
      <c r="AF142" s="14">
        <v>0</v>
      </c>
      <c r="AG142" s="14">
        <v>0</v>
      </c>
      <c r="AH142" s="14">
        <v>0</v>
      </c>
      <c r="AI142" s="14">
        <f t="shared" si="4"/>
        <v>0.42</v>
      </c>
      <c r="AJ142" s="14">
        <f t="shared" si="5"/>
        <v>7.42</v>
      </c>
      <c r="AK142" t="s">
        <v>48</v>
      </c>
      <c r="AN142" s="12"/>
    </row>
    <row r="143" spans="1:40" ht="15" customHeight="1" x14ac:dyDescent="0.35">
      <c r="A143">
        <v>690929</v>
      </c>
      <c r="B143" t="s">
        <v>37</v>
      </c>
      <c r="C143" t="s">
        <v>38</v>
      </c>
      <c r="D143" s="2" t="s">
        <v>39</v>
      </c>
      <c r="E143" s="9" t="s">
        <v>37</v>
      </c>
      <c r="F143" s="10"/>
      <c r="G143" t="s">
        <v>518</v>
      </c>
      <c r="H143" t="s">
        <v>41</v>
      </c>
      <c r="I143" t="s">
        <v>42</v>
      </c>
      <c r="J143" t="s">
        <v>519</v>
      </c>
      <c r="K143" t="s">
        <v>44</v>
      </c>
      <c r="L143">
        <v>2</v>
      </c>
      <c r="M143" t="s">
        <v>45</v>
      </c>
      <c r="N143" t="s">
        <v>46</v>
      </c>
      <c r="O143" t="s">
        <v>47</v>
      </c>
      <c r="P143" s="5">
        <v>2</v>
      </c>
      <c r="Q143" s="11">
        <v>44839.618171296293</v>
      </c>
      <c r="R143" s="12">
        <v>44840</v>
      </c>
      <c r="S143" t="s">
        <v>41</v>
      </c>
      <c r="T143" t="s">
        <v>48</v>
      </c>
      <c r="U143" t="s">
        <v>49</v>
      </c>
      <c r="V143" t="s">
        <v>231</v>
      </c>
      <c r="Y143" t="s">
        <v>520</v>
      </c>
      <c r="Z143">
        <v>32040</v>
      </c>
      <c r="AA143" t="s">
        <v>48</v>
      </c>
      <c r="AB143" t="s">
        <v>521</v>
      </c>
      <c r="AC143" t="s">
        <v>53</v>
      </c>
      <c r="AD143" s="13">
        <f>IF(P143&lt;=1,7,7+0.8*ROUNDUP(P143-1,0))</f>
        <v>7.8</v>
      </c>
      <c r="AE143" s="14">
        <v>0</v>
      </c>
      <c r="AF143" s="14">
        <v>0</v>
      </c>
      <c r="AG143" s="14">
        <v>0</v>
      </c>
      <c r="AH143" s="14">
        <v>0</v>
      </c>
      <c r="AI143" s="14">
        <f t="shared" si="4"/>
        <v>0.46799999999999997</v>
      </c>
      <c r="AJ143" s="14">
        <f t="shared" si="5"/>
        <v>8.2680000000000007</v>
      </c>
      <c r="AK143" t="s">
        <v>48</v>
      </c>
      <c r="AN143" s="12"/>
    </row>
    <row r="144" spans="1:40" ht="15" customHeight="1" x14ac:dyDescent="0.35">
      <c r="A144">
        <v>690929</v>
      </c>
      <c r="B144" t="s">
        <v>37</v>
      </c>
      <c r="C144" t="s">
        <v>38</v>
      </c>
      <c r="D144" s="2" t="s">
        <v>39</v>
      </c>
      <c r="E144" s="9" t="s">
        <v>37</v>
      </c>
      <c r="F144" s="10"/>
      <c r="G144" t="s">
        <v>522</v>
      </c>
      <c r="H144" t="s">
        <v>41</v>
      </c>
      <c r="I144" t="s">
        <v>42</v>
      </c>
      <c r="J144" t="s">
        <v>523</v>
      </c>
      <c r="K144" t="s">
        <v>44</v>
      </c>
      <c r="L144">
        <v>2</v>
      </c>
      <c r="M144" t="s">
        <v>45</v>
      </c>
      <c r="N144" t="s">
        <v>46</v>
      </c>
      <c r="O144" t="s">
        <v>47</v>
      </c>
      <c r="P144" s="5">
        <v>2</v>
      </c>
      <c r="Q144" s="11">
        <v>44835.710324074076</v>
      </c>
      <c r="R144" s="12">
        <v>44840</v>
      </c>
      <c r="S144" t="s">
        <v>41</v>
      </c>
      <c r="T144" t="s">
        <v>48</v>
      </c>
      <c r="U144" t="s">
        <v>49</v>
      </c>
      <c r="V144" t="s">
        <v>524</v>
      </c>
      <c r="Y144" t="s">
        <v>525</v>
      </c>
      <c r="Z144">
        <v>80056</v>
      </c>
      <c r="AA144" t="s">
        <v>94</v>
      </c>
      <c r="AB144" t="s">
        <v>526</v>
      </c>
      <c r="AC144" t="s">
        <v>53</v>
      </c>
      <c r="AD144" s="15">
        <f>IF(P144&lt;=1,13,IF(P144&lt;=2,23,IF(P144&lt;=3,35,IF(P144&lt;=4,43,IF(P144&lt;=5,53,IF(P144&lt;=6,63,IF(P144&lt;=7,71,IF(P144&lt;=8,79,IF(P144&lt;=9,87,IF(P144&lt;=10,95,IF(P144&lt;=11,105,IF(P144&lt;=12,114,IF(P144&lt;=13,119,IF(P144&lt;=14,127,IF(P144&lt;=15,135,IF(P144&lt;=16,143,IF(P144&lt;=17,153,IF(P144&lt;=18,163,IF(P144&lt;=19,171,IF(P144&lt;=20,185,IF(P144&lt;=21,193,IF(P144&lt;=22,201,IF(P144&lt;=23,210,IF(P144&lt;=24,220,IF(P144&lt;=25,230,IF(P144&lt;=26,240,IF(P144&lt;=27,250,IF(P144&lt;=28,260,IF(P144&lt;=29,270,IF(P144&lt;=30,280,280))))))))))))))))))))))))))))))</f>
        <v>23</v>
      </c>
      <c r="AE144" s="14">
        <v>0</v>
      </c>
      <c r="AF144" s="14">
        <v>0</v>
      </c>
      <c r="AG144" s="14">
        <v>0</v>
      </c>
      <c r="AH144" s="14">
        <v>0</v>
      </c>
      <c r="AI144" s="14">
        <f t="shared" si="4"/>
        <v>1.38</v>
      </c>
      <c r="AJ144" s="14">
        <f t="shared" si="5"/>
        <v>24.38</v>
      </c>
      <c r="AK144" t="s">
        <v>94</v>
      </c>
      <c r="AN144" s="12"/>
    </row>
    <row r="145" spans="1:40" ht="15" customHeight="1" x14ac:dyDescent="0.35">
      <c r="A145">
        <v>690929</v>
      </c>
      <c r="B145" t="s">
        <v>37</v>
      </c>
      <c r="C145" t="s">
        <v>38</v>
      </c>
      <c r="D145" s="2" t="s">
        <v>39</v>
      </c>
      <c r="E145" s="9" t="s">
        <v>37</v>
      </c>
      <c r="F145" s="10"/>
      <c r="G145" t="s">
        <v>527</v>
      </c>
      <c r="H145" t="s">
        <v>41</v>
      </c>
      <c r="I145" t="s">
        <v>42</v>
      </c>
      <c r="J145" t="s">
        <v>528</v>
      </c>
      <c r="K145" t="s">
        <v>44</v>
      </c>
      <c r="L145">
        <v>2</v>
      </c>
      <c r="M145" t="s">
        <v>45</v>
      </c>
      <c r="N145" t="s">
        <v>46</v>
      </c>
      <c r="O145" t="s">
        <v>47</v>
      </c>
      <c r="P145" s="5">
        <v>2.1</v>
      </c>
      <c r="Q145" s="11">
        <v>44838.536747685182</v>
      </c>
      <c r="R145" s="12">
        <v>44840</v>
      </c>
      <c r="S145" t="s">
        <v>41</v>
      </c>
      <c r="T145" t="s">
        <v>48</v>
      </c>
      <c r="U145" t="s">
        <v>49</v>
      </c>
      <c r="V145" t="s">
        <v>72</v>
      </c>
      <c r="Y145" t="s">
        <v>529</v>
      </c>
      <c r="Z145">
        <v>14400</v>
      </c>
      <c r="AA145" t="s">
        <v>48</v>
      </c>
      <c r="AB145" t="s">
        <v>52</v>
      </c>
      <c r="AC145" t="s">
        <v>53</v>
      </c>
      <c r="AD145" s="13">
        <f>IF(P145&lt;=1,7,7+0.8*ROUNDUP(P145-1,0))</f>
        <v>8.6</v>
      </c>
      <c r="AE145" s="14">
        <v>0</v>
      </c>
      <c r="AF145" s="14">
        <v>0</v>
      </c>
      <c r="AG145" s="14">
        <v>0</v>
      </c>
      <c r="AH145" s="14">
        <v>0</v>
      </c>
      <c r="AI145" s="14">
        <f t="shared" si="4"/>
        <v>0.51600000000000001</v>
      </c>
      <c r="AJ145" s="14">
        <f t="shared" si="5"/>
        <v>9.1159999999999997</v>
      </c>
      <c r="AK145" t="s">
        <v>48</v>
      </c>
      <c r="AN145" s="12"/>
    </row>
    <row r="146" spans="1:40" ht="15" customHeight="1" x14ac:dyDescent="0.35">
      <c r="A146">
        <v>690929</v>
      </c>
      <c r="B146" t="s">
        <v>37</v>
      </c>
      <c r="C146" t="s">
        <v>38</v>
      </c>
      <c r="D146" s="2" t="s">
        <v>39</v>
      </c>
      <c r="E146" s="9" t="s">
        <v>37</v>
      </c>
      <c r="F146" s="10"/>
      <c r="G146" t="s">
        <v>530</v>
      </c>
      <c r="H146" t="s">
        <v>41</v>
      </c>
      <c r="I146" t="s">
        <v>42</v>
      </c>
      <c r="J146" t="s">
        <v>531</v>
      </c>
      <c r="K146" t="s">
        <v>44</v>
      </c>
      <c r="L146">
        <v>2</v>
      </c>
      <c r="M146" t="s">
        <v>45</v>
      </c>
      <c r="N146" t="s">
        <v>46</v>
      </c>
      <c r="O146" t="s">
        <v>47</v>
      </c>
      <c r="P146" s="5">
        <v>1</v>
      </c>
      <c r="Q146" s="11">
        <v>44839.617222222223</v>
      </c>
      <c r="R146" s="12">
        <v>44840</v>
      </c>
      <c r="S146" t="s">
        <v>41</v>
      </c>
      <c r="T146" t="s">
        <v>48</v>
      </c>
      <c r="U146" t="s">
        <v>49</v>
      </c>
      <c r="V146" t="s">
        <v>61</v>
      </c>
      <c r="Y146" t="s">
        <v>532</v>
      </c>
      <c r="Z146">
        <v>47810</v>
      </c>
      <c r="AA146" t="s">
        <v>48</v>
      </c>
      <c r="AB146" t="s">
        <v>533</v>
      </c>
      <c r="AC146" t="s">
        <v>53</v>
      </c>
      <c r="AD146" s="13">
        <f>IF(P146&lt;=1,7,7+0.8*ROUNDUP(P146-1,0))</f>
        <v>7</v>
      </c>
      <c r="AE146" s="14">
        <v>0</v>
      </c>
      <c r="AF146" s="14">
        <v>0</v>
      </c>
      <c r="AG146" s="14">
        <v>0</v>
      </c>
      <c r="AH146" s="14">
        <v>0</v>
      </c>
      <c r="AI146" s="14">
        <f t="shared" si="4"/>
        <v>0.42</v>
      </c>
      <c r="AJ146" s="14">
        <f t="shared" si="5"/>
        <v>7.42</v>
      </c>
      <c r="AK146" t="s">
        <v>48</v>
      </c>
      <c r="AN146" s="12"/>
    </row>
    <row r="147" spans="1:40" ht="15" customHeight="1" x14ac:dyDescent="0.35">
      <c r="A147">
        <v>690929</v>
      </c>
      <c r="B147" t="s">
        <v>37</v>
      </c>
      <c r="C147" t="s">
        <v>38</v>
      </c>
      <c r="D147" s="2" t="s">
        <v>39</v>
      </c>
      <c r="E147" s="9" t="s">
        <v>37</v>
      </c>
      <c r="F147" s="10"/>
      <c r="G147" t="s">
        <v>534</v>
      </c>
      <c r="H147" t="s">
        <v>41</v>
      </c>
      <c r="I147" t="s">
        <v>42</v>
      </c>
      <c r="J147" t="s">
        <v>535</v>
      </c>
      <c r="K147" t="s">
        <v>44</v>
      </c>
      <c r="L147">
        <v>2</v>
      </c>
      <c r="M147" t="s">
        <v>45</v>
      </c>
      <c r="N147" t="s">
        <v>46</v>
      </c>
      <c r="O147" t="s">
        <v>47</v>
      </c>
      <c r="P147" s="5">
        <v>1</v>
      </c>
      <c r="Q147" s="11">
        <v>44838.382002314815</v>
      </c>
      <c r="R147" s="12">
        <v>44840</v>
      </c>
      <c r="S147" t="s">
        <v>41</v>
      </c>
      <c r="T147" t="s">
        <v>48</v>
      </c>
      <c r="U147" t="s">
        <v>49</v>
      </c>
      <c r="V147" t="s">
        <v>72</v>
      </c>
      <c r="Y147" t="s">
        <v>536</v>
      </c>
      <c r="Z147">
        <v>14300</v>
      </c>
      <c r="AA147" t="s">
        <v>48</v>
      </c>
      <c r="AB147" t="s">
        <v>52</v>
      </c>
      <c r="AC147" t="s">
        <v>53</v>
      </c>
      <c r="AD147" s="13">
        <f>IF(P147&lt;=1,7,7+0.8*ROUNDUP(P147-1,0))</f>
        <v>7</v>
      </c>
      <c r="AE147" s="14">
        <v>0</v>
      </c>
      <c r="AF147" s="14">
        <v>0</v>
      </c>
      <c r="AG147" s="14">
        <v>0</v>
      </c>
      <c r="AH147" s="14">
        <v>0</v>
      </c>
      <c r="AI147" s="14">
        <f t="shared" si="4"/>
        <v>0.42</v>
      </c>
      <c r="AJ147" s="14">
        <f t="shared" si="5"/>
        <v>7.42</v>
      </c>
      <c r="AK147" t="s">
        <v>48</v>
      </c>
      <c r="AN147" s="12"/>
    </row>
    <row r="148" spans="1:40" ht="15" customHeight="1" x14ac:dyDescent="0.35">
      <c r="A148">
        <v>690929</v>
      </c>
      <c r="B148" t="s">
        <v>37</v>
      </c>
      <c r="C148" t="s">
        <v>38</v>
      </c>
      <c r="D148" s="2" t="s">
        <v>39</v>
      </c>
      <c r="E148" s="9" t="s">
        <v>37</v>
      </c>
      <c r="F148" s="10"/>
      <c r="G148" t="s">
        <v>537</v>
      </c>
      <c r="H148" t="s">
        <v>41</v>
      </c>
      <c r="I148" t="s">
        <v>42</v>
      </c>
      <c r="J148" t="s">
        <v>538</v>
      </c>
      <c r="K148" t="s">
        <v>44</v>
      </c>
      <c r="L148">
        <v>2</v>
      </c>
      <c r="M148" t="s">
        <v>45</v>
      </c>
      <c r="N148" t="s">
        <v>46</v>
      </c>
      <c r="O148" t="s">
        <v>47</v>
      </c>
      <c r="P148" s="5">
        <v>2</v>
      </c>
      <c r="Q148" s="11">
        <v>44838.743715277778</v>
      </c>
      <c r="R148" s="12">
        <v>44840</v>
      </c>
      <c r="S148" t="s">
        <v>41</v>
      </c>
      <c r="T148" t="s">
        <v>48</v>
      </c>
      <c r="U148" t="s">
        <v>49</v>
      </c>
      <c r="V148" t="s">
        <v>133</v>
      </c>
      <c r="Y148" t="s">
        <v>539</v>
      </c>
      <c r="Z148">
        <v>27650</v>
      </c>
      <c r="AA148" t="s">
        <v>48</v>
      </c>
      <c r="AB148" t="s">
        <v>49</v>
      </c>
      <c r="AC148" t="s">
        <v>53</v>
      </c>
      <c r="AD148" s="13">
        <f>IF(P148&lt;=1,7,7+0.8*ROUNDUP(P148-1,0))</f>
        <v>7.8</v>
      </c>
      <c r="AE148" s="14">
        <v>0</v>
      </c>
      <c r="AF148" s="14">
        <v>0</v>
      </c>
      <c r="AG148" s="14">
        <v>0</v>
      </c>
      <c r="AH148" s="14">
        <v>0</v>
      </c>
      <c r="AI148" s="14">
        <f t="shared" si="4"/>
        <v>0.46799999999999997</v>
      </c>
      <c r="AJ148" s="14">
        <f t="shared" si="5"/>
        <v>8.2680000000000007</v>
      </c>
      <c r="AK148" t="s">
        <v>48</v>
      </c>
      <c r="AN148" s="12"/>
    </row>
    <row r="149" spans="1:40" ht="15" customHeight="1" x14ac:dyDescent="0.35">
      <c r="A149">
        <v>690929</v>
      </c>
      <c r="B149" t="s">
        <v>37</v>
      </c>
      <c r="C149" t="s">
        <v>38</v>
      </c>
      <c r="D149" s="2" t="s">
        <v>39</v>
      </c>
      <c r="E149" s="9" t="s">
        <v>37</v>
      </c>
      <c r="F149" s="10"/>
      <c r="G149" t="s">
        <v>540</v>
      </c>
      <c r="H149" t="s">
        <v>41</v>
      </c>
      <c r="I149" t="s">
        <v>42</v>
      </c>
      <c r="J149" t="s">
        <v>541</v>
      </c>
      <c r="K149" t="s">
        <v>44</v>
      </c>
      <c r="L149">
        <v>2</v>
      </c>
      <c r="M149" t="s">
        <v>45</v>
      </c>
      <c r="N149" t="s">
        <v>46</v>
      </c>
      <c r="O149" t="s">
        <v>47</v>
      </c>
      <c r="P149" s="5">
        <v>1</v>
      </c>
      <c r="Q149" s="11">
        <v>44839.518229166664</v>
      </c>
      <c r="R149" s="12">
        <v>44840</v>
      </c>
      <c r="S149" t="s">
        <v>41</v>
      </c>
      <c r="T149" t="s">
        <v>48</v>
      </c>
      <c r="U149" t="s">
        <v>49</v>
      </c>
      <c r="V149" t="s">
        <v>87</v>
      </c>
      <c r="Y149" t="s">
        <v>542</v>
      </c>
      <c r="Z149">
        <v>22000</v>
      </c>
      <c r="AA149" t="s">
        <v>48</v>
      </c>
      <c r="AB149" t="s">
        <v>104</v>
      </c>
      <c r="AC149" t="s">
        <v>53</v>
      </c>
      <c r="AD149" s="13">
        <f>IF(P149&lt;=1,7,7+0.8*ROUNDUP(P149-1,0))</f>
        <v>7</v>
      </c>
      <c r="AE149" s="14">
        <v>0</v>
      </c>
      <c r="AF149" s="14">
        <v>0</v>
      </c>
      <c r="AG149" s="14">
        <v>0</v>
      </c>
      <c r="AH149" s="14">
        <v>0</v>
      </c>
      <c r="AI149" s="14">
        <f t="shared" si="4"/>
        <v>0.42</v>
      </c>
      <c r="AJ149" s="14">
        <f t="shared" si="5"/>
        <v>7.42</v>
      </c>
      <c r="AK149" t="s">
        <v>48</v>
      </c>
      <c r="AN149" s="12"/>
    </row>
    <row r="150" spans="1:40" ht="15" customHeight="1" x14ac:dyDescent="0.35">
      <c r="A150">
        <v>690929</v>
      </c>
      <c r="B150" t="s">
        <v>37</v>
      </c>
      <c r="C150" t="s">
        <v>38</v>
      </c>
      <c r="D150" s="2" t="s">
        <v>39</v>
      </c>
      <c r="E150" s="9" t="s">
        <v>37</v>
      </c>
      <c r="F150" s="10"/>
      <c r="G150" t="s">
        <v>543</v>
      </c>
      <c r="H150" t="s">
        <v>41</v>
      </c>
      <c r="I150" t="s">
        <v>42</v>
      </c>
      <c r="J150" t="s">
        <v>544</v>
      </c>
      <c r="K150" t="s">
        <v>44</v>
      </c>
      <c r="L150">
        <v>2</v>
      </c>
      <c r="M150" t="s">
        <v>45</v>
      </c>
      <c r="N150" t="s">
        <v>46</v>
      </c>
      <c r="O150" t="s">
        <v>47</v>
      </c>
      <c r="P150" s="5">
        <v>1</v>
      </c>
      <c r="Q150" s="11">
        <v>44839.624930555554</v>
      </c>
      <c r="R150" s="12">
        <v>44840</v>
      </c>
      <c r="S150" t="s">
        <v>41</v>
      </c>
      <c r="T150" t="s">
        <v>48</v>
      </c>
      <c r="U150" t="s">
        <v>49</v>
      </c>
      <c r="V150" t="s">
        <v>193</v>
      </c>
      <c r="Y150" t="s">
        <v>545</v>
      </c>
      <c r="Z150">
        <v>53300</v>
      </c>
      <c r="AA150" t="s">
        <v>48</v>
      </c>
      <c r="AB150" t="s">
        <v>52</v>
      </c>
      <c r="AC150" t="s">
        <v>53</v>
      </c>
      <c r="AD150" s="13">
        <f>IF(P150&lt;=1,7,7+0.8*ROUNDUP(P150-1,0))</f>
        <v>7</v>
      </c>
      <c r="AE150" s="14">
        <v>0</v>
      </c>
      <c r="AF150" s="14">
        <v>0</v>
      </c>
      <c r="AG150" s="14">
        <v>0</v>
      </c>
      <c r="AH150" s="14">
        <v>0</v>
      </c>
      <c r="AI150" s="14">
        <f t="shared" si="4"/>
        <v>0.42</v>
      </c>
      <c r="AJ150" s="14">
        <f t="shared" si="5"/>
        <v>7.42</v>
      </c>
      <c r="AK150" t="s">
        <v>48</v>
      </c>
      <c r="AN150" s="12"/>
    </row>
    <row r="151" spans="1:40" ht="15" customHeight="1" x14ac:dyDescent="0.35">
      <c r="A151">
        <v>690929</v>
      </c>
      <c r="B151" t="s">
        <v>37</v>
      </c>
      <c r="C151" t="s">
        <v>38</v>
      </c>
      <c r="D151" s="2" t="s">
        <v>39</v>
      </c>
      <c r="E151" s="9" t="s">
        <v>37</v>
      </c>
      <c r="F151" s="10"/>
      <c r="G151" t="s">
        <v>546</v>
      </c>
      <c r="H151" t="s">
        <v>41</v>
      </c>
      <c r="I151" t="s">
        <v>42</v>
      </c>
      <c r="J151" t="s">
        <v>547</v>
      </c>
      <c r="K151" t="s">
        <v>44</v>
      </c>
      <c r="L151">
        <v>2</v>
      </c>
      <c r="M151" t="s">
        <v>45</v>
      </c>
      <c r="N151" t="s">
        <v>46</v>
      </c>
      <c r="O151" t="s">
        <v>47</v>
      </c>
      <c r="P151" s="5">
        <v>2</v>
      </c>
      <c r="Q151" s="11">
        <v>44839.623113425929</v>
      </c>
      <c r="R151" s="12">
        <v>44840</v>
      </c>
      <c r="S151" t="s">
        <v>41</v>
      </c>
      <c r="T151" t="s">
        <v>48</v>
      </c>
      <c r="U151" t="s">
        <v>49</v>
      </c>
      <c r="V151" t="s">
        <v>61</v>
      </c>
      <c r="Y151" t="s">
        <v>548</v>
      </c>
      <c r="Z151">
        <v>43000</v>
      </c>
      <c r="AA151" t="s">
        <v>48</v>
      </c>
      <c r="AB151" t="s">
        <v>246</v>
      </c>
      <c r="AC151" t="s">
        <v>53</v>
      </c>
      <c r="AD151" s="13">
        <f>IF(P151&lt;=1,7,7+0.8*ROUNDUP(P151-1,0))</f>
        <v>7.8</v>
      </c>
      <c r="AE151" s="14">
        <v>0</v>
      </c>
      <c r="AF151" s="14">
        <v>0</v>
      </c>
      <c r="AG151" s="14">
        <v>0</v>
      </c>
      <c r="AH151" s="14">
        <v>0</v>
      </c>
      <c r="AI151" s="14">
        <f t="shared" si="4"/>
        <v>0.46799999999999997</v>
      </c>
      <c r="AJ151" s="14">
        <f t="shared" si="5"/>
        <v>8.2680000000000007</v>
      </c>
      <c r="AK151" t="s">
        <v>48</v>
      </c>
      <c r="AN151" s="12"/>
    </row>
    <row r="152" spans="1:40" ht="15" customHeight="1" x14ac:dyDescent="0.35">
      <c r="A152">
        <v>690929</v>
      </c>
      <c r="B152" t="s">
        <v>37</v>
      </c>
      <c r="C152" t="s">
        <v>38</v>
      </c>
      <c r="D152" s="2" t="s">
        <v>39</v>
      </c>
      <c r="E152" s="9" t="s">
        <v>37</v>
      </c>
      <c r="F152" s="10"/>
      <c r="G152" t="s">
        <v>549</v>
      </c>
      <c r="H152" t="s">
        <v>41</v>
      </c>
      <c r="I152" t="s">
        <v>42</v>
      </c>
      <c r="J152" t="s">
        <v>550</v>
      </c>
      <c r="K152" t="s">
        <v>44</v>
      </c>
      <c r="L152">
        <v>2</v>
      </c>
      <c r="M152" t="s">
        <v>45</v>
      </c>
      <c r="N152" t="s">
        <v>46</v>
      </c>
      <c r="O152" t="s">
        <v>47</v>
      </c>
      <c r="P152" s="5">
        <v>1</v>
      </c>
      <c r="Q152" s="11">
        <v>44838.744699074072</v>
      </c>
      <c r="R152" s="12">
        <v>44840</v>
      </c>
      <c r="S152" t="s">
        <v>41</v>
      </c>
      <c r="T152" t="s">
        <v>48</v>
      </c>
      <c r="U152" t="s">
        <v>49</v>
      </c>
      <c r="V152" t="s">
        <v>231</v>
      </c>
      <c r="Y152" t="s">
        <v>551</v>
      </c>
      <c r="Z152">
        <v>31100</v>
      </c>
      <c r="AA152" t="s">
        <v>48</v>
      </c>
      <c r="AB152" t="s">
        <v>49</v>
      </c>
      <c r="AC152" t="s">
        <v>53</v>
      </c>
      <c r="AD152" s="13">
        <f>IF(P152&lt;=1,7,7+0.8*ROUNDUP(P152-1,0))</f>
        <v>7</v>
      </c>
      <c r="AE152" s="14">
        <v>0</v>
      </c>
      <c r="AF152" s="14">
        <v>0</v>
      </c>
      <c r="AG152" s="14">
        <v>0</v>
      </c>
      <c r="AH152" s="14">
        <v>0</v>
      </c>
      <c r="AI152" s="14">
        <f t="shared" si="4"/>
        <v>0.42</v>
      </c>
      <c r="AJ152" s="14">
        <f t="shared" si="5"/>
        <v>7.42</v>
      </c>
      <c r="AK152" t="s">
        <v>48</v>
      </c>
      <c r="AN152" s="12"/>
    </row>
    <row r="153" spans="1:40" ht="15" customHeight="1" x14ac:dyDescent="0.35">
      <c r="A153">
        <v>690929</v>
      </c>
      <c r="B153" t="s">
        <v>37</v>
      </c>
      <c r="C153" t="s">
        <v>38</v>
      </c>
      <c r="D153" s="2" t="s">
        <v>39</v>
      </c>
      <c r="E153" s="9" t="s">
        <v>37</v>
      </c>
      <c r="F153" s="10"/>
      <c r="G153" t="s">
        <v>552</v>
      </c>
      <c r="H153" t="s">
        <v>41</v>
      </c>
      <c r="I153" t="s">
        <v>42</v>
      </c>
      <c r="J153" t="s">
        <v>553</v>
      </c>
      <c r="K153" t="s">
        <v>44</v>
      </c>
      <c r="L153">
        <v>2</v>
      </c>
      <c r="M153" t="s">
        <v>45</v>
      </c>
      <c r="N153" t="s">
        <v>46</v>
      </c>
      <c r="O153" t="s">
        <v>47</v>
      </c>
      <c r="P153" s="5">
        <v>2</v>
      </c>
      <c r="Q153" s="11">
        <v>44839.619293981479</v>
      </c>
      <c r="R153" s="12">
        <v>44840</v>
      </c>
      <c r="S153" t="s">
        <v>41</v>
      </c>
      <c r="T153" t="s">
        <v>48</v>
      </c>
      <c r="U153" t="s">
        <v>49</v>
      </c>
      <c r="V153" t="s">
        <v>133</v>
      </c>
      <c r="Y153" t="s">
        <v>554</v>
      </c>
      <c r="Z153">
        <v>36100</v>
      </c>
      <c r="AA153" t="s">
        <v>48</v>
      </c>
      <c r="AB153" t="s">
        <v>555</v>
      </c>
      <c r="AC153" t="s">
        <v>53</v>
      </c>
      <c r="AD153" s="13">
        <f>IF(P153&lt;=1,7,7+0.8*ROUNDUP(P153-1,0))</f>
        <v>7.8</v>
      </c>
      <c r="AE153" s="14">
        <v>0</v>
      </c>
      <c r="AF153" s="14">
        <v>0</v>
      </c>
      <c r="AG153" s="14">
        <v>0</v>
      </c>
      <c r="AH153" s="14">
        <v>0</v>
      </c>
      <c r="AI153" s="14">
        <f t="shared" si="4"/>
        <v>0.46799999999999997</v>
      </c>
      <c r="AJ153" s="14">
        <f t="shared" si="5"/>
        <v>8.2680000000000007</v>
      </c>
      <c r="AK153" t="s">
        <v>48</v>
      </c>
      <c r="AN153" s="12"/>
    </row>
    <row r="154" spans="1:40" ht="15" customHeight="1" x14ac:dyDescent="0.35">
      <c r="A154">
        <v>690929</v>
      </c>
      <c r="B154" t="s">
        <v>37</v>
      </c>
      <c r="C154" t="s">
        <v>38</v>
      </c>
      <c r="D154" s="2" t="s">
        <v>39</v>
      </c>
      <c r="E154" s="9" t="s">
        <v>37</v>
      </c>
      <c r="F154" s="10"/>
      <c r="G154" t="s">
        <v>556</v>
      </c>
      <c r="H154" t="s">
        <v>41</v>
      </c>
      <c r="I154" t="s">
        <v>42</v>
      </c>
      <c r="J154" t="s">
        <v>557</v>
      </c>
      <c r="K154" t="s">
        <v>44</v>
      </c>
      <c r="L154">
        <v>2</v>
      </c>
      <c r="M154" t="s">
        <v>45</v>
      </c>
      <c r="N154" t="s">
        <v>46</v>
      </c>
      <c r="O154" t="s">
        <v>47</v>
      </c>
      <c r="P154" s="5">
        <v>1</v>
      </c>
      <c r="Q154" s="11">
        <v>44839.519016203703</v>
      </c>
      <c r="R154" s="12">
        <v>44840</v>
      </c>
      <c r="S154" t="s">
        <v>41</v>
      </c>
      <c r="T154" t="s">
        <v>48</v>
      </c>
      <c r="U154" t="s">
        <v>49</v>
      </c>
      <c r="V154" t="s">
        <v>146</v>
      </c>
      <c r="Y154" t="s">
        <v>558</v>
      </c>
      <c r="Z154">
        <v>71200</v>
      </c>
      <c r="AA154" t="s">
        <v>48</v>
      </c>
      <c r="AB154" t="s">
        <v>52</v>
      </c>
      <c r="AC154" t="s">
        <v>53</v>
      </c>
      <c r="AD154" s="13">
        <f>IF(P154&lt;=1,7,7+0.8*ROUNDUP(P154-1,0))</f>
        <v>7</v>
      </c>
      <c r="AE154" s="14">
        <v>0</v>
      </c>
      <c r="AF154" s="14">
        <v>0</v>
      </c>
      <c r="AG154" s="14">
        <v>0</v>
      </c>
      <c r="AH154" s="14">
        <v>0</v>
      </c>
      <c r="AI154" s="14">
        <f t="shared" si="4"/>
        <v>0.42</v>
      </c>
      <c r="AJ154" s="14">
        <f t="shared" si="5"/>
        <v>7.42</v>
      </c>
      <c r="AK154" t="s">
        <v>48</v>
      </c>
      <c r="AN154" s="12"/>
    </row>
    <row r="155" spans="1:40" ht="15" customHeight="1" x14ac:dyDescent="0.35">
      <c r="A155">
        <v>690929</v>
      </c>
      <c r="B155" t="s">
        <v>37</v>
      </c>
      <c r="C155" t="s">
        <v>38</v>
      </c>
      <c r="D155" s="2" t="s">
        <v>39</v>
      </c>
      <c r="E155" s="9" t="s">
        <v>37</v>
      </c>
      <c r="F155" s="10"/>
      <c r="G155" t="s">
        <v>559</v>
      </c>
      <c r="H155" t="s">
        <v>41</v>
      </c>
      <c r="I155" t="s">
        <v>42</v>
      </c>
      <c r="J155" t="s">
        <v>560</v>
      </c>
      <c r="K155" t="s">
        <v>44</v>
      </c>
      <c r="L155">
        <v>2</v>
      </c>
      <c r="M155" t="s">
        <v>45</v>
      </c>
      <c r="N155" t="s">
        <v>46</v>
      </c>
      <c r="O155" t="s">
        <v>47</v>
      </c>
      <c r="P155" s="5">
        <v>1</v>
      </c>
      <c r="Q155" s="11">
        <v>44839.614236111112</v>
      </c>
      <c r="R155" s="12">
        <v>44841</v>
      </c>
      <c r="S155" t="s">
        <v>41</v>
      </c>
      <c r="T155" t="s">
        <v>48</v>
      </c>
      <c r="U155" t="s">
        <v>49</v>
      </c>
      <c r="V155" t="s">
        <v>56</v>
      </c>
      <c r="Y155" t="s">
        <v>561</v>
      </c>
      <c r="Z155">
        <v>81750</v>
      </c>
      <c r="AA155" t="s">
        <v>48</v>
      </c>
      <c r="AB155" t="s">
        <v>562</v>
      </c>
      <c r="AC155" t="s">
        <v>53</v>
      </c>
      <c r="AD155" s="13">
        <f>IF(P155&lt;=1,7,7+0.8*ROUNDUP(P155-1,0))</f>
        <v>7</v>
      </c>
      <c r="AE155" s="14">
        <v>0</v>
      </c>
      <c r="AF155" s="14">
        <v>0</v>
      </c>
      <c r="AG155" s="14">
        <v>0</v>
      </c>
      <c r="AH155" s="14">
        <v>0</v>
      </c>
      <c r="AI155" s="14">
        <f t="shared" si="4"/>
        <v>0.42</v>
      </c>
      <c r="AJ155" s="14">
        <f t="shared" si="5"/>
        <v>7.42</v>
      </c>
      <c r="AK155" t="s">
        <v>48</v>
      </c>
      <c r="AN155" s="12"/>
    </row>
    <row r="156" spans="1:40" ht="15" customHeight="1" x14ac:dyDescent="0.35">
      <c r="A156">
        <v>690929</v>
      </c>
      <c r="B156" t="s">
        <v>37</v>
      </c>
      <c r="C156" t="s">
        <v>38</v>
      </c>
      <c r="D156" s="2" t="s">
        <v>39</v>
      </c>
      <c r="E156" s="9" t="s">
        <v>37</v>
      </c>
      <c r="F156" s="10"/>
      <c r="G156" t="s">
        <v>563</v>
      </c>
      <c r="H156" t="s">
        <v>41</v>
      </c>
      <c r="I156" t="s">
        <v>42</v>
      </c>
      <c r="J156" t="s">
        <v>564</v>
      </c>
      <c r="K156" t="s">
        <v>44</v>
      </c>
      <c r="L156">
        <v>2</v>
      </c>
      <c r="M156" t="s">
        <v>45</v>
      </c>
      <c r="N156" t="s">
        <v>46</v>
      </c>
      <c r="O156" t="s">
        <v>47</v>
      </c>
      <c r="P156" s="5">
        <v>3</v>
      </c>
      <c r="Q156" s="11">
        <v>44840.382534722223</v>
      </c>
      <c r="R156" s="12">
        <v>44841</v>
      </c>
      <c r="S156" t="s">
        <v>41</v>
      </c>
      <c r="T156" t="s">
        <v>48</v>
      </c>
      <c r="U156" t="s">
        <v>49</v>
      </c>
      <c r="V156" t="s">
        <v>122</v>
      </c>
      <c r="Y156" t="s">
        <v>565</v>
      </c>
      <c r="Z156">
        <v>16450</v>
      </c>
      <c r="AA156" t="s">
        <v>48</v>
      </c>
      <c r="AB156" t="s">
        <v>373</v>
      </c>
      <c r="AC156" t="s">
        <v>53</v>
      </c>
      <c r="AD156" s="13">
        <f>IF(P156&lt;=1,7,7+0.8*ROUNDUP(P156-1,0))</f>
        <v>8.6</v>
      </c>
      <c r="AE156" s="14">
        <v>0</v>
      </c>
      <c r="AF156" s="14">
        <v>0</v>
      </c>
      <c r="AG156" s="14">
        <v>0</v>
      </c>
      <c r="AH156" s="14">
        <v>0</v>
      </c>
      <c r="AI156" s="14">
        <f t="shared" si="4"/>
        <v>0.51600000000000001</v>
      </c>
      <c r="AJ156" s="14">
        <f t="shared" si="5"/>
        <v>9.1159999999999997</v>
      </c>
      <c r="AK156" t="s">
        <v>48</v>
      </c>
      <c r="AN156" s="12"/>
    </row>
    <row r="157" spans="1:40" ht="15" customHeight="1" x14ac:dyDescent="0.35">
      <c r="A157">
        <v>690929</v>
      </c>
      <c r="B157" t="s">
        <v>37</v>
      </c>
      <c r="C157" t="s">
        <v>38</v>
      </c>
      <c r="D157" s="2" t="s">
        <v>39</v>
      </c>
      <c r="E157" s="9" t="s">
        <v>37</v>
      </c>
      <c r="F157" s="10"/>
      <c r="G157" t="s">
        <v>566</v>
      </c>
      <c r="H157" t="s">
        <v>41</v>
      </c>
      <c r="I157" t="s">
        <v>42</v>
      </c>
      <c r="J157" t="s">
        <v>567</v>
      </c>
      <c r="K157" t="s">
        <v>44</v>
      </c>
      <c r="L157">
        <v>2</v>
      </c>
      <c r="M157" t="s">
        <v>45</v>
      </c>
      <c r="N157" t="s">
        <v>46</v>
      </c>
      <c r="O157" t="s">
        <v>47</v>
      </c>
      <c r="P157" s="5">
        <v>1</v>
      </c>
      <c r="Q157" s="11">
        <v>44839.615023148152</v>
      </c>
      <c r="R157" s="12">
        <v>44841</v>
      </c>
      <c r="S157" t="s">
        <v>41</v>
      </c>
      <c r="T157" t="s">
        <v>48</v>
      </c>
      <c r="U157" t="s">
        <v>49</v>
      </c>
      <c r="V157" t="s">
        <v>61</v>
      </c>
      <c r="Y157" t="s">
        <v>568</v>
      </c>
      <c r="Z157">
        <v>43300</v>
      </c>
      <c r="AA157" t="s">
        <v>48</v>
      </c>
      <c r="AB157" t="s">
        <v>569</v>
      </c>
      <c r="AC157" t="s">
        <v>53</v>
      </c>
      <c r="AD157" s="13">
        <f>IF(P157&lt;=1,7,7+0.8*ROUNDUP(P157-1,0))</f>
        <v>7</v>
      </c>
      <c r="AE157" s="14">
        <v>0</v>
      </c>
      <c r="AF157" s="14">
        <v>0</v>
      </c>
      <c r="AG157" s="14">
        <v>0</v>
      </c>
      <c r="AH157" s="14">
        <v>0</v>
      </c>
      <c r="AI157" s="14">
        <f t="shared" si="4"/>
        <v>0.42</v>
      </c>
      <c r="AJ157" s="14">
        <f t="shared" si="5"/>
        <v>7.42</v>
      </c>
      <c r="AK157" t="s">
        <v>48</v>
      </c>
      <c r="AN157" s="12"/>
    </row>
    <row r="158" spans="1:40" ht="15" customHeight="1" x14ac:dyDescent="0.35">
      <c r="A158">
        <v>690929</v>
      </c>
      <c r="B158" t="s">
        <v>37</v>
      </c>
      <c r="C158" t="s">
        <v>38</v>
      </c>
      <c r="D158" s="2" t="s">
        <v>39</v>
      </c>
      <c r="E158" s="9" t="s">
        <v>37</v>
      </c>
      <c r="F158" s="10"/>
      <c r="G158" t="s">
        <v>570</v>
      </c>
      <c r="H158" t="s">
        <v>41</v>
      </c>
      <c r="I158" t="s">
        <v>42</v>
      </c>
      <c r="J158" t="s">
        <v>571</v>
      </c>
      <c r="K158" t="s">
        <v>44</v>
      </c>
      <c r="L158">
        <v>2</v>
      </c>
      <c r="M158" t="s">
        <v>45</v>
      </c>
      <c r="N158" t="s">
        <v>46</v>
      </c>
      <c r="O158" t="s">
        <v>47</v>
      </c>
      <c r="P158" s="5">
        <v>3</v>
      </c>
      <c r="Q158" s="11">
        <v>44839.616273148145</v>
      </c>
      <c r="R158" s="12">
        <v>44841</v>
      </c>
      <c r="S158" t="s">
        <v>41</v>
      </c>
      <c r="T158" t="s">
        <v>48</v>
      </c>
      <c r="U158" t="s">
        <v>49</v>
      </c>
      <c r="V158" t="s">
        <v>146</v>
      </c>
      <c r="Y158" t="s">
        <v>572</v>
      </c>
      <c r="Z158">
        <v>70450</v>
      </c>
      <c r="AA158" t="s">
        <v>48</v>
      </c>
      <c r="AB158" t="s">
        <v>573</v>
      </c>
      <c r="AC158" t="s">
        <v>53</v>
      </c>
      <c r="AD158" s="13">
        <f>IF(P158&lt;=1,7,7+0.8*ROUNDUP(P158-1,0))</f>
        <v>8.6</v>
      </c>
      <c r="AE158" s="14">
        <v>0</v>
      </c>
      <c r="AF158" s="14">
        <v>0</v>
      </c>
      <c r="AG158" s="14">
        <v>0</v>
      </c>
      <c r="AH158" s="14">
        <v>0</v>
      </c>
      <c r="AI158" s="14">
        <f t="shared" si="4"/>
        <v>0.51600000000000001</v>
      </c>
      <c r="AJ158" s="14">
        <f t="shared" si="5"/>
        <v>9.1159999999999997</v>
      </c>
      <c r="AK158" t="s">
        <v>48</v>
      </c>
      <c r="AN158" s="12"/>
    </row>
    <row r="159" spans="1:40" ht="15" customHeight="1" x14ac:dyDescent="0.35">
      <c r="A159">
        <v>690929</v>
      </c>
      <c r="B159" t="s">
        <v>37</v>
      </c>
      <c r="C159" t="s">
        <v>38</v>
      </c>
      <c r="D159" s="2" t="s">
        <v>39</v>
      </c>
      <c r="E159" s="9" t="s">
        <v>37</v>
      </c>
      <c r="F159" s="10"/>
      <c r="G159" t="s">
        <v>574</v>
      </c>
      <c r="H159" t="s">
        <v>41</v>
      </c>
      <c r="I159" t="s">
        <v>42</v>
      </c>
      <c r="J159" t="s">
        <v>575</v>
      </c>
      <c r="K159" t="s">
        <v>44</v>
      </c>
      <c r="L159">
        <v>2</v>
      </c>
      <c r="M159" t="s">
        <v>45</v>
      </c>
      <c r="N159" t="s">
        <v>46</v>
      </c>
      <c r="O159" t="s">
        <v>47</v>
      </c>
      <c r="P159" s="5">
        <v>1</v>
      </c>
      <c r="Q159" s="11">
        <v>44840.524826388886</v>
      </c>
      <c r="R159" s="12">
        <v>44841</v>
      </c>
      <c r="S159" t="s">
        <v>41</v>
      </c>
      <c r="T159" t="s">
        <v>48</v>
      </c>
      <c r="U159" t="s">
        <v>49</v>
      </c>
      <c r="V159" t="s">
        <v>61</v>
      </c>
      <c r="Y159" t="s">
        <v>576</v>
      </c>
      <c r="Z159">
        <v>62250</v>
      </c>
      <c r="AA159" t="s">
        <v>48</v>
      </c>
      <c r="AB159" t="s">
        <v>52</v>
      </c>
      <c r="AC159" t="s">
        <v>53</v>
      </c>
      <c r="AD159" s="13">
        <f>IF(P159&lt;=1,7,7+0.8*ROUNDUP(P159-1,0))</f>
        <v>7</v>
      </c>
      <c r="AE159" s="14">
        <v>0</v>
      </c>
      <c r="AF159" s="14">
        <v>0</v>
      </c>
      <c r="AG159" s="14">
        <v>0</v>
      </c>
      <c r="AH159" s="14">
        <v>0</v>
      </c>
      <c r="AI159" s="14">
        <f t="shared" si="4"/>
        <v>0.42</v>
      </c>
      <c r="AJ159" s="14">
        <f t="shared" si="5"/>
        <v>7.42</v>
      </c>
      <c r="AK159" t="s">
        <v>48</v>
      </c>
      <c r="AN159" s="12"/>
    </row>
    <row r="160" spans="1:40" ht="15" customHeight="1" x14ac:dyDescent="0.35">
      <c r="A160">
        <v>690929</v>
      </c>
      <c r="B160" t="s">
        <v>37</v>
      </c>
      <c r="C160" t="s">
        <v>38</v>
      </c>
      <c r="D160" s="2" t="s">
        <v>39</v>
      </c>
      <c r="E160" s="9" t="s">
        <v>37</v>
      </c>
      <c r="F160" s="10"/>
      <c r="G160" t="s">
        <v>577</v>
      </c>
      <c r="H160" t="s">
        <v>41</v>
      </c>
      <c r="I160" t="s">
        <v>42</v>
      </c>
      <c r="J160" t="s">
        <v>578</v>
      </c>
      <c r="K160" t="s">
        <v>44</v>
      </c>
      <c r="L160">
        <v>2</v>
      </c>
      <c r="M160" t="s">
        <v>45</v>
      </c>
      <c r="N160" t="s">
        <v>46</v>
      </c>
      <c r="O160" t="s">
        <v>47</v>
      </c>
      <c r="P160" s="5">
        <v>1</v>
      </c>
      <c r="Q160" s="11">
        <v>44839.762499999997</v>
      </c>
      <c r="R160" s="12">
        <v>44841</v>
      </c>
      <c r="S160" t="s">
        <v>41</v>
      </c>
      <c r="T160" t="s">
        <v>48</v>
      </c>
      <c r="U160" t="s">
        <v>49</v>
      </c>
      <c r="V160" t="s">
        <v>122</v>
      </c>
      <c r="Y160" t="s">
        <v>579</v>
      </c>
      <c r="Z160">
        <v>15100</v>
      </c>
      <c r="AA160" t="s">
        <v>48</v>
      </c>
      <c r="AB160" t="s">
        <v>104</v>
      </c>
      <c r="AC160" t="s">
        <v>53</v>
      </c>
      <c r="AD160" s="13">
        <f>IF(P160&lt;=1,7,7+0.8*ROUNDUP(P160-1,0))</f>
        <v>7</v>
      </c>
      <c r="AE160" s="14">
        <v>0</v>
      </c>
      <c r="AF160" s="14">
        <v>0</v>
      </c>
      <c r="AG160" s="14">
        <v>0</v>
      </c>
      <c r="AH160" s="14">
        <v>0</v>
      </c>
      <c r="AI160" s="14">
        <f t="shared" si="4"/>
        <v>0.42</v>
      </c>
      <c r="AJ160" s="14">
        <f t="shared" si="5"/>
        <v>7.42</v>
      </c>
      <c r="AK160" t="s">
        <v>48</v>
      </c>
      <c r="AN160" s="12"/>
    </row>
    <row r="161" spans="1:40" ht="15" customHeight="1" x14ac:dyDescent="0.35">
      <c r="A161">
        <v>690929</v>
      </c>
      <c r="B161" t="s">
        <v>37</v>
      </c>
      <c r="C161" t="s">
        <v>38</v>
      </c>
      <c r="D161" s="2" t="s">
        <v>39</v>
      </c>
      <c r="E161" s="9" t="s">
        <v>37</v>
      </c>
      <c r="F161" s="10"/>
      <c r="G161" t="s">
        <v>580</v>
      </c>
      <c r="H161" t="s">
        <v>41</v>
      </c>
      <c r="I161" t="s">
        <v>42</v>
      </c>
      <c r="J161" t="s">
        <v>581</v>
      </c>
      <c r="K161" t="s">
        <v>44</v>
      </c>
      <c r="L161">
        <v>2</v>
      </c>
      <c r="M161" t="s">
        <v>45</v>
      </c>
      <c r="N161" t="s">
        <v>46</v>
      </c>
      <c r="O161" t="s">
        <v>47</v>
      </c>
      <c r="P161" s="5">
        <v>1</v>
      </c>
      <c r="Q161" s="11">
        <v>44838.742303240739</v>
      </c>
      <c r="R161" s="12">
        <v>44841</v>
      </c>
      <c r="S161" t="s">
        <v>41</v>
      </c>
      <c r="T161" t="s">
        <v>48</v>
      </c>
      <c r="U161" t="s">
        <v>49</v>
      </c>
      <c r="V161" t="s">
        <v>56</v>
      </c>
      <c r="Y161" t="s">
        <v>582</v>
      </c>
      <c r="Z161">
        <v>81700</v>
      </c>
      <c r="AA161" t="s">
        <v>48</v>
      </c>
      <c r="AB161" t="s">
        <v>52</v>
      </c>
      <c r="AC161" t="s">
        <v>53</v>
      </c>
      <c r="AD161" s="13">
        <f>IF(P161&lt;=1,7,7+0.8*ROUNDUP(P161-1,0))</f>
        <v>7</v>
      </c>
      <c r="AE161" s="14">
        <v>0</v>
      </c>
      <c r="AF161" s="14">
        <v>0</v>
      </c>
      <c r="AG161" s="14">
        <v>0</v>
      </c>
      <c r="AH161" s="14">
        <v>0</v>
      </c>
      <c r="AI161" s="14">
        <f t="shared" si="4"/>
        <v>0.42</v>
      </c>
      <c r="AJ161" s="14">
        <f t="shared" si="5"/>
        <v>7.42</v>
      </c>
      <c r="AK161" t="s">
        <v>48</v>
      </c>
      <c r="AN161" s="12"/>
    </row>
    <row r="162" spans="1:40" ht="15" customHeight="1" x14ac:dyDescent="0.35">
      <c r="A162">
        <v>690929</v>
      </c>
      <c r="B162" t="s">
        <v>37</v>
      </c>
      <c r="C162" t="s">
        <v>38</v>
      </c>
      <c r="D162" s="2" t="s">
        <v>39</v>
      </c>
      <c r="E162" s="9" t="s">
        <v>37</v>
      </c>
      <c r="F162" s="10"/>
      <c r="G162" t="s">
        <v>583</v>
      </c>
      <c r="H162" t="s">
        <v>41</v>
      </c>
      <c r="I162" t="s">
        <v>42</v>
      </c>
      <c r="J162" t="s">
        <v>584</v>
      </c>
      <c r="K162" t="s">
        <v>44</v>
      </c>
      <c r="L162">
        <v>2</v>
      </c>
      <c r="M162" t="s">
        <v>45</v>
      </c>
      <c r="N162" t="s">
        <v>46</v>
      </c>
      <c r="O162" t="s">
        <v>47</v>
      </c>
      <c r="P162" s="5">
        <v>1</v>
      </c>
      <c r="Q162" s="11">
        <v>44839.735902777778</v>
      </c>
      <c r="R162" s="12">
        <v>44841</v>
      </c>
      <c r="S162" t="s">
        <v>41</v>
      </c>
      <c r="T162" t="s">
        <v>48</v>
      </c>
      <c r="U162" t="s">
        <v>49</v>
      </c>
      <c r="V162" t="s">
        <v>61</v>
      </c>
      <c r="Y162" t="s">
        <v>585</v>
      </c>
      <c r="Z162">
        <v>40000</v>
      </c>
      <c r="AA162" t="s">
        <v>48</v>
      </c>
      <c r="AB162" t="s">
        <v>52</v>
      </c>
      <c r="AC162" t="s">
        <v>53</v>
      </c>
      <c r="AD162" s="13">
        <f>IF(P162&lt;=1,7,7+0.8*ROUNDUP(P162-1,0))</f>
        <v>7</v>
      </c>
      <c r="AE162" s="14">
        <v>0</v>
      </c>
      <c r="AF162" s="14">
        <v>0</v>
      </c>
      <c r="AG162" s="14">
        <v>0</v>
      </c>
      <c r="AH162" s="14">
        <v>0</v>
      </c>
      <c r="AI162" s="14">
        <f t="shared" si="4"/>
        <v>0.42</v>
      </c>
      <c r="AJ162" s="14">
        <f t="shared" si="5"/>
        <v>7.42</v>
      </c>
      <c r="AK162" t="s">
        <v>48</v>
      </c>
      <c r="AN162" s="12"/>
    </row>
    <row r="163" spans="1:40" ht="15" customHeight="1" x14ac:dyDescent="0.35">
      <c r="A163">
        <v>690929</v>
      </c>
      <c r="B163" t="s">
        <v>37</v>
      </c>
      <c r="C163" t="s">
        <v>38</v>
      </c>
      <c r="D163" s="2" t="s">
        <v>39</v>
      </c>
      <c r="E163" s="9" t="s">
        <v>37</v>
      </c>
      <c r="F163" s="10"/>
      <c r="G163" t="s">
        <v>586</v>
      </c>
      <c r="H163" t="s">
        <v>41</v>
      </c>
      <c r="I163" t="s">
        <v>42</v>
      </c>
      <c r="J163" t="s">
        <v>587</v>
      </c>
      <c r="K163" t="s">
        <v>44</v>
      </c>
      <c r="L163">
        <v>2</v>
      </c>
      <c r="M163" t="s">
        <v>45</v>
      </c>
      <c r="N163" t="s">
        <v>46</v>
      </c>
      <c r="O163" t="s">
        <v>47</v>
      </c>
      <c r="P163" s="5">
        <v>1</v>
      </c>
      <c r="Q163" s="11">
        <v>44839.428171296298</v>
      </c>
      <c r="R163" s="12">
        <v>44841</v>
      </c>
      <c r="S163" t="s">
        <v>41</v>
      </c>
      <c r="T163" t="s">
        <v>48</v>
      </c>
      <c r="U163" t="s">
        <v>49</v>
      </c>
      <c r="V163" t="s">
        <v>122</v>
      </c>
      <c r="Y163" t="s">
        <v>588</v>
      </c>
      <c r="Z163">
        <v>17200</v>
      </c>
      <c r="AA163" t="s">
        <v>48</v>
      </c>
      <c r="AB163" t="s">
        <v>104</v>
      </c>
      <c r="AC163" t="s">
        <v>53</v>
      </c>
      <c r="AD163" s="13">
        <f>IF(P163&lt;=1,7,7+0.8*ROUNDUP(P163-1,0))</f>
        <v>7</v>
      </c>
      <c r="AE163" s="14">
        <v>0</v>
      </c>
      <c r="AF163" s="14">
        <v>0</v>
      </c>
      <c r="AG163" s="14">
        <v>0</v>
      </c>
      <c r="AH163" s="14">
        <v>0</v>
      </c>
      <c r="AI163" s="14">
        <f t="shared" si="4"/>
        <v>0.42</v>
      </c>
      <c r="AJ163" s="14">
        <f t="shared" si="5"/>
        <v>7.42</v>
      </c>
      <c r="AK163" t="s">
        <v>48</v>
      </c>
      <c r="AN163" s="12"/>
    </row>
    <row r="164" spans="1:40" ht="15" customHeight="1" x14ac:dyDescent="0.35">
      <c r="A164">
        <v>690929</v>
      </c>
      <c r="B164" t="s">
        <v>37</v>
      </c>
      <c r="C164" t="s">
        <v>38</v>
      </c>
      <c r="D164" s="2" t="s">
        <v>39</v>
      </c>
      <c r="E164" s="9" t="s">
        <v>37</v>
      </c>
      <c r="F164" s="10"/>
      <c r="G164" t="s">
        <v>589</v>
      </c>
      <c r="H164" t="s">
        <v>41</v>
      </c>
      <c r="I164" t="s">
        <v>42</v>
      </c>
      <c r="J164" t="s">
        <v>590</v>
      </c>
      <c r="K164" t="s">
        <v>44</v>
      </c>
      <c r="L164">
        <v>2</v>
      </c>
      <c r="M164" t="s">
        <v>45</v>
      </c>
      <c r="N164" t="s">
        <v>46</v>
      </c>
      <c r="O164" t="s">
        <v>47</v>
      </c>
      <c r="P164" s="5">
        <v>1</v>
      </c>
      <c r="Q164" s="11">
        <v>44840.736921296295</v>
      </c>
      <c r="R164" s="12">
        <v>44842</v>
      </c>
      <c r="S164" t="s">
        <v>41</v>
      </c>
      <c r="T164" t="s">
        <v>48</v>
      </c>
      <c r="U164" t="s">
        <v>104</v>
      </c>
      <c r="V164" t="s">
        <v>61</v>
      </c>
      <c r="Y164" t="s">
        <v>591</v>
      </c>
      <c r="Z164">
        <v>47830</v>
      </c>
      <c r="AA164" t="s">
        <v>48</v>
      </c>
      <c r="AB164" t="s">
        <v>52</v>
      </c>
      <c r="AC164" t="s">
        <v>53</v>
      </c>
      <c r="AD164" s="13">
        <f>IF(P164&lt;=1,7,7+0.8*ROUNDUP(P164-1,0))</f>
        <v>7</v>
      </c>
      <c r="AE164" s="14">
        <v>0</v>
      </c>
      <c r="AF164" s="14">
        <v>0</v>
      </c>
      <c r="AG164" s="14">
        <v>0</v>
      </c>
      <c r="AH164" s="14">
        <v>0</v>
      </c>
      <c r="AI164" s="14">
        <f t="shared" si="4"/>
        <v>0.42</v>
      </c>
      <c r="AJ164" s="14">
        <f t="shared" si="5"/>
        <v>7.42</v>
      </c>
      <c r="AK164" t="s">
        <v>48</v>
      </c>
      <c r="AN164" s="12"/>
    </row>
    <row r="165" spans="1:40" ht="15" customHeight="1" x14ac:dyDescent="0.35">
      <c r="A165">
        <v>690929</v>
      </c>
      <c r="B165" t="s">
        <v>37</v>
      </c>
      <c r="C165" t="s">
        <v>38</v>
      </c>
      <c r="D165" s="2" t="s">
        <v>39</v>
      </c>
      <c r="E165" s="9" t="s">
        <v>37</v>
      </c>
      <c r="F165" s="10"/>
      <c r="G165" t="s">
        <v>592</v>
      </c>
      <c r="H165" t="s">
        <v>41</v>
      </c>
      <c r="I165" t="s">
        <v>42</v>
      </c>
      <c r="J165" t="s">
        <v>593</v>
      </c>
      <c r="K165" t="s">
        <v>44</v>
      </c>
      <c r="L165">
        <v>2</v>
      </c>
      <c r="M165" t="s">
        <v>45</v>
      </c>
      <c r="N165" t="s">
        <v>46</v>
      </c>
      <c r="O165" t="s">
        <v>47</v>
      </c>
      <c r="P165" s="5">
        <v>1</v>
      </c>
      <c r="Q165" s="11">
        <v>44840.619456018518</v>
      </c>
      <c r="R165" s="12">
        <v>44842</v>
      </c>
      <c r="S165" t="s">
        <v>41</v>
      </c>
      <c r="T165" t="s">
        <v>48</v>
      </c>
      <c r="U165" t="s">
        <v>49</v>
      </c>
      <c r="V165" t="s">
        <v>56</v>
      </c>
      <c r="Y165" t="s">
        <v>594</v>
      </c>
      <c r="Z165">
        <v>84050</v>
      </c>
      <c r="AA165" t="s">
        <v>48</v>
      </c>
      <c r="AB165" t="s">
        <v>52</v>
      </c>
      <c r="AC165" t="s">
        <v>53</v>
      </c>
      <c r="AD165" s="13">
        <f>IF(P165&lt;=1,7,7+0.8*ROUNDUP(P165-1,0))</f>
        <v>7</v>
      </c>
      <c r="AE165" s="14">
        <v>0</v>
      </c>
      <c r="AF165" s="14">
        <v>0</v>
      </c>
      <c r="AG165" s="14">
        <v>0</v>
      </c>
      <c r="AH165" s="14">
        <v>0</v>
      </c>
      <c r="AI165" s="14">
        <f t="shared" si="4"/>
        <v>0.42</v>
      </c>
      <c r="AJ165" s="14">
        <f t="shared" si="5"/>
        <v>7.42</v>
      </c>
      <c r="AK165" t="s">
        <v>48</v>
      </c>
      <c r="AN165" s="12"/>
    </row>
    <row r="166" spans="1:40" ht="15" customHeight="1" x14ac:dyDescent="0.35">
      <c r="A166">
        <v>690929</v>
      </c>
      <c r="B166" t="s">
        <v>37</v>
      </c>
      <c r="C166" t="s">
        <v>38</v>
      </c>
      <c r="D166" s="2" t="s">
        <v>39</v>
      </c>
      <c r="E166" s="9" t="s">
        <v>37</v>
      </c>
      <c r="F166" s="10"/>
      <c r="G166" t="s">
        <v>595</v>
      </c>
      <c r="H166" t="s">
        <v>41</v>
      </c>
      <c r="I166" t="s">
        <v>42</v>
      </c>
      <c r="J166" t="s">
        <v>596</v>
      </c>
      <c r="K166" t="s">
        <v>44</v>
      </c>
      <c r="L166">
        <v>2</v>
      </c>
      <c r="M166" t="s">
        <v>45</v>
      </c>
      <c r="N166" t="s">
        <v>46</v>
      </c>
      <c r="O166" t="s">
        <v>47</v>
      </c>
      <c r="P166" s="5">
        <v>1</v>
      </c>
      <c r="Q166" s="11">
        <v>44840.384884259256</v>
      </c>
      <c r="R166" s="12">
        <v>44842</v>
      </c>
      <c r="S166" t="s">
        <v>41</v>
      </c>
      <c r="T166" t="s">
        <v>48</v>
      </c>
      <c r="U166" t="s">
        <v>49</v>
      </c>
      <c r="V166" t="s">
        <v>50</v>
      </c>
      <c r="Y166" t="s">
        <v>597</v>
      </c>
      <c r="Z166">
        <v>9300</v>
      </c>
      <c r="AA166" t="s">
        <v>48</v>
      </c>
      <c r="AB166" t="s">
        <v>52</v>
      </c>
      <c r="AC166" t="s">
        <v>53</v>
      </c>
      <c r="AD166" s="13">
        <f>IF(P166&lt;=1,7,7+0.8*ROUNDUP(P166-1,0))</f>
        <v>7</v>
      </c>
      <c r="AE166" s="14">
        <v>0</v>
      </c>
      <c r="AF166" s="14">
        <v>0</v>
      </c>
      <c r="AG166" s="14">
        <v>0</v>
      </c>
      <c r="AH166" s="14">
        <v>0</v>
      </c>
      <c r="AI166" s="14">
        <f t="shared" si="4"/>
        <v>0.42</v>
      </c>
      <c r="AJ166" s="14">
        <f t="shared" si="5"/>
        <v>7.42</v>
      </c>
      <c r="AK166" t="s">
        <v>48</v>
      </c>
      <c r="AN166" s="12"/>
    </row>
    <row r="167" spans="1:40" ht="15" customHeight="1" x14ac:dyDescent="0.35">
      <c r="A167">
        <v>690929</v>
      </c>
      <c r="B167" t="s">
        <v>37</v>
      </c>
      <c r="C167" t="s">
        <v>38</v>
      </c>
      <c r="D167" s="2" t="s">
        <v>39</v>
      </c>
      <c r="E167" s="9" t="s">
        <v>37</v>
      </c>
      <c r="F167" s="10"/>
      <c r="G167" t="s">
        <v>598</v>
      </c>
      <c r="H167" t="s">
        <v>41</v>
      </c>
      <c r="I167" t="s">
        <v>42</v>
      </c>
      <c r="J167" t="s">
        <v>599</v>
      </c>
      <c r="K167" t="s">
        <v>44</v>
      </c>
      <c r="L167">
        <v>2</v>
      </c>
      <c r="M167" t="s">
        <v>45</v>
      </c>
      <c r="N167" t="s">
        <v>46</v>
      </c>
      <c r="O167" t="s">
        <v>47</v>
      </c>
      <c r="P167" s="5">
        <v>1</v>
      </c>
      <c r="Q167" s="11">
        <v>44840.74496527778</v>
      </c>
      <c r="R167" s="12">
        <v>44842</v>
      </c>
      <c r="S167" t="s">
        <v>41</v>
      </c>
      <c r="T167" t="s">
        <v>48</v>
      </c>
      <c r="U167" t="s">
        <v>104</v>
      </c>
      <c r="V167" t="s">
        <v>87</v>
      </c>
      <c r="Y167" t="s">
        <v>600</v>
      </c>
      <c r="Z167">
        <v>20400</v>
      </c>
      <c r="AA167" t="s">
        <v>48</v>
      </c>
      <c r="AB167" t="s">
        <v>104</v>
      </c>
      <c r="AC167" t="s">
        <v>53</v>
      </c>
      <c r="AD167" s="13">
        <f>IF(P167&lt;=1,7,7+0.8*ROUNDUP(P167-1,0))</f>
        <v>7</v>
      </c>
      <c r="AE167" s="14">
        <v>0</v>
      </c>
      <c r="AF167" s="14">
        <v>0</v>
      </c>
      <c r="AG167" s="14">
        <v>0</v>
      </c>
      <c r="AH167" s="14">
        <v>0</v>
      </c>
      <c r="AI167" s="14">
        <f t="shared" si="4"/>
        <v>0.42</v>
      </c>
      <c r="AJ167" s="14">
        <f t="shared" si="5"/>
        <v>7.42</v>
      </c>
      <c r="AK167" t="s">
        <v>48</v>
      </c>
      <c r="AN167" s="12"/>
    </row>
    <row r="168" spans="1:40" ht="15" customHeight="1" x14ac:dyDescent="0.35">
      <c r="A168">
        <v>690929</v>
      </c>
      <c r="B168" t="s">
        <v>37</v>
      </c>
      <c r="C168" t="s">
        <v>38</v>
      </c>
      <c r="D168" s="2" t="s">
        <v>39</v>
      </c>
      <c r="E168" s="9" t="s">
        <v>37</v>
      </c>
      <c r="F168" s="10"/>
      <c r="G168" t="s">
        <v>601</v>
      </c>
      <c r="H168" t="s">
        <v>41</v>
      </c>
      <c r="I168" t="s">
        <v>42</v>
      </c>
      <c r="J168" t="s">
        <v>602</v>
      </c>
      <c r="K168" t="s">
        <v>44</v>
      </c>
      <c r="L168">
        <v>2</v>
      </c>
      <c r="M168" t="s">
        <v>45</v>
      </c>
      <c r="N168" t="s">
        <v>46</v>
      </c>
      <c r="O168" t="s">
        <v>47</v>
      </c>
      <c r="P168" s="5">
        <v>1</v>
      </c>
      <c r="Q168" s="11">
        <v>44839.737951388888</v>
      </c>
      <c r="R168" s="12">
        <v>44842</v>
      </c>
      <c r="S168" t="s">
        <v>41</v>
      </c>
      <c r="T168" t="s">
        <v>48</v>
      </c>
      <c r="U168" t="s">
        <v>49</v>
      </c>
      <c r="V168" t="s">
        <v>56</v>
      </c>
      <c r="Y168" t="s">
        <v>603</v>
      </c>
      <c r="Z168">
        <v>81200</v>
      </c>
      <c r="AA168" t="s">
        <v>48</v>
      </c>
      <c r="AB168" t="s">
        <v>52</v>
      </c>
      <c r="AC168" t="s">
        <v>53</v>
      </c>
      <c r="AD168" s="13">
        <f>IF(P168&lt;=1,7,7+0.8*ROUNDUP(P168-1,0))</f>
        <v>7</v>
      </c>
      <c r="AE168" s="14">
        <v>0</v>
      </c>
      <c r="AF168" s="14">
        <v>0</v>
      </c>
      <c r="AG168" s="14">
        <v>0</v>
      </c>
      <c r="AH168" s="14">
        <v>0</v>
      </c>
      <c r="AI168" s="14">
        <f t="shared" si="4"/>
        <v>0.42</v>
      </c>
      <c r="AJ168" s="14">
        <f t="shared" si="5"/>
        <v>7.42</v>
      </c>
      <c r="AK168" t="s">
        <v>48</v>
      </c>
      <c r="AN168" s="12"/>
    </row>
    <row r="169" spans="1:40" ht="15" customHeight="1" x14ac:dyDescent="0.35">
      <c r="A169">
        <v>690929</v>
      </c>
      <c r="B169" t="s">
        <v>37</v>
      </c>
      <c r="C169" t="s">
        <v>38</v>
      </c>
      <c r="D169" s="2" t="s">
        <v>39</v>
      </c>
      <c r="E169" s="9" t="s">
        <v>37</v>
      </c>
      <c r="F169" s="10"/>
      <c r="G169" t="s">
        <v>604</v>
      </c>
      <c r="H169" t="s">
        <v>41</v>
      </c>
      <c r="I169" t="s">
        <v>42</v>
      </c>
      <c r="J169" t="s">
        <v>605</v>
      </c>
      <c r="K169" t="s">
        <v>44</v>
      </c>
      <c r="L169">
        <v>2</v>
      </c>
      <c r="M169" t="s">
        <v>45</v>
      </c>
      <c r="N169" t="s">
        <v>46</v>
      </c>
      <c r="O169" t="s">
        <v>47</v>
      </c>
      <c r="P169" s="5">
        <v>1</v>
      </c>
      <c r="Q169" s="11">
        <v>44841.418287037035</v>
      </c>
      <c r="R169" s="12">
        <v>44843</v>
      </c>
      <c r="S169" t="s">
        <v>41</v>
      </c>
      <c r="T169" t="s">
        <v>48</v>
      </c>
      <c r="U169" t="s">
        <v>104</v>
      </c>
      <c r="V169" t="s">
        <v>56</v>
      </c>
      <c r="Y169" t="s">
        <v>606</v>
      </c>
      <c r="Z169">
        <v>86400</v>
      </c>
      <c r="AA169" t="s">
        <v>48</v>
      </c>
      <c r="AB169" t="s">
        <v>52</v>
      </c>
      <c r="AC169" t="s">
        <v>53</v>
      </c>
      <c r="AD169" s="13">
        <f>IF(P169&lt;=1,7,7+0.8*ROUNDUP(P169-1,0))</f>
        <v>7</v>
      </c>
      <c r="AE169" s="14">
        <v>0</v>
      </c>
      <c r="AF169" s="14">
        <v>0</v>
      </c>
      <c r="AG169" s="14">
        <v>0</v>
      </c>
      <c r="AH169" s="14">
        <v>0</v>
      </c>
      <c r="AI169" s="14">
        <f t="shared" si="4"/>
        <v>0.42</v>
      </c>
      <c r="AJ169" s="14">
        <f t="shared" si="5"/>
        <v>7.42</v>
      </c>
      <c r="AK169" t="s">
        <v>48</v>
      </c>
      <c r="AN169" s="12"/>
    </row>
    <row r="170" spans="1:40" ht="15" customHeight="1" x14ac:dyDescent="0.35">
      <c r="A170">
        <v>690929</v>
      </c>
      <c r="B170" t="s">
        <v>37</v>
      </c>
      <c r="C170" t="s">
        <v>38</v>
      </c>
      <c r="D170" s="2" t="s">
        <v>39</v>
      </c>
      <c r="E170" s="9" t="s">
        <v>37</v>
      </c>
      <c r="F170" s="10"/>
      <c r="G170" t="s">
        <v>607</v>
      </c>
      <c r="H170" t="s">
        <v>41</v>
      </c>
      <c r="I170" t="s">
        <v>42</v>
      </c>
      <c r="J170" t="s">
        <v>608</v>
      </c>
      <c r="K170" t="s">
        <v>44</v>
      </c>
      <c r="L170">
        <v>2</v>
      </c>
      <c r="M170" t="s">
        <v>45</v>
      </c>
      <c r="N170" t="s">
        <v>46</v>
      </c>
      <c r="O170" t="s">
        <v>47</v>
      </c>
      <c r="P170" s="5">
        <v>1</v>
      </c>
      <c r="Q170" s="11">
        <v>44842.642025462963</v>
      </c>
      <c r="R170" s="12">
        <v>44843</v>
      </c>
      <c r="S170" t="s">
        <v>41</v>
      </c>
      <c r="T170" t="s">
        <v>48</v>
      </c>
      <c r="U170" t="s">
        <v>49</v>
      </c>
      <c r="V170" t="s">
        <v>231</v>
      </c>
      <c r="Y170" t="s">
        <v>609</v>
      </c>
      <c r="Z170">
        <v>31350</v>
      </c>
      <c r="AA170" t="s">
        <v>48</v>
      </c>
      <c r="AB170" t="s">
        <v>49</v>
      </c>
      <c r="AC170" t="s">
        <v>53</v>
      </c>
      <c r="AD170" s="13">
        <f>IF(P170&lt;=1,7,7+0.8*ROUNDUP(P170-1,0))</f>
        <v>7</v>
      </c>
      <c r="AE170" s="14">
        <v>0</v>
      </c>
      <c r="AF170" s="14">
        <v>0</v>
      </c>
      <c r="AG170" s="14">
        <v>0</v>
      </c>
      <c r="AH170" s="14">
        <v>0</v>
      </c>
      <c r="AI170" s="14">
        <f t="shared" si="4"/>
        <v>0.42</v>
      </c>
      <c r="AJ170" s="14">
        <f t="shared" si="5"/>
        <v>7.42</v>
      </c>
      <c r="AK170" t="s">
        <v>48</v>
      </c>
      <c r="AN170" s="12"/>
    </row>
    <row r="171" spans="1:40" ht="15" customHeight="1" x14ac:dyDescent="0.35">
      <c r="A171">
        <v>690929</v>
      </c>
      <c r="B171" t="s">
        <v>37</v>
      </c>
      <c r="C171" t="s">
        <v>38</v>
      </c>
      <c r="D171" s="2" t="s">
        <v>39</v>
      </c>
      <c r="E171" s="9" t="s">
        <v>37</v>
      </c>
      <c r="F171" s="10"/>
      <c r="G171" t="s">
        <v>610</v>
      </c>
      <c r="H171" t="s">
        <v>41</v>
      </c>
      <c r="I171" t="s">
        <v>42</v>
      </c>
      <c r="J171" t="s">
        <v>611</v>
      </c>
      <c r="K171" t="s">
        <v>44</v>
      </c>
      <c r="L171">
        <v>2</v>
      </c>
      <c r="M171" t="s">
        <v>45</v>
      </c>
      <c r="N171" t="s">
        <v>46</v>
      </c>
      <c r="O171" t="s">
        <v>47</v>
      </c>
      <c r="P171" s="5">
        <v>1</v>
      </c>
      <c r="Q171" s="11">
        <v>44842.43074074074</v>
      </c>
      <c r="R171" s="12">
        <v>44843</v>
      </c>
      <c r="S171" t="s">
        <v>41</v>
      </c>
      <c r="T171" t="s">
        <v>48</v>
      </c>
      <c r="U171" t="s">
        <v>49</v>
      </c>
      <c r="V171" t="s">
        <v>133</v>
      </c>
      <c r="Y171" t="s">
        <v>612</v>
      </c>
      <c r="Z171">
        <v>27200</v>
      </c>
      <c r="AA171" t="s">
        <v>48</v>
      </c>
      <c r="AB171" t="s">
        <v>49</v>
      </c>
      <c r="AC171" t="s">
        <v>53</v>
      </c>
      <c r="AD171" s="13">
        <f>IF(P171&lt;=1,7,7+0.8*ROUNDUP(P171-1,0))</f>
        <v>7</v>
      </c>
      <c r="AE171" s="14">
        <v>0</v>
      </c>
      <c r="AF171" s="14">
        <v>0</v>
      </c>
      <c r="AG171" s="14">
        <v>0</v>
      </c>
      <c r="AH171" s="14">
        <v>0</v>
      </c>
      <c r="AI171" s="14">
        <f t="shared" si="4"/>
        <v>0.42</v>
      </c>
      <c r="AJ171" s="14">
        <f t="shared" si="5"/>
        <v>7.42</v>
      </c>
      <c r="AK171" t="s">
        <v>48</v>
      </c>
      <c r="AN171" s="12"/>
    </row>
    <row r="172" spans="1:40" ht="15" customHeight="1" x14ac:dyDescent="0.35">
      <c r="A172">
        <v>690929</v>
      </c>
      <c r="B172" t="s">
        <v>37</v>
      </c>
      <c r="C172" t="s">
        <v>38</v>
      </c>
      <c r="D172" s="2" t="s">
        <v>39</v>
      </c>
      <c r="E172" s="9" t="s">
        <v>37</v>
      </c>
      <c r="F172" s="10"/>
      <c r="G172" t="s">
        <v>613</v>
      </c>
      <c r="H172" t="s">
        <v>41</v>
      </c>
      <c r="I172" t="s">
        <v>42</v>
      </c>
      <c r="J172" t="s">
        <v>614</v>
      </c>
      <c r="K172" t="s">
        <v>44</v>
      </c>
      <c r="L172">
        <v>2</v>
      </c>
      <c r="M172" t="s">
        <v>45</v>
      </c>
      <c r="N172" t="s">
        <v>46</v>
      </c>
      <c r="O172" t="s">
        <v>47</v>
      </c>
      <c r="P172" s="5">
        <v>1</v>
      </c>
      <c r="Q172" s="11">
        <v>44841.471168981479</v>
      </c>
      <c r="R172" s="12">
        <v>44843</v>
      </c>
      <c r="S172" t="s">
        <v>41</v>
      </c>
      <c r="T172" t="s">
        <v>48</v>
      </c>
      <c r="U172" t="s">
        <v>104</v>
      </c>
      <c r="V172" t="s">
        <v>56</v>
      </c>
      <c r="Y172" t="s">
        <v>615</v>
      </c>
      <c r="Z172">
        <v>83000</v>
      </c>
      <c r="AA172" t="s">
        <v>48</v>
      </c>
      <c r="AB172" t="s">
        <v>52</v>
      </c>
      <c r="AC172" t="s">
        <v>53</v>
      </c>
      <c r="AD172" s="13">
        <f>IF(P172&lt;=1,7,7+0.8*ROUNDUP(P172-1,0))</f>
        <v>7</v>
      </c>
      <c r="AE172" s="14">
        <v>0</v>
      </c>
      <c r="AF172" s="14">
        <v>0</v>
      </c>
      <c r="AG172" s="14">
        <v>0</v>
      </c>
      <c r="AH172" s="14">
        <v>0</v>
      </c>
      <c r="AI172" s="14">
        <f t="shared" si="4"/>
        <v>0.42</v>
      </c>
      <c r="AJ172" s="14">
        <f t="shared" si="5"/>
        <v>7.42</v>
      </c>
      <c r="AK172" t="s">
        <v>48</v>
      </c>
      <c r="AN172" s="12"/>
    </row>
    <row r="173" spans="1:40" ht="15" customHeight="1" x14ac:dyDescent="0.35">
      <c r="A173">
        <v>690929</v>
      </c>
      <c r="B173" t="s">
        <v>37</v>
      </c>
      <c r="C173" t="s">
        <v>38</v>
      </c>
      <c r="D173" s="2" t="s">
        <v>39</v>
      </c>
      <c r="E173" s="9" t="s">
        <v>37</v>
      </c>
      <c r="F173" s="10"/>
      <c r="G173" t="s">
        <v>616</v>
      </c>
      <c r="H173" t="s">
        <v>41</v>
      </c>
      <c r="I173" t="s">
        <v>42</v>
      </c>
      <c r="J173" t="s">
        <v>617</v>
      </c>
      <c r="K173" t="s">
        <v>44</v>
      </c>
      <c r="L173">
        <v>2</v>
      </c>
      <c r="M173" t="s">
        <v>45</v>
      </c>
      <c r="N173" t="s">
        <v>46</v>
      </c>
      <c r="O173" t="s">
        <v>47</v>
      </c>
      <c r="P173" s="5">
        <v>1</v>
      </c>
      <c r="Q173" s="11">
        <v>44841.480381944442</v>
      </c>
      <c r="R173" s="12">
        <v>44843</v>
      </c>
      <c r="S173" t="s">
        <v>41</v>
      </c>
      <c r="T173" t="s">
        <v>48</v>
      </c>
      <c r="U173" t="s">
        <v>104</v>
      </c>
      <c r="V173" t="s">
        <v>87</v>
      </c>
      <c r="Y173" t="s">
        <v>618</v>
      </c>
      <c r="Z173">
        <v>24210</v>
      </c>
      <c r="AA173" t="s">
        <v>48</v>
      </c>
      <c r="AB173" t="s">
        <v>104</v>
      </c>
      <c r="AC173" t="s">
        <v>53</v>
      </c>
      <c r="AD173" s="13">
        <f>IF(P173&lt;=1,7,7+0.8*ROUNDUP(P173-1,0))</f>
        <v>7</v>
      </c>
      <c r="AE173" s="14">
        <v>0</v>
      </c>
      <c r="AF173" s="14">
        <v>0</v>
      </c>
      <c r="AG173" s="14">
        <v>0</v>
      </c>
      <c r="AH173" s="14">
        <v>0</v>
      </c>
      <c r="AI173" s="14">
        <f t="shared" si="4"/>
        <v>0.42</v>
      </c>
      <c r="AJ173" s="14">
        <f t="shared" si="5"/>
        <v>7.42</v>
      </c>
      <c r="AK173" t="s">
        <v>48</v>
      </c>
      <c r="AN173" s="12"/>
    </row>
    <row r="174" spans="1:40" ht="15" customHeight="1" x14ac:dyDescent="0.35">
      <c r="A174">
        <v>690929</v>
      </c>
      <c r="B174" t="s">
        <v>37</v>
      </c>
      <c r="C174" t="s">
        <v>38</v>
      </c>
      <c r="D174" s="2" t="s">
        <v>39</v>
      </c>
      <c r="E174" s="9" t="s">
        <v>37</v>
      </c>
      <c r="F174" s="10"/>
      <c r="G174" t="s">
        <v>619</v>
      </c>
      <c r="H174" t="s">
        <v>41</v>
      </c>
      <c r="I174" t="s">
        <v>42</v>
      </c>
      <c r="J174" t="s">
        <v>620</v>
      </c>
      <c r="K174" t="s">
        <v>44</v>
      </c>
      <c r="L174">
        <v>2</v>
      </c>
      <c r="M174" t="s">
        <v>45</v>
      </c>
      <c r="N174" t="s">
        <v>46</v>
      </c>
      <c r="O174" t="s">
        <v>47</v>
      </c>
      <c r="P174" s="5">
        <v>1</v>
      </c>
      <c r="Q174" s="11">
        <v>44842.562465277777</v>
      </c>
      <c r="R174" s="12">
        <v>44844</v>
      </c>
      <c r="S174" t="s">
        <v>41</v>
      </c>
      <c r="T174" t="s">
        <v>48</v>
      </c>
      <c r="U174" t="s">
        <v>49</v>
      </c>
      <c r="V174" t="s">
        <v>56</v>
      </c>
      <c r="Y174" t="s">
        <v>621</v>
      </c>
      <c r="Z174">
        <v>84800</v>
      </c>
      <c r="AA174" t="s">
        <v>48</v>
      </c>
      <c r="AB174" t="s">
        <v>52</v>
      </c>
      <c r="AC174" t="s">
        <v>53</v>
      </c>
      <c r="AD174" s="13">
        <f>IF(P174&lt;=1,7,7+0.8*ROUNDUP(P174-1,0))</f>
        <v>7</v>
      </c>
      <c r="AE174" s="14">
        <v>0</v>
      </c>
      <c r="AF174" s="14">
        <v>0</v>
      </c>
      <c r="AG174" s="14">
        <v>0</v>
      </c>
      <c r="AH174" s="14">
        <v>0</v>
      </c>
      <c r="AI174" s="14">
        <f t="shared" si="4"/>
        <v>0.42</v>
      </c>
      <c r="AJ174" s="14">
        <f t="shared" si="5"/>
        <v>7.42</v>
      </c>
      <c r="AK174" t="s">
        <v>48</v>
      </c>
      <c r="AN174" s="12"/>
    </row>
    <row r="175" spans="1:40" ht="15" customHeight="1" x14ac:dyDescent="0.35">
      <c r="A175">
        <v>690929</v>
      </c>
      <c r="B175" t="s">
        <v>37</v>
      </c>
      <c r="C175" t="s">
        <v>38</v>
      </c>
      <c r="D175" s="2" t="s">
        <v>39</v>
      </c>
      <c r="E175" s="9" t="s">
        <v>37</v>
      </c>
      <c r="F175" s="10"/>
      <c r="G175" t="s">
        <v>622</v>
      </c>
      <c r="H175" t="s">
        <v>41</v>
      </c>
      <c r="I175" t="s">
        <v>42</v>
      </c>
      <c r="J175" t="s">
        <v>623</v>
      </c>
      <c r="K175" t="s">
        <v>44</v>
      </c>
      <c r="L175">
        <v>2</v>
      </c>
      <c r="M175" t="s">
        <v>45</v>
      </c>
      <c r="N175" t="s">
        <v>46</v>
      </c>
      <c r="O175" t="s">
        <v>47</v>
      </c>
      <c r="P175" s="5">
        <v>2</v>
      </c>
      <c r="Q175" s="11">
        <v>44842.777997685182</v>
      </c>
      <c r="R175" s="12">
        <v>44844</v>
      </c>
      <c r="S175" t="s">
        <v>41</v>
      </c>
      <c r="T175" t="s">
        <v>48</v>
      </c>
      <c r="U175" t="s">
        <v>49</v>
      </c>
      <c r="V175" t="s">
        <v>61</v>
      </c>
      <c r="Y175" t="s">
        <v>624</v>
      </c>
      <c r="Z175">
        <v>42300</v>
      </c>
      <c r="AA175" t="s">
        <v>48</v>
      </c>
      <c r="AB175" t="s">
        <v>625</v>
      </c>
      <c r="AC175" t="s">
        <v>53</v>
      </c>
      <c r="AD175" s="13">
        <f>IF(P175&lt;=1,7,7+0.8*ROUNDUP(P175-1,0))</f>
        <v>7.8</v>
      </c>
      <c r="AE175" s="14">
        <v>0</v>
      </c>
      <c r="AF175" s="14">
        <v>0</v>
      </c>
      <c r="AG175" s="14">
        <v>0</v>
      </c>
      <c r="AH175" s="14">
        <v>0</v>
      </c>
      <c r="AI175" s="14">
        <f t="shared" si="4"/>
        <v>0.46799999999999997</v>
      </c>
      <c r="AJ175" s="14">
        <f t="shared" si="5"/>
        <v>8.2680000000000007</v>
      </c>
      <c r="AK175" t="s">
        <v>48</v>
      </c>
      <c r="AN175" s="12"/>
    </row>
    <row r="176" spans="1:40" ht="15" customHeight="1" x14ac:dyDescent="0.35">
      <c r="A176">
        <v>690929</v>
      </c>
      <c r="B176" t="s">
        <v>37</v>
      </c>
      <c r="C176" t="s">
        <v>38</v>
      </c>
      <c r="D176" s="2" t="s">
        <v>39</v>
      </c>
      <c r="E176" s="9" t="s">
        <v>37</v>
      </c>
      <c r="F176" s="10"/>
      <c r="G176" t="s">
        <v>626</v>
      </c>
      <c r="H176" t="s">
        <v>41</v>
      </c>
      <c r="I176" t="s">
        <v>42</v>
      </c>
      <c r="J176" t="s">
        <v>627</v>
      </c>
      <c r="K176" t="s">
        <v>44</v>
      </c>
      <c r="L176">
        <v>2</v>
      </c>
      <c r="M176" t="s">
        <v>45</v>
      </c>
      <c r="N176" t="s">
        <v>46</v>
      </c>
      <c r="O176" t="s">
        <v>47</v>
      </c>
      <c r="P176" s="5">
        <v>2</v>
      </c>
      <c r="Q176" s="11">
        <v>44842.776875000003</v>
      </c>
      <c r="R176" s="12">
        <v>44844</v>
      </c>
      <c r="S176" t="s">
        <v>41</v>
      </c>
      <c r="T176" t="s">
        <v>48</v>
      </c>
      <c r="U176" t="s">
        <v>49</v>
      </c>
      <c r="V176" t="s">
        <v>61</v>
      </c>
      <c r="Y176" t="s">
        <v>628</v>
      </c>
      <c r="Z176">
        <v>68100</v>
      </c>
      <c r="AA176" t="s">
        <v>48</v>
      </c>
      <c r="AB176" t="s">
        <v>629</v>
      </c>
      <c r="AC176" t="s">
        <v>53</v>
      </c>
      <c r="AD176" s="13">
        <f>IF(P176&lt;=1,7,7+0.8*ROUNDUP(P176-1,0))</f>
        <v>7.8</v>
      </c>
      <c r="AE176" s="14">
        <v>0</v>
      </c>
      <c r="AF176" s="14">
        <v>0</v>
      </c>
      <c r="AG176" s="14">
        <v>0</v>
      </c>
      <c r="AH176" s="14">
        <v>0</v>
      </c>
      <c r="AI176" s="14">
        <f t="shared" si="4"/>
        <v>0.46799999999999997</v>
      </c>
      <c r="AJ176" s="14">
        <f t="shared" si="5"/>
        <v>8.2680000000000007</v>
      </c>
      <c r="AK176" t="s">
        <v>48</v>
      </c>
      <c r="AN176" s="12"/>
    </row>
    <row r="177" spans="1:40" ht="15" customHeight="1" x14ac:dyDescent="0.35">
      <c r="A177">
        <v>690929</v>
      </c>
      <c r="B177" t="s">
        <v>37</v>
      </c>
      <c r="C177" t="s">
        <v>38</v>
      </c>
      <c r="D177" s="2" t="s">
        <v>39</v>
      </c>
      <c r="E177" s="9" t="s">
        <v>37</v>
      </c>
      <c r="F177" s="10"/>
      <c r="G177" t="s">
        <v>630</v>
      </c>
      <c r="H177" t="s">
        <v>41</v>
      </c>
      <c r="I177" t="s">
        <v>42</v>
      </c>
      <c r="J177" t="s">
        <v>631</v>
      </c>
      <c r="K177" t="s">
        <v>44</v>
      </c>
      <c r="L177">
        <v>2</v>
      </c>
      <c r="M177" t="s">
        <v>45</v>
      </c>
      <c r="N177" t="s">
        <v>46</v>
      </c>
      <c r="O177" t="s">
        <v>47</v>
      </c>
      <c r="P177" s="5">
        <v>1</v>
      </c>
      <c r="Q177" s="11">
        <v>44842.561620370368</v>
      </c>
      <c r="R177" s="12">
        <v>44844</v>
      </c>
      <c r="S177" t="s">
        <v>41</v>
      </c>
      <c r="T177" t="s">
        <v>48</v>
      </c>
      <c r="U177" t="s">
        <v>49</v>
      </c>
      <c r="V177" t="s">
        <v>56</v>
      </c>
      <c r="Y177" t="s">
        <v>632</v>
      </c>
      <c r="Z177">
        <v>80200</v>
      </c>
      <c r="AA177" t="s">
        <v>48</v>
      </c>
      <c r="AB177" t="s">
        <v>52</v>
      </c>
      <c r="AC177" t="s">
        <v>53</v>
      </c>
      <c r="AD177" s="13">
        <f>IF(P177&lt;=1,7,7+0.8*ROUNDUP(P177-1,0))</f>
        <v>7</v>
      </c>
      <c r="AE177" s="14">
        <v>0</v>
      </c>
      <c r="AF177" s="14">
        <v>0</v>
      </c>
      <c r="AG177" s="14">
        <v>0</v>
      </c>
      <c r="AH177" s="14">
        <v>0</v>
      </c>
      <c r="AI177" s="14">
        <f t="shared" si="4"/>
        <v>0.42</v>
      </c>
      <c r="AJ177" s="14">
        <f t="shared" si="5"/>
        <v>7.42</v>
      </c>
      <c r="AK177" t="s">
        <v>48</v>
      </c>
      <c r="AN177" s="12"/>
    </row>
    <row r="178" spans="1:40" ht="15" customHeight="1" x14ac:dyDescent="0.35">
      <c r="A178">
        <v>690929</v>
      </c>
      <c r="B178" t="s">
        <v>37</v>
      </c>
      <c r="C178" t="s">
        <v>38</v>
      </c>
      <c r="D178" s="2" t="s">
        <v>39</v>
      </c>
      <c r="E178" s="9" t="s">
        <v>37</v>
      </c>
      <c r="F178" s="10"/>
      <c r="G178" t="s">
        <v>633</v>
      </c>
      <c r="H178" t="s">
        <v>41</v>
      </c>
      <c r="I178" t="s">
        <v>42</v>
      </c>
      <c r="J178" t="s">
        <v>634</v>
      </c>
      <c r="K178" t="s">
        <v>44</v>
      </c>
      <c r="L178">
        <v>2</v>
      </c>
      <c r="M178" t="s">
        <v>45</v>
      </c>
      <c r="N178" t="s">
        <v>46</v>
      </c>
      <c r="O178" t="s">
        <v>47</v>
      </c>
      <c r="P178" s="5">
        <v>2</v>
      </c>
      <c r="Q178" s="11">
        <v>44842.786377314813</v>
      </c>
      <c r="R178" s="12">
        <v>44844</v>
      </c>
      <c r="S178" t="s">
        <v>41</v>
      </c>
      <c r="T178" t="s">
        <v>48</v>
      </c>
      <c r="U178" t="s">
        <v>49</v>
      </c>
      <c r="V178" t="s">
        <v>146</v>
      </c>
      <c r="Y178" t="s">
        <v>635</v>
      </c>
      <c r="Z178">
        <v>71800</v>
      </c>
      <c r="AA178" t="s">
        <v>48</v>
      </c>
      <c r="AB178" t="s">
        <v>636</v>
      </c>
      <c r="AC178" t="s">
        <v>53</v>
      </c>
      <c r="AD178" s="13">
        <f>IF(P178&lt;=1,7,7+0.8*ROUNDUP(P178-1,0))</f>
        <v>7.8</v>
      </c>
      <c r="AE178" s="14">
        <v>0</v>
      </c>
      <c r="AF178" s="14">
        <v>0</v>
      </c>
      <c r="AG178" s="14">
        <v>0</v>
      </c>
      <c r="AH178" s="14">
        <v>0</v>
      </c>
      <c r="AI178" s="14">
        <f t="shared" si="4"/>
        <v>0.46799999999999997</v>
      </c>
      <c r="AJ178" s="14">
        <f t="shared" si="5"/>
        <v>8.2680000000000007</v>
      </c>
      <c r="AK178" t="s">
        <v>48</v>
      </c>
      <c r="AN178" s="12"/>
    </row>
    <row r="179" spans="1:40" ht="15" customHeight="1" x14ac:dyDescent="0.35">
      <c r="A179">
        <v>690929</v>
      </c>
      <c r="B179" t="s">
        <v>37</v>
      </c>
      <c r="C179" t="s">
        <v>38</v>
      </c>
      <c r="D179" s="2" t="s">
        <v>39</v>
      </c>
      <c r="E179" s="9" t="s">
        <v>37</v>
      </c>
      <c r="F179" s="10"/>
      <c r="G179" t="s">
        <v>637</v>
      </c>
      <c r="H179" t="s">
        <v>41</v>
      </c>
      <c r="I179" t="s">
        <v>42</v>
      </c>
      <c r="J179" t="s">
        <v>638</v>
      </c>
      <c r="K179" t="s">
        <v>44</v>
      </c>
      <c r="L179">
        <v>2</v>
      </c>
      <c r="M179" t="s">
        <v>45</v>
      </c>
      <c r="N179" t="s">
        <v>46</v>
      </c>
      <c r="O179" t="s">
        <v>47</v>
      </c>
      <c r="P179" s="5">
        <v>2</v>
      </c>
      <c r="Q179" s="11">
        <v>44842.797719907408</v>
      </c>
      <c r="R179" s="12">
        <v>44844</v>
      </c>
      <c r="S179" t="s">
        <v>41</v>
      </c>
      <c r="T179" t="s">
        <v>48</v>
      </c>
      <c r="U179" t="s">
        <v>49</v>
      </c>
      <c r="V179" t="s">
        <v>87</v>
      </c>
      <c r="Y179" t="s">
        <v>639</v>
      </c>
      <c r="Z179">
        <v>23100</v>
      </c>
      <c r="AA179" t="s">
        <v>48</v>
      </c>
      <c r="AB179" t="s">
        <v>640</v>
      </c>
      <c r="AC179" t="s">
        <v>53</v>
      </c>
      <c r="AD179" s="13">
        <f>IF(P179&lt;=1,7,7+0.8*ROUNDUP(P179-1,0))</f>
        <v>7.8</v>
      </c>
      <c r="AE179" s="14">
        <v>0</v>
      </c>
      <c r="AF179" s="14">
        <v>0</v>
      </c>
      <c r="AG179" s="14">
        <v>0</v>
      </c>
      <c r="AH179" s="14">
        <v>0</v>
      </c>
      <c r="AI179" s="14">
        <f t="shared" si="4"/>
        <v>0.46799999999999997</v>
      </c>
      <c r="AJ179" s="14">
        <f t="shared" si="5"/>
        <v>8.2680000000000007</v>
      </c>
      <c r="AK179" t="s">
        <v>48</v>
      </c>
      <c r="AN179" s="12"/>
    </row>
    <row r="180" spans="1:40" ht="15" customHeight="1" x14ac:dyDescent="0.35">
      <c r="A180">
        <v>690929</v>
      </c>
      <c r="B180" t="s">
        <v>37</v>
      </c>
      <c r="C180" t="s">
        <v>38</v>
      </c>
      <c r="D180" s="2" t="s">
        <v>39</v>
      </c>
      <c r="E180" s="9" t="s">
        <v>37</v>
      </c>
      <c r="F180" s="10"/>
      <c r="G180" t="s">
        <v>641</v>
      </c>
      <c r="H180" t="s">
        <v>41</v>
      </c>
      <c r="I180" t="s">
        <v>42</v>
      </c>
      <c r="J180" t="s">
        <v>642</v>
      </c>
      <c r="K180" t="s">
        <v>44</v>
      </c>
      <c r="L180">
        <v>2</v>
      </c>
      <c r="M180" t="s">
        <v>45</v>
      </c>
      <c r="N180" t="s">
        <v>46</v>
      </c>
      <c r="O180" t="s">
        <v>47</v>
      </c>
      <c r="P180" s="5">
        <v>2</v>
      </c>
      <c r="Q180" s="11">
        <v>44842.7809837963</v>
      </c>
      <c r="R180" s="12">
        <v>44844</v>
      </c>
      <c r="S180" t="s">
        <v>41</v>
      </c>
      <c r="T180" t="s">
        <v>48</v>
      </c>
      <c r="U180" t="s">
        <v>49</v>
      </c>
      <c r="V180" t="s">
        <v>231</v>
      </c>
      <c r="Y180" t="s">
        <v>643</v>
      </c>
      <c r="Z180">
        <v>23040</v>
      </c>
      <c r="AA180" t="s">
        <v>48</v>
      </c>
      <c r="AB180" t="s">
        <v>521</v>
      </c>
      <c r="AC180" t="s">
        <v>53</v>
      </c>
      <c r="AD180" s="13">
        <f>IF(P180&lt;=1,7,7+0.8*ROUNDUP(P180-1,0))</f>
        <v>7.8</v>
      </c>
      <c r="AE180" s="14">
        <v>0</v>
      </c>
      <c r="AF180" s="14">
        <v>0</v>
      </c>
      <c r="AG180" s="14">
        <v>0</v>
      </c>
      <c r="AH180" s="14">
        <v>0</v>
      </c>
      <c r="AI180" s="14">
        <f t="shared" si="4"/>
        <v>0.46799999999999997</v>
      </c>
      <c r="AJ180" s="14">
        <f t="shared" si="5"/>
        <v>8.2680000000000007</v>
      </c>
      <c r="AK180" t="s">
        <v>48</v>
      </c>
      <c r="AN180" s="12"/>
    </row>
    <row r="181" spans="1:40" ht="15" customHeight="1" x14ac:dyDescent="0.35">
      <c r="A181">
        <v>690929</v>
      </c>
      <c r="B181" t="s">
        <v>37</v>
      </c>
      <c r="C181" t="s">
        <v>38</v>
      </c>
      <c r="D181" s="2" t="s">
        <v>39</v>
      </c>
      <c r="E181" s="9" t="s">
        <v>37</v>
      </c>
      <c r="F181" s="10"/>
      <c r="G181" t="s">
        <v>644</v>
      </c>
      <c r="H181" t="s">
        <v>41</v>
      </c>
      <c r="I181" t="s">
        <v>42</v>
      </c>
      <c r="J181" t="s">
        <v>645</v>
      </c>
      <c r="K181" t="s">
        <v>44</v>
      </c>
      <c r="L181">
        <v>2</v>
      </c>
      <c r="M181" t="s">
        <v>45</v>
      </c>
      <c r="N181" t="s">
        <v>46</v>
      </c>
      <c r="O181" t="s">
        <v>47</v>
      </c>
      <c r="P181" s="5">
        <v>2</v>
      </c>
      <c r="Q181" s="11">
        <v>44842.793935185182</v>
      </c>
      <c r="R181" s="12">
        <v>44844</v>
      </c>
      <c r="S181" t="s">
        <v>41</v>
      </c>
      <c r="T181" t="s">
        <v>48</v>
      </c>
      <c r="U181" t="s">
        <v>49</v>
      </c>
      <c r="V181" t="s">
        <v>231</v>
      </c>
      <c r="Y181" t="s">
        <v>646</v>
      </c>
      <c r="Z181">
        <v>36800</v>
      </c>
      <c r="AA181" t="s">
        <v>48</v>
      </c>
      <c r="AB181" t="s">
        <v>406</v>
      </c>
      <c r="AC181" t="s">
        <v>53</v>
      </c>
      <c r="AD181" s="13">
        <f>IF(P181&lt;=1,7,7+0.8*ROUNDUP(P181-1,0))</f>
        <v>7.8</v>
      </c>
      <c r="AE181" s="14">
        <v>0</v>
      </c>
      <c r="AF181" s="14">
        <v>0</v>
      </c>
      <c r="AG181" s="14">
        <v>0</v>
      </c>
      <c r="AH181" s="14">
        <v>0</v>
      </c>
      <c r="AI181" s="14">
        <f t="shared" si="4"/>
        <v>0.46799999999999997</v>
      </c>
      <c r="AJ181" s="14">
        <f t="shared" si="5"/>
        <v>8.2680000000000007</v>
      </c>
      <c r="AK181" t="s">
        <v>48</v>
      </c>
      <c r="AN181" s="12"/>
    </row>
    <row r="182" spans="1:40" ht="15" customHeight="1" x14ac:dyDescent="0.35">
      <c r="A182">
        <v>690929</v>
      </c>
      <c r="B182" t="s">
        <v>37</v>
      </c>
      <c r="C182" t="s">
        <v>38</v>
      </c>
      <c r="D182" s="2" t="s">
        <v>39</v>
      </c>
      <c r="E182" s="9" t="s">
        <v>37</v>
      </c>
      <c r="F182" s="10"/>
      <c r="G182" t="s">
        <v>647</v>
      </c>
      <c r="H182" t="s">
        <v>41</v>
      </c>
      <c r="I182" t="s">
        <v>42</v>
      </c>
      <c r="J182" t="s">
        <v>648</v>
      </c>
      <c r="K182" t="s">
        <v>44</v>
      </c>
      <c r="L182">
        <v>2</v>
      </c>
      <c r="M182" t="s">
        <v>45</v>
      </c>
      <c r="N182" t="s">
        <v>46</v>
      </c>
      <c r="O182" t="s">
        <v>47</v>
      </c>
      <c r="P182" s="5">
        <v>2</v>
      </c>
      <c r="Q182" s="11">
        <v>44842.792141203703</v>
      </c>
      <c r="R182" s="12">
        <v>44844</v>
      </c>
      <c r="S182" t="s">
        <v>41</v>
      </c>
      <c r="T182" t="s">
        <v>48</v>
      </c>
      <c r="U182" t="s">
        <v>49</v>
      </c>
      <c r="V182" t="s">
        <v>133</v>
      </c>
      <c r="Y182" t="s">
        <v>649</v>
      </c>
      <c r="Z182">
        <v>25150</v>
      </c>
      <c r="AA182" t="s">
        <v>48</v>
      </c>
      <c r="AB182" t="s">
        <v>555</v>
      </c>
      <c r="AC182" t="s">
        <v>53</v>
      </c>
      <c r="AD182" s="13">
        <f>IF(P182&lt;=1,7,7+0.8*ROUNDUP(P182-1,0))</f>
        <v>7.8</v>
      </c>
      <c r="AE182" s="14">
        <v>0</v>
      </c>
      <c r="AF182" s="14">
        <v>0</v>
      </c>
      <c r="AG182" s="14">
        <v>0</v>
      </c>
      <c r="AH182" s="14">
        <v>0</v>
      </c>
      <c r="AI182" s="14">
        <f t="shared" si="4"/>
        <v>0.46799999999999997</v>
      </c>
      <c r="AJ182" s="14">
        <f t="shared" si="5"/>
        <v>8.2680000000000007</v>
      </c>
      <c r="AK182" t="s">
        <v>48</v>
      </c>
      <c r="AN182" s="12"/>
    </row>
    <row r="183" spans="1:40" ht="15" customHeight="1" x14ac:dyDescent="0.35">
      <c r="A183">
        <v>690929</v>
      </c>
      <c r="B183" t="s">
        <v>37</v>
      </c>
      <c r="C183" t="s">
        <v>38</v>
      </c>
      <c r="D183" s="2" t="s">
        <v>39</v>
      </c>
      <c r="E183" s="9" t="s">
        <v>37</v>
      </c>
      <c r="F183" s="10"/>
      <c r="G183" t="s">
        <v>650</v>
      </c>
      <c r="H183" t="s">
        <v>41</v>
      </c>
      <c r="I183" t="s">
        <v>42</v>
      </c>
      <c r="J183" t="s">
        <v>651</v>
      </c>
      <c r="K183" t="s">
        <v>44</v>
      </c>
      <c r="L183">
        <v>2</v>
      </c>
      <c r="M183" t="s">
        <v>45</v>
      </c>
      <c r="N183" t="s">
        <v>46</v>
      </c>
      <c r="O183" t="s">
        <v>47</v>
      </c>
      <c r="P183" s="5">
        <v>2</v>
      </c>
      <c r="Q183" s="11">
        <v>44842.783761574072</v>
      </c>
      <c r="R183" s="12">
        <v>44844</v>
      </c>
      <c r="S183" t="s">
        <v>41</v>
      </c>
      <c r="T183" t="s">
        <v>48</v>
      </c>
      <c r="U183" t="s">
        <v>49</v>
      </c>
      <c r="V183" t="s">
        <v>61</v>
      </c>
      <c r="Y183" t="s">
        <v>652</v>
      </c>
      <c r="Z183">
        <v>68100</v>
      </c>
      <c r="AA183" t="s">
        <v>48</v>
      </c>
      <c r="AB183" t="s">
        <v>653</v>
      </c>
      <c r="AC183" t="s">
        <v>53</v>
      </c>
      <c r="AD183" s="13">
        <f>IF(P183&lt;=1,7,7+0.8*ROUNDUP(P183-1,0))</f>
        <v>7.8</v>
      </c>
      <c r="AE183" s="14">
        <v>0</v>
      </c>
      <c r="AF183" s="14">
        <v>0</v>
      </c>
      <c r="AG183" s="14">
        <v>0</v>
      </c>
      <c r="AH183" s="14">
        <v>0</v>
      </c>
      <c r="AI183" s="14">
        <f t="shared" si="4"/>
        <v>0.46799999999999997</v>
      </c>
      <c r="AJ183" s="14">
        <f t="shared" si="5"/>
        <v>8.2680000000000007</v>
      </c>
      <c r="AK183" t="s">
        <v>48</v>
      </c>
      <c r="AN183" s="12"/>
    </row>
    <row r="184" spans="1:40" ht="15" customHeight="1" x14ac:dyDescent="0.35">
      <c r="A184">
        <v>690929</v>
      </c>
      <c r="B184" t="s">
        <v>37</v>
      </c>
      <c r="C184" t="s">
        <v>38</v>
      </c>
      <c r="D184" s="2" t="s">
        <v>39</v>
      </c>
      <c r="E184" s="9" t="s">
        <v>37</v>
      </c>
      <c r="F184" s="10"/>
      <c r="G184" t="s">
        <v>654</v>
      </c>
      <c r="H184" t="s">
        <v>41</v>
      </c>
      <c r="I184" t="s">
        <v>42</v>
      </c>
      <c r="J184" t="s">
        <v>655</v>
      </c>
      <c r="K184" t="s">
        <v>44</v>
      </c>
      <c r="L184">
        <v>2</v>
      </c>
      <c r="M184" t="s">
        <v>45</v>
      </c>
      <c r="N184" t="s">
        <v>46</v>
      </c>
      <c r="O184" t="s">
        <v>47</v>
      </c>
      <c r="P184" s="5">
        <v>2</v>
      </c>
      <c r="Q184" s="11">
        <v>44842.789861111109</v>
      </c>
      <c r="R184" s="12">
        <v>44844</v>
      </c>
      <c r="S184" t="s">
        <v>41</v>
      </c>
      <c r="T184" t="s">
        <v>48</v>
      </c>
      <c r="U184" t="s">
        <v>49</v>
      </c>
      <c r="V184" t="s">
        <v>61</v>
      </c>
      <c r="Y184" t="s">
        <v>656</v>
      </c>
      <c r="Z184">
        <v>47830</v>
      </c>
      <c r="AA184" t="s">
        <v>48</v>
      </c>
      <c r="AB184" t="s">
        <v>221</v>
      </c>
      <c r="AC184" t="s">
        <v>53</v>
      </c>
      <c r="AD184" s="13">
        <f>IF(P184&lt;=1,7,7+0.8*ROUNDUP(P184-1,0))</f>
        <v>7.8</v>
      </c>
      <c r="AE184" s="14">
        <v>0</v>
      </c>
      <c r="AF184" s="14">
        <v>0</v>
      </c>
      <c r="AG184" s="14">
        <v>0</v>
      </c>
      <c r="AH184" s="14">
        <v>0</v>
      </c>
      <c r="AI184" s="14">
        <f t="shared" si="4"/>
        <v>0.46799999999999997</v>
      </c>
      <c r="AJ184" s="14">
        <f t="shared" si="5"/>
        <v>8.2680000000000007</v>
      </c>
      <c r="AK184" t="s">
        <v>48</v>
      </c>
      <c r="AN184" s="12"/>
    </row>
    <row r="185" spans="1:40" ht="15" customHeight="1" x14ac:dyDescent="0.35">
      <c r="A185">
        <v>690929</v>
      </c>
      <c r="B185" t="s">
        <v>37</v>
      </c>
      <c r="C185" t="s">
        <v>38</v>
      </c>
      <c r="D185" s="2" t="s">
        <v>39</v>
      </c>
      <c r="E185" s="9" t="s">
        <v>37</v>
      </c>
      <c r="F185" s="10"/>
      <c r="G185" t="s">
        <v>657</v>
      </c>
      <c r="H185" t="s">
        <v>41</v>
      </c>
      <c r="I185" t="s">
        <v>42</v>
      </c>
      <c r="J185" t="s">
        <v>658</v>
      </c>
      <c r="K185" t="s">
        <v>44</v>
      </c>
      <c r="L185">
        <v>2</v>
      </c>
      <c r="M185" t="s">
        <v>45</v>
      </c>
      <c r="N185" t="s">
        <v>46</v>
      </c>
      <c r="O185" t="s">
        <v>47</v>
      </c>
      <c r="P185" s="5">
        <v>1</v>
      </c>
      <c r="Q185" s="11">
        <v>44842.799837962964</v>
      </c>
      <c r="R185" s="12">
        <v>44844</v>
      </c>
      <c r="S185" t="s">
        <v>41</v>
      </c>
      <c r="T185" t="s">
        <v>48</v>
      </c>
      <c r="U185" t="s">
        <v>49</v>
      </c>
      <c r="V185" t="s">
        <v>61</v>
      </c>
      <c r="Y185" t="s">
        <v>659</v>
      </c>
      <c r="Z185">
        <v>43100</v>
      </c>
      <c r="AA185" t="s">
        <v>48</v>
      </c>
      <c r="AB185" t="s">
        <v>660</v>
      </c>
      <c r="AC185" t="s">
        <v>53</v>
      </c>
      <c r="AD185" s="13">
        <f>IF(P185&lt;=1,7,7+0.8*ROUNDUP(P185-1,0))</f>
        <v>7</v>
      </c>
      <c r="AE185" s="14">
        <v>0</v>
      </c>
      <c r="AF185" s="14">
        <v>0</v>
      </c>
      <c r="AG185" s="14">
        <v>0</v>
      </c>
      <c r="AH185" s="14">
        <v>0</v>
      </c>
      <c r="AI185" s="14">
        <f t="shared" si="4"/>
        <v>0.42</v>
      </c>
      <c r="AJ185" s="14">
        <f t="shared" si="5"/>
        <v>7.42</v>
      </c>
      <c r="AK185" t="s">
        <v>48</v>
      </c>
      <c r="AN185" s="12"/>
    </row>
    <row r="186" spans="1:40" ht="15" customHeight="1" x14ac:dyDescent="0.35">
      <c r="A186">
        <v>690929</v>
      </c>
      <c r="B186" t="s">
        <v>37</v>
      </c>
      <c r="C186" t="s">
        <v>38</v>
      </c>
      <c r="D186" s="2" t="s">
        <v>39</v>
      </c>
      <c r="E186" s="9" t="s">
        <v>37</v>
      </c>
      <c r="F186" s="10"/>
      <c r="G186" t="s">
        <v>661</v>
      </c>
      <c r="H186" t="s">
        <v>41</v>
      </c>
      <c r="I186" t="s">
        <v>42</v>
      </c>
      <c r="J186" t="s">
        <v>662</v>
      </c>
      <c r="K186" t="s">
        <v>44</v>
      </c>
      <c r="L186">
        <v>2</v>
      </c>
      <c r="M186" t="s">
        <v>45</v>
      </c>
      <c r="N186" t="s">
        <v>46</v>
      </c>
      <c r="O186" t="s">
        <v>47</v>
      </c>
      <c r="P186" s="5">
        <v>1</v>
      </c>
      <c r="Q186" s="11">
        <v>44843.527731481481</v>
      </c>
      <c r="R186" s="12">
        <v>44844</v>
      </c>
      <c r="S186" t="s">
        <v>41</v>
      </c>
      <c r="T186" t="s">
        <v>48</v>
      </c>
      <c r="U186" t="s">
        <v>49</v>
      </c>
      <c r="V186" t="s">
        <v>61</v>
      </c>
      <c r="Y186" t="s">
        <v>663</v>
      </c>
      <c r="Z186">
        <v>43300</v>
      </c>
      <c r="AA186" t="s">
        <v>48</v>
      </c>
      <c r="AB186" t="s">
        <v>52</v>
      </c>
      <c r="AC186" t="s">
        <v>53</v>
      </c>
      <c r="AD186" s="13">
        <f>IF(P186&lt;=1,7,7+0.8*ROUNDUP(P186-1,0))</f>
        <v>7</v>
      </c>
      <c r="AE186" s="14">
        <v>0</v>
      </c>
      <c r="AF186" s="14">
        <v>0</v>
      </c>
      <c r="AG186" s="14">
        <v>0</v>
      </c>
      <c r="AH186" s="14">
        <v>0</v>
      </c>
      <c r="AI186" s="14">
        <f t="shared" si="4"/>
        <v>0.42</v>
      </c>
      <c r="AJ186" s="14">
        <f t="shared" si="5"/>
        <v>7.42</v>
      </c>
      <c r="AK186" t="s">
        <v>48</v>
      </c>
      <c r="AN186" s="12"/>
    </row>
    <row r="187" spans="1:40" ht="15" customHeight="1" x14ac:dyDescent="0.35">
      <c r="A187">
        <v>690929</v>
      </c>
      <c r="B187" t="s">
        <v>37</v>
      </c>
      <c r="C187" t="s">
        <v>38</v>
      </c>
      <c r="D187" s="2" t="s">
        <v>39</v>
      </c>
      <c r="E187" s="9" t="s">
        <v>37</v>
      </c>
      <c r="F187" s="10"/>
      <c r="G187" t="s">
        <v>664</v>
      </c>
      <c r="H187" t="s">
        <v>41</v>
      </c>
      <c r="I187" t="s">
        <v>42</v>
      </c>
      <c r="J187" t="s">
        <v>665</v>
      </c>
      <c r="K187" t="s">
        <v>44</v>
      </c>
      <c r="L187">
        <v>2</v>
      </c>
      <c r="M187" t="s">
        <v>45</v>
      </c>
      <c r="N187" t="s">
        <v>46</v>
      </c>
      <c r="O187" t="s">
        <v>47</v>
      </c>
      <c r="P187" s="5">
        <v>2</v>
      </c>
      <c r="Q187" s="11">
        <v>44842.795694444445</v>
      </c>
      <c r="R187" s="12">
        <v>44844</v>
      </c>
      <c r="S187" t="s">
        <v>41</v>
      </c>
      <c r="T187" t="s">
        <v>48</v>
      </c>
      <c r="U187" t="s">
        <v>49</v>
      </c>
      <c r="V187" t="s">
        <v>61</v>
      </c>
      <c r="Y187" t="s">
        <v>666</v>
      </c>
      <c r="Z187">
        <v>42100</v>
      </c>
      <c r="AA187" t="s">
        <v>48</v>
      </c>
      <c r="AB187" t="s">
        <v>667</v>
      </c>
      <c r="AC187" t="s">
        <v>53</v>
      </c>
      <c r="AD187" s="13">
        <f>IF(P187&lt;=1,7,7+0.8*ROUNDUP(P187-1,0))</f>
        <v>7.8</v>
      </c>
      <c r="AE187" s="14">
        <v>0</v>
      </c>
      <c r="AF187" s="14">
        <v>0</v>
      </c>
      <c r="AG187" s="14">
        <v>0</v>
      </c>
      <c r="AH187" s="14">
        <v>0</v>
      </c>
      <c r="AI187" s="14">
        <f t="shared" si="4"/>
        <v>0.46799999999999997</v>
      </c>
      <c r="AJ187" s="14">
        <f t="shared" si="5"/>
        <v>8.2680000000000007</v>
      </c>
      <c r="AK187" t="s">
        <v>48</v>
      </c>
      <c r="AN187" s="12"/>
    </row>
    <row r="188" spans="1:40" ht="15" customHeight="1" x14ac:dyDescent="0.35">
      <c r="A188">
        <v>690929</v>
      </c>
      <c r="B188" t="s">
        <v>37</v>
      </c>
      <c r="C188" t="s">
        <v>38</v>
      </c>
      <c r="D188" s="2" t="s">
        <v>39</v>
      </c>
      <c r="E188" s="9" t="s">
        <v>37</v>
      </c>
      <c r="F188" s="10"/>
      <c r="G188" t="s">
        <v>668</v>
      </c>
      <c r="H188" t="s">
        <v>41</v>
      </c>
      <c r="I188" t="s">
        <v>42</v>
      </c>
      <c r="J188" t="s">
        <v>669</v>
      </c>
      <c r="K188" t="s">
        <v>44</v>
      </c>
      <c r="L188">
        <v>2</v>
      </c>
      <c r="M188" t="s">
        <v>45</v>
      </c>
      <c r="N188" t="s">
        <v>46</v>
      </c>
      <c r="O188" t="s">
        <v>47</v>
      </c>
      <c r="P188" s="5">
        <v>2</v>
      </c>
      <c r="Q188" s="11">
        <v>44842.785532407404</v>
      </c>
      <c r="R188" s="12">
        <v>44844</v>
      </c>
      <c r="S188" t="s">
        <v>41</v>
      </c>
      <c r="T188" t="s">
        <v>48</v>
      </c>
      <c r="U188" t="s">
        <v>49</v>
      </c>
      <c r="V188" t="s">
        <v>231</v>
      </c>
      <c r="Y188" t="s">
        <v>670</v>
      </c>
      <c r="Z188">
        <v>32040</v>
      </c>
      <c r="AA188" t="s">
        <v>48</v>
      </c>
      <c r="AB188" t="s">
        <v>521</v>
      </c>
      <c r="AC188" t="s">
        <v>53</v>
      </c>
      <c r="AD188" s="13">
        <f>IF(P188&lt;=1,7,7+0.8*ROUNDUP(P188-1,0))</f>
        <v>7.8</v>
      </c>
      <c r="AE188" s="14">
        <v>0</v>
      </c>
      <c r="AF188" s="14">
        <v>0</v>
      </c>
      <c r="AG188" s="14">
        <v>0</v>
      </c>
      <c r="AH188" s="14">
        <v>0</v>
      </c>
      <c r="AI188" s="14">
        <f t="shared" si="4"/>
        <v>0.46799999999999997</v>
      </c>
      <c r="AJ188" s="14">
        <f t="shared" si="5"/>
        <v>8.2680000000000007</v>
      </c>
      <c r="AK188" t="s">
        <v>48</v>
      </c>
      <c r="AN188" s="12"/>
    </row>
    <row r="189" spans="1:40" ht="15" customHeight="1" x14ac:dyDescent="0.35">
      <c r="A189">
        <v>690929</v>
      </c>
      <c r="B189" t="s">
        <v>37</v>
      </c>
      <c r="C189" t="s">
        <v>38</v>
      </c>
      <c r="D189" s="2" t="s">
        <v>39</v>
      </c>
      <c r="E189" s="9" t="s">
        <v>37</v>
      </c>
      <c r="F189" s="10"/>
      <c r="G189" t="s">
        <v>671</v>
      </c>
      <c r="H189" t="s">
        <v>41</v>
      </c>
      <c r="I189" t="s">
        <v>42</v>
      </c>
      <c r="J189" t="s">
        <v>672</v>
      </c>
      <c r="K189" t="s">
        <v>44</v>
      </c>
      <c r="L189">
        <v>2</v>
      </c>
      <c r="M189" t="s">
        <v>45</v>
      </c>
      <c r="N189" t="s">
        <v>46</v>
      </c>
      <c r="O189" t="s">
        <v>47</v>
      </c>
      <c r="P189" s="5">
        <v>1</v>
      </c>
      <c r="Q189" s="11">
        <v>44842.801400462966</v>
      </c>
      <c r="R189" s="12">
        <v>44844</v>
      </c>
      <c r="S189" t="s">
        <v>41</v>
      </c>
      <c r="T189" t="s">
        <v>48</v>
      </c>
      <c r="U189" t="s">
        <v>49</v>
      </c>
      <c r="V189" t="s">
        <v>61</v>
      </c>
      <c r="Y189" t="s">
        <v>673</v>
      </c>
      <c r="Z189">
        <v>41200</v>
      </c>
      <c r="AA189" t="s">
        <v>48</v>
      </c>
      <c r="AB189" t="s">
        <v>674</v>
      </c>
      <c r="AC189" t="s">
        <v>53</v>
      </c>
      <c r="AD189" s="13">
        <f>IF(P189&lt;=1,7,7+0.8*ROUNDUP(P189-1,0))</f>
        <v>7</v>
      </c>
      <c r="AE189" s="14">
        <v>0</v>
      </c>
      <c r="AF189" s="14">
        <v>0</v>
      </c>
      <c r="AG189" s="14">
        <v>0</v>
      </c>
      <c r="AH189" s="14">
        <v>0</v>
      </c>
      <c r="AI189" s="14">
        <f t="shared" si="4"/>
        <v>0.42</v>
      </c>
      <c r="AJ189" s="14">
        <f t="shared" si="5"/>
        <v>7.42</v>
      </c>
      <c r="AK189" t="s">
        <v>48</v>
      </c>
      <c r="AN189" s="12"/>
    </row>
    <row r="190" spans="1:40" ht="15" customHeight="1" x14ac:dyDescent="0.35">
      <c r="A190">
        <v>690929</v>
      </c>
      <c r="B190" t="s">
        <v>37</v>
      </c>
      <c r="C190" t="s">
        <v>38</v>
      </c>
      <c r="D190" s="2" t="s">
        <v>39</v>
      </c>
      <c r="E190" s="9" t="s">
        <v>37</v>
      </c>
      <c r="F190" s="10"/>
      <c r="G190" t="s">
        <v>675</v>
      </c>
      <c r="H190" t="s">
        <v>41</v>
      </c>
      <c r="I190" t="s">
        <v>42</v>
      </c>
      <c r="J190" t="s">
        <v>676</v>
      </c>
      <c r="K190" t="s">
        <v>44</v>
      </c>
      <c r="L190">
        <v>2</v>
      </c>
      <c r="M190" t="s">
        <v>45</v>
      </c>
      <c r="N190" t="s">
        <v>46</v>
      </c>
      <c r="O190" t="s">
        <v>47</v>
      </c>
      <c r="P190" s="5">
        <v>2</v>
      </c>
      <c r="Q190" s="11">
        <v>44842.779756944445</v>
      </c>
      <c r="R190" s="12">
        <v>44844</v>
      </c>
      <c r="S190" t="s">
        <v>41</v>
      </c>
      <c r="T190" t="s">
        <v>48</v>
      </c>
      <c r="U190" t="s">
        <v>49</v>
      </c>
      <c r="V190" t="s">
        <v>61</v>
      </c>
      <c r="Y190" t="s">
        <v>677</v>
      </c>
      <c r="Z190">
        <v>68000</v>
      </c>
      <c r="AA190" t="s">
        <v>48</v>
      </c>
      <c r="AB190" t="s">
        <v>678</v>
      </c>
      <c r="AC190" t="s">
        <v>53</v>
      </c>
      <c r="AD190" s="13">
        <f>IF(P190&lt;=1,7,7+0.8*ROUNDUP(P190-1,0))</f>
        <v>7.8</v>
      </c>
      <c r="AE190" s="14">
        <v>0</v>
      </c>
      <c r="AF190" s="14">
        <v>0</v>
      </c>
      <c r="AG190" s="14">
        <v>0</v>
      </c>
      <c r="AH190" s="14">
        <v>0</v>
      </c>
      <c r="AI190" s="14">
        <f t="shared" si="4"/>
        <v>0.46799999999999997</v>
      </c>
      <c r="AJ190" s="14">
        <f t="shared" si="5"/>
        <v>8.2680000000000007</v>
      </c>
      <c r="AK190" t="s">
        <v>48</v>
      </c>
      <c r="AN190" s="12"/>
    </row>
    <row r="191" spans="1:40" ht="15" customHeight="1" x14ac:dyDescent="0.35">
      <c r="A191">
        <v>690929</v>
      </c>
      <c r="B191" t="s">
        <v>37</v>
      </c>
      <c r="C191" t="s">
        <v>38</v>
      </c>
      <c r="D191" s="2" t="s">
        <v>39</v>
      </c>
      <c r="E191" s="9" t="s">
        <v>37</v>
      </c>
      <c r="F191" s="10"/>
      <c r="G191" t="s">
        <v>679</v>
      </c>
      <c r="H191" t="s">
        <v>41</v>
      </c>
      <c r="I191" t="s">
        <v>42</v>
      </c>
      <c r="J191" t="s">
        <v>680</v>
      </c>
      <c r="K191" t="s">
        <v>44</v>
      </c>
      <c r="L191">
        <v>2</v>
      </c>
      <c r="M191" t="s">
        <v>45</v>
      </c>
      <c r="N191" t="s">
        <v>46</v>
      </c>
      <c r="O191" t="s">
        <v>47</v>
      </c>
      <c r="P191" s="5">
        <v>1</v>
      </c>
      <c r="Q191" s="11">
        <v>44842.558854166666</v>
      </c>
      <c r="R191" s="12">
        <v>44844</v>
      </c>
      <c r="S191" t="s">
        <v>41</v>
      </c>
      <c r="T191" t="s">
        <v>48</v>
      </c>
      <c r="U191" t="s">
        <v>49</v>
      </c>
      <c r="V191" t="s">
        <v>72</v>
      </c>
      <c r="Y191" t="s">
        <v>681</v>
      </c>
      <c r="Z191">
        <v>14300</v>
      </c>
      <c r="AA191" t="s">
        <v>48</v>
      </c>
      <c r="AB191" t="s">
        <v>49</v>
      </c>
      <c r="AC191" t="s">
        <v>53</v>
      </c>
      <c r="AD191" s="13">
        <f>IF(P191&lt;=1,7,7+0.8*ROUNDUP(P191-1,0))</f>
        <v>7</v>
      </c>
      <c r="AE191" s="14">
        <v>0</v>
      </c>
      <c r="AF191" s="14">
        <v>0</v>
      </c>
      <c r="AG191" s="14">
        <v>0</v>
      </c>
      <c r="AH191" s="14">
        <v>0</v>
      </c>
      <c r="AI191" s="14">
        <f t="shared" si="4"/>
        <v>0.42</v>
      </c>
      <c r="AJ191" s="14">
        <f t="shared" si="5"/>
        <v>7.42</v>
      </c>
      <c r="AK191" t="s">
        <v>48</v>
      </c>
      <c r="AN191" s="12"/>
    </row>
    <row r="192" spans="1:40" ht="15" customHeight="1" x14ac:dyDescent="0.35">
      <c r="A192">
        <v>690929</v>
      </c>
      <c r="B192" t="s">
        <v>37</v>
      </c>
      <c r="C192" t="s">
        <v>38</v>
      </c>
      <c r="D192" s="2" t="s">
        <v>39</v>
      </c>
      <c r="E192" s="9" t="s">
        <v>37</v>
      </c>
      <c r="F192" s="10"/>
      <c r="G192" t="s">
        <v>682</v>
      </c>
      <c r="H192" t="s">
        <v>41</v>
      </c>
      <c r="I192" t="s">
        <v>42</v>
      </c>
      <c r="J192" t="s">
        <v>683</v>
      </c>
      <c r="K192" t="s">
        <v>44</v>
      </c>
      <c r="L192">
        <v>2</v>
      </c>
      <c r="M192" t="s">
        <v>45</v>
      </c>
      <c r="N192" t="s">
        <v>46</v>
      </c>
      <c r="O192" t="s">
        <v>47</v>
      </c>
      <c r="P192" s="5">
        <v>1</v>
      </c>
      <c r="Q192" s="11">
        <v>44842.563287037039</v>
      </c>
      <c r="R192" s="12">
        <v>44844</v>
      </c>
      <c r="S192" t="s">
        <v>41</v>
      </c>
      <c r="T192" t="s">
        <v>48</v>
      </c>
      <c r="U192" t="s">
        <v>49</v>
      </c>
      <c r="V192" t="s">
        <v>56</v>
      </c>
      <c r="Y192" t="s">
        <v>684</v>
      </c>
      <c r="Z192">
        <v>81200</v>
      </c>
      <c r="AA192" t="s">
        <v>48</v>
      </c>
      <c r="AB192" t="s">
        <v>52</v>
      </c>
      <c r="AC192" t="s">
        <v>53</v>
      </c>
      <c r="AD192" s="13">
        <f>IF(P192&lt;=1,7,7+0.8*ROUNDUP(P192-1,0))</f>
        <v>7</v>
      </c>
      <c r="AE192" s="14">
        <v>0</v>
      </c>
      <c r="AF192" s="14">
        <v>0</v>
      </c>
      <c r="AG192" s="14">
        <v>0</v>
      </c>
      <c r="AH192" s="14">
        <v>0</v>
      </c>
      <c r="AI192" s="14">
        <f t="shared" si="4"/>
        <v>0.42</v>
      </c>
      <c r="AJ192" s="14">
        <f t="shared" si="5"/>
        <v>7.42</v>
      </c>
      <c r="AK192" t="s">
        <v>48</v>
      </c>
      <c r="AN192" s="12"/>
    </row>
    <row r="193" spans="1:40" ht="15" customHeight="1" x14ac:dyDescent="0.35">
      <c r="A193">
        <v>690929</v>
      </c>
      <c r="B193" t="s">
        <v>37</v>
      </c>
      <c r="C193" t="s">
        <v>38</v>
      </c>
      <c r="D193" s="2" t="s">
        <v>39</v>
      </c>
      <c r="E193" s="9" t="s">
        <v>37</v>
      </c>
      <c r="F193" s="10"/>
      <c r="G193" t="s">
        <v>685</v>
      </c>
      <c r="H193" t="s">
        <v>41</v>
      </c>
      <c r="I193" t="s">
        <v>42</v>
      </c>
      <c r="J193" t="s">
        <v>686</v>
      </c>
      <c r="K193" t="s">
        <v>44</v>
      </c>
      <c r="L193">
        <v>2</v>
      </c>
      <c r="M193" t="s">
        <v>45</v>
      </c>
      <c r="N193" t="s">
        <v>46</v>
      </c>
      <c r="O193" t="s">
        <v>47</v>
      </c>
      <c r="P193" s="5">
        <v>1</v>
      </c>
      <c r="Q193" s="11">
        <v>44842.4296412037</v>
      </c>
      <c r="R193" s="12">
        <v>44845</v>
      </c>
      <c r="S193" t="s">
        <v>41</v>
      </c>
      <c r="T193" t="s">
        <v>48</v>
      </c>
      <c r="U193" t="s">
        <v>49</v>
      </c>
      <c r="V193" t="s">
        <v>188</v>
      </c>
      <c r="Y193" t="s">
        <v>687</v>
      </c>
      <c r="Z193">
        <v>93677</v>
      </c>
      <c r="AA193" t="s">
        <v>94</v>
      </c>
      <c r="AB193" t="s">
        <v>190</v>
      </c>
      <c r="AC193" t="s">
        <v>53</v>
      </c>
      <c r="AD193" s="15">
        <f>IF(P193&lt;=1,13,IF(P193&lt;=2,23,IF(P193&lt;=3,35,IF(P193&lt;=4,43,IF(P193&lt;=5,53,IF(P193&lt;=6,63,IF(P193&lt;=7,71,IF(P193&lt;=8,79,IF(P193&lt;=9,87,IF(P193&lt;=10,95,IF(P193&lt;=11,105,IF(P193&lt;=12,114,IF(P193&lt;=13,119,IF(P193&lt;=14,127,IF(P193&lt;=15,135,IF(P193&lt;=16,143,IF(P193&lt;=17,153,IF(P193&lt;=18,163,IF(P193&lt;=19,171,IF(P193&lt;=20,185,IF(P193&lt;=21,193,IF(P193&lt;=22,201,IF(P193&lt;=23,210,IF(P193&lt;=24,220,IF(P193&lt;=25,230,IF(P193&lt;=26,240,IF(P193&lt;=27,250,IF(P193&lt;=28,260,IF(P193&lt;=29,270,IF(P193&lt;=30,280,280))))))))))))))))))))))))))))))</f>
        <v>13</v>
      </c>
      <c r="AE193" s="14">
        <v>0</v>
      </c>
      <c r="AF193" s="14">
        <v>0</v>
      </c>
      <c r="AG193" s="14">
        <v>0</v>
      </c>
      <c r="AH193" s="14">
        <v>0</v>
      </c>
      <c r="AI193" s="14">
        <f t="shared" si="4"/>
        <v>0.78</v>
      </c>
      <c r="AJ193" s="14">
        <f t="shared" si="5"/>
        <v>13.78</v>
      </c>
      <c r="AK193" t="s">
        <v>94</v>
      </c>
      <c r="AN193" s="12"/>
    </row>
    <row r="194" spans="1:40" ht="15" customHeight="1" x14ac:dyDescent="0.35">
      <c r="A194">
        <v>690929</v>
      </c>
      <c r="B194" t="s">
        <v>37</v>
      </c>
      <c r="C194" t="s">
        <v>38</v>
      </c>
      <c r="D194" s="2" t="s">
        <v>39</v>
      </c>
      <c r="E194" s="9" t="s">
        <v>37</v>
      </c>
      <c r="F194" s="10"/>
      <c r="G194" t="s">
        <v>688</v>
      </c>
      <c r="H194" t="s">
        <v>41</v>
      </c>
      <c r="I194" t="s">
        <v>42</v>
      </c>
      <c r="J194" t="s">
        <v>238</v>
      </c>
      <c r="K194" t="s">
        <v>44</v>
      </c>
      <c r="L194">
        <v>2</v>
      </c>
      <c r="M194" t="s">
        <v>45</v>
      </c>
      <c r="N194" t="s">
        <v>46</v>
      </c>
      <c r="O194" t="s">
        <v>47</v>
      </c>
      <c r="P194" s="5">
        <v>1</v>
      </c>
      <c r="Q194" s="11">
        <v>44839.761597222219</v>
      </c>
      <c r="R194" s="12">
        <v>44845</v>
      </c>
      <c r="S194" t="s">
        <v>41</v>
      </c>
      <c r="T194" t="s">
        <v>48</v>
      </c>
      <c r="U194" t="s">
        <v>49</v>
      </c>
      <c r="V194" t="s">
        <v>193</v>
      </c>
      <c r="Y194" t="s">
        <v>239</v>
      </c>
      <c r="Z194">
        <v>57000</v>
      </c>
      <c r="AA194" t="s">
        <v>48</v>
      </c>
      <c r="AB194" t="s">
        <v>52</v>
      </c>
      <c r="AC194" t="s">
        <v>53</v>
      </c>
      <c r="AD194" s="13">
        <f>IF(P194&lt;=1,7,7+0.8*ROUNDUP(P194-1,0))</f>
        <v>7</v>
      </c>
      <c r="AE194" s="14">
        <v>0</v>
      </c>
      <c r="AF194" s="14">
        <v>0</v>
      </c>
      <c r="AG194" s="14">
        <v>0</v>
      </c>
      <c r="AH194" s="14">
        <v>0</v>
      </c>
      <c r="AI194" s="14">
        <f t="shared" ref="AI194:AI257" si="6">(AD194+AF194+AH194)*6%</f>
        <v>0.42</v>
      </c>
      <c r="AJ194" s="14">
        <f t="shared" ref="AJ194:AJ257" si="7">AD194+AF194+AH194+AI194</f>
        <v>7.42</v>
      </c>
      <c r="AK194" t="s">
        <v>48</v>
      </c>
      <c r="AN194" s="12"/>
    </row>
    <row r="195" spans="1:40" ht="15" customHeight="1" x14ac:dyDescent="0.35">
      <c r="A195">
        <v>690929</v>
      </c>
      <c r="B195" t="s">
        <v>37</v>
      </c>
      <c r="C195" t="s">
        <v>38</v>
      </c>
      <c r="D195" s="2" t="s">
        <v>39</v>
      </c>
      <c r="E195" s="9" t="s">
        <v>37</v>
      </c>
      <c r="F195" s="10"/>
      <c r="G195" t="s">
        <v>689</v>
      </c>
      <c r="H195" t="s">
        <v>41</v>
      </c>
      <c r="I195" t="s">
        <v>42</v>
      </c>
      <c r="J195" t="s">
        <v>690</v>
      </c>
      <c r="K195" t="s">
        <v>44</v>
      </c>
      <c r="L195">
        <v>2</v>
      </c>
      <c r="M195" t="s">
        <v>45</v>
      </c>
      <c r="N195" t="s">
        <v>46</v>
      </c>
      <c r="O195" t="s">
        <v>47</v>
      </c>
      <c r="P195" s="5">
        <v>3</v>
      </c>
      <c r="Q195" s="11">
        <v>44843.526817129627</v>
      </c>
      <c r="R195" s="12">
        <v>44845</v>
      </c>
      <c r="S195" t="s">
        <v>41</v>
      </c>
      <c r="T195" t="s">
        <v>48</v>
      </c>
      <c r="U195" t="s">
        <v>49</v>
      </c>
      <c r="V195" t="s">
        <v>61</v>
      </c>
      <c r="Y195" t="s">
        <v>691</v>
      </c>
      <c r="Z195">
        <v>42200</v>
      </c>
      <c r="AA195" t="s">
        <v>48</v>
      </c>
      <c r="AB195" t="s">
        <v>692</v>
      </c>
      <c r="AC195" t="s">
        <v>53</v>
      </c>
      <c r="AD195" s="13">
        <f>IF(P195&lt;=1,7,7+0.8*ROUNDUP(P195-1,0))</f>
        <v>8.6</v>
      </c>
      <c r="AE195" s="14">
        <v>0</v>
      </c>
      <c r="AF195" s="14">
        <v>0</v>
      </c>
      <c r="AG195" s="14">
        <v>0</v>
      </c>
      <c r="AH195" s="14">
        <v>0</v>
      </c>
      <c r="AI195" s="14">
        <f t="shared" si="6"/>
        <v>0.51600000000000001</v>
      </c>
      <c r="AJ195" s="14">
        <f t="shared" si="7"/>
        <v>9.1159999999999997</v>
      </c>
      <c r="AK195" t="s">
        <v>48</v>
      </c>
      <c r="AN195" s="12"/>
    </row>
    <row r="196" spans="1:40" ht="15" customHeight="1" x14ac:dyDescent="0.35">
      <c r="A196">
        <v>690929</v>
      </c>
      <c r="B196" t="s">
        <v>37</v>
      </c>
      <c r="C196" t="s">
        <v>38</v>
      </c>
      <c r="D196" s="2" t="s">
        <v>39</v>
      </c>
      <c r="E196" s="9" t="s">
        <v>37</v>
      </c>
      <c r="F196" s="10"/>
      <c r="G196" t="s">
        <v>693</v>
      </c>
      <c r="H196" t="s">
        <v>41</v>
      </c>
      <c r="I196" t="s">
        <v>42</v>
      </c>
      <c r="J196" t="s">
        <v>694</v>
      </c>
      <c r="K196" t="s">
        <v>44</v>
      </c>
      <c r="L196">
        <v>2</v>
      </c>
      <c r="M196" t="s">
        <v>45</v>
      </c>
      <c r="N196" t="s">
        <v>46</v>
      </c>
      <c r="O196" t="s">
        <v>47</v>
      </c>
      <c r="P196" s="5">
        <v>1</v>
      </c>
      <c r="Q196" s="11">
        <v>44843.742071759261</v>
      </c>
      <c r="R196" s="12">
        <v>44845</v>
      </c>
      <c r="S196" t="s">
        <v>41</v>
      </c>
      <c r="T196" t="s">
        <v>48</v>
      </c>
      <c r="U196" t="s">
        <v>49</v>
      </c>
      <c r="V196" t="s">
        <v>61</v>
      </c>
      <c r="Y196" t="s">
        <v>695</v>
      </c>
      <c r="Z196">
        <v>56100</v>
      </c>
      <c r="AA196" t="s">
        <v>48</v>
      </c>
      <c r="AB196" t="s">
        <v>696</v>
      </c>
      <c r="AC196" t="s">
        <v>53</v>
      </c>
      <c r="AD196" s="13">
        <f>IF(P196&lt;=1,7,7+0.8*ROUNDUP(P196-1,0))</f>
        <v>7</v>
      </c>
      <c r="AE196" s="14">
        <v>0</v>
      </c>
      <c r="AF196" s="14">
        <v>0</v>
      </c>
      <c r="AG196" s="14">
        <v>0</v>
      </c>
      <c r="AH196" s="14">
        <v>0</v>
      </c>
      <c r="AI196" s="14">
        <f t="shared" si="6"/>
        <v>0.42</v>
      </c>
      <c r="AJ196" s="14">
        <f t="shared" si="7"/>
        <v>7.42</v>
      </c>
      <c r="AK196" t="s">
        <v>48</v>
      </c>
      <c r="AN196" s="12"/>
    </row>
    <row r="197" spans="1:40" ht="15" customHeight="1" x14ac:dyDescent="0.35">
      <c r="A197">
        <v>690929</v>
      </c>
      <c r="B197" t="s">
        <v>37</v>
      </c>
      <c r="C197" t="s">
        <v>38</v>
      </c>
      <c r="D197" s="2" t="s">
        <v>39</v>
      </c>
      <c r="E197" s="9" t="s">
        <v>37</v>
      </c>
      <c r="F197" s="10"/>
      <c r="G197" t="s">
        <v>697</v>
      </c>
      <c r="H197" t="s">
        <v>41</v>
      </c>
      <c r="I197" t="s">
        <v>42</v>
      </c>
      <c r="J197" t="s">
        <v>698</v>
      </c>
      <c r="K197" t="s">
        <v>44</v>
      </c>
      <c r="L197">
        <v>2</v>
      </c>
      <c r="M197" t="s">
        <v>45</v>
      </c>
      <c r="N197" t="s">
        <v>46</v>
      </c>
      <c r="O197" t="s">
        <v>47</v>
      </c>
      <c r="P197" s="5">
        <v>1</v>
      </c>
      <c r="Q197" s="11">
        <v>44841.494837962964</v>
      </c>
      <c r="R197" s="12">
        <v>44845</v>
      </c>
      <c r="S197" t="s">
        <v>41</v>
      </c>
      <c r="T197" t="s">
        <v>48</v>
      </c>
      <c r="U197" t="s">
        <v>104</v>
      </c>
      <c r="V197" t="s">
        <v>92</v>
      </c>
      <c r="Y197" t="s">
        <v>699</v>
      </c>
      <c r="Z197">
        <v>91000</v>
      </c>
      <c r="AA197" t="s">
        <v>94</v>
      </c>
      <c r="AB197" t="s">
        <v>399</v>
      </c>
      <c r="AC197" t="s">
        <v>53</v>
      </c>
      <c r="AD197" s="15">
        <f>IF(P197&lt;=1,13,IF(P197&lt;=2,23,IF(P197&lt;=3,35,IF(P197&lt;=4,43,IF(P197&lt;=5,53,IF(P197&lt;=6,63,IF(P197&lt;=7,71,IF(P197&lt;=8,79,IF(P197&lt;=9,87,IF(P197&lt;=10,95,IF(P197&lt;=11,105,IF(P197&lt;=12,114,IF(P197&lt;=13,119,IF(P197&lt;=14,127,IF(P197&lt;=15,135,IF(P197&lt;=16,143,IF(P197&lt;=17,153,IF(P197&lt;=18,163,IF(P197&lt;=19,171,IF(P197&lt;=20,185,IF(P197&lt;=21,193,IF(P197&lt;=22,201,IF(P197&lt;=23,210,IF(P197&lt;=24,220,IF(P197&lt;=25,230,IF(P197&lt;=26,240,IF(P197&lt;=27,250,IF(P197&lt;=28,260,IF(P197&lt;=29,270,IF(P197&lt;=30,280,280))))))))))))))))))))))))))))))</f>
        <v>13</v>
      </c>
      <c r="AE197" s="14">
        <v>0</v>
      </c>
      <c r="AF197" s="14">
        <v>0</v>
      </c>
      <c r="AG197" s="14">
        <v>0</v>
      </c>
      <c r="AH197" s="14">
        <v>0</v>
      </c>
      <c r="AI197" s="14">
        <f t="shared" si="6"/>
        <v>0.78</v>
      </c>
      <c r="AJ197" s="14">
        <f t="shared" si="7"/>
        <v>13.78</v>
      </c>
      <c r="AK197" t="s">
        <v>94</v>
      </c>
      <c r="AN197" s="12"/>
    </row>
    <row r="198" spans="1:40" ht="15" customHeight="1" x14ac:dyDescent="0.35">
      <c r="A198">
        <v>690929</v>
      </c>
      <c r="B198" t="s">
        <v>37</v>
      </c>
      <c r="C198" t="s">
        <v>38</v>
      </c>
      <c r="D198" s="2" t="s">
        <v>39</v>
      </c>
      <c r="E198" s="9" t="s">
        <v>37</v>
      </c>
      <c r="F198" s="10"/>
      <c r="G198" t="s">
        <v>700</v>
      </c>
      <c r="H198" t="s">
        <v>41</v>
      </c>
      <c r="I198" t="s">
        <v>42</v>
      </c>
      <c r="J198" t="s">
        <v>701</v>
      </c>
      <c r="K198" t="s">
        <v>44</v>
      </c>
      <c r="L198">
        <v>2</v>
      </c>
      <c r="M198" t="s">
        <v>45</v>
      </c>
      <c r="N198" t="s">
        <v>46</v>
      </c>
      <c r="O198" t="s">
        <v>47</v>
      </c>
      <c r="P198" s="5">
        <v>1</v>
      </c>
      <c r="Q198" s="11">
        <v>44844.666331018518</v>
      </c>
      <c r="R198" s="12">
        <v>44845</v>
      </c>
      <c r="S198" t="s">
        <v>41</v>
      </c>
      <c r="T198" t="s">
        <v>48</v>
      </c>
      <c r="U198" t="s">
        <v>49</v>
      </c>
      <c r="V198" t="s">
        <v>87</v>
      </c>
      <c r="Y198" t="s">
        <v>702</v>
      </c>
      <c r="Z198">
        <v>21400</v>
      </c>
      <c r="AA198" t="s">
        <v>48</v>
      </c>
      <c r="AB198" t="s">
        <v>49</v>
      </c>
      <c r="AC198" t="s">
        <v>53</v>
      </c>
      <c r="AD198" s="13">
        <f>IF(P198&lt;=1,7,7+0.8*ROUNDUP(P198-1,0))</f>
        <v>7</v>
      </c>
      <c r="AE198" s="14">
        <v>0</v>
      </c>
      <c r="AF198" s="14">
        <v>0</v>
      </c>
      <c r="AG198" s="14">
        <v>0</v>
      </c>
      <c r="AH198" s="14">
        <v>0</v>
      </c>
      <c r="AI198" s="14">
        <f t="shared" si="6"/>
        <v>0.42</v>
      </c>
      <c r="AJ198" s="14">
        <f t="shared" si="7"/>
        <v>7.42</v>
      </c>
      <c r="AK198" t="s">
        <v>48</v>
      </c>
      <c r="AN198" s="12"/>
    </row>
    <row r="199" spans="1:40" ht="15" customHeight="1" x14ac:dyDescent="0.35">
      <c r="A199">
        <v>690929</v>
      </c>
      <c r="B199" t="s">
        <v>37</v>
      </c>
      <c r="C199" t="s">
        <v>38</v>
      </c>
      <c r="D199" s="2" t="s">
        <v>39</v>
      </c>
      <c r="E199" s="9" t="s">
        <v>37</v>
      </c>
      <c r="F199" s="10"/>
      <c r="G199" t="s">
        <v>703</v>
      </c>
      <c r="H199" t="s">
        <v>41</v>
      </c>
      <c r="I199" t="s">
        <v>42</v>
      </c>
      <c r="J199" t="s">
        <v>704</v>
      </c>
      <c r="K199" t="s">
        <v>44</v>
      </c>
      <c r="L199">
        <v>2</v>
      </c>
      <c r="M199" t="s">
        <v>45</v>
      </c>
      <c r="N199" t="s">
        <v>46</v>
      </c>
      <c r="O199" t="s">
        <v>47</v>
      </c>
      <c r="P199" s="5">
        <v>2</v>
      </c>
      <c r="Q199" s="11">
        <v>44842.790925925925</v>
      </c>
      <c r="R199" s="12">
        <v>44845</v>
      </c>
      <c r="S199" t="s">
        <v>41</v>
      </c>
      <c r="T199" t="s">
        <v>48</v>
      </c>
      <c r="U199" t="s">
        <v>49</v>
      </c>
      <c r="V199" t="s">
        <v>61</v>
      </c>
      <c r="Y199" t="s">
        <v>705</v>
      </c>
      <c r="Z199">
        <v>42100</v>
      </c>
      <c r="AA199" t="s">
        <v>48</v>
      </c>
      <c r="AB199" t="s">
        <v>667</v>
      </c>
      <c r="AC199" t="s">
        <v>53</v>
      </c>
      <c r="AD199" s="13">
        <f>IF(P199&lt;=1,7,7+0.8*ROUNDUP(P199-1,0))</f>
        <v>7.8</v>
      </c>
      <c r="AE199" s="14">
        <v>0</v>
      </c>
      <c r="AF199" s="14">
        <v>0</v>
      </c>
      <c r="AG199" s="14">
        <v>0</v>
      </c>
      <c r="AH199" s="14">
        <v>0</v>
      </c>
      <c r="AI199" s="14">
        <f t="shared" si="6"/>
        <v>0.46799999999999997</v>
      </c>
      <c r="AJ199" s="14">
        <f t="shared" si="7"/>
        <v>8.2680000000000007</v>
      </c>
      <c r="AK199" t="s">
        <v>48</v>
      </c>
      <c r="AN199" s="12"/>
    </row>
    <row r="200" spans="1:40" ht="15" customHeight="1" x14ac:dyDescent="0.35">
      <c r="A200">
        <v>690929</v>
      </c>
      <c r="B200" t="s">
        <v>37</v>
      </c>
      <c r="C200" t="s">
        <v>38</v>
      </c>
      <c r="D200" s="2" t="s">
        <v>39</v>
      </c>
      <c r="E200" s="9" t="s">
        <v>37</v>
      </c>
      <c r="F200" s="10"/>
      <c r="G200" t="s">
        <v>706</v>
      </c>
      <c r="H200" t="s">
        <v>41</v>
      </c>
      <c r="I200" t="s">
        <v>42</v>
      </c>
      <c r="J200" t="s">
        <v>707</v>
      </c>
      <c r="K200" t="s">
        <v>44</v>
      </c>
      <c r="L200">
        <v>2</v>
      </c>
      <c r="M200" t="s">
        <v>45</v>
      </c>
      <c r="N200" t="s">
        <v>46</v>
      </c>
      <c r="O200" t="s">
        <v>47</v>
      </c>
      <c r="P200" s="5">
        <v>1</v>
      </c>
      <c r="Q200" s="11">
        <v>44844.394212962965</v>
      </c>
      <c r="R200" s="12">
        <v>44845</v>
      </c>
      <c r="S200" t="s">
        <v>41</v>
      </c>
      <c r="T200" t="s">
        <v>48</v>
      </c>
      <c r="U200" t="s">
        <v>49</v>
      </c>
      <c r="V200" t="s">
        <v>61</v>
      </c>
      <c r="Y200" t="s">
        <v>708</v>
      </c>
      <c r="Z200">
        <v>47130</v>
      </c>
      <c r="AA200" t="s">
        <v>48</v>
      </c>
      <c r="AB200" t="s">
        <v>52</v>
      </c>
      <c r="AC200" t="s">
        <v>53</v>
      </c>
      <c r="AD200" s="13">
        <f>IF(P200&lt;=1,7,7+0.8*ROUNDUP(P200-1,0))</f>
        <v>7</v>
      </c>
      <c r="AE200" s="14">
        <v>0</v>
      </c>
      <c r="AF200" s="14">
        <v>0</v>
      </c>
      <c r="AG200" s="14">
        <v>0</v>
      </c>
      <c r="AH200" s="14">
        <v>0</v>
      </c>
      <c r="AI200" s="14">
        <f t="shared" si="6"/>
        <v>0.42</v>
      </c>
      <c r="AJ200" s="14">
        <f t="shared" si="7"/>
        <v>7.42</v>
      </c>
      <c r="AK200" t="s">
        <v>48</v>
      </c>
      <c r="AN200" s="12"/>
    </row>
    <row r="201" spans="1:40" ht="15" customHeight="1" x14ac:dyDescent="0.35">
      <c r="A201">
        <v>690929</v>
      </c>
      <c r="B201" t="s">
        <v>37</v>
      </c>
      <c r="C201" t="s">
        <v>38</v>
      </c>
      <c r="D201" s="2" t="s">
        <v>39</v>
      </c>
      <c r="E201" s="9" t="s">
        <v>37</v>
      </c>
      <c r="F201" s="10"/>
      <c r="G201" t="s">
        <v>709</v>
      </c>
      <c r="H201" t="s">
        <v>41</v>
      </c>
      <c r="I201" t="s">
        <v>42</v>
      </c>
      <c r="J201" t="s">
        <v>710</v>
      </c>
      <c r="K201" t="s">
        <v>44</v>
      </c>
      <c r="L201">
        <v>2</v>
      </c>
      <c r="M201" t="s">
        <v>45</v>
      </c>
      <c r="N201" t="s">
        <v>46</v>
      </c>
      <c r="O201" t="s">
        <v>47</v>
      </c>
      <c r="P201" s="5">
        <v>2</v>
      </c>
      <c r="Q201" s="11">
        <v>44842.787754629629</v>
      </c>
      <c r="R201" s="12">
        <v>44845</v>
      </c>
      <c r="S201" t="s">
        <v>41</v>
      </c>
      <c r="T201" t="s">
        <v>48</v>
      </c>
      <c r="U201" t="s">
        <v>49</v>
      </c>
      <c r="V201" t="s">
        <v>56</v>
      </c>
      <c r="Y201" t="s">
        <v>711</v>
      </c>
      <c r="Z201">
        <v>81930</v>
      </c>
      <c r="AA201" t="s">
        <v>48</v>
      </c>
      <c r="AB201" t="s">
        <v>712</v>
      </c>
      <c r="AC201" t="s">
        <v>53</v>
      </c>
      <c r="AD201" s="13">
        <f>IF(P201&lt;=1,7,7+0.8*ROUNDUP(P201-1,0))</f>
        <v>7.8</v>
      </c>
      <c r="AE201" s="14">
        <v>0</v>
      </c>
      <c r="AF201" s="14">
        <v>0</v>
      </c>
      <c r="AG201" s="14">
        <v>0</v>
      </c>
      <c r="AH201" s="14">
        <v>0</v>
      </c>
      <c r="AI201" s="14">
        <f t="shared" si="6"/>
        <v>0.46799999999999997</v>
      </c>
      <c r="AJ201" s="14">
        <f t="shared" si="7"/>
        <v>8.2680000000000007</v>
      </c>
      <c r="AK201" t="s">
        <v>48</v>
      </c>
      <c r="AN201" s="12"/>
    </row>
    <row r="202" spans="1:40" ht="15" customHeight="1" x14ac:dyDescent="0.35">
      <c r="A202">
        <v>690929</v>
      </c>
      <c r="B202" t="s">
        <v>37</v>
      </c>
      <c r="C202" t="s">
        <v>38</v>
      </c>
      <c r="D202" s="2" t="s">
        <v>39</v>
      </c>
      <c r="E202" s="9" t="s">
        <v>37</v>
      </c>
      <c r="F202" s="10"/>
      <c r="G202" t="s">
        <v>713</v>
      </c>
      <c r="H202" t="s">
        <v>41</v>
      </c>
      <c r="I202" t="s">
        <v>42</v>
      </c>
      <c r="J202" t="s">
        <v>714</v>
      </c>
      <c r="K202" t="s">
        <v>44</v>
      </c>
      <c r="L202">
        <v>2</v>
      </c>
      <c r="M202" t="s">
        <v>45</v>
      </c>
      <c r="N202" t="s">
        <v>46</v>
      </c>
      <c r="O202" t="s">
        <v>47</v>
      </c>
      <c r="P202" s="5">
        <v>5</v>
      </c>
      <c r="Q202" s="11">
        <v>44844.476111111115</v>
      </c>
      <c r="R202" s="12">
        <v>44845</v>
      </c>
      <c r="S202" t="s">
        <v>41</v>
      </c>
      <c r="T202" t="s">
        <v>48</v>
      </c>
      <c r="U202" t="s">
        <v>49</v>
      </c>
      <c r="V202" t="s">
        <v>61</v>
      </c>
      <c r="Y202" t="s">
        <v>715</v>
      </c>
      <c r="Z202">
        <v>41200</v>
      </c>
      <c r="AA202" t="s">
        <v>48</v>
      </c>
      <c r="AB202" t="s">
        <v>674</v>
      </c>
      <c r="AC202" t="s">
        <v>53</v>
      </c>
      <c r="AD202" s="13">
        <f>IF(P202&lt;=1,7,7+0.8*ROUNDUP(P202-1,0))</f>
        <v>10.199999999999999</v>
      </c>
      <c r="AE202" s="14">
        <v>0</v>
      </c>
      <c r="AF202" s="14">
        <v>0</v>
      </c>
      <c r="AG202" s="14">
        <v>0</v>
      </c>
      <c r="AH202" s="14">
        <v>0</v>
      </c>
      <c r="AI202" s="14">
        <f t="shared" si="6"/>
        <v>0.61199999999999999</v>
      </c>
      <c r="AJ202" s="14">
        <f t="shared" si="7"/>
        <v>10.811999999999999</v>
      </c>
      <c r="AK202" t="s">
        <v>48</v>
      </c>
      <c r="AN202" s="12"/>
    </row>
    <row r="203" spans="1:40" ht="15" customHeight="1" x14ac:dyDescent="0.35">
      <c r="A203">
        <v>690929</v>
      </c>
      <c r="B203" t="s">
        <v>37</v>
      </c>
      <c r="C203" t="s">
        <v>38</v>
      </c>
      <c r="D203" s="2" t="s">
        <v>39</v>
      </c>
      <c r="E203" s="9" t="s">
        <v>37</v>
      </c>
      <c r="F203" s="10"/>
      <c r="G203" t="s">
        <v>716</v>
      </c>
      <c r="H203" t="s">
        <v>41</v>
      </c>
      <c r="I203" t="s">
        <v>42</v>
      </c>
      <c r="J203" t="s">
        <v>717</v>
      </c>
      <c r="K203" t="s">
        <v>44</v>
      </c>
      <c r="L203">
        <v>2</v>
      </c>
      <c r="M203" t="s">
        <v>45</v>
      </c>
      <c r="N203" t="s">
        <v>46</v>
      </c>
      <c r="O203" t="s">
        <v>47</v>
      </c>
      <c r="P203" s="5">
        <v>2</v>
      </c>
      <c r="Q203" s="11">
        <v>44842.775497685187</v>
      </c>
      <c r="R203" s="12">
        <v>44845</v>
      </c>
      <c r="S203" t="s">
        <v>41</v>
      </c>
      <c r="T203" t="s">
        <v>48</v>
      </c>
      <c r="U203" t="s">
        <v>49</v>
      </c>
      <c r="V203" t="s">
        <v>56</v>
      </c>
      <c r="Y203" t="s">
        <v>718</v>
      </c>
      <c r="Z203">
        <v>81930</v>
      </c>
      <c r="AA203" t="s">
        <v>48</v>
      </c>
      <c r="AB203" t="s">
        <v>712</v>
      </c>
      <c r="AC203" t="s">
        <v>53</v>
      </c>
      <c r="AD203" s="13">
        <f>IF(P203&lt;=1,7,7+0.8*ROUNDUP(P203-1,0))</f>
        <v>7.8</v>
      </c>
      <c r="AE203" s="14">
        <v>0</v>
      </c>
      <c r="AF203" s="14">
        <v>0</v>
      </c>
      <c r="AG203" s="14">
        <v>0</v>
      </c>
      <c r="AH203" s="14">
        <v>0</v>
      </c>
      <c r="AI203" s="14">
        <f t="shared" si="6"/>
        <v>0.46799999999999997</v>
      </c>
      <c r="AJ203" s="14">
        <f t="shared" si="7"/>
        <v>8.2680000000000007</v>
      </c>
      <c r="AK203" t="s">
        <v>48</v>
      </c>
      <c r="AN203" s="12"/>
    </row>
    <row r="204" spans="1:40" ht="15" customHeight="1" x14ac:dyDescent="0.35">
      <c r="A204">
        <v>690929</v>
      </c>
      <c r="B204" t="s">
        <v>37</v>
      </c>
      <c r="C204" t="s">
        <v>38</v>
      </c>
      <c r="D204" s="2" t="s">
        <v>39</v>
      </c>
      <c r="E204" s="9" t="s">
        <v>37</v>
      </c>
      <c r="F204" s="10"/>
      <c r="G204" t="s">
        <v>719</v>
      </c>
      <c r="H204" t="s">
        <v>41</v>
      </c>
      <c r="I204" t="s">
        <v>42</v>
      </c>
      <c r="J204" t="s">
        <v>720</v>
      </c>
      <c r="K204" t="s">
        <v>44</v>
      </c>
      <c r="L204">
        <v>2</v>
      </c>
      <c r="M204" t="s">
        <v>45</v>
      </c>
      <c r="N204" t="s">
        <v>46</v>
      </c>
      <c r="O204" t="s">
        <v>47</v>
      </c>
      <c r="P204" s="5">
        <v>2</v>
      </c>
      <c r="Q204" s="11">
        <v>44842.7731712963</v>
      </c>
      <c r="R204" s="12">
        <v>44846</v>
      </c>
      <c r="S204" t="s">
        <v>41</v>
      </c>
      <c r="T204" t="s">
        <v>48</v>
      </c>
      <c r="U204" t="s">
        <v>49</v>
      </c>
      <c r="V204" t="s">
        <v>50</v>
      </c>
      <c r="Y204" t="s">
        <v>721</v>
      </c>
      <c r="Z204">
        <v>7000</v>
      </c>
      <c r="AA204" t="s">
        <v>48</v>
      </c>
      <c r="AB204" t="s">
        <v>722</v>
      </c>
      <c r="AC204" t="s">
        <v>53</v>
      </c>
      <c r="AD204" s="13">
        <f>IF(P204&lt;=1,7,7+0.8*ROUNDUP(P204-1,0))</f>
        <v>7.8</v>
      </c>
      <c r="AE204" s="14">
        <v>0</v>
      </c>
      <c r="AF204" s="14">
        <v>0</v>
      </c>
      <c r="AG204" s="14">
        <v>0</v>
      </c>
      <c r="AH204" s="14">
        <v>0</v>
      </c>
      <c r="AI204" s="14">
        <f t="shared" si="6"/>
        <v>0.46799999999999997</v>
      </c>
      <c r="AJ204" s="14">
        <f t="shared" si="7"/>
        <v>8.2680000000000007</v>
      </c>
      <c r="AK204" t="s">
        <v>48</v>
      </c>
      <c r="AN204" s="12"/>
    </row>
    <row r="205" spans="1:40" ht="15" customHeight="1" x14ac:dyDescent="0.35">
      <c r="A205">
        <v>690929</v>
      </c>
      <c r="B205" t="s">
        <v>37</v>
      </c>
      <c r="C205" t="s">
        <v>38</v>
      </c>
      <c r="D205" s="2" t="s">
        <v>39</v>
      </c>
      <c r="E205" s="9" t="s">
        <v>37</v>
      </c>
      <c r="F205" s="10"/>
      <c r="G205" t="s">
        <v>723</v>
      </c>
      <c r="H205" t="s">
        <v>41</v>
      </c>
      <c r="I205" t="s">
        <v>42</v>
      </c>
      <c r="J205" t="s">
        <v>724</v>
      </c>
      <c r="K205" t="s">
        <v>44</v>
      </c>
      <c r="L205">
        <v>2</v>
      </c>
      <c r="M205" t="s">
        <v>45</v>
      </c>
      <c r="N205" t="s">
        <v>46</v>
      </c>
      <c r="O205" t="s">
        <v>47</v>
      </c>
      <c r="P205" s="5">
        <v>2</v>
      </c>
      <c r="Q205" s="11">
        <v>44842.798842592594</v>
      </c>
      <c r="R205" s="12">
        <v>44846</v>
      </c>
      <c r="S205" t="s">
        <v>41</v>
      </c>
      <c r="T205" t="s">
        <v>48</v>
      </c>
      <c r="U205" t="s">
        <v>49</v>
      </c>
      <c r="V205" t="s">
        <v>92</v>
      </c>
      <c r="Y205" t="s">
        <v>725</v>
      </c>
      <c r="Z205">
        <v>91000</v>
      </c>
      <c r="AA205" t="s">
        <v>94</v>
      </c>
      <c r="AB205" t="s">
        <v>399</v>
      </c>
      <c r="AC205" t="s">
        <v>53</v>
      </c>
      <c r="AD205" s="15">
        <f>IF(P205&lt;=1,13,IF(P205&lt;=2,23,IF(P205&lt;=3,35,IF(P205&lt;=4,43,IF(P205&lt;=5,53,IF(P205&lt;=6,63,IF(P205&lt;=7,71,IF(P205&lt;=8,79,IF(P205&lt;=9,87,IF(P205&lt;=10,95,IF(P205&lt;=11,105,IF(P205&lt;=12,114,IF(P205&lt;=13,119,IF(P205&lt;=14,127,IF(P205&lt;=15,135,IF(P205&lt;=16,143,IF(P205&lt;=17,153,IF(P205&lt;=18,163,IF(P205&lt;=19,171,IF(P205&lt;=20,185,IF(P205&lt;=21,193,IF(P205&lt;=22,201,IF(P205&lt;=23,210,IF(P205&lt;=24,220,IF(P205&lt;=25,230,IF(P205&lt;=26,240,IF(P205&lt;=27,250,IF(P205&lt;=28,260,IF(P205&lt;=29,270,IF(P205&lt;=30,280,280))))))))))))))))))))))))))))))</f>
        <v>23</v>
      </c>
      <c r="AE205" s="14">
        <v>0</v>
      </c>
      <c r="AF205" s="14">
        <v>0</v>
      </c>
      <c r="AG205" s="14">
        <v>0</v>
      </c>
      <c r="AH205" s="14">
        <v>0</v>
      </c>
      <c r="AI205" s="14">
        <f t="shared" si="6"/>
        <v>1.38</v>
      </c>
      <c r="AJ205" s="14">
        <f t="shared" si="7"/>
        <v>24.38</v>
      </c>
      <c r="AK205" t="s">
        <v>94</v>
      </c>
      <c r="AN205" s="12"/>
    </row>
    <row r="206" spans="1:40" ht="15" customHeight="1" x14ac:dyDescent="0.35">
      <c r="A206">
        <v>690929</v>
      </c>
      <c r="B206" t="s">
        <v>37</v>
      </c>
      <c r="C206" t="s">
        <v>38</v>
      </c>
      <c r="D206" s="2" t="s">
        <v>39</v>
      </c>
      <c r="E206" s="9" t="s">
        <v>37</v>
      </c>
      <c r="F206" s="10"/>
      <c r="G206" t="s">
        <v>726</v>
      </c>
      <c r="H206" t="s">
        <v>41</v>
      </c>
      <c r="I206" t="s">
        <v>42</v>
      </c>
      <c r="J206" t="s">
        <v>727</v>
      </c>
      <c r="K206" t="s">
        <v>44</v>
      </c>
      <c r="L206">
        <v>2</v>
      </c>
      <c r="M206" t="s">
        <v>45</v>
      </c>
      <c r="N206" t="s">
        <v>46</v>
      </c>
      <c r="O206" t="s">
        <v>47</v>
      </c>
      <c r="P206" s="5">
        <v>2</v>
      </c>
      <c r="Q206" s="11">
        <v>44845.53052083333</v>
      </c>
      <c r="R206" s="12">
        <v>44846</v>
      </c>
      <c r="S206" t="s">
        <v>41</v>
      </c>
      <c r="T206" t="s">
        <v>48</v>
      </c>
      <c r="U206" t="s">
        <v>49</v>
      </c>
      <c r="V206" t="s">
        <v>61</v>
      </c>
      <c r="Y206" t="s">
        <v>728</v>
      </c>
      <c r="Z206">
        <v>42300</v>
      </c>
      <c r="AA206" t="s">
        <v>48</v>
      </c>
      <c r="AB206" t="s">
        <v>52</v>
      </c>
      <c r="AC206" t="s">
        <v>53</v>
      </c>
      <c r="AD206" s="13">
        <f>IF(P206&lt;=1,7,7+0.8*ROUNDUP(P206-1,0))</f>
        <v>7.8</v>
      </c>
      <c r="AE206" s="14">
        <v>0</v>
      </c>
      <c r="AF206" s="14">
        <v>0</v>
      </c>
      <c r="AG206" s="14">
        <v>0</v>
      </c>
      <c r="AH206" s="14">
        <v>0</v>
      </c>
      <c r="AI206" s="14">
        <f t="shared" si="6"/>
        <v>0.46799999999999997</v>
      </c>
      <c r="AJ206" s="14">
        <f t="shared" si="7"/>
        <v>8.2680000000000007</v>
      </c>
      <c r="AK206" t="s">
        <v>48</v>
      </c>
      <c r="AN206" s="12"/>
    </row>
    <row r="207" spans="1:40" ht="15" customHeight="1" x14ac:dyDescent="0.35">
      <c r="A207">
        <v>690929</v>
      </c>
      <c r="B207" t="s">
        <v>37</v>
      </c>
      <c r="C207" t="s">
        <v>38</v>
      </c>
      <c r="D207" s="2" t="s">
        <v>39</v>
      </c>
      <c r="E207" s="9" t="s">
        <v>37</v>
      </c>
      <c r="F207" s="10"/>
      <c r="G207" t="s">
        <v>729</v>
      </c>
      <c r="H207" t="s">
        <v>41</v>
      </c>
      <c r="I207" t="s">
        <v>42</v>
      </c>
      <c r="J207" t="s">
        <v>730</v>
      </c>
      <c r="K207" t="s">
        <v>44</v>
      </c>
      <c r="L207">
        <v>2</v>
      </c>
      <c r="M207" t="s">
        <v>45</v>
      </c>
      <c r="N207" t="s">
        <v>46</v>
      </c>
      <c r="O207" t="s">
        <v>47</v>
      </c>
      <c r="P207" s="5">
        <v>1</v>
      </c>
      <c r="Q207" s="11">
        <v>44844.664444444446</v>
      </c>
      <c r="R207" s="12">
        <v>44846</v>
      </c>
      <c r="S207" t="s">
        <v>41</v>
      </c>
      <c r="T207" t="s">
        <v>48</v>
      </c>
      <c r="U207" t="s">
        <v>49</v>
      </c>
      <c r="V207" t="s">
        <v>122</v>
      </c>
      <c r="Y207" t="s">
        <v>731</v>
      </c>
      <c r="Z207">
        <v>16250</v>
      </c>
      <c r="AA207" t="s">
        <v>48</v>
      </c>
      <c r="AB207" t="s">
        <v>104</v>
      </c>
      <c r="AC207" t="s">
        <v>53</v>
      </c>
      <c r="AD207" s="13">
        <f>IF(P207&lt;=1,7,7+0.8*ROUNDUP(P207-1,0))</f>
        <v>7</v>
      </c>
      <c r="AE207" s="14">
        <v>0</v>
      </c>
      <c r="AF207" s="14">
        <v>0</v>
      </c>
      <c r="AG207" s="14">
        <v>0</v>
      </c>
      <c r="AH207" s="14">
        <v>0</v>
      </c>
      <c r="AI207" s="14">
        <f t="shared" si="6"/>
        <v>0.42</v>
      </c>
      <c r="AJ207" s="14">
        <f t="shared" si="7"/>
        <v>7.42</v>
      </c>
      <c r="AK207" t="s">
        <v>48</v>
      </c>
      <c r="AN207" s="12"/>
    </row>
    <row r="208" spans="1:40" ht="15" customHeight="1" x14ac:dyDescent="0.35">
      <c r="A208">
        <v>690929</v>
      </c>
      <c r="B208" t="s">
        <v>37</v>
      </c>
      <c r="C208" t="s">
        <v>38</v>
      </c>
      <c r="D208" s="2" t="s">
        <v>39</v>
      </c>
      <c r="E208" s="9" t="s">
        <v>37</v>
      </c>
      <c r="F208" s="10"/>
      <c r="G208" t="s">
        <v>732</v>
      </c>
      <c r="H208" t="s">
        <v>41</v>
      </c>
      <c r="I208" t="s">
        <v>42</v>
      </c>
      <c r="J208" t="s">
        <v>733</v>
      </c>
      <c r="K208" t="s">
        <v>44</v>
      </c>
      <c r="L208">
        <v>2</v>
      </c>
      <c r="M208" t="s">
        <v>45</v>
      </c>
      <c r="N208" t="s">
        <v>46</v>
      </c>
      <c r="O208" t="s">
        <v>47</v>
      </c>
      <c r="P208" s="5">
        <v>1</v>
      </c>
      <c r="Q208" s="11">
        <v>44844.665370370371</v>
      </c>
      <c r="R208" s="12">
        <v>44846</v>
      </c>
      <c r="S208" t="s">
        <v>41</v>
      </c>
      <c r="T208" t="s">
        <v>48</v>
      </c>
      <c r="U208" t="s">
        <v>49</v>
      </c>
      <c r="V208" t="s">
        <v>61</v>
      </c>
      <c r="Y208" t="s">
        <v>734</v>
      </c>
      <c r="Z208">
        <v>43400</v>
      </c>
      <c r="AA208" t="s">
        <v>48</v>
      </c>
      <c r="AB208" t="s">
        <v>52</v>
      </c>
      <c r="AC208" t="s">
        <v>53</v>
      </c>
      <c r="AD208" s="13">
        <f>IF(P208&lt;=1,7,7+0.8*ROUNDUP(P208-1,0))</f>
        <v>7</v>
      </c>
      <c r="AE208" s="14">
        <v>0</v>
      </c>
      <c r="AF208" s="14">
        <v>0</v>
      </c>
      <c r="AG208" s="14">
        <v>0</v>
      </c>
      <c r="AH208" s="14">
        <v>0</v>
      </c>
      <c r="AI208" s="14">
        <f t="shared" si="6"/>
        <v>0.42</v>
      </c>
      <c r="AJ208" s="14">
        <f t="shared" si="7"/>
        <v>7.42</v>
      </c>
      <c r="AK208" t="s">
        <v>48</v>
      </c>
      <c r="AN208" s="12"/>
    </row>
    <row r="209" spans="1:40" ht="15" customHeight="1" x14ac:dyDescent="0.35">
      <c r="A209">
        <v>690929</v>
      </c>
      <c r="B209" t="s">
        <v>37</v>
      </c>
      <c r="C209" t="s">
        <v>38</v>
      </c>
      <c r="D209" s="2" t="s">
        <v>39</v>
      </c>
      <c r="E209" s="9" t="s">
        <v>37</v>
      </c>
      <c r="F209" s="10"/>
      <c r="G209" t="s">
        <v>735</v>
      </c>
      <c r="H209" t="s">
        <v>41</v>
      </c>
      <c r="I209" t="s">
        <v>42</v>
      </c>
      <c r="J209" t="s">
        <v>736</v>
      </c>
      <c r="K209" t="s">
        <v>44</v>
      </c>
      <c r="L209">
        <v>2</v>
      </c>
      <c r="M209" t="s">
        <v>45</v>
      </c>
      <c r="N209" t="s">
        <v>46</v>
      </c>
      <c r="O209" t="s">
        <v>47</v>
      </c>
      <c r="P209" s="5">
        <v>2</v>
      </c>
      <c r="Q209" s="11">
        <v>44842.774282407408</v>
      </c>
      <c r="R209" s="12">
        <v>44847</v>
      </c>
      <c r="S209" t="s">
        <v>41</v>
      </c>
      <c r="T209" t="s">
        <v>48</v>
      </c>
      <c r="U209" t="s">
        <v>49</v>
      </c>
      <c r="V209" t="s">
        <v>188</v>
      </c>
      <c r="Y209" t="s">
        <v>737</v>
      </c>
      <c r="Z209">
        <v>94300</v>
      </c>
      <c r="AA209" t="s">
        <v>94</v>
      </c>
      <c r="AB209" t="s">
        <v>190</v>
      </c>
      <c r="AC209" t="s">
        <v>53</v>
      </c>
      <c r="AD209" s="15">
        <f>IF(P209&lt;=1,13,IF(P209&lt;=2,23,IF(P209&lt;=3,35,IF(P209&lt;=4,43,IF(P209&lt;=5,53,IF(P209&lt;=6,63,IF(P209&lt;=7,71,IF(P209&lt;=8,79,IF(P209&lt;=9,87,IF(P209&lt;=10,95,IF(P209&lt;=11,105,IF(P209&lt;=12,114,IF(P209&lt;=13,119,IF(P209&lt;=14,127,IF(P209&lt;=15,135,IF(P209&lt;=16,143,IF(P209&lt;=17,153,IF(P209&lt;=18,163,IF(P209&lt;=19,171,IF(P209&lt;=20,185,IF(P209&lt;=21,193,IF(P209&lt;=22,201,IF(P209&lt;=23,210,IF(P209&lt;=24,220,IF(P209&lt;=25,230,IF(P209&lt;=26,240,IF(P209&lt;=27,250,IF(P209&lt;=28,260,IF(P209&lt;=29,270,IF(P209&lt;=30,280,280))))))))))))))))))))))))))))))</f>
        <v>23</v>
      </c>
      <c r="AE209" s="14">
        <v>0</v>
      </c>
      <c r="AF209" s="14">
        <v>0</v>
      </c>
      <c r="AG209" s="14">
        <v>0</v>
      </c>
      <c r="AH209" s="14">
        <v>0</v>
      </c>
      <c r="AI209" s="14">
        <f t="shared" si="6"/>
        <v>1.38</v>
      </c>
      <c r="AJ209" s="14">
        <f t="shared" si="7"/>
        <v>24.38</v>
      </c>
      <c r="AK209" t="s">
        <v>94</v>
      </c>
      <c r="AN209" s="12"/>
    </row>
    <row r="210" spans="1:40" ht="15" customHeight="1" x14ac:dyDescent="0.35">
      <c r="A210">
        <v>690929</v>
      </c>
      <c r="B210" t="s">
        <v>37</v>
      </c>
      <c r="C210" t="s">
        <v>38</v>
      </c>
      <c r="D210" s="2" t="s">
        <v>39</v>
      </c>
      <c r="E210" s="9" t="s">
        <v>37</v>
      </c>
      <c r="F210" s="10"/>
      <c r="G210" t="s">
        <v>738</v>
      </c>
      <c r="H210" t="s">
        <v>41</v>
      </c>
      <c r="I210" t="s">
        <v>42</v>
      </c>
      <c r="J210" t="s">
        <v>739</v>
      </c>
      <c r="K210" t="s">
        <v>44</v>
      </c>
      <c r="L210">
        <v>2</v>
      </c>
      <c r="M210" t="s">
        <v>45</v>
      </c>
      <c r="N210" t="s">
        <v>46</v>
      </c>
      <c r="O210" t="s">
        <v>47</v>
      </c>
      <c r="P210" s="5">
        <v>1</v>
      </c>
      <c r="Q210" s="11">
        <v>44842.770150462966</v>
      </c>
      <c r="R210" s="12">
        <v>44847</v>
      </c>
      <c r="S210" t="s">
        <v>41</v>
      </c>
      <c r="T210" t="s">
        <v>48</v>
      </c>
      <c r="U210" t="s">
        <v>49</v>
      </c>
      <c r="V210" t="s">
        <v>524</v>
      </c>
      <c r="Y210" t="s">
        <v>740</v>
      </c>
      <c r="Z210">
        <v>87000</v>
      </c>
      <c r="AA210" t="s">
        <v>94</v>
      </c>
      <c r="AB210" t="s">
        <v>526</v>
      </c>
      <c r="AC210" t="s">
        <v>53</v>
      </c>
      <c r="AD210" s="15">
        <f>IF(P210&lt;=1,13,IF(P210&lt;=2,23,IF(P210&lt;=3,35,IF(P210&lt;=4,43,IF(P210&lt;=5,53,IF(P210&lt;=6,63,IF(P210&lt;=7,71,IF(P210&lt;=8,79,IF(P210&lt;=9,87,IF(P210&lt;=10,95,IF(P210&lt;=11,105,IF(P210&lt;=12,114,IF(P210&lt;=13,119,IF(P210&lt;=14,127,IF(P210&lt;=15,135,IF(P210&lt;=16,143,IF(P210&lt;=17,153,IF(P210&lt;=18,163,IF(P210&lt;=19,171,IF(P210&lt;=20,185,IF(P210&lt;=21,193,IF(P210&lt;=22,201,IF(P210&lt;=23,210,IF(P210&lt;=24,220,IF(P210&lt;=25,230,IF(P210&lt;=26,240,IF(P210&lt;=27,250,IF(P210&lt;=28,260,IF(P210&lt;=29,270,IF(P210&lt;=30,280,280))))))))))))))))))))))))))))))</f>
        <v>13</v>
      </c>
      <c r="AE210" s="14">
        <v>0</v>
      </c>
      <c r="AF210" s="14">
        <v>0</v>
      </c>
      <c r="AG210" s="14">
        <v>0</v>
      </c>
      <c r="AH210" s="14">
        <v>0</v>
      </c>
      <c r="AI210" s="14">
        <f t="shared" si="6"/>
        <v>0.78</v>
      </c>
      <c r="AJ210" s="14">
        <f t="shared" si="7"/>
        <v>13.78</v>
      </c>
      <c r="AK210" t="s">
        <v>94</v>
      </c>
      <c r="AN210" s="12"/>
    </row>
    <row r="211" spans="1:40" ht="15" customHeight="1" x14ac:dyDescent="0.35">
      <c r="A211">
        <v>690929</v>
      </c>
      <c r="B211" t="s">
        <v>37</v>
      </c>
      <c r="C211" t="s">
        <v>38</v>
      </c>
      <c r="D211" s="2" t="s">
        <v>39</v>
      </c>
      <c r="E211" s="9" t="s">
        <v>37</v>
      </c>
      <c r="F211" s="10"/>
      <c r="G211" t="s">
        <v>741</v>
      </c>
      <c r="H211" t="s">
        <v>41</v>
      </c>
      <c r="I211" t="s">
        <v>42</v>
      </c>
      <c r="J211" t="s">
        <v>742</v>
      </c>
      <c r="K211" t="s">
        <v>44</v>
      </c>
      <c r="L211">
        <v>2</v>
      </c>
      <c r="M211" t="s">
        <v>45</v>
      </c>
      <c r="N211" t="s">
        <v>46</v>
      </c>
      <c r="O211" t="s">
        <v>47</v>
      </c>
      <c r="P211" s="5">
        <v>1</v>
      </c>
      <c r="Q211" s="11">
        <v>44846.494363425925</v>
      </c>
      <c r="R211" s="12">
        <v>44847</v>
      </c>
      <c r="S211" t="s">
        <v>41</v>
      </c>
      <c r="T211" t="s">
        <v>48</v>
      </c>
      <c r="U211" t="s">
        <v>49</v>
      </c>
      <c r="V211" t="s">
        <v>193</v>
      </c>
      <c r="Y211" t="s">
        <v>743</v>
      </c>
      <c r="Z211">
        <v>55100</v>
      </c>
      <c r="AA211" t="s">
        <v>48</v>
      </c>
      <c r="AB211" t="s">
        <v>52</v>
      </c>
      <c r="AC211" t="s">
        <v>53</v>
      </c>
      <c r="AD211" s="13">
        <f>IF(P211&lt;=1,7,7+0.8*ROUNDUP(P211-1,0))</f>
        <v>7</v>
      </c>
      <c r="AE211" s="14">
        <v>0</v>
      </c>
      <c r="AF211" s="14">
        <v>0</v>
      </c>
      <c r="AG211" s="14">
        <v>0</v>
      </c>
      <c r="AH211" s="14">
        <v>0</v>
      </c>
      <c r="AI211" s="14">
        <f t="shared" si="6"/>
        <v>0.42</v>
      </c>
      <c r="AJ211" s="14">
        <f t="shared" si="7"/>
        <v>7.42</v>
      </c>
      <c r="AK211" t="s">
        <v>48</v>
      </c>
      <c r="AN211" s="12"/>
    </row>
    <row r="212" spans="1:40" ht="15" customHeight="1" x14ac:dyDescent="0.35">
      <c r="A212">
        <v>690929</v>
      </c>
      <c r="B212" t="s">
        <v>37</v>
      </c>
      <c r="C212" t="s">
        <v>38</v>
      </c>
      <c r="D212" s="2" t="s">
        <v>39</v>
      </c>
      <c r="E212" s="9" t="s">
        <v>37</v>
      </c>
      <c r="F212" s="10"/>
      <c r="G212" t="s">
        <v>744</v>
      </c>
      <c r="H212" t="s">
        <v>41</v>
      </c>
      <c r="I212" t="s">
        <v>42</v>
      </c>
      <c r="J212" t="s">
        <v>745</v>
      </c>
      <c r="K212" t="s">
        <v>44</v>
      </c>
      <c r="L212">
        <v>2</v>
      </c>
      <c r="M212" t="s">
        <v>45</v>
      </c>
      <c r="N212" t="s">
        <v>46</v>
      </c>
      <c r="O212" t="s">
        <v>47</v>
      </c>
      <c r="P212" s="5">
        <v>1</v>
      </c>
      <c r="Q212" s="11">
        <v>44841.496736111112</v>
      </c>
      <c r="R212" s="12">
        <v>44847</v>
      </c>
      <c r="S212" t="s">
        <v>41</v>
      </c>
      <c r="T212" t="s">
        <v>48</v>
      </c>
      <c r="U212" t="s">
        <v>104</v>
      </c>
      <c r="V212" t="s">
        <v>92</v>
      </c>
      <c r="Y212" t="s">
        <v>746</v>
      </c>
      <c r="Z212">
        <v>88450</v>
      </c>
      <c r="AA212" t="s">
        <v>94</v>
      </c>
      <c r="AB212" t="s">
        <v>747</v>
      </c>
      <c r="AC212" t="s">
        <v>53</v>
      </c>
      <c r="AD212" s="15">
        <f>IF(P212&lt;=1,13,IF(P212&lt;=2,23,IF(P212&lt;=3,35,IF(P212&lt;=4,43,IF(P212&lt;=5,53,IF(P212&lt;=6,63,IF(P212&lt;=7,71,IF(P212&lt;=8,79,IF(P212&lt;=9,87,IF(P212&lt;=10,95,IF(P212&lt;=11,105,IF(P212&lt;=12,114,IF(P212&lt;=13,119,IF(P212&lt;=14,127,IF(P212&lt;=15,135,IF(P212&lt;=16,143,IF(P212&lt;=17,153,IF(P212&lt;=18,163,IF(P212&lt;=19,171,IF(P212&lt;=20,185,IF(P212&lt;=21,193,IF(P212&lt;=22,201,IF(P212&lt;=23,210,IF(P212&lt;=24,220,IF(P212&lt;=25,230,IF(P212&lt;=26,240,IF(P212&lt;=27,250,IF(P212&lt;=28,260,IF(P212&lt;=29,270,IF(P212&lt;=30,280,280))))))))))))))))))))))))))))))</f>
        <v>13</v>
      </c>
      <c r="AE212" s="14">
        <v>0</v>
      </c>
      <c r="AF212" s="14">
        <v>0</v>
      </c>
      <c r="AG212" s="14">
        <v>0</v>
      </c>
      <c r="AH212" s="14">
        <v>0</v>
      </c>
      <c r="AI212" s="14">
        <f t="shared" si="6"/>
        <v>0.78</v>
      </c>
      <c r="AJ212" s="14">
        <f t="shared" si="7"/>
        <v>13.78</v>
      </c>
      <c r="AK212" t="s">
        <v>94</v>
      </c>
      <c r="AN212" s="12"/>
    </row>
    <row r="213" spans="1:40" ht="15" customHeight="1" x14ac:dyDescent="0.35">
      <c r="A213">
        <v>690929</v>
      </c>
      <c r="B213" t="s">
        <v>37</v>
      </c>
      <c r="C213" t="s">
        <v>38</v>
      </c>
      <c r="D213" s="2" t="s">
        <v>39</v>
      </c>
      <c r="E213" s="9" t="s">
        <v>37</v>
      </c>
      <c r="F213" s="10"/>
      <c r="G213" t="s">
        <v>748</v>
      </c>
      <c r="H213" t="s">
        <v>41</v>
      </c>
      <c r="I213" t="s">
        <v>42</v>
      </c>
      <c r="J213" t="s">
        <v>749</v>
      </c>
      <c r="K213" t="s">
        <v>44</v>
      </c>
      <c r="L213">
        <v>2</v>
      </c>
      <c r="M213" t="s">
        <v>45</v>
      </c>
      <c r="N213" t="s">
        <v>46</v>
      </c>
      <c r="O213" t="s">
        <v>47</v>
      </c>
      <c r="P213" s="5">
        <v>1</v>
      </c>
      <c r="Q213" s="11">
        <v>44845.733877314815</v>
      </c>
      <c r="R213" s="12">
        <v>44847</v>
      </c>
      <c r="S213" t="s">
        <v>41</v>
      </c>
      <c r="T213" t="s">
        <v>48</v>
      </c>
      <c r="U213" t="s">
        <v>49</v>
      </c>
      <c r="V213" t="s">
        <v>61</v>
      </c>
      <c r="Y213" t="s">
        <v>750</v>
      </c>
      <c r="Z213">
        <v>47000</v>
      </c>
      <c r="AA213" t="s">
        <v>48</v>
      </c>
      <c r="AB213" t="s">
        <v>52</v>
      </c>
      <c r="AC213" t="s">
        <v>53</v>
      </c>
      <c r="AD213" s="13">
        <f>IF(P213&lt;=1,7,7+0.8*ROUNDUP(P213-1,0))</f>
        <v>7</v>
      </c>
      <c r="AE213" s="14">
        <v>0</v>
      </c>
      <c r="AF213" s="14">
        <v>0</v>
      </c>
      <c r="AG213" s="14">
        <v>0</v>
      </c>
      <c r="AH213" s="14">
        <v>0</v>
      </c>
      <c r="AI213" s="14">
        <f t="shared" si="6"/>
        <v>0.42</v>
      </c>
      <c r="AJ213" s="14">
        <f t="shared" si="7"/>
        <v>7.42</v>
      </c>
      <c r="AK213" t="s">
        <v>48</v>
      </c>
      <c r="AN213" s="12"/>
    </row>
    <row r="214" spans="1:40" ht="15" customHeight="1" x14ac:dyDescent="0.35">
      <c r="A214">
        <v>690929</v>
      </c>
      <c r="B214" t="s">
        <v>37</v>
      </c>
      <c r="C214" t="s">
        <v>38</v>
      </c>
      <c r="D214" s="2" t="s">
        <v>39</v>
      </c>
      <c r="E214" s="9" t="s">
        <v>37</v>
      </c>
      <c r="F214" s="10"/>
      <c r="G214" t="s">
        <v>751</v>
      </c>
      <c r="H214" t="s">
        <v>41</v>
      </c>
      <c r="I214" t="s">
        <v>42</v>
      </c>
      <c r="J214" t="s">
        <v>752</v>
      </c>
      <c r="K214" t="s">
        <v>44</v>
      </c>
      <c r="L214">
        <v>2</v>
      </c>
      <c r="M214" t="s">
        <v>45</v>
      </c>
      <c r="N214" t="s">
        <v>46</v>
      </c>
      <c r="O214" t="s">
        <v>47</v>
      </c>
      <c r="P214" s="5">
        <v>11</v>
      </c>
      <c r="Q214" s="11">
        <v>44846.718391203707</v>
      </c>
      <c r="R214" s="12">
        <v>44848</v>
      </c>
      <c r="S214" t="s">
        <v>41</v>
      </c>
      <c r="T214" t="s">
        <v>48</v>
      </c>
      <c r="U214" t="s">
        <v>49</v>
      </c>
      <c r="V214" t="s">
        <v>87</v>
      </c>
      <c r="Y214" t="s">
        <v>753</v>
      </c>
      <c r="Z214">
        <v>21030</v>
      </c>
      <c r="AA214" t="s">
        <v>48</v>
      </c>
      <c r="AB214" t="s">
        <v>754</v>
      </c>
      <c r="AC214" t="s">
        <v>53</v>
      </c>
      <c r="AD214" s="13">
        <f>IF(P214&lt;=1,7,7+0.8*ROUNDUP(P214-1,0))</f>
        <v>15</v>
      </c>
      <c r="AE214" s="14">
        <v>0</v>
      </c>
      <c r="AF214" s="14">
        <v>0</v>
      </c>
      <c r="AG214" s="14">
        <v>0</v>
      </c>
      <c r="AH214" s="14">
        <v>0</v>
      </c>
      <c r="AI214" s="14">
        <f t="shared" si="6"/>
        <v>0.89999999999999991</v>
      </c>
      <c r="AJ214" s="14">
        <f t="shared" si="7"/>
        <v>15.9</v>
      </c>
      <c r="AK214" t="s">
        <v>48</v>
      </c>
      <c r="AN214" s="12"/>
    </row>
    <row r="215" spans="1:40" ht="15" customHeight="1" x14ac:dyDescent="0.35">
      <c r="A215">
        <v>690929</v>
      </c>
      <c r="B215" t="s">
        <v>37</v>
      </c>
      <c r="C215" t="s">
        <v>38</v>
      </c>
      <c r="D215" s="2" t="s">
        <v>39</v>
      </c>
      <c r="E215" s="9" t="s">
        <v>37</v>
      </c>
      <c r="F215" s="10"/>
      <c r="G215" t="s">
        <v>755</v>
      </c>
      <c r="H215" t="s">
        <v>41</v>
      </c>
      <c r="I215" t="s">
        <v>42</v>
      </c>
      <c r="J215" t="s">
        <v>752</v>
      </c>
      <c r="K215" t="s">
        <v>44</v>
      </c>
      <c r="L215">
        <v>2</v>
      </c>
      <c r="M215" t="s">
        <v>45</v>
      </c>
      <c r="N215" t="s">
        <v>46</v>
      </c>
      <c r="O215" t="s">
        <v>47</v>
      </c>
      <c r="P215" s="5">
        <v>20</v>
      </c>
      <c r="Q215" s="11">
        <v>44846.719178240739</v>
      </c>
      <c r="R215" s="12">
        <v>44848</v>
      </c>
      <c r="S215" t="s">
        <v>41</v>
      </c>
      <c r="T215" t="s">
        <v>48</v>
      </c>
      <c r="U215" t="s">
        <v>49</v>
      </c>
      <c r="V215" t="s">
        <v>87</v>
      </c>
      <c r="Y215" t="s">
        <v>753</v>
      </c>
      <c r="Z215">
        <v>21030</v>
      </c>
      <c r="AA215" t="s">
        <v>48</v>
      </c>
      <c r="AB215" t="s">
        <v>754</v>
      </c>
      <c r="AC215" t="s">
        <v>53</v>
      </c>
      <c r="AD215" s="13">
        <f>IF(P215&lt;=1,7,7+0.8*ROUNDUP(P215-1,0))</f>
        <v>22.200000000000003</v>
      </c>
      <c r="AE215" s="14">
        <v>0</v>
      </c>
      <c r="AF215" s="14">
        <v>0</v>
      </c>
      <c r="AG215" s="14">
        <v>0</v>
      </c>
      <c r="AH215" s="14">
        <v>0</v>
      </c>
      <c r="AI215" s="14">
        <f t="shared" si="6"/>
        <v>1.3320000000000001</v>
      </c>
      <c r="AJ215" s="14">
        <f t="shared" si="7"/>
        <v>23.532000000000004</v>
      </c>
      <c r="AK215" t="s">
        <v>48</v>
      </c>
      <c r="AN215" s="12"/>
    </row>
    <row r="216" spans="1:40" ht="15" customHeight="1" x14ac:dyDescent="0.35">
      <c r="A216">
        <v>690929</v>
      </c>
      <c r="B216" t="s">
        <v>37</v>
      </c>
      <c r="C216" t="s">
        <v>38</v>
      </c>
      <c r="D216" s="2" t="s">
        <v>39</v>
      </c>
      <c r="E216" s="9" t="s">
        <v>37</v>
      </c>
      <c r="F216" s="10"/>
      <c r="G216" t="s">
        <v>756</v>
      </c>
      <c r="H216" t="s">
        <v>41</v>
      </c>
      <c r="I216" t="s">
        <v>42</v>
      </c>
      <c r="J216" t="s">
        <v>752</v>
      </c>
      <c r="K216" t="s">
        <v>44</v>
      </c>
      <c r="L216">
        <v>2</v>
      </c>
      <c r="M216" t="s">
        <v>45</v>
      </c>
      <c r="N216" t="s">
        <v>46</v>
      </c>
      <c r="O216" t="s">
        <v>47</v>
      </c>
      <c r="P216" s="5">
        <v>2</v>
      </c>
      <c r="Q216" s="11">
        <v>44846.717418981483</v>
      </c>
      <c r="R216" s="12">
        <v>44848</v>
      </c>
      <c r="S216" t="s">
        <v>41</v>
      </c>
      <c r="T216" t="s">
        <v>48</v>
      </c>
      <c r="U216" t="s">
        <v>49</v>
      </c>
      <c r="V216" t="s">
        <v>87</v>
      </c>
      <c r="Y216" t="s">
        <v>753</v>
      </c>
      <c r="Z216">
        <v>21030</v>
      </c>
      <c r="AA216" t="s">
        <v>48</v>
      </c>
      <c r="AB216" t="s">
        <v>754</v>
      </c>
      <c r="AC216" t="s">
        <v>53</v>
      </c>
      <c r="AD216" s="13">
        <f>IF(P216&lt;=1,7,7+0.8*ROUNDUP(P216-1,0))</f>
        <v>7.8</v>
      </c>
      <c r="AE216" s="14">
        <v>0</v>
      </c>
      <c r="AF216" s="14">
        <v>0</v>
      </c>
      <c r="AG216" s="14">
        <v>0</v>
      </c>
      <c r="AH216" s="14">
        <v>0</v>
      </c>
      <c r="AI216" s="14">
        <f t="shared" si="6"/>
        <v>0.46799999999999997</v>
      </c>
      <c r="AJ216" s="14">
        <f t="shared" si="7"/>
        <v>8.2680000000000007</v>
      </c>
      <c r="AK216" t="s">
        <v>48</v>
      </c>
      <c r="AN216" s="12"/>
    </row>
    <row r="217" spans="1:40" ht="15" customHeight="1" x14ac:dyDescent="0.35">
      <c r="A217">
        <v>690929</v>
      </c>
      <c r="B217" t="s">
        <v>37</v>
      </c>
      <c r="C217" t="s">
        <v>38</v>
      </c>
      <c r="D217" s="2" t="s">
        <v>39</v>
      </c>
      <c r="E217" s="9" t="s">
        <v>37</v>
      </c>
      <c r="F217" s="10"/>
      <c r="G217" t="s">
        <v>757</v>
      </c>
      <c r="H217" t="s">
        <v>41</v>
      </c>
      <c r="I217" t="s">
        <v>42</v>
      </c>
      <c r="J217" t="s">
        <v>758</v>
      </c>
      <c r="K217" t="s">
        <v>44</v>
      </c>
      <c r="L217">
        <v>2</v>
      </c>
      <c r="M217" t="s">
        <v>45</v>
      </c>
      <c r="N217" t="s">
        <v>46</v>
      </c>
      <c r="O217" t="s">
        <v>47</v>
      </c>
      <c r="P217" s="5">
        <v>1</v>
      </c>
      <c r="Q217" s="11">
        <v>44846.685335648152</v>
      </c>
      <c r="R217" s="12">
        <v>44848</v>
      </c>
      <c r="S217" t="s">
        <v>41</v>
      </c>
      <c r="T217" t="s">
        <v>48</v>
      </c>
      <c r="U217" t="s">
        <v>49</v>
      </c>
      <c r="V217" t="s">
        <v>61</v>
      </c>
      <c r="Y217" t="s">
        <v>759</v>
      </c>
      <c r="Z217">
        <v>47620</v>
      </c>
      <c r="AA217" t="s">
        <v>48</v>
      </c>
      <c r="AB217" t="s">
        <v>52</v>
      </c>
      <c r="AC217" t="s">
        <v>53</v>
      </c>
      <c r="AD217" s="13">
        <f>IF(P217&lt;=1,7,7+0.8*ROUNDUP(P217-1,0))</f>
        <v>7</v>
      </c>
      <c r="AE217" s="14">
        <v>0</v>
      </c>
      <c r="AF217" s="14">
        <v>0</v>
      </c>
      <c r="AG217" s="14">
        <v>0</v>
      </c>
      <c r="AH217" s="14">
        <v>0</v>
      </c>
      <c r="AI217" s="14">
        <f t="shared" si="6"/>
        <v>0.42</v>
      </c>
      <c r="AJ217" s="14">
        <f t="shared" si="7"/>
        <v>7.42</v>
      </c>
      <c r="AK217" t="s">
        <v>48</v>
      </c>
      <c r="AN217" s="12"/>
    </row>
    <row r="218" spans="1:40" ht="15" customHeight="1" x14ac:dyDescent="0.35">
      <c r="A218">
        <v>690929</v>
      </c>
      <c r="B218" t="s">
        <v>37</v>
      </c>
      <c r="C218" t="s">
        <v>38</v>
      </c>
      <c r="D218" s="2" t="s">
        <v>39</v>
      </c>
      <c r="E218" s="9" t="s">
        <v>37</v>
      </c>
      <c r="F218" s="10"/>
      <c r="G218" t="s">
        <v>760</v>
      </c>
      <c r="H218" t="s">
        <v>41</v>
      </c>
      <c r="I218" t="s">
        <v>42</v>
      </c>
      <c r="J218" t="s">
        <v>761</v>
      </c>
      <c r="K218" t="s">
        <v>44</v>
      </c>
      <c r="L218">
        <v>2</v>
      </c>
      <c r="M218" t="s">
        <v>45</v>
      </c>
      <c r="N218" t="s">
        <v>46</v>
      </c>
      <c r="O218" t="s">
        <v>47</v>
      </c>
      <c r="P218" s="5">
        <v>1</v>
      </c>
      <c r="Q218" s="11">
        <v>44847.501643518517</v>
      </c>
      <c r="R218" s="12">
        <v>44848</v>
      </c>
      <c r="S218" t="s">
        <v>41</v>
      </c>
      <c r="T218" t="s">
        <v>48</v>
      </c>
      <c r="U218" t="s">
        <v>49</v>
      </c>
      <c r="V218" t="s">
        <v>122</v>
      </c>
      <c r="Y218" t="s">
        <v>762</v>
      </c>
      <c r="Z218">
        <v>17030</v>
      </c>
      <c r="AA218" t="s">
        <v>48</v>
      </c>
      <c r="AB218" t="s">
        <v>104</v>
      </c>
      <c r="AC218" t="s">
        <v>53</v>
      </c>
      <c r="AD218" s="13">
        <f>IF(P218&lt;=1,7,7+0.8*ROUNDUP(P218-1,0))</f>
        <v>7</v>
      </c>
      <c r="AE218" s="14">
        <v>0</v>
      </c>
      <c r="AF218" s="14">
        <v>0</v>
      </c>
      <c r="AG218" s="14">
        <v>0</v>
      </c>
      <c r="AH218" s="14">
        <v>0</v>
      </c>
      <c r="AI218" s="14">
        <f t="shared" si="6"/>
        <v>0.42</v>
      </c>
      <c r="AJ218" s="14">
        <f t="shared" si="7"/>
        <v>7.42</v>
      </c>
      <c r="AK218" t="s">
        <v>48</v>
      </c>
      <c r="AN218" s="12"/>
    </row>
    <row r="219" spans="1:40" ht="15" customHeight="1" x14ac:dyDescent="0.35">
      <c r="A219">
        <v>690929</v>
      </c>
      <c r="B219" t="s">
        <v>37</v>
      </c>
      <c r="C219" t="s">
        <v>38</v>
      </c>
      <c r="D219" s="2" t="s">
        <v>39</v>
      </c>
      <c r="E219" s="9" t="s">
        <v>37</v>
      </c>
      <c r="F219" s="10"/>
      <c r="G219" t="s">
        <v>763</v>
      </c>
      <c r="H219" t="s">
        <v>41</v>
      </c>
      <c r="I219" t="s">
        <v>42</v>
      </c>
      <c r="J219" t="s">
        <v>764</v>
      </c>
      <c r="K219" t="s">
        <v>44</v>
      </c>
      <c r="L219">
        <v>2</v>
      </c>
      <c r="M219" t="s">
        <v>45</v>
      </c>
      <c r="N219" t="s">
        <v>46</v>
      </c>
      <c r="O219" t="s">
        <v>47</v>
      </c>
      <c r="P219" s="5">
        <v>2</v>
      </c>
      <c r="Q219" s="11">
        <v>44847.5784375</v>
      </c>
      <c r="R219" s="12">
        <v>44848</v>
      </c>
      <c r="S219" t="s">
        <v>41</v>
      </c>
      <c r="T219" t="s">
        <v>48</v>
      </c>
      <c r="U219" t="s">
        <v>49</v>
      </c>
      <c r="V219" t="s">
        <v>61</v>
      </c>
      <c r="Y219" t="s">
        <v>765</v>
      </c>
      <c r="Z219">
        <v>40000</v>
      </c>
      <c r="AA219" t="s">
        <v>48</v>
      </c>
      <c r="AB219" t="s">
        <v>52</v>
      </c>
      <c r="AC219" t="s">
        <v>53</v>
      </c>
      <c r="AD219" s="13">
        <f>IF(P219&lt;=1,7,7+0.8*ROUNDUP(P219-1,0))</f>
        <v>7.8</v>
      </c>
      <c r="AE219" s="14">
        <v>0</v>
      </c>
      <c r="AF219" s="14">
        <v>0</v>
      </c>
      <c r="AG219" s="14">
        <v>0</v>
      </c>
      <c r="AH219" s="14">
        <v>0</v>
      </c>
      <c r="AI219" s="14">
        <f t="shared" si="6"/>
        <v>0.46799999999999997</v>
      </c>
      <c r="AJ219" s="14">
        <f t="shared" si="7"/>
        <v>8.2680000000000007</v>
      </c>
      <c r="AK219" t="s">
        <v>48</v>
      </c>
      <c r="AN219" s="12"/>
    </row>
    <row r="220" spans="1:40" ht="15" customHeight="1" x14ac:dyDescent="0.35">
      <c r="A220">
        <v>690929</v>
      </c>
      <c r="B220" t="s">
        <v>37</v>
      </c>
      <c r="C220" t="s">
        <v>38</v>
      </c>
      <c r="D220" s="2" t="s">
        <v>39</v>
      </c>
      <c r="E220" s="9" t="s">
        <v>37</v>
      </c>
      <c r="F220" s="10"/>
      <c r="G220" t="s">
        <v>766</v>
      </c>
      <c r="H220" t="s">
        <v>41</v>
      </c>
      <c r="I220" t="s">
        <v>42</v>
      </c>
      <c r="J220" t="s">
        <v>767</v>
      </c>
      <c r="K220" t="s">
        <v>44</v>
      </c>
      <c r="L220">
        <v>2</v>
      </c>
      <c r="M220" t="s">
        <v>45</v>
      </c>
      <c r="N220" t="s">
        <v>46</v>
      </c>
      <c r="O220" t="s">
        <v>47</v>
      </c>
      <c r="P220" s="5">
        <v>1</v>
      </c>
      <c r="Q220" s="11">
        <v>44846.683923611112</v>
      </c>
      <c r="R220" s="12">
        <v>44848</v>
      </c>
      <c r="S220" t="s">
        <v>41</v>
      </c>
      <c r="T220" t="s">
        <v>48</v>
      </c>
      <c r="U220" t="s">
        <v>49</v>
      </c>
      <c r="V220" t="s">
        <v>61</v>
      </c>
      <c r="Y220" t="s">
        <v>768</v>
      </c>
      <c r="Z220">
        <v>42000</v>
      </c>
      <c r="AA220" t="s">
        <v>48</v>
      </c>
      <c r="AB220" t="s">
        <v>52</v>
      </c>
      <c r="AC220" t="s">
        <v>53</v>
      </c>
      <c r="AD220" s="13">
        <f>IF(P220&lt;=1,7,7+0.8*ROUNDUP(P220-1,0))</f>
        <v>7</v>
      </c>
      <c r="AE220" s="14">
        <v>0</v>
      </c>
      <c r="AF220" s="14">
        <v>0</v>
      </c>
      <c r="AG220" s="14">
        <v>0</v>
      </c>
      <c r="AH220" s="14">
        <v>0</v>
      </c>
      <c r="AI220" s="14">
        <f t="shared" si="6"/>
        <v>0.42</v>
      </c>
      <c r="AJ220" s="14">
        <f t="shared" si="7"/>
        <v>7.42</v>
      </c>
      <c r="AK220" t="s">
        <v>48</v>
      </c>
      <c r="AN220" s="12"/>
    </row>
    <row r="221" spans="1:40" ht="15" customHeight="1" x14ac:dyDescent="0.35">
      <c r="A221">
        <v>690929</v>
      </c>
      <c r="B221" t="s">
        <v>37</v>
      </c>
      <c r="C221" t="s">
        <v>38</v>
      </c>
      <c r="D221" s="2" t="s">
        <v>39</v>
      </c>
      <c r="E221" s="9" t="s">
        <v>37</v>
      </c>
      <c r="F221" s="10"/>
      <c r="G221" t="s">
        <v>769</v>
      </c>
      <c r="H221" t="s">
        <v>41</v>
      </c>
      <c r="I221" t="s">
        <v>42</v>
      </c>
      <c r="J221" t="s">
        <v>770</v>
      </c>
      <c r="K221" t="s">
        <v>44</v>
      </c>
      <c r="L221">
        <v>2</v>
      </c>
      <c r="M221" t="s">
        <v>45</v>
      </c>
      <c r="N221" t="s">
        <v>46</v>
      </c>
      <c r="O221" t="s">
        <v>47</v>
      </c>
      <c r="P221" s="5">
        <v>1</v>
      </c>
      <c r="Q221" s="11">
        <v>44846.686597222222</v>
      </c>
      <c r="R221" s="12">
        <v>44848</v>
      </c>
      <c r="S221" t="s">
        <v>41</v>
      </c>
      <c r="T221" t="s">
        <v>48</v>
      </c>
      <c r="U221" t="s">
        <v>49</v>
      </c>
      <c r="V221" t="s">
        <v>61</v>
      </c>
      <c r="Y221" t="s">
        <v>771</v>
      </c>
      <c r="Z221">
        <v>42700</v>
      </c>
      <c r="AA221" t="s">
        <v>48</v>
      </c>
      <c r="AB221" t="s">
        <v>52</v>
      </c>
      <c r="AC221" t="s">
        <v>53</v>
      </c>
      <c r="AD221" s="13">
        <f>IF(P221&lt;=1,7,7+0.8*ROUNDUP(P221-1,0))</f>
        <v>7</v>
      </c>
      <c r="AE221" s="14">
        <v>0</v>
      </c>
      <c r="AF221" s="14">
        <v>0</v>
      </c>
      <c r="AG221" s="14">
        <v>0</v>
      </c>
      <c r="AH221" s="14">
        <v>0</v>
      </c>
      <c r="AI221" s="14">
        <f t="shared" si="6"/>
        <v>0.42</v>
      </c>
      <c r="AJ221" s="14">
        <f t="shared" si="7"/>
        <v>7.42</v>
      </c>
      <c r="AK221" t="s">
        <v>48</v>
      </c>
      <c r="AN221" s="12"/>
    </row>
    <row r="222" spans="1:40" ht="15" customHeight="1" x14ac:dyDescent="0.35">
      <c r="A222">
        <v>690929</v>
      </c>
      <c r="B222" t="s">
        <v>37</v>
      </c>
      <c r="C222" t="s">
        <v>38</v>
      </c>
      <c r="D222" s="2" t="s">
        <v>39</v>
      </c>
      <c r="E222" s="9" t="s">
        <v>37</v>
      </c>
      <c r="F222" s="10"/>
      <c r="G222" t="s">
        <v>772</v>
      </c>
      <c r="H222" t="s">
        <v>41</v>
      </c>
      <c r="I222" t="s">
        <v>42</v>
      </c>
      <c r="J222" t="s">
        <v>773</v>
      </c>
      <c r="K222" t="s">
        <v>44</v>
      </c>
      <c r="L222">
        <v>2</v>
      </c>
      <c r="M222" t="s">
        <v>45</v>
      </c>
      <c r="N222" t="s">
        <v>46</v>
      </c>
      <c r="O222" t="s">
        <v>47</v>
      </c>
      <c r="P222" s="5">
        <v>3</v>
      </c>
      <c r="Q222" s="11">
        <v>44847.396458333336</v>
      </c>
      <c r="R222" s="12">
        <v>44848</v>
      </c>
      <c r="S222" t="s">
        <v>41</v>
      </c>
      <c r="T222" t="s">
        <v>48</v>
      </c>
      <c r="U222" t="s">
        <v>49</v>
      </c>
      <c r="V222" t="s">
        <v>193</v>
      </c>
      <c r="Y222" t="s">
        <v>774</v>
      </c>
      <c r="Z222">
        <v>55100</v>
      </c>
      <c r="AA222" t="s">
        <v>48</v>
      </c>
      <c r="AB222" t="s">
        <v>195</v>
      </c>
      <c r="AC222" t="s">
        <v>53</v>
      </c>
      <c r="AD222" s="13">
        <f>IF(P222&lt;=1,7,7+0.8*ROUNDUP(P222-1,0))</f>
        <v>8.6</v>
      </c>
      <c r="AE222" s="14">
        <v>0</v>
      </c>
      <c r="AF222" s="14">
        <v>0</v>
      </c>
      <c r="AG222" s="14">
        <v>0</v>
      </c>
      <c r="AH222" s="14">
        <v>0</v>
      </c>
      <c r="AI222" s="14">
        <f t="shared" si="6"/>
        <v>0.51600000000000001</v>
      </c>
      <c r="AJ222" s="14">
        <f t="shared" si="7"/>
        <v>9.1159999999999997</v>
      </c>
      <c r="AK222" t="s">
        <v>48</v>
      </c>
      <c r="AN222" s="12"/>
    </row>
    <row r="223" spans="1:40" ht="15" customHeight="1" x14ac:dyDescent="0.35">
      <c r="A223">
        <v>690929</v>
      </c>
      <c r="B223" t="s">
        <v>37</v>
      </c>
      <c r="C223" t="s">
        <v>38</v>
      </c>
      <c r="D223" s="2" t="s">
        <v>39</v>
      </c>
      <c r="E223" s="9" t="s">
        <v>37</v>
      </c>
      <c r="F223" s="10"/>
      <c r="G223" t="s">
        <v>775</v>
      </c>
      <c r="H223" t="s">
        <v>41</v>
      </c>
      <c r="I223" t="s">
        <v>42</v>
      </c>
      <c r="J223" t="s">
        <v>776</v>
      </c>
      <c r="K223" t="s">
        <v>44</v>
      </c>
      <c r="L223">
        <v>2</v>
      </c>
      <c r="M223" t="s">
        <v>45</v>
      </c>
      <c r="N223" t="s">
        <v>46</v>
      </c>
      <c r="O223" t="s">
        <v>47</v>
      </c>
      <c r="P223" s="5">
        <v>2</v>
      </c>
      <c r="Q223" s="11">
        <v>44848.674305555556</v>
      </c>
      <c r="R223" s="12">
        <v>44850</v>
      </c>
      <c r="S223" t="s">
        <v>41</v>
      </c>
      <c r="T223" t="s">
        <v>48</v>
      </c>
      <c r="U223" t="s">
        <v>49</v>
      </c>
      <c r="V223" t="s">
        <v>87</v>
      </c>
      <c r="Y223" t="s">
        <v>777</v>
      </c>
      <c r="Z223">
        <v>22100</v>
      </c>
      <c r="AA223" t="s">
        <v>48</v>
      </c>
      <c r="AB223" t="s">
        <v>89</v>
      </c>
      <c r="AC223" t="s">
        <v>53</v>
      </c>
      <c r="AD223" s="13">
        <f>IF(P223&lt;=1,7,7+0.8*ROUNDUP(P223-1,0))</f>
        <v>7.8</v>
      </c>
      <c r="AE223" s="14">
        <v>0</v>
      </c>
      <c r="AF223" s="14">
        <v>0</v>
      </c>
      <c r="AG223" s="14">
        <v>0</v>
      </c>
      <c r="AH223" s="14">
        <v>0</v>
      </c>
      <c r="AI223" s="14">
        <f t="shared" si="6"/>
        <v>0.46799999999999997</v>
      </c>
      <c r="AJ223" s="14">
        <f t="shared" si="7"/>
        <v>8.2680000000000007</v>
      </c>
      <c r="AK223" t="s">
        <v>48</v>
      </c>
      <c r="AN223" s="12"/>
    </row>
    <row r="224" spans="1:40" ht="15" customHeight="1" x14ac:dyDescent="0.35">
      <c r="A224">
        <v>690929</v>
      </c>
      <c r="B224" t="s">
        <v>37</v>
      </c>
      <c r="C224" t="s">
        <v>38</v>
      </c>
      <c r="D224" s="2" t="s">
        <v>39</v>
      </c>
      <c r="E224" s="9" t="s">
        <v>37</v>
      </c>
      <c r="F224" s="10"/>
      <c r="G224" t="s">
        <v>778</v>
      </c>
      <c r="H224" t="s">
        <v>41</v>
      </c>
      <c r="I224" t="s">
        <v>42</v>
      </c>
      <c r="J224" t="s">
        <v>779</v>
      </c>
      <c r="K224" t="s">
        <v>44</v>
      </c>
      <c r="L224">
        <v>2</v>
      </c>
      <c r="M224" t="s">
        <v>45</v>
      </c>
      <c r="N224" t="s">
        <v>46</v>
      </c>
      <c r="O224" t="s">
        <v>47</v>
      </c>
      <c r="P224" s="5">
        <v>1</v>
      </c>
      <c r="Q224" s="11">
        <v>44847.507951388892</v>
      </c>
      <c r="R224" s="12">
        <v>44850</v>
      </c>
      <c r="S224" t="s">
        <v>41</v>
      </c>
      <c r="T224" t="s">
        <v>48</v>
      </c>
      <c r="U224" t="s">
        <v>49</v>
      </c>
      <c r="V224" t="s">
        <v>87</v>
      </c>
      <c r="Y224" t="s">
        <v>780</v>
      </c>
      <c r="Z224">
        <v>23000</v>
      </c>
      <c r="AA224" t="s">
        <v>48</v>
      </c>
      <c r="AB224" t="s">
        <v>49</v>
      </c>
      <c r="AC224" t="s">
        <v>53</v>
      </c>
      <c r="AD224" s="13">
        <f>IF(P224&lt;=1,7,7+0.8*ROUNDUP(P224-1,0))</f>
        <v>7</v>
      </c>
      <c r="AE224" s="14">
        <v>0</v>
      </c>
      <c r="AF224" s="14">
        <v>0</v>
      </c>
      <c r="AG224" s="14">
        <v>0</v>
      </c>
      <c r="AH224" s="14">
        <v>0</v>
      </c>
      <c r="AI224" s="14">
        <f t="shared" si="6"/>
        <v>0.42</v>
      </c>
      <c r="AJ224" s="14">
        <f t="shared" si="7"/>
        <v>7.42</v>
      </c>
      <c r="AK224" t="s">
        <v>48</v>
      </c>
      <c r="AN224" s="12"/>
    </row>
    <row r="225" spans="1:40" ht="15" customHeight="1" x14ac:dyDescent="0.35">
      <c r="A225">
        <v>690929</v>
      </c>
      <c r="B225" t="s">
        <v>37</v>
      </c>
      <c r="C225" t="s">
        <v>38</v>
      </c>
      <c r="D225" s="2" t="s">
        <v>39</v>
      </c>
      <c r="E225" s="9" t="s">
        <v>37</v>
      </c>
      <c r="F225" s="10"/>
      <c r="G225" t="s">
        <v>781</v>
      </c>
      <c r="H225" t="s">
        <v>41</v>
      </c>
      <c r="I225" t="s">
        <v>42</v>
      </c>
      <c r="J225" t="s">
        <v>782</v>
      </c>
      <c r="K225" t="s">
        <v>44</v>
      </c>
      <c r="L225">
        <v>2</v>
      </c>
      <c r="M225" t="s">
        <v>45</v>
      </c>
      <c r="N225" t="s">
        <v>46</v>
      </c>
      <c r="O225" t="s">
        <v>47</v>
      </c>
      <c r="P225" s="5">
        <v>1</v>
      </c>
      <c r="Q225" s="11">
        <v>44849.546770833331</v>
      </c>
      <c r="R225" s="12">
        <v>44850</v>
      </c>
      <c r="S225" t="s">
        <v>41</v>
      </c>
      <c r="T225" t="s">
        <v>48</v>
      </c>
      <c r="U225" t="s">
        <v>49</v>
      </c>
      <c r="V225" t="s">
        <v>133</v>
      </c>
      <c r="Y225" t="s">
        <v>783</v>
      </c>
      <c r="Z225">
        <v>27200</v>
      </c>
      <c r="AA225" t="s">
        <v>48</v>
      </c>
      <c r="AB225" t="s">
        <v>49</v>
      </c>
      <c r="AC225" t="s">
        <v>53</v>
      </c>
      <c r="AD225" s="13">
        <f>IF(P225&lt;=1,7,7+0.8*ROUNDUP(P225-1,0))</f>
        <v>7</v>
      </c>
      <c r="AE225" s="14">
        <v>0</v>
      </c>
      <c r="AF225" s="14">
        <v>0</v>
      </c>
      <c r="AG225" s="14">
        <v>0</v>
      </c>
      <c r="AH225" s="14">
        <v>0</v>
      </c>
      <c r="AI225" s="14">
        <f t="shared" si="6"/>
        <v>0.42</v>
      </c>
      <c r="AJ225" s="14">
        <f t="shared" si="7"/>
        <v>7.42</v>
      </c>
      <c r="AK225" t="s">
        <v>48</v>
      </c>
      <c r="AN225" s="12"/>
    </row>
    <row r="226" spans="1:40" ht="15" customHeight="1" x14ac:dyDescent="0.35">
      <c r="A226">
        <v>690929</v>
      </c>
      <c r="B226" t="s">
        <v>37</v>
      </c>
      <c r="C226" t="s">
        <v>38</v>
      </c>
      <c r="D226" s="2" t="s">
        <v>39</v>
      </c>
      <c r="E226" s="9" t="s">
        <v>37</v>
      </c>
      <c r="F226" s="10"/>
      <c r="G226" t="s">
        <v>784</v>
      </c>
      <c r="H226" t="s">
        <v>41</v>
      </c>
      <c r="I226" t="s">
        <v>42</v>
      </c>
      <c r="J226" t="s">
        <v>785</v>
      </c>
      <c r="K226" t="s">
        <v>44</v>
      </c>
      <c r="L226">
        <v>2</v>
      </c>
      <c r="M226" t="s">
        <v>45</v>
      </c>
      <c r="N226" t="s">
        <v>46</v>
      </c>
      <c r="O226" t="s">
        <v>47</v>
      </c>
      <c r="P226" s="5">
        <v>1</v>
      </c>
      <c r="Q226" s="11">
        <v>44849.566111111111</v>
      </c>
      <c r="R226" s="12">
        <v>44850</v>
      </c>
      <c r="S226" t="s">
        <v>41</v>
      </c>
      <c r="T226" t="s">
        <v>48</v>
      </c>
      <c r="U226" t="s">
        <v>49</v>
      </c>
      <c r="V226" t="s">
        <v>87</v>
      </c>
      <c r="Y226" t="s">
        <v>786</v>
      </c>
      <c r="Z226">
        <v>20050</v>
      </c>
      <c r="AA226" t="s">
        <v>48</v>
      </c>
      <c r="AB226" t="s">
        <v>210</v>
      </c>
      <c r="AC226" t="s">
        <v>53</v>
      </c>
      <c r="AD226" s="13">
        <f>IF(P226&lt;=1,7,7+0.8*ROUNDUP(P226-1,0))</f>
        <v>7</v>
      </c>
      <c r="AE226" s="14">
        <v>0</v>
      </c>
      <c r="AF226" s="14">
        <v>0</v>
      </c>
      <c r="AG226" s="14">
        <v>0</v>
      </c>
      <c r="AH226" s="14">
        <v>0</v>
      </c>
      <c r="AI226" s="14">
        <f t="shared" si="6"/>
        <v>0.42</v>
      </c>
      <c r="AJ226" s="14">
        <f t="shared" si="7"/>
        <v>7.42</v>
      </c>
      <c r="AK226" t="s">
        <v>48</v>
      </c>
      <c r="AN226" s="12"/>
    </row>
    <row r="227" spans="1:40" ht="15" customHeight="1" x14ac:dyDescent="0.35">
      <c r="A227">
        <v>690929</v>
      </c>
      <c r="B227" t="s">
        <v>37</v>
      </c>
      <c r="C227" t="s">
        <v>38</v>
      </c>
      <c r="D227" s="2" t="s">
        <v>39</v>
      </c>
      <c r="E227" s="9" t="s">
        <v>37</v>
      </c>
      <c r="F227" s="10"/>
      <c r="G227" t="s">
        <v>787</v>
      </c>
      <c r="H227" t="s">
        <v>41</v>
      </c>
      <c r="I227" t="s">
        <v>42</v>
      </c>
      <c r="J227" t="s">
        <v>788</v>
      </c>
      <c r="K227" t="s">
        <v>44</v>
      </c>
      <c r="L227">
        <v>2</v>
      </c>
      <c r="M227" t="s">
        <v>45</v>
      </c>
      <c r="N227" t="s">
        <v>46</v>
      </c>
      <c r="O227" t="s">
        <v>47</v>
      </c>
      <c r="P227" s="5">
        <v>19</v>
      </c>
      <c r="Q227" s="11">
        <v>44847.540023148147</v>
      </c>
      <c r="R227" s="12">
        <v>44850</v>
      </c>
      <c r="S227" t="s">
        <v>41</v>
      </c>
      <c r="T227" t="s">
        <v>48</v>
      </c>
      <c r="U227" t="s">
        <v>49</v>
      </c>
      <c r="V227" t="s">
        <v>188</v>
      </c>
      <c r="Y227" t="s">
        <v>789</v>
      </c>
      <c r="Z227">
        <v>96000</v>
      </c>
      <c r="AA227" t="s">
        <v>94</v>
      </c>
      <c r="AB227" t="s">
        <v>790</v>
      </c>
      <c r="AC227" t="s">
        <v>53</v>
      </c>
      <c r="AD227" s="15">
        <f>IF(P227&lt;=1,13,IF(P227&lt;=2,23,IF(P227&lt;=3,35,IF(P227&lt;=4,43,IF(P227&lt;=5,53,IF(P227&lt;=6,63,IF(P227&lt;=7,71,IF(P227&lt;=8,79,IF(P227&lt;=9,87,IF(P227&lt;=10,95,IF(P227&lt;=11,105,IF(P227&lt;=12,114,IF(P227&lt;=13,119,IF(P227&lt;=14,127,IF(P227&lt;=15,135,IF(P227&lt;=16,143,IF(P227&lt;=17,153,IF(P227&lt;=18,163,IF(P227&lt;=19,171,IF(P227&lt;=20,185,IF(P227&lt;=21,193,IF(P227&lt;=22,201,IF(P227&lt;=23,210,IF(P227&lt;=24,220,IF(P227&lt;=25,230,IF(P227&lt;=26,240,IF(P227&lt;=27,250,IF(P227&lt;=28,260,IF(P227&lt;=29,270,IF(P227&lt;=30,280,280))))))))))))))))))))))))))))))</f>
        <v>171</v>
      </c>
      <c r="AE227" s="14">
        <v>0</v>
      </c>
      <c r="AF227" s="14">
        <v>0</v>
      </c>
      <c r="AG227" s="14">
        <v>0</v>
      </c>
      <c r="AH227" s="14">
        <v>0</v>
      </c>
      <c r="AI227" s="14">
        <f t="shared" si="6"/>
        <v>10.26</v>
      </c>
      <c r="AJ227" s="14">
        <f t="shared" si="7"/>
        <v>181.26</v>
      </c>
      <c r="AK227" t="s">
        <v>94</v>
      </c>
      <c r="AN227" s="12"/>
    </row>
    <row r="228" spans="1:40" ht="15" customHeight="1" x14ac:dyDescent="0.35">
      <c r="A228">
        <v>690929</v>
      </c>
      <c r="B228" t="s">
        <v>37</v>
      </c>
      <c r="C228" t="s">
        <v>38</v>
      </c>
      <c r="D228" s="2" t="s">
        <v>39</v>
      </c>
      <c r="E228" s="9" t="s">
        <v>37</v>
      </c>
      <c r="F228" s="10"/>
      <c r="G228" t="s">
        <v>791</v>
      </c>
      <c r="H228" t="s">
        <v>41</v>
      </c>
      <c r="I228" t="s">
        <v>42</v>
      </c>
      <c r="J228" t="s">
        <v>792</v>
      </c>
      <c r="K228" t="s">
        <v>44</v>
      </c>
      <c r="L228">
        <v>2</v>
      </c>
      <c r="M228" t="s">
        <v>45</v>
      </c>
      <c r="N228" t="s">
        <v>46</v>
      </c>
      <c r="O228" t="s">
        <v>47</v>
      </c>
      <c r="P228" s="5">
        <v>1</v>
      </c>
      <c r="Q228" s="11">
        <v>44848.45789351852</v>
      </c>
      <c r="R228" s="12">
        <v>44850</v>
      </c>
      <c r="S228" t="s">
        <v>41</v>
      </c>
      <c r="T228" t="s">
        <v>48</v>
      </c>
      <c r="U228" t="s">
        <v>104</v>
      </c>
      <c r="V228" t="s">
        <v>56</v>
      </c>
      <c r="Y228" t="s">
        <v>793</v>
      </c>
      <c r="Z228">
        <v>81200</v>
      </c>
      <c r="AA228" t="s">
        <v>48</v>
      </c>
      <c r="AB228" t="s">
        <v>794</v>
      </c>
      <c r="AC228" t="s">
        <v>53</v>
      </c>
      <c r="AD228" s="13">
        <f>IF(P228&lt;=1,7,7+0.8*ROUNDUP(P228-1,0))</f>
        <v>7</v>
      </c>
      <c r="AE228" s="14">
        <v>0</v>
      </c>
      <c r="AF228" s="14">
        <v>0</v>
      </c>
      <c r="AG228" s="14">
        <v>0</v>
      </c>
      <c r="AH228" s="14">
        <v>0</v>
      </c>
      <c r="AI228" s="14">
        <f t="shared" si="6"/>
        <v>0.42</v>
      </c>
      <c r="AJ228" s="14">
        <f t="shared" si="7"/>
        <v>7.42</v>
      </c>
      <c r="AK228" t="s">
        <v>48</v>
      </c>
      <c r="AN228" s="12"/>
    </row>
    <row r="229" spans="1:40" ht="15" customHeight="1" x14ac:dyDescent="0.35">
      <c r="A229">
        <v>690929</v>
      </c>
      <c r="B229" t="s">
        <v>37</v>
      </c>
      <c r="C229" t="s">
        <v>38</v>
      </c>
      <c r="D229" s="2" t="s">
        <v>39</v>
      </c>
      <c r="E229" s="9" t="s">
        <v>37</v>
      </c>
      <c r="F229" s="10"/>
      <c r="G229" t="s">
        <v>795</v>
      </c>
      <c r="H229" t="s">
        <v>41</v>
      </c>
      <c r="I229" t="s">
        <v>42</v>
      </c>
      <c r="J229" t="s">
        <v>796</v>
      </c>
      <c r="K229" t="s">
        <v>44</v>
      </c>
      <c r="L229">
        <v>2</v>
      </c>
      <c r="M229" t="s">
        <v>45</v>
      </c>
      <c r="N229" t="s">
        <v>46</v>
      </c>
      <c r="O229" t="s">
        <v>47</v>
      </c>
      <c r="P229" s="5">
        <v>1</v>
      </c>
      <c r="Q229" s="11">
        <v>44849.551863425928</v>
      </c>
      <c r="R229" s="12">
        <v>44851</v>
      </c>
      <c r="S229" t="s">
        <v>41</v>
      </c>
      <c r="T229" t="s">
        <v>48</v>
      </c>
      <c r="U229" t="s">
        <v>49</v>
      </c>
      <c r="V229" t="s">
        <v>68</v>
      </c>
      <c r="Y229" t="s">
        <v>797</v>
      </c>
      <c r="Z229">
        <v>75450</v>
      </c>
      <c r="AA229" t="s">
        <v>48</v>
      </c>
      <c r="AB229" t="s">
        <v>49</v>
      </c>
      <c r="AC229" t="s">
        <v>53</v>
      </c>
      <c r="AD229" s="13">
        <f>IF(P229&lt;=1,7,7+0.8*ROUNDUP(P229-1,0))</f>
        <v>7</v>
      </c>
      <c r="AE229" s="14">
        <v>0</v>
      </c>
      <c r="AF229" s="14">
        <v>0</v>
      </c>
      <c r="AG229" s="14">
        <v>0</v>
      </c>
      <c r="AH229" s="14">
        <v>0</v>
      </c>
      <c r="AI229" s="14">
        <f t="shared" si="6"/>
        <v>0.42</v>
      </c>
      <c r="AJ229" s="14">
        <f t="shared" si="7"/>
        <v>7.42</v>
      </c>
      <c r="AK229" t="s">
        <v>48</v>
      </c>
      <c r="AN229" s="12"/>
    </row>
    <row r="230" spans="1:40" ht="15" customHeight="1" x14ac:dyDescent="0.35">
      <c r="A230">
        <v>690929</v>
      </c>
      <c r="B230" t="s">
        <v>37</v>
      </c>
      <c r="C230" t="s">
        <v>38</v>
      </c>
      <c r="D230" s="2" t="s">
        <v>39</v>
      </c>
      <c r="E230" s="9" t="s">
        <v>37</v>
      </c>
      <c r="F230" s="10"/>
      <c r="G230" t="s">
        <v>798</v>
      </c>
      <c r="H230" t="s">
        <v>41</v>
      </c>
      <c r="I230" t="s">
        <v>42</v>
      </c>
      <c r="J230" t="s">
        <v>799</v>
      </c>
      <c r="K230" t="s">
        <v>44</v>
      </c>
      <c r="L230">
        <v>2</v>
      </c>
      <c r="M230" t="s">
        <v>45</v>
      </c>
      <c r="N230" t="s">
        <v>46</v>
      </c>
      <c r="O230" t="s">
        <v>47</v>
      </c>
      <c r="P230" s="5">
        <v>2</v>
      </c>
      <c r="Q230" s="11">
        <v>44848.651458333334</v>
      </c>
      <c r="R230" s="12">
        <v>44851</v>
      </c>
      <c r="S230" t="s">
        <v>41</v>
      </c>
      <c r="T230" t="s">
        <v>48</v>
      </c>
      <c r="U230" t="s">
        <v>49</v>
      </c>
      <c r="V230" t="s">
        <v>56</v>
      </c>
      <c r="Y230" t="s">
        <v>800</v>
      </c>
      <c r="Z230">
        <v>81800</v>
      </c>
      <c r="AA230" t="s">
        <v>48</v>
      </c>
      <c r="AB230" t="s">
        <v>801</v>
      </c>
      <c r="AC230" t="s">
        <v>53</v>
      </c>
      <c r="AD230" s="13">
        <f>IF(P230&lt;=1,7,7+0.8*ROUNDUP(P230-1,0))</f>
        <v>7.8</v>
      </c>
      <c r="AE230" s="14">
        <v>0</v>
      </c>
      <c r="AF230" s="14">
        <v>0</v>
      </c>
      <c r="AG230" s="14">
        <v>0</v>
      </c>
      <c r="AH230" s="14">
        <v>0</v>
      </c>
      <c r="AI230" s="14">
        <f t="shared" si="6"/>
        <v>0.46799999999999997</v>
      </c>
      <c r="AJ230" s="14">
        <f t="shared" si="7"/>
        <v>8.2680000000000007</v>
      </c>
      <c r="AK230" t="s">
        <v>48</v>
      </c>
      <c r="AN230" s="12"/>
    </row>
    <row r="231" spans="1:40" ht="15" customHeight="1" x14ac:dyDescent="0.35">
      <c r="A231">
        <v>690929</v>
      </c>
      <c r="B231" t="s">
        <v>37</v>
      </c>
      <c r="C231" t="s">
        <v>38</v>
      </c>
      <c r="D231" s="2" t="s">
        <v>39</v>
      </c>
      <c r="E231" s="9" t="s">
        <v>37</v>
      </c>
      <c r="F231" s="10"/>
      <c r="G231" t="s">
        <v>802</v>
      </c>
      <c r="H231" t="s">
        <v>41</v>
      </c>
      <c r="I231" t="s">
        <v>42</v>
      </c>
      <c r="J231" t="s">
        <v>803</v>
      </c>
      <c r="K231" t="s">
        <v>44</v>
      </c>
      <c r="L231">
        <v>2</v>
      </c>
      <c r="M231" t="s">
        <v>45</v>
      </c>
      <c r="N231" t="s">
        <v>46</v>
      </c>
      <c r="O231" t="s">
        <v>47</v>
      </c>
      <c r="P231" s="5">
        <v>1</v>
      </c>
      <c r="Q231" s="11">
        <v>44849.548900462964</v>
      </c>
      <c r="R231" s="12">
        <v>44851</v>
      </c>
      <c r="S231" t="s">
        <v>41</v>
      </c>
      <c r="T231" t="s">
        <v>48</v>
      </c>
      <c r="U231" t="s">
        <v>49</v>
      </c>
      <c r="V231" t="s">
        <v>146</v>
      </c>
      <c r="Y231" t="s">
        <v>804</v>
      </c>
      <c r="Z231">
        <v>71950</v>
      </c>
      <c r="AA231" t="s">
        <v>48</v>
      </c>
      <c r="AB231" t="s">
        <v>49</v>
      </c>
      <c r="AC231" t="s">
        <v>53</v>
      </c>
      <c r="AD231" s="13">
        <f>IF(P231&lt;=1,7,7+0.8*ROUNDUP(P231-1,0))</f>
        <v>7</v>
      </c>
      <c r="AE231" s="14">
        <v>0</v>
      </c>
      <c r="AF231" s="14">
        <v>0</v>
      </c>
      <c r="AG231" s="14">
        <v>0</v>
      </c>
      <c r="AH231" s="14">
        <v>0</v>
      </c>
      <c r="AI231" s="14">
        <f t="shared" si="6"/>
        <v>0.42</v>
      </c>
      <c r="AJ231" s="14">
        <f t="shared" si="7"/>
        <v>7.42</v>
      </c>
      <c r="AK231" t="s">
        <v>48</v>
      </c>
      <c r="AN231" s="12"/>
    </row>
    <row r="232" spans="1:40" ht="15" customHeight="1" x14ac:dyDescent="0.35">
      <c r="A232">
        <v>690929</v>
      </c>
      <c r="B232" t="s">
        <v>37</v>
      </c>
      <c r="C232" t="s">
        <v>38</v>
      </c>
      <c r="D232" s="2" t="s">
        <v>39</v>
      </c>
      <c r="E232" s="9" t="s">
        <v>37</v>
      </c>
      <c r="F232" s="10"/>
      <c r="G232" t="s">
        <v>805</v>
      </c>
      <c r="H232" t="s">
        <v>41</v>
      </c>
      <c r="I232" t="s">
        <v>42</v>
      </c>
      <c r="J232" t="s">
        <v>806</v>
      </c>
      <c r="K232" t="s">
        <v>44</v>
      </c>
      <c r="L232">
        <v>2</v>
      </c>
      <c r="M232" t="s">
        <v>45</v>
      </c>
      <c r="N232" t="s">
        <v>46</v>
      </c>
      <c r="O232" t="s">
        <v>47</v>
      </c>
      <c r="P232" s="5">
        <v>1</v>
      </c>
      <c r="Q232" s="11">
        <v>44850.577060185184</v>
      </c>
      <c r="R232" s="12">
        <v>44851</v>
      </c>
      <c r="S232" t="s">
        <v>41</v>
      </c>
      <c r="T232" t="s">
        <v>48</v>
      </c>
      <c r="U232" t="s">
        <v>49</v>
      </c>
      <c r="V232" t="s">
        <v>133</v>
      </c>
      <c r="Y232" t="s">
        <v>807</v>
      </c>
      <c r="Z232">
        <v>25200</v>
      </c>
      <c r="AA232" t="s">
        <v>48</v>
      </c>
      <c r="AB232" t="s">
        <v>49</v>
      </c>
      <c r="AC232" t="s">
        <v>53</v>
      </c>
      <c r="AD232" s="13">
        <f>IF(P232&lt;=1,7,7+0.8*ROUNDUP(P232-1,0))</f>
        <v>7</v>
      </c>
      <c r="AE232" s="14">
        <v>0</v>
      </c>
      <c r="AF232" s="14">
        <v>0</v>
      </c>
      <c r="AG232" s="14">
        <v>0</v>
      </c>
      <c r="AH232" s="14">
        <v>0</v>
      </c>
      <c r="AI232" s="14">
        <f t="shared" si="6"/>
        <v>0.42</v>
      </c>
      <c r="AJ232" s="14">
        <f t="shared" si="7"/>
        <v>7.42</v>
      </c>
      <c r="AK232" t="s">
        <v>48</v>
      </c>
      <c r="AN232" s="12"/>
    </row>
    <row r="233" spans="1:40" ht="15" customHeight="1" x14ac:dyDescent="0.35">
      <c r="A233">
        <v>690929</v>
      </c>
      <c r="B233" t="s">
        <v>37</v>
      </c>
      <c r="C233" t="s">
        <v>38</v>
      </c>
      <c r="D233" s="2" t="s">
        <v>39</v>
      </c>
      <c r="E233" s="9" t="s">
        <v>37</v>
      </c>
      <c r="F233" s="10"/>
      <c r="G233" t="s">
        <v>808</v>
      </c>
      <c r="H233" t="s">
        <v>41</v>
      </c>
      <c r="I233" t="s">
        <v>42</v>
      </c>
      <c r="J233" t="s">
        <v>809</v>
      </c>
      <c r="K233" t="s">
        <v>44</v>
      </c>
      <c r="L233">
        <v>2</v>
      </c>
      <c r="M233" t="s">
        <v>45</v>
      </c>
      <c r="N233" t="s">
        <v>46</v>
      </c>
      <c r="O233" t="s">
        <v>47</v>
      </c>
      <c r="P233" s="5">
        <v>1</v>
      </c>
      <c r="Q233" s="11">
        <v>44846.742337962962</v>
      </c>
      <c r="R233" s="12">
        <v>44851</v>
      </c>
      <c r="S233" t="s">
        <v>41</v>
      </c>
      <c r="T233" t="s">
        <v>48</v>
      </c>
      <c r="U233" t="s">
        <v>49</v>
      </c>
      <c r="V233" t="s">
        <v>92</v>
      </c>
      <c r="Y233" t="s">
        <v>810</v>
      </c>
      <c r="Z233">
        <v>89008</v>
      </c>
      <c r="AA233" t="s">
        <v>94</v>
      </c>
      <c r="AB233" t="s">
        <v>436</v>
      </c>
      <c r="AC233" t="s">
        <v>53</v>
      </c>
      <c r="AD233" s="15">
        <f>IF(P233&lt;=1,13,IF(P233&lt;=2,23,IF(P233&lt;=3,35,IF(P233&lt;=4,43,IF(P233&lt;=5,53,IF(P233&lt;=6,63,IF(P233&lt;=7,71,IF(P233&lt;=8,79,IF(P233&lt;=9,87,IF(P233&lt;=10,95,IF(P233&lt;=11,105,IF(P233&lt;=12,114,IF(P233&lt;=13,119,IF(P233&lt;=14,127,IF(P233&lt;=15,135,IF(P233&lt;=16,143,IF(P233&lt;=17,153,IF(P233&lt;=18,163,IF(P233&lt;=19,171,IF(P233&lt;=20,185,IF(P233&lt;=21,193,IF(P233&lt;=22,201,IF(P233&lt;=23,210,IF(P233&lt;=24,220,IF(P233&lt;=25,230,IF(P233&lt;=26,240,IF(P233&lt;=27,250,IF(P233&lt;=28,260,IF(P233&lt;=29,270,IF(P233&lt;=30,280,280))))))))))))))))))))))))))))))</f>
        <v>13</v>
      </c>
      <c r="AE233" s="14">
        <v>0</v>
      </c>
      <c r="AF233" s="14">
        <v>0</v>
      </c>
      <c r="AG233" s="14">
        <v>0</v>
      </c>
      <c r="AH233" s="14">
        <v>0</v>
      </c>
      <c r="AI233" s="14">
        <f t="shared" si="6"/>
        <v>0.78</v>
      </c>
      <c r="AJ233" s="14">
        <f t="shared" si="7"/>
        <v>13.78</v>
      </c>
      <c r="AK233" t="s">
        <v>94</v>
      </c>
      <c r="AN233" s="12"/>
    </row>
    <row r="234" spans="1:40" ht="15" customHeight="1" x14ac:dyDescent="0.35">
      <c r="A234">
        <v>690929</v>
      </c>
      <c r="B234" t="s">
        <v>37</v>
      </c>
      <c r="C234" t="s">
        <v>38</v>
      </c>
      <c r="D234" s="2" t="s">
        <v>39</v>
      </c>
      <c r="E234" s="9" t="s">
        <v>37</v>
      </c>
      <c r="F234" s="10"/>
      <c r="G234" t="s">
        <v>811</v>
      </c>
      <c r="H234" t="s">
        <v>41</v>
      </c>
      <c r="I234" t="s">
        <v>42</v>
      </c>
      <c r="J234" t="s">
        <v>812</v>
      </c>
      <c r="K234" t="s">
        <v>44</v>
      </c>
      <c r="L234">
        <v>2</v>
      </c>
      <c r="M234" t="s">
        <v>45</v>
      </c>
      <c r="N234" t="s">
        <v>46</v>
      </c>
      <c r="O234" t="s">
        <v>47</v>
      </c>
      <c r="P234" s="5">
        <v>2</v>
      </c>
      <c r="Q234" s="11">
        <v>44848.652858796297</v>
      </c>
      <c r="R234" s="12">
        <v>44851</v>
      </c>
      <c r="S234" t="s">
        <v>41</v>
      </c>
      <c r="T234" t="s">
        <v>48</v>
      </c>
      <c r="U234" t="s">
        <v>49</v>
      </c>
      <c r="V234" t="s">
        <v>61</v>
      </c>
      <c r="Y234" t="s">
        <v>813</v>
      </c>
      <c r="Z234">
        <v>68100</v>
      </c>
      <c r="AA234" t="s">
        <v>48</v>
      </c>
      <c r="AB234" t="s">
        <v>52</v>
      </c>
      <c r="AC234" t="s">
        <v>53</v>
      </c>
      <c r="AD234" s="13">
        <f>IF(P234&lt;=1,7,7+0.8*ROUNDUP(P234-1,0))</f>
        <v>7.8</v>
      </c>
      <c r="AE234" s="14">
        <v>0</v>
      </c>
      <c r="AF234" s="14">
        <v>0</v>
      </c>
      <c r="AG234" s="14">
        <v>0</v>
      </c>
      <c r="AH234" s="14">
        <v>0</v>
      </c>
      <c r="AI234" s="14">
        <f t="shared" si="6"/>
        <v>0.46799999999999997</v>
      </c>
      <c r="AJ234" s="14">
        <f t="shared" si="7"/>
        <v>8.2680000000000007</v>
      </c>
      <c r="AK234" t="s">
        <v>48</v>
      </c>
      <c r="AN234" s="12"/>
    </row>
    <row r="235" spans="1:40" ht="15" customHeight="1" x14ac:dyDescent="0.35">
      <c r="A235">
        <v>690929</v>
      </c>
      <c r="B235" t="s">
        <v>37</v>
      </c>
      <c r="C235" t="s">
        <v>38</v>
      </c>
      <c r="D235" s="2" t="s">
        <v>39</v>
      </c>
      <c r="E235" s="9" t="s">
        <v>37</v>
      </c>
      <c r="F235" s="10"/>
      <c r="G235" t="s">
        <v>814</v>
      </c>
      <c r="H235" t="s">
        <v>41</v>
      </c>
      <c r="I235" t="s">
        <v>42</v>
      </c>
      <c r="J235" t="s">
        <v>815</v>
      </c>
      <c r="K235" t="s">
        <v>44</v>
      </c>
      <c r="L235">
        <v>2</v>
      </c>
      <c r="M235" t="s">
        <v>45</v>
      </c>
      <c r="N235" t="s">
        <v>46</v>
      </c>
      <c r="O235" t="s">
        <v>47</v>
      </c>
      <c r="P235" s="5">
        <v>1</v>
      </c>
      <c r="Q235" s="11">
        <v>44848.673020833332</v>
      </c>
      <c r="R235" s="12">
        <v>44851</v>
      </c>
      <c r="S235" t="s">
        <v>41</v>
      </c>
      <c r="T235" t="s">
        <v>48</v>
      </c>
      <c r="U235" t="s">
        <v>49</v>
      </c>
      <c r="V235" t="s">
        <v>61</v>
      </c>
      <c r="Y235" t="s">
        <v>816</v>
      </c>
      <c r="Z235">
        <v>47830</v>
      </c>
      <c r="AA235" t="s">
        <v>48</v>
      </c>
      <c r="AB235" t="s">
        <v>52</v>
      </c>
      <c r="AC235" t="s">
        <v>53</v>
      </c>
      <c r="AD235" s="13">
        <f>IF(P235&lt;=1,7,7+0.8*ROUNDUP(P235-1,0))</f>
        <v>7</v>
      </c>
      <c r="AE235" s="14">
        <v>0</v>
      </c>
      <c r="AF235" s="14">
        <v>0</v>
      </c>
      <c r="AG235" s="14">
        <v>0</v>
      </c>
      <c r="AH235" s="14">
        <v>0</v>
      </c>
      <c r="AI235" s="14">
        <f t="shared" si="6"/>
        <v>0.42</v>
      </c>
      <c r="AJ235" s="14">
        <f t="shared" si="7"/>
        <v>7.42</v>
      </c>
      <c r="AK235" t="s">
        <v>48</v>
      </c>
      <c r="AN235" s="12"/>
    </row>
    <row r="236" spans="1:40" ht="15" customHeight="1" x14ac:dyDescent="0.35">
      <c r="A236">
        <v>690929</v>
      </c>
      <c r="B236" t="s">
        <v>37</v>
      </c>
      <c r="C236" t="s">
        <v>38</v>
      </c>
      <c r="D236" s="2" t="s">
        <v>39</v>
      </c>
      <c r="E236" s="9" t="s">
        <v>37</v>
      </c>
      <c r="F236" s="10"/>
      <c r="G236" t="s">
        <v>817</v>
      </c>
      <c r="H236" t="s">
        <v>41</v>
      </c>
      <c r="I236" t="s">
        <v>42</v>
      </c>
      <c r="J236" t="s">
        <v>818</v>
      </c>
      <c r="K236" t="s">
        <v>44</v>
      </c>
      <c r="L236">
        <v>2</v>
      </c>
      <c r="M236" t="s">
        <v>45</v>
      </c>
      <c r="N236" t="s">
        <v>46</v>
      </c>
      <c r="O236" t="s">
        <v>47</v>
      </c>
      <c r="P236" s="5">
        <v>2</v>
      </c>
      <c r="Q236" s="11">
        <v>44848.66747685185</v>
      </c>
      <c r="R236" s="12">
        <v>44851</v>
      </c>
      <c r="S236" t="s">
        <v>41</v>
      </c>
      <c r="T236" t="s">
        <v>48</v>
      </c>
      <c r="U236" t="s">
        <v>49</v>
      </c>
      <c r="V236" t="s">
        <v>50</v>
      </c>
      <c r="Y236" t="s">
        <v>819</v>
      </c>
      <c r="Z236">
        <v>6550</v>
      </c>
      <c r="AA236" t="s">
        <v>48</v>
      </c>
      <c r="AB236" t="s">
        <v>52</v>
      </c>
      <c r="AC236" t="s">
        <v>53</v>
      </c>
      <c r="AD236" s="13">
        <f>IF(P236&lt;=1,7,7+0.8*ROUNDUP(P236-1,0))</f>
        <v>7.8</v>
      </c>
      <c r="AE236" s="14">
        <v>0</v>
      </c>
      <c r="AF236" s="14">
        <v>0</v>
      </c>
      <c r="AG236" s="14">
        <v>0</v>
      </c>
      <c r="AH236" s="14">
        <v>0</v>
      </c>
      <c r="AI236" s="14">
        <f t="shared" si="6"/>
        <v>0.46799999999999997</v>
      </c>
      <c r="AJ236" s="14">
        <f t="shared" si="7"/>
        <v>8.2680000000000007</v>
      </c>
      <c r="AK236" t="s">
        <v>48</v>
      </c>
      <c r="AN236" s="12"/>
    </row>
    <row r="237" spans="1:40" ht="15" customHeight="1" x14ac:dyDescent="0.35">
      <c r="A237">
        <v>690929</v>
      </c>
      <c r="B237" t="s">
        <v>37</v>
      </c>
      <c r="C237" t="s">
        <v>38</v>
      </c>
      <c r="D237" s="2" t="s">
        <v>39</v>
      </c>
      <c r="E237" s="9" t="s">
        <v>37</v>
      </c>
      <c r="F237" s="10"/>
      <c r="G237" t="s">
        <v>820</v>
      </c>
      <c r="H237" t="s">
        <v>41</v>
      </c>
      <c r="I237" t="s">
        <v>42</v>
      </c>
      <c r="J237" t="s">
        <v>821</v>
      </c>
      <c r="K237" t="s">
        <v>44</v>
      </c>
      <c r="L237">
        <v>2</v>
      </c>
      <c r="M237" t="s">
        <v>45</v>
      </c>
      <c r="N237" t="s">
        <v>46</v>
      </c>
      <c r="O237" t="s">
        <v>47</v>
      </c>
      <c r="P237" s="5">
        <v>1</v>
      </c>
      <c r="Q237" s="11">
        <v>44848.658159722225</v>
      </c>
      <c r="R237" s="12">
        <v>44851</v>
      </c>
      <c r="S237" t="s">
        <v>41</v>
      </c>
      <c r="T237" t="s">
        <v>48</v>
      </c>
      <c r="U237" t="s">
        <v>49</v>
      </c>
      <c r="V237" t="s">
        <v>61</v>
      </c>
      <c r="Y237" t="s">
        <v>822</v>
      </c>
      <c r="Z237">
        <v>43500</v>
      </c>
      <c r="AA237" t="s">
        <v>48</v>
      </c>
      <c r="AB237" t="s">
        <v>52</v>
      </c>
      <c r="AC237" t="s">
        <v>53</v>
      </c>
      <c r="AD237" s="13">
        <f>IF(P237&lt;=1,7,7+0.8*ROUNDUP(P237-1,0))</f>
        <v>7</v>
      </c>
      <c r="AE237" s="14">
        <v>0</v>
      </c>
      <c r="AF237" s="14">
        <v>0</v>
      </c>
      <c r="AG237" s="14">
        <v>0</v>
      </c>
      <c r="AH237" s="14">
        <v>0</v>
      </c>
      <c r="AI237" s="14">
        <f t="shared" si="6"/>
        <v>0.42</v>
      </c>
      <c r="AJ237" s="14">
        <f t="shared" si="7"/>
        <v>7.42</v>
      </c>
      <c r="AK237" t="s">
        <v>48</v>
      </c>
      <c r="AN237" s="12"/>
    </row>
    <row r="238" spans="1:40" ht="15" customHeight="1" x14ac:dyDescent="0.35">
      <c r="A238">
        <v>690929</v>
      </c>
      <c r="B238" t="s">
        <v>37</v>
      </c>
      <c r="C238" t="s">
        <v>38</v>
      </c>
      <c r="D238" s="2" t="s">
        <v>39</v>
      </c>
      <c r="E238" s="9" t="s">
        <v>37</v>
      </c>
      <c r="F238" s="10"/>
      <c r="G238" t="s">
        <v>823</v>
      </c>
      <c r="H238" t="s">
        <v>41</v>
      </c>
      <c r="I238" t="s">
        <v>42</v>
      </c>
      <c r="J238" t="s">
        <v>824</v>
      </c>
      <c r="K238" t="s">
        <v>44</v>
      </c>
      <c r="L238">
        <v>2</v>
      </c>
      <c r="M238" t="s">
        <v>45</v>
      </c>
      <c r="N238" t="s">
        <v>46</v>
      </c>
      <c r="O238" t="s">
        <v>47</v>
      </c>
      <c r="P238" s="5">
        <v>1</v>
      </c>
      <c r="Q238" s="11">
        <v>44848.670624999999</v>
      </c>
      <c r="R238" s="12">
        <v>44851</v>
      </c>
      <c r="S238" t="s">
        <v>41</v>
      </c>
      <c r="T238" t="s">
        <v>48</v>
      </c>
      <c r="U238" t="s">
        <v>49</v>
      </c>
      <c r="V238" t="s">
        <v>133</v>
      </c>
      <c r="Y238" t="s">
        <v>825</v>
      </c>
      <c r="Z238">
        <v>25150</v>
      </c>
      <c r="AA238" t="s">
        <v>48</v>
      </c>
      <c r="AB238" t="s">
        <v>555</v>
      </c>
      <c r="AC238" t="s">
        <v>53</v>
      </c>
      <c r="AD238" s="13">
        <f>IF(P238&lt;=1,7,7+0.8*ROUNDUP(P238-1,0))</f>
        <v>7</v>
      </c>
      <c r="AE238" s="14">
        <v>0</v>
      </c>
      <c r="AF238" s="14">
        <v>0</v>
      </c>
      <c r="AG238" s="14">
        <v>0</v>
      </c>
      <c r="AH238" s="14">
        <v>0</v>
      </c>
      <c r="AI238" s="14">
        <f t="shared" si="6"/>
        <v>0.42</v>
      </c>
      <c r="AJ238" s="14">
        <f t="shared" si="7"/>
        <v>7.42</v>
      </c>
      <c r="AK238" t="s">
        <v>48</v>
      </c>
      <c r="AN238" s="12"/>
    </row>
    <row r="239" spans="1:40" ht="15" customHeight="1" x14ac:dyDescent="0.35">
      <c r="A239">
        <v>690929</v>
      </c>
      <c r="B239" t="s">
        <v>37</v>
      </c>
      <c r="C239" t="s">
        <v>38</v>
      </c>
      <c r="D239" s="2" t="s">
        <v>39</v>
      </c>
      <c r="E239" s="9" t="s">
        <v>37</v>
      </c>
      <c r="F239" s="10"/>
      <c r="G239" t="s">
        <v>826</v>
      </c>
      <c r="H239" t="s">
        <v>41</v>
      </c>
      <c r="I239" t="s">
        <v>42</v>
      </c>
      <c r="J239" t="s">
        <v>827</v>
      </c>
      <c r="K239" t="s">
        <v>44</v>
      </c>
      <c r="L239">
        <v>2</v>
      </c>
      <c r="M239" t="s">
        <v>45</v>
      </c>
      <c r="N239" t="s">
        <v>46</v>
      </c>
      <c r="O239" t="s">
        <v>47</v>
      </c>
      <c r="P239" s="5">
        <v>1</v>
      </c>
      <c r="Q239" s="11">
        <v>44850.521377314813</v>
      </c>
      <c r="R239" s="12">
        <v>44851</v>
      </c>
      <c r="S239" t="s">
        <v>41</v>
      </c>
      <c r="T239" t="s">
        <v>48</v>
      </c>
      <c r="U239" t="s">
        <v>49</v>
      </c>
      <c r="V239" t="s">
        <v>122</v>
      </c>
      <c r="Y239" t="s">
        <v>828</v>
      </c>
      <c r="Z239">
        <v>18300</v>
      </c>
      <c r="AA239" t="s">
        <v>48</v>
      </c>
      <c r="AB239" t="s">
        <v>104</v>
      </c>
      <c r="AC239" t="s">
        <v>53</v>
      </c>
      <c r="AD239" s="13">
        <f>IF(P239&lt;=1,7,7+0.8*ROUNDUP(P239-1,0))</f>
        <v>7</v>
      </c>
      <c r="AE239" s="14">
        <v>0</v>
      </c>
      <c r="AF239" s="14">
        <v>0</v>
      </c>
      <c r="AG239" s="14">
        <v>0</v>
      </c>
      <c r="AH239" s="14">
        <v>0</v>
      </c>
      <c r="AI239" s="14">
        <f t="shared" si="6"/>
        <v>0.42</v>
      </c>
      <c r="AJ239" s="14">
        <f t="shared" si="7"/>
        <v>7.42</v>
      </c>
      <c r="AK239" t="s">
        <v>48</v>
      </c>
      <c r="AN239" s="12"/>
    </row>
    <row r="240" spans="1:40" ht="15" customHeight="1" x14ac:dyDescent="0.35">
      <c r="A240">
        <v>690929</v>
      </c>
      <c r="B240" t="s">
        <v>37</v>
      </c>
      <c r="C240" t="s">
        <v>38</v>
      </c>
      <c r="D240" s="2" t="s">
        <v>39</v>
      </c>
      <c r="E240" s="9" t="s">
        <v>37</v>
      </c>
      <c r="F240" s="10"/>
      <c r="G240" t="s">
        <v>829</v>
      </c>
      <c r="H240" t="s">
        <v>41</v>
      </c>
      <c r="I240" t="s">
        <v>42</v>
      </c>
      <c r="J240" t="s">
        <v>830</v>
      </c>
      <c r="K240" t="s">
        <v>44</v>
      </c>
      <c r="L240">
        <v>2</v>
      </c>
      <c r="M240" t="s">
        <v>45</v>
      </c>
      <c r="N240" t="s">
        <v>46</v>
      </c>
      <c r="O240" t="s">
        <v>47</v>
      </c>
      <c r="P240" s="5">
        <v>1</v>
      </c>
      <c r="Q240" s="11">
        <v>44849.42863425926</v>
      </c>
      <c r="R240" s="12">
        <v>44851</v>
      </c>
      <c r="S240" t="s">
        <v>41</v>
      </c>
      <c r="T240" t="s">
        <v>48</v>
      </c>
      <c r="U240" t="s">
        <v>49</v>
      </c>
      <c r="V240" t="s">
        <v>231</v>
      </c>
      <c r="Y240" t="s">
        <v>831</v>
      </c>
      <c r="Z240">
        <v>34850</v>
      </c>
      <c r="AA240" t="s">
        <v>48</v>
      </c>
      <c r="AB240" t="s">
        <v>49</v>
      </c>
      <c r="AC240" t="s">
        <v>53</v>
      </c>
      <c r="AD240" s="13">
        <f>IF(P240&lt;=1,7,7+0.8*ROUNDUP(P240-1,0))</f>
        <v>7</v>
      </c>
      <c r="AE240" s="14">
        <v>0</v>
      </c>
      <c r="AF240" s="14">
        <v>0</v>
      </c>
      <c r="AG240" s="14">
        <v>0</v>
      </c>
      <c r="AH240" s="14">
        <v>0</v>
      </c>
      <c r="AI240" s="14">
        <f t="shared" si="6"/>
        <v>0.42</v>
      </c>
      <c r="AJ240" s="14">
        <f t="shared" si="7"/>
        <v>7.42</v>
      </c>
      <c r="AK240" t="s">
        <v>48</v>
      </c>
      <c r="AN240" s="12"/>
    </row>
    <row r="241" spans="1:40" ht="15" customHeight="1" x14ac:dyDescent="0.35">
      <c r="A241">
        <v>690929</v>
      </c>
      <c r="B241" t="s">
        <v>37</v>
      </c>
      <c r="C241" t="s">
        <v>38</v>
      </c>
      <c r="D241" s="2" t="s">
        <v>39</v>
      </c>
      <c r="E241" s="9" t="s">
        <v>37</v>
      </c>
      <c r="F241" s="10"/>
      <c r="G241" t="s">
        <v>832</v>
      </c>
      <c r="H241" t="s">
        <v>41</v>
      </c>
      <c r="I241" t="s">
        <v>42</v>
      </c>
      <c r="J241" t="s">
        <v>833</v>
      </c>
      <c r="K241" t="s">
        <v>44</v>
      </c>
      <c r="L241">
        <v>2</v>
      </c>
      <c r="M241" t="s">
        <v>45</v>
      </c>
      <c r="N241" t="s">
        <v>46</v>
      </c>
      <c r="O241" t="s">
        <v>47</v>
      </c>
      <c r="P241" s="5">
        <v>2</v>
      </c>
      <c r="Q241" s="11">
        <v>44848.664988425924</v>
      </c>
      <c r="R241" s="12">
        <v>44851</v>
      </c>
      <c r="S241" t="s">
        <v>41</v>
      </c>
      <c r="T241" t="s">
        <v>48</v>
      </c>
      <c r="U241" t="s">
        <v>49</v>
      </c>
      <c r="V241" t="s">
        <v>231</v>
      </c>
      <c r="Y241" t="s">
        <v>834</v>
      </c>
      <c r="Z241">
        <v>35900</v>
      </c>
      <c r="AA241" t="s">
        <v>48</v>
      </c>
      <c r="AB241" t="s">
        <v>835</v>
      </c>
      <c r="AC241" t="s">
        <v>53</v>
      </c>
      <c r="AD241" s="13">
        <f>IF(P241&lt;=1,7,7+0.8*ROUNDUP(P241-1,0))</f>
        <v>7.8</v>
      </c>
      <c r="AE241" s="14">
        <v>0</v>
      </c>
      <c r="AF241" s="14">
        <v>0</v>
      </c>
      <c r="AG241" s="14">
        <v>0</v>
      </c>
      <c r="AH241" s="14">
        <v>0</v>
      </c>
      <c r="AI241" s="14">
        <f t="shared" si="6"/>
        <v>0.46799999999999997</v>
      </c>
      <c r="AJ241" s="14">
        <f t="shared" si="7"/>
        <v>8.2680000000000007</v>
      </c>
      <c r="AK241" t="s">
        <v>48</v>
      </c>
      <c r="AN241" s="12"/>
    </row>
    <row r="242" spans="1:40" ht="15" customHeight="1" x14ac:dyDescent="0.35">
      <c r="A242">
        <v>690929</v>
      </c>
      <c r="B242" t="s">
        <v>37</v>
      </c>
      <c r="C242" t="s">
        <v>38</v>
      </c>
      <c r="D242" s="2" t="s">
        <v>39</v>
      </c>
      <c r="E242" s="9" t="s">
        <v>37</v>
      </c>
      <c r="F242" s="10"/>
      <c r="G242" t="s">
        <v>836</v>
      </c>
      <c r="H242" t="s">
        <v>41</v>
      </c>
      <c r="I242" t="s">
        <v>42</v>
      </c>
      <c r="J242" t="s">
        <v>837</v>
      </c>
      <c r="K242" t="s">
        <v>44</v>
      </c>
      <c r="L242">
        <v>2</v>
      </c>
      <c r="M242" t="s">
        <v>45</v>
      </c>
      <c r="N242" t="s">
        <v>46</v>
      </c>
      <c r="O242" t="s">
        <v>47</v>
      </c>
      <c r="P242" s="5">
        <v>1</v>
      </c>
      <c r="Q242" s="11">
        <v>44848.656967592593</v>
      </c>
      <c r="R242" s="12">
        <v>44851</v>
      </c>
      <c r="S242" t="s">
        <v>41</v>
      </c>
      <c r="T242" t="s">
        <v>48</v>
      </c>
      <c r="U242" t="s">
        <v>49</v>
      </c>
      <c r="V242" t="s">
        <v>61</v>
      </c>
      <c r="Y242" t="s">
        <v>838</v>
      </c>
      <c r="Z242">
        <v>42500</v>
      </c>
      <c r="AA242" t="s">
        <v>48</v>
      </c>
      <c r="AB242" t="s">
        <v>49</v>
      </c>
      <c r="AC242" t="s">
        <v>53</v>
      </c>
      <c r="AD242" s="13">
        <f>IF(P242&lt;=1,7,7+0.8*ROUNDUP(P242-1,0))</f>
        <v>7</v>
      </c>
      <c r="AE242" s="14">
        <v>0</v>
      </c>
      <c r="AF242" s="14">
        <v>0</v>
      </c>
      <c r="AG242" s="14">
        <v>0</v>
      </c>
      <c r="AH242" s="14">
        <v>0</v>
      </c>
      <c r="AI242" s="14">
        <f t="shared" si="6"/>
        <v>0.42</v>
      </c>
      <c r="AJ242" s="14">
        <f t="shared" si="7"/>
        <v>7.42</v>
      </c>
      <c r="AK242" t="s">
        <v>48</v>
      </c>
      <c r="AN242" s="12"/>
    </row>
    <row r="243" spans="1:40" ht="15" customHeight="1" x14ac:dyDescent="0.35">
      <c r="A243">
        <v>690929</v>
      </c>
      <c r="B243" t="s">
        <v>37</v>
      </c>
      <c r="C243" t="s">
        <v>38</v>
      </c>
      <c r="D243" s="2" t="s">
        <v>39</v>
      </c>
      <c r="E243" s="9" t="s">
        <v>37</v>
      </c>
      <c r="F243" s="10"/>
      <c r="G243" t="s">
        <v>839</v>
      </c>
      <c r="H243" t="s">
        <v>41</v>
      </c>
      <c r="I243" t="s">
        <v>42</v>
      </c>
      <c r="J243" t="s">
        <v>840</v>
      </c>
      <c r="K243" t="s">
        <v>44</v>
      </c>
      <c r="L243">
        <v>2</v>
      </c>
      <c r="M243" t="s">
        <v>45</v>
      </c>
      <c r="N243" t="s">
        <v>46</v>
      </c>
      <c r="O243" t="s">
        <v>47</v>
      </c>
      <c r="P243" s="5">
        <v>1</v>
      </c>
      <c r="Q243" s="11">
        <v>44848.661944444444</v>
      </c>
      <c r="R243" s="12">
        <v>44851</v>
      </c>
      <c r="S243" t="s">
        <v>41</v>
      </c>
      <c r="T243" t="s">
        <v>48</v>
      </c>
      <c r="U243" t="s">
        <v>49</v>
      </c>
      <c r="V243" t="s">
        <v>193</v>
      </c>
      <c r="Y243" t="s">
        <v>841</v>
      </c>
      <c r="Z243">
        <v>56000</v>
      </c>
      <c r="AA243" t="s">
        <v>48</v>
      </c>
      <c r="AB243" t="s">
        <v>49</v>
      </c>
      <c r="AC243" t="s">
        <v>53</v>
      </c>
      <c r="AD243" s="13">
        <f>IF(P243&lt;=1,7,7+0.8*ROUNDUP(P243-1,0))</f>
        <v>7</v>
      </c>
      <c r="AE243" s="14">
        <v>0</v>
      </c>
      <c r="AF243" s="14">
        <v>0</v>
      </c>
      <c r="AG243" s="14">
        <v>0</v>
      </c>
      <c r="AH243" s="14">
        <v>0</v>
      </c>
      <c r="AI243" s="14">
        <f t="shared" si="6"/>
        <v>0.42</v>
      </c>
      <c r="AJ243" s="14">
        <f t="shared" si="7"/>
        <v>7.42</v>
      </c>
      <c r="AK243" t="s">
        <v>48</v>
      </c>
      <c r="AN243" s="12"/>
    </row>
    <row r="244" spans="1:40" ht="15" customHeight="1" x14ac:dyDescent="0.35">
      <c r="A244">
        <v>690929</v>
      </c>
      <c r="B244" t="s">
        <v>37</v>
      </c>
      <c r="C244" t="s">
        <v>38</v>
      </c>
      <c r="D244" s="2" t="s">
        <v>39</v>
      </c>
      <c r="E244" s="9" t="s">
        <v>37</v>
      </c>
      <c r="F244" s="10"/>
      <c r="G244" t="s">
        <v>842</v>
      </c>
      <c r="H244" t="s">
        <v>41</v>
      </c>
      <c r="I244" t="s">
        <v>42</v>
      </c>
      <c r="J244" t="s">
        <v>843</v>
      </c>
      <c r="K244" t="s">
        <v>44</v>
      </c>
      <c r="L244">
        <v>2</v>
      </c>
      <c r="M244" t="s">
        <v>45</v>
      </c>
      <c r="N244" t="s">
        <v>46</v>
      </c>
      <c r="O244" t="s">
        <v>47</v>
      </c>
      <c r="P244" s="5">
        <v>2</v>
      </c>
      <c r="Q244" s="11">
        <v>44848.649861111109</v>
      </c>
      <c r="R244" s="12">
        <v>44851</v>
      </c>
      <c r="S244" t="s">
        <v>41</v>
      </c>
      <c r="T244" t="s">
        <v>48</v>
      </c>
      <c r="U244" t="s">
        <v>49</v>
      </c>
      <c r="V244" t="s">
        <v>50</v>
      </c>
      <c r="Y244" t="s">
        <v>844</v>
      </c>
      <c r="Z244">
        <v>6150</v>
      </c>
      <c r="AA244" t="s">
        <v>48</v>
      </c>
      <c r="AB244" t="s">
        <v>52</v>
      </c>
      <c r="AC244" t="s">
        <v>53</v>
      </c>
      <c r="AD244" s="13">
        <f>IF(P244&lt;=1,7,7+0.8*ROUNDUP(P244-1,0))</f>
        <v>7.8</v>
      </c>
      <c r="AE244" s="14">
        <v>0</v>
      </c>
      <c r="AF244" s="14">
        <v>0</v>
      </c>
      <c r="AG244" s="14">
        <v>0</v>
      </c>
      <c r="AH244" s="14">
        <v>0</v>
      </c>
      <c r="AI244" s="14">
        <f t="shared" si="6"/>
        <v>0.46799999999999997</v>
      </c>
      <c r="AJ244" s="14">
        <f t="shared" si="7"/>
        <v>8.2680000000000007</v>
      </c>
      <c r="AK244" t="s">
        <v>48</v>
      </c>
      <c r="AN244" s="12"/>
    </row>
    <row r="245" spans="1:40" ht="15" customHeight="1" x14ac:dyDescent="0.35">
      <c r="A245">
        <v>690929</v>
      </c>
      <c r="B245" t="s">
        <v>37</v>
      </c>
      <c r="C245" t="s">
        <v>38</v>
      </c>
      <c r="D245" s="2" t="s">
        <v>39</v>
      </c>
      <c r="E245" s="9" t="s">
        <v>37</v>
      </c>
      <c r="F245" s="10"/>
      <c r="G245" t="s">
        <v>845</v>
      </c>
      <c r="H245" t="s">
        <v>41</v>
      </c>
      <c r="I245" t="s">
        <v>42</v>
      </c>
      <c r="J245" t="s">
        <v>846</v>
      </c>
      <c r="K245" t="s">
        <v>44</v>
      </c>
      <c r="L245">
        <v>2</v>
      </c>
      <c r="M245" t="s">
        <v>45</v>
      </c>
      <c r="N245" t="s">
        <v>46</v>
      </c>
      <c r="O245" t="s">
        <v>47</v>
      </c>
      <c r="P245" s="5">
        <v>1</v>
      </c>
      <c r="Q245" s="11">
        <v>44848.655277777776</v>
      </c>
      <c r="R245" s="12">
        <v>44851</v>
      </c>
      <c r="S245" t="s">
        <v>41</v>
      </c>
      <c r="T245" t="s">
        <v>48</v>
      </c>
      <c r="U245" t="s">
        <v>49</v>
      </c>
      <c r="V245" t="s">
        <v>61</v>
      </c>
      <c r="Y245" t="s">
        <v>847</v>
      </c>
      <c r="Z245">
        <v>41400</v>
      </c>
      <c r="AA245" t="s">
        <v>48</v>
      </c>
      <c r="AB245" t="s">
        <v>52</v>
      </c>
      <c r="AC245" t="s">
        <v>53</v>
      </c>
      <c r="AD245" s="13">
        <f>IF(P245&lt;=1,7,7+0.8*ROUNDUP(P245-1,0))</f>
        <v>7</v>
      </c>
      <c r="AE245" s="14">
        <v>0</v>
      </c>
      <c r="AF245" s="14">
        <v>0</v>
      </c>
      <c r="AG245" s="14">
        <v>0</v>
      </c>
      <c r="AH245" s="14">
        <v>0</v>
      </c>
      <c r="AI245" s="14">
        <f t="shared" si="6"/>
        <v>0.42</v>
      </c>
      <c r="AJ245" s="14">
        <f t="shared" si="7"/>
        <v>7.42</v>
      </c>
      <c r="AK245" t="s">
        <v>48</v>
      </c>
      <c r="AN245" s="12"/>
    </row>
    <row r="246" spans="1:40" ht="15" customHeight="1" x14ac:dyDescent="0.35">
      <c r="A246">
        <v>690929</v>
      </c>
      <c r="B246" t="s">
        <v>37</v>
      </c>
      <c r="C246" t="s">
        <v>38</v>
      </c>
      <c r="D246" s="2" t="s">
        <v>39</v>
      </c>
      <c r="E246" s="9" t="s">
        <v>37</v>
      </c>
      <c r="F246" s="10"/>
      <c r="G246" t="s">
        <v>848</v>
      </c>
      <c r="H246" t="s">
        <v>41</v>
      </c>
      <c r="I246" t="s">
        <v>42</v>
      </c>
      <c r="J246" t="s">
        <v>849</v>
      </c>
      <c r="K246" t="s">
        <v>44</v>
      </c>
      <c r="L246">
        <v>2</v>
      </c>
      <c r="M246" t="s">
        <v>45</v>
      </c>
      <c r="N246" t="s">
        <v>46</v>
      </c>
      <c r="O246" t="s">
        <v>47</v>
      </c>
      <c r="P246" s="5">
        <v>1</v>
      </c>
      <c r="Q246" s="11">
        <v>44848.654224537036</v>
      </c>
      <c r="R246" s="12">
        <v>44851</v>
      </c>
      <c r="S246" t="s">
        <v>41</v>
      </c>
      <c r="T246" t="s">
        <v>48</v>
      </c>
      <c r="U246" t="s">
        <v>49</v>
      </c>
      <c r="V246" t="s">
        <v>133</v>
      </c>
      <c r="Y246" t="s">
        <v>850</v>
      </c>
      <c r="Z246">
        <v>28320</v>
      </c>
      <c r="AA246" t="s">
        <v>48</v>
      </c>
      <c r="AB246" t="s">
        <v>555</v>
      </c>
      <c r="AC246" t="s">
        <v>53</v>
      </c>
      <c r="AD246" s="13">
        <f>IF(P246&lt;=1,7,7+0.8*ROUNDUP(P246-1,0))</f>
        <v>7</v>
      </c>
      <c r="AE246" s="14">
        <v>0</v>
      </c>
      <c r="AF246" s="14">
        <v>0</v>
      </c>
      <c r="AG246" s="14">
        <v>0</v>
      </c>
      <c r="AH246" s="14">
        <v>0</v>
      </c>
      <c r="AI246" s="14">
        <f t="shared" si="6"/>
        <v>0.42</v>
      </c>
      <c r="AJ246" s="14">
        <f t="shared" si="7"/>
        <v>7.42</v>
      </c>
      <c r="AK246" t="s">
        <v>48</v>
      </c>
      <c r="AN246" s="12"/>
    </row>
    <row r="247" spans="1:40" ht="15" customHeight="1" x14ac:dyDescent="0.35">
      <c r="A247">
        <v>690929</v>
      </c>
      <c r="B247" t="s">
        <v>37</v>
      </c>
      <c r="C247" t="s">
        <v>38</v>
      </c>
      <c r="D247" s="2" t="s">
        <v>39</v>
      </c>
      <c r="E247" s="9" t="s">
        <v>37</v>
      </c>
      <c r="F247" s="10"/>
      <c r="G247" t="s">
        <v>851</v>
      </c>
      <c r="H247" t="s">
        <v>41</v>
      </c>
      <c r="I247" t="s">
        <v>42</v>
      </c>
      <c r="J247" t="s">
        <v>60</v>
      </c>
      <c r="K247" t="s">
        <v>44</v>
      </c>
      <c r="L247">
        <v>2</v>
      </c>
      <c r="M247" t="s">
        <v>45</v>
      </c>
      <c r="N247" t="s">
        <v>46</v>
      </c>
      <c r="O247" t="s">
        <v>47</v>
      </c>
      <c r="P247" s="5">
        <v>5</v>
      </c>
      <c r="Q247" s="11">
        <v>44848.739814814813</v>
      </c>
      <c r="R247" s="12">
        <v>44851</v>
      </c>
      <c r="S247" t="s">
        <v>41</v>
      </c>
      <c r="T247" t="s">
        <v>48</v>
      </c>
      <c r="U247" t="s">
        <v>49</v>
      </c>
      <c r="V247" t="s">
        <v>61</v>
      </c>
      <c r="Y247" t="s">
        <v>62</v>
      </c>
      <c r="Z247">
        <v>46000</v>
      </c>
      <c r="AA247" t="s">
        <v>48</v>
      </c>
      <c r="AB247" t="s">
        <v>52</v>
      </c>
      <c r="AC247" t="s">
        <v>53</v>
      </c>
      <c r="AD247" s="13">
        <f>IF(P247&lt;=1,7,7+0.8*ROUNDUP(P247-1,0))</f>
        <v>10.199999999999999</v>
      </c>
      <c r="AE247" s="14">
        <v>0</v>
      </c>
      <c r="AF247" s="14">
        <v>0</v>
      </c>
      <c r="AG247" s="14">
        <v>0</v>
      </c>
      <c r="AH247" s="14">
        <v>0</v>
      </c>
      <c r="AI247" s="14">
        <f t="shared" si="6"/>
        <v>0.61199999999999999</v>
      </c>
      <c r="AJ247" s="14">
        <f t="shared" si="7"/>
        <v>10.811999999999999</v>
      </c>
      <c r="AK247" t="s">
        <v>48</v>
      </c>
      <c r="AN247" s="12"/>
    </row>
    <row r="248" spans="1:40" ht="15" customHeight="1" x14ac:dyDescent="0.35">
      <c r="A248">
        <v>690929</v>
      </c>
      <c r="B248" t="s">
        <v>37</v>
      </c>
      <c r="C248" t="s">
        <v>38</v>
      </c>
      <c r="D248" s="2" t="s">
        <v>39</v>
      </c>
      <c r="E248" s="9" t="s">
        <v>37</v>
      </c>
      <c r="F248" s="10"/>
      <c r="G248" t="s">
        <v>852</v>
      </c>
      <c r="H248" t="s">
        <v>41</v>
      </c>
      <c r="I248" t="s">
        <v>42</v>
      </c>
      <c r="J248" t="s">
        <v>853</v>
      </c>
      <c r="K248" t="s">
        <v>44</v>
      </c>
      <c r="L248">
        <v>2</v>
      </c>
      <c r="M248" t="s">
        <v>45</v>
      </c>
      <c r="N248" t="s">
        <v>46</v>
      </c>
      <c r="O248" t="s">
        <v>47</v>
      </c>
      <c r="P248" s="5">
        <v>1</v>
      </c>
      <c r="Q248" s="11">
        <v>44848.478113425925</v>
      </c>
      <c r="R248" s="12">
        <v>44851</v>
      </c>
      <c r="S248" t="s">
        <v>41</v>
      </c>
      <c r="T248" t="s">
        <v>48</v>
      </c>
      <c r="U248" t="s">
        <v>49</v>
      </c>
      <c r="V248" t="s">
        <v>133</v>
      </c>
      <c r="Y248" t="s">
        <v>854</v>
      </c>
      <c r="Z248">
        <v>27000</v>
      </c>
      <c r="AA248" t="s">
        <v>48</v>
      </c>
      <c r="AB248" t="s">
        <v>49</v>
      </c>
      <c r="AC248" t="s">
        <v>53</v>
      </c>
      <c r="AD248" s="13">
        <f>IF(P248&lt;=1,7,7+0.8*ROUNDUP(P248-1,0))</f>
        <v>7</v>
      </c>
      <c r="AE248" s="14">
        <v>0</v>
      </c>
      <c r="AF248" s="14">
        <v>0</v>
      </c>
      <c r="AG248" s="14">
        <v>0</v>
      </c>
      <c r="AH248" s="14">
        <v>0</v>
      </c>
      <c r="AI248" s="14">
        <f t="shared" si="6"/>
        <v>0.42</v>
      </c>
      <c r="AJ248" s="14">
        <f t="shared" si="7"/>
        <v>7.42</v>
      </c>
      <c r="AK248" t="s">
        <v>48</v>
      </c>
      <c r="AN248" s="12"/>
    </row>
    <row r="249" spans="1:40" ht="15" customHeight="1" x14ac:dyDescent="0.35">
      <c r="A249">
        <v>690929</v>
      </c>
      <c r="B249" t="s">
        <v>37</v>
      </c>
      <c r="C249" t="s">
        <v>38</v>
      </c>
      <c r="D249" s="2" t="s">
        <v>39</v>
      </c>
      <c r="E249" s="9" t="s">
        <v>37</v>
      </c>
      <c r="F249" s="10"/>
      <c r="G249" t="s">
        <v>855</v>
      </c>
      <c r="H249" t="s">
        <v>41</v>
      </c>
      <c r="I249" t="s">
        <v>42</v>
      </c>
      <c r="J249" t="s">
        <v>856</v>
      </c>
      <c r="K249" t="s">
        <v>44</v>
      </c>
      <c r="L249">
        <v>2</v>
      </c>
      <c r="M249" t="s">
        <v>45</v>
      </c>
      <c r="N249" t="s">
        <v>46</v>
      </c>
      <c r="O249" t="s">
        <v>47</v>
      </c>
      <c r="P249" s="5">
        <v>1</v>
      </c>
      <c r="Q249" s="11">
        <v>44849.550370370373</v>
      </c>
      <c r="R249" s="12">
        <v>44852</v>
      </c>
      <c r="S249" t="s">
        <v>41</v>
      </c>
      <c r="T249" t="s">
        <v>48</v>
      </c>
      <c r="U249" t="s">
        <v>49</v>
      </c>
      <c r="V249" t="s">
        <v>50</v>
      </c>
      <c r="Y249" t="s">
        <v>857</v>
      </c>
      <c r="Z249">
        <v>6010</v>
      </c>
      <c r="AA249" t="s">
        <v>48</v>
      </c>
      <c r="AB249" t="s">
        <v>49</v>
      </c>
      <c r="AC249" t="s">
        <v>53</v>
      </c>
      <c r="AD249" s="13">
        <f>IF(P249&lt;=1,7,7+0.8*ROUNDUP(P249-1,0))</f>
        <v>7</v>
      </c>
      <c r="AE249" s="14">
        <v>0</v>
      </c>
      <c r="AF249" s="14">
        <v>0</v>
      </c>
      <c r="AG249" s="14">
        <v>0</v>
      </c>
      <c r="AH249" s="14">
        <v>0</v>
      </c>
      <c r="AI249" s="14">
        <f t="shared" si="6"/>
        <v>0.42</v>
      </c>
      <c r="AJ249" s="14">
        <f t="shared" si="7"/>
        <v>7.42</v>
      </c>
      <c r="AK249" t="s">
        <v>48</v>
      </c>
      <c r="AN249" s="12"/>
    </row>
    <row r="250" spans="1:40" ht="15" customHeight="1" x14ac:dyDescent="0.35">
      <c r="A250">
        <v>690929</v>
      </c>
      <c r="B250" t="s">
        <v>37</v>
      </c>
      <c r="C250" t="s">
        <v>38</v>
      </c>
      <c r="D250" s="2" t="s">
        <v>39</v>
      </c>
      <c r="E250" s="9" t="s">
        <v>37</v>
      </c>
      <c r="F250" s="10"/>
      <c r="G250" t="s">
        <v>858</v>
      </c>
      <c r="H250" t="s">
        <v>41</v>
      </c>
      <c r="I250" t="s">
        <v>42</v>
      </c>
      <c r="J250" t="s">
        <v>859</v>
      </c>
      <c r="K250" t="s">
        <v>44</v>
      </c>
      <c r="L250">
        <v>2</v>
      </c>
      <c r="M250" t="s">
        <v>45</v>
      </c>
      <c r="N250" t="s">
        <v>46</v>
      </c>
      <c r="O250" t="s">
        <v>47</v>
      </c>
      <c r="P250" s="5">
        <v>2</v>
      </c>
      <c r="Q250" s="11">
        <v>44849.616377314815</v>
      </c>
      <c r="R250" s="12">
        <v>44852</v>
      </c>
      <c r="S250" t="s">
        <v>41</v>
      </c>
      <c r="T250" t="s">
        <v>48</v>
      </c>
      <c r="U250" t="s">
        <v>49</v>
      </c>
      <c r="V250" t="s">
        <v>92</v>
      </c>
      <c r="Y250" t="s">
        <v>860</v>
      </c>
      <c r="Z250">
        <v>88450</v>
      </c>
      <c r="AA250" t="s">
        <v>94</v>
      </c>
      <c r="AB250" t="s">
        <v>747</v>
      </c>
      <c r="AC250" t="s">
        <v>53</v>
      </c>
      <c r="AD250" s="15">
        <f>IF(P250&lt;=1,13,IF(P250&lt;=2,23,IF(P250&lt;=3,35,IF(P250&lt;=4,43,IF(P250&lt;=5,53,IF(P250&lt;=6,63,IF(P250&lt;=7,71,IF(P250&lt;=8,79,IF(P250&lt;=9,87,IF(P250&lt;=10,95,IF(P250&lt;=11,105,IF(P250&lt;=12,114,IF(P250&lt;=13,119,IF(P250&lt;=14,127,IF(P250&lt;=15,135,IF(P250&lt;=16,143,IF(P250&lt;=17,153,IF(P250&lt;=18,163,IF(P250&lt;=19,171,IF(P250&lt;=20,185,IF(P250&lt;=21,193,IF(P250&lt;=22,201,IF(P250&lt;=23,210,IF(P250&lt;=24,220,IF(P250&lt;=25,230,IF(P250&lt;=26,240,IF(P250&lt;=27,250,IF(P250&lt;=28,260,IF(P250&lt;=29,270,IF(P250&lt;=30,280,280))))))))))))))))))))))))))))))</f>
        <v>23</v>
      </c>
      <c r="AE250" s="14">
        <v>0</v>
      </c>
      <c r="AF250" s="14">
        <v>0</v>
      </c>
      <c r="AG250" s="14">
        <v>0</v>
      </c>
      <c r="AH250" s="14">
        <v>0</v>
      </c>
      <c r="AI250" s="14">
        <f t="shared" si="6"/>
        <v>1.38</v>
      </c>
      <c r="AJ250" s="14">
        <f t="shared" si="7"/>
        <v>24.38</v>
      </c>
      <c r="AK250" t="s">
        <v>94</v>
      </c>
      <c r="AN250" s="12"/>
    </row>
    <row r="251" spans="1:40" ht="15" customHeight="1" x14ac:dyDescent="0.35">
      <c r="A251">
        <v>690929</v>
      </c>
      <c r="B251" t="s">
        <v>37</v>
      </c>
      <c r="C251" t="s">
        <v>38</v>
      </c>
      <c r="D251" s="2" t="s">
        <v>39</v>
      </c>
      <c r="E251" s="9" t="s">
        <v>37</v>
      </c>
      <c r="F251" s="10"/>
      <c r="G251" t="s">
        <v>861</v>
      </c>
      <c r="H251" t="s">
        <v>41</v>
      </c>
      <c r="I251" t="s">
        <v>42</v>
      </c>
      <c r="J251" t="s">
        <v>862</v>
      </c>
      <c r="K251" t="s">
        <v>44</v>
      </c>
      <c r="L251">
        <v>2</v>
      </c>
      <c r="M251" t="s">
        <v>45</v>
      </c>
      <c r="N251" t="s">
        <v>46</v>
      </c>
      <c r="O251" t="s">
        <v>47</v>
      </c>
      <c r="P251" s="5">
        <v>1</v>
      </c>
      <c r="Q251" s="11">
        <v>44848.738252314812</v>
      </c>
      <c r="R251" s="12">
        <v>44852</v>
      </c>
      <c r="S251" t="s">
        <v>41</v>
      </c>
      <c r="T251" t="s">
        <v>48</v>
      </c>
      <c r="U251" t="s">
        <v>49</v>
      </c>
      <c r="V251" t="s">
        <v>56</v>
      </c>
      <c r="Y251" t="s">
        <v>863</v>
      </c>
      <c r="Z251">
        <v>84000</v>
      </c>
      <c r="AA251" t="s">
        <v>48</v>
      </c>
      <c r="AB251" t="s">
        <v>49</v>
      </c>
      <c r="AC251" t="s">
        <v>53</v>
      </c>
      <c r="AD251" s="13">
        <f>IF(P251&lt;=1,7,7+0.8*ROUNDUP(P251-1,0))</f>
        <v>7</v>
      </c>
      <c r="AE251" s="14">
        <v>0</v>
      </c>
      <c r="AF251" s="14">
        <v>0</v>
      </c>
      <c r="AG251" s="14">
        <v>0</v>
      </c>
      <c r="AH251" s="14">
        <v>0</v>
      </c>
      <c r="AI251" s="14">
        <f t="shared" si="6"/>
        <v>0.42</v>
      </c>
      <c r="AJ251" s="14">
        <f t="shared" si="7"/>
        <v>7.42</v>
      </c>
      <c r="AK251" t="s">
        <v>48</v>
      </c>
      <c r="AN251" s="12"/>
    </row>
    <row r="252" spans="1:40" ht="15" customHeight="1" x14ac:dyDescent="0.35">
      <c r="A252">
        <v>690929</v>
      </c>
      <c r="B252" t="s">
        <v>37</v>
      </c>
      <c r="C252" t="s">
        <v>38</v>
      </c>
      <c r="D252" s="2" t="s">
        <v>39</v>
      </c>
      <c r="E252" s="9" t="s">
        <v>37</v>
      </c>
      <c r="F252" s="10"/>
      <c r="G252" t="s">
        <v>864</v>
      </c>
      <c r="H252" t="s">
        <v>41</v>
      </c>
      <c r="I252" t="s">
        <v>42</v>
      </c>
      <c r="J252" t="s">
        <v>865</v>
      </c>
      <c r="K252" t="s">
        <v>44</v>
      </c>
      <c r="L252">
        <v>2</v>
      </c>
      <c r="M252" t="s">
        <v>45</v>
      </c>
      <c r="N252" t="s">
        <v>46</v>
      </c>
      <c r="O252" t="s">
        <v>47</v>
      </c>
      <c r="P252" s="5">
        <v>1</v>
      </c>
      <c r="Q252" s="11">
        <v>44850.579444444447</v>
      </c>
      <c r="R252" s="12">
        <v>44852</v>
      </c>
      <c r="S252" t="s">
        <v>41</v>
      </c>
      <c r="T252" t="s">
        <v>48</v>
      </c>
      <c r="U252" t="s">
        <v>49</v>
      </c>
      <c r="V252" t="s">
        <v>61</v>
      </c>
      <c r="Y252" t="s">
        <v>866</v>
      </c>
      <c r="Z252">
        <v>41200</v>
      </c>
      <c r="AA252" t="s">
        <v>48</v>
      </c>
      <c r="AB252" t="s">
        <v>49</v>
      </c>
      <c r="AC252" t="s">
        <v>53</v>
      </c>
      <c r="AD252" s="13">
        <f>IF(P252&lt;=1,7,7+0.8*ROUNDUP(P252-1,0))</f>
        <v>7</v>
      </c>
      <c r="AE252" s="14">
        <v>0</v>
      </c>
      <c r="AF252" s="14">
        <v>0</v>
      </c>
      <c r="AG252" s="14">
        <v>0</v>
      </c>
      <c r="AH252" s="14">
        <v>0</v>
      </c>
      <c r="AI252" s="14">
        <f t="shared" si="6"/>
        <v>0.42</v>
      </c>
      <c r="AJ252" s="14">
        <f t="shared" si="7"/>
        <v>7.42</v>
      </c>
      <c r="AK252" t="s">
        <v>48</v>
      </c>
      <c r="AN252" s="12"/>
    </row>
    <row r="253" spans="1:40" ht="15" customHeight="1" x14ac:dyDescent="0.35">
      <c r="A253">
        <v>690929</v>
      </c>
      <c r="B253" t="s">
        <v>37</v>
      </c>
      <c r="C253" t="s">
        <v>38</v>
      </c>
      <c r="D253" s="2" t="s">
        <v>39</v>
      </c>
      <c r="E253" s="9" t="s">
        <v>37</v>
      </c>
      <c r="F253" s="10"/>
      <c r="G253" t="s">
        <v>867</v>
      </c>
      <c r="H253" t="s">
        <v>41</v>
      </c>
      <c r="I253" t="s">
        <v>42</v>
      </c>
      <c r="J253" t="s">
        <v>868</v>
      </c>
      <c r="K253" t="s">
        <v>44</v>
      </c>
      <c r="L253">
        <v>2</v>
      </c>
      <c r="M253" t="s">
        <v>45</v>
      </c>
      <c r="N253" t="s">
        <v>46</v>
      </c>
      <c r="O253" t="s">
        <v>47</v>
      </c>
      <c r="P253" s="5">
        <v>2</v>
      </c>
      <c r="Q253" s="11">
        <v>44848.66611111111</v>
      </c>
      <c r="R253" s="12">
        <v>44852</v>
      </c>
      <c r="S253" t="s">
        <v>41</v>
      </c>
      <c r="T253" t="s">
        <v>48</v>
      </c>
      <c r="U253" t="s">
        <v>49</v>
      </c>
      <c r="V253" t="s">
        <v>50</v>
      </c>
      <c r="Y253" t="s">
        <v>869</v>
      </c>
      <c r="Z253">
        <v>8000</v>
      </c>
      <c r="AA253" t="s">
        <v>48</v>
      </c>
      <c r="AB253" t="s">
        <v>52</v>
      </c>
      <c r="AC253" t="s">
        <v>53</v>
      </c>
      <c r="AD253" s="13">
        <f>IF(P253&lt;=1,7,7+0.8*ROUNDUP(P253-1,0))</f>
        <v>7.8</v>
      </c>
      <c r="AE253" s="14">
        <v>0</v>
      </c>
      <c r="AF253" s="14">
        <v>0</v>
      </c>
      <c r="AG253" s="14">
        <v>0</v>
      </c>
      <c r="AH253" s="14">
        <v>0</v>
      </c>
      <c r="AI253" s="14">
        <f t="shared" si="6"/>
        <v>0.46799999999999997</v>
      </c>
      <c r="AJ253" s="14">
        <f t="shared" si="7"/>
        <v>8.2680000000000007</v>
      </c>
      <c r="AK253" t="s">
        <v>48</v>
      </c>
      <c r="AN253" s="12"/>
    </row>
    <row r="254" spans="1:40" ht="15" customHeight="1" x14ac:dyDescent="0.35">
      <c r="A254">
        <v>690929</v>
      </c>
      <c r="B254" t="s">
        <v>37</v>
      </c>
      <c r="C254" t="s">
        <v>38</v>
      </c>
      <c r="D254" s="2" t="s">
        <v>39</v>
      </c>
      <c r="E254" s="9" t="s">
        <v>37</v>
      </c>
      <c r="F254" s="10"/>
      <c r="G254" t="s">
        <v>870</v>
      </c>
      <c r="H254" t="s">
        <v>41</v>
      </c>
      <c r="I254" t="s">
        <v>42</v>
      </c>
      <c r="J254" t="s">
        <v>871</v>
      </c>
      <c r="K254" t="s">
        <v>44</v>
      </c>
      <c r="L254">
        <v>2</v>
      </c>
      <c r="M254" t="s">
        <v>45</v>
      </c>
      <c r="N254" t="s">
        <v>46</v>
      </c>
      <c r="O254" t="s">
        <v>47</v>
      </c>
      <c r="P254" s="5">
        <v>1</v>
      </c>
      <c r="Q254" s="11">
        <v>44848.6719212963</v>
      </c>
      <c r="R254" s="12">
        <v>44852</v>
      </c>
      <c r="S254" t="s">
        <v>41</v>
      </c>
      <c r="T254" t="s">
        <v>48</v>
      </c>
      <c r="U254" t="s">
        <v>49</v>
      </c>
      <c r="V254" t="s">
        <v>56</v>
      </c>
      <c r="Y254" t="s">
        <v>872</v>
      </c>
      <c r="Z254">
        <v>85000</v>
      </c>
      <c r="AA254" t="s">
        <v>48</v>
      </c>
      <c r="AB254" t="s">
        <v>52</v>
      </c>
      <c r="AC254" t="s">
        <v>53</v>
      </c>
      <c r="AD254" s="13">
        <f>IF(P254&lt;=1,7,7+0.8*ROUNDUP(P254-1,0))</f>
        <v>7</v>
      </c>
      <c r="AE254" s="14">
        <v>0</v>
      </c>
      <c r="AF254" s="14">
        <v>0</v>
      </c>
      <c r="AG254" s="14">
        <v>0</v>
      </c>
      <c r="AH254" s="14">
        <v>0</v>
      </c>
      <c r="AI254" s="14">
        <f t="shared" si="6"/>
        <v>0.42</v>
      </c>
      <c r="AJ254" s="14">
        <f t="shared" si="7"/>
        <v>7.42</v>
      </c>
      <c r="AK254" t="s">
        <v>48</v>
      </c>
      <c r="AN254" s="12"/>
    </row>
    <row r="255" spans="1:40" ht="15" customHeight="1" x14ac:dyDescent="0.35">
      <c r="A255">
        <v>690929</v>
      </c>
      <c r="B255" t="s">
        <v>37</v>
      </c>
      <c r="C255" t="s">
        <v>38</v>
      </c>
      <c r="D255" s="2" t="s">
        <v>39</v>
      </c>
      <c r="E255" s="9" t="s">
        <v>37</v>
      </c>
      <c r="F255" s="10"/>
      <c r="G255" t="s">
        <v>873</v>
      </c>
      <c r="H255" t="s">
        <v>41</v>
      </c>
      <c r="I255" t="s">
        <v>42</v>
      </c>
      <c r="J255" t="s">
        <v>874</v>
      </c>
      <c r="K255" t="s">
        <v>44</v>
      </c>
      <c r="L255">
        <v>2</v>
      </c>
      <c r="M255" t="s">
        <v>45</v>
      </c>
      <c r="N255" t="s">
        <v>46</v>
      </c>
      <c r="O255" t="s">
        <v>47</v>
      </c>
      <c r="P255" s="5">
        <v>2</v>
      </c>
      <c r="Q255" s="11">
        <v>44848.668715277781</v>
      </c>
      <c r="R255" s="12">
        <v>44852</v>
      </c>
      <c r="S255" t="s">
        <v>41</v>
      </c>
      <c r="T255" t="s">
        <v>48</v>
      </c>
      <c r="U255" t="s">
        <v>49</v>
      </c>
      <c r="V255" t="s">
        <v>56</v>
      </c>
      <c r="Y255" t="s">
        <v>875</v>
      </c>
      <c r="Z255">
        <v>85000</v>
      </c>
      <c r="AA255" t="s">
        <v>48</v>
      </c>
      <c r="AB255" t="s">
        <v>52</v>
      </c>
      <c r="AC255" t="s">
        <v>53</v>
      </c>
      <c r="AD255" s="13">
        <f>IF(P255&lt;=1,7,7+0.8*ROUNDUP(P255-1,0))</f>
        <v>7.8</v>
      </c>
      <c r="AE255" s="14">
        <v>0</v>
      </c>
      <c r="AF255" s="14">
        <v>0</v>
      </c>
      <c r="AG255" s="14">
        <v>0</v>
      </c>
      <c r="AH255" s="14">
        <v>0</v>
      </c>
      <c r="AI255" s="14">
        <f t="shared" si="6"/>
        <v>0.46799999999999997</v>
      </c>
      <c r="AJ255" s="14">
        <f t="shared" si="7"/>
        <v>8.2680000000000007</v>
      </c>
      <c r="AK255" t="s">
        <v>48</v>
      </c>
      <c r="AN255" s="12"/>
    </row>
    <row r="256" spans="1:40" ht="15" customHeight="1" x14ac:dyDescent="0.35">
      <c r="A256">
        <v>690929</v>
      </c>
      <c r="B256" t="s">
        <v>37</v>
      </c>
      <c r="C256" t="s">
        <v>38</v>
      </c>
      <c r="D256" s="2" t="s">
        <v>39</v>
      </c>
      <c r="E256" s="9" t="s">
        <v>37</v>
      </c>
      <c r="F256" s="10"/>
      <c r="G256" t="s">
        <v>876</v>
      </c>
      <c r="I256" t="s">
        <v>42</v>
      </c>
      <c r="J256" t="s">
        <v>877</v>
      </c>
      <c r="K256" t="s">
        <v>44</v>
      </c>
      <c r="L256">
        <v>2</v>
      </c>
      <c r="M256" t="s">
        <v>45</v>
      </c>
      <c r="N256" t="s">
        <v>46</v>
      </c>
      <c r="O256" t="s">
        <v>47</v>
      </c>
      <c r="P256" s="5">
        <v>1</v>
      </c>
      <c r="Q256" s="11">
        <v>44861.543877314813</v>
      </c>
      <c r="R256" s="12">
        <v>44862</v>
      </c>
      <c r="T256" t="s">
        <v>48</v>
      </c>
      <c r="U256" t="s">
        <v>49</v>
      </c>
      <c r="V256" t="s">
        <v>87</v>
      </c>
      <c r="Y256" t="s">
        <v>878</v>
      </c>
      <c r="Z256">
        <v>21400</v>
      </c>
      <c r="AA256" t="s">
        <v>48</v>
      </c>
      <c r="AB256" t="s">
        <v>49</v>
      </c>
      <c r="AC256" t="s">
        <v>53</v>
      </c>
      <c r="AD256" s="13">
        <f>IF(P256&lt;=1,7,7+0.8*ROUNDUP(P256-1,0))</f>
        <v>7</v>
      </c>
      <c r="AE256" s="14">
        <v>0</v>
      </c>
      <c r="AF256" s="14">
        <v>0</v>
      </c>
      <c r="AG256" s="14">
        <v>0</v>
      </c>
      <c r="AH256" s="14">
        <v>0</v>
      </c>
      <c r="AI256" s="14">
        <f t="shared" si="6"/>
        <v>0.42</v>
      </c>
      <c r="AJ256" s="14">
        <f t="shared" si="7"/>
        <v>7.42</v>
      </c>
      <c r="AK256" t="s">
        <v>48</v>
      </c>
      <c r="AN256" s="12"/>
    </row>
    <row r="257" spans="1:40" ht="15" customHeight="1" x14ac:dyDescent="0.35">
      <c r="A257">
        <v>690929</v>
      </c>
      <c r="B257" t="s">
        <v>37</v>
      </c>
      <c r="C257" t="s">
        <v>38</v>
      </c>
      <c r="D257" s="2" t="s">
        <v>39</v>
      </c>
      <c r="E257" s="9" t="s">
        <v>37</v>
      </c>
      <c r="F257" s="10"/>
      <c r="G257" t="s">
        <v>879</v>
      </c>
      <c r="I257" t="s">
        <v>42</v>
      </c>
      <c r="J257" t="s">
        <v>880</v>
      </c>
      <c r="K257" t="s">
        <v>44</v>
      </c>
      <c r="L257">
        <v>2</v>
      </c>
      <c r="M257" t="s">
        <v>45</v>
      </c>
      <c r="N257" t="s">
        <v>46</v>
      </c>
      <c r="O257" t="s">
        <v>47</v>
      </c>
      <c r="P257" s="5">
        <v>1</v>
      </c>
      <c r="Q257" s="11">
        <v>44859.518159722225</v>
      </c>
      <c r="R257" s="12">
        <v>44862</v>
      </c>
      <c r="T257" t="s">
        <v>48</v>
      </c>
      <c r="U257" t="s">
        <v>52</v>
      </c>
      <c r="V257" t="s">
        <v>188</v>
      </c>
      <c r="Y257" t="s">
        <v>881</v>
      </c>
      <c r="Z257">
        <v>93050</v>
      </c>
      <c r="AA257" t="s">
        <v>94</v>
      </c>
      <c r="AB257" t="s">
        <v>52</v>
      </c>
      <c r="AC257" t="s">
        <v>53</v>
      </c>
      <c r="AD257" s="15">
        <f>IF(P257&lt;=1,13,IF(P257&lt;=2,23,IF(P257&lt;=3,35,IF(P257&lt;=4,43,IF(P257&lt;=5,53,IF(P257&lt;=6,63,IF(P257&lt;=7,71,IF(P257&lt;=8,79,IF(P257&lt;=9,87,IF(P257&lt;=10,95,IF(P257&lt;=11,105,IF(P257&lt;=12,114,IF(P257&lt;=13,119,IF(P257&lt;=14,127,IF(P257&lt;=15,135,IF(P257&lt;=16,143,IF(P257&lt;=17,153,IF(P257&lt;=18,163,IF(P257&lt;=19,171,IF(P257&lt;=20,185,IF(P257&lt;=21,193,IF(P257&lt;=22,201,IF(P257&lt;=23,210,IF(P257&lt;=24,220,IF(P257&lt;=25,230,IF(P257&lt;=26,240,IF(P257&lt;=27,250,IF(P257&lt;=28,260,IF(P257&lt;=29,270,IF(P257&lt;=30,280,280))))))))))))))))))))))))))))))</f>
        <v>13</v>
      </c>
      <c r="AE257" s="14">
        <v>0</v>
      </c>
      <c r="AF257" s="14">
        <v>0</v>
      </c>
      <c r="AG257" s="14">
        <v>0</v>
      </c>
      <c r="AH257" s="14">
        <v>0</v>
      </c>
      <c r="AI257" s="14">
        <f t="shared" si="6"/>
        <v>0.78</v>
      </c>
      <c r="AJ257" s="14">
        <f t="shared" si="7"/>
        <v>13.78</v>
      </c>
      <c r="AK257" t="s">
        <v>94</v>
      </c>
      <c r="AN257" s="12"/>
    </row>
    <row r="258" spans="1:40" ht="15" customHeight="1" x14ac:dyDescent="0.35">
      <c r="A258">
        <v>690929</v>
      </c>
      <c r="B258" t="s">
        <v>37</v>
      </c>
      <c r="C258" t="s">
        <v>38</v>
      </c>
      <c r="D258" s="2" t="s">
        <v>39</v>
      </c>
      <c r="E258" s="9" t="s">
        <v>37</v>
      </c>
      <c r="F258" s="10"/>
      <c r="G258" t="s">
        <v>882</v>
      </c>
      <c r="I258" t="s">
        <v>42</v>
      </c>
      <c r="J258" t="s">
        <v>883</v>
      </c>
      <c r="K258" t="s">
        <v>44</v>
      </c>
      <c r="L258">
        <v>2</v>
      </c>
      <c r="M258" t="s">
        <v>45</v>
      </c>
      <c r="N258" t="s">
        <v>46</v>
      </c>
      <c r="O258" t="s">
        <v>47</v>
      </c>
      <c r="P258" s="5">
        <v>1</v>
      </c>
      <c r="Q258" s="11">
        <v>44861.38</v>
      </c>
      <c r="R258" s="12">
        <v>44862</v>
      </c>
      <c r="T258" t="s">
        <v>48</v>
      </c>
      <c r="U258" t="s">
        <v>49</v>
      </c>
      <c r="V258" t="s">
        <v>61</v>
      </c>
      <c r="Y258" t="s">
        <v>884</v>
      </c>
      <c r="Z258">
        <v>63000</v>
      </c>
      <c r="AA258" t="s">
        <v>48</v>
      </c>
      <c r="AB258" t="s">
        <v>52</v>
      </c>
      <c r="AC258" t="s">
        <v>53</v>
      </c>
      <c r="AD258" s="13">
        <f>IF(P258&lt;=1,7,7+0.8*ROUNDUP(P258-1,0))</f>
        <v>7</v>
      </c>
      <c r="AE258" s="14">
        <v>0</v>
      </c>
      <c r="AF258" s="14">
        <v>0</v>
      </c>
      <c r="AG258" s="14">
        <v>0</v>
      </c>
      <c r="AH258" s="14">
        <v>0</v>
      </c>
      <c r="AI258" s="14">
        <f t="shared" ref="AI258:AI281" si="8">(AD258+AF258+AH258)*6%</f>
        <v>0.42</v>
      </c>
      <c r="AJ258" s="14">
        <f t="shared" ref="AJ258:AJ281" si="9">AD258+AF258+AH258+AI258</f>
        <v>7.42</v>
      </c>
      <c r="AK258" t="s">
        <v>48</v>
      </c>
      <c r="AN258" s="12"/>
    </row>
    <row r="259" spans="1:40" ht="15" customHeight="1" x14ac:dyDescent="0.35">
      <c r="A259">
        <v>690929</v>
      </c>
      <c r="B259" t="s">
        <v>37</v>
      </c>
      <c r="C259" t="s">
        <v>38</v>
      </c>
      <c r="D259" s="2" t="s">
        <v>39</v>
      </c>
      <c r="E259" s="9" t="s">
        <v>37</v>
      </c>
      <c r="F259" s="10"/>
      <c r="G259" t="s">
        <v>885</v>
      </c>
      <c r="I259" t="s">
        <v>42</v>
      </c>
      <c r="J259" t="s">
        <v>886</v>
      </c>
      <c r="K259" t="s">
        <v>44</v>
      </c>
      <c r="L259">
        <v>2</v>
      </c>
      <c r="M259" t="s">
        <v>45</v>
      </c>
      <c r="N259" t="s">
        <v>46</v>
      </c>
      <c r="O259" t="s">
        <v>47</v>
      </c>
      <c r="P259" s="5">
        <v>2</v>
      </c>
      <c r="Q259" s="11">
        <v>44861.57708333333</v>
      </c>
      <c r="R259" s="12">
        <v>44862</v>
      </c>
      <c r="T259" t="s">
        <v>48</v>
      </c>
      <c r="U259" t="s">
        <v>49</v>
      </c>
      <c r="V259" t="s">
        <v>146</v>
      </c>
      <c r="Y259" t="s">
        <v>887</v>
      </c>
      <c r="Z259">
        <v>70400</v>
      </c>
      <c r="AA259" t="s">
        <v>48</v>
      </c>
      <c r="AB259" t="s">
        <v>52</v>
      </c>
      <c r="AC259" t="s">
        <v>53</v>
      </c>
      <c r="AD259" s="13">
        <f>IF(P259&lt;=1,7,7+0.8*ROUNDUP(P259-1,0))</f>
        <v>7.8</v>
      </c>
      <c r="AE259" s="14">
        <v>0</v>
      </c>
      <c r="AF259" s="14">
        <v>0</v>
      </c>
      <c r="AG259" s="14">
        <v>0</v>
      </c>
      <c r="AH259" s="14">
        <v>0</v>
      </c>
      <c r="AI259" s="14">
        <f t="shared" si="8"/>
        <v>0.46799999999999997</v>
      </c>
      <c r="AJ259" s="14">
        <f t="shared" si="9"/>
        <v>8.2680000000000007</v>
      </c>
      <c r="AK259" t="s">
        <v>48</v>
      </c>
      <c r="AN259" s="12"/>
    </row>
    <row r="260" spans="1:40" ht="15" customHeight="1" x14ac:dyDescent="0.35">
      <c r="A260">
        <v>690929</v>
      </c>
      <c r="B260" t="s">
        <v>37</v>
      </c>
      <c r="C260" t="s">
        <v>38</v>
      </c>
      <c r="D260" s="2" t="s">
        <v>39</v>
      </c>
      <c r="E260" s="9" t="s">
        <v>37</v>
      </c>
      <c r="F260" s="10"/>
      <c r="G260" t="s">
        <v>888</v>
      </c>
      <c r="I260" t="s">
        <v>42</v>
      </c>
      <c r="J260" t="s">
        <v>889</v>
      </c>
      <c r="K260" t="s">
        <v>44</v>
      </c>
      <c r="L260">
        <v>2</v>
      </c>
      <c r="M260" t="s">
        <v>45</v>
      </c>
      <c r="N260" t="s">
        <v>46</v>
      </c>
      <c r="O260" t="s">
        <v>47</v>
      </c>
      <c r="P260" s="5">
        <v>1</v>
      </c>
      <c r="Q260" s="11">
        <v>44860.674629629626</v>
      </c>
      <c r="R260" s="12">
        <v>44862</v>
      </c>
      <c r="T260" t="s">
        <v>48</v>
      </c>
      <c r="U260" t="s">
        <v>49</v>
      </c>
      <c r="V260" t="s">
        <v>146</v>
      </c>
      <c r="Y260" t="s">
        <v>890</v>
      </c>
      <c r="Z260">
        <v>73420</v>
      </c>
      <c r="AA260" t="s">
        <v>48</v>
      </c>
      <c r="AB260" t="s">
        <v>52</v>
      </c>
      <c r="AC260" t="s">
        <v>53</v>
      </c>
      <c r="AD260" s="13">
        <f>IF(P260&lt;=1,7,7+0.8*ROUNDUP(P260-1,0))</f>
        <v>7</v>
      </c>
      <c r="AE260" s="14">
        <v>0</v>
      </c>
      <c r="AF260" s="14">
        <v>0</v>
      </c>
      <c r="AG260" s="14">
        <v>0</v>
      </c>
      <c r="AH260" s="14">
        <v>0</v>
      </c>
      <c r="AI260" s="14">
        <f t="shared" si="8"/>
        <v>0.42</v>
      </c>
      <c r="AJ260" s="14">
        <f t="shared" si="9"/>
        <v>7.42</v>
      </c>
      <c r="AK260" t="s">
        <v>48</v>
      </c>
      <c r="AN260" s="12"/>
    </row>
    <row r="261" spans="1:40" ht="15" customHeight="1" x14ac:dyDescent="0.35">
      <c r="A261">
        <v>690929</v>
      </c>
      <c r="B261" t="s">
        <v>37</v>
      </c>
      <c r="C261" t="s">
        <v>38</v>
      </c>
      <c r="D261" s="2" t="s">
        <v>39</v>
      </c>
      <c r="E261" s="9" t="s">
        <v>37</v>
      </c>
      <c r="F261" s="10"/>
      <c r="G261" t="s">
        <v>891</v>
      </c>
      <c r="I261" t="s">
        <v>42</v>
      </c>
      <c r="J261" t="s">
        <v>892</v>
      </c>
      <c r="K261" t="s">
        <v>44</v>
      </c>
      <c r="L261">
        <v>2</v>
      </c>
      <c r="M261" t="s">
        <v>45</v>
      </c>
      <c r="N261" t="s">
        <v>46</v>
      </c>
      <c r="O261" t="s">
        <v>47</v>
      </c>
      <c r="P261" s="5">
        <v>1</v>
      </c>
      <c r="Q261" s="11">
        <v>44861.546388888892</v>
      </c>
      <c r="R261" s="12">
        <v>44862</v>
      </c>
      <c r="T261" t="s">
        <v>48</v>
      </c>
      <c r="U261" t="s">
        <v>49</v>
      </c>
      <c r="V261" t="s">
        <v>87</v>
      </c>
      <c r="Y261" t="s">
        <v>893</v>
      </c>
      <c r="Z261">
        <v>21400</v>
      </c>
      <c r="AA261" t="s">
        <v>48</v>
      </c>
      <c r="AB261" t="s">
        <v>49</v>
      </c>
      <c r="AC261" t="s">
        <v>53</v>
      </c>
      <c r="AD261" s="13">
        <f>IF(P261&lt;=1,7,7+0.8*ROUNDUP(P261-1,0))</f>
        <v>7</v>
      </c>
      <c r="AE261" s="14">
        <v>0</v>
      </c>
      <c r="AF261" s="14">
        <v>0</v>
      </c>
      <c r="AG261" s="14">
        <v>0</v>
      </c>
      <c r="AH261" s="14">
        <v>0</v>
      </c>
      <c r="AI261" s="14">
        <f t="shared" si="8"/>
        <v>0.42</v>
      </c>
      <c r="AJ261" s="14">
        <f t="shared" si="9"/>
        <v>7.42</v>
      </c>
      <c r="AK261" t="s">
        <v>48</v>
      </c>
      <c r="AN261" s="12"/>
    </row>
    <row r="262" spans="1:40" ht="15" customHeight="1" x14ac:dyDescent="0.35">
      <c r="A262">
        <v>690929</v>
      </c>
      <c r="B262" t="s">
        <v>37</v>
      </c>
      <c r="C262" t="s">
        <v>38</v>
      </c>
      <c r="D262" s="2" t="s">
        <v>39</v>
      </c>
      <c r="E262" s="9" t="s">
        <v>37</v>
      </c>
      <c r="F262" s="10"/>
      <c r="G262" t="s">
        <v>894</v>
      </c>
      <c r="I262" t="s">
        <v>42</v>
      </c>
      <c r="J262" t="s">
        <v>895</v>
      </c>
      <c r="K262" t="s">
        <v>44</v>
      </c>
      <c r="L262">
        <v>2</v>
      </c>
      <c r="M262" t="s">
        <v>45</v>
      </c>
      <c r="N262" t="s">
        <v>46</v>
      </c>
      <c r="O262" t="s">
        <v>47</v>
      </c>
      <c r="P262" s="5">
        <v>1</v>
      </c>
      <c r="Q262" s="11">
        <v>44861.544502314813</v>
      </c>
      <c r="R262" s="12">
        <v>44862</v>
      </c>
      <c r="T262" t="s">
        <v>48</v>
      </c>
      <c r="U262" t="s">
        <v>49</v>
      </c>
      <c r="V262" t="s">
        <v>61</v>
      </c>
      <c r="Y262" t="s">
        <v>896</v>
      </c>
      <c r="Z262">
        <v>40200</v>
      </c>
      <c r="AA262" t="s">
        <v>48</v>
      </c>
      <c r="AB262" t="s">
        <v>52</v>
      </c>
      <c r="AC262" t="s">
        <v>53</v>
      </c>
      <c r="AD262" s="13">
        <f>IF(P262&lt;=1,7,7+0.8*ROUNDUP(P262-1,0))</f>
        <v>7</v>
      </c>
      <c r="AE262" s="14">
        <v>0</v>
      </c>
      <c r="AF262" s="14">
        <v>0</v>
      </c>
      <c r="AG262" s="14">
        <v>0</v>
      </c>
      <c r="AH262" s="14">
        <v>0</v>
      </c>
      <c r="AI262" s="14">
        <f t="shared" si="8"/>
        <v>0.42</v>
      </c>
      <c r="AJ262" s="14">
        <f t="shared" si="9"/>
        <v>7.42</v>
      </c>
      <c r="AK262" t="s">
        <v>48</v>
      </c>
      <c r="AN262" s="12"/>
    </row>
    <row r="263" spans="1:40" ht="15" customHeight="1" x14ac:dyDescent="0.35">
      <c r="A263">
        <v>690929</v>
      </c>
      <c r="B263" t="s">
        <v>37</v>
      </c>
      <c r="C263" t="s">
        <v>38</v>
      </c>
      <c r="D263" s="2" t="s">
        <v>39</v>
      </c>
      <c r="E263" s="9" t="s">
        <v>37</v>
      </c>
      <c r="F263" s="10"/>
      <c r="G263" t="s">
        <v>897</v>
      </c>
      <c r="I263" t="s">
        <v>42</v>
      </c>
      <c r="J263" t="s">
        <v>898</v>
      </c>
      <c r="K263" t="s">
        <v>44</v>
      </c>
      <c r="L263">
        <v>2</v>
      </c>
      <c r="M263" t="s">
        <v>45</v>
      </c>
      <c r="N263" t="s">
        <v>46</v>
      </c>
      <c r="O263" t="s">
        <v>47</v>
      </c>
      <c r="P263" s="5">
        <v>2</v>
      </c>
      <c r="Q263" s="11">
        <v>44861.628599537034</v>
      </c>
      <c r="R263" s="12">
        <v>44862</v>
      </c>
      <c r="T263" t="s">
        <v>48</v>
      </c>
      <c r="U263" t="s">
        <v>49</v>
      </c>
      <c r="V263" t="s">
        <v>61</v>
      </c>
      <c r="Y263" t="s">
        <v>899</v>
      </c>
      <c r="Z263">
        <v>42300</v>
      </c>
      <c r="AA263" t="s">
        <v>48</v>
      </c>
      <c r="AB263" t="s">
        <v>625</v>
      </c>
      <c r="AC263" t="s">
        <v>53</v>
      </c>
      <c r="AD263" s="13">
        <f>IF(P263&lt;=1,7,7+0.8*ROUNDUP(P263-1,0))</f>
        <v>7.8</v>
      </c>
      <c r="AE263" s="14">
        <v>0</v>
      </c>
      <c r="AF263" s="14">
        <v>0</v>
      </c>
      <c r="AG263" s="14">
        <v>0</v>
      </c>
      <c r="AH263" s="14">
        <v>0</v>
      </c>
      <c r="AI263" s="14">
        <f t="shared" si="8"/>
        <v>0.46799999999999997</v>
      </c>
      <c r="AJ263" s="14">
        <f t="shared" si="9"/>
        <v>8.2680000000000007</v>
      </c>
      <c r="AK263" t="s">
        <v>48</v>
      </c>
      <c r="AN263" s="12"/>
    </row>
    <row r="264" spans="1:40" ht="15" customHeight="1" x14ac:dyDescent="0.35">
      <c r="A264">
        <v>690929</v>
      </c>
      <c r="B264" t="s">
        <v>37</v>
      </c>
      <c r="C264" t="s">
        <v>38</v>
      </c>
      <c r="D264" s="2" t="s">
        <v>39</v>
      </c>
      <c r="E264" s="9" t="s">
        <v>37</v>
      </c>
      <c r="F264" s="10"/>
      <c r="G264" t="s">
        <v>900</v>
      </c>
      <c r="I264" t="s">
        <v>42</v>
      </c>
      <c r="J264" t="s">
        <v>901</v>
      </c>
      <c r="K264" t="s">
        <v>44</v>
      </c>
      <c r="L264">
        <v>2</v>
      </c>
      <c r="M264" t="s">
        <v>45</v>
      </c>
      <c r="N264" t="s">
        <v>46</v>
      </c>
      <c r="O264" t="s">
        <v>47</v>
      </c>
      <c r="P264" s="5">
        <v>10</v>
      </c>
      <c r="Q264" s="11">
        <v>44861.570127314815</v>
      </c>
      <c r="R264" s="12">
        <v>44862</v>
      </c>
      <c r="T264" t="s">
        <v>48</v>
      </c>
      <c r="U264" t="s">
        <v>49</v>
      </c>
      <c r="V264" t="s">
        <v>61</v>
      </c>
      <c r="Y264" t="s">
        <v>902</v>
      </c>
      <c r="Z264">
        <v>40460</v>
      </c>
      <c r="AA264" t="s">
        <v>48</v>
      </c>
      <c r="AB264" t="s">
        <v>903</v>
      </c>
      <c r="AC264" t="s">
        <v>53</v>
      </c>
      <c r="AD264" s="13">
        <f>IF(P264&lt;=1,7,7+0.8*ROUNDUP(P264-1,0))</f>
        <v>14.2</v>
      </c>
      <c r="AE264" s="14">
        <v>0</v>
      </c>
      <c r="AF264" s="14">
        <v>0</v>
      </c>
      <c r="AG264" s="14">
        <v>0</v>
      </c>
      <c r="AH264" s="14">
        <v>0</v>
      </c>
      <c r="AI264" s="14">
        <f t="shared" si="8"/>
        <v>0.85199999999999998</v>
      </c>
      <c r="AJ264" s="14">
        <f t="shared" si="9"/>
        <v>15.052</v>
      </c>
      <c r="AK264" t="s">
        <v>48</v>
      </c>
      <c r="AN264" s="12"/>
    </row>
    <row r="265" spans="1:40" ht="15" customHeight="1" x14ac:dyDescent="0.35">
      <c r="A265">
        <v>690929</v>
      </c>
      <c r="B265" t="s">
        <v>37</v>
      </c>
      <c r="C265" t="s">
        <v>38</v>
      </c>
      <c r="D265" s="2" t="s">
        <v>39</v>
      </c>
      <c r="E265" s="9" t="s">
        <v>37</v>
      </c>
      <c r="F265" s="10"/>
      <c r="G265" t="s">
        <v>904</v>
      </c>
      <c r="I265" t="s">
        <v>42</v>
      </c>
      <c r="J265" t="s">
        <v>905</v>
      </c>
      <c r="K265" t="s">
        <v>44</v>
      </c>
      <c r="L265">
        <v>2</v>
      </c>
      <c r="M265" t="s">
        <v>45</v>
      </c>
      <c r="N265" t="s">
        <v>46</v>
      </c>
      <c r="O265" t="s">
        <v>47</v>
      </c>
      <c r="P265" s="5">
        <v>1</v>
      </c>
      <c r="Q265" s="11">
        <v>44861.378229166665</v>
      </c>
      <c r="R265" s="12">
        <v>44862</v>
      </c>
      <c r="T265" t="s">
        <v>48</v>
      </c>
      <c r="U265" t="s">
        <v>49</v>
      </c>
      <c r="V265" t="s">
        <v>193</v>
      </c>
      <c r="Y265" t="s">
        <v>906</v>
      </c>
      <c r="Z265">
        <v>53000</v>
      </c>
      <c r="AA265" t="s">
        <v>48</v>
      </c>
      <c r="AB265" t="s">
        <v>52</v>
      </c>
      <c r="AC265" t="s">
        <v>53</v>
      </c>
      <c r="AD265" s="13">
        <f>IF(P265&lt;=1,7,7+0.8*ROUNDUP(P265-1,0))</f>
        <v>7</v>
      </c>
      <c r="AE265" s="14">
        <v>0</v>
      </c>
      <c r="AF265" s="14">
        <v>0</v>
      </c>
      <c r="AG265" s="14">
        <v>0</v>
      </c>
      <c r="AH265" s="14">
        <v>0</v>
      </c>
      <c r="AI265" s="14">
        <f t="shared" si="8"/>
        <v>0.42</v>
      </c>
      <c r="AJ265" s="14">
        <f t="shared" si="9"/>
        <v>7.42</v>
      </c>
      <c r="AK265" t="s">
        <v>48</v>
      </c>
      <c r="AN265" s="12"/>
    </row>
    <row r="266" spans="1:40" ht="15" customHeight="1" x14ac:dyDescent="0.35">
      <c r="A266">
        <v>690929</v>
      </c>
      <c r="B266" t="s">
        <v>37</v>
      </c>
      <c r="C266" t="s">
        <v>38</v>
      </c>
      <c r="D266" s="2" t="s">
        <v>39</v>
      </c>
      <c r="E266" s="9" t="s">
        <v>37</v>
      </c>
      <c r="F266" s="10"/>
      <c r="G266" t="s">
        <v>907</v>
      </c>
      <c r="I266" t="s">
        <v>42</v>
      </c>
      <c r="J266" t="s">
        <v>908</v>
      </c>
      <c r="K266" t="s">
        <v>44</v>
      </c>
      <c r="L266">
        <v>2</v>
      </c>
      <c r="M266" t="s">
        <v>45</v>
      </c>
      <c r="N266" t="s">
        <v>46</v>
      </c>
      <c r="O266" t="s">
        <v>47</v>
      </c>
      <c r="P266" s="5">
        <v>1</v>
      </c>
      <c r="Q266" s="11">
        <v>44861.738298611112</v>
      </c>
      <c r="R266" s="12">
        <v>44863</v>
      </c>
      <c r="T266" t="s">
        <v>48</v>
      </c>
      <c r="U266" t="s">
        <v>104</v>
      </c>
      <c r="V266" t="s">
        <v>122</v>
      </c>
      <c r="Y266" t="s">
        <v>909</v>
      </c>
      <c r="Z266">
        <v>16800</v>
      </c>
      <c r="AA266" t="s">
        <v>48</v>
      </c>
      <c r="AB266" t="s">
        <v>104</v>
      </c>
      <c r="AC266" t="s">
        <v>53</v>
      </c>
      <c r="AD266" s="13">
        <f>IF(P266&lt;=1,7,7+0.8*ROUNDUP(P266-1,0))</f>
        <v>7</v>
      </c>
      <c r="AE266" s="14">
        <v>0</v>
      </c>
      <c r="AF266" s="14">
        <v>0</v>
      </c>
      <c r="AG266" s="14">
        <v>0</v>
      </c>
      <c r="AH266" s="14">
        <v>0</v>
      </c>
      <c r="AI266" s="14">
        <f t="shared" si="8"/>
        <v>0.42</v>
      </c>
      <c r="AJ266" s="14">
        <f t="shared" si="9"/>
        <v>7.42</v>
      </c>
      <c r="AK266" t="s">
        <v>48</v>
      </c>
      <c r="AN266" s="12"/>
    </row>
    <row r="267" spans="1:40" ht="15" customHeight="1" x14ac:dyDescent="0.35">
      <c r="A267">
        <v>690929</v>
      </c>
      <c r="B267" t="s">
        <v>37</v>
      </c>
      <c r="C267" t="s">
        <v>38</v>
      </c>
      <c r="D267" s="2" t="s">
        <v>39</v>
      </c>
      <c r="E267" s="9" t="s">
        <v>37</v>
      </c>
      <c r="F267" s="10"/>
      <c r="G267" t="s">
        <v>910</v>
      </c>
      <c r="I267" t="s">
        <v>42</v>
      </c>
      <c r="J267" t="s">
        <v>911</v>
      </c>
      <c r="K267" t="s">
        <v>44</v>
      </c>
      <c r="L267">
        <v>2</v>
      </c>
      <c r="M267" t="s">
        <v>45</v>
      </c>
      <c r="N267" t="s">
        <v>46</v>
      </c>
      <c r="O267" t="s">
        <v>47</v>
      </c>
      <c r="P267" s="5">
        <v>2</v>
      </c>
      <c r="Q267" s="11">
        <v>44859.58425925926</v>
      </c>
      <c r="R267" s="12">
        <v>44863</v>
      </c>
      <c r="T267" t="s">
        <v>48</v>
      </c>
      <c r="U267" t="s">
        <v>49</v>
      </c>
      <c r="V267" t="s">
        <v>92</v>
      </c>
      <c r="Y267" t="s">
        <v>912</v>
      </c>
      <c r="Z267">
        <v>89808</v>
      </c>
      <c r="AA267" t="s">
        <v>94</v>
      </c>
      <c r="AB267" t="s">
        <v>299</v>
      </c>
      <c r="AC267" t="s">
        <v>53</v>
      </c>
      <c r="AD267" s="15">
        <f>IF(P267&lt;=1,13,IF(P267&lt;=2,23,IF(P267&lt;=3,35,IF(P267&lt;=4,43,IF(P267&lt;=5,53,IF(P267&lt;=6,63,IF(P267&lt;=7,71,IF(P267&lt;=8,79,IF(P267&lt;=9,87,IF(P267&lt;=10,95,IF(P267&lt;=11,105,IF(P267&lt;=12,114,IF(P267&lt;=13,119,IF(P267&lt;=14,127,IF(P267&lt;=15,135,IF(P267&lt;=16,143,IF(P267&lt;=17,153,IF(P267&lt;=18,163,IF(P267&lt;=19,171,IF(P267&lt;=20,185,IF(P267&lt;=21,193,IF(P267&lt;=22,201,IF(P267&lt;=23,210,IF(P267&lt;=24,220,IF(P267&lt;=25,230,IF(P267&lt;=26,240,IF(P267&lt;=27,250,IF(P267&lt;=28,260,IF(P267&lt;=29,270,IF(P267&lt;=30,280,280))))))))))))))))))))))))))))))</f>
        <v>23</v>
      </c>
      <c r="AE267" s="14">
        <v>0</v>
      </c>
      <c r="AF267" s="14">
        <v>0</v>
      </c>
      <c r="AG267" s="14">
        <v>0</v>
      </c>
      <c r="AH267" s="14">
        <v>0</v>
      </c>
      <c r="AI267" s="14">
        <f t="shared" si="8"/>
        <v>1.38</v>
      </c>
      <c r="AJ267" s="14">
        <f t="shared" si="9"/>
        <v>24.38</v>
      </c>
      <c r="AK267" t="s">
        <v>94</v>
      </c>
      <c r="AN267" s="12"/>
    </row>
    <row r="268" spans="1:40" ht="15" customHeight="1" x14ac:dyDescent="0.35">
      <c r="A268">
        <v>690929</v>
      </c>
      <c r="B268" t="s">
        <v>37</v>
      </c>
      <c r="C268" t="s">
        <v>38</v>
      </c>
      <c r="D268" s="2" t="s">
        <v>39</v>
      </c>
      <c r="E268" s="9" t="s">
        <v>37</v>
      </c>
      <c r="F268" s="10"/>
      <c r="G268" t="s">
        <v>913</v>
      </c>
      <c r="I268" t="s">
        <v>42</v>
      </c>
      <c r="J268" t="s">
        <v>914</v>
      </c>
      <c r="K268" t="s">
        <v>44</v>
      </c>
      <c r="L268">
        <v>2</v>
      </c>
      <c r="M268" t="s">
        <v>45</v>
      </c>
      <c r="N268" t="s">
        <v>46</v>
      </c>
      <c r="O268" t="s">
        <v>47</v>
      </c>
      <c r="P268" s="5">
        <v>1</v>
      </c>
      <c r="Q268" s="11">
        <v>44860.74496527778</v>
      </c>
      <c r="R268" s="12">
        <v>44863</v>
      </c>
      <c r="T268" t="s">
        <v>48</v>
      </c>
      <c r="U268" t="s">
        <v>49</v>
      </c>
      <c r="V268" t="s">
        <v>72</v>
      </c>
      <c r="Y268" t="s">
        <v>915</v>
      </c>
      <c r="Z268">
        <v>13200</v>
      </c>
      <c r="AA268" t="s">
        <v>48</v>
      </c>
      <c r="AB268" t="s">
        <v>916</v>
      </c>
      <c r="AC268" t="s">
        <v>53</v>
      </c>
      <c r="AD268" s="13">
        <f>IF(P268&lt;=1,7,7+0.8*ROUNDUP(P268-1,0))</f>
        <v>7</v>
      </c>
      <c r="AE268" s="14">
        <v>0</v>
      </c>
      <c r="AF268" s="14">
        <v>0</v>
      </c>
      <c r="AG268" s="14">
        <v>0</v>
      </c>
      <c r="AH268" s="14">
        <v>0</v>
      </c>
      <c r="AI268" s="14">
        <f t="shared" si="8"/>
        <v>0.42</v>
      </c>
      <c r="AJ268" s="14">
        <f t="shared" si="9"/>
        <v>7.42</v>
      </c>
      <c r="AK268" t="s">
        <v>48</v>
      </c>
      <c r="AN268" s="12"/>
    </row>
    <row r="269" spans="1:40" ht="15" customHeight="1" x14ac:dyDescent="0.35">
      <c r="A269">
        <v>690929</v>
      </c>
      <c r="B269" t="s">
        <v>37</v>
      </c>
      <c r="C269" t="s">
        <v>38</v>
      </c>
      <c r="D269" s="2" t="s">
        <v>39</v>
      </c>
      <c r="E269" s="9" t="s">
        <v>37</v>
      </c>
      <c r="F269" s="10"/>
      <c r="G269" t="s">
        <v>917</v>
      </c>
      <c r="I269" t="s">
        <v>42</v>
      </c>
      <c r="J269" t="s">
        <v>918</v>
      </c>
      <c r="K269" t="s">
        <v>44</v>
      </c>
      <c r="L269">
        <v>2</v>
      </c>
      <c r="M269" t="s">
        <v>45</v>
      </c>
      <c r="N269" t="s">
        <v>46</v>
      </c>
      <c r="O269" t="s">
        <v>47</v>
      </c>
      <c r="P269" s="5">
        <v>1</v>
      </c>
      <c r="Q269" s="11">
        <v>44861.734791666669</v>
      </c>
      <c r="R269" s="12">
        <v>44863</v>
      </c>
      <c r="T269" t="s">
        <v>48</v>
      </c>
      <c r="U269" t="s">
        <v>104</v>
      </c>
      <c r="V269" t="s">
        <v>72</v>
      </c>
      <c r="Y269" t="s">
        <v>919</v>
      </c>
      <c r="Z269">
        <v>13500</v>
      </c>
      <c r="AA269" t="s">
        <v>48</v>
      </c>
      <c r="AB269" t="s">
        <v>104</v>
      </c>
      <c r="AC269" t="s">
        <v>53</v>
      </c>
      <c r="AD269" s="13">
        <f>IF(P269&lt;=1,7,7+0.8*ROUNDUP(P269-1,0))</f>
        <v>7</v>
      </c>
      <c r="AE269" s="14">
        <v>0</v>
      </c>
      <c r="AF269" s="14">
        <v>0</v>
      </c>
      <c r="AG269" s="14">
        <v>0</v>
      </c>
      <c r="AH269" s="14">
        <v>0</v>
      </c>
      <c r="AI269" s="14">
        <f t="shared" si="8"/>
        <v>0.42</v>
      </c>
      <c r="AJ269" s="14">
        <f t="shared" si="9"/>
        <v>7.42</v>
      </c>
      <c r="AK269" t="s">
        <v>48</v>
      </c>
      <c r="AN269" s="12"/>
    </row>
    <row r="270" spans="1:40" ht="15" customHeight="1" x14ac:dyDescent="0.35">
      <c r="A270">
        <v>690929</v>
      </c>
      <c r="B270" t="s">
        <v>37</v>
      </c>
      <c r="C270" t="s">
        <v>38</v>
      </c>
      <c r="D270" s="2" t="s">
        <v>39</v>
      </c>
      <c r="E270" s="9" t="s">
        <v>37</v>
      </c>
      <c r="F270" s="10"/>
      <c r="G270" t="s">
        <v>920</v>
      </c>
      <c r="I270" t="s">
        <v>42</v>
      </c>
      <c r="J270" t="s">
        <v>921</v>
      </c>
      <c r="K270" t="s">
        <v>44</v>
      </c>
      <c r="L270">
        <v>2</v>
      </c>
      <c r="M270" t="s">
        <v>45</v>
      </c>
      <c r="N270" t="s">
        <v>46</v>
      </c>
      <c r="O270" t="s">
        <v>47</v>
      </c>
      <c r="P270" s="5">
        <v>1</v>
      </c>
      <c r="Q270" s="11">
        <v>44863.444432870368</v>
      </c>
      <c r="R270" s="12">
        <v>44864</v>
      </c>
      <c r="T270" t="s">
        <v>48</v>
      </c>
      <c r="U270" t="s">
        <v>49</v>
      </c>
      <c r="V270" t="s">
        <v>61</v>
      </c>
      <c r="Y270" t="s">
        <v>922</v>
      </c>
      <c r="Z270">
        <v>42000</v>
      </c>
      <c r="AA270" t="s">
        <v>48</v>
      </c>
      <c r="AB270" t="s">
        <v>52</v>
      </c>
      <c r="AC270" t="s">
        <v>53</v>
      </c>
      <c r="AD270" s="13">
        <f>IF(P270&lt;=1,7,7+0.8*ROUNDUP(P270-1,0))</f>
        <v>7</v>
      </c>
      <c r="AE270" s="14">
        <v>0</v>
      </c>
      <c r="AF270" s="14">
        <v>0</v>
      </c>
      <c r="AG270" s="14">
        <v>0</v>
      </c>
      <c r="AH270" s="14">
        <v>0</v>
      </c>
      <c r="AI270" s="14">
        <f t="shared" si="8"/>
        <v>0.42</v>
      </c>
      <c r="AJ270" s="14">
        <f t="shared" si="9"/>
        <v>7.42</v>
      </c>
      <c r="AK270" t="s">
        <v>48</v>
      </c>
      <c r="AN270" s="12"/>
    </row>
    <row r="271" spans="1:40" ht="15" customHeight="1" x14ac:dyDescent="0.35">
      <c r="A271">
        <v>690929</v>
      </c>
      <c r="B271" t="s">
        <v>37</v>
      </c>
      <c r="C271" t="s">
        <v>38</v>
      </c>
      <c r="D271" s="2" t="s">
        <v>39</v>
      </c>
      <c r="E271" s="9" t="s">
        <v>37</v>
      </c>
      <c r="F271" s="10"/>
      <c r="G271" t="s">
        <v>923</v>
      </c>
      <c r="I271" t="s">
        <v>42</v>
      </c>
      <c r="J271" t="s">
        <v>924</v>
      </c>
      <c r="K271" t="s">
        <v>44</v>
      </c>
      <c r="L271">
        <v>2</v>
      </c>
      <c r="M271" t="s">
        <v>45</v>
      </c>
      <c r="N271" t="s">
        <v>46</v>
      </c>
      <c r="O271" t="s">
        <v>47</v>
      </c>
      <c r="P271" s="5">
        <v>4</v>
      </c>
      <c r="Q271" s="11">
        <v>44862.654942129629</v>
      </c>
      <c r="R271" s="12">
        <v>44864</v>
      </c>
      <c r="T271" t="s">
        <v>48</v>
      </c>
      <c r="U271" t="s">
        <v>49</v>
      </c>
      <c r="V271" t="s">
        <v>61</v>
      </c>
      <c r="Y271" t="s">
        <v>925</v>
      </c>
      <c r="Z271">
        <v>45200</v>
      </c>
      <c r="AA271" t="s">
        <v>48</v>
      </c>
      <c r="AB271" t="s">
        <v>52</v>
      </c>
      <c r="AC271" t="s">
        <v>53</v>
      </c>
      <c r="AD271" s="13">
        <f>IF(P271&lt;=1,7,7+0.8*ROUNDUP(P271-1,0))</f>
        <v>9.4</v>
      </c>
      <c r="AE271" s="14">
        <v>0</v>
      </c>
      <c r="AF271" s="14">
        <v>0</v>
      </c>
      <c r="AG271" s="14">
        <v>0</v>
      </c>
      <c r="AH271" s="14">
        <v>0</v>
      </c>
      <c r="AI271" s="14">
        <f t="shared" si="8"/>
        <v>0.56399999999999995</v>
      </c>
      <c r="AJ271" s="14">
        <f t="shared" si="9"/>
        <v>9.9640000000000004</v>
      </c>
      <c r="AK271" t="s">
        <v>48</v>
      </c>
      <c r="AN271" s="12"/>
    </row>
    <row r="272" spans="1:40" ht="15" customHeight="1" x14ac:dyDescent="0.35">
      <c r="A272">
        <v>690929</v>
      </c>
      <c r="B272" t="s">
        <v>37</v>
      </c>
      <c r="C272" t="s">
        <v>38</v>
      </c>
      <c r="D272" s="2" t="s">
        <v>39</v>
      </c>
      <c r="E272" s="9" t="s">
        <v>37</v>
      </c>
      <c r="F272" s="10"/>
      <c r="G272" t="s">
        <v>926</v>
      </c>
      <c r="I272" t="s">
        <v>42</v>
      </c>
      <c r="J272" t="s">
        <v>927</v>
      </c>
      <c r="K272" t="s">
        <v>44</v>
      </c>
      <c r="L272">
        <v>2</v>
      </c>
      <c r="M272" t="s">
        <v>45</v>
      </c>
      <c r="N272" t="s">
        <v>46</v>
      </c>
      <c r="O272" t="s">
        <v>47</v>
      </c>
      <c r="P272" s="5">
        <v>2</v>
      </c>
      <c r="Q272" s="11">
        <v>44862.672500000001</v>
      </c>
      <c r="R272" s="12">
        <v>44864</v>
      </c>
      <c r="T272" t="s">
        <v>48</v>
      </c>
      <c r="U272" t="s">
        <v>49</v>
      </c>
      <c r="V272" t="s">
        <v>122</v>
      </c>
      <c r="Y272" t="s">
        <v>928</v>
      </c>
      <c r="Z272">
        <v>16800</v>
      </c>
      <c r="AA272" t="s">
        <v>48</v>
      </c>
      <c r="AB272" t="s">
        <v>929</v>
      </c>
      <c r="AC272" t="s">
        <v>53</v>
      </c>
      <c r="AD272" s="13">
        <f>IF(P272&lt;=1,7,7+0.8*ROUNDUP(P272-1,0))</f>
        <v>7.8</v>
      </c>
      <c r="AE272" s="14">
        <v>0</v>
      </c>
      <c r="AF272" s="14">
        <v>0</v>
      </c>
      <c r="AG272" s="14">
        <v>0</v>
      </c>
      <c r="AH272" s="14">
        <v>0</v>
      </c>
      <c r="AI272" s="14">
        <f t="shared" si="8"/>
        <v>0.46799999999999997</v>
      </c>
      <c r="AJ272" s="14">
        <f t="shared" si="9"/>
        <v>8.2680000000000007</v>
      </c>
      <c r="AK272" t="s">
        <v>48</v>
      </c>
      <c r="AN272" s="12"/>
    </row>
    <row r="273" spans="1:40" ht="15" customHeight="1" x14ac:dyDescent="0.35">
      <c r="A273">
        <v>690929</v>
      </c>
      <c r="B273" t="s">
        <v>37</v>
      </c>
      <c r="C273" t="s">
        <v>38</v>
      </c>
      <c r="D273" s="2" t="s">
        <v>39</v>
      </c>
      <c r="E273" s="9" t="s">
        <v>37</v>
      </c>
      <c r="F273" s="10"/>
      <c r="G273" t="s">
        <v>930</v>
      </c>
      <c r="I273" t="s">
        <v>42</v>
      </c>
      <c r="J273" t="s">
        <v>931</v>
      </c>
      <c r="K273" t="s">
        <v>44</v>
      </c>
      <c r="L273">
        <v>2</v>
      </c>
      <c r="M273" t="s">
        <v>45</v>
      </c>
      <c r="N273" t="s">
        <v>46</v>
      </c>
      <c r="O273" t="s">
        <v>47</v>
      </c>
      <c r="P273" s="5">
        <v>1</v>
      </c>
      <c r="Q273" s="11">
        <v>44862.744074074071</v>
      </c>
      <c r="R273" s="12">
        <v>44864</v>
      </c>
      <c r="T273" t="s">
        <v>48</v>
      </c>
      <c r="U273" t="s">
        <v>49</v>
      </c>
      <c r="V273" t="s">
        <v>193</v>
      </c>
      <c r="Y273" t="s">
        <v>932</v>
      </c>
      <c r="Z273">
        <v>56000</v>
      </c>
      <c r="AA273" t="s">
        <v>48</v>
      </c>
      <c r="AB273" t="s">
        <v>933</v>
      </c>
      <c r="AC273" t="s">
        <v>53</v>
      </c>
      <c r="AD273" s="13">
        <f>IF(P273&lt;=1,7,7+0.8*ROUNDUP(P273-1,0))</f>
        <v>7</v>
      </c>
      <c r="AE273" s="14">
        <v>0</v>
      </c>
      <c r="AF273" s="14">
        <v>0</v>
      </c>
      <c r="AG273" s="14">
        <v>0</v>
      </c>
      <c r="AH273" s="14">
        <v>0</v>
      </c>
      <c r="AI273" s="14">
        <f t="shared" si="8"/>
        <v>0.42</v>
      </c>
      <c r="AJ273" s="14">
        <f t="shared" si="9"/>
        <v>7.42</v>
      </c>
      <c r="AK273" t="s">
        <v>48</v>
      </c>
      <c r="AN273" s="12"/>
    </row>
    <row r="274" spans="1:40" ht="15" customHeight="1" x14ac:dyDescent="0.35">
      <c r="A274">
        <v>690929</v>
      </c>
      <c r="B274" t="s">
        <v>37</v>
      </c>
      <c r="C274" t="s">
        <v>38</v>
      </c>
      <c r="D274" s="2" t="s">
        <v>39</v>
      </c>
      <c r="E274" s="9" t="s">
        <v>37</v>
      </c>
      <c r="F274" s="10"/>
      <c r="G274" t="s">
        <v>934</v>
      </c>
      <c r="I274" t="s">
        <v>42</v>
      </c>
      <c r="J274" t="s">
        <v>935</v>
      </c>
      <c r="K274" t="s">
        <v>44</v>
      </c>
      <c r="L274">
        <v>2</v>
      </c>
      <c r="M274" t="s">
        <v>45</v>
      </c>
      <c r="N274" t="s">
        <v>46</v>
      </c>
      <c r="O274" t="s">
        <v>47</v>
      </c>
      <c r="P274" s="5">
        <v>1</v>
      </c>
      <c r="Q274" s="11">
        <v>44863.732210648152</v>
      </c>
      <c r="R274" s="12">
        <v>44865</v>
      </c>
      <c r="T274" t="s">
        <v>48</v>
      </c>
      <c r="U274" t="s">
        <v>49</v>
      </c>
      <c r="V274" t="s">
        <v>146</v>
      </c>
      <c r="Y274" t="s">
        <v>936</v>
      </c>
      <c r="Z274">
        <v>70300</v>
      </c>
      <c r="AA274" t="s">
        <v>48</v>
      </c>
      <c r="AB274" t="s">
        <v>52</v>
      </c>
      <c r="AC274" t="s">
        <v>53</v>
      </c>
      <c r="AD274" s="13">
        <f>IF(P274&lt;=1,7,7+0.8*ROUNDUP(P274-1,0))</f>
        <v>7</v>
      </c>
      <c r="AE274" s="14">
        <v>0</v>
      </c>
      <c r="AF274" s="14">
        <v>0</v>
      </c>
      <c r="AG274" s="14">
        <v>0</v>
      </c>
      <c r="AH274" s="14">
        <v>0</v>
      </c>
      <c r="AI274" s="14">
        <f t="shared" si="8"/>
        <v>0.42</v>
      </c>
      <c r="AJ274" s="14">
        <f t="shared" si="9"/>
        <v>7.42</v>
      </c>
      <c r="AK274" t="s">
        <v>48</v>
      </c>
      <c r="AN274" s="12"/>
    </row>
    <row r="275" spans="1:40" ht="15" customHeight="1" x14ac:dyDescent="0.35">
      <c r="A275">
        <v>690929</v>
      </c>
      <c r="B275" t="s">
        <v>37</v>
      </c>
      <c r="C275" t="s">
        <v>38</v>
      </c>
      <c r="D275" s="2" t="s">
        <v>39</v>
      </c>
      <c r="E275" s="9" t="s">
        <v>37</v>
      </c>
      <c r="F275" s="10"/>
      <c r="G275" t="s">
        <v>937</v>
      </c>
      <c r="I275" t="s">
        <v>42</v>
      </c>
      <c r="J275" t="s">
        <v>938</v>
      </c>
      <c r="K275" t="s">
        <v>44</v>
      </c>
      <c r="L275">
        <v>2</v>
      </c>
      <c r="M275" t="s">
        <v>45</v>
      </c>
      <c r="N275" t="s">
        <v>46</v>
      </c>
      <c r="O275" t="s">
        <v>47</v>
      </c>
      <c r="P275" s="5">
        <v>1</v>
      </c>
      <c r="Q275" s="11">
        <v>44864.586898148147</v>
      </c>
      <c r="R275" s="12">
        <v>44865</v>
      </c>
      <c r="T275" t="s">
        <v>48</v>
      </c>
      <c r="U275" t="s">
        <v>49</v>
      </c>
      <c r="V275" t="s">
        <v>146</v>
      </c>
      <c r="Y275" t="s">
        <v>939</v>
      </c>
      <c r="Z275">
        <v>72120</v>
      </c>
      <c r="AA275" t="s">
        <v>48</v>
      </c>
      <c r="AB275" t="s">
        <v>52</v>
      </c>
      <c r="AC275" t="s">
        <v>53</v>
      </c>
      <c r="AD275" s="13">
        <f>IF(P275&lt;=1,7,7+0.8*ROUNDUP(P275-1,0))</f>
        <v>7</v>
      </c>
      <c r="AE275" s="14">
        <v>0</v>
      </c>
      <c r="AF275" s="14">
        <v>0</v>
      </c>
      <c r="AG275" s="14">
        <v>0</v>
      </c>
      <c r="AH275" s="14">
        <v>0</v>
      </c>
      <c r="AI275" s="14">
        <f t="shared" si="8"/>
        <v>0.42</v>
      </c>
      <c r="AJ275" s="14">
        <f t="shared" si="9"/>
        <v>7.42</v>
      </c>
      <c r="AK275" t="s">
        <v>48</v>
      </c>
      <c r="AN275" s="12"/>
    </row>
    <row r="276" spans="1:40" ht="15" customHeight="1" x14ac:dyDescent="0.35">
      <c r="A276">
        <v>690929</v>
      </c>
      <c r="B276" t="s">
        <v>37</v>
      </c>
      <c r="C276" t="s">
        <v>38</v>
      </c>
      <c r="D276" s="2" t="s">
        <v>39</v>
      </c>
      <c r="E276" s="9" t="s">
        <v>37</v>
      </c>
      <c r="F276" s="10"/>
      <c r="G276" t="s">
        <v>940</v>
      </c>
      <c r="I276" t="s">
        <v>42</v>
      </c>
      <c r="J276" t="s">
        <v>941</v>
      </c>
      <c r="K276" t="s">
        <v>44</v>
      </c>
      <c r="L276">
        <v>2</v>
      </c>
      <c r="M276" t="s">
        <v>45</v>
      </c>
      <c r="N276" t="s">
        <v>46</v>
      </c>
      <c r="O276" t="s">
        <v>47</v>
      </c>
      <c r="P276" s="5">
        <v>1</v>
      </c>
      <c r="Q276" s="11">
        <v>44864.587824074071</v>
      </c>
      <c r="R276" s="12">
        <v>44865</v>
      </c>
      <c r="T276" t="s">
        <v>48</v>
      </c>
      <c r="U276" t="s">
        <v>49</v>
      </c>
      <c r="V276" t="s">
        <v>61</v>
      </c>
      <c r="Y276" t="s">
        <v>942</v>
      </c>
      <c r="Z276">
        <v>47810</v>
      </c>
      <c r="AA276" t="s">
        <v>48</v>
      </c>
      <c r="AB276" t="s">
        <v>52</v>
      </c>
      <c r="AC276" t="s">
        <v>53</v>
      </c>
      <c r="AD276" s="13">
        <f>IF(P276&lt;=1,7,7+0.8*ROUNDUP(P276-1,0))</f>
        <v>7</v>
      </c>
      <c r="AE276" s="14">
        <v>0</v>
      </c>
      <c r="AF276" s="14">
        <v>0</v>
      </c>
      <c r="AG276" s="14">
        <v>0</v>
      </c>
      <c r="AH276" s="14">
        <v>0</v>
      </c>
      <c r="AI276" s="14">
        <f t="shared" si="8"/>
        <v>0.42</v>
      </c>
      <c r="AJ276" s="14">
        <f t="shared" si="9"/>
        <v>7.42</v>
      </c>
      <c r="AK276" t="s">
        <v>48</v>
      </c>
      <c r="AN276" s="12"/>
    </row>
    <row r="277" spans="1:40" ht="15" customHeight="1" x14ac:dyDescent="0.35">
      <c r="A277">
        <v>690929</v>
      </c>
      <c r="B277" t="s">
        <v>37</v>
      </c>
      <c r="C277" t="s">
        <v>38</v>
      </c>
      <c r="D277" s="2" t="s">
        <v>39</v>
      </c>
      <c r="E277" s="9" t="s">
        <v>37</v>
      </c>
      <c r="F277" s="10"/>
      <c r="G277" t="s">
        <v>943</v>
      </c>
      <c r="I277" t="s">
        <v>42</v>
      </c>
      <c r="J277" t="s">
        <v>944</v>
      </c>
      <c r="K277" t="s">
        <v>44</v>
      </c>
      <c r="L277">
        <v>2</v>
      </c>
      <c r="M277" t="s">
        <v>45</v>
      </c>
      <c r="N277" t="s">
        <v>46</v>
      </c>
      <c r="O277" t="s">
        <v>47</v>
      </c>
      <c r="P277" s="5">
        <v>1</v>
      </c>
      <c r="Q277" s="11">
        <v>44864.584224537037</v>
      </c>
      <c r="R277" s="12">
        <v>44865</v>
      </c>
      <c r="T277" t="s">
        <v>48</v>
      </c>
      <c r="U277" t="s">
        <v>49</v>
      </c>
      <c r="V277" t="s">
        <v>133</v>
      </c>
      <c r="Y277" t="s">
        <v>945</v>
      </c>
      <c r="Z277">
        <v>28750</v>
      </c>
      <c r="AA277" t="s">
        <v>48</v>
      </c>
      <c r="AB277" t="s">
        <v>49</v>
      </c>
      <c r="AC277" t="s">
        <v>53</v>
      </c>
      <c r="AD277" s="13">
        <f>IF(P277&lt;=1,7,7+0.8*ROUNDUP(P277-1,0))</f>
        <v>7</v>
      </c>
      <c r="AE277" s="14">
        <v>0</v>
      </c>
      <c r="AF277" s="14">
        <v>0</v>
      </c>
      <c r="AG277" s="14">
        <v>0</v>
      </c>
      <c r="AH277" s="14">
        <v>0</v>
      </c>
      <c r="AI277" s="14">
        <f t="shared" si="8"/>
        <v>0.42</v>
      </c>
      <c r="AJ277" s="14">
        <f t="shared" si="9"/>
        <v>7.42</v>
      </c>
      <c r="AK277" t="s">
        <v>48</v>
      </c>
      <c r="AN277" s="12"/>
    </row>
    <row r="278" spans="1:40" ht="15" customHeight="1" x14ac:dyDescent="0.35">
      <c r="A278">
        <v>690929</v>
      </c>
      <c r="B278" t="s">
        <v>37</v>
      </c>
      <c r="C278" t="s">
        <v>38</v>
      </c>
      <c r="D278" s="2" t="s">
        <v>39</v>
      </c>
      <c r="E278" s="9" t="s">
        <v>37</v>
      </c>
      <c r="F278" s="10"/>
      <c r="G278" t="s">
        <v>946</v>
      </c>
      <c r="I278" t="s">
        <v>42</v>
      </c>
      <c r="J278" t="s">
        <v>947</v>
      </c>
      <c r="K278" t="s">
        <v>44</v>
      </c>
      <c r="L278">
        <v>2</v>
      </c>
      <c r="M278" t="s">
        <v>45</v>
      </c>
      <c r="N278" t="s">
        <v>46</v>
      </c>
      <c r="O278" t="s">
        <v>47</v>
      </c>
      <c r="P278" s="5">
        <v>1</v>
      </c>
      <c r="Q278" s="11">
        <v>44863.469710648147</v>
      </c>
      <c r="R278" s="12">
        <v>44865</v>
      </c>
      <c r="T278" t="s">
        <v>48</v>
      </c>
      <c r="U278" t="s">
        <v>49</v>
      </c>
      <c r="V278" t="s">
        <v>61</v>
      </c>
      <c r="Y278" t="s">
        <v>948</v>
      </c>
      <c r="Z278">
        <v>55100</v>
      </c>
      <c r="AA278" t="s">
        <v>48</v>
      </c>
      <c r="AB278" t="s">
        <v>52</v>
      </c>
      <c r="AC278" t="s">
        <v>53</v>
      </c>
      <c r="AD278" s="13">
        <f>IF(P278&lt;=1,7,7+0.8*ROUNDUP(P278-1,0))</f>
        <v>7</v>
      </c>
      <c r="AE278" s="14">
        <v>0</v>
      </c>
      <c r="AF278" s="14">
        <v>0</v>
      </c>
      <c r="AG278" s="14">
        <v>0</v>
      </c>
      <c r="AH278" s="14">
        <v>0</v>
      </c>
      <c r="AI278" s="14">
        <f t="shared" si="8"/>
        <v>0.42</v>
      </c>
      <c r="AJ278" s="14">
        <f t="shared" si="9"/>
        <v>7.42</v>
      </c>
      <c r="AK278" t="s">
        <v>48</v>
      </c>
      <c r="AN278" s="12"/>
    </row>
    <row r="279" spans="1:40" ht="15" customHeight="1" x14ac:dyDescent="0.35">
      <c r="A279">
        <v>690929</v>
      </c>
      <c r="B279" t="s">
        <v>37</v>
      </c>
      <c r="C279" t="s">
        <v>38</v>
      </c>
      <c r="D279" s="2" t="s">
        <v>39</v>
      </c>
      <c r="E279" s="9" t="s">
        <v>37</v>
      </c>
      <c r="F279" s="10"/>
      <c r="G279" t="s">
        <v>949</v>
      </c>
      <c r="I279" t="s">
        <v>42</v>
      </c>
      <c r="J279" t="s">
        <v>950</v>
      </c>
      <c r="K279" t="s">
        <v>44</v>
      </c>
      <c r="L279">
        <v>2</v>
      </c>
      <c r="M279" t="s">
        <v>45</v>
      </c>
      <c r="N279" t="s">
        <v>46</v>
      </c>
      <c r="O279" t="s">
        <v>47</v>
      </c>
      <c r="P279" s="5">
        <v>1</v>
      </c>
      <c r="Q279" s="11">
        <v>44862.742210648146</v>
      </c>
      <c r="R279" s="12">
        <v>44865</v>
      </c>
      <c r="T279" t="s">
        <v>48</v>
      </c>
      <c r="U279" t="s">
        <v>49</v>
      </c>
      <c r="V279" t="s">
        <v>61</v>
      </c>
      <c r="Y279" t="s">
        <v>951</v>
      </c>
      <c r="Z279">
        <v>42100</v>
      </c>
      <c r="AA279" t="s">
        <v>48</v>
      </c>
      <c r="AB279" t="s">
        <v>667</v>
      </c>
      <c r="AC279" t="s">
        <v>53</v>
      </c>
      <c r="AD279" s="13">
        <f>IF(P279&lt;=1,7,7+0.8*ROUNDUP(P279-1,0))</f>
        <v>7</v>
      </c>
      <c r="AE279" s="14">
        <v>0</v>
      </c>
      <c r="AF279" s="14">
        <v>0</v>
      </c>
      <c r="AG279" s="14">
        <v>0</v>
      </c>
      <c r="AH279" s="14">
        <v>0</v>
      </c>
      <c r="AI279" s="14">
        <f t="shared" si="8"/>
        <v>0.42</v>
      </c>
      <c r="AJ279" s="14">
        <f t="shared" si="9"/>
        <v>7.42</v>
      </c>
      <c r="AK279" t="s">
        <v>48</v>
      </c>
      <c r="AN279" s="12"/>
    </row>
    <row r="280" spans="1:40" ht="15" customHeight="1" x14ac:dyDescent="0.35">
      <c r="A280">
        <v>690929</v>
      </c>
      <c r="B280" t="s">
        <v>37</v>
      </c>
      <c r="C280" t="s">
        <v>38</v>
      </c>
      <c r="D280" s="2" t="s">
        <v>39</v>
      </c>
      <c r="E280" s="9" t="s">
        <v>37</v>
      </c>
      <c r="F280" s="10"/>
      <c r="G280" t="s">
        <v>952</v>
      </c>
      <c r="I280" t="s">
        <v>42</v>
      </c>
      <c r="J280" t="s">
        <v>953</v>
      </c>
      <c r="K280" t="s">
        <v>44</v>
      </c>
      <c r="L280">
        <v>2</v>
      </c>
      <c r="M280" t="s">
        <v>45</v>
      </c>
      <c r="N280" t="s">
        <v>46</v>
      </c>
      <c r="O280" t="s">
        <v>47</v>
      </c>
      <c r="P280" s="5">
        <v>1</v>
      </c>
      <c r="Q280" s="11">
        <v>44861.579097222224</v>
      </c>
      <c r="R280" s="12">
        <v>44865</v>
      </c>
      <c r="T280" t="s">
        <v>48</v>
      </c>
      <c r="U280" t="s">
        <v>49</v>
      </c>
      <c r="V280" t="s">
        <v>188</v>
      </c>
      <c r="Y280" t="s">
        <v>954</v>
      </c>
      <c r="Z280">
        <v>93250</v>
      </c>
      <c r="AA280" t="s">
        <v>94</v>
      </c>
      <c r="AB280" t="s">
        <v>190</v>
      </c>
      <c r="AC280" t="s">
        <v>53</v>
      </c>
      <c r="AD280" s="15">
        <f>IF(P280&lt;=1,13,IF(P280&lt;=2,23,IF(P280&lt;=3,35,IF(P280&lt;=4,43,IF(P280&lt;=5,53,IF(P280&lt;=6,63,IF(P280&lt;=7,71,IF(P280&lt;=8,79,IF(P280&lt;=9,87,IF(P280&lt;=10,95,IF(P280&lt;=11,105,IF(P280&lt;=12,114,IF(P280&lt;=13,119,IF(P280&lt;=14,127,IF(P280&lt;=15,135,IF(P280&lt;=16,143,IF(P280&lt;=17,153,IF(P280&lt;=18,163,IF(P280&lt;=19,171,IF(P280&lt;=20,185,IF(P280&lt;=21,193,IF(P280&lt;=22,201,IF(P280&lt;=23,210,IF(P280&lt;=24,220,IF(P280&lt;=25,230,IF(P280&lt;=26,240,IF(P280&lt;=27,250,IF(P280&lt;=28,260,IF(P280&lt;=29,270,IF(P280&lt;=30,280,280))))))))))))))))))))))))))))))</f>
        <v>13</v>
      </c>
      <c r="AE280" s="14">
        <v>0</v>
      </c>
      <c r="AF280" s="14">
        <v>0</v>
      </c>
      <c r="AG280" s="14">
        <v>0</v>
      </c>
      <c r="AH280" s="14">
        <v>0</v>
      </c>
      <c r="AI280" s="14">
        <f t="shared" si="8"/>
        <v>0.78</v>
      </c>
      <c r="AJ280" s="14">
        <f t="shared" si="9"/>
        <v>13.78</v>
      </c>
      <c r="AK280" t="s">
        <v>94</v>
      </c>
      <c r="AN280" s="12"/>
    </row>
    <row r="281" spans="1:40" ht="15" customHeight="1" x14ac:dyDescent="0.35">
      <c r="A281">
        <v>690929</v>
      </c>
      <c r="B281" t="s">
        <v>37</v>
      </c>
      <c r="C281" t="s">
        <v>38</v>
      </c>
      <c r="D281" s="2" t="s">
        <v>39</v>
      </c>
      <c r="E281" s="9" t="s">
        <v>37</v>
      </c>
      <c r="F281" s="10"/>
      <c r="G281" t="s">
        <v>955</v>
      </c>
      <c r="I281" t="s">
        <v>42</v>
      </c>
      <c r="J281" t="s">
        <v>956</v>
      </c>
      <c r="K281" t="s">
        <v>44</v>
      </c>
      <c r="L281">
        <v>2</v>
      </c>
      <c r="M281" t="s">
        <v>45</v>
      </c>
      <c r="N281" t="s">
        <v>46</v>
      </c>
      <c r="O281" t="s">
        <v>47</v>
      </c>
      <c r="P281" s="5">
        <v>1</v>
      </c>
      <c r="Q281" s="11">
        <v>44864.573194444441</v>
      </c>
      <c r="R281" s="12">
        <v>44865</v>
      </c>
      <c r="T281" t="s">
        <v>48</v>
      </c>
      <c r="U281" t="s">
        <v>49</v>
      </c>
      <c r="V281" t="s">
        <v>61</v>
      </c>
      <c r="Y281" t="s">
        <v>957</v>
      </c>
      <c r="Z281">
        <v>43200</v>
      </c>
      <c r="AA281" t="s">
        <v>48</v>
      </c>
      <c r="AB281" t="s">
        <v>52</v>
      </c>
      <c r="AC281" t="s">
        <v>53</v>
      </c>
      <c r="AD281" s="13">
        <f>IF(P281&lt;=1,7,7+0.8*ROUNDUP(P281-1,0))</f>
        <v>7</v>
      </c>
      <c r="AE281" s="14">
        <v>0</v>
      </c>
      <c r="AF281" s="14">
        <v>0</v>
      </c>
      <c r="AG281" s="14">
        <v>0</v>
      </c>
      <c r="AH281" s="14">
        <v>0</v>
      </c>
      <c r="AI281" s="14">
        <f t="shared" si="8"/>
        <v>0.42</v>
      </c>
      <c r="AJ281" s="14">
        <f t="shared" si="9"/>
        <v>7.42</v>
      </c>
      <c r="AK281" t="s">
        <v>48</v>
      </c>
      <c r="AN281" s="12"/>
    </row>
    <row r="283" spans="1:40" x14ac:dyDescent="0.35">
      <c r="AD283" s="16">
        <f>SUM(AD2:AD281)</f>
        <v>2776.4</v>
      </c>
      <c r="AE283" s="16">
        <f>SUM(AE2:AE281)</f>
        <v>0</v>
      </c>
      <c r="AF283" s="16">
        <f>SUM(AF2:AF281)</f>
        <v>0</v>
      </c>
      <c r="AG283" s="16">
        <f>SUM(AG2:AG281)</f>
        <v>0</v>
      </c>
      <c r="AH283" s="16">
        <f>SUM(AH2:AH281)</f>
        <v>0</v>
      </c>
      <c r="AI283" s="16">
        <f>SUM(AI2:AI281)</f>
        <v>166.58399999999966</v>
      </c>
      <c r="AJ283" s="16">
        <f>SUM(AJ2:AJ281)</f>
        <v>2942.9840000000095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NinjaVan</dc:creator>
  <cp:lastModifiedBy>NinjaVan</cp:lastModifiedBy>
  <dcterms:created xsi:type="dcterms:W3CDTF">2022-11-07T03:47:20Z</dcterms:created>
  <dcterms:modified xsi:type="dcterms:W3CDTF">2022-11-07T03:47:21Z</dcterms:modified>
</cp:coreProperties>
</file>