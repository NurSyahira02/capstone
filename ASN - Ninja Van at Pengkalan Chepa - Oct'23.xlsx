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Oct'23\Billing\ASN\Split\Walk-in\"/>
    </mc:Choice>
  </mc:AlternateContent>
  <xr:revisionPtr revIDLastSave="0" documentId="8_{625E0EFB-F3B6-4766-A318-21090FC9C544}" xr6:coauthVersionLast="47" xr6:coauthVersionMax="47" xr10:uidLastSave="{00000000-0000-0000-0000-000000000000}"/>
  <bookViews>
    <workbookView xWindow="-110" yWindow="490" windowWidth="19420" windowHeight="10420" xr2:uid="{4BF3EE19-A56A-4472-87D5-041B860B8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79" i="1" l="1"/>
  <c r="AF479" i="1"/>
  <c r="AE479" i="1"/>
  <c r="AD479" i="1"/>
  <c r="AC479" i="1"/>
  <c r="AB479" i="1"/>
  <c r="AA479" i="1"/>
  <c r="AA477" i="1"/>
  <c r="AA476" i="1"/>
  <c r="AF475" i="1"/>
  <c r="AG475" i="1" s="1"/>
  <c r="AA475" i="1"/>
  <c r="AA474" i="1"/>
  <c r="AF473" i="1"/>
  <c r="AA473" i="1"/>
  <c r="AG473" i="1" s="1"/>
  <c r="AG472" i="1"/>
  <c r="AA472" i="1"/>
  <c r="AF472" i="1" s="1"/>
  <c r="AA471" i="1"/>
  <c r="AA470" i="1"/>
  <c r="AF470" i="1" s="1"/>
  <c r="AF469" i="1"/>
  <c r="AA469" i="1"/>
  <c r="AG469" i="1" s="1"/>
  <c r="AA468" i="1"/>
  <c r="AF467" i="1"/>
  <c r="AG467" i="1" s="1"/>
  <c r="AA467" i="1"/>
  <c r="AG466" i="1"/>
  <c r="AF466" i="1"/>
  <c r="AA466" i="1"/>
  <c r="AF465" i="1"/>
  <c r="AA465" i="1"/>
  <c r="AG465" i="1" s="1"/>
  <c r="AA464" i="1"/>
  <c r="AF464" i="1" s="1"/>
  <c r="AG464" i="1" s="1"/>
  <c r="AA463" i="1"/>
  <c r="AA462" i="1"/>
  <c r="AF462" i="1" s="1"/>
  <c r="AA461" i="1"/>
  <c r="AA460" i="1"/>
  <c r="AF459" i="1"/>
  <c r="AG459" i="1" s="1"/>
  <c r="AA459" i="1"/>
  <c r="AF458" i="1"/>
  <c r="AG458" i="1" s="1"/>
  <c r="AA458" i="1"/>
  <c r="AF457" i="1"/>
  <c r="AA457" i="1"/>
  <c r="AG457" i="1" s="1"/>
  <c r="AG456" i="1"/>
  <c r="AA456" i="1"/>
  <c r="AF456" i="1" s="1"/>
  <c r="AA455" i="1"/>
  <c r="AA454" i="1"/>
  <c r="AF454" i="1" s="1"/>
  <c r="AA453" i="1"/>
  <c r="AA452" i="1"/>
  <c r="AF451" i="1"/>
  <c r="AG451" i="1" s="1"/>
  <c r="AA451" i="1"/>
  <c r="AF450" i="1"/>
  <c r="AG450" i="1" s="1"/>
  <c r="AA450" i="1"/>
  <c r="AF449" i="1"/>
  <c r="AA449" i="1"/>
  <c r="AG449" i="1" s="1"/>
  <c r="AA448" i="1"/>
  <c r="AF448" i="1" s="1"/>
  <c r="AG448" i="1" s="1"/>
  <c r="AA447" i="1"/>
  <c r="AG446" i="1"/>
  <c r="AA446" i="1"/>
  <c r="AF446" i="1" s="1"/>
  <c r="AA445" i="1"/>
  <c r="AA444" i="1"/>
  <c r="AF443" i="1"/>
  <c r="AG443" i="1" s="1"/>
  <c r="AA443" i="1"/>
  <c r="AF442" i="1"/>
  <c r="AG442" i="1" s="1"/>
  <c r="AA442" i="1"/>
  <c r="AF441" i="1"/>
  <c r="AA441" i="1"/>
  <c r="AA440" i="1"/>
  <c r="AF440" i="1" s="1"/>
  <c r="AG440" i="1" s="1"/>
  <c r="AA439" i="1"/>
  <c r="AA438" i="1"/>
  <c r="AF438" i="1" s="1"/>
  <c r="AA437" i="1"/>
  <c r="AA436" i="1"/>
  <c r="AF435" i="1"/>
  <c r="AG435" i="1" s="1"/>
  <c r="AA435" i="1"/>
  <c r="AF434" i="1"/>
  <c r="AG434" i="1" s="1"/>
  <c r="AA434" i="1"/>
  <c r="AF433" i="1"/>
  <c r="AA433" i="1"/>
  <c r="AG433" i="1" s="1"/>
  <c r="AA432" i="1"/>
  <c r="AF432" i="1" s="1"/>
  <c r="AG432" i="1" s="1"/>
  <c r="AA431" i="1"/>
  <c r="AA430" i="1"/>
  <c r="AF430" i="1" s="1"/>
  <c r="AA429" i="1"/>
  <c r="AA428" i="1"/>
  <c r="AF427" i="1"/>
  <c r="AG427" i="1" s="1"/>
  <c r="AA427" i="1"/>
  <c r="AF426" i="1"/>
  <c r="AG426" i="1" s="1"/>
  <c r="AA426" i="1"/>
  <c r="AF425" i="1"/>
  <c r="AA425" i="1"/>
  <c r="AG425" i="1" s="1"/>
  <c r="AG424" i="1"/>
  <c r="AA424" i="1"/>
  <c r="AF424" i="1" s="1"/>
  <c r="AA423" i="1"/>
  <c r="AA422" i="1"/>
  <c r="AF422" i="1" s="1"/>
  <c r="AA421" i="1"/>
  <c r="AA420" i="1"/>
  <c r="AF419" i="1"/>
  <c r="AG419" i="1" s="1"/>
  <c r="AA419" i="1"/>
  <c r="AF418" i="1"/>
  <c r="AG418" i="1" s="1"/>
  <c r="AA418" i="1"/>
  <c r="AF417" i="1"/>
  <c r="AA417" i="1"/>
  <c r="AG417" i="1" s="1"/>
  <c r="AA416" i="1"/>
  <c r="AF416" i="1" s="1"/>
  <c r="AG416" i="1" s="1"/>
  <c r="AA415" i="1"/>
  <c r="AG414" i="1"/>
  <c r="AA414" i="1"/>
  <c r="AF414" i="1" s="1"/>
  <c r="AA413" i="1"/>
  <c r="AA412" i="1"/>
  <c r="AF411" i="1"/>
  <c r="AG411" i="1" s="1"/>
  <c r="AA411" i="1"/>
  <c r="AF410" i="1"/>
  <c r="AG410" i="1" s="1"/>
  <c r="AA410" i="1"/>
  <c r="AF409" i="1"/>
  <c r="AA409" i="1"/>
  <c r="AG408" i="1"/>
  <c r="AA408" i="1"/>
  <c r="AF408" i="1" s="1"/>
  <c r="AA407" i="1"/>
  <c r="AA406" i="1"/>
  <c r="AF406" i="1" s="1"/>
  <c r="AA405" i="1"/>
  <c r="AA404" i="1"/>
  <c r="AF403" i="1"/>
  <c r="AG403" i="1" s="1"/>
  <c r="AA403" i="1"/>
  <c r="AF402" i="1"/>
  <c r="AG402" i="1" s="1"/>
  <c r="AA402" i="1"/>
  <c r="AF401" i="1"/>
  <c r="AA401" i="1"/>
  <c r="AG401" i="1" s="1"/>
  <c r="AA400" i="1"/>
  <c r="AF400" i="1" s="1"/>
  <c r="AG400" i="1" s="1"/>
  <c r="AA399" i="1"/>
  <c r="AG398" i="1"/>
  <c r="AA398" i="1"/>
  <c r="AF398" i="1" s="1"/>
  <c r="AA397" i="1"/>
  <c r="AA396" i="1"/>
  <c r="AF395" i="1"/>
  <c r="AG395" i="1" s="1"/>
  <c r="AA395" i="1"/>
  <c r="AF394" i="1"/>
  <c r="AG394" i="1" s="1"/>
  <c r="AA394" i="1"/>
  <c r="AF393" i="1"/>
  <c r="AA393" i="1"/>
  <c r="AG392" i="1"/>
  <c r="AA392" i="1"/>
  <c r="AF392" i="1" s="1"/>
  <c r="AA391" i="1"/>
  <c r="AA390" i="1"/>
  <c r="AF390" i="1" s="1"/>
  <c r="AA389" i="1"/>
  <c r="AA388" i="1"/>
  <c r="AF387" i="1"/>
  <c r="AG387" i="1" s="1"/>
  <c r="AA387" i="1"/>
  <c r="AF386" i="1"/>
  <c r="AG386" i="1" s="1"/>
  <c r="AA386" i="1"/>
  <c r="AF385" i="1"/>
  <c r="AA385" i="1"/>
  <c r="AG385" i="1" s="1"/>
  <c r="AA384" i="1"/>
  <c r="AF384" i="1" s="1"/>
  <c r="AG384" i="1" s="1"/>
  <c r="AA383" i="1"/>
  <c r="AA382" i="1"/>
  <c r="AA381" i="1"/>
  <c r="AA380" i="1"/>
  <c r="AF379" i="1"/>
  <c r="AG379" i="1" s="1"/>
  <c r="AA379" i="1"/>
  <c r="AF378" i="1"/>
  <c r="AG378" i="1" s="1"/>
  <c r="AA378" i="1"/>
  <c r="AA377" i="1"/>
  <c r="AG376" i="1"/>
  <c r="AA376" i="1"/>
  <c r="AF376" i="1" s="1"/>
  <c r="AA375" i="1"/>
  <c r="AA374" i="1"/>
  <c r="AA373" i="1"/>
  <c r="AA372" i="1"/>
  <c r="AG371" i="1"/>
  <c r="AF371" i="1"/>
  <c r="AA371" i="1"/>
  <c r="AF370" i="1"/>
  <c r="AG370" i="1" s="1"/>
  <c r="AA370" i="1"/>
  <c r="AA369" i="1"/>
  <c r="AA368" i="1"/>
  <c r="AF368" i="1" s="1"/>
  <c r="AG368" i="1" s="1"/>
  <c r="AA367" i="1"/>
  <c r="AA366" i="1"/>
  <c r="AF365" i="1"/>
  <c r="AA365" i="1"/>
  <c r="AG365" i="1" s="1"/>
  <c r="AA364" i="1"/>
  <c r="AG363" i="1"/>
  <c r="AF363" i="1"/>
  <c r="AA363" i="1"/>
  <c r="AG362" i="1"/>
  <c r="AF362" i="1"/>
  <c r="AA362" i="1"/>
  <c r="AA361" i="1"/>
  <c r="AG360" i="1"/>
  <c r="AA360" i="1"/>
  <c r="AF360" i="1" s="1"/>
  <c r="AA359" i="1"/>
  <c r="AA358" i="1"/>
  <c r="AF357" i="1"/>
  <c r="AA357" i="1"/>
  <c r="AG357" i="1" s="1"/>
  <c r="AA356" i="1"/>
  <c r="AF355" i="1"/>
  <c r="AG355" i="1" s="1"/>
  <c r="AA355" i="1"/>
  <c r="AG354" i="1"/>
  <c r="AF354" i="1"/>
  <c r="AA354" i="1"/>
  <c r="AA353" i="1"/>
  <c r="AA352" i="1"/>
  <c r="AF352" i="1" s="1"/>
  <c r="AG352" i="1" s="1"/>
  <c r="AA351" i="1"/>
  <c r="AA350" i="1"/>
  <c r="AF349" i="1"/>
  <c r="AA349" i="1"/>
  <c r="AG349" i="1" s="1"/>
  <c r="AA348" i="1"/>
  <c r="AG347" i="1"/>
  <c r="AF347" i="1"/>
  <c r="AA347" i="1"/>
  <c r="AF346" i="1"/>
  <c r="AG346" i="1" s="1"/>
  <c r="AA346" i="1"/>
  <c r="AA345" i="1"/>
  <c r="AA344" i="1"/>
  <c r="AF344" i="1" s="1"/>
  <c r="AG344" i="1" s="1"/>
  <c r="AA343" i="1"/>
  <c r="AA342" i="1"/>
  <c r="AA341" i="1"/>
  <c r="AA340" i="1"/>
  <c r="AF339" i="1"/>
  <c r="AG339" i="1" s="1"/>
  <c r="AA339" i="1"/>
  <c r="AF338" i="1"/>
  <c r="AG338" i="1" s="1"/>
  <c r="AA338" i="1"/>
  <c r="AA337" i="1"/>
  <c r="AG336" i="1"/>
  <c r="AA336" i="1"/>
  <c r="AF336" i="1" s="1"/>
  <c r="AA335" i="1"/>
  <c r="AA334" i="1"/>
  <c r="AF333" i="1"/>
  <c r="AA333" i="1"/>
  <c r="AG333" i="1" s="1"/>
  <c r="AA332" i="1"/>
  <c r="AF331" i="1"/>
  <c r="AG331" i="1" s="1"/>
  <c r="AA331" i="1"/>
  <c r="AG330" i="1"/>
  <c r="AF330" i="1"/>
  <c r="AA330" i="1"/>
  <c r="AA329" i="1"/>
  <c r="AA328" i="1"/>
  <c r="AF328" i="1" s="1"/>
  <c r="AG328" i="1" s="1"/>
  <c r="AA327" i="1"/>
  <c r="AA326" i="1"/>
  <c r="AF325" i="1"/>
  <c r="AA325" i="1"/>
  <c r="AG325" i="1" s="1"/>
  <c r="AA324" i="1"/>
  <c r="AG323" i="1"/>
  <c r="AF323" i="1"/>
  <c r="AA323" i="1"/>
  <c r="AG322" i="1"/>
  <c r="AF322" i="1"/>
  <c r="AA322" i="1"/>
  <c r="AF321" i="1"/>
  <c r="AA321" i="1"/>
  <c r="AG320" i="1"/>
  <c r="AA320" i="1"/>
  <c r="AF320" i="1" s="1"/>
  <c r="AA319" i="1"/>
  <c r="AA318" i="1"/>
  <c r="AA317" i="1"/>
  <c r="AA316" i="1"/>
  <c r="AG315" i="1"/>
  <c r="AF315" i="1"/>
  <c r="AA315" i="1"/>
  <c r="AF314" i="1"/>
  <c r="AG314" i="1" s="1"/>
  <c r="AA314" i="1"/>
  <c r="AA313" i="1"/>
  <c r="AG312" i="1"/>
  <c r="AA312" i="1"/>
  <c r="AF312" i="1" s="1"/>
  <c r="AA311" i="1"/>
  <c r="AA310" i="1"/>
  <c r="AA309" i="1"/>
  <c r="AF308" i="1"/>
  <c r="AA308" i="1"/>
  <c r="AG307" i="1"/>
  <c r="AF307" i="1"/>
  <c r="AA307" i="1"/>
  <c r="AF306" i="1"/>
  <c r="AG306" i="1" s="1"/>
  <c r="AA306" i="1"/>
  <c r="AF305" i="1"/>
  <c r="AG305" i="1" s="1"/>
  <c r="AA305" i="1"/>
  <c r="AG304" i="1"/>
  <c r="AA304" i="1"/>
  <c r="AF304" i="1" s="1"/>
  <c r="AA303" i="1"/>
  <c r="AA302" i="1"/>
  <c r="AA301" i="1"/>
  <c r="AF300" i="1"/>
  <c r="AA300" i="1"/>
  <c r="AG299" i="1"/>
  <c r="AF299" i="1"/>
  <c r="AA299" i="1"/>
  <c r="AF298" i="1"/>
  <c r="AG298" i="1" s="1"/>
  <c r="AA298" i="1"/>
  <c r="AG297" i="1"/>
  <c r="AF297" i="1"/>
  <c r="AA297" i="1"/>
  <c r="AG296" i="1"/>
  <c r="AA296" i="1"/>
  <c r="AF296" i="1" s="1"/>
  <c r="AA295" i="1"/>
  <c r="AA294" i="1"/>
  <c r="AA293" i="1"/>
  <c r="AF292" i="1"/>
  <c r="AA292" i="1"/>
  <c r="AF291" i="1"/>
  <c r="AG291" i="1" s="1"/>
  <c r="AA291" i="1"/>
  <c r="AF290" i="1"/>
  <c r="AG290" i="1" s="1"/>
  <c r="AA290" i="1"/>
  <c r="AA289" i="1"/>
  <c r="AA288" i="1"/>
  <c r="AF288" i="1" s="1"/>
  <c r="AG288" i="1" s="1"/>
  <c r="AA287" i="1"/>
  <c r="AF286" i="1"/>
  <c r="AG286" i="1" s="1"/>
  <c r="AA286" i="1"/>
  <c r="AF285" i="1"/>
  <c r="AA285" i="1"/>
  <c r="AG285" i="1" s="1"/>
  <c r="AA284" i="1"/>
  <c r="AF283" i="1"/>
  <c r="AG283" i="1" s="1"/>
  <c r="AA283" i="1"/>
  <c r="AG282" i="1"/>
  <c r="AF282" i="1"/>
  <c r="AA282" i="1"/>
  <c r="AA281" i="1"/>
  <c r="AA280" i="1"/>
  <c r="AF280" i="1" s="1"/>
  <c r="AG280" i="1" s="1"/>
  <c r="AA279" i="1"/>
  <c r="AF278" i="1"/>
  <c r="AG278" i="1" s="1"/>
  <c r="AA278" i="1"/>
  <c r="AF277" i="1"/>
  <c r="AA277" i="1"/>
  <c r="AG277" i="1" s="1"/>
  <c r="AA276" i="1"/>
  <c r="AF276" i="1" s="1"/>
  <c r="AG275" i="1"/>
  <c r="AF275" i="1"/>
  <c r="AA275" i="1"/>
  <c r="AG274" i="1"/>
  <c r="AF274" i="1"/>
  <c r="AA274" i="1"/>
  <c r="AF273" i="1"/>
  <c r="AG273" i="1" s="1"/>
  <c r="AA273" i="1"/>
  <c r="AA272" i="1"/>
  <c r="AF272" i="1" s="1"/>
  <c r="AG272" i="1" s="1"/>
  <c r="AA271" i="1"/>
  <c r="AA270" i="1"/>
  <c r="AF269" i="1"/>
  <c r="AA269" i="1"/>
  <c r="AG269" i="1" s="1"/>
  <c r="AA268" i="1"/>
  <c r="AF267" i="1"/>
  <c r="AG267" i="1" s="1"/>
  <c r="AA267" i="1"/>
  <c r="AA266" i="1"/>
  <c r="AF266" i="1" s="1"/>
  <c r="AG266" i="1" s="1"/>
  <c r="AG265" i="1"/>
  <c r="AF265" i="1"/>
  <c r="AA265" i="1"/>
  <c r="AG264" i="1"/>
  <c r="AA264" i="1"/>
  <c r="AF264" i="1" s="1"/>
  <c r="AA263" i="1"/>
  <c r="AA262" i="1"/>
  <c r="AA261" i="1"/>
  <c r="AA260" i="1"/>
  <c r="AF259" i="1"/>
  <c r="AG259" i="1" s="1"/>
  <c r="AA259" i="1"/>
  <c r="AF258" i="1"/>
  <c r="AG258" i="1" s="1"/>
  <c r="AA258" i="1"/>
  <c r="AA257" i="1"/>
  <c r="AA256" i="1"/>
  <c r="AF256" i="1" s="1"/>
  <c r="AG256" i="1" s="1"/>
  <c r="AA255" i="1"/>
  <c r="AF254" i="1"/>
  <c r="AG254" i="1" s="1"/>
  <c r="AA254" i="1"/>
  <c r="AA253" i="1"/>
  <c r="AF252" i="1"/>
  <c r="AA252" i="1"/>
  <c r="AF251" i="1"/>
  <c r="AG251" i="1" s="1"/>
  <c r="AA251" i="1"/>
  <c r="AF250" i="1"/>
  <c r="AG250" i="1" s="1"/>
  <c r="AA250" i="1"/>
  <c r="AF249" i="1"/>
  <c r="AG249" i="1" s="1"/>
  <c r="AA249" i="1"/>
  <c r="AA248" i="1"/>
  <c r="AF248" i="1" s="1"/>
  <c r="AG248" i="1" s="1"/>
  <c r="AA247" i="1"/>
  <c r="AG246" i="1"/>
  <c r="AF246" i="1"/>
  <c r="AA246" i="1"/>
  <c r="AA245" i="1"/>
  <c r="AF244" i="1"/>
  <c r="AA244" i="1"/>
  <c r="AF243" i="1"/>
  <c r="AG243" i="1" s="1"/>
  <c r="AA243" i="1"/>
  <c r="AF242" i="1"/>
  <c r="AG242" i="1" s="1"/>
  <c r="AA242" i="1"/>
  <c r="AG241" i="1"/>
  <c r="AF241" i="1"/>
  <c r="AA241" i="1"/>
  <c r="AA240" i="1"/>
  <c r="AF240" i="1" s="1"/>
  <c r="AG240" i="1" s="1"/>
  <c r="AA239" i="1"/>
  <c r="AA238" i="1"/>
  <c r="AF237" i="1"/>
  <c r="AA237" i="1"/>
  <c r="AG237" i="1" s="1"/>
  <c r="AA236" i="1"/>
  <c r="AG235" i="1"/>
  <c r="AF235" i="1"/>
  <c r="AA235" i="1"/>
  <c r="AG234" i="1"/>
  <c r="AF234" i="1"/>
  <c r="AA234" i="1"/>
  <c r="AA233" i="1"/>
  <c r="AG232" i="1"/>
  <c r="AA232" i="1"/>
  <c r="AF232" i="1" s="1"/>
  <c r="AE231" i="1"/>
  <c r="AA231" i="1"/>
  <c r="AF230" i="1"/>
  <c r="AG230" i="1" s="1"/>
  <c r="AA230" i="1"/>
  <c r="AE229" i="1"/>
  <c r="AA229" i="1"/>
  <c r="AF228" i="1"/>
  <c r="AA228" i="1"/>
  <c r="AG228" i="1" s="1"/>
  <c r="AF227" i="1"/>
  <c r="AA227" i="1"/>
  <c r="AG227" i="1" s="1"/>
  <c r="AA226" i="1"/>
  <c r="AG225" i="1"/>
  <c r="AF225" i="1"/>
  <c r="AA225" i="1"/>
  <c r="AA224" i="1"/>
  <c r="AF224" i="1" s="1"/>
  <c r="AG224" i="1" s="1"/>
  <c r="AA223" i="1"/>
  <c r="AG222" i="1"/>
  <c r="AA222" i="1"/>
  <c r="AF222" i="1" s="1"/>
  <c r="AA221" i="1"/>
  <c r="AG220" i="1"/>
  <c r="AF220" i="1"/>
  <c r="AA220" i="1"/>
  <c r="AF219" i="1"/>
  <c r="AA219" i="1"/>
  <c r="AG219" i="1" s="1"/>
  <c r="AF218" i="1"/>
  <c r="AA218" i="1"/>
  <c r="AF217" i="1"/>
  <c r="AG217" i="1" s="1"/>
  <c r="AA217" i="1"/>
  <c r="AA216" i="1"/>
  <c r="AF216" i="1" s="1"/>
  <c r="AG216" i="1" s="1"/>
  <c r="AA215" i="1"/>
  <c r="AG214" i="1"/>
  <c r="AA214" i="1"/>
  <c r="AF214" i="1" s="1"/>
  <c r="AA213" i="1"/>
  <c r="AA212" i="1"/>
  <c r="AF211" i="1"/>
  <c r="AA211" i="1"/>
  <c r="AG211" i="1" s="1"/>
  <c r="AF210" i="1"/>
  <c r="AA210" i="1"/>
  <c r="AG209" i="1"/>
  <c r="AF209" i="1"/>
  <c r="AA209" i="1"/>
  <c r="AA208" i="1"/>
  <c r="AF207" i="1"/>
  <c r="AG207" i="1" s="1"/>
  <c r="AA207" i="1"/>
  <c r="AA206" i="1"/>
  <c r="AF206" i="1" s="1"/>
  <c r="AG206" i="1" s="1"/>
  <c r="AA205" i="1"/>
  <c r="AA204" i="1"/>
  <c r="AF203" i="1"/>
  <c r="AA203" i="1"/>
  <c r="AG203" i="1" s="1"/>
  <c r="AA202" i="1"/>
  <c r="AG201" i="1"/>
  <c r="AF201" i="1"/>
  <c r="AA201" i="1"/>
  <c r="AA200" i="1"/>
  <c r="AF200" i="1" s="1"/>
  <c r="AG200" i="1" s="1"/>
  <c r="AG199" i="1"/>
  <c r="AF199" i="1"/>
  <c r="AA199" i="1"/>
  <c r="AG198" i="1"/>
  <c r="AA198" i="1"/>
  <c r="AF198" i="1" s="1"/>
  <c r="AA197" i="1"/>
  <c r="AA196" i="1"/>
  <c r="AF195" i="1"/>
  <c r="AA195" i="1"/>
  <c r="AG195" i="1" s="1"/>
  <c r="AF194" i="1"/>
  <c r="AA194" i="1"/>
  <c r="AF193" i="1"/>
  <c r="AG193" i="1" s="1"/>
  <c r="AA193" i="1"/>
  <c r="AA192" i="1"/>
  <c r="AF192" i="1" s="1"/>
  <c r="AG192" i="1" s="1"/>
  <c r="AA191" i="1"/>
  <c r="AG190" i="1"/>
  <c r="AA190" i="1"/>
  <c r="AF190" i="1" s="1"/>
  <c r="AA189" i="1"/>
  <c r="AF188" i="1"/>
  <c r="AG188" i="1" s="1"/>
  <c r="AA188" i="1"/>
  <c r="AF187" i="1"/>
  <c r="AA187" i="1"/>
  <c r="AG187" i="1" s="1"/>
  <c r="AF186" i="1"/>
  <c r="AA186" i="1"/>
  <c r="AF185" i="1"/>
  <c r="AG185" i="1" s="1"/>
  <c r="AA185" i="1"/>
  <c r="AA184" i="1"/>
  <c r="AF184" i="1" s="1"/>
  <c r="AG184" i="1" s="1"/>
  <c r="AF183" i="1"/>
  <c r="AA183" i="1"/>
  <c r="AG183" i="1" s="1"/>
  <c r="AA182" i="1"/>
  <c r="AF182" i="1" s="1"/>
  <c r="AG182" i="1" s="1"/>
  <c r="AA181" i="1"/>
  <c r="AG180" i="1"/>
  <c r="AF180" i="1"/>
  <c r="AA180" i="1"/>
  <c r="AF179" i="1"/>
  <c r="AA179" i="1"/>
  <c r="AG179" i="1" s="1"/>
  <c r="AA178" i="1"/>
  <c r="AF177" i="1"/>
  <c r="AG177" i="1" s="1"/>
  <c r="AA177" i="1"/>
  <c r="AA176" i="1"/>
  <c r="AF176" i="1" s="1"/>
  <c r="AG176" i="1" s="1"/>
  <c r="AG175" i="1"/>
  <c r="AF175" i="1"/>
  <c r="AA175" i="1"/>
  <c r="AA174" i="1"/>
  <c r="AF174" i="1" s="1"/>
  <c r="AG174" i="1" s="1"/>
  <c r="AA173" i="1"/>
  <c r="AA172" i="1"/>
  <c r="AF171" i="1"/>
  <c r="AA171" i="1"/>
  <c r="AG171" i="1" s="1"/>
  <c r="AA170" i="1"/>
  <c r="AG169" i="1"/>
  <c r="AF169" i="1"/>
  <c r="AA169" i="1"/>
  <c r="AA168" i="1"/>
  <c r="AF168" i="1" s="1"/>
  <c r="AG168" i="1" s="1"/>
  <c r="AA167" i="1"/>
  <c r="AA166" i="1"/>
  <c r="AF166" i="1" s="1"/>
  <c r="AG166" i="1" s="1"/>
  <c r="AA165" i="1"/>
  <c r="AF164" i="1"/>
  <c r="AA164" i="1"/>
  <c r="AG164" i="1" s="1"/>
  <c r="AF163" i="1"/>
  <c r="AA163" i="1"/>
  <c r="AG163" i="1" s="1"/>
  <c r="AA162" i="1"/>
  <c r="AF162" i="1" s="1"/>
  <c r="AG161" i="1"/>
  <c r="AF161" i="1"/>
  <c r="AA161" i="1"/>
  <c r="AG160" i="1"/>
  <c r="AF160" i="1"/>
  <c r="AA160" i="1"/>
  <c r="AF159" i="1"/>
  <c r="AG159" i="1" s="1"/>
  <c r="AA159" i="1"/>
  <c r="AA158" i="1"/>
  <c r="AF158" i="1" s="1"/>
  <c r="AG158" i="1" s="1"/>
  <c r="AA157" i="1"/>
  <c r="AA156" i="1"/>
  <c r="AF155" i="1"/>
  <c r="AA155" i="1"/>
  <c r="AG155" i="1" s="1"/>
  <c r="AA154" i="1"/>
  <c r="AF153" i="1"/>
  <c r="AG153" i="1" s="1"/>
  <c r="AA153" i="1"/>
  <c r="AG152" i="1"/>
  <c r="AF152" i="1"/>
  <c r="AA152" i="1"/>
  <c r="AF151" i="1"/>
  <c r="AA151" i="1"/>
  <c r="AG151" i="1" s="1"/>
  <c r="AA150" i="1"/>
  <c r="AF150" i="1" s="1"/>
  <c r="AG150" i="1" s="1"/>
  <c r="AA149" i="1"/>
  <c r="AG148" i="1"/>
  <c r="AF148" i="1"/>
  <c r="AA148" i="1"/>
  <c r="AF147" i="1"/>
  <c r="AA147" i="1"/>
  <c r="AG147" i="1" s="1"/>
  <c r="AA146" i="1"/>
  <c r="AF145" i="1"/>
  <c r="AG145" i="1" s="1"/>
  <c r="AA145" i="1"/>
  <c r="AA144" i="1"/>
  <c r="AF144" i="1" s="1"/>
  <c r="AG144" i="1" s="1"/>
  <c r="AA143" i="1"/>
  <c r="AF143" i="1" s="1"/>
  <c r="AG143" i="1" s="1"/>
  <c r="AA142" i="1"/>
  <c r="AF142" i="1" s="1"/>
  <c r="AA141" i="1"/>
  <c r="AA140" i="1"/>
  <c r="AF139" i="1"/>
  <c r="AA139" i="1"/>
  <c r="AG139" i="1" s="1"/>
  <c r="AA138" i="1"/>
  <c r="AA137" i="1"/>
  <c r="AA136" i="1"/>
  <c r="AF135" i="1"/>
  <c r="AG135" i="1" s="1"/>
  <c r="AA135" i="1"/>
  <c r="AF134" i="1"/>
  <c r="AG134" i="1" s="1"/>
  <c r="AA134" i="1"/>
  <c r="AA133" i="1"/>
  <c r="AG132" i="1"/>
  <c r="AF132" i="1"/>
  <c r="AA132" i="1"/>
  <c r="AA131" i="1"/>
  <c r="AF131" i="1" s="1"/>
  <c r="AG131" i="1" s="1"/>
  <c r="AA130" i="1"/>
  <c r="AA129" i="1"/>
  <c r="AA128" i="1"/>
  <c r="AF127" i="1"/>
  <c r="AG127" i="1" s="1"/>
  <c r="AA127" i="1"/>
  <c r="AF126" i="1"/>
  <c r="AG126" i="1" s="1"/>
  <c r="AA126" i="1"/>
  <c r="AA125" i="1"/>
  <c r="AG124" i="1"/>
  <c r="AF124" i="1"/>
  <c r="AA124" i="1"/>
  <c r="AA123" i="1"/>
  <c r="AA122" i="1"/>
  <c r="AA121" i="1"/>
  <c r="AF120" i="1"/>
  <c r="AA120" i="1"/>
  <c r="AG120" i="1" s="1"/>
  <c r="AF119" i="1"/>
  <c r="AG119" i="1" s="1"/>
  <c r="AA119" i="1"/>
  <c r="AF118" i="1"/>
  <c r="AG118" i="1" s="1"/>
  <c r="AA118" i="1"/>
  <c r="AA117" i="1"/>
  <c r="AG116" i="1"/>
  <c r="AF116" i="1"/>
  <c r="AA116" i="1"/>
  <c r="AA115" i="1"/>
  <c r="AF115" i="1" s="1"/>
  <c r="AG115" i="1" s="1"/>
  <c r="AA114" i="1"/>
  <c r="AA113" i="1"/>
  <c r="AF112" i="1"/>
  <c r="AA112" i="1"/>
  <c r="AG112" i="1" s="1"/>
  <c r="AF111" i="1"/>
  <c r="AG111" i="1" s="1"/>
  <c r="AA111" i="1"/>
  <c r="AF110" i="1"/>
  <c r="AA110" i="1"/>
  <c r="AG110" i="1" s="1"/>
  <c r="AA109" i="1"/>
  <c r="AG108" i="1"/>
  <c r="AF108" i="1"/>
  <c r="AA108" i="1"/>
  <c r="AA107" i="1"/>
  <c r="AA106" i="1"/>
  <c r="AA105" i="1"/>
  <c r="AF104" i="1"/>
  <c r="AA104" i="1"/>
  <c r="AG104" i="1" s="1"/>
  <c r="AF103" i="1"/>
  <c r="AG103" i="1" s="1"/>
  <c r="AA103" i="1"/>
  <c r="AF102" i="1"/>
  <c r="AA102" i="1"/>
  <c r="AG102" i="1" s="1"/>
  <c r="AA101" i="1"/>
  <c r="AG100" i="1"/>
  <c r="AF100" i="1"/>
  <c r="AA100" i="1"/>
  <c r="AA99" i="1"/>
  <c r="AA98" i="1"/>
  <c r="AA97" i="1"/>
  <c r="AF96" i="1"/>
  <c r="AG96" i="1" s="1"/>
  <c r="AA96" i="1"/>
  <c r="AF95" i="1"/>
  <c r="AG95" i="1" s="1"/>
  <c r="AA95" i="1"/>
  <c r="AF94" i="1"/>
  <c r="AA94" i="1"/>
  <c r="AG94" i="1" s="1"/>
  <c r="AA93" i="1"/>
  <c r="AA92" i="1"/>
  <c r="AF92" i="1" s="1"/>
  <c r="AG92" i="1" s="1"/>
  <c r="AA91" i="1"/>
  <c r="AA90" i="1"/>
  <c r="AA89" i="1"/>
  <c r="AF88" i="1"/>
  <c r="AA88" i="1"/>
  <c r="AG88" i="1" s="1"/>
  <c r="AF87" i="1"/>
  <c r="AG87" i="1" s="1"/>
  <c r="AA87" i="1"/>
  <c r="AF86" i="1"/>
  <c r="AA86" i="1"/>
  <c r="AG86" i="1" s="1"/>
  <c r="AA85" i="1"/>
  <c r="AA84" i="1"/>
  <c r="AF84" i="1" s="1"/>
  <c r="AG84" i="1" s="1"/>
  <c r="AA83" i="1"/>
  <c r="AA82" i="1"/>
  <c r="AA81" i="1"/>
  <c r="AF80" i="1"/>
  <c r="AG80" i="1" s="1"/>
  <c r="AA80" i="1"/>
  <c r="AF79" i="1"/>
  <c r="AG79" i="1" s="1"/>
  <c r="AA79" i="1"/>
  <c r="AF78" i="1"/>
  <c r="AA78" i="1"/>
  <c r="AG78" i="1" s="1"/>
  <c r="AA77" i="1"/>
  <c r="AA76" i="1"/>
  <c r="AF76" i="1" s="1"/>
  <c r="AG76" i="1" s="1"/>
  <c r="AA75" i="1"/>
  <c r="AA74" i="1"/>
  <c r="AA73" i="1"/>
  <c r="AF72" i="1"/>
  <c r="AG72" i="1" s="1"/>
  <c r="AA72" i="1"/>
  <c r="AF71" i="1"/>
  <c r="AG71" i="1" s="1"/>
  <c r="AA71" i="1"/>
  <c r="AA70" i="1"/>
  <c r="AA69" i="1"/>
  <c r="AA68" i="1"/>
  <c r="AF68" i="1" s="1"/>
  <c r="AG68" i="1" s="1"/>
  <c r="AA67" i="1"/>
  <c r="AA66" i="1"/>
  <c r="AA65" i="1"/>
  <c r="AF64" i="1"/>
  <c r="AG64" i="1" s="1"/>
  <c r="AA64" i="1"/>
  <c r="AF63" i="1"/>
  <c r="AG63" i="1" s="1"/>
  <c r="AA63" i="1"/>
  <c r="AA62" i="1"/>
  <c r="AA61" i="1"/>
  <c r="AG60" i="1"/>
  <c r="AF60" i="1"/>
  <c r="AA60" i="1"/>
  <c r="AA59" i="1"/>
  <c r="AA58" i="1"/>
  <c r="AA57" i="1"/>
  <c r="AF56" i="1"/>
  <c r="AA56" i="1"/>
  <c r="AG56" i="1" s="1"/>
  <c r="AF55" i="1"/>
  <c r="AG55" i="1" s="1"/>
  <c r="AA55" i="1"/>
  <c r="AF54" i="1"/>
  <c r="AA54" i="1"/>
  <c r="AG54" i="1" s="1"/>
  <c r="AA53" i="1"/>
  <c r="AA52" i="1"/>
  <c r="AF52" i="1" s="1"/>
  <c r="AG52" i="1" s="1"/>
  <c r="AA51" i="1"/>
  <c r="AA50" i="1"/>
  <c r="AA49" i="1"/>
  <c r="AF48" i="1"/>
  <c r="AG48" i="1" s="1"/>
  <c r="AA48" i="1"/>
  <c r="AF47" i="1"/>
  <c r="AG47" i="1" s="1"/>
  <c r="AA47" i="1"/>
  <c r="AF46" i="1"/>
  <c r="AA46" i="1"/>
  <c r="AG46" i="1" s="1"/>
  <c r="AA45" i="1"/>
  <c r="AA44" i="1"/>
  <c r="AF44" i="1" s="1"/>
  <c r="AG44" i="1" s="1"/>
  <c r="AA43" i="1"/>
  <c r="AA42" i="1"/>
  <c r="AA41" i="1"/>
  <c r="AF40" i="1"/>
  <c r="AG40" i="1" s="1"/>
  <c r="AA40" i="1"/>
  <c r="AF39" i="1"/>
  <c r="AG39" i="1" s="1"/>
  <c r="AA39" i="1"/>
  <c r="AF38" i="1"/>
  <c r="AA38" i="1"/>
  <c r="AG38" i="1" s="1"/>
  <c r="AA37" i="1"/>
  <c r="AA36" i="1"/>
  <c r="AF36" i="1" s="1"/>
  <c r="AG36" i="1" s="1"/>
  <c r="AA35" i="1"/>
  <c r="AF35" i="1" s="1"/>
  <c r="AG35" i="1" s="1"/>
  <c r="AA34" i="1"/>
  <c r="AA33" i="1"/>
  <c r="AF32" i="1"/>
  <c r="AA32" i="1"/>
  <c r="AG32" i="1" s="1"/>
  <c r="AF31" i="1"/>
  <c r="AG31" i="1" s="1"/>
  <c r="AA31" i="1"/>
  <c r="AF30" i="1"/>
  <c r="AA30" i="1"/>
  <c r="AG30" i="1" s="1"/>
  <c r="AA29" i="1"/>
  <c r="AA28" i="1"/>
  <c r="AF28" i="1" s="1"/>
  <c r="AG28" i="1" s="1"/>
  <c r="AA27" i="1"/>
  <c r="AF27" i="1" s="1"/>
  <c r="AG27" i="1" s="1"/>
  <c r="AA26" i="1"/>
  <c r="AA25" i="1"/>
  <c r="AF24" i="1"/>
  <c r="AA24" i="1"/>
  <c r="AG24" i="1" s="1"/>
  <c r="AF23" i="1"/>
  <c r="AG23" i="1" s="1"/>
  <c r="AA23" i="1"/>
  <c r="AF22" i="1"/>
  <c r="AA22" i="1"/>
  <c r="AG22" i="1" s="1"/>
  <c r="AA21" i="1"/>
  <c r="AA20" i="1"/>
  <c r="AF20" i="1" s="1"/>
  <c r="AG20" i="1" s="1"/>
  <c r="AA19" i="1"/>
  <c r="AA18" i="1"/>
  <c r="AA17" i="1"/>
  <c r="AF16" i="1"/>
  <c r="AA16" i="1"/>
  <c r="AG16" i="1" s="1"/>
  <c r="AF15" i="1"/>
  <c r="AG15" i="1" s="1"/>
  <c r="AA15" i="1"/>
  <c r="AF14" i="1"/>
  <c r="AG14" i="1" s="1"/>
  <c r="AA14" i="1"/>
  <c r="AA13" i="1"/>
  <c r="AA12" i="1"/>
  <c r="AF12" i="1" s="1"/>
  <c r="AG12" i="1" s="1"/>
  <c r="AA11" i="1"/>
  <c r="AA10" i="1"/>
  <c r="AA9" i="1"/>
  <c r="AF8" i="1"/>
  <c r="AA8" i="1"/>
  <c r="AG8" i="1" s="1"/>
  <c r="AF7" i="1"/>
  <c r="AG7" i="1" s="1"/>
  <c r="AA7" i="1"/>
  <c r="AF6" i="1"/>
  <c r="AG6" i="1" s="1"/>
  <c r="AA6" i="1"/>
  <c r="AA5" i="1"/>
  <c r="AG4" i="1"/>
  <c r="AA4" i="1"/>
  <c r="AF4" i="1" s="1"/>
  <c r="AA3" i="1"/>
  <c r="AA2" i="1"/>
  <c r="AG57" i="1" l="1"/>
  <c r="AG93" i="1"/>
  <c r="AG318" i="1"/>
  <c r="AG62" i="1"/>
  <c r="AG117" i="1"/>
  <c r="AG374" i="1"/>
  <c r="AG58" i="1"/>
  <c r="AG70" i="1"/>
  <c r="AG128" i="1"/>
  <c r="AG18" i="1"/>
  <c r="AG140" i="1"/>
  <c r="AG204" i="1"/>
  <c r="AG10" i="1"/>
  <c r="AG122" i="1"/>
  <c r="AG19" i="1"/>
  <c r="AG83" i="1"/>
  <c r="AG130" i="1"/>
  <c r="AG262" i="1"/>
  <c r="AG25" i="1"/>
  <c r="AG43" i="1"/>
  <c r="AG125" i="1"/>
  <c r="AG310" i="1"/>
  <c r="AG49" i="1"/>
  <c r="AG101" i="1"/>
  <c r="AG50" i="1"/>
  <c r="AG91" i="1"/>
  <c r="AG137" i="1"/>
  <c r="AG302" i="1"/>
  <c r="AG239" i="1"/>
  <c r="AF239" i="1"/>
  <c r="AG313" i="1"/>
  <c r="AG329" i="1"/>
  <c r="AF2" i="1"/>
  <c r="AG2" i="1" s="1"/>
  <c r="AF10" i="1"/>
  <c r="AF18" i="1"/>
  <c r="AF26" i="1"/>
  <c r="AG26" i="1" s="1"/>
  <c r="AF34" i="1"/>
  <c r="AG34" i="1" s="1"/>
  <c r="AF42" i="1"/>
  <c r="AG42" i="1" s="1"/>
  <c r="AF50" i="1"/>
  <c r="AF58" i="1"/>
  <c r="AF66" i="1"/>
  <c r="AG66" i="1" s="1"/>
  <c r="AF74" i="1"/>
  <c r="AG74" i="1" s="1"/>
  <c r="AF82" i="1"/>
  <c r="AG82" i="1" s="1"/>
  <c r="AF90" i="1"/>
  <c r="AG90" i="1" s="1"/>
  <c r="AF98" i="1"/>
  <c r="AG98" i="1" s="1"/>
  <c r="AF106" i="1"/>
  <c r="AG106" i="1" s="1"/>
  <c r="AF114" i="1"/>
  <c r="AG114" i="1" s="1"/>
  <c r="AF122" i="1"/>
  <c r="AF130" i="1"/>
  <c r="AF138" i="1"/>
  <c r="AG138" i="1" s="1"/>
  <c r="AF149" i="1"/>
  <c r="AG149" i="1" s="1"/>
  <c r="AG170" i="1"/>
  <c r="AF181" i="1"/>
  <c r="AG181" i="1" s="1"/>
  <c r="AF196" i="1"/>
  <c r="AG196" i="1" s="1"/>
  <c r="AF215" i="1"/>
  <c r="AG215" i="1" s="1"/>
  <c r="AF226" i="1"/>
  <c r="AG226" i="1" s="1"/>
  <c r="AF233" i="1"/>
  <c r="AG233" i="1" s="1"/>
  <c r="AG236" i="1"/>
  <c r="AG247" i="1"/>
  <c r="AF247" i="1"/>
  <c r="AF262" i="1"/>
  <c r="AF294" i="1"/>
  <c r="AG294" i="1" s="1"/>
  <c r="AF313" i="1"/>
  <c r="AF329" i="1"/>
  <c r="AG337" i="1"/>
  <c r="AG341" i="1"/>
  <c r="AF345" i="1"/>
  <c r="AG345" i="1" s="1"/>
  <c r="AF353" i="1"/>
  <c r="AG353" i="1" s="1"/>
  <c r="AG364" i="1"/>
  <c r="AF364" i="1"/>
  <c r="AF372" i="1"/>
  <c r="AG372" i="1" s="1"/>
  <c r="AG377" i="1"/>
  <c r="AG390" i="1"/>
  <c r="AF444" i="1"/>
  <c r="AG444" i="1" s="1"/>
  <c r="AG454" i="1"/>
  <c r="AG141" i="1"/>
  <c r="AF141" i="1"/>
  <c r="AG162" i="1"/>
  <c r="AF173" i="1"/>
  <c r="AG173" i="1" s="1"/>
  <c r="AG276" i="1"/>
  <c r="AF380" i="1"/>
  <c r="AG380" i="1" s="1"/>
  <c r="AF404" i="1"/>
  <c r="AG404" i="1" s="1"/>
  <c r="AF5" i="1"/>
  <c r="AG5" i="1" s="1"/>
  <c r="AF13" i="1"/>
  <c r="AG13" i="1" s="1"/>
  <c r="AF21" i="1"/>
  <c r="AG21" i="1" s="1"/>
  <c r="AF29" i="1"/>
  <c r="AG29" i="1" s="1"/>
  <c r="AF37" i="1"/>
  <c r="AG37" i="1" s="1"/>
  <c r="AF45" i="1"/>
  <c r="AG45" i="1" s="1"/>
  <c r="AF53" i="1"/>
  <c r="AG53" i="1" s="1"/>
  <c r="AF61" i="1"/>
  <c r="AG61" i="1" s="1"/>
  <c r="AF69" i="1"/>
  <c r="AG69" i="1" s="1"/>
  <c r="AF77" i="1"/>
  <c r="AG77" i="1" s="1"/>
  <c r="AF85" i="1"/>
  <c r="AG85" i="1" s="1"/>
  <c r="AF93" i="1"/>
  <c r="AF101" i="1"/>
  <c r="AF109" i="1"/>
  <c r="AG109" i="1" s="1"/>
  <c r="AF117" i="1"/>
  <c r="AF125" i="1"/>
  <c r="AF133" i="1"/>
  <c r="AG133" i="1" s="1"/>
  <c r="AG142" i="1"/>
  <c r="AF156" i="1"/>
  <c r="AG156" i="1" s="1"/>
  <c r="AF170" i="1"/>
  <c r="AG178" i="1"/>
  <c r="AF189" i="1"/>
  <c r="AG189" i="1" s="1"/>
  <c r="AF204" i="1"/>
  <c r="AF223" i="1"/>
  <c r="AG223" i="1" s="1"/>
  <c r="AF236" i="1"/>
  <c r="AF255" i="1"/>
  <c r="AG255" i="1" s="1"/>
  <c r="AF270" i="1"/>
  <c r="AG270" i="1" s="1"/>
  <c r="AG287" i="1"/>
  <c r="AF287" i="1"/>
  <c r="AF302" i="1"/>
  <c r="AF318" i="1"/>
  <c r="AF337" i="1"/>
  <c r="AF361" i="1"/>
  <c r="AG361" i="1" s="1"/>
  <c r="AG369" i="1"/>
  <c r="AF377" i="1"/>
  <c r="AG420" i="1"/>
  <c r="AF420" i="1"/>
  <c r="AG430" i="1"/>
  <c r="AG445" i="1"/>
  <c r="AG455" i="1"/>
  <c r="AF128" i="1"/>
  <c r="AF136" i="1"/>
  <c r="AG136" i="1" s="1"/>
  <c r="AF146" i="1"/>
  <c r="AG146" i="1" s="1"/>
  <c r="AF167" i="1"/>
  <c r="AG167" i="1" s="1"/>
  <c r="AF178" i="1"/>
  <c r="AG186" i="1"/>
  <c r="AF197" i="1"/>
  <c r="AG197" i="1" s="1"/>
  <c r="AF212" i="1"/>
  <c r="AG212" i="1" s="1"/>
  <c r="AG244" i="1"/>
  <c r="AF263" i="1"/>
  <c r="AG263" i="1" s="1"/>
  <c r="AF281" i="1"/>
  <c r="AG281" i="1" s="1"/>
  <c r="AF295" i="1"/>
  <c r="AG295" i="1" s="1"/>
  <c r="AF310" i="1"/>
  <c r="AF326" i="1"/>
  <c r="AG326" i="1" s="1"/>
  <c r="AF342" i="1"/>
  <c r="AG342" i="1" s="1"/>
  <c r="AF350" i="1"/>
  <c r="AG350" i="1" s="1"/>
  <c r="AF369" i="1"/>
  <c r="AF382" i="1"/>
  <c r="AG382" i="1" s="1"/>
  <c r="AF396" i="1"/>
  <c r="AG396" i="1" s="1"/>
  <c r="AG406" i="1"/>
  <c r="AG441" i="1"/>
  <c r="AF460" i="1"/>
  <c r="AG460" i="1" s="1"/>
  <c r="AG474" i="1"/>
  <c r="AG332" i="1"/>
  <c r="AF332" i="1"/>
  <c r="AF340" i="1"/>
  <c r="AG340" i="1" s="1"/>
  <c r="AG356" i="1"/>
  <c r="AF356" i="1"/>
  <c r="AF468" i="1"/>
  <c r="AG468" i="1" s="1"/>
  <c r="AF3" i="1"/>
  <c r="AG3" i="1" s="1"/>
  <c r="AF11" i="1"/>
  <c r="AG11" i="1" s="1"/>
  <c r="AF19" i="1"/>
  <c r="AF43" i="1"/>
  <c r="AF51" i="1"/>
  <c r="AG51" i="1" s="1"/>
  <c r="AF59" i="1"/>
  <c r="AG59" i="1" s="1"/>
  <c r="AF67" i="1"/>
  <c r="AG67" i="1" s="1"/>
  <c r="AF75" i="1"/>
  <c r="AG75" i="1" s="1"/>
  <c r="AF83" i="1"/>
  <c r="AF91" i="1"/>
  <c r="AF99" i="1"/>
  <c r="AG99" i="1" s="1"/>
  <c r="AF107" i="1"/>
  <c r="AG107" i="1" s="1"/>
  <c r="AF123" i="1"/>
  <c r="AG123" i="1" s="1"/>
  <c r="AF157" i="1"/>
  <c r="AG157" i="1" s="1"/>
  <c r="AG194" i="1"/>
  <c r="AF205" i="1"/>
  <c r="AG205" i="1" s="1"/>
  <c r="AF231" i="1"/>
  <c r="AG231" i="1" s="1"/>
  <c r="AG252" i="1"/>
  <c r="AF271" i="1"/>
  <c r="AG271" i="1" s="1"/>
  <c r="AF284" i="1"/>
  <c r="AG284" i="1" s="1"/>
  <c r="AF303" i="1"/>
  <c r="AG303" i="1" s="1"/>
  <c r="AF334" i="1"/>
  <c r="AG334" i="1" s="1"/>
  <c r="AF358" i="1"/>
  <c r="AG358" i="1" s="1"/>
  <c r="AF374" i="1"/>
  <c r="AG397" i="1"/>
  <c r="AG407" i="1"/>
  <c r="AF436" i="1"/>
  <c r="AG436" i="1" s="1"/>
  <c r="AF62" i="1"/>
  <c r="AF70" i="1"/>
  <c r="AG202" i="1"/>
  <c r="AG213" i="1"/>
  <c r="AF213" i="1"/>
  <c r="AG268" i="1"/>
  <c r="AG292" i="1"/>
  <c r="AF311" i="1"/>
  <c r="AG311" i="1" s="1"/>
  <c r="AG327" i="1"/>
  <c r="AF366" i="1"/>
  <c r="AG366" i="1" s="1"/>
  <c r="AG393" i="1"/>
  <c r="AF412" i="1"/>
  <c r="AG412" i="1" s="1"/>
  <c r="AG422" i="1"/>
  <c r="AG470" i="1"/>
  <c r="AF9" i="1"/>
  <c r="AG9" i="1" s="1"/>
  <c r="AF17" i="1"/>
  <c r="AG17" i="1" s="1"/>
  <c r="AF25" i="1"/>
  <c r="AF33" i="1"/>
  <c r="AG33" i="1" s="1"/>
  <c r="AF41" i="1"/>
  <c r="AG41" i="1" s="1"/>
  <c r="AF49" i="1"/>
  <c r="AF57" i="1"/>
  <c r="AF65" i="1"/>
  <c r="AG65" i="1" s="1"/>
  <c r="AF73" i="1"/>
  <c r="AG73" i="1" s="1"/>
  <c r="AF81" i="1"/>
  <c r="AG81" i="1" s="1"/>
  <c r="AF89" i="1"/>
  <c r="AG89" i="1" s="1"/>
  <c r="AF97" i="1"/>
  <c r="AG97" i="1" s="1"/>
  <c r="AF105" i="1"/>
  <c r="AG105" i="1" s="1"/>
  <c r="AF113" i="1"/>
  <c r="AG113" i="1" s="1"/>
  <c r="AF121" i="1"/>
  <c r="AG121" i="1" s="1"/>
  <c r="AF129" i="1"/>
  <c r="AG129" i="1" s="1"/>
  <c r="AF137" i="1"/>
  <c r="AF140" i="1"/>
  <c r="AF154" i="1"/>
  <c r="AG154" i="1" s="1"/>
  <c r="AF172" i="1"/>
  <c r="AG172" i="1" s="1"/>
  <c r="AF191" i="1"/>
  <c r="AG191" i="1" s="1"/>
  <c r="AF202" i="1"/>
  <c r="AG210" i="1"/>
  <c r="AF221" i="1"/>
  <c r="AG221" i="1" s="1"/>
  <c r="AF238" i="1"/>
  <c r="AG238" i="1" s="1"/>
  <c r="AF257" i="1"/>
  <c r="AG257" i="1" s="1"/>
  <c r="AF260" i="1"/>
  <c r="AG260" i="1" s="1"/>
  <c r="AF268" i="1"/>
  <c r="AF289" i="1"/>
  <c r="AG289" i="1" s="1"/>
  <c r="AG300" i="1"/>
  <c r="AG335" i="1"/>
  <c r="AF388" i="1"/>
  <c r="AG388" i="1" s="1"/>
  <c r="AF452" i="1"/>
  <c r="AG452" i="1" s="1"/>
  <c r="AG462" i="1"/>
  <c r="AF476" i="1"/>
  <c r="AG476" i="1" s="1"/>
  <c r="AF165" i="1"/>
  <c r="AG165" i="1" s="1"/>
  <c r="AG218" i="1"/>
  <c r="AG229" i="1"/>
  <c r="AF229" i="1"/>
  <c r="AF279" i="1"/>
  <c r="AG279" i="1" s="1"/>
  <c r="AG308" i="1"/>
  <c r="AF316" i="1"/>
  <c r="AG316" i="1" s="1"/>
  <c r="AG321" i="1"/>
  <c r="AF324" i="1"/>
  <c r="AG324" i="1" s="1"/>
  <c r="AG348" i="1"/>
  <c r="AF348" i="1"/>
  <c r="AG399" i="1"/>
  <c r="AG409" i="1"/>
  <c r="AF428" i="1"/>
  <c r="AG428" i="1" s="1"/>
  <c r="AG438" i="1"/>
  <c r="AF319" i="1"/>
  <c r="AG319" i="1" s="1"/>
  <c r="AF327" i="1"/>
  <c r="AF335" i="1"/>
  <c r="AF343" i="1"/>
  <c r="AG343" i="1" s="1"/>
  <c r="AF351" i="1"/>
  <c r="AG351" i="1" s="1"/>
  <c r="AF359" i="1"/>
  <c r="AG359" i="1" s="1"/>
  <c r="AF367" i="1"/>
  <c r="AG367" i="1" s="1"/>
  <c r="AF375" i="1"/>
  <c r="AG375" i="1" s="1"/>
  <c r="AF383" i="1"/>
  <c r="AG383" i="1" s="1"/>
  <c r="AF391" i="1"/>
  <c r="AG391" i="1" s="1"/>
  <c r="AF399" i="1"/>
  <c r="AF407" i="1"/>
  <c r="AF415" i="1"/>
  <c r="AG415" i="1" s="1"/>
  <c r="AF423" i="1"/>
  <c r="AG423" i="1" s="1"/>
  <c r="AF431" i="1"/>
  <c r="AG431" i="1" s="1"/>
  <c r="AF439" i="1"/>
  <c r="AG439" i="1" s="1"/>
  <c r="AF447" i="1"/>
  <c r="AG447" i="1" s="1"/>
  <c r="AF455" i="1"/>
  <c r="AF463" i="1"/>
  <c r="AG463" i="1" s="1"/>
  <c r="AF471" i="1"/>
  <c r="AG471" i="1" s="1"/>
  <c r="AF208" i="1"/>
  <c r="AG208" i="1" s="1"/>
  <c r="AF474" i="1"/>
  <c r="AF245" i="1"/>
  <c r="AG245" i="1" s="1"/>
  <c r="AF253" i="1"/>
  <c r="AG253" i="1" s="1"/>
  <c r="AF261" i="1"/>
  <c r="AG261" i="1" s="1"/>
  <c r="AF293" i="1"/>
  <c r="AG293" i="1" s="1"/>
  <c r="AF301" i="1"/>
  <c r="AG301" i="1" s="1"/>
  <c r="AF309" i="1"/>
  <c r="AG309" i="1" s="1"/>
  <c r="AF317" i="1"/>
  <c r="AG317" i="1" s="1"/>
  <c r="AF341" i="1"/>
  <c r="AF373" i="1"/>
  <c r="AG373" i="1" s="1"/>
  <c r="AF381" i="1"/>
  <c r="AG381" i="1" s="1"/>
  <c r="AF389" i="1"/>
  <c r="AG389" i="1" s="1"/>
  <c r="AF397" i="1"/>
  <c r="AF405" i="1"/>
  <c r="AG405" i="1" s="1"/>
  <c r="AF413" i="1"/>
  <c r="AG413" i="1" s="1"/>
  <c r="AF421" i="1"/>
  <c r="AG421" i="1" s="1"/>
  <c r="AF429" i="1"/>
  <c r="AG429" i="1" s="1"/>
  <c r="AF437" i="1"/>
  <c r="AG437" i="1" s="1"/>
  <c r="AF445" i="1"/>
  <c r="AF453" i="1"/>
  <c r="AG453" i="1" s="1"/>
  <c r="AF461" i="1"/>
  <c r="AG461" i="1" s="1"/>
  <c r="AF477" i="1"/>
  <c r="AG477" i="1" s="1"/>
</calcChain>
</file>

<file path=xl/sharedStrings.xml><?xml version="1.0" encoding="utf-8"?>
<sst xmlns="http://schemas.openxmlformats.org/spreadsheetml/2006/main" count="9446" uniqueCount="1596">
  <si>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</si>
  <si>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</si>
  <si>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</si>
  <si>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</si>
  <si>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</si>
  <si>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</si>
  <si>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</si>
  <si>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</si>
  <si>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</si>
  <si>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</si>
  <si>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</si>
  <si>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</si>
  <si>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</si>
  <si>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</si>
  <si>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</si>
  <si>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</si>
  <si>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</si>
  <si>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</si>
  <si>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</si>
  <si>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</si>
  <si>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</si>
  <si>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</si>
  <si>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</si>
  <si>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</si>
  <si>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</si>
  <si>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</si>
  <si>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</si>
  <si>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</si>
  <si>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</si>
  <si>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</si>
  <si>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</si>
  <si>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</si>
  <si>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</si>
  <si>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</si>
  <si>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</si>
  <si>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</si>
  <si>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NVMY34535000007040</t>
  </si>
  <si>
    <t/>
  </si>
  <si>
    <t>Completed</t>
  </si>
  <si>
    <t>SANDRA BASRI</t>
  </si>
  <si>
    <t>DELIVERY_THREE_DAYS_ANYTIME</t>
  </si>
  <si>
    <t>Parcel</t>
  </si>
  <si>
    <t>STANDARD</t>
  </si>
  <si>
    <t>SMALL</t>
  </si>
  <si>
    <t>WMSIA</t>
  </si>
  <si>
    <t>KBR1-KBR1</t>
  </si>
  <si>
    <t>Kedah</t>
  </si>
  <si>
    <t>NO 75 TAMAN MAHSURI FASA 2D, 06000 JITRA KEDAH  Jitra Kedah - my 06000</t>
  </si>
  <si>
    <t>E3A-JIT-36</t>
  </si>
  <si>
    <t>AHMAD RETAIL</t>
  </si>
  <si>
    <t>WM</t>
  </si>
  <si>
    <t>NVMY34535000007053</t>
  </si>
  <si>
    <t>NORIAH BINTI ISMAIL</t>
  </si>
  <si>
    <t>Kelantan</t>
  </si>
  <si>
    <t>LOT 409 KG BUKIT ABAL, PASIR PUTEH KELANTAN  Pasir Puteh Kelantan - my 16800</t>
  </si>
  <si>
    <t>KEL-KEL</t>
  </si>
  <si>
    <t>NVMY34535000007056</t>
  </si>
  <si>
    <t>NORHIDAYU BINTI AWANG</t>
  </si>
  <si>
    <t>KLINIK HAIWAN KUBANG KERIAN, LOT 3236C, WISMA HJ HAMID JALAN SULTAN YAHYA PETRA 15150 KOTA BHARU KELANTAN  Kota Bharu Kelantan - my 15150</t>
  </si>
  <si>
    <t>NVMY34535000007063</t>
  </si>
  <si>
    <t>MAZILAWATI BINTI IBRAHIM</t>
  </si>
  <si>
    <t>Negeri Sembilan</t>
  </si>
  <si>
    <t>NO 987 JALAN 1/22 TAMAN RASAH JAYA 70300 SEREMBAN NEGERI SEMBILAN  Seremban Negeri Sembilan - my 70300</t>
  </si>
  <si>
    <t>S9-SBN-86</t>
  </si>
  <si>
    <t>NVMY34535000007050</t>
  </si>
  <si>
    <t>RAINBOW PAPER SUPPLIES SDN BHD (ATTN: FATIN)</t>
  </si>
  <si>
    <t>Selangor</t>
  </si>
  <si>
    <t>1 &amp; 3 JALAN TPP 6/8 TAMAN PERINDUSTRIAN PUCHONG 47100 SELANGOR  Telok Panglima Garang Selangor - my 47100</t>
  </si>
  <si>
    <t>K14-TPK-140</t>
  </si>
  <si>
    <t>NVMY34535000007051</t>
  </si>
  <si>
    <t>SEK KEB SEBERANG TAKIR</t>
  </si>
  <si>
    <t>Terengganu</t>
  </si>
  <si>
    <t>KAMPUNG SEBERANG TAKIR 21300 KUALA TERENGGANU, TERENGGANU  Kuala Terengganu Terengganu - my 21300</t>
  </si>
  <si>
    <t>TGG-TGG</t>
  </si>
  <si>
    <t>NVMY34535000007062</t>
  </si>
  <si>
    <t>SUWAIBAH BINTI ABDUL RAHIM</t>
  </si>
  <si>
    <t>36 A SIMPANG 3 KG JEREK DALAM 18300 GUA MUSANG KELANTAN  Gua Musang Kelantan - my 18300</t>
  </si>
  <si>
    <t>NVMY34535000007038</t>
  </si>
  <si>
    <t>MOHD ALIP BIN MOHD YUSOF</t>
  </si>
  <si>
    <t>INSTITUT PENILAIAN NEGARA (INSPEN) PERSIARAN INSPEN 43000 KAJANG SELANGOR  Kajang Selangor - my 43000</t>
  </si>
  <si>
    <t>K12A-BGI-128</t>
  </si>
  <si>
    <t>NVMY34535000007032</t>
  </si>
  <si>
    <t>RAZEEN IKMAL</t>
  </si>
  <si>
    <t>KOLEJ KEDIAMAN 1 UNIVERSITI SAINS ISLAM MALAYSIA NILAI, NEGERI SEMBILAN  Negeri Sembilan Labu Negeri Sembilan - my 71800</t>
  </si>
  <si>
    <t>S9-NIL-84</t>
  </si>
  <si>
    <t>NVMY34535000007061</t>
  </si>
  <si>
    <t>NUR FATIN FARAHANA BT ROSDI</t>
  </si>
  <si>
    <t>Pahang</t>
  </si>
  <si>
    <t>NO 24 LORONG TERATAI 2 TAMAN TERATAI KG MAHRUM 26660 PEKAN PAHANG , PAHANG , PEKAN , 26660  Simpang Empat Kedah - my 26660</t>
  </si>
  <si>
    <t>N4A-PKN-26</t>
  </si>
  <si>
    <t>NVMY34535000007058</t>
  </si>
  <si>
    <t>ADIB BIN ABD KARIM</t>
  </si>
  <si>
    <t>Johor</t>
  </si>
  <si>
    <t>SEKOLAH PARIT HAJI SIDEK BATU 3 JALAN KLUANG 83000 BATU PAHAT JOHOR  Batu Pahat Johor - my 83000</t>
  </si>
  <si>
    <t>S8-BPT-80</t>
  </si>
  <si>
    <t>NVMY34535000007084</t>
  </si>
  <si>
    <t>JENNY LI</t>
  </si>
  <si>
    <t>NO 16 USJ 5/1G, UEP SUBANG JAYA, 47620 SELANGOR  Subang Jaya Selangor - my 47620</t>
  </si>
  <si>
    <t>K12-HTC-124</t>
  </si>
  <si>
    <t>NVMY34535000007080</t>
  </si>
  <si>
    <t>AIMMAN BRAVE</t>
  </si>
  <si>
    <t>TINGKAT ATAS LOT PT 8667 BANDAR BARU LUBOK JONG MUKIM APAM 17000 PASIR MAS, KELANTAN  Pasir Mas Kelantan - my 17000</t>
  </si>
  <si>
    <t>NVMY34535000007060</t>
  </si>
  <si>
    <t>PUGINESWARAN</t>
  </si>
  <si>
    <t>NO 2 JALAN SURIA 14 TAMAN SURIA SIMPANG RENGAM KLUANG 86200, JOHOR  Simpang Rengam Johor - my 86200</t>
  </si>
  <si>
    <t>S8-HTM-81</t>
  </si>
  <si>
    <t>NVMY34535000007076</t>
  </si>
  <si>
    <t>ZIKRI HARUN</t>
  </si>
  <si>
    <t>NO 7 JALAN RAMBAI 4/7E 40000 SHAH ALAM SELANGOR   Shah Alam Selangor - my 40000</t>
  </si>
  <si>
    <t>K10A-SHA-104</t>
  </si>
  <si>
    <t>NVMY34535000007044</t>
  </si>
  <si>
    <t>PUTRI EMAS</t>
  </si>
  <si>
    <t>Sarawak</t>
  </si>
  <si>
    <t>NO 7E LOT 130 JALAN DAGOK TIMOR 93400 KUCHING, SARAWAK  Kuching Sarawak - my 93400</t>
  </si>
  <si>
    <t>EMSIA</t>
  </si>
  <si>
    <t>MM-MM</t>
  </si>
  <si>
    <t>EM</t>
  </si>
  <si>
    <t>NVMY34535000007077</t>
  </si>
  <si>
    <t>MUHAMAD FAIZURI BIN MAT RAFI</t>
  </si>
  <si>
    <t>NO 40 RUMAH MURAH KAMPUNG IBOK 24000 KEMAMAN TERENGGANU   Ayer Puteh Terengganu - my 24000</t>
  </si>
  <si>
    <t>NVMY34535000007010</t>
  </si>
  <si>
    <t>SABARUDIN BIN SAIAN</t>
  </si>
  <si>
    <t>43C PARIT ULU SEMERAH BATU 18 AIR HITAM 84050 MUAR JOHOR  Muar Johor - my 84050</t>
  </si>
  <si>
    <t>S8-MUA-79</t>
  </si>
  <si>
    <t>NVMY34535000007083</t>
  </si>
  <si>
    <t>FAIZAH ISMAIL</t>
  </si>
  <si>
    <t>1193 A KG SIMPANG EMPAT CHEDERING 21080 KUALA TERENGGANU, TERENGGANU  Kuala Terengganu Terengganu - my 21080</t>
  </si>
  <si>
    <t>E2-MRG-12</t>
  </si>
  <si>
    <t>NVMY34535000007074</t>
  </si>
  <si>
    <t>JACKY ENG FOOK KEAT</t>
  </si>
  <si>
    <t>70-0 JALAN AIR JERNIH, 20300 KUALA TERENGGANU, TERENGGANU  Kuala Terengganu Terengganu - my 20300</t>
  </si>
  <si>
    <t>NVMY34535000007049</t>
  </si>
  <si>
    <t>NAVIN SELVA KUMAR</t>
  </si>
  <si>
    <t>NO 3 JLN BANANG 3 TAMAN PERINDUSTRIAN TAMAN JOHOR 81200 JOHOR BAHRU JOHOR  Johor Bahru Johor - my 81200</t>
  </si>
  <si>
    <t>S7A-KEM-74</t>
  </si>
  <si>
    <t>NVMY34535000007069</t>
  </si>
  <si>
    <t>Amalinaazwa</t>
  </si>
  <si>
    <t>Lot1959 - B3 jalan nenas kg bukit kapar 42200 klang selangor  Kapar Selangor - my 42200</t>
  </si>
  <si>
    <t>K12A-MRU-127</t>
  </si>
  <si>
    <t>NVMY34535000007067</t>
  </si>
  <si>
    <t>Nur farahdiana aisya</t>
  </si>
  <si>
    <t>(rumah belakang Kn maju hardware)  21448 JALAN BESAR KG NYIOR PAKA , DUNGUN 23100 TERENGGANU  Paka Terengganu - my 23100</t>
  </si>
  <si>
    <t>E2-PAK-14</t>
  </si>
  <si>
    <t>NVMY34535000007059</t>
  </si>
  <si>
    <t>WAN NURFARAHANA BINTI WAN MOHD NASIR</t>
  </si>
  <si>
    <t>Melaka</t>
  </si>
  <si>
    <t>NO 9 JALAN ST 11, TAMAN SAUJANA TEHEL 77200 MELAKA  Bemban Melaka - my 77200</t>
  </si>
  <si>
    <t>NVMY34535000007072</t>
  </si>
  <si>
    <t>EN ZAHARUDIN B MOKTA</t>
  </si>
  <si>
    <t>NO 25 JALAN LEP 7/19, TAMAN LESTARI PUTRA 43300 SERI KEMBANGAN SELANGOR  Seri Kembangan Selangor - my 43300</t>
  </si>
  <si>
    <t>K12-SRD-121</t>
  </si>
  <si>
    <t>NVMY34535000007066</t>
  </si>
  <si>
    <t>MUHAMAD LOMAN</t>
  </si>
  <si>
    <t>A27, TINGKAT BAWAH, JALAN IM 3/12, BANDAR INDERA MAHKOTA 25200 KUANTAN PAHANG  Kuantan Pahang - my 25200</t>
  </si>
  <si>
    <t>N4-KUA-18</t>
  </si>
  <si>
    <t>NVMY34535000007057</t>
  </si>
  <si>
    <t>WAN AMIRUN HAKIM (HR USRAZ SOFFIAN)</t>
  </si>
  <si>
    <t>Perak</t>
  </si>
  <si>
    <t>MRSM BAGAN DATUK, LOT 18202, JALAN BAGAN DATUK 36100 BAGAN DATUK PERAK  Bagan Datoh Perak - my 36100</t>
  </si>
  <si>
    <t>N6-HML-52</t>
  </si>
  <si>
    <t>NVMY34535000007070</t>
  </si>
  <si>
    <t>AISHAH NAJWA BINTI MOHD SHUHAILI</t>
  </si>
  <si>
    <t>KOLEJ VOKASIONAL BESUT KAMPUNG RAJA BESUT 22200 TERENGGANU  Kampung Raja Terengganu - my 22200</t>
  </si>
  <si>
    <t>NVMY34535000007079</t>
  </si>
  <si>
    <t>NUR SYAZWANI BT ZULKEFLI</t>
  </si>
  <si>
    <t>A-3A-19, APARTMENT NURI SEKSYEN 4BANDAR BUKIT MAHKOTA 43000 KAJANG SELANGOR  Kajang Selangor - my 43000</t>
  </si>
  <si>
    <t>K10-BSP-100</t>
  </si>
  <si>
    <t>NVMY34535000007052</t>
  </si>
  <si>
    <t>ZULKIFLI BIN MUSTAFFA</t>
  </si>
  <si>
    <t>NO 28 JALAN EMAS 1/2, TAMAN EMAS KAMPUNG CINA 32000 SITIAWAN PERAK  Sitiawan Perak - my 32000</t>
  </si>
  <si>
    <t>N6A-STW-60</t>
  </si>
  <si>
    <t>NVMY34535000007065</t>
  </si>
  <si>
    <t>LAU KOK KUAN</t>
  </si>
  <si>
    <t>Sabah</t>
  </si>
  <si>
    <t>KA KA TRADING PLT, WDT 146, MDKNK 2331, BANGUNAN KUNAK PLAZA, 91207 KUNAK, SABAH  Kunak Sabah - my 91207</t>
  </si>
  <si>
    <t>M15A-KNK-167</t>
  </si>
  <si>
    <t>NVMY34535000007088</t>
  </si>
  <si>
    <t>BADRUL HISHAM BIN AHMAD</t>
  </si>
  <si>
    <t>MAYBANK ISLAMIC NO 1-J KOMPLEKS PERDANA JALAN AIR JERNIH 20300 KUALA TERENGGANU, TERENGGANU  Kuala Terengganu Terengganu - my 20300</t>
  </si>
  <si>
    <t>E2-GBK-11</t>
  </si>
  <si>
    <t>NVMY34535000007068</t>
  </si>
  <si>
    <t>NisaLee</t>
  </si>
  <si>
    <t>Pulau Pinang</t>
  </si>
  <si>
    <t>Rumah 2 , lorong alma indah 6 , taman alma indah bukit martajam pulau pinang , seberang prai tengah , penang bukit martajam , 14000 malaysia  Bukit Mertajam Pulau Pinang - my 14000</t>
  </si>
  <si>
    <t>N5-BKM-47</t>
  </si>
  <si>
    <t>NVMY34535000007096</t>
  </si>
  <si>
    <t>BANK PERTANIAN MALAYSIA BERHAD (AGROBANK)</t>
  </si>
  <si>
    <t>Kuala Lumpur</t>
  </si>
  <si>
    <t>TRADE FINANCE DEPARTMENT SUITE 8.0 , 8TH FLOOR WISMA MARAN NO 28 MEDAN PASAR 50050 KUALA LUMPUR (ATTN : TRADE OPERATIONS SECTION)  Kuala Lumpur Kuala Lumpur - my 50050</t>
  </si>
  <si>
    <t>NVMY34535000007071</t>
  </si>
  <si>
    <t>HAJI RAHMAN</t>
  </si>
  <si>
    <t>35, JALAN NIPAH 11, TAMAN DAYA, 81100 JOHOR BAHRU JOHOR  Johor Bahru Johor - my 81100</t>
  </si>
  <si>
    <t>S7-AUS-67</t>
  </si>
  <si>
    <t>NVMY34535000007095</t>
  </si>
  <si>
    <t>SYED NURSYAFIQ FIRDAUS BIN SYED AZHAR</t>
  </si>
  <si>
    <t>LOT 9, CELLARIUM CENTRE SHAH ALAM (CCSA) BANGUNAN TUNAS MEKAR, UITM SHAH ALAM 40450 SHAH ALAM SELANGOR  Shah Alam Selangor - my 40450</t>
  </si>
  <si>
    <t>NVMY34535000007092</t>
  </si>
  <si>
    <t>NORSAZILAH BTE ABDULLAH</t>
  </si>
  <si>
    <t>CCM POLYMERS SDN BHD NO 69 JLN P 10/1 SELAMAN INDUSTRIAL PARK SECTION 10, 43650 BANDAR BARU BANGI SELANGOR  Bandar Baru Bangi Selangor - my 43650</t>
  </si>
  <si>
    <t>NVMY34535000007094</t>
  </si>
  <si>
    <t>ZAINORA BINTI ZAINAL</t>
  </si>
  <si>
    <t>A-T06-U02 FASA 4B PRESINT 8, 62250 PUTRAJAYA   Putrajaya Putrajaya - my 62250</t>
  </si>
  <si>
    <t>K12-CJY-123</t>
  </si>
  <si>
    <t>NVMY34535000007081</t>
  </si>
  <si>
    <t>NORMALA BINTI OTHMAN</t>
  </si>
  <si>
    <t>823 MK 19 MENGKUANG TITI, 14000 BUKIT MERTAJAM PULAU PINANG  Bukit Mertajam Pulau Pinang - my 14000</t>
  </si>
  <si>
    <t>NVMY34535000007089</t>
  </si>
  <si>
    <t>SITI AISYAH NAJWA</t>
  </si>
  <si>
    <t>LOT 43-4, LORONG TERATAI RTB BUKIT CHANGGANG 42700 BANTING, SELANGOR  Telok Panglima Garang Selangor - my 42700</t>
  </si>
  <si>
    <t>NVMY34535000007082</t>
  </si>
  <si>
    <t>NUR AYUNI</t>
  </si>
  <si>
    <t>NO 3A JALAN MASJID MALAU 09020 KULIM, KEDAH  Kulim Kedah - my 09020</t>
  </si>
  <si>
    <t>N5-KLM-40</t>
  </si>
  <si>
    <t>NVMY34535000007093</t>
  </si>
  <si>
    <t>RAHIMAH BTE ABD AZIZ</t>
  </si>
  <si>
    <t>A 228 JALAN WAN AHMAD KAMPUNG CHAT RIMAU 17500 TANAH MERAH, KELANTAN  Tanah Merah Kelantan - my 17500</t>
  </si>
  <si>
    <t>NVMY34535000007078</t>
  </si>
  <si>
    <t>NORASHIK9N BT NANYAN</t>
  </si>
  <si>
    <t>NO 45 , KG BATAS , JALAN CHANGLUN , 06010 JITRA KEDAH   Changloon Kedah - my 06010</t>
  </si>
  <si>
    <t>NVMY34535000007090</t>
  </si>
  <si>
    <t>ATAN FIRDAUS</t>
  </si>
  <si>
    <t>NUR RESTU 2 LOT 503-2 JALAN GOMBAK BATU 5 WP KUALA LUMPUR 53000 KUALA LUMPUR  Kuala Lumpur Kuala Lumpur - my 53000</t>
  </si>
  <si>
    <t>K10-CAV-95</t>
  </si>
  <si>
    <t>NVMY34535000007064</t>
  </si>
  <si>
    <t>ANAS B MOHD ROSAFIE</t>
  </si>
  <si>
    <t>NO 91 KG BUKIT TEGUR 06750 PADANG PELIANG PENDANG KEDAH  Pendang Kedah - my 06750</t>
  </si>
  <si>
    <t>E3A-PDG-38</t>
  </si>
  <si>
    <t>NVMY34535000007073</t>
  </si>
  <si>
    <t>HISHAMUDDIN</t>
  </si>
  <si>
    <t>PERUMAHAN POLIS FASA 1-5Q-02-04 LRAYA THEAN TEIK 11500 BANDAR BARU AYER HITAM PULAU PINANG  Ayer Itam Pulau Pinang - my 11500</t>
  </si>
  <si>
    <t>N5-FLM-46</t>
  </si>
  <si>
    <t>NVMY34535000007075</t>
  </si>
  <si>
    <t>AFIQAH NAZIRAH</t>
  </si>
  <si>
    <t>Lot 04, Arked Angkasa, Universiti Teknologi Malaysia, Skudai  Johor   MY 81310</t>
  </si>
  <si>
    <t>S7A-SEN-73</t>
  </si>
  <si>
    <t>NVMY34535000007116</t>
  </si>
  <si>
    <t>NURFARAH IZZATY</t>
  </si>
  <si>
    <t>BLOK F TINGKAT 2 NO 3  JALAN PJS 2C/2 TAMAN MEDAN CAHAYA 46000 PETALING JAYA SELANGOR   Petaling Jaya Selangor - my 46000</t>
  </si>
  <si>
    <t>K10-SUN-97</t>
  </si>
  <si>
    <t>NVMY34535000007101</t>
  </si>
  <si>
    <t>DIYAA.RA</t>
  </si>
  <si>
    <t>NO 8 LORONG 1 TAMAN BALOK BARU 26100 KUANTAN PAHANG  Kuantan Pahang - my 26100</t>
  </si>
  <si>
    <t>NVMY34535000007086</t>
  </si>
  <si>
    <t>SITI RAFIDAH BINTI ABD HALIM</t>
  </si>
  <si>
    <t>NO 3, JALAN DATOK JALOK, PEKAN TAMPOK 82200 BENUT PONTIAN JOHOR  Benut Johor - my 82200</t>
  </si>
  <si>
    <t>S7-PTN-66</t>
  </si>
  <si>
    <t>NVMY34535000007127</t>
  </si>
  <si>
    <t>AINUL MARDHIAH</t>
  </si>
  <si>
    <t>TIFFANA HOMESTAY, JALAN LEMBAH, JALAN BATU TUMBOH ALOR LINTANG 22200 TERENGGANU  Kampung Raja Terengganu - my 22200</t>
  </si>
  <si>
    <t>E1A-JTH-9</t>
  </si>
  <si>
    <t>NVMY34535000007130</t>
  </si>
  <si>
    <t>HANIS</t>
  </si>
  <si>
    <t>B-7-10, BAIDURI COURTS, JALAN BP14, BANDAR BUKIT PUCHONG 2, 47120 PUCHONG SELANGOR  Puchong Selangor - my 47120</t>
  </si>
  <si>
    <t>K11A-PUC-116</t>
  </si>
  <si>
    <t>NVMY34535000007097</t>
  </si>
  <si>
    <t>NIK HASBOLLAH</t>
  </si>
  <si>
    <t>NIK IKAN BAKAR NO 1 MEDAN SELERA MASJID KAYANGAN BRINCHANG 39100 CAMERON HIGHLANDS PAHANG  Brinchang Pahang - my 39100</t>
  </si>
  <si>
    <t>PHG-PHG</t>
  </si>
  <si>
    <t>NVMY34535000007129</t>
  </si>
  <si>
    <t>RUZILA MOHAMMAD RAZALI</t>
  </si>
  <si>
    <t>NO 36, LORONG BUKIT RANGIN PERDANA 2/9, PERUMAHAN BUKIT RANGIN PERDANA 2, 25150 KUANTAN PAHANG  Kuantan Pahang - my 25150</t>
  </si>
  <si>
    <t>NVMY34535000007085</t>
  </si>
  <si>
    <t>NORIAH CHE NAS</t>
  </si>
  <si>
    <t>Perlis</t>
  </si>
  <si>
    <t>NO 18 LORONG TELOK JAMBU BINTONG 01000 KANGAR PERLIS  Kangar Perlis - my 01000</t>
  </si>
  <si>
    <t>NVMY34535000007098</t>
  </si>
  <si>
    <t>NIK HASBULLAH</t>
  </si>
  <si>
    <t>NO 1 MEDAN SELERA MASJID KAYANGAN BERINCHAN 39100  Brinchang Pahang - my 39100</t>
  </si>
  <si>
    <t>N6-CMN-54</t>
  </si>
  <si>
    <t>NVMY34535000007105</t>
  </si>
  <si>
    <t>SITI AMINAH HUSSIN</t>
  </si>
  <si>
    <t>KG KALOR, GELANG MAS 17010 PASIR MAS KELANTAN  Pasir Mas Kelantan - my 17010</t>
  </si>
  <si>
    <t>NVMY34535000007106</t>
  </si>
  <si>
    <t>NORHAYATI BINTI AB MAJID</t>
  </si>
  <si>
    <t>BATU 19, JALAN MAAKIB 2, KAMPUNG PAYA RUMPUT 78300 MASJID TANAH MELAKA  Masjid Tanah Melaka - my 78300</t>
  </si>
  <si>
    <t>S9A-MYK-88</t>
  </si>
  <si>
    <t>NVMY34535000007087</t>
  </si>
  <si>
    <t>MISS TAN HUEY JUEN</t>
  </si>
  <si>
    <t>INDUSTRIAL ESTATE 1-5 JALAN TTC 1, TAMAN TEKNOLOGI CHENG 75250 CHENG MELAKA  Melaka Melaka - my 75250</t>
  </si>
  <si>
    <t>NVMY34535000007091</t>
  </si>
  <si>
    <t>NIK NUR AIN AZLIN BINTI NIK AZMAN</t>
  </si>
  <si>
    <t>G19-03-02 KUARTERS PENJARA TAPAH KM12 JALAN TAPAH ROAD 35400 TAPAH ROAD, PERAK  Tapah Road Perak - my 35400</t>
  </si>
  <si>
    <t>N6-TAP-51</t>
  </si>
  <si>
    <t>NVMY34535000007109</t>
  </si>
  <si>
    <t>HAFIZ</t>
  </si>
  <si>
    <t>LOT 830 KAMPUNG MACHANG BUBOK PERINGAT 16400 MELOR KELANTAN  Melor Kelantan - my 16400</t>
  </si>
  <si>
    <t>E1-KET-2</t>
  </si>
  <si>
    <t>NVMY34535000007108</t>
  </si>
  <si>
    <t>EN ALIF</t>
  </si>
  <si>
    <t>ATC ACADEMY PUSATBERTAULIAH (KOD PUSAT LOT 2165) NO 7 JALAN LADA HITAM 16/12, SECTION 16, 40200 SHAH ALAM SELANGOR  Shah Alam Selangor - my 40200</t>
  </si>
  <si>
    <t>K11-KLG-108</t>
  </si>
  <si>
    <t>NVMY34535000007123</t>
  </si>
  <si>
    <t>Nashrah natasha binti hamdan</t>
  </si>
  <si>
    <t>855-1 kampung paya berenjut 24000 kemaman terengganu  Ayer Puteh Terengganu - my 24000</t>
  </si>
  <si>
    <t>NVMY34535000007118</t>
  </si>
  <si>
    <t>NURUL ROYYAN YUSRA BINTI RAZALI</t>
  </si>
  <si>
    <t>lot 202 A KAMPUNG KEMUMIN PENGKALAN CHEPA 16100 KOTA BHARU KELANTAN  Kota Bharu Kelantan - my 16100</t>
  </si>
  <si>
    <t>NVMY34535000007126</t>
  </si>
  <si>
    <t>JASMAINI BTE YUSOF</t>
  </si>
  <si>
    <t>NO 16 JLN KESUMA 6/1D BANDAR TASIK KESUMA 43700 BERANANG SELANGOR  Beranang Selangor - my 43700</t>
  </si>
  <si>
    <t>K13-SYH-136</t>
  </si>
  <si>
    <t>NVMY34535000007112</t>
  </si>
  <si>
    <t>Aiera</t>
  </si>
  <si>
    <t>10 jalan semenyih impian 17 , taman semenyih impian 43500 semenyih selangor  Shah Alam Selangor - my 43500</t>
  </si>
  <si>
    <t>NVMY34535000007103</t>
  </si>
  <si>
    <t>ROSTI JOY</t>
  </si>
  <si>
    <t>SALAM NOODLES 43, JLN WARISAN MEGAH 1/5 KOTA WARISAN SEPANG 43900 RUMAH ATAS KEDAI SALAM NOODLES TINGKAT 2 PINTU KIRI  Sepang Selangor - my 43900</t>
  </si>
  <si>
    <t>K13-STG-133</t>
  </si>
  <si>
    <t>NVMY34535000007125</t>
  </si>
  <si>
    <t>PUAN NORLIZA ABD RAHMAN</t>
  </si>
  <si>
    <t>NO 3 JALAN DMV 1, DESA MAKMUR VILLA JALAN HAJI MOHD AMIN SG MERAB 43000 KAJANG SELANGOR  Kajang Selangor - my 43000</t>
  </si>
  <si>
    <t>NVMY34535000007104</t>
  </si>
  <si>
    <t>ABDULLAH BIN YAACOB</t>
  </si>
  <si>
    <t>NO 05 BLOK 04 FELDA CHIKU 06, 18300 GUA MUSANG KELANTAN  Gua Musang Kelantan - my 18300</t>
  </si>
  <si>
    <t>E1B-GUA-10</t>
  </si>
  <si>
    <t>NVMY34535000007120</t>
  </si>
  <si>
    <t>Ijah</t>
  </si>
  <si>
    <t>Lot 197 Guchil 7 luar poskod 18020 kuala krai kelantan  Kuala Krai Kelantan - my 18000</t>
  </si>
  <si>
    <t>NVMY34535000007100</t>
  </si>
  <si>
    <t>Farhana</t>
  </si>
  <si>
    <t>Lot 19028 gong permatang kampung nyior paka dungun 23100 Terengganu  Paka Terengganu - my 23100</t>
  </si>
  <si>
    <t>NVMY34535000007110</t>
  </si>
  <si>
    <t>Nur Syafiharmiza binti Mohd Phauzi</t>
  </si>
  <si>
    <t>1253-23 RKAT Kem Batu Kentonmen 52100 Jln Ipoh Kuala Lumpur  Kuala Lumpur Kuala Lumpur - my 52100</t>
  </si>
  <si>
    <t>K12A-SEG-129</t>
  </si>
  <si>
    <t>NVMY34535000007117</t>
  </si>
  <si>
    <t>Fatihah Adni Fauzi</t>
  </si>
  <si>
    <t>Kg Mesira 16040 Palekbang Tumpat Kelantan  Wakaf Bharu Kelantan - my 16040</t>
  </si>
  <si>
    <t>NVMY34535000007133</t>
  </si>
  <si>
    <t>MOHD AZIZI BIN AHMAD</t>
  </si>
  <si>
    <t>KIOST NO 7 MEDAN SELERA LAMAN PERDANA PRESINT 1, 62000 WILAYAH PERSEKUTUAN PUTRAJAYA  Putrajaya Putrajaya - my 62000</t>
  </si>
  <si>
    <t>NVMY34535000007124</t>
  </si>
  <si>
    <t>MUHAMAD FAIZOL BIN MUSTAFA</t>
  </si>
  <si>
    <t>RPT BATU MENGKEBANG 18000 KUALA KRAI KELANTAN  Kuala Krai Kelantan - my 18000</t>
  </si>
  <si>
    <t>NVMY34535000007135</t>
  </si>
  <si>
    <t>36 A SIMPANG 3 KG JEREK DALAM 18300 GUA MUSANG KELANTAN   Kelantan my 18300</t>
  </si>
  <si>
    <t>NVMY34535000007113</t>
  </si>
  <si>
    <t>Madia bt musa</t>
  </si>
  <si>
    <t>3620 perkedaian pelagat 3 seberang jerteh 22200 jerteh terengganu  Kampung Raja Terengganu - my 22200</t>
  </si>
  <si>
    <t>NVMY34535000007132</t>
  </si>
  <si>
    <t>ALYA</t>
  </si>
  <si>
    <t>173 JALAN SEREMBAN TIGA 4, SEREMBAN 3, 70300 SEREMBAN NEGERI SEMBILAN  Seremban Negeri Sembilan - my 70300</t>
  </si>
  <si>
    <t>NVMY34535000007107</t>
  </si>
  <si>
    <t>EMI</t>
  </si>
  <si>
    <t>SYARIKAT SYAWAL ENTERPRISE, LOT 6 NO 1 GROUND FLOOR, REAR PORTION, WISMA C.Y.TAY, MILE 5, JLN TUARAN 88400 KOTA KINABALU SABAH  Penampang Sabah - my 88400</t>
  </si>
  <si>
    <t>NVMY34535000007099</t>
  </si>
  <si>
    <t>MOHD NOR RIDHUAN BIN MAT SEMAN</t>
  </si>
  <si>
    <t>IBU PEJABAT POLIS DAERAH TATAU 97200 TATAU, SARAWAK  Tatau Sarawak - my 97200</t>
  </si>
  <si>
    <t>NVMY34535000007139</t>
  </si>
  <si>
    <t>MOHAMMAD SYAKIRIN</t>
  </si>
  <si>
    <t>NO 27, LORONG LG PADANG JAYA 2, PERUMAHAN KG PADANG 25200 KUANTAN PAHANG  Kuantan Pahang - my 25200</t>
  </si>
  <si>
    <t>NVMY34535000007121</t>
  </si>
  <si>
    <t>Lyza</t>
  </si>
  <si>
    <t>(Rumah putih) 234 kg sg belukang 83600 semerah muar johor   Semerah Johor - my 83600</t>
  </si>
  <si>
    <t>NVMY34535000007136</t>
  </si>
  <si>
    <t>KEMENTERIAN PENDIDIKAN MALAYSIA</t>
  </si>
  <si>
    <t>BAHAGIAN PEMBANGUNAN, ARAS 1.3 &amp; 6, BLOK E2, KOMPLEKS E PUSAT PENTADBIRAN KERAJAAN PERSEKUTUAN 62604 W.P PUTRAJAYA  Putrajaya Putrajaya - my 62604</t>
  </si>
  <si>
    <t>NVMY34535000007114</t>
  </si>
  <si>
    <t>ayu mohamad nor</t>
  </si>
  <si>
    <t>85A ,taman glorious batu 2, jalan langgar, 05460 alor setar kedah  Alor Setar Kedah - my 05460</t>
  </si>
  <si>
    <t>E3A-AOR-37</t>
  </si>
  <si>
    <t>NVMY34535000007102</t>
  </si>
  <si>
    <t>NURUL AFLIZA AILA BT IBRAHIM</t>
  </si>
  <si>
    <t>NO 13 RUMAH RAHYAT 71700 MANTIN NEGERI SEMBILAN  Negeri Sembilan Mantin Negeri Sembilan - my 71700</t>
  </si>
  <si>
    <t>NVMY34535000007111</t>
  </si>
  <si>
    <t>Rabiatul Adawiyah bt Ridzuan</t>
  </si>
  <si>
    <t>Kampung Padang Panjang Mukim Malau 06000 Jitra Kedah  Jitra Kedah - my 06000</t>
  </si>
  <si>
    <t>NVMY34535000007128</t>
  </si>
  <si>
    <t>HAFIZAH BINTI MILOK</t>
  </si>
  <si>
    <t>NO 7A, KAMPUNG PARIT HASSAN, 82200 BENUT PONTIAN JOHOR  Benut Johor - my 82200</t>
  </si>
  <si>
    <t>NVMY34535000007137</t>
  </si>
  <si>
    <t>FASHION-MHS</t>
  </si>
  <si>
    <t>9-11-7 CHINWOO COURT, JALAN GELUGOR, OFF JALAN SAN PENG 55200 KUALA LUMPUR  Kuala Lumpur Kuala Lumpur - my 55200</t>
  </si>
  <si>
    <t>K14-SHM-141</t>
  </si>
  <si>
    <t>NVMY34535000007134</t>
  </si>
  <si>
    <t>ZETIAZMA</t>
  </si>
  <si>
    <t>NO 1/3 BLOK I JLN TEJA 4 PERUMAHAN PDRM TMN KOTA JAYA 81900 KOTA TINGGI JOHOR  Kota Tinggi Johor - my 81900</t>
  </si>
  <si>
    <t>S7-TGI-62</t>
  </si>
  <si>
    <t>NVMY34535000007143</t>
  </si>
  <si>
    <t>ROSPALELA</t>
  </si>
  <si>
    <t>14-06 PANGSAPURI KENANGA JLN GP 2 TAMAN GOMBAK PERMAI 68100 BATU CAVES SELANGOR  Batu Caves Selangor - my 68100</t>
  </si>
  <si>
    <t>NVMY34535000007144</t>
  </si>
  <si>
    <t>MOHD ZUL HILMIE ABDULLAH</t>
  </si>
  <si>
    <t>RESIDENSI DESASATUMAS B-23A-11 JALAN DESA TAMAN DESA 58100 KUALA LUMPUR  Kuala Lumpur Kuala Lumpur - my 58100</t>
  </si>
  <si>
    <t>K11-DSA-111</t>
  </si>
  <si>
    <t>NVMY34535000007131</t>
  </si>
  <si>
    <t>NOOR BT FAZALDIN</t>
  </si>
  <si>
    <t>NO 422-C, BLOK 21, FELDA BUKIT APING TIMUR, KOTA TINGGI 81900 JOHOR  Kota Tinggi Johor - my 81900</t>
  </si>
  <si>
    <t>NVMY34535000007150</t>
  </si>
  <si>
    <t>AZAM NURIN SYAHINDAH</t>
  </si>
  <si>
    <t>6, JALAN SP 6/3 TAMAN SALAK PERDANA, 43900 SEPANG SELANGOR  Sepang Selangor - my 43900</t>
  </si>
  <si>
    <t>NVMY34535000007122</t>
  </si>
  <si>
    <t>NURUL FATIHAH BINTI ZULKEFFLI</t>
  </si>
  <si>
    <t>1120,PULAU MERTAJAM,13110,PENAGA,SEBERANG PRAI UTARA,PULAU PINANG  Penaga Pulau Pinang - my 13110</t>
  </si>
  <si>
    <t>N5-BTS-42</t>
  </si>
  <si>
    <t>NVMY34535000007119</t>
  </si>
  <si>
    <t>nawal nabila binti ramlan</t>
  </si>
  <si>
    <t>257 Taman Sena Labu Besar 09010 Kulim Kedah   Kulim Kedah - my 09010</t>
  </si>
  <si>
    <t>NVMY34535000007115</t>
  </si>
  <si>
    <t>NURLAILA BINTI ABDULLAH</t>
  </si>
  <si>
    <t>BT 3 KAMPUNG BARU KOLAM IKAN 06100 KODIANG KEDAH  Kodiang Kedah - my 06100</t>
  </si>
  <si>
    <t>NVMY34535000007154</t>
  </si>
  <si>
    <t>ZAHRIN</t>
  </si>
  <si>
    <t>SEKOLAH KEBANGSAAN PERIA, LALUAN PERSEKUTUAN 8, KAMPUNG SUNGAI PERIA KUALA KRAI 18000 KELANTAN  Kuala Krai Kelantan - my 18000</t>
  </si>
  <si>
    <t>NVMY34535000007152</t>
  </si>
  <si>
    <t>Lau Kok Kuan</t>
  </si>
  <si>
    <t xml:space="preserve"> Ka Ka Trading PLT, WDT 146, MDKNK 2331, Bangunan Kunak Plaza, 91207 Kunak, Sabah  Kunak Sabah - my 91207</t>
  </si>
  <si>
    <t>NVMY34535000007140</t>
  </si>
  <si>
    <t>VIVIEN</t>
  </si>
  <si>
    <t>NO 5, JALAN MELATI, AIR HITAM 86100 AYER HITAM JOHOR  Ayer Hitam Johor - my 86100</t>
  </si>
  <si>
    <t>NVMY34535000007146</t>
  </si>
  <si>
    <t>RAMLAH BINTI ISMAIL</t>
  </si>
  <si>
    <t>LOT 1461 JALAN PADI MAHSURI 9 KM 5 JALAN ENDAU KAMPUNG SAWAH DATO 86800 MERSING JOHOR  Mersing Johor - my 86800</t>
  </si>
  <si>
    <t>NVMY34535000007151</t>
  </si>
  <si>
    <t>LYNN BACHO</t>
  </si>
  <si>
    <t>9-6, BLOK MELUR,  KUARTERS POLIS IPD TAIPING, JALAN TEMENGGUNG 34000 TAIPING  PERAK  Taiping Perak - my 34000</t>
  </si>
  <si>
    <t>NVMY34535000007147</t>
  </si>
  <si>
    <t>FAIZAH BINTI ADIU</t>
  </si>
  <si>
    <t>KAMPUNG NARANDANG PEJABAT POS MINI MATUNGGONG PETI SURAT 99, 89058 KUDAT SABAH  Kudat Sabah - my 89058</t>
  </si>
  <si>
    <t>NVMY34535000007149</t>
  </si>
  <si>
    <t>MUHAMMAD MUSLIM</t>
  </si>
  <si>
    <t>F-1-03A, BLOK F APARTMENT BAYU RESIDENCE 1, 71800 NILAI NEGERI SEMBILAN  Labu Negeri Sembilan - my 71800</t>
  </si>
  <si>
    <t>NVMY34535000007155</t>
  </si>
  <si>
    <t>SYILA BT AB HALIM</t>
  </si>
  <si>
    <t>DT 88,KAMPUNG PANDAN SATU,26070,KUANTAN PAHANG  Kuantan Pahang - my 26070</t>
  </si>
  <si>
    <t>NVMY34535000007148</t>
  </si>
  <si>
    <t>NOR MAISARAH BT ABDUL RASHID</t>
  </si>
  <si>
    <t>NO 10 LOT 2270 JALAN HAJI IBRAHIM 45800 JERAM SELANGOR  Jeram Selangor - my 45800</t>
  </si>
  <si>
    <t>NVMY34535000007145</t>
  </si>
  <si>
    <t>EV SHOP</t>
  </si>
  <si>
    <t>NO 16 JLN KECUBUNG 6 TMN DAIMAN JAYA 81900 KOTA TINGGI JOHOR  Kota Tinggi Johor - my 81900</t>
  </si>
  <si>
    <t>NVMY34535000007141</t>
  </si>
  <si>
    <t>CHONG</t>
  </si>
  <si>
    <t>NO 55 JALAN BESAR RENGIT 83100 RENGIT JOHOR  Rengit Johor - my 83100</t>
  </si>
  <si>
    <t>NVMY34535000007142</t>
  </si>
  <si>
    <t>MEKK ASRY</t>
  </si>
  <si>
    <t>21297B JLN POKOK TAMPANG RUMAH PURPLE HUJUNG 13300 TASEK GELUGOR PULAU PINANG  Tasek Gelugor Pulau Pinang - my 13300</t>
  </si>
  <si>
    <t>NVMY34535000007162</t>
  </si>
  <si>
    <t>SHAM SUHAILA BTE MOHAMAD</t>
  </si>
  <si>
    <t>DEPAN PEJABAT PAS CIKU 3, 18300 GUA MUSANG KELANTAN  Gua Musang Kelantan - my 18300</t>
  </si>
  <si>
    <t>NVMY34535000007156</t>
  </si>
  <si>
    <t>NOR ASIAH BT ISMAIL</t>
  </si>
  <si>
    <t>C010 BLOK C APARTMENT FLORA TAMAN IMPIAN EHSAN 43300 BALAKONG SELANGOR  Seri Kembangan Selangor - my 43300</t>
  </si>
  <si>
    <t>K10A-KAJ-102</t>
  </si>
  <si>
    <t>NVMY34535000007166</t>
  </si>
  <si>
    <t>EN SHUKRI BIN MOHAMAD</t>
  </si>
  <si>
    <t>139 A, KAMPUNG MASJID HAJI KHADIR, 21100 KUALA TERENGGANU, TERENGGANU  Kuala Terengganu Terengganu - my 21100</t>
  </si>
  <si>
    <t>NVMY34535000007163</t>
  </si>
  <si>
    <t>NUR AIN SHARFIQAH</t>
  </si>
  <si>
    <t>NO 56 LOT 2915 JALAN REZAB BUANG KG SERI GAMBUT 42450 KLANG SELANGOR  Shah Alam Selangor - my 42450</t>
  </si>
  <si>
    <t>K11A-KMU-117</t>
  </si>
  <si>
    <t>NVMY34535000007167</t>
  </si>
  <si>
    <t>WAN ROSLINA BT WAN MUSA</t>
  </si>
  <si>
    <t>A 2948 LORONG TOK SIRA 25, MEDAH TOK SIRA, 25050 KUANTAN, PAHANG  Kuantan Pahang - my 25050</t>
  </si>
  <si>
    <t>NVMY34535000007164</t>
  </si>
  <si>
    <t>IZZATI ADLEENA</t>
  </si>
  <si>
    <t>A-13-02 BLOCK A BAYU @PANDAN JAYA, JALAN BAYU PANDAN PANDAN JAYA 55100 HULU LANGAT, KUALA LUMPUR  Kuala Lumpur Kuala Lumpur - my 55100</t>
  </si>
  <si>
    <t>K10A-AMP-105</t>
  </si>
  <si>
    <t>NVMY34535000007159</t>
  </si>
  <si>
    <t>ZULKIFLI BIN PAIMIN</t>
  </si>
  <si>
    <t>NO 68 LORONG PENDING 2C BANDAR PUTERI 41200 KLANG SELANGOR  Klang Selangor - my 41200</t>
  </si>
  <si>
    <t>K14-BTK-139</t>
  </si>
  <si>
    <t>NVMY34535000007157</t>
  </si>
  <si>
    <t>ROSLIZA BT CHE HASSAN</t>
  </si>
  <si>
    <t>LOT 1846, KG KUBANG TELAGA GUNUNG 16090 BACHOK KELANTAN  Bachok Kelantan - my 16090</t>
  </si>
  <si>
    <t>NVMY34535000007153</t>
  </si>
  <si>
    <t>Ms POH BEE</t>
  </si>
  <si>
    <t>HEAD OFFICE, 6428 LORONG MAK MANDIN TIGA, MAK MANDIN INDUSTRIAL ESTATE, 13400 BUTTERWORTH PENANG  Butterworth Pulau Pinang - my 13400</t>
  </si>
  <si>
    <t>N5-BWH-41</t>
  </si>
  <si>
    <t>NVMY34535000007170</t>
  </si>
  <si>
    <t>RAJA NOR HASHIMI BIN RAJA HAJI ABDULLAH</t>
  </si>
  <si>
    <t>NO 3 JALAN BARAT 5, D'ISLAND RESIDENCE 47100 PUCHONG SELANGOR  Telok Panglima Garang Selangor - my 47100</t>
  </si>
  <si>
    <t>NVMY34535000007158</t>
  </si>
  <si>
    <t>BTK INTEGRATED TRANSPORT SDN BHD (ATTN: MISS SIEW)</t>
  </si>
  <si>
    <t>LOT 1030 &amp; 1070 JALAN KUALA KANGSAR 34700 SIMPANG TAIPING PERAK  Simpang Perak - my 34700</t>
  </si>
  <si>
    <t>NVMY34535000007168</t>
  </si>
  <si>
    <t>EN HASHIM BIN MOHAMAD</t>
  </si>
  <si>
    <t>173 JALAN SEKOLAH SUNGAI LAYAR, SUNGAI PETANI, KEDAH  Sungai Petani Kedah - my 08000</t>
  </si>
  <si>
    <t>E3-SPT-30</t>
  </si>
  <si>
    <t>NVMY34535000007138</t>
  </si>
  <si>
    <t>AZRIN (AIZUL HIJRAH)</t>
  </si>
  <si>
    <t>Labuan</t>
  </si>
  <si>
    <t>MARINE 1 (L) INC, DB LOGISTICS (L) SDN BHD, OPEN YARD &amp; WAREHOUSE, PLOT 9, LOT 7032 JALAN PATAU-PATAU, KAMPUNG RANCHA-RANCHA 87000 W.P LABUAN  Labuan Labuan - my 87000</t>
  </si>
  <si>
    <t>M15B-LBN-168</t>
  </si>
  <si>
    <t>NVMY34535000007165</t>
  </si>
  <si>
    <t>173 JALAN SEKOLAH SUNGAI LAYAR, SUNGAI PETANI KEDAH  Sungai Petani Kedah - my 08000</t>
  </si>
  <si>
    <t>NVMY34535000007180</t>
  </si>
  <si>
    <t>HALIMATUN</t>
  </si>
  <si>
    <t>LOT 288 JALAN KEROJA 2D , KG RASA TAMBAHAN 44200 RASA SELANGOR   Kuala Lumpur Kuala Lumpur - my 44200</t>
  </si>
  <si>
    <t>K13-KKB-134</t>
  </si>
  <si>
    <t>NVMY34535000007173</t>
  </si>
  <si>
    <t>SYAHIRA ZAINUDIN</t>
  </si>
  <si>
    <t>BELAKANG PROJEK D'RAJA FELDA CIKU 3, 18300 GUA MUSANG KELANTAN  Gua Musang Kelantan - my 18300</t>
  </si>
  <si>
    <t>NVMY34535000007175</t>
  </si>
  <si>
    <t>ANIDAH</t>
  </si>
  <si>
    <t>NO 4395 TAMAN MOHAMAD NUR, GONG PAUH 24000 KEMAMAN, TERENGGANU  Ayer Puteh Terengganu - my 24000</t>
  </si>
  <si>
    <t>NVMY34535000007161</t>
  </si>
  <si>
    <t>IRFAN UMZA</t>
  </si>
  <si>
    <t>NO 22 JALAN KIASAN U2/25 TAMAN TTDI JAYA 40150 SHAH ALAM SELANGOR  Shah Alam Selangor - my 40150</t>
  </si>
  <si>
    <t>K10A-SZB-103</t>
  </si>
  <si>
    <t>NVMY34535000007169</t>
  </si>
  <si>
    <t>NVMY34535000007174</t>
  </si>
  <si>
    <t>NUR ZAINURA BINTI AB RAZAK</t>
  </si>
  <si>
    <t>LOT 4984-C JLN HAJI SAMAT 21020 BATU RAKIT TERENGGANU  Kuala Terengganu Terengganu - my 21020</t>
  </si>
  <si>
    <t>NVMY34535000007172</t>
  </si>
  <si>
    <t>M7 STORE</t>
  </si>
  <si>
    <t>KWE WHOSALE MALL, LG 39A JALAN GELUGOR PUDU KWE MALL 55200 KUALA LUMPUR  Kuala Lumpur Kuala Lumpur - my 55200</t>
  </si>
  <si>
    <t>NVMY34535000007160</t>
  </si>
  <si>
    <t>ZATUSY HAZWA</t>
  </si>
  <si>
    <t>NO 26 JALAN SUKEPI 3/20 TAMAN SRIKANDI TELUK PANGLIMA GARANG 42500 KLANG SELANGOR  Telok Panglima Garang Selangor - my 42500</t>
  </si>
  <si>
    <t>NVMY34535000007206</t>
  </si>
  <si>
    <t>DOSAGROUP VENTURES</t>
  </si>
  <si>
    <t>20A, FIRST FLOOR, JALAN USA 4/1, USJ 4, 47600 SUBANG JAYA SEALNGOR  Subang Jaya Selangor - my 47600</t>
  </si>
  <si>
    <t>NVMY34535000007176</t>
  </si>
  <si>
    <t>JENNY LAPON</t>
  </si>
  <si>
    <t>SMK KENINGAU PS 272, 89000 KENINGAU SABAH  Keningau Sabah - my 89000</t>
  </si>
  <si>
    <t>M15-KGU-152</t>
  </si>
  <si>
    <t>NVMY34535000007177</t>
  </si>
  <si>
    <t>AZLINA HASAN</t>
  </si>
  <si>
    <t>NO 881 JLN 2/7 TAMAN TUANKU JAAFAR 71450 SEREMBAN NEGERI SEMBILAN   Seremban Negeri Sembilan - my 71450</t>
  </si>
  <si>
    <t>S9-SWG-83</t>
  </si>
  <si>
    <t>NVMY34535000007195</t>
  </si>
  <si>
    <t>Nurbani Mokhtar</t>
  </si>
  <si>
    <t>2,437 Tanah Belia Kg Pasir Panjang  26600 Pekan Pahang Darul Makmur  Pekan Pahang - my 26600</t>
  </si>
  <si>
    <t>NVMY34535000007190</t>
  </si>
  <si>
    <t>HAKKEE CAFETERIA (ATT: LENA)</t>
  </si>
  <si>
    <t>174G JALAN KEPAYANG MERU 41050 KLANG  Klang Selangor - my 41050</t>
  </si>
  <si>
    <t>NVMY34535000007208</t>
  </si>
  <si>
    <t>ZULBLACK</t>
  </si>
  <si>
    <t>NO 68 TAMAN MURNI PERMAI TOK JEMBAL KUALA NERUS 21300 TERENGGANU  Kuala Terengganu Terengganu - my 21300</t>
  </si>
  <si>
    <t>NVMY34535000007182</t>
  </si>
  <si>
    <t>WAN ZULMIE</t>
  </si>
  <si>
    <t>T.T.TAN MOTOESPORT (M) SDN BHD, NO 50 JALAN RIA 25/62 TAMAN SRI MUDA SHAH ALAM, 40000 SHAH ALAM, SELANGOR  Shah Alam Selangor - my 40000</t>
  </si>
  <si>
    <t>K10-HGT-99</t>
  </si>
  <si>
    <t>NVMY34535000007204</t>
  </si>
  <si>
    <t>MOHD FAZLY BIN HARUN</t>
  </si>
  <si>
    <t>KLINIK KESIHATAN AU2 KERAMAT, TAMAN SRI KERAMAT 54200 KUALA LUMPUR  Kuala Lumpur Kuala Lumpur - my 54200</t>
  </si>
  <si>
    <t>K10-MLT-94</t>
  </si>
  <si>
    <t>NVMY34535000007203</t>
  </si>
  <si>
    <t>ZALINI BINTI MAT ZAIN</t>
  </si>
  <si>
    <t>UTMKL RESIDENSI@GURNEY MALL, NO 8 JLN MAKTAB KG DATUK KERAMAT 54000 KUALA LUMPUR  Kuala Lumpur Kuala Lumpur - my 54000</t>
  </si>
  <si>
    <t>K11-CKT-112</t>
  </si>
  <si>
    <t>NVMY34535000007188</t>
  </si>
  <si>
    <t>SITI SOLEHAH</t>
  </si>
  <si>
    <t>B-5-11, CEMARA APARTMENT, JALAN SRI PERMAISURI 3, BANDAR SRI PERMAISURI 56000 CHERAS KUALA LUMPUR  Kuala Lumpur Kuala Lumpur - my 56000</t>
  </si>
  <si>
    <t>K11A-ECO-119</t>
  </si>
  <si>
    <t>NVMY34535000007179</t>
  </si>
  <si>
    <t>RIA</t>
  </si>
  <si>
    <t>BLOK 11 05/54 TAMAN CEMPAKA 81200 JOHOR BAHRU  Johor Bahru Johor - my 81200</t>
  </si>
  <si>
    <t>NVMY34535000007171</t>
  </si>
  <si>
    <t>ZAIDAH ZAIDI</t>
  </si>
  <si>
    <t>NO 11 JALAN SETIA 2/14 TAMAN SETIA INDAH 81100 JOHOR BAHRU JOHOR  Johor Bahru Johor - my 81100</t>
  </si>
  <si>
    <t>NVMY34535000007196</t>
  </si>
  <si>
    <t>Laili ghazali</t>
  </si>
  <si>
    <t>Blok a.4.11 flat sri perantau 42000 pelabuhan klang  Pelabuhan Klang Selangor - my 42000</t>
  </si>
  <si>
    <t>K11A-PKL-118</t>
  </si>
  <si>
    <t>NVMY34535000007200</t>
  </si>
  <si>
    <t>SITI RAHMATIA</t>
  </si>
  <si>
    <t>2-514 JLN MATAHARI U5/117 SEKSYEN U5 , 40150 SHAH ALAM , SELANGOR  Shah Alam Selangor - my 40150</t>
  </si>
  <si>
    <t>NVMY34535000007193</t>
  </si>
  <si>
    <t>TT SWISS THOMAS</t>
  </si>
  <si>
    <t>GM 1877 LOT 184 MUKIM TELUK PANGLIMA 42600 DAERAH KUALA LANGAT SELANGOR DARUL EHSAN  Jenjarom Selangor - my 42600</t>
  </si>
  <si>
    <t>K14-RBY-138</t>
  </si>
  <si>
    <t>NVMY34535000007186</t>
  </si>
  <si>
    <t>MIA</t>
  </si>
  <si>
    <t>B-6-11 PANGSAPURI MAWAR BANDAR BARU SENTUL 51000 KUALA LUMPUR  Kuala Lumpur Kuala Lumpur - my 51000</t>
  </si>
  <si>
    <t>NVMY34535000007194</t>
  </si>
  <si>
    <t>HANNA RAUDA</t>
  </si>
  <si>
    <t>LOT 6475 LORONG DATO MAT YUNAN, BATU 19, KUANG 48050 RAWANG SELANGOR  Rawang Selangor - my 48050</t>
  </si>
  <si>
    <t>K14-SGB-145</t>
  </si>
  <si>
    <t>NVMY34535000007187</t>
  </si>
  <si>
    <t>MUHAMAD ZAKIR</t>
  </si>
  <si>
    <t>LOT 14250 LORONG UTZ DIN JALAN UNDANG KG MAK KEMAS 21400 BUKIT PAYONG, TERENGGANU  Bukit Payong Terengganu - my 21400</t>
  </si>
  <si>
    <t>NVMY34535000007189</t>
  </si>
  <si>
    <t>NURUL HUSNA</t>
  </si>
  <si>
    <t>NO 1, JALAN SUTERA 6, TAMAN KRUBONG PERMAI 75260 MELAKA  Melaka Melaka - my 75260</t>
  </si>
  <si>
    <t>S9A-AGH-89</t>
  </si>
  <si>
    <t>NVMY34535000007201</t>
  </si>
  <si>
    <t>NOR DIYANA BINTI AB WAHAB</t>
  </si>
  <si>
    <t>NO 53 JALAN MAPEL 7/5 BANDAR HILLPARK 42300 PUNCAK ALAM SELANGOR  Bandar Puncak Alam Selangor - my 42300</t>
  </si>
  <si>
    <t>NVMY34535000007181</t>
  </si>
  <si>
    <t>SHAMIMI</t>
  </si>
  <si>
    <t>NO 199 FASA 2A/11, 32040 SERI MANJUNG, PERAK  Seri Manjong Perak - my 32040</t>
  </si>
  <si>
    <t>NVMY34535000007205</t>
  </si>
  <si>
    <t>ESHAH HAMID</t>
  </si>
  <si>
    <t>KG CHATEL LATA REK 18000 KUALA KRAI, KELANTAN  Kuala Krai Kelantan - my 18000</t>
  </si>
  <si>
    <t>NVMY34535000007192</t>
  </si>
  <si>
    <t>NUR FATHIHA BT ZAINAL ABIDIN</t>
  </si>
  <si>
    <t>622-1 LRNG BALAI RAYA OFF JALAN GOMBAK 53100 KUALA LUMPUR  Hulu Langat Kuala Lumpur - my 53100</t>
  </si>
  <si>
    <t>NVMY34535000007202</t>
  </si>
  <si>
    <t>AIN KALSID</t>
  </si>
  <si>
    <t>PERUMAHAN KEE MOTOR, LOT 17 JALAN PELAKAT SIPITANG 89850 SABAH  Sipitang Sabah - my 89850</t>
  </si>
  <si>
    <t>NVMY34535000007191</t>
  </si>
  <si>
    <t>MOTO CITY AUTO PART SDN BHD</t>
  </si>
  <si>
    <t>NO 11 , LORONG INDUSRTI IMPIAN 1 , TAMAN INDUSTRI IMPIAN , 14000 BUKIT MERTAJAM PULAU PINANG   Bukit Mertajam Pulau Pinang - my 14000</t>
  </si>
  <si>
    <t>NVMY34535000007185</t>
  </si>
  <si>
    <t>MUHAMMAD SHUKUR ABDUL RASHID</t>
  </si>
  <si>
    <t>338 JALAN BIDARA 15 RESIDENSI BIDARA 06700 PENDANG, KEDAH  Pendang Kedah - my 06700</t>
  </si>
  <si>
    <t>NVMY34535000007207</t>
  </si>
  <si>
    <t>LAWRENCE</t>
  </si>
  <si>
    <t>RNK BAKERY MART GF FLOOR, LOT 40, MEMBAKUT JAYA BARU 89720 SABAH  Membakut Sabah - my 89720</t>
  </si>
  <si>
    <t>NVMY34535000007212</t>
  </si>
  <si>
    <t>SHAHRUL AMRI</t>
  </si>
  <si>
    <t>NO 126 RRM BATU 3 1/2 LORONG BELUKAR MAJU 19 JALAN GAMBANG 25150 KUANTAN PAHANG  Kuantan Pahang - my 25150</t>
  </si>
  <si>
    <t>NVMY34535000007184</t>
  </si>
  <si>
    <t>HJ RAMLEE BIN BAHARI</t>
  </si>
  <si>
    <t>NO 28 PERSIARAN BEMBAN PAYA 49 TAMAN BEMBAN PAYA 31000 BATU GAJAH, PERAK  Batu Gajah Perak - my 31000</t>
  </si>
  <si>
    <t>N6-GAJ-49</t>
  </si>
  <si>
    <t>NVMY34535000007183</t>
  </si>
  <si>
    <t>ABDUL RONI BIN SAEDIN</t>
  </si>
  <si>
    <t>NO 23 JLN PUTRA PERDANA 1/4 TMN PUTRA PERDANA 47100 PUCHONG, SELANGOR  Selangor Telok Panglima Garang Selangor - my 47100</t>
  </si>
  <si>
    <t>NVMY34535000007219</t>
  </si>
  <si>
    <t>WAN FARIDAH BT WAN YAACOB</t>
  </si>
  <si>
    <t>LOT 2196 KG LARAK PENDEK 15100 KOTA BHARU KELANTAN  Kota Bharu Kelantan - my 15100</t>
  </si>
  <si>
    <t>NVMY34535000007197</t>
  </si>
  <si>
    <t>Siti Noly Majid</t>
  </si>
  <si>
    <t>No 56 Kg Melayu Kukup Laut  82300 Pontian Johor  Kukup Johor - my 82300</t>
  </si>
  <si>
    <t>NVMY34535000007211</t>
  </si>
  <si>
    <t>SU</t>
  </si>
  <si>
    <t>MAJLIS DAERAH PASIR MAS , KOMPLEKS APAM PUTRA , BANDAR BARU PASIR MAS , 17000 PASIR MAS KELANTAN  Pasir Mas Kelantan - my 17000</t>
  </si>
  <si>
    <t>NVMY34535000007217</t>
  </si>
  <si>
    <t>MOHD ZAID HAKIMI</t>
  </si>
  <si>
    <t>4114-10 , JALAN IKHSAN KG JALAN KEBUN , 40460 SHAH ALAM SELANGOR  Shah Alam Selangor - my 40460</t>
  </si>
  <si>
    <t>NVMY34535000007199</t>
  </si>
  <si>
    <t>Hanie Majid</t>
  </si>
  <si>
    <t>No 19 Jalan Lembing 22  Taman Puteri Wangsa 81800 Ulu Tiram Johor  Ulu Tiram Johor - my 81800</t>
  </si>
  <si>
    <t>S7A-TRM-71</t>
  </si>
  <si>
    <t>NVMY34535000007198</t>
  </si>
  <si>
    <t>Lina maryani yahaya</t>
  </si>
  <si>
    <t>no.1 lot 5425 jln sheikh jalaludin, bt 29, kg.Jenderam hulu 43800 dengkil selangor  Selangor Telok Panglima Garang Selangor - my 43800</t>
  </si>
  <si>
    <t>NVMY34535000007210</t>
  </si>
  <si>
    <t>Lea</t>
  </si>
  <si>
    <t>alamat: no 168, jalan asean 14, taman asean 2, balai panjang 75250 melaka  Melaka Melaka - my 75250</t>
  </si>
  <si>
    <t>S9A-PIA-92</t>
  </si>
  <si>
    <t>NVMY34535000007215</t>
  </si>
  <si>
    <t>ZEETAMA CORNER</t>
  </si>
  <si>
    <t>LOT 540D, JLN BESAR KANCHONG DARAT, BANTING 42700 SELANGOR (BELAKANG HOMESTAY KAYANGAN BANTING)  Telok Panglima Garang Selangor - my 42700</t>
  </si>
  <si>
    <t>K13-BAN-132</t>
  </si>
  <si>
    <t>NVMY34535000007229</t>
  </si>
  <si>
    <t>AILAH BINTI KASSIM</t>
  </si>
  <si>
    <t>SK PELABUHAN 26100 KUANTAN PAHANG  Kuantan Pahang - my 26100</t>
  </si>
  <si>
    <t>NVMY34535000007221</t>
  </si>
  <si>
    <t>YATIE AWANG</t>
  </si>
  <si>
    <t>6912 TAMAN FIKRI 2, FASA 4, 24000 KEMAMAN, TERENGGANU  Ayer Puteh Terengganu - my 24000</t>
  </si>
  <si>
    <t>NVMY34535000007233</t>
  </si>
  <si>
    <t>NIK FARHANA SYAMEEM</t>
  </si>
  <si>
    <t>LOT 57373, JALAN SEKOLAH KEBANGSAAN GONG BADAK, LORONG HADAPAN RUMAH TUMPANGAN YASEEN 21300 KUALA NERUS, TERENGGANU  Kuala Terengganu Terengganu - my 21300</t>
  </si>
  <si>
    <t>NVMY34535000007218</t>
  </si>
  <si>
    <t>MELUR</t>
  </si>
  <si>
    <t>NO 2 LALUAN SRI AMPANG 20 TAMAN SRI AMPANG 31350 IPOH, PERAK  Ipoh Perak - my 31350</t>
  </si>
  <si>
    <t>N6-HLD-48</t>
  </si>
  <si>
    <t>NVMY34535000007224</t>
  </si>
  <si>
    <t>AM PATIMAH BINTI ABU HANIPIAH</t>
  </si>
  <si>
    <t>KG KUALA GRIS 18200 KUALA KRAI, KELANTAN  Dabong Kelantan - my 18200</t>
  </si>
  <si>
    <t>NVMY34535000007213</t>
  </si>
  <si>
    <t>MARIYAH ISHAK</t>
  </si>
  <si>
    <t>NO 4 LORONG 2 TAMAN MELATI INDAH 02400 BESERI PERLIS  Kangar Perlis - my 02400</t>
  </si>
  <si>
    <t>NVMY34535000007178</t>
  </si>
  <si>
    <t>MAIZATUL AKMA BT MOHD DESA</t>
  </si>
  <si>
    <t>LOT 12348 LORONG 10 KMPUNG LARUT TIN SAMBUNGAN 34000 TAIPING PERAK   Taiping Perak - my 34000</t>
  </si>
  <si>
    <t>NVMY34535000007222</t>
  </si>
  <si>
    <t>RAZINI BINTI RAZALI</t>
  </si>
  <si>
    <t>PT 1834, TERATAK SOFEA BELAKANG JPJ TIMBANG TANAH PUTEH, 18300 GUA MUSANG KELANTAN  Gua Musang Kelantan - my 18300</t>
  </si>
  <si>
    <t>NVMY34535000007209</t>
  </si>
  <si>
    <t>Raiha Badrulhisham</t>
  </si>
  <si>
    <t>122, laluan jaya, kampung cik zainal tambahan 1, 31200 chemor perak  Chemor Perak - my 31200</t>
  </si>
  <si>
    <t>N6A-IPH-61</t>
  </si>
  <si>
    <t>NVMY34535000007214</t>
  </si>
  <si>
    <t>NORANI BT ABD SHUKOR/CIKGU ANI HARUN</t>
  </si>
  <si>
    <t>NO 75 KG TENGAH TEMERLOK 34800 TRONG, PERAK  Trong Perak - my 34800</t>
  </si>
  <si>
    <t>N6A-TPG-59</t>
  </si>
  <si>
    <t>NVMY34535000007225</t>
  </si>
  <si>
    <t>MOHAMAD ZULHELMI ISMAIL</t>
  </si>
  <si>
    <t>NO 50 LORONG BKP 28, BANDAR KUANTAN PUTRI, SUNGAI SUI 25150 KUANTAN PAHANG  Kuantan Pahang - my 25150</t>
  </si>
  <si>
    <t>NVMY34535000007216</t>
  </si>
  <si>
    <t>cipmore lokching</t>
  </si>
  <si>
    <t>246 jalan bunga kekwa felcra nasaruddin 32600 bota perak  Bota Perak - my 32600</t>
  </si>
  <si>
    <t>NVMY34535000006802</t>
  </si>
  <si>
    <t>MR IBRAHIM CHE ALI</t>
  </si>
  <si>
    <t>LOT 6852, KG AIR ASAHAN KG BATU GAJAH 17500 TANAH MERAH KELANTAN  Tanah Merah Kelantan - my 17500</t>
  </si>
  <si>
    <t>E1A-MAC-6</t>
  </si>
  <si>
    <t>NVMY34535000006718</t>
  </si>
  <si>
    <t>Returned to Sender</t>
  </si>
  <si>
    <t>Mohamad Zulfazli</t>
  </si>
  <si>
    <t xml:space="preserve">26,jalan anggerik6.taman SRI penawar  Kota tinggi Johor  81930 </t>
  </si>
  <si>
    <t>S7-PWR-63</t>
  </si>
  <si>
    <t>NVMY34535000006803</t>
  </si>
  <si>
    <t>POJAN ZAIN</t>
  </si>
  <si>
    <t>NO 1 KG JELAPAN 21450 CHALOK TERENGGANU  Chalok Terengganu - my 21450</t>
  </si>
  <si>
    <t>NVMY34535000006804</t>
  </si>
  <si>
    <t>POKHER</t>
  </si>
  <si>
    <t>NO 91 JALAN 2/6 SEKSYEN 2 BANDAR RINCHING SEMNYIH KAJANG  43500 SELANGOR  Shah Alam Selangor - my 43500</t>
  </si>
  <si>
    <t>NVMY34535000006806</t>
  </si>
  <si>
    <t>NURMANI IZZATI M. NOOR</t>
  </si>
  <si>
    <t>LOT5074, JALAN LAKLOK KG LAKLOK DALAM 22000 JERTEH TERENGGANU  Jerteh Terengganu - my 22000</t>
  </si>
  <si>
    <t>NVMY34535000006827</t>
  </si>
  <si>
    <t>SITI FATIMAH BT ABDULLAH</t>
  </si>
  <si>
    <t>NO 116 JALAN T/C2 TAMAN CAHAYA 27200 KUALA LIPIS PAHANG  Kuala Lipis Pahang - my 27200</t>
  </si>
  <si>
    <t>NVMY34535000006811</t>
  </si>
  <si>
    <t>Auni natasha</t>
  </si>
  <si>
    <t>C1-10-3A aparment cemara c1 taman bukit segar cheras 43200 cheras kuala lumpur  Kuala Lumpur Kuala Lumpur - my 43200</t>
  </si>
  <si>
    <t>NVMY34535000006819</t>
  </si>
  <si>
    <t>NUR FARAH HANIM</t>
  </si>
  <si>
    <t>NO 1 TEPI PERUMAHAN JPN SUNGAI DURIAN MASUK LORORNG KEDAI NUAR IKAN 18000 KUALA KRAI KELANTAN  Kuala Krai Kelantan - my 18000</t>
  </si>
  <si>
    <t>NVMY34535000006818</t>
  </si>
  <si>
    <t>SITI AISYAH NAJWA BT MOHD ZAWAWI</t>
  </si>
  <si>
    <t>RUMAH NO 17, JALAN SAUJANA KLIA 3/3 TAMAN SAUJANA KLIA 43900 SEPANG SELANGOR  Sepang Selangor - my 43900</t>
  </si>
  <si>
    <t>NVMY34535000006828</t>
  </si>
  <si>
    <t>ANUAR MOHAMMAD NOR</t>
  </si>
  <si>
    <t>NO 4 LORONG 13 TAMAN SRI ROMPIN, SG PUTERI 26800 KUALA ROMPIN PAHANG  Kuala Rompin Pahang - my 26800</t>
  </si>
  <si>
    <t>NVMY34535000006816</t>
  </si>
  <si>
    <t>Laili Ghazali</t>
  </si>
  <si>
    <t>Blok A.4.11 pangsapuri bistari sri perantau 42000 pelabuhan klang Selangor  Pelabuhan Klang Selangor - my 42000</t>
  </si>
  <si>
    <t>NVMY34535000006815</t>
  </si>
  <si>
    <t>MARIA MALINDA</t>
  </si>
  <si>
    <t>211 PERINGKAT 2,BANDAR CENEH BARU 24000 KEMAMAN TERENGGANU.  Ayer Puteh Terengganu - my 24000</t>
  </si>
  <si>
    <t>NVMY34535000006822</t>
  </si>
  <si>
    <t>MOHD FADLY B ALIAS</t>
  </si>
  <si>
    <t>LOT 3206,BT 51/4,JALAN KG BKT RAMBAI 75250 MELAKA  Melaka Melaka - my 75250</t>
  </si>
  <si>
    <t>NVMY34535000006805</t>
  </si>
  <si>
    <t>CAROLINA UPAH</t>
  </si>
  <si>
    <t>BIO-ENERGY SDN.BHD. BANGUNAN TSH TB9, KM7 JALAN APAS 91000 TAWAU SABAH  Tawau Sabah - my 91000</t>
  </si>
  <si>
    <t>NVMY34535000006826</t>
  </si>
  <si>
    <t>FATIN NADIAH</t>
  </si>
  <si>
    <t>NO 6, TINGKAT 1, BLOK 39, JALAN SALAK TINGGI 28/24, TAMAN ALAM MEGAH SEK28, 40400 SHAHA ALAM SELANGOR  Shah Alam Selangor - my 40400</t>
  </si>
  <si>
    <t>NVMY34535000006829</t>
  </si>
  <si>
    <t>NOR HASNI ABDULLAH HASHIM</t>
  </si>
  <si>
    <t>KAMPONG KADOK, TANJONG BESAR 27300 BENTA PAHANAG  Kuala Lipis Pahang - my 27300</t>
  </si>
  <si>
    <t>N4A-LIP-29</t>
  </si>
  <si>
    <t>NVMY34535000006807</t>
  </si>
  <si>
    <t>IZZUL RUSLI</t>
  </si>
  <si>
    <t>NO 24 JALAN TU 29 TAMAN TASIK UTAMA 75450 AYER KEROH MELAKA   Ayer Keroh Melaka - my 75450</t>
  </si>
  <si>
    <t>S9A-MTG-90</t>
  </si>
  <si>
    <t>NVMY34535000006808</t>
  </si>
  <si>
    <t>NVMY34535000006775</t>
  </si>
  <si>
    <t>MOHD FARADZI FIKRI BIN SAIDI</t>
  </si>
  <si>
    <t>135 LORONG HARUAN 8, KAMPUNG HIJRAH 93050 KUCHING SARAWAK  Kuching Sarawak - my 93050</t>
  </si>
  <si>
    <t>NVMY34535000006820</t>
  </si>
  <si>
    <t>NO55,JALAN BESAR RENGIT 83100,RENGIT JOHOR  Rengit Johor - my 83100</t>
  </si>
  <si>
    <t>NVMY34535000006825</t>
  </si>
  <si>
    <t>NVMY34535000006817</t>
  </si>
  <si>
    <t>MOHAYAH KHAMIS</t>
  </si>
  <si>
    <t>NO 89 KAMPUNG LUBOK MUKIM 1, 83600 SEMERAH BATU PAHAT JOHOR  Semerah Johor - my 83600</t>
  </si>
  <si>
    <t>NVMY34535000006835</t>
  </si>
  <si>
    <t>MOHD RODY BIN MOHD NOR @ SAMSUDIN</t>
  </si>
  <si>
    <t>KAMPUNG KUALA GERIS 18000 KUALA KRAI KELANTAN  Kuala Krai Kelantan - my 18000</t>
  </si>
  <si>
    <t>E1A-RAI-7</t>
  </si>
  <si>
    <t>NVMY34535000006821</t>
  </si>
  <si>
    <t>NIK AZMI BIN NIK ABDULLAH</t>
  </si>
  <si>
    <t>NO 14 LORONG AMAN 3 TAMAN JEBONG 34700 SIMPANG PERAK  Simpang Perak - my 34700</t>
  </si>
  <si>
    <t>NVMY34535000006813</t>
  </si>
  <si>
    <t>Zuraini Bt Ayob</t>
  </si>
  <si>
    <t>No 811 Jalan Seri Bayu 18, Taman Seri Bayu, Sg lalang, 08000 Sg Petani, Kedah  Sungai Petani Kedah - my 08000</t>
  </si>
  <si>
    <t>E3-GRN-33</t>
  </si>
  <si>
    <t>NVMY34535000006809</t>
  </si>
  <si>
    <t>HAMIDAH BINTI MHD KHALID</t>
  </si>
  <si>
    <t>RUMAH KANAK KANAK ARAU JALAN GUAR NANGKA 02600 ARAU PERLIS  Arau Perlis - my 02600</t>
  </si>
  <si>
    <t>E3-BSR-34</t>
  </si>
  <si>
    <t>NVMY34535000006834</t>
  </si>
  <si>
    <t>HAMIDAH YUSOFF</t>
  </si>
  <si>
    <t>NO 7 JALAN JAYA 6, TAMAN JAYA, BANDAR TUN RAZAK 56000 KUALA LUMPUR  Kuala Lumpur Kuala Lumpur - my 56000</t>
  </si>
  <si>
    <t>NVMY34535000006812</t>
  </si>
  <si>
    <t>Izz Amin</t>
  </si>
  <si>
    <t>No 7, Jalan Stesen Keretapi, 35900 Tanjung Malim,Perak.   Tanjong Malim Perak - my 35900</t>
  </si>
  <si>
    <t>N6-SLM-50</t>
  </si>
  <si>
    <t>NVMY34535000006847</t>
  </si>
  <si>
    <t>ASMANI</t>
  </si>
  <si>
    <t>368 Lengkok Kanan 11,Tanah Putih Baru,25150 Kuantan,Pahang Darul Makmur  Kuantan Pahang - my 25150</t>
  </si>
  <si>
    <t>NVMY34535000006814</t>
  </si>
  <si>
    <t>Ieda Aswad</t>
  </si>
  <si>
    <t>No 880,Jalan Politeknik 17,Taman Politeknik, 71050 Port Dickson N9  Si Rusa Negeri Sembilan - my 71050</t>
  </si>
  <si>
    <t>S9-PDS-85</t>
  </si>
  <si>
    <t>NVMY34535000006824</t>
  </si>
  <si>
    <t>HALIZA BINTI IBRAHIM</t>
  </si>
  <si>
    <t>H&amp;H KEREPEK HOUSE, NO 150 JALAN MACHANG BUBUK TAMAN MACHANG BUBOK 14020 BUKIT MERTAJAM.  PULAU PINANG  Bukit Mertajam Pulau Pinang - my 14020</t>
  </si>
  <si>
    <t>N5-SIM-43</t>
  </si>
  <si>
    <t>NVMY34535000006810</t>
  </si>
  <si>
    <t>Rafidah</t>
  </si>
  <si>
    <t xml:space="preserve"> NO 8604 Lorong 2C Lot Fasa 3  Kampung Tanjung Bundong   94300 Kota Samarahan   Sarawak   Kota Samarahan Sarawak - my 94300</t>
  </si>
  <si>
    <t>NVMY34535000006833</t>
  </si>
  <si>
    <t>NIK NISRINA NABIHAH</t>
  </si>
  <si>
    <t>NO 33 TAMAN HALAMAN DAMAI 08800 GUAR CHEMPEDAK KEDAH  Gurun Kedah - my 08800</t>
  </si>
  <si>
    <t>NVMY34535000006836</t>
  </si>
  <si>
    <t>NVMY34535000006837</t>
  </si>
  <si>
    <t>NVMY34535000006854</t>
  </si>
  <si>
    <t>MOHD ADAM HAFIZ</t>
  </si>
  <si>
    <t>NO 19 JALAN DAGANG 4/3 TAMAN DAGANG 68000 AMPANG SELANGOR  Ampang Selangor - my 68000</t>
  </si>
  <si>
    <t>NVMY34535000006843</t>
  </si>
  <si>
    <t>MOHAMAD AIMAN BIN SAMSOL ANUAR</t>
  </si>
  <si>
    <t>BLOK K-2-5 KAMPUNG KASTAM BAGAN JERMAL 12300 BUTTERWORTH PULAU PINANG  Butterworth Pulau Pinang - my 12300</t>
  </si>
  <si>
    <t>NVMY34535000006861</t>
  </si>
  <si>
    <t>HISHAMUDIN MOHD ISA</t>
  </si>
  <si>
    <t>NO 66 TAMAN KAJANG PERDANA 43000 KAJANG SELANGOR  Kajang Selangor - my 43000</t>
  </si>
  <si>
    <t>K14-BMC-142</t>
  </si>
  <si>
    <t>NVMY34535000006832</t>
  </si>
  <si>
    <t>HAZRIE (CIKANI)</t>
  </si>
  <si>
    <t>LOT 1080 JLN RANTAU PANJANG 42100 KLANG SELANGOR  Klang Selangor - my 42100</t>
  </si>
  <si>
    <t>NVMY34535000006838</t>
  </si>
  <si>
    <t>MOHAMAD FAHMI</t>
  </si>
  <si>
    <t>NO 16 JALAN KURONG BATANG, KAMPUNG TELOK JAMBU BINTONG 01000 KANGAR PERLIS  Kangar Perlis - my 01000</t>
  </si>
  <si>
    <t>NVMY34535000006844</t>
  </si>
  <si>
    <t>HUI LAN</t>
  </si>
  <si>
    <t>65, JALAN SUNGAI MERBAU 32/87, KEMUNING GREENVILLE, 40460 SHAH ALAM SELANGOR  Shah Alam Selangor - my 40460</t>
  </si>
  <si>
    <t>NVMY34535000006858</t>
  </si>
  <si>
    <t>SHARIFAH MARIAM BT SULAIMAN</t>
  </si>
  <si>
    <t>LOT 976, JLN SULTAN ALAM SHAH KANAN, KANCHONG DARAT, 42700 BANTING SELANGOR  Telok Panglima Garang Selangor - my 42700</t>
  </si>
  <si>
    <t>NVMY34535000006830</t>
  </si>
  <si>
    <t>PUAN NORAINI BT OTHMAN</t>
  </si>
  <si>
    <t>NO 20, BATU 5 3/4, JALAN KUALA KEDAH 06600 KUALA KEDAH, KEDAH  Kuala Kedah Kedah - my 06600</t>
  </si>
  <si>
    <t>NVMY34535000006840</t>
  </si>
  <si>
    <t>JABATAN PERKHIDMATAN AWAM MALAYSIA BAHAGIAN PENCEN</t>
  </si>
  <si>
    <t>ARAS 5, BLOK C2, KOMPLEKS C PUSAT PENTADBIRAN KERAJAAN PERSEKUTUAN 62510 PUTRAJAYA  Putrajaya Putrajaya - my 62510</t>
  </si>
  <si>
    <t>NVMY34535000006841</t>
  </si>
  <si>
    <t>FAISAL ABD RAHMAN</t>
  </si>
  <si>
    <t>G2-4-7 BAIDURI APARTMENT DESA PANDAN 55100 KUALA LUMPUR  Kuala Lumpur Kuala Lumpur - my 55100</t>
  </si>
  <si>
    <t>NVMY34535000006842</t>
  </si>
  <si>
    <t>NUR SAFFA AUNI</t>
  </si>
  <si>
    <t>KOLEJ KOMUNITI PASIR SALAK KEMENTERIAN PENGAJIAN TINGGI JALAN LEBUH PADUKA CHANGKAT LADA 36800 KAMPONG GAJAH PERAK  Kampung Gajah Perak - my 36800</t>
  </si>
  <si>
    <t>NVMY34535000006860</t>
  </si>
  <si>
    <t>SITI NUR ALIA BINTI RAMLI</t>
  </si>
  <si>
    <t>B-6-2 KUARTERS KEDIAMAN KAKITANGAN HOSPITAL SULTAN HAJI AHMAD SHAH TEMERLOH 28000 TEMERLOH PAHANG  Temerloh Pahang - my 28000</t>
  </si>
  <si>
    <t>NVMY34535000006839</t>
  </si>
  <si>
    <t>MOHAMAD FAZREN BIN AMIR</t>
  </si>
  <si>
    <t>LOT 9503 C1 JALAN SUNGAI PUTUS 42100 KLANG SELANGOR  Klang Selangor - my 42100</t>
  </si>
  <si>
    <t>NVMY34535000006845</t>
  </si>
  <si>
    <t>AZIM BIN AZMI</t>
  </si>
  <si>
    <t>NO 6 JALAN KPK 6 KEDIAMAN PRIMA KAMPAR 31900 KAMPAR PERAK  Kampar Perak - my 31900</t>
  </si>
  <si>
    <t>NVMY34535000006848</t>
  </si>
  <si>
    <t>MUHAMMAD RAIHAN BIN MUSTAFFA</t>
  </si>
  <si>
    <t>KM26, JALAN DATUK NAWAR, KAMPUNG AIR TAWAR 77300 MERLIMAU MELAKA  Merlimau Melaka - my 77300</t>
  </si>
  <si>
    <t>NVMY34535000006823</t>
  </si>
  <si>
    <t>EASYLIFE SERVICES</t>
  </si>
  <si>
    <t>D115 PLAZA SURIA, JLN PJU10/4A, DAMANSARA DAMAI, 47830 PETALING JAYA SELANGOR  Petaling Jaya Selangor - my 47830</t>
  </si>
  <si>
    <t>K11A-KEP-115</t>
  </si>
  <si>
    <t>NVMY34535000006852</t>
  </si>
  <si>
    <t>AHMAD FAKHRUDDIN</t>
  </si>
  <si>
    <t>BLOK 38-11-07 PERUMAHAN SRI TIOMAN II JALAN PERTAHANAN BATU 5, 53100 GOMBAK KUALA LUMPUR  Kuala Lumpur Kuala Lumpur - my 53100</t>
  </si>
  <si>
    <t>NVMY34535000006846</t>
  </si>
  <si>
    <t>AZAN BIN ISMAIL</t>
  </si>
  <si>
    <t>16-1-1, FLAT TAMAN SEMARAK JALAN TS, TAMAN SEMARAK 71800 NILAI NEGERI SEMBILAN  Labu Negeri Sembilan - my 71800</t>
  </si>
  <si>
    <t>NVMY34535000006850</t>
  </si>
  <si>
    <t>MOHAMMAD ZAHID HAMZAH</t>
  </si>
  <si>
    <t>1-02-13, 1 PANGSAPURI SAUJANA PERMAI 1, JALAN MUTIARA 4, PRIMA SAUJANA 43000 HULU LANGAT SELANGOR  Kajang Selangor - my 43000</t>
  </si>
  <si>
    <t>NVMY34535000006857</t>
  </si>
  <si>
    <t>EN BAHARUDDIN B MUSTAPHA</t>
  </si>
  <si>
    <t>LOT 2043, KAMPUNG BENDANG PAUH, 17040 PASIR MAS KELANTAN  Pasir Mas Kelantan - my 17040</t>
  </si>
  <si>
    <t>E1A-PAS-5</t>
  </si>
  <si>
    <t>NVMY34535000006853</t>
  </si>
  <si>
    <t>NORHAFIZAH KHAMIS</t>
  </si>
  <si>
    <t>NO24C, KAMPUNG OLAK BATU, MK7, PARIT RAJA BATU PAHAT, 86400 JOHOR  Parit Raja Johor - my 86400</t>
  </si>
  <si>
    <t>NVMY34535000006851</t>
  </si>
  <si>
    <t>AMZAE ,EE-G</t>
  </si>
  <si>
    <t>JABATAN LOGISTIK &amp; TEKNOLOGI PENGANGKUTAN (TEKNIKAL) JALAN PADANG TEMBAK 30000 IPOH PERAK  Ipoh Perak - my 30000</t>
  </si>
  <si>
    <t>NVMY34535000006855</t>
  </si>
  <si>
    <t>NORHALIZA AZIZ</t>
  </si>
  <si>
    <t>184 LORONG 2/1 TAMAN PINANG GADING 70400 SEREMBAN NEGERI SEMBILAN  Seremban Negeri Sembilan - my 70400</t>
  </si>
  <si>
    <t>NVMY34535000006831</t>
  </si>
  <si>
    <t>PUAN IRAWATI</t>
  </si>
  <si>
    <t>NO 497, JALAN SERI IMPIAN 3/11, TAMAN SERI IMPIAN 86000 KLUANG JOHOR  Kluang Johor - my 86000</t>
  </si>
  <si>
    <t>S8-KLU-76</t>
  </si>
  <si>
    <t>NVMY34535000006863</t>
  </si>
  <si>
    <t>DHIYA AISHAH</t>
  </si>
  <si>
    <t>HSBC AMANAH UNIT G-12 GROUND LEVEL, WISMA UOA 2 NO 21 JALAN PINANG 50450 KUALA LUMPUR  Kuala Lumpur Kuala Lumpur - my 50450</t>
  </si>
  <si>
    <t>NVMY34535000006795</t>
  </si>
  <si>
    <t>NORASRINI BINTI MOHD NASRI</t>
  </si>
  <si>
    <t>YCB PEMBEKAL BAHAN KEK LOT 1.33, TINGKAT BAWAH  BANGUNAN MEDAN MARA JALAN RAJA LAUT 50609 KUALA LUMPUR  Kuala Lumpur Kuala Lumpur - my 50609</t>
  </si>
  <si>
    <t>NVMY34535000006869</t>
  </si>
  <si>
    <t>WAN AMZAR MIRZA</t>
  </si>
  <si>
    <t>TING 4E, MAKTAB RENDAH SAINS MARA KOTA PUTRA (ULUL ALBAB) JALAN BUKIT KELUANG 22200 BESUT TERENGGANU  Kampung Raja Terengganu - my 22200</t>
  </si>
  <si>
    <t>NVMY34535000006849</t>
  </si>
  <si>
    <t>HASSAN ABD RASHID</t>
  </si>
  <si>
    <t>SMK BELURAN PETI SURAT 30, 90107 BELURAN SABAH  Beluran Sabah - my 90107</t>
  </si>
  <si>
    <t>NVMY34535000006864</t>
  </si>
  <si>
    <t>MUHAMMAD SUFFIAN BIN SULAIMAN</t>
  </si>
  <si>
    <t>NO 85 TAMAN DESA MELANG FASA 2, 72000 KUALA PILAH NEGERI SEMBILAN  Kuala Pilah Negeri Sembilan - my 72000</t>
  </si>
  <si>
    <t>S9-BHU-82</t>
  </si>
  <si>
    <t>NVMY34535000006870</t>
  </si>
  <si>
    <t>MUHAMMAD BIN ISKANDAR</t>
  </si>
  <si>
    <t>BLOK 4A-T02-U08 JALAN KENYALANG P9G-FASA 4, PRESINT 9, 62250 PUTRAJAYA  Putrajaya Putrajaya - my 62250</t>
  </si>
  <si>
    <t>NVMY34535000006862</t>
  </si>
  <si>
    <t>FAR</t>
  </si>
  <si>
    <t>NO 16 JALAN SERI ORKID TAMAN SERI ORKID 81300 SKUDAI JOHOR  Johor Bahru Johor - my 81300</t>
  </si>
  <si>
    <t>S7-NSJ-65</t>
  </si>
  <si>
    <t>NVMY34535000006859</t>
  </si>
  <si>
    <t>AYU</t>
  </si>
  <si>
    <t>NO 9, LINTASAN WAH KEONG 2, TAMAN WAH KEONG 31400 IPOH PERAK  Ipoh Perak - my 31400</t>
  </si>
  <si>
    <t>NVMY34535000006856</t>
  </si>
  <si>
    <t>MALINI</t>
  </si>
  <si>
    <t>1-20-22, THE RISE COLLECTION 2, THE RISE COLLECTION, JALAN DOKTOR WU LIEN TEH TIMUR LAUT, 10100 PULAU PINANG  Pulau Pinang Pulau Pinang - my 10100</t>
  </si>
  <si>
    <t>N5-GEO-44</t>
  </si>
  <si>
    <t>NVMY34535000006868</t>
  </si>
  <si>
    <t>TUN NUR ATHIRAH BINTI TUN ALI</t>
  </si>
  <si>
    <t>NO 16 JALAN RENTAK 2/4, RENTAK PERDANA PUNCAK ALAM 43200 SELANGOR  Bandar Puncak Alam Selangor - my 43200</t>
  </si>
  <si>
    <t>K13-PCK-135</t>
  </si>
  <si>
    <t>NVMY34535000006865</t>
  </si>
  <si>
    <t>TENGKU MAHSURI BT TENGKU MANSOR</t>
  </si>
  <si>
    <t>MINI MART PELADANG KAWASAN BESERI KM 11 JALAN KAKI BUKIT 02400 KANGAR PERLIS  Kangar Perlis - my 02400</t>
  </si>
  <si>
    <t>NVMY34535000006867</t>
  </si>
  <si>
    <t>FISYA SOPHIA</t>
  </si>
  <si>
    <t>RKAT BLOK G1 TINGKAT 3 PINTU 18 KEM RASCOM BATU 10 JALAN OYA 96000 SIBU SARAWAK  Sibu Sarawak - my 96000</t>
  </si>
  <si>
    <t>NVMY34535000006884</t>
  </si>
  <si>
    <t>RUSLIANA WAHAB</t>
  </si>
  <si>
    <t>KHALIL &amp; CO 305A, LORONG PERAK, MELAWATI SQUARE PUSAT BANDAR MELAWATI 53100 KUALA LUMPUR  Kuala Lumpur Kuala Lumpur - my 53100</t>
  </si>
  <si>
    <t>NVMY34535000006892</t>
  </si>
  <si>
    <t>WAN AINUL AHLAM BT WAN SHAHRUL AZUAN</t>
  </si>
  <si>
    <t>LOT 2181 NO 1 TAMAN SOLOK HAJI HAMID KAMPUNG SUNGAI UDANG KLANG 41250 SELANGOR  Klang Selangor - my 41250</t>
  </si>
  <si>
    <t>NVMY34535000006866</t>
  </si>
  <si>
    <t>NURUL NADIA JAAFAR</t>
  </si>
  <si>
    <t>KM16, KG PULAI, TMN DATO ABD AZIZ 77300 MERLIMAU MELAKA  Merlimau Melaka - my 77300</t>
  </si>
  <si>
    <t>S9A-MLM-93</t>
  </si>
  <si>
    <t>NVMY34535000006893</t>
  </si>
  <si>
    <t>LEMBAGA PEMBIAYAAN PERUMAHAN SEKTOR AWAM (LPPSA)</t>
  </si>
  <si>
    <t>KOMPLEKS KEMENTERIAN KEWANGAN NO 9 PERSIARAN PERDANA PRESINT 2 PUSAT PENTADBIRAN KERAJAAN PERSEKUTUAN 62592 PUTRAJAYA  Putrajaya Putrajaya - my 62592</t>
  </si>
  <si>
    <t>NVMY34535000006879</t>
  </si>
  <si>
    <t>NUR EDAYU ABD AZIZ</t>
  </si>
  <si>
    <t>NO 44 KG CHAPU 21700 KUALA BERANG HULU TERENGGANU, TERENGGANU  Kuala Berang Terengganu - my 21700</t>
  </si>
  <si>
    <t>NVMY34535000006889</t>
  </si>
  <si>
    <t>NOREHAN BINTI JUSOH</t>
  </si>
  <si>
    <t>NO 5 , LORONG PANDAN MAKMUR 1/2 , PERUMAHAN PANDAN MAKMUR , 25150 KUANTAN PAHANG   Kuantan Pahang - my 25150</t>
  </si>
  <si>
    <t>NVMY34535000006872</t>
  </si>
  <si>
    <t>AMIRUL</t>
  </si>
  <si>
    <t>BLOK 23-01-06, KUARTERS AWAM KEMENTERIAN PERTAHANAN SRI MUTIARA, JALAN 2/55B, BUKIT SETIAWANGSA 54200 SETIAWANGSA KUALA LUMPUR  Kuala Lumpur Kuala Lumpur - my 54200</t>
  </si>
  <si>
    <t>NVMY34535000006881</t>
  </si>
  <si>
    <t>NOR SHAFEDA</t>
  </si>
  <si>
    <t>JALAN BERIS, BACHOK PT 1314 KG PADANG BUAL 16050 BACHOK KELANTAN  Bachok Kelantan - my 16050</t>
  </si>
  <si>
    <t>NVMY34535000006887</t>
  </si>
  <si>
    <t>HANISHA KAUR</t>
  </si>
  <si>
    <t>22 , JALAN 1/3 TAMAN SUNGAI BESI INDAH , 43300 , SERI KEMBANGAN , SELANGOR  Seri Kembangan Selangor - my 43300</t>
  </si>
  <si>
    <t>NVMY34535000006874</t>
  </si>
  <si>
    <t>22, JALAN 1/3 TAMAN SUNGAI BESI INDAH 43300 SERI KEMBANGAN SELANGOR  Seri Kembangan Selangor - my 43300</t>
  </si>
  <si>
    <t>NVMY34535000006876</t>
  </si>
  <si>
    <t>SHAFAWATI</t>
  </si>
  <si>
    <t>LOT 1934 JLN LUBUK TAMAN CHEMPAKA 17500 TANAH MERAH KELANTAN  Tanah Merah Kelantan - my 17500</t>
  </si>
  <si>
    <t>NVMY34535000006877</t>
  </si>
  <si>
    <t>ARINI</t>
  </si>
  <si>
    <t>KUALA LUMPUR ISLAND SHOP, L1-E, I SETAN THE JAPAN STORE LOT 10, 50 JALAN SULTAN ISMAIL 55100 KUALA LUMPUR  Kuala Lumpur Kuala Lumpur - my 55100</t>
  </si>
  <si>
    <t>NVMY34535000006885</t>
  </si>
  <si>
    <t>RIDHWAN</t>
  </si>
  <si>
    <t>NO 503 BLOCK e 11 SEKSYEN 1 BANDAR BARU WANGSA MAJU 53300 KUALA LUMPUR   Kuala Lumpur Kuala Lumpur - my 53300</t>
  </si>
  <si>
    <t>K10A-WMJ-107</t>
  </si>
  <si>
    <t>NVMY34535000006871</t>
  </si>
  <si>
    <t>MHMD NUR ADAM BIN NOOR HISHAM</t>
  </si>
  <si>
    <t>NO 11 TAMAN RASA SAYANG FASA 1 LORONG 3, 08100 BEDONG KEDAH  Bedong Kedah - my 08100</t>
  </si>
  <si>
    <t>NVMY34535000006891</t>
  </si>
  <si>
    <t>NOR HUSNIYAH BINTI YUSOF</t>
  </si>
  <si>
    <t>PT 1854 KOTA SERIBONG BANDAR BARU TUNJONG JALAN KS 2B/2 TIONG 16010 KOTA BHARU KELANTAN   Kota Bharu Kelantan - my 16100</t>
  </si>
  <si>
    <t>NVMY34535000006894</t>
  </si>
  <si>
    <t>MO 27, LORONG PADANG JAYA 2 PERUMAHAN KG PADANG 25200 KUANTAN PAHANG  Kuantan Pahang - my 25200</t>
  </si>
  <si>
    <t>NVMY34535000006899</t>
  </si>
  <si>
    <t>NORWANI BINTI ALI</t>
  </si>
  <si>
    <t>LOT 109 KG MELAYU SUNGAI BULOH 47000 PETALING JAYA  Kuala Lumpur Kuala Lumpur - my 47000</t>
  </si>
  <si>
    <t>NVMY34535000006880</t>
  </si>
  <si>
    <t>SYAKIRAH AZIZ</t>
  </si>
  <si>
    <t>NO 16A, KAMPUNG GUAR SYED ALWI 01000 KANGAR PERLIS  Kangar Perlis - my 01000</t>
  </si>
  <si>
    <t>E3A-KGR-35</t>
  </si>
  <si>
    <t>NVMY34535000006890</t>
  </si>
  <si>
    <t>MAMA ZURAINI</t>
  </si>
  <si>
    <t>NO . 25 JALAN GEMILANG 3 , TAMAN PERINDUSTRIAN CEMERLANG , 81800 , ULU TIRAM , JOHOR   Ulu Tiram Johor - my 81800</t>
  </si>
  <si>
    <t>NVMY34535000006888</t>
  </si>
  <si>
    <t>MOHD FAED</t>
  </si>
  <si>
    <t>NO 258 JALAN KAMPUNG BARU , TELOK REMUNIA , PENGERANG JOHOR 81600  Pengerang Johor - my 81600</t>
  </si>
  <si>
    <t>NVMY34535000006902</t>
  </si>
  <si>
    <t>NORAINI BINTI AMIN</t>
  </si>
  <si>
    <t>LOT 1607 LORONG RAHMAT TELOK KAPAS KG RANTAU PANJANG 42100 KLANG SELANGOR  Klang Selangor - my 42100</t>
  </si>
  <si>
    <t>K14-RPG-143</t>
  </si>
  <si>
    <t>NVMY34535000006900</t>
  </si>
  <si>
    <t>NOOR AZLINA BINTI IBRAHIM</t>
  </si>
  <si>
    <t>NO 2-722, BLOK 2 JALAN MATAHARI U5/117 SEKSYEN U5, 40150 SHAH ALAM SELANGOR  Shah Alam Selangor - my 40150</t>
  </si>
  <si>
    <t>NVMY34535000006882</t>
  </si>
  <si>
    <t>CHE FAIRUS</t>
  </si>
  <si>
    <t>NO 9, JALAN 1 TAMAN GUAR HALBAN 02500 MATA AYER PERLIS   Perlis my 02500</t>
  </si>
  <si>
    <t>NVMY34535000006875</t>
  </si>
  <si>
    <t>AFIRUL IZAIDI</t>
  </si>
  <si>
    <t>LOT 84, JLN KG TERSUSUN PDG BESAR (U) 02100 PDG BESAR PERLIS  Padang Besar Perlis - my 02100</t>
  </si>
  <si>
    <t>RECOVERY - KV</t>
  </si>
  <si>
    <t>NVMY34535000006878</t>
  </si>
  <si>
    <t>INAI SARA</t>
  </si>
  <si>
    <t>NO 42 JALAN BAHAGIA, TAMAN BUNGA PADI 01000 KANGAR PERLIS  Kangar Perlis - my 01000</t>
  </si>
  <si>
    <t>NVMY34535000006897</t>
  </si>
  <si>
    <t>ERAWAN IAIMAN BIN ABU BAKAR</t>
  </si>
  <si>
    <t>ERAWAN LMW INDUSTRIES SDN BHD PT 11120 JALAN PULAU MERANTI TAMAN PERINDUSTRIAN MERANTI UTAMA 47120 PUCHONG SELANGOR  Puchong Selangor - my 47120</t>
  </si>
  <si>
    <t>NVMY34535000006883</t>
  </si>
  <si>
    <t>AIN SHAHRIZAN</t>
  </si>
  <si>
    <t>67 A KAMPUNG MENGKUANG LAYAR BARAT 02700 SIMPANG AMPAT PERLIS 02700 PERLIS  Simpang Ampat Perlis - my 02700</t>
  </si>
  <si>
    <t>NVMY34535000006898</t>
  </si>
  <si>
    <t>PUTERI AZLIA ROSLINA</t>
  </si>
  <si>
    <t>NO 38 LORONG 7 TAMAN SERI MAHKOTA AMAN 26070 KUANTAN PAHANG  Kuantan Pahang - my 26070</t>
  </si>
  <si>
    <t>N4A-GBG-28</t>
  </si>
  <si>
    <t>NVMY34535000006886</t>
  </si>
  <si>
    <t>NOOR HIDAYAH BINTI MOKHTAR</t>
  </si>
  <si>
    <t>no 32 JALAN KAWASARI 4 ,TAMAN KASAWARI , 14100 SIMPANG AMPAT ,PENANG   Simpang Ampat Pulau Pinang - my 14100</t>
  </si>
  <si>
    <t>NVMY34535000006895</t>
  </si>
  <si>
    <t>NORILYANA BT ZULKAFLI</t>
  </si>
  <si>
    <t>LOT 1010-5 JALAN LABU, KAMPUNG PULAU 71900 NEGERI SEMBILAN  Labu Negeri Sembilan - my 71900</t>
  </si>
  <si>
    <t>NVMY34535000006916</t>
  </si>
  <si>
    <t>NOOR HASLINA BT MOHAMAD NOOR</t>
  </si>
  <si>
    <t>C-1-03, SEMARAK APARTMENT,JALAN PUTRA PERDANA 1A,TAMAN PUTRA PERDANA,47130,SEPANG SELANGOR  Puchong Selangor - my 47130</t>
  </si>
  <si>
    <t>NVMY34535000006909</t>
  </si>
  <si>
    <t>NIK ZAKIAH</t>
  </si>
  <si>
    <t>NO 32 , LORONG 2/9 , PERUMAHAN INDERA SEMPURNA 2 ,26060 KUANTAN PAHANG   Kuantan Pahang - my 26060</t>
  </si>
  <si>
    <t>NVMY34535000006903</t>
  </si>
  <si>
    <t>IBU PEJABAT POLIS DAERAH SERI ALAM</t>
  </si>
  <si>
    <t>POLIS DIRAJA MALAYSIA, NO 5 JALAN LEMBAH, BANDAR SERI ALAM 81750 MASAI JOHOR  Masai Johor - my 81750</t>
  </si>
  <si>
    <t>NVMY34535000006901</t>
  </si>
  <si>
    <t>SIS YAN</t>
  </si>
  <si>
    <t>LINGKAT BEAUTY SEJATI WALK, BLOCK E LOT 322, TNIGKAT 1, 90000 SANDAKAN SABAH  Sandakan Sabah - my 90000</t>
  </si>
  <si>
    <t>M15-SDK-149</t>
  </si>
  <si>
    <t>NVMY34535000006917</t>
  </si>
  <si>
    <t>THE DAPO DUNGUN</t>
  </si>
  <si>
    <t>LOT 8408-8409 JALAN PAKA BATU 49 , 23000 , DUNGUN TERENGGANU   Dungun Terengganu - my 23000</t>
  </si>
  <si>
    <t>E2-DGN-16</t>
  </si>
  <si>
    <t>NVMY34535000006922</t>
  </si>
  <si>
    <t>CHE SITI SYAHIRAH</t>
  </si>
  <si>
    <t>KM3, KAMPUNG PAYA RAWA 22200 BESUT TERENGGANU  Kampung Raja Terengganu - my 22200</t>
  </si>
  <si>
    <t>NVMY34535000006873</t>
  </si>
  <si>
    <t>ISMALIS SHAFEQA</t>
  </si>
  <si>
    <t>58, JALAN CS 5, TAMAN CHENG SETIA 76450 CHENG MELAKA  Melaka Melaka - my 76450</t>
  </si>
  <si>
    <t>NVMY34535000006910</t>
  </si>
  <si>
    <t>ROBIATUL ADAWIYAH</t>
  </si>
  <si>
    <t>C-1-41, SAVANNA LIFESTYLE RETAIL , JALAN BBLS 2 , BANDAR BARU LEMBAH SELATAN 43800 DENGKIL , SELANGOR    Selangor my 43800</t>
  </si>
  <si>
    <t>NVMY34535000006920</t>
  </si>
  <si>
    <t>ZETTY ZETTY</t>
  </si>
  <si>
    <t>NO 14C LOT 5035-3D JALAN DATO AHMAD RAZALI KAMPUNG TELUK NIPAH 42920 PELABUHAN KLANG SELANGOR  Pulau Indah Selangor - my 42920</t>
  </si>
  <si>
    <t>NVMY34535000006923</t>
  </si>
  <si>
    <t>SURIYAMASLYN BINTI YUSOF</t>
  </si>
  <si>
    <t>BATU 17 KAMPUNG SUNGAI MALI 21800 AJIL TERENGGANU  Ajil Terengganu - my 21800</t>
  </si>
  <si>
    <t>NVMY34535000006928</t>
  </si>
  <si>
    <t>ZURAINI BINTI CHE MUSA</t>
  </si>
  <si>
    <t>KG PAK JAK 17000 PASIR MAS KELAMTAN  Pasir Mas Kelantan - my 17000</t>
  </si>
  <si>
    <t>NVMY34535000006896</t>
  </si>
  <si>
    <t>NUR ATIKAH</t>
  </si>
  <si>
    <t>NO 413 KAMPUNG PAYA SERDANG PADANG LEMBU 08330 GURUN KEDAH  Gurun Kedah - my 08330</t>
  </si>
  <si>
    <t>NVMY34535000006918</t>
  </si>
  <si>
    <t>MOHD FAISAL BIN AHMAD</t>
  </si>
  <si>
    <t>306 RUMAH KOS RENDAH 23200 BUKIT BESI DUNGUN TERENGGANU  Bukit Besi Terengganu - my 23200</t>
  </si>
  <si>
    <t>NVMY34535000006919</t>
  </si>
  <si>
    <t>SHAFINAS</t>
  </si>
  <si>
    <t>NO 26 LORONG 28 TAMAN MEWAH 34600 KAMUNTING PERAK  Kamunting Perak - my 34600</t>
  </si>
  <si>
    <t>NVMY34535000006932</t>
  </si>
  <si>
    <t>EN KHAIRUL MUZAYUZIL B MOHAMAD</t>
  </si>
  <si>
    <t>MO 10 LORONG 2, TAMAN TANJONG AGAS ROSA 26600 PEKAN PAHANG  Pekan Pahang - my 26600</t>
  </si>
  <si>
    <t>NVMY34535000006941</t>
  </si>
  <si>
    <t>MUHD NOR SA'AD</t>
  </si>
  <si>
    <t>640 KG GONG KEPAS DALAM 22200 BESUT TERENGGANU  Kampung Raja Terengganu - my 22200</t>
  </si>
  <si>
    <t>NVMY34535000006945</t>
  </si>
  <si>
    <t>NORAINI BINTI MOHAMED SHARIF</t>
  </si>
  <si>
    <t>MO 2 KUARTERS BARU MASJID KAMPUNG TUNKU , JALAN SS1/31 KAMPUNG TUNKU , 47300 PETALING JAYA SELANGOR   Petaling Jaya Selangor - my 47300</t>
  </si>
  <si>
    <t>K11A-PJY-114</t>
  </si>
  <si>
    <t>NVMY34535000006908</t>
  </si>
  <si>
    <t>NO 1,MEDAN SELERA NIK IKAN BAKAR,MASJID KAYANGAN BRINCANG,39100,CAMERON HIGHLAND   Pahang my 39100</t>
  </si>
  <si>
    <t>NVMY34535000006936</t>
  </si>
  <si>
    <t>E-COMM TDST SDN BHD</t>
  </si>
  <si>
    <t>LOT 1897A, JALAN KPB 9, KAWASAN PERINDUSTRIAN KG BARU BALAKONG OFF JALAN BALAKONG SERI KEMBANGAN 43300 SELANGOR DARUL EHSAN  Seri Kembangan Selangor - my 43300</t>
  </si>
  <si>
    <t>K12A-CHE-126</t>
  </si>
  <si>
    <t>NVMY34535000006939</t>
  </si>
  <si>
    <t>SULIKASMAMUNI BINTI MOHD YUSOFF</t>
  </si>
  <si>
    <t>L1-3-11 PANGSAPURI PAHLAWAN TAMAN TUN PERAK 43200 CHERAS, SELANGOR  Kuala Lumpur Kuala Lumpur - my 43200</t>
  </si>
  <si>
    <t>NVMY34535000006951</t>
  </si>
  <si>
    <t>MOHD SUKERI BIN NEH</t>
  </si>
  <si>
    <t>NO 17 FELDA JENGKA 4 26500 MARAN PAHANG  Maran Pahang - my 26500</t>
  </si>
  <si>
    <t>NVMY34535000006905</t>
  </si>
  <si>
    <t>MOHAMAD SUFIAN BIN AHMAD (2021894172)</t>
  </si>
  <si>
    <t>TAR3, 309 UITM CAWANGAN TERENGGANU  KAMPUS BUKIT BESI 23200 BUKIT BESI DUNGUN TERENGGANU  Bukit Besi Terengganu - my 23200</t>
  </si>
  <si>
    <t>NVMY34535000006946</t>
  </si>
  <si>
    <t>RAJA MUNIRA RAJA MUKHTAR</t>
  </si>
  <si>
    <t>LOT 239 , KG PENGKALAN BATU , 17000 PASIR MAS KELANTAN  Pasir Mas Kelantan - my 17000</t>
  </si>
  <si>
    <t>NVMY34535000006915</t>
  </si>
  <si>
    <t>ZAINAB BT MAN</t>
  </si>
  <si>
    <t>TASCO BERHAD ,1441,LORONG PERUSAHAAN MAJU 8,PRAI INDUSTRIAL ESTATE,13600 PRAI PENANG  Perai Pulau Pinang - my 13600</t>
  </si>
  <si>
    <t>NVMY34535000006927</t>
  </si>
  <si>
    <t>NA ZAR</t>
  </si>
  <si>
    <t>RUMAH BELAKANG KOLAM UDANG, SELEKOH 36200 PERAK  Selekoh Perak - my 36200</t>
  </si>
  <si>
    <t>NVMY34535000006926</t>
  </si>
  <si>
    <t>NOORADILA</t>
  </si>
  <si>
    <t>LOT B124, LORONG 14, ROSE GARDEN KINARUT, JALAN KINARUT SPUR 89600 PAPAR SABAH  Papar Sabah - my 89600</t>
  </si>
  <si>
    <t>NVMY34535000006948</t>
  </si>
  <si>
    <t>MARLYNA MOHD</t>
  </si>
  <si>
    <t>LOT 2943 KAMPUNG BUKIT CHENDERING KUALA TERENGGANU 21080 TERENGGANU  Kuala Terengganu Terengganu - my 21080</t>
  </si>
  <si>
    <t>NVMY34535000006907</t>
  </si>
  <si>
    <t>NURUL</t>
  </si>
  <si>
    <t>NO . 62F , KAMPUNG TANJUNG KALA 33300 , GERIK , PERAK , MALAYSIA    Perak my 33300</t>
  </si>
  <si>
    <t>N6A-GER-56</t>
  </si>
  <si>
    <t>NVMY34535000006921</t>
  </si>
  <si>
    <t>HANIE MAJID</t>
  </si>
  <si>
    <t>NO 19 JALAN LEMBING 22 TAMAN PUTERI WANGSA 81800 ULU TIRAM JOHOR  Ulu Tiram Johor - my 81800</t>
  </si>
  <si>
    <t>NVMY34535000006914</t>
  </si>
  <si>
    <t>RARA ROSLAN</t>
  </si>
  <si>
    <t>2-31-05,APARTMENT ITAT JALAN INDAH 4,57000 BUKIT JALIL KUALA LUMPUR  Kuala Lumpur Kuala Lumpur - my 57000</t>
  </si>
  <si>
    <t>NVMY34535000006929</t>
  </si>
  <si>
    <t>ROHANI BINTI HASHIM</t>
  </si>
  <si>
    <t>01-04 BLOK A2,  FLAT SEROJA TAMAN SEROJA 81200 JOHOR  Johor Bahru Johor - my 81200</t>
  </si>
  <si>
    <t>NVMY34535000006935</t>
  </si>
  <si>
    <t>AZURA BINTI ABDUL RAHIM</t>
  </si>
  <si>
    <t>NO 10 , JALAN SEPAH PUTERI 5/22A , DAMANSARA EMAS , KOTA DAMANSARA 47810 PETALING JAYA SELANGOR   Petaling Jaya Selangor - my 47810</t>
  </si>
  <si>
    <t>K10A-DAM-106</t>
  </si>
  <si>
    <t>NVMY34535000006924</t>
  </si>
  <si>
    <t>JASNI HJ DURAHMAN</t>
  </si>
  <si>
    <t>NO 18 TAMAN RIMBUNAN KASEH SUNDAR LAWAS 98800 SARAWAK  Lawas Sarawak - my 98800</t>
  </si>
  <si>
    <t>NVMY34535000006949</t>
  </si>
  <si>
    <t>KAK AIDA</t>
  </si>
  <si>
    <t>NO 9 LORONG BFP 87 TAMAN PERUMAHAN QORDZIA @ PERSIS UJANA 25150 KUANTAN PAHANG   Kuantan Pahang - my 25150</t>
  </si>
  <si>
    <t>NVMY34535000006944</t>
  </si>
  <si>
    <t>NOR AKASHAH BIN MOHD RAZALI</t>
  </si>
  <si>
    <t>KOS BOM, ADTEC KEMAMAN PAYOH KEMAMAN 24210 TERENGGANU  Kuala Terengganu Terengganu - my 24210</t>
  </si>
  <si>
    <t>N4-CHU-19</t>
  </si>
  <si>
    <t>NVMY34535000006947</t>
  </si>
  <si>
    <t>CEKSUE SHOP</t>
  </si>
  <si>
    <t>LOT 1093 KG LEMAL 17000 PASIR MAS KELANTAN  Pasir Mas Kelantan - my 17000</t>
  </si>
  <si>
    <t>NVMY34535000006930</t>
  </si>
  <si>
    <t>EN HAMIDI B MOHD SARUMAN</t>
  </si>
  <si>
    <t>NO 11, JALAN 31/KU4, TAMAN HIJRAH 2, KG RANTAU PANJANG 42100 KLANG SELANGOR  Klang Selangor - my 42100</t>
  </si>
  <si>
    <t>NVMY34535000006942</t>
  </si>
  <si>
    <t>ADIB &amp; RISYA</t>
  </si>
  <si>
    <t>27 JALAN 3/14, SEKSYEN 3 BANGI PERDANA 43650, BANDAR BARU BANGI, SELANGOR  Bandar Baru Bangi Selangor - my 43650</t>
  </si>
  <si>
    <t>NVMY34535000006940</t>
  </si>
  <si>
    <t>MOHAMAD IKHWAN BIN BANI YAMI</t>
  </si>
  <si>
    <t>B 04 08 BLOK B APARTMENT SEROJA JALAN PUTRA PERDANA 10 PUCHONG SELANGOR 47100  Telok Panglima Garang Selangor - my 47100</t>
  </si>
  <si>
    <t>NVMY34535000006943</t>
  </si>
  <si>
    <t>AR &amp; PARTNERS</t>
  </si>
  <si>
    <t>3A-16, FLOOR 3A, SAVILLE KAJANG JALAN REKO 43000 KAJANG SELANGOR  Kajang Selangor - my 43000</t>
  </si>
  <si>
    <t>NVMY34535000006962</t>
  </si>
  <si>
    <t>HASNAH ABDUL RAHMAN</t>
  </si>
  <si>
    <t>100 KG BUKIT BERANGAN , TEPOH 21060 KUALA NERUS TERENGGANU   Kuala Terengganu Terengganu - my 21060</t>
  </si>
  <si>
    <t>NVMY34535000006953</t>
  </si>
  <si>
    <t>MOHD HAMZAH BIN ZAKARIA</t>
  </si>
  <si>
    <t>E4-3-304 PANSAPURI SRI MERANTI PSN MERANTI BANDAR SRI DAMANSARA PJU 9, 52200 KUALA LUMPUR  Kuala Lumpur Kuala Lumpur - my 52200</t>
  </si>
  <si>
    <t>NVMY34535000006933</t>
  </si>
  <si>
    <t>ROZITA OSMAN</t>
  </si>
  <si>
    <t>NO 22 , HALA RAPAT BARU 26 , TAMAN TAUFIK , 31350 IPOH , PERAK KINTA , PERAK , 31350  Ipoh Perak - my 31350</t>
  </si>
  <si>
    <t>NVMY34535000006970</t>
  </si>
  <si>
    <t>DR FATIN AMIRAH BT RAHIM</t>
  </si>
  <si>
    <t>EID SOFEA CLINIC BUKIT RAJA JALAN MAHKOTA 1/KU2, MUTIARA BUKIT RAJA 2, 41050 KLANG SELANGOR  Klang Selangor - my 41050</t>
  </si>
  <si>
    <t>K10-ALM-98</t>
  </si>
  <si>
    <t>NVMY34535000006925</t>
  </si>
  <si>
    <t>SAFARIDAH JAFFAR</t>
  </si>
  <si>
    <t>SABDULRIMAN MAT KASSIM IKM KOTA KINABALU NO 3 (LOT 5) MALAWA ZONE KKIP SELATAN 2, 88460 KOTA KINABALU SABAH  KOTA KINABALU   MY 88460</t>
  </si>
  <si>
    <t>NVMY34535000006934</t>
  </si>
  <si>
    <t>KHAIRUL NISA</t>
  </si>
  <si>
    <t>NO 1546 , LORONG TENGGIRI 5 , TAMAN SAMUDERA , 32040 MANJUNG , PERAK , 32040  Seri Manjong Perak - my 32040</t>
  </si>
  <si>
    <t>NVMY34535000006938</t>
  </si>
  <si>
    <t>NORIRMAYANTI BINTI ISMAIL</t>
  </si>
  <si>
    <t>NO 20 JALAN M14 TAMAN MERBOK 75450 BUKIT KATIL, MELAKA  Ayer Keroh Melaka - my 75450</t>
  </si>
  <si>
    <t>NVMY34535000006937</t>
  </si>
  <si>
    <t>NORSHAZLEEN SULAIMAN</t>
  </si>
  <si>
    <t>JKR 192 BEREK POLIS BEHRANG STESEN 35950 BEHRANG PERAK  Behrang Stesen Perak - my 35950</t>
  </si>
  <si>
    <t>NVMY34535000006957</t>
  </si>
  <si>
    <t>MUHAMMAD RIZAL IBRAHIM</t>
  </si>
  <si>
    <t>NO 18 JLN DESA RESTU 1 DESA RESTU 43900 SEPANG SELANGOR  Sepang Selangor - my 43900</t>
  </si>
  <si>
    <t>NVMY34535000006956</t>
  </si>
  <si>
    <t>SITI ASMA FALSA MADZLAN</t>
  </si>
  <si>
    <t>39-1 JALAN TAIPING , OFF JALAN PAHANG 50400 KUALA LUMPUR  Kuala Lumpur Kuala Lumpur - my 50400</t>
  </si>
  <si>
    <t>NVMY34535000006968</t>
  </si>
  <si>
    <t>NABILAH BINTI MOHD FADZIL</t>
  </si>
  <si>
    <t>WISMA PELAUT , NO 2, JALAN DEPOH 42000 PELABUHAN KLANG, SELANGOR  Pelabuhan Klang Selangor - my 42000</t>
  </si>
  <si>
    <t>NVMY34535000006964</t>
  </si>
  <si>
    <t>MOHAMAD AIMAN BIN MOHD RAZALI</t>
  </si>
  <si>
    <t>LOT 1955/1 KAMPUNG PALAS MERAH CHABANG EMPAT 16210 TUMPAT KELANTAN  Tumpat Kelantan - my 16210</t>
  </si>
  <si>
    <t>NVMY34535000006931</t>
  </si>
  <si>
    <t>PUAN AISHAH BT MAT DERUS</t>
  </si>
  <si>
    <t>LOT 3059, KG KANDANG HILIR, KOTA LAMA KANAN, 33040 KUALA KANGSAR PERAK  Kuala Kangsar Perak - my 33040</t>
  </si>
  <si>
    <t>N6A-SAR-57</t>
  </si>
  <si>
    <t>NVMY34535000006950</t>
  </si>
  <si>
    <t>MOHAMAD EDDY</t>
  </si>
  <si>
    <t>9 JALAN KEBANGSAAN 62, TAMAN UNIVERSITI SKUDAI 81300 JOHOR  Johor Bahru Johor - my 81300</t>
  </si>
  <si>
    <t>NVMY34535000006955</t>
  </si>
  <si>
    <t>ALIF AZIZ</t>
  </si>
  <si>
    <t>NO 231 TAMAN DESA JAYA , 26400 BANDAR PUSAT JENGKA , PAHANG DARUL MAKMUR  Bandar Pusat Jengka Pahang - my 26400</t>
  </si>
  <si>
    <t>NVMY34535000006960</t>
  </si>
  <si>
    <t>KOLEJ KEDIAMAN 1 UNIVERSITI SAINS ISLAM MALAYSIA NILAI NEGERI SEMBILAN  Labu Negeri Sembilan - my 71800</t>
  </si>
  <si>
    <t>NVMY34535000006966</t>
  </si>
  <si>
    <t>NURUL ASYIKIN BINTI ZULKEPFLI</t>
  </si>
  <si>
    <t>BLOK 25-0-7 PERUMAHAN POLIS DESA TASIK 57000 SUNGAI BESI, KUALA LUMPUR  Kuala Lumpur Kuala Lumpur - my 57000</t>
  </si>
  <si>
    <t>K12A-BTR-125</t>
  </si>
  <si>
    <t>NVMY34535000006904</t>
  </si>
  <si>
    <t>AWANG ZAINAL ABIDIN</t>
  </si>
  <si>
    <t>HOSPITAL MESRA BUKIT PADANG PETI SURAT 11342, 88815 KOTA KINABALU SABAH  Kota Kinabalu Sabah - my 88815</t>
  </si>
  <si>
    <t>NVMY34535000006980</t>
  </si>
  <si>
    <t>AFAS FAHMIE</t>
  </si>
  <si>
    <t>LOT PT 41370 BLKG BALAI POLIS TEPOH 21060 KUALA NERUS TERENGGANU  Kuala Terengganu Terengganu - my 21060</t>
  </si>
  <si>
    <t>NVMY34535000006975</t>
  </si>
  <si>
    <t>KHAIROL ANUAR AZMAN</t>
  </si>
  <si>
    <t>LOT 1301 KAMPUNG PADANG, GELONG BILAL 21100 KUALA TERENGGANU  Kuala Terengganu Terengganu - my 21100</t>
  </si>
  <si>
    <t>NVMY34535000006997</t>
  </si>
  <si>
    <t>NAJWA SHAFIQA</t>
  </si>
  <si>
    <t>UNIT NO 1128, 11TH FLOOR BLOK A DAMANSARA INTAN NO 1 JALAN SS20/27, 47400 PETALING JAYA SELANGOR  Petaling Jaya Selangor - my 47400</t>
  </si>
  <si>
    <t>NVMY34535000006961</t>
  </si>
  <si>
    <t>ZURAINA YUSOF</t>
  </si>
  <si>
    <t>NO 125 , JALAN GADONG JAYA 1 , TAMAN GADONG JAYA LABU , 71900 NEGERI SEMBILAN   Labu Negeri Sembilan - my 71900</t>
  </si>
  <si>
    <t>NVMY34535000006996</t>
  </si>
  <si>
    <t>AINUN MARDIAH</t>
  </si>
  <si>
    <t>987 JALAN 1/22 TAMAN RASAH JAYA 70300 SEREMBAN NEGERI SEMBILAN  Seremban Negeri Sembilan - my 70300</t>
  </si>
  <si>
    <t>NVMY34535000006987</t>
  </si>
  <si>
    <t>SHAQEENA ELZAHRA BT MOHD ZHAFRI</t>
  </si>
  <si>
    <t>NO 14 LORONG 1 JALAN BI 14 TAMAN BERTAM IMPIAN 76450 MELAKA  Melaka Melaka - my 76450</t>
  </si>
  <si>
    <t>NVMY34535000006989</t>
  </si>
  <si>
    <t>SUDIN BIN HAMID</t>
  </si>
  <si>
    <t>NO 50,JALAN SAUJANA KLIA 2/4,SAUJANA KLIA 43900 SEPANG SELANGOR  Sepang Selangor - my 43900</t>
  </si>
  <si>
    <t>NVMY34535000006982</t>
  </si>
  <si>
    <t>NOR ZIZI WAHAB</t>
  </si>
  <si>
    <t>687-1 JALAN BELIA KG BARU KEMASEK 24200 KEMASEK TERENGGANU  Kemasek Terengganu - my 24200</t>
  </si>
  <si>
    <t>NVMY34535000006952</t>
  </si>
  <si>
    <t>MOHD JUZAILI BIN MOHAMOOD KLINIK</t>
  </si>
  <si>
    <t>DESA BATU 4, JALAN FELCRA 86600 KAMPUNG PALOH JOHOR  Paloh Johor - my 86600</t>
  </si>
  <si>
    <t>NVMY34535000006979</t>
  </si>
  <si>
    <t>MOHAMAD MAT HUSSIN</t>
  </si>
  <si>
    <t>NO 46 JALAN 7/20 TAMAN PUTERA PERDANA PUCHONG 47130 SELANGOR  Puchong Selangor - my 47130</t>
  </si>
  <si>
    <t>NVMY34535000006967</t>
  </si>
  <si>
    <t>TANUSHA A/P KHATHIGESU</t>
  </si>
  <si>
    <t>NO 21, JALAN SILAT CEKAK 20, BANDAR SELESA JAYA 81300 SKUDAI JOHOR  Johor Bahru Johor - my 81300</t>
  </si>
  <si>
    <t>NVMY34535000006965</t>
  </si>
  <si>
    <t>MAZNI BINTI MD NOOR</t>
  </si>
  <si>
    <t>1193 (C) JALAN BENDAHARI KAMPUNG TOK OTEK, 13100 PENAGA SEBERANG PERAI UTARA PULAU PINANG  Penaga Pulau Pinang - my 13100</t>
  </si>
  <si>
    <t>NVMY34535000006984</t>
  </si>
  <si>
    <t>ZARIFAH MOHAMAD</t>
  </si>
  <si>
    <t>SYSTEM PROTECTION 7 MAINTENANCE SDN BHD, NO 17 &amp; 19, JALAN ASTAKA U8/83 BUKIT JELUTONG BUSINESS AND TECHOLOGY CENTRE SHAH ALAM 40150 SELANGOR  Shah Alam Selangor - my 40150</t>
  </si>
  <si>
    <t>NVMY34535000006976</t>
  </si>
  <si>
    <t>MUSTAQIM</t>
  </si>
  <si>
    <t>NO 23 JALAN BB 2/2 TAMAN BANTING BARU BANTING 42700 SELANGOR  Banting Selangor - my 42700</t>
  </si>
  <si>
    <t>NVMY34535000006958</t>
  </si>
  <si>
    <t>FAUZI BIN WAN CHIK</t>
  </si>
  <si>
    <t>JABATAN PERTANIAN NEGERI PULAU PINANG, JALAN KULIM CHEROK TOK KUN 14000 BUKIT MERTAJAM  Bukit Mertajam Pulau Pinang - my 14000</t>
  </si>
  <si>
    <t>NVMY34535000006986</t>
  </si>
  <si>
    <t>MARDHIAH MOHAMAD</t>
  </si>
  <si>
    <t>SEKSYEN 8, BANDAR BARU BANGI 43650 SELANGOR  Bandar Baru Bangi Selangor - my 43650</t>
  </si>
  <si>
    <t>NVMY34535000006994</t>
  </si>
  <si>
    <t>NOR FARHANA ABD RAZAK</t>
  </si>
  <si>
    <t>E-4-8 PANGSAPURI ENGGANG JALAN KINRARA 6F, BANDAR KINRARA 47180 PUCHONG, SELANGOR  Puchong Selangor - my 47180</t>
  </si>
  <si>
    <t>NVMY34535000006963</t>
  </si>
  <si>
    <t>MOHDAMAD AMRI BIN MAT YASIN</t>
  </si>
  <si>
    <t>NO 32 JALAN SILAT PAYUNG 7 BANDAR SELESA JAYA 81300 SKUDAI JOHOR  Johor Bahru Johor - my 81300</t>
  </si>
  <si>
    <t>NVMY34535000006954</t>
  </si>
  <si>
    <t>MIRA</t>
  </si>
  <si>
    <t>NO 44 JALAN TIONG 1 TAMAN SCIENTEX PASIR GUDANG 81700 JOHOR  Pasir Gudang Johor - my 81700</t>
  </si>
  <si>
    <t>S7A-MAS-70</t>
  </si>
  <si>
    <t>NVMY34535000006969</t>
  </si>
  <si>
    <t>JARINAH BINTI JALIL</t>
  </si>
  <si>
    <t>KG TAMBUN JALAN PEKAN LAMA 89108 KOTA MARUDU SABAH DIBAWAH BAYU  Kota Marudu Sabah - my 89108</t>
  </si>
  <si>
    <t>NVMY34535000006985</t>
  </si>
  <si>
    <t>VIGILANTD</t>
  </si>
  <si>
    <t>A07-14 BLOK A, PERMAS VILLE APARTMENT JALAN PERMAS 3, PERMAS JAYA 81750 MASAI JOHOR  Masai Johor - my 81750</t>
  </si>
  <si>
    <t>S7A-PSG-68</t>
  </si>
  <si>
    <t>NVMY34535000006992</t>
  </si>
  <si>
    <t>FATIHAH MUKHTAR</t>
  </si>
  <si>
    <t>ELNA PCB(M) SDN BHD PLOT 558,LORONG PERUSAHAAN 4,FREE TRADE ZONE,PRAI INDUSTRIAL ESTATE,13600 PRAI PENANG  Perai Pulau Pinang - my 13600</t>
  </si>
  <si>
    <t>NVMY34535000006999</t>
  </si>
  <si>
    <t>DARLIMGMEO PLUSSIZE</t>
  </si>
  <si>
    <t>UNIT NO , E-3A-08 BLOCK E , STARPARC POINT 53300 SETAPAK KUALA LUMPUR  Kuala Lumpur Kuala Lumpur - my 53300</t>
  </si>
  <si>
    <t>K12A-DNK-130</t>
  </si>
  <si>
    <t>NVMY34535000007028</t>
  </si>
  <si>
    <t>NUR LIYANA BINTI MOHD AZAHAR</t>
  </si>
  <si>
    <t>LOT 657 KAMPUNG BATU HITAM 17500 TANAH MERAH KELANTAN  Tanah Merah Kelantan - my 17500</t>
  </si>
  <si>
    <t>NVMY34535000006972</t>
  </si>
  <si>
    <t>6912 TAMAN FIKRI 2, FASA 4, 24000 KEMAMAN TERENGGANU  Ayer Puteh Terengganu - my 24000</t>
  </si>
  <si>
    <t>NVMY34535000007015</t>
  </si>
  <si>
    <t>NURIN NAZIFA BINTI CHE RAHIM</t>
  </si>
  <si>
    <t>LOT 2343, KAMPUNG PONDOK BARU PADANG SIAM 17500 TANAH MERAH KELANTAN  Tanah Merah Kelantan - my 17500</t>
  </si>
  <si>
    <t>NVMY34535000007013</t>
  </si>
  <si>
    <t>NURUL IZZATI BINTI ZULKIFLEE</t>
  </si>
  <si>
    <t>LOT 871 B JALAN MASJID BUT 16450 KETEREH KELANTAN  Ketereh Kelantan - my 16450</t>
  </si>
  <si>
    <t>NVMY34535000007014</t>
  </si>
  <si>
    <t>ROSDIANA IRDAWATI BINTI ABD RAHMAN</t>
  </si>
  <si>
    <t>1018 TAMAN ZARAH 18500 MACHANG KELANTAN  Machang Kelantan - my 18500</t>
  </si>
  <si>
    <t>NVMY34535000006995</t>
  </si>
  <si>
    <t>NO 3 JALAN DATOK JALOK, PEKAN TAMPOK 82200 BENUT PONTIAN JOHOR  Benut Johor - my 82200</t>
  </si>
  <si>
    <t>NVMY34535000007022</t>
  </si>
  <si>
    <t>SYAFIAH AUNI BINTI CHE NOH</t>
  </si>
  <si>
    <t>PT 580 JALAN 6, TAMAN DESA DARUL NAIM 16150 PASIR TUMBOH KELANTAN  Kota Bharu Kelantan - my 16150</t>
  </si>
  <si>
    <t>NVMY34535000007018</t>
  </si>
  <si>
    <t>UMI HANIE BINTI SAUDI</t>
  </si>
  <si>
    <t>C43-AP JALAN KUBANG GALI KAMPUNG TEPI SUNGAI 17500 TANAH MERAH KELANTAN  Tanah Merah Kelantan - my 17500</t>
  </si>
  <si>
    <t>NVMY34535000007024</t>
  </si>
  <si>
    <t>SITI NUR AMIRAH BINTI KAMAL ROHAIZAT</t>
  </si>
  <si>
    <t>NON 17 JALAN SS25/39A, TAMAN MAYANG 47301 PETALING JAYA SELANGOR  Petaling Jaya Selangor - my 47301</t>
  </si>
  <si>
    <t>K11-ARA-110</t>
  </si>
  <si>
    <t>NVMY34535000006991</t>
  </si>
  <si>
    <t>ILIAS KHASIM</t>
  </si>
  <si>
    <t>NO 18,KAMPUNG PERUPOK 06900 YAN KEDAH  Yan Kedah - my 06900</t>
  </si>
  <si>
    <t>NVMY34535000006977</t>
  </si>
  <si>
    <t>NO 1 MEDAN SELERA NIK IKAN BAKAR MASJID KAYANGAN BRINCANG 39100 CAMERON HIGHLANDS PAHANG  Brinchang Pahang - my 39100</t>
  </si>
  <si>
    <t>NVMY34535000006978</t>
  </si>
  <si>
    <t>NVMY34535000007029</t>
  </si>
  <si>
    <t>Qistina indah</t>
  </si>
  <si>
    <t>No 168, Jalan Residensi SIGC 6, Residensi SIGC, 70400, seremban  Seremban Negeri Sembilan - my 70400</t>
  </si>
  <si>
    <t>NVMY34535000007026</t>
  </si>
  <si>
    <t>CHE NOR SYAHERAH BINTI CHE' MAZNI</t>
  </si>
  <si>
    <t>PT 501 TAMAN GADING GALOH MERBAU CHONDONG 16600 PULAU CHONDONG KELANTAN  Pulai Chondong Kelantan - my 16600</t>
  </si>
  <si>
    <t>NVMY34535000006974</t>
  </si>
  <si>
    <t>NOR</t>
  </si>
  <si>
    <t>MR READ SDN BHD LOT G03 GROUND FLOOR, AEON MALL TEBRAU CITY, NO 1 JALAN DESA TEBRAU 81100 JOHOR BAHRU  Johor Bahru Johor - my 81100</t>
  </si>
  <si>
    <t>NVMY34535000007025</t>
  </si>
  <si>
    <t>AZILA BINTI MAKHTAR</t>
  </si>
  <si>
    <t>KG SUNGAI GARAM, MANEK URAI KUALA KRAI KELANTAN  Kuala Krai Kelantan - my 18000</t>
  </si>
  <si>
    <t>NVMY34535000007007</t>
  </si>
  <si>
    <t>BLOK A.4.11 FLAT SRI PERANTAU 42000 PELABUHAN KLANG  Pelabuhan Klang Selangor - my 42000</t>
  </si>
  <si>
    <t>NVMY34535000006971</t>
  </si>
  <si>
    <t>MADIANA</t>
  </si>
  <si>
    <t>16D KG SRI PURNAMA, KANGKAR TEBRAU 81100 TEBRAU JOHOR  Johor Bahru Johor - my 81100</t>
  </si>
  <si>
    <t>NVMY34535000007020</t>
  </si>
  <si>
    <t>NIK AMIYRAH BINTI NIK AZMI</t>
  </si>
  <si>
    <t>KG KELEWEK HILIR KUBUR 17500 TANAH MERAH KELANTAN  Tanah Merah Kelantan - my 17500</t>
  </si>
  <si>
    <t>NVMY34535000006973</t>
  </si>
  <si>
    <t>01-04 BLOK A2, FLAT SEROJA, TAMAN SEROJA 81200 JOHOR   Johor Bahru Johor - my 81200</t>
  </si>
  <si>
    <t>NVMY34535000007021</t>
  </si>
  <si>
    <t>NUR AISYAH BT ZULKIFLI</t>
  </si>
  <si>
    <t>D-18 JALAN KLINIK 17500 TANAH MERAH KELANTAN  Tanah Merah Kelantan - my 17500</t>
  </si>
  <si>
    <t>NVMY34535000007001</t>
  </si>
  <si>
    <t>NUR ZURIATINA</t>
  </si>
  <si>
    <t>LOT 3489, JALAN PAK WE MIE, KAMPUNG GONG HALT, KUALA KRAU 28050 TEMERLOH PAHANG  Kuala Krau Pahang - my 28050</t>
  </si>
  <si>
    <t>N4-JER-23</t>
  </si>
  <si>
    <t>NVMY34535000007023</t>
  </si>
  <si>
    <t>CHE NORHAFIDAH BINTI CHE MOHD NAWI</t>
  </si>
  <si>
    <t>NO RUMAH 119-B, KG KEDAI BULOH JALAN KUALA BESAR, 15350 KOTA  BHARU KELANTAN  Kota Bharu Kelantan - my 15350</t>
  </si>
  <si>
    <t>NVMY34535000006983</t>
  </si>
  <si>
    <t>PAKMOK</t>
  </si>
  <si>
    <t>NO 163 , JALAN TAMAN MERU 3 , TAMAN MERU 1B , 30020 IPOH , PERAK DARUL RIDZUAN   Ipoh Perak - my 30020</t>
  </si>
  <si>
    <t>NVMY34535000007017</t>
  </si>
  <si>
    <t>NURHAMIMI BINTI MOHAMAD</t>
  </si>
  <si>
    <t>PT 2487 TAMAN KALA PERDANA LORONG TKP9, JALAN MELOR 16400 KOTA BHARU KELANTAN  Melor Kelantan - my 16400</t>
  </si>
  <si>
    <t>NVMY34535000006981</t>
  </si>
  <si>
    <t>SAKINAHAQSHA</t>
  </si>
  <si>
    <t>DTEKUN PARCEL, M09 CAFETERIA TEKUN, DESASISWA TEKUN 11800 USM PENANG  USM Pulau Pinang Pulau Pinang - my 11800</t>
  </si>
  <si>
    <t>NVMY34535000006993</t>
  </si>
  <si>
    <t>NIK MOHD YUSRIN</t>
  </si>
  <si>
    <t>NO 86,BATU 13 1/2 KAMPUNG RAMBAI MUKIM BUKIT RAYA PENDAN KEDAH  Pendang Kedah - my 06660</t>
  </si>
  <si>
    <t>NVMY34535000007016</t>
  </si>
  <si>
    <t>NORFAIZATUL ASHIIKIN BINTI ASMADI</t>
  </si>
  <si>
    <t>MAJLIS DAERAH MACHANG, JALAN TOK KEMUNING 18500 MACHANG KELANTAN  Machang Kelantan - my 18500</t>
  </si>
  <si>
    <t>NVMY34535000007002</t>
  </si>
  <si>
    <t>EN NORAZILAH B ABD HAMID</t>
  </si>
  <si>
    <t>NO 3 DEPAN PAM MINYAK LAMA FELDA JENGKA 1, 26400 BANDAR PUSAT JENGKA PAHANG  Bandar Pusat Jengka Pahang - my 26400</t>
  </si>
  <si>
    <t>NVMY34535000007005</t>
  </si>
  <si>
    <t>EN ABDUL MALIK B ABDUULLAH</t>
  </si>
  <si>
    <t>NO 5 JALAN MEWAH 2/7, PANDAN MEWAH 68000 AMPANG SELANGOR  Ampang Selangor - my 68000</t>
  </si>
  <si>
    <t>K11-TMJ-113</t>
  </si>
  <si>
    <t>NVMY34535000006990</t>
  </si>
  <si>
    <t>SITI ROSNANI</t>
  </si>
  <si>
    <t>KG BARU PADANG TELELA PAUH 02600 ARAU PERLIS  Arau Perlis - my 02600</t>
  </si>
  <si>
    <t>NVMY34535000007019</t>
  </si>
  <si>
    <t>NOR HASMAWATI BINTI ISHAK</t>
  </si>
  <si>
    <t>LOT 1821 KAMPUNG CHERANG CHABANG EMPAT 16210 TUMPAT KELANTAN  Tumpat Kelantan - my 16210</t>
  </si>
  <si>
    <t>NVMY34535000007027</t>
  </si>
  <si>
    <t>AMNANI BINTI AMRAN</t>
  </si>
  <si>
    <t>A-01-05, JALAN SH1/1A SELAYANG HEIGHT 68100 BATU CAVES SELANGOR  Batu Caves Selangor - my 68100</t>
  </si>
  <si>
    <t>K12-SLG-122</t>
  </si>
  <si>
    <t>NVMY34535000006998</t>
  </si>
  <si>
    <t>SITI NURFATUL</t>
  </si>
  <si>
    <t>GERAI BUAH SIMPANG 4 KAMPUNG SUNGAI SAM LUAR 18000 KUALA KRAI , KELANTAN   Kuala Krai Kelantan - my 18000</t>
  </si>
  <si>
    <t>NVMY34535000006988</t>
  </si>
  <si>
    <t>ZAKARIAH C/O HANZALAH</t>
  </si>
  <si>
    <t>NO88,JALAN UTAMA TENGAH KAMPUNG MELAYU MAJIDEE 81100 JOHOR BHARU  Johor Bahru Johor - my 81100</t>
  </si>
  <si>
    <t>NVMY34535000007036</t>
  </si>
  <si>
    <t>PUAN RASYIDAH ISMAIL</t>
  </si>
  <si>
    <t>LOT 9875A, JALAN BUKIT MUNDOK BUKIT LAWANG 21210 KUALA TERENGGANU  Kuala Terengganu Terengganu - my 20100</t>
  </si>
  <si>
    <t>E2-AJL-13</t>
  </si>
  <si>
    <t>NVMY34535000007030</t>
  </si>
  <si>
    <t>MAZLINA MAT ALI</t>
  </si>
  <si>
    <t>BALAI POLIS CHENOR 28100 CHENOR PAHANG  Chenor Pahang - my 28100</t>
  </si>
  <si>
    <t>N4A-JKA-24</t>
  </si>
  <si>
    <t>NVMY34535000007000</t>
  </si>
  <si>
    <t>FAIZAH YUSRI</t>
  </si>
  <si>
    <t>NO 8 JALAN PJU 7/6 MUTIARA DAMANSARA 47800 PETALING JAYA SELANGOR  Petaling Jaya Selangor - my 47800</t>
  </si>
  <si>
    <t>NVMY34535000007006</t>
  </si>
  <si>
    <t>EN DAUD B MD SAMAN</t>
  </si>
  <si>
    <t>NO 18 PERSIARAN TENGGIRI, SEBERANG JAYA 13700 PERAI PULAU PINANG  Perai Pulau Pinang - my 13700</t>
  </si>
  <si>
    <t>NVMY34535000007011</t>
  </si>
  <si>
    <t>AH LIM</t>
  </si>
  <si>
    <t>62 JALAN HASAN KAMPONG BENTONG KLUANG 86000 JOHOR  Kluang Johor - my 86000</t>
  </si>
  <si>
    <t>NVMY34535000007033</t>
  </si>
  <si>
    <t>SALMIAH BINTI SABDIN</t>
  </si>
  <si>
    <t>NO 59 JALAN DTS 3 TAMAN DESA TAMING SARI 76300 SUNGAI UDANG MELAKA   Sungai Udang Melaka - my 76300</t>
  </si>
  <si>
    <t>NVMY34535000007035</t>
  </si>
  <si>
    <t>DATO' HAJI OHD NOR AB LATIF</t>
  </si>
  <si>
    <t>NORZAL AGROFARM, LOT 2391, TANJONG JAMBU 27200 KUALA LIPIS PAHANG  Kuala Lipis Pahang - my 27200</t>
  </si>
  <si>
    <t>NVMY34535000007003</t>
  </si>
  <si>
    <t>EN ZAINI</t>
  </si>
  <si>
    <t>1249 UNIT 5, KAMPONG SUNGAI SINTOK PERMATANG PASIR 13500 SEBERANG PRAI TENGAH PULAU PINANG  Permatang Pauh Pulau Pinang - my 13500</t>
  </si>
  <si>
    <t>NVMY34535000007012</t>
  </si>
  <si>
    <t>NUR IZZATI SYAHIRAH BINTI YACOB</t>
  </si>
  <si>
    <t>2-16-08, LEBUH SG ARA 1 TMN SERI ACRES SG ARA 11920 BAYAN LEPAS PULAU PINANG  , - , Bayan Lepas , Pulau Pinang Bayan Lepas Pulau Pinang - MY 11920</t>
  </si>
  <si>
    <t>N5-BAY-45</t>
  </si>
  <si>
    <t>NVMY34535000007037</t>
  </si>
  <si>
    <t>MUHAMMAD NOOR</t>
  </si>
  <si>
    <t>A-1-2 PPR TAMAN MULIA, TAMAN TUN RAZAK CHERAS 56000 KUALA LUMPUR  Kuala Lumpur Kuala Lumpur - my 56000</t>
  </si>
  <si>
    <t>NVMY34535000007009</t>
  </si>
  <si>
    <t>HAIQAL ZAFRAN</t>
  </si>
  <si>
    <t>NO 7, JALAN TAMAN MAERU 14, TAMAN MERU 2B, JELAPANG 30020 IPOH PERAK  Ipoh Perak - my 30020</t>
  </si>
  <si>
    <t>NVMY34535000007004</t>
  </si>
  <si>
    <t>NVMY34535000007008</t>
  </si>
  <si>
    <t>AHMAD DINIY SYARIZAL</t>
  </si>
  <si>
    <t>NO A1 KAMPUNG KUAH MUKIM KUAH 07000 LANGKAWI KEDAH  Langkawi Kedah - my 07000</t>
  </si>
  <si>
    <t>NVMY34535000007031</t>
  </si>
  <si>
    <t>MOHD ZAHARI</t>
  </si>
  <si>
    <t>72D KG SEBERANG PUMPONG DAERAH MASJID 05150 ALOR SETAR KEDAH   Kedah my 05150</t>
  </si>
  <si>
    <t>NVMY34535000007034</t>
  </si>
  <si>
    <t>NURUL SHARIZA BINTI AHMAD</t>
  </si>
  <si>
    <t>FLAT SEMARAK 12-G-6 JLN TS TMN SEMARAK 71800 NILAI NEGERI SEMBILAN  Labu Negeri Sembilan - my 71800</t>
  </si>
  <si>
    <t>NVMY34535000007043</t>
  </si>
  <si>
    <t>NURUL ATIEQA</t>
  </si>
  <si>
    <t>P3-10-08 PANGSAPURI SERI PINANG , JALAN SETIA PERMAI U13/40 , SETIA ALAM 41070 SHAH ALAM SELANGOR  Shah Alam Selangor - my 40170</t>
  </si>
  <si>
    <t>NVMY34535000007046</t>
  </si>
  <si>
    <t>MIMI ANITA HJ ABDULLAH</t>
  </si>
  <si>
    <t>2-5-3  , BLOK 2 GUGUSAN MATAHARI , JALAN CAMAR 4/5 KOTA DAMANSARA SEKSYEN 4 , 47810 SELANGOR  Petaling Jaya Selangor - my 47810</t>
  </si>
  <si>
    <t>NVMY34535000007042</t>
  </si>
  <si>
    <t>MUHAMAD AMIR ZAMRI</t>
  </si>
  <si>
    <t>LOT C-10-16 PALM GARDEN APARTMENT PERSIARAN BUKIT RAJA, KAWASAN 17 BANDAR BARU KLANG 41150 KLANG SELANGOR  Klang Selangor - my 41150</t>
  </si>
  <si>
    <t>NVMY34535000007048</t>
  </si>
  <si>
    <t>Nor Suhada BT ibrahim</t>
  </si>
  <si>
    <t>PT 804 PANTAI GETING D'GETING BEACH RESORT 16080 TUNPAT KELANTAN  Tumpat Kelantan - my 16080</t>
  </si>
  <si>
    <t>NVMY34535000007047</t>
  </si>
  <si>
    <t>Siti nurahanita bt zainul abidin</t>
  </si>
  <si>
    <t>Pejabat pengarah tanah dan galian negeri kelantan Blok 3, kompleks kota darulnaim, 15576 kota bharu, kelantan.  Kota Bharu Kelantan - my 15576</t>
  </si>
  <si>
    <t>NVMY34535000007045</t>
  </si>
  <si>
    <t>NOR AZIRA MAT HASAN</t>
  </si>
  <si>
    <t>196 KAMPUNG BARU AIR TAWAR, 22200 BESUT TERENGGANU  Kampung Raja Terengganu - my 22200</t>
  </si>
  <si>
    <t>NVMY34535000007041</t>
  </si>
  <si>
    <t>NURIN AYUNI SYAZWANI</t>
  </si>
  <si>
    <t>17516 KG BALAI MARAS KUALA TERENGGANU BATU RAKIT 21020 TERENGGANU  Kuala Terengganu Terengganu - my 21020</t>
  </si>
  <si>
    <t>NVMY34535000007054</t>
  </si>
  <si>
    <t>PUAN HALIMAH BT AB RAHMAN</t>
  </si>
  <si>
    <t>BLOCK C 80A KG MELAYU SRI KUNDANG 48050 RAWANG, SELANGOR  Rawang Selangor - my 48050</t>
  </si>
  <si>
    <t>NVMY34535000007055</t>
  </si>
  <si>
    <t>AHMAD SHUQRAN SHAQIRAN BIN SAUFI</t>
  </si>
  <si>
    <t>BLOCK 43-10-06 PPR GOMBAK SETIA 53100 KUALA LUMPUR  Hulu Langat Kuala Lumpur - my 53100</t>
  </si>
  <si>
    <t>NVMY34535000007039</t>
  </si>
  <si>
    <t>NVMY34535000007220</t>
  </si>
  <si>
    <t>SOOHAINEE MASEELA</t>
  </si>
  <si>
    <t>NO 16 JALAN BERLIAN TAMAN BERLIAN 68100 BATU CAVES, SELANGOR  Batu Caves Selangor - my 68100</t>
  </si>
  <si>
    <t>NVMY34535000007232</t>
  </si>
  <si>
    <t>RAFIDAH</t>
  </si>
  <si>
    <t>NO 81 , JALAN 2 , TAMAN AMPANG JAYA 68000 AMPANG SELANGOR   Ampang Selangor - my 68000</t>
  </si>
  <si>
    <t>NVMY34535000007227</t>
  </si>
  <si>
    <t>SITI AISYAH</t>
  </si>
  <si>
    <t>BLOK F 03-01 JALAN ROSMERAH 3/3 TAMAN JOHOR JAYA 81100 JOHOR BAHRU, JOHOR  Johor Bahru Johor - my 81100</t>
  </si>
  <si>
    <t>NVMY34535000007226</t>
  </si>
  <si>
    <t>LOT 1030 &amp; 1070 JLN KUALA KANGSAR 34700 SIMPANG TAIPING PERAK  Simpang Perak - my 34700</t>
  </si>
  <si>
    <t>NVMY34535000007234</t>
  </si>
  <si>
    <t>ZAIDATUL AMIRAH</t>
  </si>
  <si>
    <t>33 JALAN SULTAN ABDUL SAMAD 47, BANDAR SULTAN SULAIMAN PELABUHAN KLANG 42000, SELANGOR  Pelabuhan Klang Selangor - my 42000</t>
  </si>
  <si>
    <t>NVMY34535000007236</t>
  </si>
  <si>
    <t>INTAN ZIN</t>
  </si>
  <si>
    <t>LOT 2768 JLN HJ AGIL KG KUBANG DURIAN GELUGOR KEDAI 20050 KUALA TERENGGANU  Kuala Terengganu Terengganu - my 20050</t>
  </si>
  <si>
    <t>NVMY34535000007223</t>
  </si>
  <si>
    <t>AZZURA BTE AZIZ</t>
  </si>
  <si>
    <t>BAHAGIAN PEPERIKSAAN BANGUNAN PEPERIKSAAN UNIVERSITI MALAYA , 50603 KUALA LUMPUR  Kuala Lumpur Kuala Lumpur - my 50603</t>
  </si>
  <si>
    <t>NVMY34535000007240</t>
  </si>
  <si>
    <t>SITI HAFAWATI BINTI HAMID</t>
  </si>
  <si>
    <t>LOT 1572 KAMPUNG DELIMA 16250 WAKAF BHARU, KELANTAN  Wakaf Bharu Kelantan - my 16250</t>
  </si>
  <si>
    <t>NVMY34535000007228</t>
  </si>
  <si>
    <t>SITI KHADIJAH ABD GHONI</t>
  </si>
  <si>
    <t>NO 3B KG PADANG STANG 33320 GRIK PERAK  Gerik Perak - my 33320</t>
  </si>
  <si>
    <t>NVMY34535000007242</t>
  </si>
  <si>
    <t>PT 804 PANTAI GETING D'GETING BEACH RESORT 16080 TUMPAT KELANTAN  Tumpat Kelantan - my 16080</t>
  </si>
  <si>
    <t>NVMY34535000007239</t>
  </si>
  <si>
    <t>KONG WOI LEE</t>
  </si>
  <si>
    <t>PT 30130-30131, OFF JALAN JOHAN 2/1A, ESTET PERINDUSTRIAN PENGKALAN II, 31550 PUSING, PERAK  Pusing Perak - my 31550</t>
  </si>
  <si>
    <t>NVMY34535000007231</t>
  </si>
  <si>
    <t>NO5 , JALAN MELATI , AIR HITAM , 86100 AYER HITAM JOHOR  Ayer Hitam Johor - my 86100</t>
  </si>
  <si>
    <t>NVMY34535000007241</t>
  </si>
  <si>
    <t>NO 9 JALAN ST 11, TAMAN SAUJANA TEHEL, 77200 MELAKA  Bemban Melaka - my 77200</t>
  </si>
  <si>
    <t>S9A-JAS-91</t>
  </si>
  <si>
    <t>NVMY34535000007247</t>
  </si>
  <si>
    <t>SURIATI ABD RAHMAN</t>
  </si>
  <si>
    <t>126 KAMPUNGTASEK MASJID, BUKIT PAYONG 21400 MARANG TERENGGANU  Bukit Payong Terengganu - my 21400</t>
  </si>
  <si>
    <t>NVMY34535000007244</t>
  </si>
  <si>
    <t>NORAIZAH ABDUL SAMAH</t>
  </si>
  <si>
    <t>32-04-07 FLAT SRI MELAKA 56000 CHERAS KUALA LUMPUR  Kuala Lumpur Kuala Lumpur - my 56000</t>
  </si>
  <si>
    <t>NVMY34535000007248</t>
  </si>
  <si>
    <t>NORAZLINA BT ANUAR</t>
  </si>
  <si>
    <t>SEKOLAH KEBANGSAAN KEPALA BATAS, 13100 KEPALA BATAS PULAU PINANG  Kepala Batas Pulau Pinang - my 13200</t>
  </si>
  <si>
    <t>NVMY34535000007230</t>
  </si>
  <si>
    <t>Yeong Mee ping</t>
  </si>
  <si>
    <t xml:space="preserve">No.193 Lot 1384 Lorong 6 Jalan Sentebu Taman Susur Jambu, 96100, Sarikei, Sarawak  </t>
  </si>
  <si>
    <t>E1A-KBR-4</t>
  </si>
  <si>
    <t>NVMY34535000007249</t>
  </si>
  <si>
    <t>NAZRUL NAIM BIN HASRIZAL</t>
  </si>
  <si>
    <t>M6-G-10 APARTMENT SERI BINTANG,JALAN NOVA U5/45 40150,SHAH ALAM,SELANGOR  Shah Alam Selangor - my 40150</t>
  </si>
  <si>
    <t>NVMY34535000007245</t>
  </si>
  <si>
    <t>SHITAH AMAN</t>
  </si>
  <si>
    <t>B9-14-21 DESA MENTARI 2 JALAN PJS 2B/1, 46000 PETALING JAYA SELANGOR  Petaling Jaya Selangor - my 46000</t>
  </si>
  <si>
    <t>NVMY34535000007235</t>
  </si>
  <si>
    <t>NURSHAMSHARAIN BT MOHAMED BASHR</t>
  </si>
  <si>
    <t>NO 52, LORONG PINGGIRAN BERTAM 9, BERTAM PERDANA 4, 13200 KEPALA BATAS PULAU PINANG  Kepala Batas Pulau Pinang - my 13200</t>
  </si>
  <si>
    <t>NVMY34535000007252</t>
  </si>
  <si>
    <t>MUHD SYAHRIL</t>
  </si>
  <si>
    <t>NO 1 TAMAN MARIKH 72200 BATU KIKIR NEGERI SEMBILAN  Batu Kikir Negeri Sembilan - my 72200</t>
  </si>
  <si>
    <t>NVMY34535000007259</t>
  </si>
  <si>
    <t>EN FAIZUL B MUDA</t>
  </si>
  <si>
    <t>8055, TAMAN PADANG SETENGER, 21700 KUALA BERANG HULU TERENGGANU, TERENGGANU  Kuala Berang Terengganu - my 21700</t>
  </si>
  <si>
    <t>NVMY34535000007258</t>
  </si>
  <si>
    <t>Hamrita binti Mohd Nor</t>
  </si>
  <si>
    <t>1860-5 kampung geliga baru,24000 Kemaman Terengganu   Ayer Puteh Terengganu - my 24000</t>
  </si>
  <si>
    <t>NVMY34535000007246</t>
  </si>
  <si>
    <t>FAZLEE FESUL</t>
  </si>
  <si>
    <t>LOT 1352 JALAN KENANGA SIJANGKANG TELOK PANGLIMA GARANG 42500 SELANGOR  Telok Panglima Garang Selangor - my 42500</t>
  </si>
  <si>
    <t>NVMY34535000007255</t>
  </si>
  <si>
    <t>UMMI SITI BINTI ABU BAKAR</t>
  </si>
  <si>
    <t>480 KAMPUNG TELUK MENARA,MANIR,  21200 KUALA TERENGGANU, TERENGGANU DARUL IMAN  Kuala Terengganu Terengganu - my 21200</t>
  </si>
  <si>
    <t>A2-PYG-25-17</t>
  </si>
  <si>
    <t>NVMY34535000007262</t>
  </si>
  <si>
    <t>139A, KG MASJID HAJI KHADIR 21100 KUALA TERENGGANU, TERENGGANU  Kuala Terengganu Terengganu - my 21100</t>
  </si>
  <si>
    <t>NVMY34535000007237</t>
  </si>
  <si>
    <t>MOHD AZIM EDEUARD BIN ABDULLAH</t>
  </si>
  <si>
    <t xml:space="preserve">GIATMARA LIMBAWANG PETI SURAT 484 , JALAN KUARTERS JKR 89800 BEAUFORT SABAH  </t>
  </si>
  <si>
    <t>A1-KBR-29-4</t>
  </si>
  <si>
    <t>NVMY34535000007253</t>
  </si>
  <si>
    <t>SUHAIRIATI BINTI MD NAYAN</t>
  </si>
  <si>
    <t>NO 1 JALAN TPS 4/7 TAMAN PELANGI SEMENYIH 43500 SEMENYIH, SELANGOR  Shah Alam Selangor - my 43500</t>
  </si>
  <si>
    <t>D4-SYH-8-131</t>
  </si>
  <si>
    <t>NVMY34535000007256</t>
  </si>
  <si>
    <t>BUTIK WAWA CUTE KIDZ WEAR</t>
  </si>
  <si>
    <t>LOT 522(B) KEDAI ATAS JALAN SULTAN ALAM SHAH KANCHONG DARAT 42700 BANTING SELANGOR  Telok Panglima Garang Selangor - my 42700</t>
  </si>
  <si>
    <t>D4-BAN-6-137</t>
  </si>
  <si>
    <t>NVMY34535000007264</t>
  </si>
  <si>
    <t>ALYAA</t>
  </si>
  <si>
    <t>NO 26 LORONG MELUR 5 TAMAN PERTAMA 45200 SABAK BERNAM, SELANGOR  Sabak Bernam Selangor - my 45200</t>
  </si>
  <si>
    <t>D3-SBR-14-120</t>
  </si>
  <si>
    <t>NVMY34535000007238</t>
  </si>
  <si>
    <t>NORSUZILAH ABDUL RAHMAN</t>
  </si>
  <si>
    <t>LOT 254 TINGKAT 1 NO 3 WISMA SITI NOOR BATIK (HADAPAN HF 41 BUNDLE) JALAN BAYAM 15200 KOTA BHARU KELANTAN  Kelantan Kota Bharu Kelantan - my 15200</t>
  </si>
  <si>
    <t>NVMY34535000007260</t>
  </si>
  <si>
    <t>EN MUNZIR BIN OTHMAN</t>
  </si>
  <si>
    <t>NO 1 CHEMOR IMPIAN 13, DESA CHEMOR IMPIAN, 31200 CHEMOR, PERAK  Chemor Perak - my 31200</t>
  </si>
  <si>
    <t>NVMY34535000007261</t>
  </si>
  <si>
    <t>IRAWATI</t>
  </si>
  <si>
    <t>NO 497, JALAN SERI IMPIAN 3/11, TAMAN SERI IMPIAN, 86000 KLUANG JOHOR  Kluang Johor - my 86000</t>
  </si>
  <si>
    <t>C2-KLU-5-76</t>
  </si>
  <si>
    <t>NVMY34535000007257</t>
  </si>
  <si>
    <t>Jamilah Bee Binti Majid Khan</t>
  </si>
  <si>
    <t>A - 2 - 12 Pangsapuri Wakaf An Nur Jalan Teluk Air Tawar 13050 Butterworth Pulau Pinang  Butterworth Pulau Pinang - my 13050</t>
  </si>
  <si>
    <t>NVMY34535000007272</t>
  </si>
  <si>
    <t>AMIRULLAH KARIM</t>
  </si>
  <si>
    <t>NO 6 , LORONG KAMPUNG PADANG 26 JALAN SG LEMBING PAKR KAMPUNG FASA 2 26080 KUANTAN PAHANG   Kuantan Pahang - my 26080</t>
  </si>
  <si>
    <t>NVMY34535000007277</t>
  </si>
  <si>
    <t>HASLAN B RAHMAT</t>
  </si>
  <si>
    <t>BEREK POLIS IPD KUALA KRAI 18000 KUALA KRAI KELANTAN   Kuala Krai Kelantan - my 18000</t>
  </si>
  <si>
    <t>NVMY34535000007254</t>
  </si>
  <si>
    <t>FARIDAH BT ABD LATIF</t>
  </si>
  <si>
    <t>A35 LORONG 2 TMN SRI HARAPAN 09200 KUPANG, KEDAH  Kupang Kedah - my 09200</t>
  </si>
  <si>
    <t>A3-BAL-21-27</t>
  </si>
  <si>
    <t>NVMY34535000007250</t>
  </si>
  <si>
    <t>NVMY34535000007273</t>
  </si>
  <si>
    <t>MOHD RAIS BIN MOHAMAD</t>
  </si>
  <si>
    <t>SEKOLAH KEBANGSAAN STAR 18300 GUA MUSANG, KELANTAN  Gua Musang Kelantan - my 18300</t>
  </si>
  <si>
    <t>AB1-GUA-27-10</t>
  </si>
  <si>
    <t>NVMY34535000007268</t>
  </si>
  <si>
    <t>TANIA MARSELLA</t>
  </si>
  <si>
    <t>D-2-11 APARTMENT SIANTAN, JALAN PUTRA PERDANA 3A, 47130 PUCHONG, SELANGOR  Puchong Selangor - my 47130</t>
  </si>
  <si>
    <t>D4-CJY-8-132</t>
  </si>
  <si>
    <t>NVMY34535000007265</t>
  </si>
  <si>
    <t>HALIMAH BT MOHD MEERAH</t>
  </si>
  <si>
    <t>KEDAI JAHIT EMMA MEERA NO 36 JLN PJS 2C/22, TAMAN MEDAN 46000 PETALING JAYA SELANGOR  Petaling Jaya Selangor - my 46000</t>
  </si>
  <si>
    <t>NVMY34535000007266</t>
  </si>
  <si>
    <t>AMALINA AZWA</t>
  </si>
  <si>
    <t>LOT 1959, B3 JALAN NENAS KG BUKIT KAPAR 42200 KLANG SELANGOR  Kapar Selangor - my 42200</t>
  </si>
  <si>
    <t>D3-MRU-10-127</t>
  </si>
  <si>
    <t>NVMY34535000007251</t>
  </si>
  <si>
    <t>MOHD SOLIHIN BIN JUNAIDI</t>
  </si>
  <si>
    <t>NO 6 JALAN SG 4/10 TAMAN SRI GOMBAK 68100 BATU CAVES SELANGOR  Batu Caves Selangor - my 68100</t>
  </si>
  <si>
    <t>NVMY34535000007243</t>
  </si>
  <si>
    <t>BALQIESH</t>
  </si>
  <si>
    <t>CHIP NGAI ENGINEERING SDN WORKS, LOT 7907, BATU 11 JALAN BALAKONG 43300 SERI KEMBANGAN SELANGOR  Seri Kembangan Selangor - my 43300</t>
  </si>
  <si>
    <t>NVMY34535000007263</t>
  </si>
  <si>
    <t>Roszeta Binti Hassan</t>
  </si>
  <si>
    <t>Jamarizal Bin Ahmad UPMKB,Pusat Pertanian Putra (PPP),peti surat 396, Jalan Nyabau 97008 Bintulu Sarawak  Bintulu Sarawak - my 97008</t>
  </si>
  <si>
    <t>NVMY34535000007284</t>
  </si>
  <si>
    <t>NAJWA SYAFIQA</t>
  </si>
  <si>
    <t>UNIT NO 1128, 11TH FLOOR BLOCK A, DAMANSARA INTAN NO 1 JALAN SS20/27, 47400 PETALING JAYA, SELANGOR  Petaling Jaya Selangor - my 47400</t>
  </si>
  <si>
    <t>D1-PJY-22-102</t>
  </si>
  <si>
    <t>NVMY34535000007271</t>
  </si>
  <si>
    <t>NASIMAH</t>
  </si>
  <si>
    <t>NO 49 , JALAN BERLIAN 4 TAMAN DAIMAN JAYA KOTA TINGGI JOHOR   Kota Tinggi Johor - my 81900</t>
  </si>
  <si>
    <t>NVMY34535000007289</t>
  </si>
  <si>
    <t>TRADE FINANCE DEPARTMENT SUITE 8.0, 8TH FLOOR WISMA MARAN NO 28 MEDAN PASAR 50050 KUALA LUMPUR  Kuala Lumpur Kuala Lumpur - my 50050</t>
  </si>
  <si>
    <t>D2-CKT-18-112</t>
  </si>
  <si>
    <t>NVMY34535000007286</t>
  </si>
  <si>
    <t>U/P EN MUHAMMAD ZAIM BIN AB HAMID/EN MOHD NAJIB BIN AMBAK</t>
  </si>
  <si>
    <t>KEMENTERIAN PENDIDIKAN MALAYSIA BAHAGIAN PEMBANGUNAN, ARAS 6, BLOK E2, KOMPLEKS E, PUSAT PENTADBIRAN KERAJAAN PERSEKUTUAN 62604 WP PUTRAJAYA  Putrajaya Putrajaya - my 62604</t>
  </si>
  <si>
    <t>NVMY34535000007283</t>
  </si>
  <si>
    <t>MOHD FITRI BIN JALIL</t>
  </si>
  <si>
    <t>AVISENA SPECIALIST HOSPITAL NO 4 JALAN IKHTISAS SEKSYEN 14, 40000 SHAH ALAM, SELANGOR  Shah Alam Selangor - my 40000</t>
  </si>
  <si>
    <t>D1-SHA-26-95</t>
  </si>
  <si>
    <t>NVMY34535000007267</t>
  </si>
  <si>
    <t>SYED SYAHRIL BIN SYED SALIM</t>
  </si>
  <si>
    <t>CIVIL AVIATION AUTHORITY OF MALAYSIA PUSAT KAWALAN TRAFIK UDARA KOTA KINABALU, JALAN KEPAYAN 88618 KOTA KINABALU SABAH  Kota Kinabalu Sabah - my 88618</t>
  </si>
  <si>
    <t>E1-PMP-1-156</t>
  </si>
  <si>
    <t>NVMY34535000007276</t>
  </si>
  <si>
    <t>MUHAMMAD AMAR BIN DAUD</t>
  </si>
  <si>
    <t>EG 20 JALAN AMAN 2 TAMAN KAJANG UTAMA 43000 SELANGOR   Kajang Selangor - my 43000</t>
  </si>
  <si>
    <t>D2-KAJ-16-117</t>
  </si>
  <si>
    <t>NVMY34535000007269</t>
  </si>
  <si>
    <t>YEONG MEE PING</t>
  </si>
  <si>
    <t>NO 193 LOT 1384 LORONG 6 JALAN SENTEBU TAMAN SUSUR JAMBU 96100 SARIKEI SARAWAK  Sarikei Sarawak - my 96100</t>
  </si>
  <si>
    <t>NVMY34535000007274</t>
  </si>
  <si>
    <t>EYECSI</t>
  </si>
  <si>
    <t>GGA 3-93 , KWC , NO 2 JALAN GELUGOR , CITY CENTRE KUALA LUMPUR 55200  Kuala Lumpur Kuala Lumpur - my 55200</t>
  </si>
  <si>
    <t>D3-SHM-10-128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</si>
</sst>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7679-F001-4958-BBD7-FAA2B5EBE0E9}">
  <dimension ref="A1:AH479"/>
  <sheetViews>
    <sheetView tabSelected="1" workbookViewId="0">
      <selection sqref="A1:AH477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1</v>
      </c>
      <c r="P2" s="8">
        <v>45213.498599537037</v>
      </c>
      <c r="Q2" s="9">
        <v>45215</v>
      </c>
      <c r="R2" t="s">
        <v>37</v>
      </c>
      <c r="S2" t="s">
        <v>44</v>
      </c>
      <c r="T2" t="s">
        <v>45</v>
      </c>
      <c r="U2" t="s">
        <v>46</v>
      </c>
      <c r="V2" t="s">
        <v>47</v>
      </c>
      <c r="W2">
        <v>6000</v>
      </c>
      <c r="X2" t="s">
        <v>44</v>
      </c>
      <c r="Y2" t="s">
        <v>48</v>
      </c>
      <c r="Z2" t="s">
        <v>49</v>
      </c>
      <c r="AA2" s="10">
        <f>IF(O2&lt;=1,7,7+0.8*ROUNDUP(O2-1,0))</f>
        <v>7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34" si="0">(AA2+AC2+AE2)*6%</f>
        <v>0.42</v>
      </c>
      <c r="AG2" s="11">
        <f t="shared" ref="AG2:AG34" si="1">AA2+AC2+AE2+AF2</f>
        <v>7.42</v>
      </c>
      <c r="AH2" t="s">
        <v>50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51</v>
      </c>
      <c r="G3" t="s">
        <v>37</v>
      </c>
      <c r="H3" t="s">
        <v>38</v>
      </c>
      <c r="I3" t="s">
        <v>52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1</v>
      </c>
      <c r="P3" s="8">
        <v>45214.527766203704</v>
      </c>
      <c r="Q3" s="9">
        <v>45215</v>
      </c>
      <c r="R3" t="s">
        <v>37</v>
      </c>
      <c r="S3" t="s">
        <v>44</v>
      </c>
      <c r="T3" t="s">
        <v>45</v>
      </c>
      <c r="U3" t="s">
        <v>53</v>
      </c>
      <c r="V3" t="s">
        <v>54</v>
      </c>
      <c r="W3">
        <v>16800</v>
      </c>
      <c r="X3" t="s">
        <v>44</v>
      </c>
      <c r="Y3" t="s">
        <v>55</v>
      </c>
      <c r="Z3" t="s">
        <v>49</v>
      </c>
      <c r="AA3" s="10">
        <f>IF(O3&lt;=1,7,7+0.8*ROUNDUP(O3-1,0))</f>
        <v>7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0.42</v>
      </c>
      <c r="AG3" s="11">
        <f t="shared" si="1"/>
        <v>7.42</v>
      </c>
      <c r="AH3" t="s">
        <v>50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56</v>
      </c>
      <c r="G4" t="s">
        <v>37</v>
      </c>
      <c r="H4" t="s">
        <v>38</v>
      </c>
      <c r="I4" t="s">
        <v>57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1</v>
      </c>
      <c r="P4" s="8">
        <v>45214.665902777779</v>
      </c>
      <c r="Q4" s="9">
        <v>45215</v>
      </c>
      <c r="R4" t="s">
        <v>37</v>
      </c>
      <c r="S4" t="s">
        <v>44</v>
      </c>
      <c r="T4" t="s">
        <v>45</v>
      </c>
      <c r="U4" t="s">
        <v>53</v>
      </c>
      <c r="V4" t="s">
        <v>58</v>
      </c>
      <c r="W4">
        <v>15150</v>
      </c>
      <c r="X4" t="s">
        <v>44</v>
      </c>
      <c r="Y4" t="s">
        <v>55</v>
      </c>
      <c r="Z4" t="s">
        <v>49</v>
      </c>
      <c r="AA4" s="10">
        <f>IF(O4&lt;=1,7,7+0.8*ROUNDUP(O4-1,0))</f>
        <v>7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t="s">
        <v>50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59</v>
      </c>
      <c r="G5" t="s">
        <v>37</v>
      </c>
      <c r="H5" t="s">
        <v>38</v>
      </c>
      <c r="I5" t="s">
        <v>60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1</v>
      </c>
      <c r="P5" s="8">
        <v>45214.743715277778</v>
      </c>
      <c r="Q5" s="9">
        <v>45215</v>
      </c>
      <c r="R5" t="s">
        <v>37</v>
      </c>
      <c r="S5" t="s">
        <v>44</v>
      </c>
      <c r="T5" t="s">
        <v>45</v>
      </c>
      <c r="U5" t="s">
        <v>61</v>
      </c>
      <c r="V5" t="s">
        <v>62</v>
      </c>
      <c r="W5">
        <v>70300</v>
      </c>
      <c r="X5" t="s">
        <v>44</v>
      </c>
      <c r="Y5" t="s">
        <v>63</v>
      </c>
      <c r="Z5" t="s">
        <v>49</v>
      </c>
      <c r="AA5" s="10">
        <f>IF(O5&lt;=1,7,7+0.8*ROUNDUP(O5-1,0))</f>
        <v>7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t="s">
        <v>50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64</v>
      </c>
      <c r="G6" t="s">
        <v>37</v>
      </c>
      <c r="H6" t="s">
        <v>38</v>
      </c>
      <c r="I6" t="s">
        <v>65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1</v>
      </c>
      <c r="P6" s="8">
        <v>45213.785671296297</v>
      </c>
      <c r="Q6" s="9">
        <v>45215</v>
      </c>
      <c r="R6" t="s">
        <v>37</v>
      </c>
      <c r="S6" t="s">
        <v>44</v>
      </c>
      <c r="T6" t="s">
        <v>45</v>
      </c>
      <c r="U6" t="s">
        <v>66</v>
      </c>
      <c r="V6" t="s">
        <v>67</v>
      </c>
      <c r="W6">
        <v>47100</v>
      </c>
      <c r="X6" t="s">
        <v>44</v>
      </c>
      <c r="Y6" t="s">
        <v>68</v>
      </c>
      <c r="Z6" t="s">
        <v>49</v>
      </c>
      <c r="AA6" s="10">
        <f>IF(O6&lt;=1,7,7+0.8*ROUNDUP(O6-1,0))</f>
        <v>7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t="s">
        <v>50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69</v>
      </c>
      <c r="G7" t="s">
        <v>37</v>
      </c>
      <c r="H7" t="s">
        <v>38</v>
      </c>
      <c r="I7" t="s">
        <v>70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1</v>
      </c>
      <c r="P7" s="8">
        <v>45213.785671296297</v>
      </c>
      <c r="Q7" s="9">
        <v>45215</v>
      </c>
      <c r="R7" t="s">
        <v>37</v>
      </c>
      <c r="S7" t="s">
        <v>44</v>
      </c>
      <c r="T7" t="s">
        <v>45</v>
      </c>
      <c r="U7" t="s">
        <v>71</v>
      </c>
      <c r="V7" t="s">
        <v>72</v>
      </c>
      <c r="W7">
        <v>21300</v>
      </c>
      <c r="X7" t="s">
        <v>44</v>
      </c>
      <c r="Y7" t="s">
        <v>73</v>
      </c>
      <c r="Z7" t="s">
        <v>49</v>
      </c>
      <c r="AA7" s="10">
        <f>IF(O7&lt;=1,7,7+0.8*ROUNDUP(O7-1,0))</f>
        <v>7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0.42</v>
      </c>
      <c r="AG7" s="11">
        <f t="shared" si="1"/>
        <v>7.42</v>
      </c>
      <c r="AH7" t="s">
        <v>50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74</v>
      </c>
      <c r="G8" t="s">
        <v>37</v>
      </c>
      <c r="H8" t="s">
        <v>38</v>
      </c>
      <c r="I8" t="s">
        <v>75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1.6</v>
      </c>
      <c r="P8" s="8">
        <v>45214.737951388888</v>
      </c>
      <c r="Q8" s="9">
        <v>45215</v>
      </c>
      <c r="R8" t="s">
        <v>37</v>
      </c>
      <c r="S8" t="s">
        <v>44</v>
      </c>
      <c r="T8" t="s">
        <v>45</v>
      </c>
      <c r="U8" t="s">
        <v>53</v>
      </c>
      <c r="V8" t="s">
        <v>76</v>
      </c>
      <c r="W8">
        <v>18300</v>
      </c>
      <c r="X8" t="s">
        <v>44</v>
      </c>
      <c r="Y8" t="s">
        <v>55</v>
      </c>
      <c r="Z8" t="s">
        <v>49</v>
      </c>
      <c r="AA8" s="10">
        <f>IF(O8&lt;=1,7,7+0.8*ROUNDUP(O8-1,0))</f>
        <v>7.8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0.46799999999999997</v>
      </c>
      <c r="AG8" s="11">
        <f t="shared" si="1"/>
        <v>8.2680000000000007</v>
      </c>
      <c r="AH8" t="s">
        <v>50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77</v>
      </c>
      <c r="G9" t="s">
        <v>37</v>
      </c>
      <c r="H9" t="s">
        <v>38</v>
      </c>
      <c r="I9" t="s">
        <v>78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1</v>
      </c>
      <c r="P9" s="8">
        <v>45213.444236111114</v>
      </c>
      <c r="Q9" s="9">
        <v>45215</v>
      </c>
      <c r="R9" t="s">
        <v>37</v>
      </c>
      <c r="S9" t="s">
        <v>44</v>
      </c>
      <c r="T9" t="s">
        <v>45</v>
      </c>
      <c r="U9" t="s">
        <v>66</v>
      </c>
      <c r="V9" t="s">
        <v>79</v>
      </c>
      <c r="W9">
        <v>43000</v>
      </c>
      <c r="X9" t="s">
        <v>44</v>
      </c>
      <c r="Y9" t="s">
        <v>80</v>
      </c>
      <c r="Z9" t="s">
        <v>49</v>
      </c>
      <c r="AA9" s="10">
        <f>IF(O9&lt;=1,7,7+0.8*ROUNDUP(O9-1,0))</f>
        <v>7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t="s">
        <v>50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81</v>
      </c>
      <c r="G10" t="s">
        <v>37</v>
      </c>
      <c r="H10" t="s">
        <v>38</v>
      </c>
      <c r="I10" t="s">
        <v>82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1</v>
      </c>
      <c r="P10" s="8">
        <v>45211.543113425927</v>
      </c>
      <c r="Q10" s="9">
        <v>45215</v>
      </c>
      <c r="R10" t="s">
        <v>37</v>
      </c>
      <c r="S10" t="s">
        <v>44</v>
      </c>
      <c r="T10" t="s">
        <v>45</v>
      </c>
      <c r="U10" t="s">
        <v>61</v>
      </c>
      <c r="V10" t="s">
        <v>83</v>
      </c>
      <c r="W10">
        <v>71800</v>
      </c>
      <c r="X10" t="s">
        <v>44</v>
      </c>
      <c r="Y10" t="s">
        <v>84</v>
      </c>
      <c r="Z10" t="s">
        <v>49</v>
      </c>
      <c r="AA10" s="10">
        <f>IF(O10&lt;=1,7,7+0.8*ROUNDUP(O10-1,0))</f>
        <v>7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t="s">
        <v>50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85</v>
      </c>
      <c r="G11" t="s">
        <v>37</v>
      </c>
      <c r="H11" t="s">
        <v>38</v>
      </c>
      <c r="I11" t="s">
        <v>86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6</v>
      </c>
      <c r="P11" s="8">
        <v>45214.728981481479</v>
      </c>
      <c r="Q11" s="9">
        <v>45215</v>
      </c>
      <c r="R11" t="s">
        <v>37</v>
      </c>
      <c r="S11" t="s">
        <v>44</v>
      </c>
      <c r="T11" t="s">
        <v>45</v>
      </c>
      <c r="U11" t="s">
        <v>87</v>
      </c>
      <c r="V11" t="s">
        <v>88</v>
      </c>
      <c r="W11">
        <v>26660</v>
      </c>
      <c r="X11" t="s">
        <v>44</v>
      </c>
      <c r="Y11" t="s">
        <v>89</v>
      </c>
      <c r="Z11" t="s">
        <v>49</v>
      </c>
      <c r="AA11" s="10">
        <f>IF(O11&lt;=1,7,7+0.8*ROUNDUP(O11-1,0))</f>
        <v>11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0.65999999999999992</v>
      </c>
      <c r="AG11" s="11">
        <f t="shared" si="1"/>
        <v>11.66</v>
      </c>
      <c r="AH11" t="s">
        <v>50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90</v>
      </c>
      <c r="G12" t="s">
        <v>37</v>
      </c>
      <c r="H12" t="s">
        <v>38</v>
      </c>
      <c r="I12" t="s">
        <v>91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1</v>
      </c>
      <c r="P12" s="8">
        <v>45214.699317129627</v>
      </c>
      <c r="Q12" s="9">
        <v>45216</v>
      </c>
      <c r="R12" t="s">
        <v>37</v>
      </c>
      <c r="S12" t="s">
        <v>44</v>
      </c>
      <c r="T12" t="s">
        <v>45</v>
      </c>
      <c r="U12" t="s">
        <v>92</v>
      </c>
      <c r="V12" t="s">
        <v>93</v>
      </c>
      <c r="W12">
        <v>83000</v>
      </c>
      <c r="X12" t="s">
        <v>44</v>
      </c>
      <c r="Y12" t="s">
        <v>94</v>
      </c>
      <c r="Z12" t="s">
        <v>49</v>
      </c>
      <c r="AA12" s="10">
        <f>IF(O12&lt;=1,7,7+0.8*ROUNDUP(O12-1,0))</f>
        <v>7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t="s">
        <v>50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95</v>
      </c>
      <c r="G13" t="s">
        <v>37</v>
      </c>
      <c r="H13" t="s">
        <v>38</v>
      </c>
      <c r="I13" t="s">
        <v>96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1</v>
      </c>
      <c r="P13" s="8">
        <v>45215.720219907409</v>
      </c>
      <c r="Q13" s="9">
        <v>45216</v>
      </c>
      <c r="R13" t="s">
        <v>37</v>
      </c>
      <c r="S13" t="s">
        <v>44</v>
      </c>
      <c r="T13" t="s">
        <v>45</v>
      </c>
      <c r="U13" t="s">
        <v>66</v>
      </c>
      <c r="V13" t="s">
        <v>97</v>
      </c>
      <c r="W13">
        <v>47620</v>
      </c>
      <c r="X13" t="s">
        <v>44</v>
      </c>
      <c r="Y13" t="s">
        <v>98</v>
      </c>
      <c r="Z13" t="s">
        <v>49</v>
      </c>
      <c r="AA13" s="10">
        <f>IF(O13&lt;=1,7,7+0.8*ROUNDUP(O13-1,0))</f>
        <v>7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t="s">
        <v>50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99</v>
      </c>
      <c r="G14" t="s">
        <v>37</v>
      </c>
      <c r="H14" t="s">
        <v>38</v>
      </c>
      <c r="I14" t="s">
        <v>100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45215.66369212963</v>
      </c>
      <c r="Q14" s="9">
        <v>45216</v>
      </c>
      <c r="R14" t="s">
        <v>37</v>
      </c>
      <c r="S14" t="s">
        <v>44</v>
      </c>
      <c r="T14" t="s">
        <v>45</v>
      </c>
      <c r="U14" t="s">
        <v>53</v>
      </c>
      <c r="V14" t="s">
        <v>101</v>
      </c>
      <c r="W14">
        <v>17000</v>
      </c>
      <c r="X14" t="s">
        <v>44</v>
      </c>
      <c r="Y14" t="s">
        <v>55</v>
      </c>
      <c r="Z14" t="s">
        <v>49</v>
      </c>
      <c r="AA14" s="10">
        <f>IF(O14&lt;=1,7,7+0.8*ROUNDUP(O14-1,0))</f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t="s">
        <v>50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102</v>
      </c>
      <c r="G15" t="s">
        <v>37</v>
      </c>
      <c r="H15" t="s">
        <v>38</v>
      </c>
      <c r="I15" t="s">
        <v>103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1</v>
      </c>
      <c r="P15" s="8">
        <v>45214.714398148149</v>
      </c>
      <c r="Q15" s="9">
        <v>45216</v>
      </c>
      <c r="R15" t="s">
        <v>37</v>
      </c>
      <c r="S15" t="s">
        <v>44</v>
      </c>
      <c r="T15" t="s">
        <v>45</v>
      </c>
      <c r="U15" t="s">
        <v>92</v>
      </c>
      <c r="V15" t="s">
        <v>104</v>
      </c>
      <c r="W15">
        <v>86200</v>
      </c>
      <c r="X15" t="s">
        <v>44</v>
      </c>
      <c r="Y15" t="s">
        <v>105</v>
      </c>
      <c r="Z15" t="s">
        <v>49</v>
      </c>
      <c r="AA15" s="10">
        <f>IF(O15&lt;=1,7,7+0.8*ROUNDUP(O15-1,0))</f>
        <v>7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t="s">
        <v>50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106</v>
      </c>
      <c r="G16" t="s">
        <v>37</v>
      </c>
      <c r="H16" t="s">
        <v>38</v>
      </c>
      <c r="I16" t="s">
        <v>107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45215.620856481481</v>
      </c>
      <c r="Q16" s="9">
        <v>45216</v>
      </c>
      <c r="R16" t="s">
        <v>37</v>
      </c>
      <c r="S16" t="s">
        <v>44</v>
      </c>
      <c r="T16" t="s">
        <v>45</v>
      </c>
      <c r="U16" t="s">
        <v>66</v>
      </c>
      <c r="V16" t="s">
        <v>108</v>
      </c>
      <c r="W16">
        <v>40000</v>
      </c>
      <c r="X16" t="s">
        <v>44</v>
      </c>
      <c r="Y16" t="s">
        <v>109</v>
      </c>
      <c r="Z16" t="s">
        <v>49</v>
      </c>
      <c r="AA16" s="10">
        <f>IF(O16&lt;=1,7,7+0.8*ROUNDUP(O16-1,0))</f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0.42</v>
      </c>
      <c r="AG16" s="11">
        <f t="shared" si="1"/>
        <v>7.42</v>
      </c>
      <c r="AH16" t="s">
        <v>50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110</v>
      </c>
      <c r="G17" t="s">
        <v>37</v>
      </c>
      <c r="H17" t="s">
        <v>38</v>
      </c>
      <c r="I17" t="s">
        <v>111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1</v>
      </c>
      <c r="P17" s="8">
        <v>45213.686111111114</v>
      </c>
      <c r="Q17" s="9">
        <v>45216</v>
      </c>
      <c r="R17" t="s">
        <v>37</v>
      </c>
      <c r="S17" t="s">
        <v>44</v>
      </c>
      <c r="T17" t="s">
        <v>45</v>
      </c>
      <c r="U17" t="s">
        <v>112</v>
      </c>
      <c r="V17" t="s">
        <v>113</v>
      </c>
      <c r="W17">
        <v>93400</v>
      </c>
      <c r="X17" t="s">
        <v>114</v>
      </c>
      <c r="Y17" t="s">
        <v>115</v>
      </c>
      <c r="Z17" t="s">
        <v>49</v>
      </c>
      <c r="AA17" s="12">
        <f>IF(O17&lt;=1,13,IF(O17&lt;=2,23,IF(O17&lt;=3,35,IF(O17&lt;=4,43,IF(O17&lt;=5,53,IF(O17&lt;=6,63,IF(O17&lt;=7,71,IF(O17&lt;=8,79,IF(O17&lt;=9,87,IF(O17&lt;=10,95,IF(O17&lt;=11,105,IF(O17&lt;=12,114,IF(O17&lt;=13,119,IF(O17&lt;=14,127,IF(O17&lt;=15,135,IF(O17&lt;=16,143,IF(O17&lt;=17,153,IF(O17&lt;=18,163,IF(O17&lt;=19,171,IF(O17&lt;=20,185,IF(O17&lt;=21,193,IF(O17&lt;=22,201,IF(O17&lt;=23,210,IF(O17&lt;=24,220,IF(O17&lt;=25,230,IF(O17&lt;=26,240,IF(O17&lt;=27,250,IF(O17&lt;=28,260,IF(O17&lt;=29,270,IF(O17&lt;=30,280,280+10*ROUNDUP(O17-30,0)))))))))))))))))))))))))))))))</f>
        <v>13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0.78</v>
      </c>
      <c r="AG17" s="11">
        <f t="shared" si="1"/>
        <v>13.78</v>
      </c>
      <c r="AH17" t="s">
        <v>116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117</v>
      </c>
      <c r="G18" t="s">
        <v>37</v>
      </c>
      <c r="H18" t="s">
        <v>38</v>
      </c>
      <c r="I18" t="s">
        <v>118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1</v>
      </c>
      <c r="P18" s="8">
        <v>45215.620856481481</v>
      </c>
      <c r="Q18" s="9">
        <v>45216</v>
      </c>
      <c r="R18" t="s">
        <v>37</v>
      </c>
      <c r="S18" t="s">
        <v>44</v>
      </c>
      <c r="T18" t="s">
        <v>45</v>
      </c>
      <c r="U18" t="s">
        <v>71</v>
      </c>
      <c r="V18" t="s">
        <v>119</v>
      </c>
      <c r="W18">
        <v>24000</v>
      </c>
      <c r="X18" t="s">
        <v>44</v>
      </c>
      <c r="Y18" t="s">
        <v>45</v>
      </c>
      <c r="Z18" t="s">
        <v>49</v>
      </c>
      <c r="AA18" s="10">
        <f>IF(O18&lt;=1,7,7+0.8*ROUNDUP(O18-1,0))</f>
        <v>7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0.42</v>
      </c>
      <c r="AG18" s="11">
        <f t="shared" si="1"/>
        <v>7.42</v>
      </c>
      <c r="AH18" t="s">
        <v>50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120</v>
      </c>
      <c r="G19" t="s">
        <v>37</v>
      </c>
      <c r="H19" t="s">
        <v>38</v>
      </c>
      <c r="I19" t="s">
        <v>121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2</v>
      </c>
      <c r="P19" s="8">
        <v>45210.747534722221</v>
      </c>
      <c r="Q19" s="9">
        <v>45216</v>
      </c>
      <c r="R19" t="s">
        <v>37</v>
      </c>
      <c r="S19" t="s">
        <v>44</v>
      </c>
      <c r="T19" t="s">
        <v>45</v>
      </c>
      <c r="U19" t="s">
        <v>92</v>
      </c>
      <c r="V19" t="s">
        <v>122</v>
      </c>
      <c r="W19">
        <v>84050</v>
      </c>
      <c r="X19" t="s">
        <v>44</v>
      </c>
      <c r="Y19" t="s">
        <v>123</v>
      </c>
      <c r="Z19" t="s">
        <v>49</v>
      </c>
      <c r="AA19" s="10">
        <f>IF(O19&lt;=1,7,7+0.8*ROUNDUP(O19-1,0))</f>
        <v>7.8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0.46799999999999997</v>
      </c>
      <c r="AG19" s="11">
        <f t="shared" si="1"/>
        <v>8.2680000000000007</v>
      </c>
      <c r="AH19" t="s">
        <v>50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124</v>
      </c>
      <c r="G20" t="s">
        <v>37</v>
      </c>
      <c r="H20" t="s">
        <v>38</v>
      </c>
      <c r="I20" t="s">
        <v>125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2</v>
      </c>
      <c r="P20" s="8">
        <v>45215.69903935185</v>
      </c>
      <c r="Q20" s="9">
        <v>45216</v>
      </c>
      <c r="R20" t="s">
        <v>37</v>
      </c>
      <c r="S20" t="s">
        <v>44</v>
      </c>
      <c r="T20" t="s">
        <v>45</v>
      </c>
      <c r="U20" t="s">
        <v>71</v>
      </c>
      <c r="V20" t="s">
        <v>126</v>
      </c>
      <c r="W20">
        <v>21080</v>
      </c>
      <c r="X20" t="s">
        <v>44</v>
      </c>
      <c r="Y20" t="s">
        <v>127</v>
      </c>
      <c r="Z20" t="s">
        <v>49</v>
      </c>
      <c r="AA20" s="10">
        <f>IF(O20&lt;=1,7,7+0.8*ROUNDUP(O20-1,0))</f>
        <v>7.8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0.46799999999999997</v>
      </c>
      <c r="AG20" s="11">
        <f t="shared" si="1"/>
        <v>8.2680000000000007</v>
      </c>
      <c r="AH20" t="s">
        <v>50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128</v>
      </c>
      <c r="G21" t="s">
        <v>37</v>
      </c>
      <c r="H21" t="s">
        <v>38</v>
      </c>
      <c r="I21" t="s">
        <v>129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1</v>
      </c>
      <c r="P21" s="8">
        <v>45215.592326388891</v>
      </c>
      <c r="Q21" s="9">
        <v>45216</v>
      </c>
      <c r="R21" t="s">
        <v>37</v>
      </c>
      <c r="S21" t="s">
        <v>44</v>
      </c>
      <c r="T21" t="s">
        <v>45</v>
      </c>
      <c r="U21" t="s">
        <v>71</v>
      </c>
      <c r="V21" t="s">
        <v>130</v>
      </c>
      <c r="W21">
        <v>20300</v>
      </c>
      <c r="X21" t="s">
        <v>44</v>
      </c>
      <c r="Y21" t="s">
        <v>73</v>
      </c>
      <c r="Z21" t="s">
        <v>49</v>
      </c>
      <c r="AA21" s="10">
        <f>IF(O21&lt;=1,7,7+0.8*ROUNDUP(O21-1,0))</f>
        <v>7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t="s">
        <v>50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131</v>
      </c>
      <c r="G22" t="s">
        <v>37</v>
      </c>
      <c r="H22" t="s">
        <v>38</v>
      </c>
      <c r="I22" t="s">
        <v>132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45213.761655092596</v>
      </c>
      <c r="Q22" s="9">
        <v>45216</v>
      </c>
      <c r="R22" t="s">
        <v>37</v>
      </c>
      <c r="S22" t="s">
        <v>44</v>
      </c>
      <c r="T22" t="s">
        <v>45</v>
      </c>
      <c r="U22" t="s">
        <v>92</v>
      </c>
      <c r="V22" t="s">
        <v>133</v>
      </c>
      <c r="W22">
        <v>81200</v>
      </c>
      <c r="X22" t="s">
        <v>44</v>
      </c>
      <c r="Y22" t="s">
        <v>134</v>
      </c>
      <c r="Z22" t="s">
        <v>49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t="s">
        <v>50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135</v>
      </c>
      <c r="G23" t="s">
        <v>37</v>
      </c>
      <c r="H23" t="s">
        <v>38</v>
      </c>
      <c r="I23" t="s">
        <v>136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1</v>
      </c>
      <c r="P23" s="8">
        <v>45214.853113425925</v>
      </c>
      <c r="Q23" s="9">
        <v>45216</v>
      </c>
      <c r="R23" t="s">
        <v>37</v>
      </c>
      <c r="S23" t="s">
        <v>44</v>
      </c>
      <c r="T23" t="s">
        <v>45</v>
      </c>
      <c r="U23" t="s">
        <v>66</v>
      </c>
      <c r="V23" t="s">
        <v>137</v>
      </c>
      <c r="W23">
        <v>42200</v>
      </c>
      <c r="X23" t="s">
        <v>44</v>
      </c>
      <c r="Y23" t="s">
        <v>138</v>
      </c>
      <c r="Z23" t="s">
        <v>49</v>
      </c>
      <c r="AA23" s="10">
        <f>IF(O23&lt;=1,7,7+0.8*ROUNDUP(O23-1,0))</f>
        <v>7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0.42</v>
      </c>
      <c r="AG23" s="11">
        <f t="shared" si="1"/>
        <v>7.42</v>
      </c>
      <c r="AH23" t="s">
        <v>50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139</v>
      </c>
      <c r="G24" t="s">
        <v>37</v>
      </c>
      <c r="H24" t="s">
        <v>38</v>
      </c>
      <c r="I24" t="s">
        <v>140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8</v>
      </c>
      <c r="P24" s="8">
        <v>45214.853113425925</v>
      </c>
      <c r="Q24" s="9">
        <v>45216</v>
      </c>
      <c r="R24" t="s">
        <v>37</v>
      </c>
      <c r="S24" t="s">
        <v>44</v>
      </c>
      <c r="T24" t="s">
        <v>45</v>
      </c>
      <c r="U24" t="s">
        <v>71</v>
      </c>
      <c r="V24" t="s">
        <v>141</v>
      </c>
      <c r="W24">
        <v>23100</v>
      </c>
      <c r="X24" t="s">
        <v>44</v>
      </c>
      <c r="Y24" t="s">
        <v>142</v>
      </c>
      <c r="Z24" t="s">
        <v>49</v>
      </c>
      <c r="AA24" s="10">
        <f>IF(O24&lt;=1,7,7+0.8*ROUNDUP(O24-1,0))</f>
        <v>12.600000000000001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0.75600000000000001</v>
      </c>
      <c r="AG24" s="11">
        <f t="shared" si="1"/>
        <v>13.356000000000002</v>
      </c>
      <c r="AH24" t="s">
        <v>50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143</v>
      </c>
      <c r="G25" t="s">
        <v>37</v>
      </c>
      <c r="H25" t="s">
        <v>38</v>
      </c>
      <c r="I25" t="s">
        <v>144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1</v>
      </c>
      <c r="P25" s="8">
        <v>45214.710775462961</v>
      </c>
      <c r="Q25" s="9">
        <v>45216</v>
      </c>
      <c r="R25" t="s">
        <v>37</v>
      </c>
      <c r="S25" t="s">
        <v>44</v>
      </c>
      <c r="T25" t="s">
        <v>45</v>
      </c>
      <c r="U25" t="s">
        <v>145</v>
      </c>
      <c r="V25" t="s">
        <v>146</v>
      </c>
      <c r="W25">
        <v>77200</v>
      </c>
      <c r="X25" t="s">
        <v>44</v>
      </c>
      <c r="Y25" t="s">
        <v>115</v>
      </c>
      <c r="Z25" t="s">
        <v>49</v>
      </c>
      <c r="AA25" s="10">
        <f>IF(O25&lt;=1,7,7+0.8*ROUNDUP(O25-1,0))</f>
        <v>7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t="s">
        <v>50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147</v>
      </c>
      <c r="G26" t="s">
        <v>37</v>
      </c>
      <c r="H26" t="s">
        <v>38</v>
      </c>
      <c r="I26" t="s">
        <v>148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2</v>
      </c>
      <c r="P26" s="8">
        <v>45215.490266203706</v>
      </c>
      <c r="Q26" s="9">
        <v>45216</v>
      </c>
      <c r="R26" t="s">
        <v>37</v>
      </c>
      <c r="S26" t="s">
        <v>44</v>
      </c>
      <c r="T26" t="s">
        <v>45</v>
      </c>
      <c r="U26" t="s">
        <v>66</v>
      </c>
      <c r="V26" t="s">
        <v>149</v>
      </c>
      <c r="W26">
        <v>43300</v>
      </c>
      <c r="X26" t="s">
        <v>44</v>
      </c>
      <c r="Y26" t="s">
        <v>150</v>
      </c>
      <c r="Z26" t="s">
        <v>49</v>
      </c>
      <c r="AA26" s="10">
        <f>IF(O26&lt;=1,7,7+0.8*ROUNDUP(O26-1,0))</f>
        <v>7.8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0.46799999999999997</v>
      </c>
      <c r="AG26" s="11">
        <f t="shared" si="1"/>
        <v>8.2680000000000007</v>
      </c>
      <c r="AH26" t="s">
        <v>50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151</v>
      </c>
      <c r="G27" t="s">
        <v>37</v>
      </c>
      <c r="H27" t="s">
        <v>38</v>
      </c>
      <c r="I27" t="s">
        <v>152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4</v>
      </c>
      <c r="P27" s="8">
        <v>45214.837384259263</v>
      </c>
      <c r="Q27" s="9">
        <v>45216</v>
      </c>
      <c r="R27" t="s">
        <v>37</v>
      </c>
      <c r="S27" t="s">
        <v>44</v>
      </c>
      <c r="T27" t="s">
        <v>45</v>
      </c>
      <c r="U27" t="s">
        <v>87</v>
      </c>
      <c r="V27" t="s">
        <v>153</v>
      </c>
      <c r="W27">
        <v>25200</v>
      </c>
      <c r="X27" t="s">
        <v>44</v>
      </c>
      <c r="Y27" t="s">
        <v>154</v>
      </c>
      <c r="Z27" t="s">
        <v>49</v>
      </c>
      <c r="AA27" s="10">
        <f>IF(O27&lt;=1,7,7+0.8*ROUNDUP(O27-1,0))</f>
        <v>9.4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0.56399999999999995</v>
      </c>
      <c r="AG27" s="11">
        <f t="shared" si="1"/>
        <v>9.9640000000000004</v>
      </c>
      <c r="AH27" t="s">
        <v>50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155</v>
      </c>
      <c r="G28" t="s">
        <v>37</v>
      </c>
      <c r="H28" t="s">
        <v>38</v>
      </c>
      <c r="I28" t="s">
        <v>156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3</v>
      </c>
      <c r="P28" s="8">
        <v>45214.668703703705</v>
      </c>
      <c r="Q28" s="9">
        <v>45216</v>
      </c>
      <c r="R28" t="s">
        <v>37</v>
      </c>
      <c r="S28" t="s">
        <v>44</v>
      </c>
      <c r="T28" t="s">
        <v>45</v>
      </c>
      <c r="U28" t="s">
        <v>157</v>
      </c>
      <c r="V28" t="s">
        <v>158</v>
      </c>
      <c r="W28">
        <v>36100</v>
      </c>
      <c r="X28" t="s">
        <v>44</v>
      </c>
      <c r="Y28" t="s">
        <v>159</v>
      </c>
      <c r="Z28" t="s">
        <v>49</v>
      </c>
      <c r="AA28" s="10">
        <f>IF(O28&lt;=1,7,7+0.8*ROUNDUP(O28-1,0))</f>
        <v>8.6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0.51600000000000001</v>
      </c>
      <c r="AG28" s="11">
        <f t="shared" si="1"/>
        <v>9.1159999999999997</v>
      </c>
      <c r="AH28" t="s">
        <v>50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160</v>
      </c>
      <c r="G29" t="s">
        <v>37</v>
      </c>
      <c r="H29" t="s">
        <v>38</v>
      </c>
      <c r="I29" t="s">
        <v>161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1</v>
      </c>
      <c r="P29" s="8">
        <v>45215.453275462962</v>
      </c>
      <c r="Q29" s="9">
        <v>45216</v>
      </c>
      <c r="R29" t="s">
        <v>37</v>
      </c>
      <c r="S29" t="s">
        <v>44</v>
      </c>
      <c r="T29" t="s">
        <v>45</v>
      </c>
      <c r="U29" t="s">
        <v>71</v>
      </c>
      <c r="V29" t="s">
        <v>162</v>
      </c>
      <c r="W29">
        <v>22200</v>
      </c>
      <c r="X29" t="s">
        <v>44</v>
      </c>
      <c r="Y29" t="s">
        <v>55</v>
      </c>
      <c r="Z29" t="s">
        <v>49</v>
      </c>
      <c r="AA29" s="10">
        <f>IF(O29&lt;=1,7,7+0.8*ROUNDUP(O29-1,0))</f>
        <v>7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0.42</v>
      </c>
      <c r="AG29" s="11">
        <f t="shared" si="1"/>
        <v>7.42</v>
      </c>
      <c r="AH29" t="s">
        <v>50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163</v>
      </c>
      <c r="G30" t="s">
        <v>37</v>
      </c>
      <c r="H30" t="s">
        <v>38</v>
      </c>
      <c r="I30" t="s">
        <v>164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2</v>
      </c>
      <c r="P30" s="8">
        <v>45215.654942129629</v>
      </c>
      <c r="Q30" s="9">
        <v>45216</v>
      </c>
      <c r="R30" t="s">
        <v>37</v>
      </c>
      <c r="S30" t="s">
        <v>44</v>
      </c>
      <c r="T30" t="s">
        <v>45</v>
      </c>
      <c r="U30" t="s">
        <v>66</v>
      </c>
      <c r="V30" t="s">
        <v>165</v>
      </c>
      <c r="W30">
        <v>43000</v>
      </c>
      <c r="X30" t="s">
        <v>44</v>
      </c>
      <c r="Y30" t="s">
        <v>166</v>
      </c>
      <c r="Z30" t="s">
        <v>49</v>
      </c>
      <c r="AA30" s="10">
        <f>IF(O30&lt;=1,7,7+0.8*ROUNDUP(O30-1,0))</f>
        <v>7.8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0.46799999999999997</v>
      </c>
      <c r="AG30" s="11">
        <f t="shared" si="1"/>
        <v>8.2680000000000007</v>
      </c>
      <c r="AH30" t="s">
        <v>50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167</v>
      </c>
      <c r="G31" t="s">
        <v>37</v>
      </c>
      <c r="H31" t="s">
        <v>38</v>
      </c>
      <c r="I31" t="s">
        <v>168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3</v>
      </c>
      <c r="P31" s="8">
        <v>45214.4612037037</v>
      </c>
      <c r="Q31" s="9">
        <v>45216</v>
      </c>
      <c r="R31" t="s">
        <v>37</v>
      </c>
      <c r="S31" t="s">
        <v>44</v>
      </c>
      <c r="T31" t="s">
        <v>45</v>
      </c>
      <c r="U31" t="s">
        <v>157</v>
      </c>
      <c r="V31" t="s">
        <v>169</v>
      </c>
      <c r="W31">
        <v>32000</v>
      </c>
      <c r="X31" t="s">
        <v>44</v>
      </c>
      <c r="Y31" t="s">
        <v>170</v>
      </c>
      <c r="Z31" t="s">
        <v>49</v>
      </c>
      <c r="AA31" s="10">
        <f>IF(O31&lt;=1,7,7+0.8*ROUNDUP(O31-1,0))</f>
        <v>8.6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0.51600000000000001</v>
      </c>
      <c r="AG31" s="11">
        <f t="shared" si="1"/>
        <v>9.1159999999999997</v>
      </c>
      <c r="AH31" t="s">
        <v>50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171</v>
      </c>
      <c r="G32" t="s">
        <v>37</v>
      </c>
      <c r="H32" t="s">
        <v>38</v>
      </c>
      <c r="I32" t="s">
        <v>172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8</v>
      </c>
      <c r="P32" s="8">
        <v>45214.798437500001</v>
      </c>
      <c r="Q32" s="9">
        <v>45217</v>
      </c>
      <c r="R32" t="s">
        <v>37</v>
      </c>
      <c r="S32" t="s">
        <v>44</v>
      </c>
      <c r="T32" t="s">
        <v>45</v>
      </c>
      <c r="U32" t="s">
        <v>173</v>
      </c>
      <c r="V32" t="s">
        <v>174</v>
      </c>
      <c r="W32">
        <v>91207</v>
      </c>
      <c r="X32" t="s">
        <v>114</v>
      </c>
      <c r="Y32" t="s">
        <v>175</v>
      </c>
      <c r="Z32" t="s">
        <v>49</v>
      </c>
      <c r="AA32" s="12">
        <f>IF(O32&lt;=1,13,IF(O32&lt;=2,23,IF(O32&lt;=3,35,IF(O32&lt;=4,43,IF(O32&lt;=5,53,IF(O32&lt;=6,63,IF(O32&lt;=7,71,IF(O32&lt;=8,79,IF(O32&lt;=9,87,IF(O32&lt;=10,95,IF(O32&lt;=11,105,IF(O32&lt;=12,114,IF(O32&lt;=13,119,IF(O32&lt;=14,127,IF(O32&lt;=15,135,IF(O32&lt;=16,143,IF(O32&lt;=17,153,IF(O32&lt;=18,163,IF(O32&lt;=19,171,IF(O32&lt;=20,185,IF(O32&lt;=21,193,IF(O32&lt;=22,201,IF(O32&lt;=23,210,IF(O32&lt;=24,220,IF(O32&lt;=25,230,IF(O32&lt;=26,240,IF(O32&lt;=27,250,IF(O32&lt;=28,260,IF(O32&lt;=29,270,IF(O32&lt;=30,280,280+10*ROUNDUP(O32-30,0)))))))))))))))))))))))))))))))</f>
        <v>79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4.74</v>
      </c>
      <c r="AG32" s="11">
        <f t="shared" si="1"/>
        <v>83.74</v>
      </c>
      <c r="AH32" t="s">
        <v>116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176</v>
      </c>
      <c r="G33" t="s">
        <v>37</v>
      </c>
      <c r="H33" t="s">
        <v>38</v>
      </c>
      <c r="I33" t="s">
        <v>177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2</v>
      </c>
      <c r="P33" s="8">
        <v>45216.46702546296</v>
      </c>
      <c r="Q33" s="9">
        <v>45217</v>
      </c>
      <c r="R33" t="s">
        <v>37</v>
      </c>
      <c r="S33" t="s">
        <v>44</v>
      </c>
      <c r="T33" t="s">
        <v>45</v>
      </c>
      <c r="U33" t="s">
        <v>71</v>
      </c>
      <c r="V33" t="s">
        <v>178</v>
      </c>
      <c r="W33">
        <v>20300</v>
      </c>
      <c r="X33" t="s">
        <v>44</v>
      </c>
      <c r="Y33" t="s">
        <v>179</v>
      </c>
      <c r="Z33" t="s">
        <v>49</v>
      </c>
      <c r="AA33" s="10">
        <f>IF(O33&lt;=1,7,7+0.8*ROUNDUP(O33-1,0))</f>
        <v>7.8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0.46799999999999997</v>
      </c>
      <c r="AG33" s="11">
        <f t="shared" si="1"/>
        <v>8.2680000000000007</v>
      </c>
      <c r="AH33" t="s">
        <v>50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180</v>
      </c>
      <c r="G34" t="s">
        <v>37</v>
      </c>
      <c r="H34" t="s">
        <v>38</v>
      </c>
      <c r="I34" t="s">
        <v>181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1</v>
      </c>
      <c r="P34" s="8">
        <v>45214.853113425925</v>
      </c>
      <c r="Q34" s="9">
        <v>45217</v>
      </c>
      <c r="R34" t="s">
        <v>37</v>
      </c>
      <c r="S34" t="s">
        <v>44</v>
      </c>
      <c r="T34" t="s">
        <v>45</v>
      </c>
      <c r="U34" t="s">
        <v>182</v>
      </c>
      <c r="V34" t="s">
        <v>183</v>
      </c>
      <c r="W34">
        <v>14000</v>
      </c>
      <c r="X34" t="s">
        <v>44</v>
      </c>
      <c r="Y34" t="s">
        <v>184</v>
      </c>
      <c r="Z34" t="s">
        <v>49</v>
      </c>
      <c r="AA34" s="10">
        <f>IF(O34&lt;=1,7,7+0.8*ROUNDUP(O34-1,0))</f>
        <v>7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0.42</v>
      </c>
      <c r="AG34" s="11">
        <f t="shared" si="1"/>
        <v>7.42</v>
      </c>
      <c r="AH34" t="s">
        <v>50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185</v>
      </c>
      <c r="G35" t="s">
        <v>37</v>
      </c>
      <c r="H35" t="s">
        <v>38</v>
      </c>
      <c r="I35" t="s">
        <v>186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1</v>
      </c>
      <c r="P35" s="8">
        <v>45216.738506944443</v>
      </c>
      <c r="Q35" s="9">
        <v>45217</v>
      </c>
      <c r="R35" t="s">
        <v>37</v>
      </c>
      <c r="S35" t="s">
        <v>44</v>
      </c>
      <c r="T35" t="s">
        <v>45</v>
      </c>
      <c r="U35" t="s">
        <v>187</v>
      </c>
      <c r="V35" t="s">
        <v>188</v>
      </c>
      <c r="W35">
        <v>50050</v>
      </c>
      <c r="X35" t="s">
        <v>44</v>
      </c>
      <c r="Y35" t="s">
        <v>115</v>
      </c>
      <c r="Z35" t="s">
        <v>49</v>
      </c>
      <c r="AA35" s="10">
        <f>IF(O35&lt;=1,7,7+0.8*ROUNDUP(O35-1,0))</f>
        <v>7</v>
      </c>
      <c r="AB35" s="11">
        <v>0</v>
      </c>
      <c r="AC35" s="11">
        <v>0</v>
      </c>
      <c r="AD35" s="11">
        <v>0</v>
      </c>
      <c r="AE35" s="11">
        <v>0</v>
      </c>
      <c r="AF35" s="11">
        <f>(AA35+AC35+AE35)*6%</f>
        <v>0.42</v>
      </c>
      <c r="AG35" s="11">
        <f>AA35+AC35+AE35+AF35</f>
        <v>7.42</v>
      </c>
      <c r="AH35" t="s">
        <v>50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189</v>
      </c>
      <c r="G36" t="s">
        <v>37</v>
      </c>
      <c r="H36" t="s">
        <v>38</v>
      </c>
      <c r="I36" t="s">
        <v>190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1</v>
      </c>
      <c r="P36" s="8">
        <v>45215.490266203706</v>
      </c>
      <c r="Q36" s="9">
        <v>45217</v>
      </c>
      <c r="R36" t="s">
        <v>37</v>
      </c>
      <c r="S36" t="s">
        <v>44</v>
      </c>
      <c r="T36" t="s">
        <v>45</v>
      </c>
      <c r="U36" t="s">
        <v>92</v>
      </c>
      <c r="V36" t="s">
        <v>191</v>
      </c>
      <c r="W36">
        <v>81100</v>
      </c>
      <c r="X36" t="s">
        <v>44</v>
      </c>
      <c r="Y36" t="s">
        <v>192</v>
      </c>
      <c r="Z36" t="s">
        <v>49</v>
      </c>
      <c r="AA36" s="10">
        <f>IF(O36&lt;=1,7,7+0.8*ROUNDUP(O36-1,0))</f>
        <v>7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ref="AF36:AF99" si="2">(AA36+AC36+AE36)*6%</f>
        <v>0.42</v>
      </c>
      <c r="AG36" s="11">
        <f t="shared" ref="AG36:AG99" si="3">AA36+AC36+AE36+AF36</f>
        <v>7.42</v>
      </c>
      <c r="AH36" t="s">
        <v>50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193</v>
      </c>
      <c r="G37" t="s">
        <v>37</v>
      </c>
      <c r="H37" t="s">
        <v>38</v>
      </c>
      <c r="I37" t="s">
        <v>194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1</v>
      </c>
      <c r="P37" s="8">
        <v>45216.723564814813</v>
      </c>
      <c r="Q37" s="9">
        <v>45217</v>
      </c>
      <c r="R37" t="s">
        <v>37</v>
      </c>
      <c r="S37" t="s">
        <v>44</v>
      </c>
      <c r="T37" t="s">
        <v>45</v>
      </c>
      <c r="U37" t="s">
        <v>66</v>
      </c>
      <c r="V37" t="s">
        <v>195</v>
      </c>
      <c r="W37">
        <v>40450</v>
      </c>
      <c r="X37" t="s">
        <v>44</v>
      </c>
      <c r="Y37" t="s">
        <v>115</v>
      </c>
      <c r="Z37" t="s">
        <v>49</v>
      </c>
      <c r="AA37" s="10">
        <f>IF(O37&lt;=1,7,7+0.8*ROUNDUP(O37-1,0))</f>
        <v>7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2"/>
        <v>0.42</v>
      </c>
      <c r="AG37" s="11">
        <f t="shared" si="3"/>
        <v>7.42</v>
      </c>
      <c r="AH37" t="s">
        <v>50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196</v>
      </c>
      <c r="G38" t="s">
        <v>37</v>
      </c>
      <c r="H38" t="s">
        <v>38</v>
      </c>
      <c r="I38" t="s">
        <v>197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1</v>
      </c>
      <c r="P38" s="8">
        <v>45216.683379629627</v>
      </c>
      <c r="Q38" s="9">
        <v>45217</v>
      </c>
      <c r="R38" t="s">
        <v>37</v>
      </c>
      <c r="S38" t="s">
        <v>44</v>
      </c>
      <c r="T38" t="s">
        <v>45</v>
      </c>
      <c r="U38" t="s">
        <v>66</v>
      </c>
      <c r="V38" t="s">
        <v>198</v>
      </c>
      <c r="W38">
        <v>43650</v>
      </c>
      <c r="X38" t="s">
        <v>44</v>
      </c>
      <c r="Y38" t="s">
        <v>80</v>
      </c>
      <c r="Z38" t="s">
        <v>49</v>
      </c>
      <c r="AA38" s="10">
        <f>IF(O38&lt;=1,7,7+0.8*ROUNDUP(O38-1,0))</f>
        <v>7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2"/>
        <v>0.42</v>
      </c>
      <c r="AG38" s="11">
        <f t="shared" si="3"/>
        <v>7.42</v>
      </c>
      <c r="AH38" t="s">
        <v>50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199</v>
      </c>
      <c r="G39" t="s">
        <v>37</v>
      </c>
      <c r="H39" t="s">
        <v>38</v>
      </c>
      <c r="I39" t="s">
        <v>200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1</v>
      </c>
      <c r="P39" s="8">
        <v>45216.700891203705</v>
      </c>
      <c r="Q39" s="9">
        <v>45217</v>
      </c>
      <c r="R39" t="s">
        <v>37</v>
      </c>
      <c r="S39" t="s">
        <v>44</v>
      </c>
      <c r="T39" t="s">
        <v>45</v>
      </c>
      <c r="U39" t="s">
        <v>66</v>
      </c>
      <c r="V39" t="s">
        <v>201</v>
      </c>
      <c r="W39">
        <v>62250</v>
      </c>
      <c r="X39" t="s">
        <v>44</v>
      </c>
      <c r="Y39" t="s">
        <v>202</v>
      </c>
      <c r="Z39" t="s">
        <v>49</v>
      </c>
      <c r="AA39" s="10">
        <f>IF(O39&lt;=1,7,7+0.8*ROUNDUP(O39-1,0))</f>
        <v>7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2"/>
        <v>0.42</v>
      </c>
      <c r="AG39" s="11">
        <f t="shared" si="3"/>
        <v>7.42</v>
      </c>
      <c r="AH39" t="s">
        <v>50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203</v>
      </c>
      <c r="G40" t="s">
        <v>37</v>
      </c>
      <c r="H40" t="s">
        <v>38</v>
      </c>
      <c r="I40" t="s">
        <v>204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45215.684548611112</v>
      </c>
      <c r="Q40" s="9">
        <v>45217</v>
      </c>
      <c r="R40" t="s">
        <v>37</v>
      </c>
      <c r="S40" t="s">
        <v>44</v>
      </c>
      <c r="T40" t="s">
        <v>45</v>
      </c>
      <c r="U40" t="s">
        <v>182</v>
      </c>
      <c r="V40" t="s">
        <v>205</v>
      </c>
      <c r="W40">
        <v>14000</v>
      </c>
      <c r="X40" t="s">
        <v>44</v>
      </c>
      <c r="Y40" t="s">
        <v>184</v>
      </c>
      <c r="Z40" t="s">
        <v>49</v>
      </c>
      <c r="AA40" s="10">
        <f>IF(O40&lt;=1,7,7+0.8*ROUNDUP(O40-1,0))</f>
        <v>7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2"/>
        <v>0.42</v>
      </c>
      <c r="AG40" s="11">
        <f t="shared" si="3"/>
        <v>7.42</v>
      </c>
      <c r="AH40" t="s">
        <v>50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206</v>
      </c>
      <c r="G41" t="s">
        <v>37</v>
      </c>
      <c r="H41" t="s">
        <v>38</v>
      </c>
      <c r="I41" t="s">
        <v>207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2</v>
      </c>
      <c r="P41" s="8">
        <v>45216.471747685187</v>
      </c>
      <c r="Q41" s="9">
        <v>45217</v>
      </c>
      <c r="R41" t="s">
        <v>37</v>
      </c>
      <c r="S41" t="s">
        <v>44</v>
      </c>
      <c r="T41" t="s">
        <v>45</v>
      </c>
      <c r="U41" t="s">
        <v>66</v>
      </c>
      <c r="V41" t="s">
        <v>208</v>
      </c>
      <c r="W41">
        <v>42700</v>
      </c>
      <c r="X41" t="s">
        <v>44</v>
      </c>
      <c r="Y41" t="s">
        <v>115</v>
      </c>
      <c r="Z41" t="s">
        <v>49</v>
      </c>
      <c r="AA41" s="10">
        <f>IF(O41&lt;=1,7,7+0.8*ROUNDUP(O41-1,0))</f>
        <v>7.8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2"/>
        <v>0.46799999999999997</v>
      </c>
      <c r="AG41" s="11">
        <f t="shared" si="3"/>
        <v>8.2680000000000007</v>
      </c>
      <c r="AH41" t="s">
        <v>50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209</v>
      </c>
      <c r="G42" t="s">
        <v>37</v>
      </c>
      <c r="H42" t="s">
        <v>38</v>
      </c>
      <c r="I42" t="s">
        <v>210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2</v>
      </c>
      <c r="P42" s="8">
        <v>45215.69903935185</v>
      </c>
      <c r="Q42" s="9">
        <v>45217</v>
      </c>
      <c r="R42" t="s">
        <v>37</v>
      </c>
      <c r="S42" t="s">
        <v>44</v>
      </c>
      <c r="T42" t="s">
        <v>45</v>
      </c>
      <c r="U42" t="s">
        <v>46</v>
      </c>
      <c r="V42" t="s">
        <v>211</v>
      </c>
      <c r="W42">
        <v>9020</v>
      </c>
      <c r="X42" t="s">
        <v>44</v>
      </c>
      <c r="Y42" t="s">
        <v>212</v>
      </c>
      <c r="Z42" t="s">
        <v>49</v>
      </c>
      <c r="AA42" s="10">
        <f>IF(O42&lt;=1,7,7+0.8*ROUNDUP(O42-1,0))</f>
        <v>7.8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2"/>
        <v>0.46799999999999997</v>
      </c>
      <c r="AG42" s="11">
        <f t="shared" si="3"/>
        <v>8.2680000000000007</v>
      </c>
      <c r="AH42" t="s">
        <v>50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213</v>
      </c>
      <c r="G43" t="s">
        <v>37</v>
      </c>
      <c r="H43" t="s">
        <v>38</v>
      </c>
      <c r="I43" t="s">
        <v>214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1</v>
      </c>
      <c r="P43" s="8">
        <v>45216.683391203704</v>
      </c>
      <c r="Q43" s="9">
        <v>45217</v>
      </c>
      <c r="R43" t="s">
        <v>37</v>
      </c>
      <c r="S43" t="s">
        <v>44</v>
      </c>
      <c r="T43" t="s">
        <v>45</v>
      </c>
      <c r="U43" t="s">
        <v>53</v>
      </c>
      <c r="V43" t="s">
        <v>215</v>
      </c>
      <c r="W43">
        <v>17500</v>
      </c>
      <c r="X43" t="s">
        <v>44</v>
      </c>
      <c r="Y43" t="s">
        <v>55</v>
      </c>
      <c r="Z43" t="s">
        <v>49</v>
      </c>
      <c r="AA43" s="10">
        <f>IF(O43&lt;=1,7,7+0.8*ROUNDUP(O43-1,0))</f>
        <v>7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2"/>
        <v>0.42</v>
      </c>
      <c r="AG43" s="11">
        <f t="shared" si="3"/>
        <v>7.42</v>
      </c>
      <c r="AH43" t="s">
        <v>50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216</v>
      </c>
      <c r="G44" t="s">
        <v>37</v>
      </c>
      <c r="H44" t="s">
        <v>38</v>
      </c>
      <c r="I44" t="s">
        <v>217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1</v>
      </c>
      <c r="P44" s="8">
        <v>45215.620856481481</v>
      </c>
      <c r="Q44" s="9">
        <v>45217</v>
      </c>
      <c r="R44" t="s">
        <v>37</v>
      </c>
      <c r="S44" t="s">
        <v>44</v>
      </c>
      <c r="T44" t="s">
        <v>45</v>
      </c>
      <c r="U44" t="s">
        <v>46</v>
      </c>
      <c r="V44" t="s">
        <v>218</v>
      </c>
      <c r="W44">
        <v>6010</v>
      </c>
      <c r="X44" t="s">
        <v>44</v>
      </c>
      <c r="Y44" t="s">
        <v>48</v>
      </c>
      <c r="Z44" t="s">
        <v>49</v>
      </c>
      <c r="AA44" s="10">
        <f>IF(O44&lt;=1,7,7+0.8*ROUNDUP(O44-1,0))</f>
        <v>7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2"/>
        <v>0.42</v>
      </c>
      <c r="AG44" s="11">
        <f t="shared" si="3"/>
        <v>7.42</v>
      </c>
      <c r="AH44" t="s">
        <v>50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219</v>
      </c>
      <c r="G45" t="s">
        <v>37</v>
      </c>
      <c r="H45" t="s">
        <v>38</v>
      </c>
      <c r="I45" t="s">
        <v>220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2</v>
      </c>
      <c r="P45" s="8">
        <v>45216.500057870369</v>
      </c>
      <c r="Q45" s="9">
        <v>45217</v>
      </c>
      <c r="R45" t="s">
        <v>37</v>
      </c>
      <c r="S45" t="s">
        <v>44</v>
      </c>
      <c r="T45" t="s">
        <v>45</v>
      </c>
      <c r="U45" t="s">
        <v>66</v>
      </c>
      <c r="V45" t="s">
        <v>221</v>
      </c>
      <c r="W45">
        <v>53000</v>
      </c>
      <c r="X45" t="s">
        <v>44</v>
      </c>
      <c r="Y45" t="s">
        <v>222</v>
      </c>
      <c r="Z45" t="s">
        <v>49</v>
      </c>
      <c r="AA45" s="10">
        <f>IF(O45&lt;=1,7,7+0.8*ROUNDUP(O45-1,0))</f>
        <v>7.8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2"/>
        <v>0.46799999999999997</v>
      </c>
      <c r="AG45" s="11">
        <f t="shared" si="3"/>
        <v>8.2680000000000007</v>
      </c>
      <c r="AH45" t="s">
        <v>50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223</v>
      </c>
      <c r="G46" t="s">
        <v>37</v>
      </c>
      <c r="H46" t="s">
        <v>38</v>
      </c>
      <c r="I46" t="s">
        <v>224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1</v>
      </c>
      <c r="P46" s="8">
        <v>45214.770532407405</v>
      </c>
      <c r="Q46" s="9">
        <v>45217</v>
      </c>
      <c r="R46" t="s">
        <v>37</v>
      </c>
      <c r="S46" t="s">
        <v>44</v>
      </c>
      <c r="T46" t="s">
        <v>45</v>
      </c>
      <c r="U46" t="s">
        <v>46</v>
      </c>
      <c r="V46" t="s">
        <v>225</v>
      </c>
      <c r="W46">
        <v>6750</v>
      </c>
      <c r="X46" t="s">
        <v>44</v>
      </c>
      <c r="Y46" t="s">
        <v>226</v>
      </c>
      <c r="Z46" t="s">
        <v>49</v>
      </c>
      <c r="AA46" s="10">
        <f>IF(O46&lt;=1,7,7+0.8*ROUNDUP(O46-1,0))</f>
        <v>7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2"/>
        <v>0.42</v>
      </c>
      <c r="AG46" s="11">
        <f t="shared" si="3"/>
        <v>7.42</v>
      </c>
      <c r="AH46" t="s">
        <v>50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227</v>
      </c>
      <c r="G47" t="s">
        <v>37</v>
      </c>
      <c r="H47" t="s">
        <v>38</v>
      </c>
      <c r="I47" t="s">
        <v>228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1</v>
      </c>
      <c r="P47" s="8">
        <v>45215.568495370368</v>
      </c>
      <c r="Q47" s="9">
        <v>45217</v>
      </c>
      <c r="R47" t="s">
        <v>37</v>
      </c>
      <c r="S47" t="s">
        <v>44</v>
      </c>
      <c r="T47" t="s">
        <v>45</v>
      </c>
      <c r="U47" t="s">
        <v>182</v>
      </c>
      <c r="V47" t="s">
        <v>229</v>
      </c>
      <c r="W47">
        <v>11500</v>
      </c>
      <c r="X47" t="s">
        <v>44</v>
      </c>
      <c r="Y47" t="s">
        <v>230</v>
      </c>
      <c r="Z47" t="s">
        <v>49</v>
      </c>
      <c r="AA47" s="10">
        <f>IF(O47&lt;=1,7,7+0.8*ROUNDUP(O47-1,0))</f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2"/>
        <v>0.42</v>
      </c>
      <c r="AG47" s="11">
        <f t="shared" si="3"/>
        <v>7.42</v>
      </c>
      <c r="AH47" t="s">
        <v>50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231</v>
      </c>
      <c r="G48" t="s">
        <v>37</v>
      </c>
      <c r="H48" t="s">
        <v>38</v>
      </c>
      <c r="I48" t="s">
        <v>232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1</v>
      </c>
      <c r="P48" s="8">
        <v>45215.594768518517</v>
      </c>
      <c r="Q48" s="9">
        <v>45218</v>
      </c>
      <c r="R48" t="s">
        <v>37</v>
      </c>
      <c r="S48" t="s">
        <v>44</v>
      </c>
      <c r="T48" t="s">
        <v>45</v>
      </c>
      <c r="U48" t="s">
        <v>92</v>
      </c>
      <c r="V48" t="s">
        <v>233</v>
      </c>
      <c r="W48">
        <v>81310</v>
      </c>
      <c r="X48" t="s">
        <v>44</v>
      </c>
      <c r="Y48" t="s">
        <v>234</v>
      </c>
      <c r="Z48" t="s">
        <v>49</v>
      </c>
      <c r="AA48" s="10">
        <f>IF(O48&lt;=1,7,7+0.8*ROUNDUP(O48-1,0))</f>
        <v>7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2"/>
        <v>0.42</v>
      </c>
      <c r="AG48" s="11">
        <f t="shared" si="3"/>
        <v>7.42</v>
      </c>
      <c r="AH48" t="s">
        <v>50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235</v>
      </c>
      <c r="G49" t="s">
        <v>37</v>
      </c>
      <c r="H49" t="s">
        <v>38</v>
      </c>
      <c r="I49" t="s">
        <v>236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45217.645798611113</v>
      </c>
      <c r="Q49" s="9">
        <v>45218</v>
      </c>
      <c r="R49" t="s">
        <v>37</v>
      </c>
      <c r="S49" t="s">
        <v>44</v>
      </c>
      <c r="T49" t="s">
        <v>45</v>
      </c>
      <c r="U49" t="s">
        <v>66</v>
      </c>
      <c r="V49" t="s">
        <v>237</v>
      </c>
      <c r="W49">
        <v>46000</v>
      </c>
      <c r="X49" t="s">
        <v>44</v>
      </c>
      <c r="Y49" t="s">
        <v>238</v>
      </c>
      <c r="Z49" t="s">
        <v>49</v>
      </c>
      <c r="AA49" s="10">
        <f>IF(O49&lt;=1,7,7+0.8*ROUNDUP(O49-1,0))</f>
        <v>7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2"/>
        <v>0.42</v>
      </c>
      <c r="AG49" s="11">
        <f t="shared" si="3"/>
        <v>7.42</v>
      </c>
      <c r="AH49" t="s">
        <v>50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239</v>
      </c>
      <c r="G50" t="s">
        <v>37</v>
      </c>
      <c r="H50" t="s">
        <v>38</v>
      </c>
      <c r="I50" t="s">
        <v>240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1</v>
      </c>
      <c r="P50" s="8">
        <v>45216.766550925924</v>
      </c>
      <c r="Q50" s="9">
        <v>45218</v>
      </c>
      <c r="R50" t="s">
        <v>37</v>
      </c>
      <c r="S50" t="s">
        <v>44</v>
      </c>
      <c r="T50" t="s">
        <v>45</v>
      </c>
      <c r="U50" t="s">
        <v>87</v>
      </c>
      <c r="V50" t="s">
        <v>241</v>
      </c>
      <c r="W50">
        <v>26100</v>
      </c>
      <c r="X50" t="s">
        <v>44</v>
      </c>
      <c r="Y50" t="s">
        <v>45</v>
      </c>
      <c r="Z50" t="s">
        <v>49</v>
      </c>
      <c r="AA50" s="10">
        <f>IF(O50&lt;=1,7,7+0.8*ROUNDUP(O50-1,0))</f>
        <v>7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2"/>
        <v>0.42</v>
      </c>
      <c r="AG50" s="11">
        <f t="shared" si="3"/>
        <v>7.42</v>
      </c>
      <c r="AH50" t="s">
        <v>50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242</v>
      </c>
      <c r="G51" t="s">
        <v>37</v>
      </c>
      <c r="H51" t="s">
        <v>38</v>
      </c>
      <c r="I51" t="s">
        <v>243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1</v>
      </c>
      <c r="P51" s="8">
        <v>45215.766747685186</v>
      </c>
      <c r="Q51" s="9">
        <v>45218</v>
      </c>
      <c r="R51" t="s">
        <v>37</v>
      </c>
      <c r="S51" t="s">
        <v>44</v>
      </c>
      <c r="T51" t="s">
        <v>45</v>
      </c>
      <c r="U51" t="s">
        <v>92</v>
      </c>
      <c r="V51" t="s">
        <v>244</v>
      </c>
      <c r="W51">
        <v>82200</v>
      </c>
      <c r="X51" t="s">
        <v>44</v>
      </c>
      <c r="Y51" t="s">
        <v>245</v>
      </c>
      <c r="Z51" t="s">
        <v>49</v>
      </c>
      <c r="AA51" s="10">
        <f>IF(O51&lt;=1,7,7+0.8*ROUNDUP(O51-1,0))</f>
        <v>7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2"/>
        <v>0.42</v>
      </c>
      <c r="AG51" s="11">
        <f t="shared" si="3"/>
        <v>7.42</v>
      </c>
      <c r="AH51" t="s">
        <v>50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246</v>
      </c>
      <c r="G52" t="s">
        <v>37</v>
      </c>
      <c r="H52" t="s">
        <v>38</v>
      </c>
      <c r="I52" t="s">
        <v>247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5</v>
      </c>
      <c r="P52" s="8">
        <v>45217.706423611111</v>
      </c>
      <c r="Q52" s="9">
        <v>45218</v>
      </c>
      <c r="R52" t="s">
        <v>37</v>
      </c>
      <c r="S52" t="s">
        <v>44</v>
      </c>
      <c r="T52" t="s">
        <v>45</v>
      </c>
      <c r="U52" t="s">
        <v>71</v>
      </c>
      <c r="V52" t="s">
        <v>248</v>
      </c>
      <c r="W52">
        <v>22200</v>
      </c>
      <c r="X52" t="s">
        <v>44</v>
      </c>
      <c r="Y52" t="s">
        <v>249</v>
      </c>
      <c r="Z52" t="s">
        <v>49</v>
      </c>
      <c r="AA52" s="10">
        <f>IF(O52&lt;=1,7,7+0.8*ROUNDUP(O52-1,0))</f>
        <v>10.199999999999999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2"/>
        <v>0.61199999999999999</v>
      </c>
      <c r="AG52" s="11">
        <f t="shared" si="3"/>
        <v>10.811999999999999</v>
      </c>
      <c r="AH52" t="s">
        <v>50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250</v>
      </c>
      <c r="G53" t="s">
        <v>37</v>
      </c>
      <c r="H53" t="s">
        <v>38</v>
      </c>
      <c r="I53" t="s">
        <v>251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1</v>
      </c>
      <c r="P53" s="8">
        <v>45217.712314814817</v>
      </c>
      <c r="Q53" s="9">
        <v>45218</v>
      </c>
      <c r="R53" t="s">
        <v>37</v>
      </c>
      <c r="S53" t="s">
        <v>44</v>
      </c>
      <c r="T53" t="s">
        <v>45</v>
      </c>
      <c r="U53" t="s">
        <v>66</v>
      </c>
      <c r="V53" t="s">
        <v>252</v>
      </c>
      <c r="W53">
        <v>47120</v>
      </c>
      <c r="X53" t="s">
        <v>44</v>
      </c>
      <c r="Y53" t="s">
        <v>253</v>
      </c>
      <c r="Z53" t="s">
        <v>49</v>
      </c>
      <c r="AA53" s="10">
        <f>IF(O53&lt;=1,7,7+0.8*ROUNDUP(O53-1,0))</f>
        <v>7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2"/>
        <v>0.42</v>
      </c>
      <c r="AG53" s="11">
        <f t="shared" si="3"/>
        <v>7.42</v>
      </c>
      <c r="AH53" t="s">
        <v>50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254</v>
      </c>
      <c r="G54" t="s">
        <v>37</v>
      </c>
      <c r="H54" t="s">
        <v>38</v>
      </c>
      <c r="I54" t="s">
        <v>255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4</v>
      </c>
      <c r="P54" s="8">
        <v>45216.742002314815</v>
      </c>
      <c r="Q54" s="9">
        <v>45218</v>
      </c>
      <c r="R54" t="s">
        <v>37</v>
      </c>
      <c r="S54" t="s">
        <v>44</v>
      </c>
      <c r="T54" t="s">
        <v>45</v>
      </c>
      <c r="U54" t="s">
        <v>87</v>
      </c>
      <c r="V54" t="s">
        <v>256</v>
      </c>
      <c r="W54">
        <v>39100</v>
      </c>
      <c r="X54" t="s">
        <v>44</v>
      </c>
      <c r="Y54" t="s">
        <v>257</v>
      </c>
      <c r="Z54" t="s">
        <v>49</v>
      </c>
      <c r="AA54" s="10">
        <f>IF(O54&lt;=1,7,7+0.8*ROUNDUP(O54-1,0))</f>
        <v>9.4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2"/>
        <v>0.56399999999999995</v>
      </c>
      <c r="AG54" s="11">
        <f t="shared" si="3"/>
        <v>9.9640000000000004</v>
      </c>
      <c r="AH54" t="s">
        <v>50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258</v>
      </c>
      <c r="G55" t="s">
        <v>37</v>
      </c>
      <c r="H55" t="s">
        <v>38</v>
      </c>
      <c r="I55" t="s">
        <v>259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1</v>
      </c>
      <c r="P55" s="8">
        <v>45217.712314814817</v>
      </c>
      <c r="Q55" s="9">
        <v>45218</v>
      </c>
      <c r="R55" t="s">
        <v>37</v>
      </c>
      <c r="S55" t="s">
        <v>44</v>
      </c>
      <c r="T55" t="s">
        <v>45</v>
      </c>
      <c r="U55" t="s">
        <v>87</v>
      </c>
      <c r="V55" t="s">
        <v>260</v>
      </c>
      <c r="W55">
        <v>25150</v>
      </c>
      <c r="X55" t="s">
        <v>44</v>
      </c>
      <c r="Y55" t="s">
        <v>154</v>
      </c>
      <c r="Z55" t="s">
        <v>49</v>
      </c>
      <c r="AA55" s="10">
        <f>IF(O55&lt;=1,7,7+0.8*ROUNDUP(O55-1,0))</f>
        <v>7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2"/>
        <v>0.42</v>
      </c>
      <c r="AG55" s="11">
        <f t="shared" si="3"/>
        <v>7.42</v>
      </c>
      <c r="AH55" t="s">
        <v>50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261</v>
      </c>
      <c r="G56" t="s">
        <v>37</v>
      </c>
      <c r="H56" t="s">
        <v>38</v>
      </c>
      <c r="I56" t="s">
        <v>262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2.5</v>
      </c>
      <c r="P56" s="8">
        <v>45215.752615740741</v>
      </c>
      <c r="Q56" s="9">
        <v>45218</v>
      </c>
      <c r="R56" t="s">
        <v>37</v>
      </c>
      <c r="S56" t="s">
        <v>44</v>
      </c>
      <c r="T56" t="s">
        <v>45</v>
      </c>
      <c r="U56" t="s">
        <v>263</v>
      </c>
      <c r="V56" t="s">
        <v>264</v>
      </c>
      <c r="W56">
        <v>1000</v>
      </c>
      <c r="X56" t="s">
        <v>44</v>
      </c>
      <c r="Y56" t="s">
        <v>115</v>
      </c>
      <c r="Z56" t="s">
        <v>49</v>
      </c>
      <c r="AA56" s="10">
        <f>IF(O56&lt;=1,7,7+0.8*ROUNDUP(O56-1,0))</f>
        <v>8.6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2"/>
        <v>0.51600000000000001</v>
      </c>
      <c r="AG56" s="11">
        <f t="shared" si="3"/>
        <v>9.1159999999999997</v>
      </c>
      <c r="AH56" t="s">
        <v>50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265</v>
      </c>
      <c r="G57" t="s">
        <v>37</v>
      </c>
      <c r="H57" t="s">
        <v>38</v>
      </c>
      <c r="I57" t="s">
        <v>266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7</v>
      </c>
      <c r="P57" s="8">
        <v>45216.742002314815</v>
      </c>
      <c r="Q57" s="9">
        <v>45218</v>
      </c>
      <c r="R57" t="s">
        <v>37</v>
      </c>
      <c r="S57" t="s">
        <v>44</v>
      </c>
      <c r="T57" t="s">
        <v>45</v>
      </c>
      <c r="U57" t="s">
        <v>87</v>
      </c>
      <c r="V57" t="s">
        <v>267</v>
      </c>
      <c r="W57">
        <v>39100</v>
      </c>
      <c r="X57" t="s">
        <v>44</v>
      </c>
      <c r="Y57" t="s">
        <v>268</v>
      </c>
      <c r="Z57" t="s">
        <v>49</v>
      </c>
      <c r="AA57" s="10">
        <f>IF(O57&lt;=1,7,7+0.8*ROUNDUP(O57-1,0))</f>
        <v>11.8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2"/>
        <v>0.70799999999999996</v>
      </c>
      <c r="AG57" s="11">
        <f t="shared" si="3"/>
        <v>12.508000000000001</v>
      </c>
      <c r="AH57" t="s">
        <v>50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269</v>
      </c>
      <c r="G58" t="s">
        <v>37</v>
      </c>
      <c r="H58" t="s">
        <v>38</v>
      </c>
      <c r="I58" t="s">
        <v>270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1</v>
      </c>
      <c r="P58" s="8">
        <v>45217.540659722225</v>
      </c>
      <c r="Q58" s="9">
        <v>45218</v>
      </c>
      <c r="R58" t="s">
        <v>37</v>
      </c>
      <c r="S58" t="s">
        <v>44</v>
      </c>
      <c r="T58" t="s">
        <v>45</v>
      </c>
      <c r="U58" t="s">
        <v>53</v>
      </c>
      <c r="V58" t="s">
        <v>271</v>
      </c>
      <c r="W58">
        <v>17010</v>
      </c>
      <c r="X58" t="s">
        <v>44</v>
      </c>
      <c r="Y58" t="s">
        <v>55</v>
      </c>
      <c r="Z58" t="s">
        <v>49</v>
      </c>
      <c r="AA58" s="10">
        <f>IF(O58&lt;=1,7,7+0.8*ROUNDUP(O58-1,0))</f>
        <v>7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2"/>
        <v>0.42</v>
      </c>
      <c r="AG58" s="11">
        <f t="shared" si="3"/>
        <v>7.42</v>
      </c>
      <c r="AH58" t="s">
        <v>50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272</v>
      </c>
      <c r="G59" t="s">
        <v>37</v>
      </c>
      <c r="H59" t="s">
        <v>38</v>
      </c>
      <c r="I59" t="s">
        <v>273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1</v>
      </c>
      <c r="P59" s="8">
        <v>45217.563020833331</v>
      </c>
      <c r="Q59" s="9">
        <v>45218</v>
      </c>
      <c r="R59" t="s">
        <v>37</v>
      </c>
      <c r="S59" t="s">
        <v>44</v>
      </c>
      <c r="T59" t="s">
        <v>45</v>
      </c>
      <c r="U59" t="s">
        <v>145</v>
      </c>
      <c r="V59" t="s">
        <v>274</v>
      </c>
      <c r="W59">
        <v>78300</v>
      </c>
      <c r="X59" t="s">
        <v>44</v>
      </c>
      <c r="Y59" t="s">
        <v>275</v>
      </c>
      <c r="Z59" t="s">
        <v>49</v>
      </c>
      <c r="AA59" s="10">
        <f>IF(O59&lt;=1,7,7+0.8*ROUNDUP(O59-1,0))</f>
        <v>7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2"/>
        <v>0.42</v>
      </c>
      <c r="AG59" s="11">
        <f t="shared" si="3"/>
        <v>7.42</v>
      </c>
      <c r="AH59" t="s">
        <v>50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276</v>
      </c>
      <c r="G60" t="s">
        <v>37</v>
      </c>
      <c r="H60" t="s">
        <v>38</v>
      </c>
      <c r="I60" t="s">
        <v>277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45216.463148148148</v>
      </c>
      <c r="Q60" s="9">
        <v>45218</v>
      </c>
      <c r="R60" t="s">
        <v>37</v>
      </c>
      <c r="S60" t="s">
        <v>44</v>
      </c>
      <c r="T60" t="s">
        <v>45</v>
      </c>
      <c r="U60" t="s">
        <v>145</v>
      </c>
      <c r="V60" t="s">
        <v>278</v>
      </c>
      <c r="W60">
        <v>75250</v>
      </c>
      <c r="X60" t="s">
        <v>44</v>
      </c>
      <c r="Y60" t="s">
        <v>115</v>
      </c>
      <c r="Z60" t="s">
        <v>49</v>
      </c>
      <c r="AA60" s="10">
        <f>IF(O60&lt;=1,7,7+0.8*ROUNDUP(O60-1,0))</f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2"/>
        <v>0.42</v>
      </c>
      <c r="AG60" s="11">
        <f t="shared" si="3"/>
        <v>7.42</v>
      </c>
      <c r="AH60" t="s">
        <v>50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279</v>
      </c>
      <c r="G61" t="s">
        <v>37</v>
      </c>
      <c r="H61" t="s">
        <v>38</v>
      </c>
      <c r="I61" t="s">
        <v>280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1</v>
      </c>
      <c r="P61" s="8">
        <v>45216.676064814812</v>
      </c>
      <c r="Q61" s="9">
        <v>45218</v>
      </c>
      <c r="R61" t="s">
        <v>37</v>
      </c>
      <c r="S61" t="s">
        <v>44</v>
      </c>
      <c r="T61" t="s">
        <v>45</v>
      </c>
      <c r="U61" t="s">
        <v>157</v>
      </c>
      <c r="V61" t="s">
        <v>281</v>
      </c>
      <c r="W61">
        <v>35400</v>
      </c>
      <c r="X61" t="s">
        <v>44</v>
      </c>
      <c r="Y61" t="s">
        <v>282</v>
      </c>
      <c r="Z61" t="s">
        <v>49</v>
      </c>
      <c r="AA61" s="10">
        <f>IF(O61&lt;=1,7,7+0.8*ROUNDUP(O61-1,0))</f>
        <v>7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2"/>
        <v>0.42</v>
      </c>
      <c r="AG61" s="11">
        <f t="shared" si="3"/>
        <v>7.42</v>
      </c>
      <c r="AH61" t="s">
        <v>50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283</v>
      </c>
      <c r="G62" t="s">
        <v>37</v>
      </c>
      <c r="H62" t="s">
        <v>38</v>
      </c>
      <c r="I62" t="s">
        <v>284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1</v>
      </c>
      <c r="P62" s="8">
        <v>45217.618148148147</v>
      </c>
      <c r="Q62" s="9">
        <v>45218</v>
      </c>
      <c r="R62" t="s">
        <v>37</v>
      </c>
      <c r="S62" t="s">
        <v>44</v>
      </c>
      <c r="T62" t="s">
        <v>45</v>
      </c>
      <c r="U62" t="s">
        <v>53</v>
      </c>
      <c r="V62" t="s">
        <v>285</v>
      </c>
      <c r="W62">
        <v>16400</v>
      </c>
      <c r="X62" t="s">
        <v>44</v>
      </c>
      <c r="Y62" t="s">
        <v>286</v>
      </c>
      <c r="Z62" t="s">
        <v>49</v>
      </c>
      <c r="AA62" s="10">
        <f>IF(O62&lt;=1,7,7+0.8*ROUNDUP(O62-1,0))</f>
        <v>7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2"/>
        <v>0.42</v>
      </c>
      <c r="AG62" s="11">
        <f t="shared" si="3"/>
        <v>7.42</v>
      </c>
      <c r="AH62" t="s">
        <v>50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287</v>
      </c>
      <c r="G63" t="s">
        <v>37</v>
      </c>
      <c r="H63" t="s">
        <v>38</v>
      </c>
      <c r="I63" t="s">
        <v>288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1</v>
      </c>
      <c r="P63" s="8">
        <v>45217.599861111114</v>
      </c>
      <c r="Q63" s="9">
        <v>45218</v>
      </c>
      <c r="R63" t="s">
        <v>37</v>
      </c>
      <c r="S63" t="s">
        <v>44</v>
      </c>
      <c r="T63" t="s">
        <v>45</v>
      </c>
      <c r="U63" t="s">
        <v>66</v>
      </c>
      <c r="V63" t="s">
        <v>289</v>
      </c>
      <c r="W63">
        <v>40200</v>
      </c>
      <c r="X63" t="s">
        <v>44</v>
      </c>
      <c r="Y63" t="s">
        <v>290</v>
      </c>
      <c r="Z63" t="s">
        <v>49</v>
      </c>
      <c r="AA63" s="10">
        <f>IF(O63&lt;=1,7,7+0.8*ROUNDUP(O63-1,0))</f>
        <v>7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2"/>
        <v>0.42</v>
      </c>
      <c r="AG63" s="11">
        <f t="shared" si="3"/>
        <v>7.42</v>
      </c>
      <c r="AH63" t="s">
        <v>50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291</v>
      </c>
      <c r="G64" t="s">
        <v>37</v>
      </c>
      <c r="H64" t="s">
        <v>38</v>
      </c>
      <c r="I64" t="s">
        <v>292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45217.645798611113</v>
      </c>
      <c r="Q64" s="9">
        <v>45218</v>
      </c>
      <c r="R64" t="s">
        <v>37</v>
      </c>
      <c r="S64" t="s">
        <v>44</v>
      </c>
      <c r="T64" t="s">
        <v>45</v>
      </c>
      <c r="U64" t="s">
        <v>71</v>
      </c>
      <c r="V64" t="s">
        <v>293</v>
      </c>
      <c r="W64">
        <v>24000</v>
      </c>
      <c r="X64" t="s">
        <v>44</v>
      </c>
      <c r="Y64" t="s">
        <v>45</v>
      </c>
      <c r="Z64" t="s">
        <v>49</v>
      </c>
      <c r="AA64" s="10">
        <f>IF(O64&lt;=1,7,7+0.8*ROUNDUP(O64-1,0))</f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2"/>
        <v>0.42</v>
      </c>
      <c r="AG64" s="11">
        <f t="shared" si="3"/>
        <v>7.42</v>
      </c>
      <c r="AH64" t="s">
        <v>50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294</v>
      </c>
      <c r="G65" t="s">
        <v>37</v>
      </c>
      <c r="H65" t="s">
        <v>38</v>
      </c>
      <c r="I65" t="s">
        <v>295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1</v>
      </c>
      <c r="P65" s="8">
        <v>45217.645798611113</v>
      </c>
      <c r="Q65" s="9">
        <v>45218</v>
      </c>
      <c r="R65" t="s">
        <v>37</v>
      </c>
      <c r="S65" t="s">
        <v>44</v>
      </c>
      <c r="T65" t="s">
        <v>45</v>
      </c>
      <c r="U65" t="s">
        <v>53</v>
      </c>
      <c r="V65" t="s">
        <v>296</v>
      </c>
      <c r="W65">
        <v>16100</v>
      </c>
      <c r="X65" t="s">
        <v>44</v>
      </c>
      <c r="Y65" t="s">
        <v>55</v>
      </c>
      <c r="Z65" t="s">
        <v>49</v>
      </c>
      <c r="AA65" s="10">
        <f>IF(O65&lt;=1,7,7+0.8*ROUNDUP(O65-1,0))</f>
        <v>7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2"/>
        <v>0.42</v>
      </c>
      <c r="AG65" s="11">
        <f t="shared" si="3"/>
        <v>7.42</v>
      </c>
      <c r="AH65" t="s">
        <v>50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297</v>
      </c>
      <c r="G66" t="s">
        <v>37</v>
      </c>
      <c r="H66" t="s">
        <v>38</v>
      </c>
      <c r="I66" t="s">
        <v>298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1</v>
      </c>
      <c r="P66" s="8">
        <v>45217.680324074077</v>
      </c>
      <c r="Q66" s="9">
        <v>45218</v>
      </c>
      <c r="R66" t="s">
        <v>37</v>
      </c>
      <c r="S66" t="s">
        <v>44</v>
      </c>
      <c r="T66" t="s">
        <v>45</v>
      </c>
      <c r="U66" t="s">
        <v>66</v>
      </c>
      <c r="V66" t="s">
        <v>299</v>
      </c>
      <c r="W66">
        <v>43700</v>
      </c>
      <c r="X66" t="s">
        <v>44</v>
      </c>
      <c r="Y66" t="s">
        <v>300</v>
      </c>
      <c r="Z66" t="s">
        <v>49</v>
      </c>
      <c r="AA66" s="10">
        <f>IF(O66&lt;=1,7,7+0.8*ROUNDUP(O66-1,0))</f>
        <v>7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si="2"/>
        <v>0.42</v>
      </c>
      <c r="AG66" s="11">
        <f t="shared" si="3"/>
        <v>7.42</v>
      </c>
      <c r="AH66" t="s">
        <v>50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301</v>
      </c>
      <c r="G67" t="s">
        <v>37</v>
      </c>
      <c r="H67" t="s">
        <v>38</v>
      </c>
      <c r="I67" t="s">
        <v>302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1</v>
      </c>
      <c r="P67" s="8">
        <v>45217.645798611113</v>
      </c>
      <c r="Q67" s="9">
        <v>45218</v>
      </c>
      <c r="R67" t="s">
        <v>37</v>
      </c>
      <c r="S67" t="s">
        <v>44</v>
      </c>
      <c r="T67" t="s">
        <v>45</v>
      </c>
      <c r="U67" t="s">
        <v>66</v>
      </c>
      <c r="V67" t="s">
        <v>303</v>
      </c>
      <c r="W67">
        <v>43500</v>
      </c>
      <c r="X67" t="s">
        <v>44</v>
      </c>
      <c r="Y67" t="s">
        <v>300</v>
      </c>
      <c r="Z67" t="s">
        <v>49</v>
      </c>
      <c r="AA67" s="10">
        <f>IF(O67&lt;=1,7,7+0.8*ROUNDUP(O67-1,0))</f>
        <v>7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0.42</v>
      </c>
      <c r="AG67" s="11">
        <f t="shared" si="3"/>
        <v>7.42</v>
      </c>
      <c r="AH67" t="s">
        <v>50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304</v>
      </c>
      <c r="G68" t="s">
        <v>37</v>
      </c>
      <c r="H68" t="s">
        <v>38</v>
      </c>
      <c r="I68" t="s">
        <v>305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45216.777673611112</v>
      </c>
      <c r="Q68" s="9">
        <v>45218</v>
      </c>
      <c r="R68" t="s">
        <v>37</v>
      </c>
      <c r="S68" t="s">
        <v>44</v>
      </c>
      <c r="T68" t="s">
        <v>45</v>
      </c>
      <c r="U68" t="s">
        <v>66</v>
      </c>
      <c r="V68" t="s">
        <v>306</v>
      </c>
      <c r="W68">
        <v>43900</v>
      </c>
      <c r="X68" t="s">
        <v>44</v>
      </c>
      <c r="Y68" t="s">
        <v>307</v>
      </c>
      <c r="Z68" t="s">
        <v>49</v>
      </c>
      <c r="AA68" s="10">
        <f>IF(O68&lt;=1,7,7+0.8*ROUNDUP(O68-1,0))</f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0.42</v>
      </c>
      <c r="AG68" s="11">
        <f t="shared" si="3"/>
        <v>7.42</v>
      </c>
      <c r="AH68" t="s">
        <v>50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308</v>
      </c>
      <c r="G69" t="s">
        <v>37</v>
      </c>
      <c r="H69" t="s">
        <v>38</v>
      </c>
      <c r="I69" t="s">
        <v>309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1</v>
      </c>
      <c r="P69" s="8">
        <v>45217.669733796298</v>
      </c>
      <c r="Q69" s="9">
        <v>45218</v>
      </c>
      <c r="R69" t="s">
        <v>37</v>
      </c>
      <c r="S69" t="s">
        <v>44</v>
      </c>
      <c r="T69" t="s">
        <v>45</v>
      </c>
      <c r="U69" t="s">
        <v>66</v>
      </c>
      <c r="V69" t="s">
        <v>310</v>
      </c>
      <c r="W69">
        <v>43000</v>
      </c>
      <c r="X69" t="s">
        <v>44</v>
      </c>
      <c r="Y69" t="s">
        <v>80</v>
      </c>
      <c r="Z69" t="s">
        <v>49</v>
      </c>
      <c r="AA69" s="10">
        <f>IF(O69&lt;=1,7,7+0.8*ROUNDUP(O69-1,0))</f>
        <v>7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0.42</v>
      </c>
      <c r="AG69" s="11">
        <f t="shared" si="3"/>
        <v>7.42</v>
      </c>
      <c r="AH69" t="s">
        <v>50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311</v>
      </c>
      <c r="G70" t="s">
        <v>37</v>
      </c>
      <c r="H70" t="s">
        <v>38</v>
      </c>
      <c r="I70" t="s">
        <v>312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5</v>
      </c>
      <c r="P70" s="8">
        <v>45217.481585648151</v>
      </c>
      <c r="Q70" s="9">
        <v>45218</v>
      </c>
      <c r="R70" t="s">
        <v>37</v>
      </c>
      <c r="S70" t="s">
        <v>44</v>
      </c>
      <c r="T70" t="s">
        <v>45</v>
      </c>
      <c r="U70" t="s">
        <v>53</v>
      </c>
      <c r="V70" t="s">
        <v>313</v>
      </c>
      <c r="W70">
        <v>18300</v>
      </c>
      <c r="X70" t="s">
        <v>44</v>
      </c>
      <c r="Y70" t="s">
        <v>314</v>
      </c>
      <c r="Z70" t="s">
        <v>49</v>
      </c>
      <c r="AA70" s="10">
        <f>IF(O70&lt;=1,7,7+0.8*ROUNDUP(O70-1,0))</f>
        <v>10.199999999999999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0.61199999999999999</v>
      </c>
      <c r="AG70" s="11">
        <f t="shared" si="3"/>
        <v>10.811999999999999</v>
      </c>
      <c r="AH70" t="s">
        <v>50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315</v>
      </c>
      <c r="G71" t="s">
        <v>37</v>
      </c>
      <c r="H71" t="s">
        <v>38</v>
      </c>
      <c r="I71" t="s">
        <v>316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1</v>
      </c>
      <c r="P71" s="8">
        <v>45217.645798611113</v>
      </c>
      <c r="Q71" s="9">
        <v>45218</v>
      </c>
      <c r="R71" t="s">
        <v>37</v>
      </c>
      <c r="S71" t="s">
        <v>44</v>
      </c>
      <c r="T71" t="s">
        <v>45</v>
      </c>
      <c r="U71" t="s">
        <v>53</v>
      </c>
      <c r="V71" t="s">
        <v>317</v>
      </c>
      <c r="W71">
        <v>18000</v>
      </c>
      <c r="X71" t="s">
        <v>44</v>
      </c>
      <c r="Y71" t="s">
        <v>55</v>
      </c>
      <c r="Z71" t="s">
        <v>49</v>
      </c>
      <c r="AA71" s="10">
        <f>IF(O71&lt;=1,7,7+0.8*ROUNDUP(O71-1,0))</f>
        <v>7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0.42</v>
      </c>
      <c r="AG71" s="11">
        <f t="shared" si="3"/>
        <v>7.42</v>
      </c>
      <c r="AH71" t="s">
        <v>50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318</v>
      </c>
      <c r="G72" t="s">
        <v>37</v>
      </c>
      <c r="H72" t="s">
        <v>38</v>
      </c>
      <c r="I72" t="s">
        <v>319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1</v>
      </c>
      <c r="P72" s="8">
        <v>45216.758437500001</v>
      </c>
      <c r="Q72" s="9">
        <v>45218</v>
      </c>
      <c r="R72" t="s">
        <v>37</v>
      </c>
      <c r="S72" t="s">
        <v>44</v>
      </c>
      <c r="T72" t="s">
        <v>45</v>
      </c>
      <c r="U72" t="s">
        <v>71</v>
      </c>
      <c r="V72" t="s">
        <v>320</v>
      </c>
      <c r="W72">
        <v>23100</v>
      </c>
      <c r="X72" t="s">
        <v>44</v>
      </c>
      <c r="Y72" t="s">
        <v>73</v>
      </c>
      <c r="Z72" t="s">
        <v>49</v>
      </c>
      <c r="AA72" s="10">
        <f>IF(O72&lt;=1,7,7+0.8*ROUNDUP(O72-1,0))</f>
        <v>7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0.42</v>
      </c>
      <c r="AG72" s="11">
        <f t="shared" si="3"/>
        <v>7.42</v>
      </c>
      <c r="AH72" t="s">
        <v>50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321</v>
      </c>
      <c r="G73" t="s">
        <v>37</v>
      </c>
      <c r="H73" t="s">
        <v>38</v>
      </c>
      <c r="I73" t="s">
        <v>322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45217.645798611113</v>
      </c>
      <c r="Q73" s="9">
        <v>45218</v>
      </c>
      <c r="R73" t="s">
        <v>37</v>
      </c>
      <c r="S73" t="s">
        <v>44</v>
      </c>
      <c r="T73" t="s">
        <v>45</v>
      </c>
      <c r="U73" t="s">
        <v>187</v>
      </c>
      <c r="V73" t="s">
        <v>323</v>
      </c>
      <c r="W73">
        <v>52100</v>
      </c>
      <c r="X73" t="s">
        <v>44</v>
      </c>
      <c r="Y73" t="s">
        <v>324</v>
      </c>
      <c r="Z73" t="s">
        <v>49</v>
      </c>
      <c r="AA73" s="10">
        <f>IF(O73&lt;=1,7,7+0.8*ROUNDUP(O73-1,0))</f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0.42</v>
      </c>
      <c r="AG73" s="11">
        <f t="shared" si="3"/>
        <v>7.42</v>
      </c>
      <c r="AH73" t="s">
        <v>50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325</v>
      </c>
      <c r="G74" t="s">
        <v>37</v>
      </c>
      <c r="H74" t="s">
        <v>38</v>
      </c>
      <c r="I74" t="s">
        <v>326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45217.645798611113</v>
      </c>
      <c r="Q74" s="9">
        <v>45218</v>
      </c>
      <c r="R74" t="s">
        <v>37</v>
      </c>
      <c r="S74" t="s">
        <v>44</v>
      </c>
      <c r="T74" t="s">
        <v>45</v>
      </c>
      <c r="U74" t="s">
        <v>53</v>
      </c>
      <c r="V74" t="s">
        <v>327</v>
      </c>
      <c r="W74">
        <v>16040</v>
      </c>
      <c r="X74" t="s">
        <v>44</v>
      </c>
      <c r="Y74" t="s">
        <v>55</v>
      </c>
      <c r="Z74" t="s">
        <v>49</v>
      </c>
      <c r="AA74" s="10">
        <f>IF(O74&lt;=1,7,7+0.8*ROUNDUP(O74-1,0))</f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0.42</v>
      </c>
      <c r="AG74" s="11">
        <f t="shared" si="3"/>
        <v>7.42</v>
      </c>
      <c r="AH74" t="s">
        <v>50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328</v>
      </c>
      <c r="G75" t="s">
        <v>37</v>
      </c>
      <c r="H75" t="s">
        <v>38</v>
      </c>
      <c r="I75" t="s">
        <v>329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1</v>
      </c>
      <c r="P75" s="8">
        <v>45217.71570601852</v>
      </c>
      <c r="Q75" s="9">
        <v>45218</v>
      </c>
      <c r="R75" t="s">
        <v>37</v>
      </c>
      <c r="S75" t="s">
        <v>44</v>
      </c>
      <c r="T75" t="s">
        <v>45</v>
      </c>
      <c r="U75" t="s">
        <v>66</v>
      </c>
      <c r="V75" t="s">
        <v>330</v>
      </c>
      <c r="W75">
        <v>62000</v>
      </c>
      <c r="X75" t="s">
        <v>44</v>
      </c>
      <c r="Y75" t="s">
        <v>202</v>
      </c>
      <c r="Z75" t="s">
        <v>49</v>
      </c>
      <c r="AA75" s="10">
        <f>IF(O75&lt;=1,7,7+0.8*ROUNDUP(O75-1,0))</f>
        <v>7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0.42</v>
      </c>
      <c r="AG75" s="11">
        <f t="shared" si="3"/>
        <v>7.42</v>
      </c>
      <c r="AH75" t="s">
        <v>50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331</v>
      </c>
      <c r="G76" t="s">
        <v>37</v>
      </c>
      <c r="H76" t="s">
        <v>38</v>
      </c>
      <c r="I76" t="s">
        <v>332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1</v>
      </c>
      <c r="P76" s="8">
        <v>45217.653946759259</v>
      </c>
      <c r="Q76" s="9">
        <v>45218</v>
      </c>
      <c r="R76" t="s">
        <v>37</v>
      </c>
      <c r="S76" t="s">
        <v>44</v>
      </c>
      <c r="T76" t="s">
        <v>45</v>
      </c>
      <c r="U76" t="s">
        <v>53</v>
      </c>
      <c r="V76" t="s">
        <v>333</v>
      </c>
      <c r="W76">
        <v>18000</v>
      </c>
      <c r="X76" t="s">
        <v>44</v>
      </c>
      <c r="Y76" t="s">
        <v>55</v>
      </c>
      <c r="Z76" t="s">
        <v>49</v>
      </c>
      <c r="AA76" s="10">
        <f>IF(O76&lt;=1,7,7+0.8*ROUNDUP(O76-1,0))</f>
        <v>7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0.42</v>
      </c>
      <c r="AG76" s="11">
        <f t="shared" si="3"/>
        <v>7.42</v>
      </c>
      <c r="AH76" t="s">
        <v>50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334</v>
      </c>
      <c r="G77" t="s">
        <v>37</v>
      </c>
      <c r="H77" t="s">
        <v>38</v>
      </c>
      <c r="I77" t="s">
        <v>75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2</v>
      </c>
      <c r="P77" s="8">
        <v>45217.73883101852</v>
      </c>
      <c r="Q77" s="9">
        <v>45218</v>
      </c>
      <c r="R77" t="s">
        <v>37</v>
      </c>
      <c r="S77" t="s">
        <v>44</v>
      </c>
      <c r="T77" t="s">
        <v>45</v>
      </c>
      <c r="U77" t="s">
        <v>53</v>
      </c>
      <c r="V77" t="s">
        <v>335</v>
      </c>
      <c r="W77">
        <v>18300</v>
      </c>
      <c r="X77" t="s">
        <v>44</v>
      </c>
      <c r="Y77" t="s">
        <v>55</v>
      </c>
      <c r="Z77" t="s">
        <v>49</v>
      </c>
      <c r="AA77" s="10">
        <f>IF(O77&lt;=1,7,7+0.8*ROUNDUP(O77-1,0))</f>
        <v>7.8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0.46799999999999997</v>
      </c>
      <c r="AG77" s="11">
        <f t="shared" si="3"/>
        <v>8.2680000000000007</v>
      </c>
      <c r="AH77" t="s">
        <v>50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336</v>
      </c>
      <c r="G78" t="s">
        <v>37</v>
      </c>
      <c r="H78" t="s">
        <v>38</v>
      </c>
      <c r="I78" t="s">
        <v>337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45217.645798611113</v>
      </c>
      <c r="Q78" s="9">
        <v>45218</v>
      </c>
      <c r="R78" t="s">
        <v>37</v>
      </c>
      <c r="S78" t="s">
        <v>44</v>
      </c>
      <c r="T78" t="s">
        <v>45</v>
      </c>
      <c r="U78" t="s">
        <v>71</v>
      </c>
      <c r="V78" t="s">
        <v>338</v>
      </c>
      <c r="W78">
        <v>22200</v>
      </c>
      <c r="X78" t="s">
        <v>44</v>
      </c>
      <c r="Y78" t="s">
        <v>55</v>
      </c>
      <c r="Z78" t="s">
        <v>49</v>
      </c>
      <c r="AA78" s="10">
        <f>IF(O78&lt;=1,7,7+0.8*ROUNDUP(O78-1,0))</f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0.42</v>
      </c>
      <c r="AG78" s="11">
        <f t="shared" si="3"/>
        <v>7.42</v>
      </c>
      <c r="AH78" t="s">
        <v>50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339</v>
      </c>
      <c r="G79" t="s">
        <v>37</v>
      </c>
      <c r="H79" t="s">
        <v>38</v>
      </c>
      <c r="I79" t="s">
        <v>340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1</v>
      </c>
      <c r="P79" s="8">
        <v>45217.713726851849</v>
      </c>
      <c r="Q79" s="9">
        <v>45218</v>
      </c>
      <c r="R79" t="s">
        <v>37</v>
      </c>
      <c r="S79" t="s">
        <v>44</v>
      </c>
      <c r="T79" t="s">
        <v>45</v>
      </c>
      <c r="U79" t="s">
        <v>61</v>
      </c>
      <c r="V79" t="s">
        <v>341</v>
      </c>
      <c r="W79">
        <v>70300</v>
      </c>
      <c r="X79" t="s">
        <v>44</v>
      </c>
      <c r="Y79" t="s">
        <v>63</v>
      </c>
      <c r="Z79" t="s">
        <v>49</v>
      </c>
      <c r="AA79" s="10">
        <f>IF(O79&lt;=1,7,7+0.8*ROUNDUP(O79-1,0))</f>
        <v>7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2"/>
        <v>0.42</v>
      </c>
      <c r="AG79" s="11">
        <f t="shared" si="3"/>
        <v>7.42</v>
      </c>
      <c r="AH79" t="s">
        <v>50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342</v>
      </c>
      <c r="G80" t="s">
        <v>37</v>
      </c>
      <c r="H80" t="s">
        <v>38</v>
      </c>
      <c r="I80" t="s">
        <v>343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1</v>
      </c>
      <c r="P80" s="8">
        <v>45217.572048611109</v>
      </c>
      <c r="Q80" s="9">
        <v>45219</v>
      </c>
      <c r="R80" t="s">
        <v>37</v>
      </c>
      <c r="S80" t="s">
        <v>44</v>
      </c>
      <c r="T80" t="s">
        <v>45</v>
      </c>
      <c r="U80" t="s">
        <v>173</v>
      </c>
      <c r="V80" t="s">
        <v>344</v>
      </c>
      <c r="W80">
        <v>88400</v>
      </c>
      <c r="X80" t="s">
        <v>114</v>
      </c>
      <c r="Y80" t="s">
        <v>115</v>
      </c>
      <c r="Z80" t="s">
        <v>49</v>
      </c>
      <c r="AA80" s="12">
        <f>IF(O80&lt;=1,13,IF(O80&lt;=2,23,IF(O80&lt;=3,35,IF(O80&lt;=4,43,IF(O80&lt;=5,53,IF(O80&lt;=6,63,IF(O80&lt;=7,71,IF(O80&lt;=8,79,IF(O80&lt;=9,87,IF(O80&lt;=10,95,IF(O80&lt;=11,105,IF(O80&lt;=12,114,IF(O80&lt;=13,119,IF(O80&lt;=14,127,IF(O80&lt;=15,135,IF(O80&lt;=16,143,IF(O80&lt;=17,153,IF(O80&lt;=18,163,IF(O80&lt;=19,171,IF(O80&lt;=20,185,IF(O80&lt;=21,193,IF(O80&lt;=22,201,IF(O80&lt;=23,210,IF(O80&lt;=24,220,IF(O80&lt;=25,230,IF(O80&lt;=26,240,IF(O80&lt;=27,250,IF(O80&lt;=28,260,IF(O80&lt;=29,270,IF(O80&lt;=30,280,280+10*ROUNDUP(O80-30,0)))))))))))))))))))))))))))))))</f>
        <v>13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2"/>
        <v>0.78</v>
      </c>
      <c r="AG80" s="11">
        <f t="shared" si="3"/>
        <v>13.78</v>
      </c>
      <c r="AH80" t="s">
        <v>116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345</v>
      </c>
      <c r="G81" t="s">
        <v>37</v>
      </c>
      <c r="H81" t="s">
        <v>38</v>
      </c>
      <c r="I81" t="s">
        <v>346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45216.754293981481</v>
      </c>
      <c r="Q81" s="9">
        <v>45219</v>
      </c>
      <c r="R81" t="s">
        <v>37</v>
      </c>
      <c r="S81" t="s">
        <v>44</v>
      </c>
      <c r="T81" t="s">
        <v>45</v>
      </c>
      <c r="U81" t="s">
        <v>112</v>
      </c>
      <c r="V81" t="s">
        <v>347</v>
      </c>
      <c r="W81">
        <v>97200</v>
      </c>
      <c r="X81" t="s">
        <v>114</v>
      </c>
      <c r="Y81" t="s">
        <v>115</v>
      </c>
      <c r="Z81" t="s">
        <v>49</v>
      </c>
      <c r="AA81" s="12">
        <f>IF(O81&lt;=1,13,IF(O81&lt;=2,23,IF(O81&lt;=3,35,IF(O81&lt;=4,43,IF(O81&lt;=5,53,IF(O81&lt;=6,63,IF(O81&lt;=7,71,IF(O81&lt;=8,79,IF(O81&lt;=9,87,IF(O81&lt;=10,95,IF(O81&lt;=11,105,IF(O81&lt;=12,114,IF(O81&lt;=13,119,IF(O81&lt;=14,127,IF(O81&lt;=15,135,IF(O81&lt;=16,143,IF(O81&lt;=17,153,IF(O81&lt;=18,163,IF(O81&lt;=19,171,IF(O81&lt;=20,185,IF(O81&lt;=21,193,IF(O81&lt;=22,201,IF(O81&lt;=23,210,IF(O81&lt;=24,220,IF(O81&lt;=25,230,IF(O81&lt;=26,240,IF(O81&lt;=27,250,IF(O81&lt;=28,260,IF(O81&lt;=29,270,IF(O81&lt;=30,280,280+10*ROUNDUP(O81-30,0)))))))))))))))))))))))))))))))</f>
        <v>13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2"/>
        <v>0.78</v>
      </c>
      <c r="AG81" s="11">
        <f t="shared" si="3"/>
        <v>13.78</v>
      </c>
      <c r="AH81" t="s">
        <v>116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348</v>
      </c>
      <c r="G82" t="s">
        <v>37</v>
      </c>
      <c r="H82" t="s">
        <v>38</v>
      </c>
      <c r="I82" t="s">
        <v>349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2</v>
      </c>
      <c r="P82" s="8">
        <v>45217.769594907404</v>
      </c>
      <c r="Q82" s="9">
        <v>45219</v>
      </c>
      <c r="R82" t="s">
        <v>37</v>
      </c>
      <c r="S82" t="s">
        <v>44</v>
      </c>
      <c r="T82" t="s">
        <v>45</v>
      </c>
      <c r="U82" t="s">
        <v>87</v>
      </c>
      <c r="V82" t="s">
        <v>350</v>
      </c>
      <c r="W82">
        <v>25200</v>
      </c>
      <c r="X82" t="s">
        <v>44</v>
      </c>
      <c r="Y82" t="s">
        <v>154</v>
      </c>
      <c r="Z82" t="s">
        <v>49</v>
      </c>
      <c r="AA82" s="10">
        <f>IF(O82&lt;=1,7,7+0.8*ROUNDUP(O82-1,0))</f>
        <v>7.8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2"/>
        <v>0.46799999999999997</v>
      </c>
      <c r="AG82" s="11">
        <f t="shared" si="3"/>
        <v>8.2680000000000007</v>
      </c>
      <c r="AH82" t="s">
        <v>50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351</v>
      </c>
      <c r="G83" t="s">
        <v>37</v>
      </c>
      <c r="H83" t="s">
        <v>38</v>
      </c>
      <c r="I83" t="s">
        <v>352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1</v>
      </c>
      <c r="P83" s="8">
        <v>45217.645798611113</v>
      </c>
      <c r="Q83" s="9">
        <v>45219</v>
      </c>
      <c r="R83" t="s">
        <v>37</v>
      </c>
      <c r="S83" t="s">
        <v>44</v>
      </c>
      <c r="T83" t="s">
        <v>45</v>
      </c>
      <c r="U83" t="s">
        <v>92</v>
      </c>
      <c r="V83" t="s">
        <v>353</v>
      </c>
      <c r="W83">
        <v>83600</v>
      </c>
      <c r="X83" t="s">
        <v>44</v>
      </c>
      <c r="Y83" t="s">
        <v>123</v>
      </c>
      <c r="Z83" t="s">
        <v>49</v>
      </c>
      <c r="AA83" s="10">
        <f>IF(O83&lt;=1,7,7+0.8*ROUNDUP(O83-1,0))</f>
        <v>7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2"/>
        <v>0.42</v>
      </c>
      <c r="AG83" s="11">
        <f t="shared" si="3"/>
        <v>7.42</v>
      </c>
      <c r="AH83" t="s">
        <v>50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354</v>
      </c>
      <c r="G84" t="s">
        <v>37</v>
      </c>
      <c r="H84" t="s">
        <v>38</v>
      </c>
      <c r="I84" t="s">
        <v>355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1</v>
      </c>
      <c r="P84" s="8">
        <v>45217.755613425928</v>
      </c>
      <c r="Q84" s="9">
        <v>45219</v>
      </c>
      <c r="R84" t="s">
        <v>37</v>
      </c>
      <c r="S84" t="s">
        <v>44</v>
      </c>
      <c r="T84" t="s">
        <v>45</v>
      </c>
      <c r="U84" t="s">
        <v>66</v>
      </c>
      <c r="V84" t="s">
        <v>356</v>
      </c>
      <c r="W84">
        <v>62604</v>
      </c>
      <c r="X84" t="s">
        <v>44</v>
      </c>
      <c r="Y84" t="s">
        <v>115</v>
      </c>
      <c r="Z84" t="s">
        <v>49</v>
      </c>
      <c r="AA84" s="10">
        <f>IF(O84&lt;=1,7,7+0.8*ROUNDUP(O84-1,0))</f>
        <v>7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2"/>
        <v>0.42</v>
      </c>
      <c r="AG84" s="11">
        <f t="shared" si="3"/>
        <v>7.42</v>
      </c>
      <c r="AH84" t="s">
        <v>50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357</v>
      </c>
      <c r="G85" t="s">
        <v>37</v>
      </c>
      <c r="H85" t="s">
        <v>38</v>
      </c>
      <c r="I85" t="s">
        <v>358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</v>
      </c>
      <c r="P85" s="8">
        <v>45217.645798611113</v>
      </c>
      <c r="Q85" s="9">
        <v>45219</v>
      </c>
      <c r="R85" t="s">
        <v>37</v>
      </c>
      <c r="S85" t="s">
        <v>44</v>
      </c>
      <c r="T85" t="s">
        <v>45</v>
      </c>
      <c r="U85" t="s">
        <v>46</v>
      </c>
      <c r="V85" t="s">
        <v>359</v>
      </c>
      <c r="W85">
        <v>5460</v>
      </c>
      <c r="X85" t="s">
        <v>44</v>
      </c>
      <c r="Y85" t="s">
        <v>360</v>
      </c>
      <c r="Z85" t="s">
        <v>49</v>
      </c>
      <c r="AA85" s="10">
        <f>IF(O85&lt;=1,7,7+0.8*ROUNDUP(O85-1,0))</f>
        <v>7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2"/>
        <v>0.42</v>
      </c>
      <c r="AG85" s="11">
        <f t="shared" si="3"/>
        <v>7.42</v>
      </c>
      <c r="AH85" t="s">
        <v>50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361</v>
      </c>
      <c r="G86" t="s">
        <v>37</v>
      </c>
      <c r="H86" t="s">
        <v>38</v>
      </c>
      <c r="I86" t="s">
        <v>362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1</v>
      </c>
      <c r="P86" s="8">
        <v>45216.777662037035</v>
      </c>
      <c r="Q86" s="9">
        <v>45219</v>
      </c>
      <c r="R86" t="s">
        <v>37</v>
      </c>
      <c r="S86" t="s">
        <v>44</v>
      </c>
      <c r="T86" t="s">
        <v>45</v>
      </c>
      <c r="U86" t="s">
        <v>61</v>
      </c>
      <c r="V86" t="s">
        <v>363</v>
      </c>
      <c r="W86">
        <v>71700</v>
      </c>
      <c r="X86" t="s">
        <v>44</v>
      </c>
      <c r="Y86" t="s">
        <v>84</v>
      </c>
      <c r="Z86" t="s">
        <v>49</v>
      </c>
      <c r="AA86" s="10">
        <f>IF(O86&lt;=1,7,7+0.8*ROUNDUP(O86-1,0))</f>
        <v>7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2"/>
        <v>0.42</v>
      </c>
      <c r="AG86" s="11">
        <f t="shared" si="3"/>
        <v>7.42</v>
      </c>
      <c r="AH86" t="s">
        <v>50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364</v>
      </c>
      <c r="G87" t="s">
        <v>37</v>
      </c>
      <c r="H87" t="s">
        <v>38</v>
      </c>
      <c r="I87" t="s">
        <v>365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1</v>
      </c>
      <c r="P87" s="8">
        <v>45217.645798611113</v>
      </c>
      <c r="Q87" s="9">
        <v>45219</v>
      </c>
      <c r="R87" t="s">
        <v>37</v>
      </c>
      <c r="S87" t="s">
        <v>44</v>
      </c>
      <c r="T87" t="s">
        <v>45</v>
      </c>
      <c r="U87" t="s">
        <v>46</v>
      </c>
      <c r="V87" t="s">
        <v>366</v>
      </c>
      <c r="W87">
        <v>6000</v>
      </c>
      <c r="X87" t="s">
        <v>44</v>
      </c>
      <c r="Y87" t="s">
        <v>48</v>
      </c>
      <c r="Z87" t="s">
        <v>49</v>
      </c>
      <c r="AA87" s="10">
        <f>IF(O87&lt;=1,7,7+0.8*ROUNDUP(O87-1,0))</f>
        <v>7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2"/>
        <v>0.42</v>
      </c>
      <c r="AG87" s="11">
        <f t="shared" si="3"/>
        <v>7.42</v>
      </c>
      <c r="AH87" t="s">
        <v>50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367</v>
      </c>
      <c r="G88" t="s">
        <v>37</v>
      </c>
      <c r="H88" t="s">
        <v>38</v>
      </c>
      <c r="I88" t="s">
        <v>368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1</v>
      </c>
      <c r="P88" s="8">
        <v>45217.712314814817</v>
      </c>
      <c r="Q88" s="9">
        <v>45219</v>
      </c>
      <c r="R88" t="s">
        <v>37</v>
      </c>
      <c r="S88" t="s">
        <v>44</v>
      </c>
      <c r="T88" t="s">
        <v>45</v>
      </c>
      <c r="U88" t="s">
        <v>92</v>
      </c>
      <c r="V88" t="s">
        <v>369</v>
      </c>
      <c r="W88">
        <v>82200</v>
      </c>
      <c r="X88" t="s">
        <v>44</v>
      </c>
      <c r="Y88" t="s">
        <v>245</v>
      </c>
      <c r="Z88" t="s">
        <v>49</v>
      </c>
      <c r="AA88" s="10">
        <f>IF(O88&lt;=1,7,7+0.8*ROUNDUP(O88-1,0))</f>
        <v>7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2"/>
        <v>0.42</v>
      </c>
      <c r="AG88" s="11">
        <f t="shared" si="3"/>
        <v>7.42</v>
      </c>
      <c r="AH88" t="s">
        <v>50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370</v>
      </c>
      <c r="G89" t="s">
        <v>37</v>
      </c>
      <c r="H89" t="s">
        <v>38</v>
      </c>
      <c r="I89" t="s">
        <v>371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1</v>
      </c>
      <c r="P89" s="8">
        <v>45217.757604166669</v>
      </c>
      <c r="Q89" s="9">
        <v>45219</v>
      </c>
      <c r="R89" t="s">
        <v>37</v>
      </c>
      <c r="S89" t="s">
        <v>44</v>
      </c>
      <c r="T89" t="s">
        <v>45</v>
      </c>
      <c r="U89" t="s">
        <v>187</v>
      </c>
      <c r="V89" t="s">
        <v>372</v>
      </c>
      <c r="W89">
        <v>55200</v>
      </c>
      <c r="X89" t="s">
        <v>44</v>
      </c>
      <c r="Y89" t="s">
        <v>373</v>
      </c>
      <c r="Z89" t="s">
        <v>49</v>
      </c>
      <c r="AA89" s="10">
        <f>IF(O89&lt;=1,7,7+0.8*ROUNDUP(O89-1,0))</f>
        <v>7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2"/>
        <v>0.42</v>
      </c>
      <c r="AG89" s="11">
        <f t="shared" si="3"/>
        <v>7.42</v>
      </c>
      <c r="AH89" t="s">
        <v>50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374</v>
      </c>
      <c r="G90" t="s">
        <v>37</v>
      </c>
      <c r="H90" t="s">
        <v>38</v>
      </c>
      <c r="I90" t="s">
        <v>375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45217.73265046296</v>
      </c>
      <c r="Q90" s="9">
        <v>45219</v>
      </c>
      <c r="R90" t="s">
        <v>37</v>
      </c>
      <c r="S90" t="s">
        <v>44</v>
      </c>
      <c r="T90" t="s">
        <v>45</v>
      </c>
      <c r="U90" t="s">
        <v>92</v>
      </c>
      <c r="V90" t="s">
        <v>376</v>
      </c>
      <c r="W90">
        <v>81900</v>
      </c>
      <c r="X90" t="s">
        <v>44</v>
      </c>
      <c r="Y90" t="s">
        <v>377</v>
      </c>
      <c r="Z90" t="s">
        <v>49</v>
      </c>
      <c r="AA90" s="10">
        <f>IF(O90&lt;=1,7,7+0.8*ROUNDUP(O90-1,0))</f>
        <v>7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2"/>
        <v>0.42</v>
      </c>
      <c r="AG90" s="11">
        <f t="shared" si="3"/>
        <v>7.42</v>
      </c>
      <c r="AH90" t="s">
        <v>50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378</v>
      </c>
      <c r="G91" t="s">
        <v>37</v>
      </c>
      <c r="H91" t="s">
        <v>38</v>
      </c>
      <c r="I91" t="s">
        <v>379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2</v>
      </c>
      <c r="P91" s="8">
        <v>45218.552245370367</v>
      </c>
      <c r="Q91" s="9">
        <v>45219</v>
      </c>
      <c r="R91" t="s">
        <v>37</v>
      </c>
      <c r="S91" t="s">
        <v>44</v>
      </c>
      <c r="T91" t="s">
        <v>45</v>
      </c>
      <c r="U91" t="s">
        <v>66</v>
      </c>
      <c r="V91" t="s">
        <v>380</v>
      </c>
      <c r="W91">
        <v>68100</v>
      </c>
      <c r="X91" t="s">
        <v>44</v>
      </c>
      <c r="Y91" t="s">
        <v>222</v>
      </c>
      <c r="Z91" t="s">
        <v>49</v>
      </c>
      <c r="AA91" s="10">
        <f>IF(O91&lt;=1,7,7+0.8*ROUNDUP(O91-1,0))</f>
        <v>7.8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2"/>
        <v>0.46799999999999997</v>
      </c>
      <c r="AG91" s="11">
        <f t="shared" si="3"/>
        <v>8.2680000000000007</v>
      </c>
      <c r="AH91" t="s">
        <v>50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381</v>
      </c>
      <c r="G92" t="s">
        <v>37</v>
      </c>
      <c r="H92" t="s">
        <v>38</v>
      </c>
      <c r="I92" t="s">
        <v>382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8</v>
      </c>
      <c r="P92" s="8">
        <v>45218.589722222219</v>
      </c>
      <c r="Q92" s="9">
        <v>45219</v>
      </c>
      <c r="R92" t="s">
        <v>37</v>
      </c>
      <c r="S92" t="s">
        <v>44</v>
      </c>
      <c r="T92" t="s">
        <v>45</v>
      </c>
      <c r="U92" t="s">
        <v>187</v>
      </c>
      <c r="V92" t="s">
        <v>383</v>
      </c>
      <c r="W92">
        <v>58100</v>
      </c>
      <c r="X92" t="s">
        <v>44</v>
      </c>
      <c r="Y92" t="s">
        <v>384</v>
      </c>
      <c r="Z92" t="s">
        <v>49</v>
      </c>
      <c r="AA92" s="10">
        <f>IF(O92&lt;=1,7,7+0.8*ROUNDUP(O92-1,0))</f>
        <v>12.600000000000001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2"/>
        <v>0.75600000000000001</v>
      </c>
      <c r="AG92" s="11">
        <f t="shared" si="3"/>
        <v>13.356000000000002</v>
      </c>
      <c r="AH92" t="s">
        <v>50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385</v>
      </c>
      <c r="G93" t="s">
        <v>37</v>
      </c>
      <c r="H93" t="s">
        <v>38</v>
      </c>
      <c r="I93" t="s">
        <v>386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1</v>
      </c>
      <c r="P93" s="8">
        <v>45217.712314814817</v>
      </c>
      <c r="Q93" s="9">
        <v>45219</v>
      </c>
      <c r="R93" t="s">
        <v>37</v>
      </c>
      <c r="S93" t="s">
        <v>44</v>
      </c>
      <c r="T93" t="s">
        <v>45</v>
      </c>
      <c r="U93" t="s">
        <v>92</v>
      </c>
      <c r="V93" t="s">
        <v>387</v>
      </c>
      <c r="W93">
        <v>81900</v>
      </c>
      <c r="X93" t="s">
        <v>44</v>
      </c>
      <c r="Y93" t="s">
        <v>377</v>
      </c>
      <c r="Z93" t="s">
        <v>49</v>
      </c>
      <c r="AA93" s="10">
        <f>IF(O93&lt;=1,7,7+0.8*ROUNDUP(O93-1,0))</f>
        <v>7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2"/>
        <v>0.42</v>
      </c>
      <c r="AG93" s="11">
        <f t="shared" si="3"/>
        <v>7.42</v>
      </c>
      <c r="AH93" t="s">
        <v>50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388</v>
      </c>
      <c r="G94" t="s">
        <v>37</v>
      </c>
      <c r="H94" t="s">
        <v>38</v>
      </c>
      <c r="I94" t="s">
        <v>389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1</v>
      </c>
      <c r="P94" s="8">
        <v>45218.699756944443</v>
      </c>
      <c r="Q94" s="9">
        <v>45219</v>
      </c>
      <c r="R94" t="s">
        <v>37</v>
      </c>
      <c r="S94" t="s">
        <v>44</v>
      </c>
      <c r="T94" t="s">
        <v>45</v>
      </c>
      <c r="U94" t="s">
        <v>66</v>
      </c>
      <c r="V94" t="s">
        <v>390</v>
      </c>
      <c r="W94">
        <v>43900</v>
      </c>
      <c r="X94" t="s">
        <v>44</v>
      </c>
      <c r="Y94" t="s">
        <v>307</v>
      </c>
      <c r="Z94" t="s">
        <v>49</v>
      </c>
      <c r="AA94" s="10">
        <f>IF(O94&lt;=1,7,7+0.8*ROUNDUP(O94-1,0))</f>
        <v>7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2"/>
        <v>0.42</v>
      </c>
      <c r="AG94" s="11">
        <f t="shared" si="3"/>
        <v>7.42</v>
      </c>
      <c r="AH94" t="s">
        <v>50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391</v>
      </c>
      <c r="G95" t="s">
        <v>37</v>
      </c>
      <c r="H95" t="s">
        <v>38</v>
      </c>
      <c r="I95" t="s">
        <v>392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1</v>
      </c>
      <c r="P95" s="8">
        <v>45217.645798611113</v>
      </c>
      <c r="Q95" s="9">
        <v>45219</v>
      </c>
      <c r="R95" t="s">
        <v>37</v>
      </c>
      <c r="S95" t="s">
        <v>44</v>
      </c>
      <c r="T95" t="s">
        <v>45</v>
      </c>
      <c r="U95" t="s">
        <v>182</v>
      </c>
      <c r="V95" t="s">
        <v>393</v>
      </c>
      <c r="W95">
        <v>13110</v>
      </c>
      <c r="X95" t="s">
        <v>44</v>
      </c>
      <c r="Y95" t="s">
        <v>394</v>
      </c>
      <c r="Z95" t="s">
        <v>49</v>
      </c>
      <c r="AA95" s="10">
        <f>IF(O95&lt;=1,7,7+0.8*ROUNDUP(O95-1,0))</f>
        <v>7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2"/>
        <v>0.42</v>
      </c>
      <c r="AG95" s="11">
        <f t="shared" si="3"/>
        <v>7.42</v>
      </c>
      <c r="AH95" t="s">
        <v>50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395</v>
      </c>
      <c r="G96" t="s">
        <v>37</v>
      </c>
      <c r="H96" t="s">
        <v>38</v>
      </c>
      <c r="I96" t="s">
        <v>396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1</v>
      </c>
      <c r="P96" s="8">
        <v>45217.645798611113</v>
      </c>
      <c r="Q96" s="9">
        <v>45219</v>
      </c>
      <c r="R96" t="s">
        <v>37</v>
      </c>
      <c r="S96" t="s">
        <v>44</v>
      </c>
      <c r="T96" t="s">
        <v>45</v>
      </c>
      <c r="U96" t="s">
        <v>46</v>
      </c>
      <c r="V96" t="s">
        <v>397</v>
      </c>
      <c r="W96">
        <v>9010</v>
      </c>
      <c r="X96" t="s">
        <v>44</v>
      </c>
      <c r="Y96" t="s">
        <v>212</v>
      </c>
      <c r="Z96" t="s">
        <v>49</v>
      </c>
      <c r="AA96" s="10">
        <f>IF(O96&lt;=1,7,7+0.8*ROUNDUP(O96-1,0))</f>
        <v>7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2"/>
        <v>0.42</v>
      </c>
      <c r="AG96" s="11">
        <f t="shared" si="3"/>
        <v>7.42</v>
      </c>
      <c r="AH96" t="s">
        <v>50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398</v>
      </c>
      <c r="G97" t="s">
        <v>37</v>
      </c>
      <c r="H97" t="s">
        <v>38</v>
      </c>
      <c r="I97" t="s">
        <v>399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1</v>
      </c>
      <c r="P97" s="8">
        <v>45217.645798611113</v>
      </c>
      <c r="Q97" s="9">
        <v>45219</v>
      </c>
      <c r="R97" t="s">
        <v>37</v>
      </c>
      <c r="S97" t="s">
        <v>44</v>
      </c>
      <c r="T97" t="s">
        <v>45</v>
      </c>
      <c r="U97" t="s">
        <v>46</v>
      </c>
      <c r="V97" t="s">
        <v>400</v>
      </c>
      <c r="W97">
        <v>6100</v>
      </c>
      <c r="X97" t="s">
        <v>44</v>
      </c>
      <c r="Y97" t="s">
        <v>48</v>
      </c>
      <c r="Z97" t="s">
        <v>49</v>
      </c>
      <c r="AA97" s="10">
        <f>IF(O97&lt;=1,7,7+0.8*ROUNDUP(O97-1,0))</f>
        <v>7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2"/>
        <v>0.42</v>
      </c>
      <c r="AG97" s="11">
        <f t="shared" si="3"/>
        <v>7.42</v>
      </c>
      <c r="AH97" t="s">
        <v>50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401</v>
      </c>
      <c r="G98" t="s">
        <v>37</v>
      </c>
      <c r="H98" t="s">
        <v>38</v>
      </c>
      <c r="I98" t="s">
        <v>402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</v>
      </c>
      <c r="P98" s="8">
        <v>45218.788344907407</v>
      </c>
      <c r="Q98" s="9">
        <v>45220</v>
      </c>
      <c r="R98" t="s">
        <v>37</v>
      </c>
      <c r="S98" t="s">
        <v>44</v>
      </c>
      <c r="T98" t="s">
        <v>55</v>
      </c>
      <c r="U98" t="s">
        <v>53</v>
      </c>
      <c r="V98" t="s">
        <v>403</v>
      </c>
      <c r="W98">
        <v>18000</v>
      </c>
      <c r="X98" t="s">
        <v>44</v>
      </c>
      <c r="Y98" t="s">
        <v>55</v>
      </c>
      <c r="Z98" t="s">
        <v>49</v>
      </c>
      <c r="AA98" s="10">
        <f>IF(O98&lt;=1,7,7+0.8*ROUNDUP(O98-1,0))</f>
        <v>7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2"/>
        <v>0.42</v>
      </c>
      <c r="AG98" s="11">
        <f t="shared" si="3"/>
        <v>7.42</v>
      </c>
      <c r="AH98" t="s">
        <v>50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404</v>
      </c>
      <c r="G99" t="s">
        <v>37</v>
      </c>
      <c r="H99" t="s">
        <v>38</v>
      </c>
      <c r="I99" t="s">
        <v>405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12</v>
      </c>
      <c r="P99" s="8">
        <v>45218.749027777776</v>
      </c>
      <c r="Q99" s="9">
        <v>45220</v>
      </c>
      <c r="R99" t="s">
        <v>37</v>
      </c>
      <c r="S99" t="s">
        <v>44</v>
      </c>
      <c r="T99" t="s">
        <v>45</v>
      </c>
      <c r="U99" t="s">
        <v>173</v>
      </c>
      <c r="V99" t="s">
        <v>406</v>
      </c>
      <c r="W99">
        <v>91207</v>
      </c>
      <c r="X99" t="s">
        <v>114</v>
      </c>
      <c r="Y99" t="s">
        <v>175</v>
      </c>
      <c r="Z99" t="s">
        <v>49</v>
      </c>
      <c r="AA99" s="12">
        <f>IF(O99&lt;=1,13,IF(O99&lt;=2,23,IF(O99&lt;=3,35,IF(O99&lt;=4,43,IF(O99&lt;=5,53,IF(O99&lt;=6,63,IF(O99&lt;=7,71,IF(O99&lt;=8,79,IF(O99&lt;=9,87,IF(O99&lt;=10,95,IF(O99&lt;=11,105,IF(O99&lt;=12,114,IF(O99&lt;=13,119,IF(O99&lt;=14,127,IF(O99&lt;=15,135,IF(O99&lt;=16,143,IF(O99&lt;=17,153,IF(O99&lt;=18,163,IF(O99&lt;=19,171,IF(O99&lt;=20,185,IF(O99&lt;=21,193,IF(O99&lt;=22,201,IF(O99&lt;=23,210,IF(O99&lt;=24,220,IF(O99&lt;=25,230,IF(O99&lt;=26,240,IF(O99&lt;=27,250,IF(O99&lt;=28,260,IF(O99&lt;=29,270,IF(O99&lt;=30,280,280+10*ROUNDUP(O99-30,0)))))))))))))))))))))))))))))))</f>
        <v>114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2"/>
        <v>6.84</v>
      </c>
      <c r="AG99" s="11">
        <f t="shared" si="3"/>
        <v>120.84</v>
      </c>
      <c r="AH99" t="s">
        <v>116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407</v>
      </c>
      <c r="G100" t="s">
        <v>37</v>
      </c>
      <c r="H100" t="s">
        <v>38</v>
      </c>
      <c r="I100" t="s">
        <v>408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1</v>
      </c>
      <c r="P100" s="8">
        <v>45218.43105324074</v>
      </c>
      <c r="Q100" s="9">
        <v>45220</v>
      </c>
      <c r="R100" t="s">
        <v>37</v>
      </c>
      <c r="S100" t="s">
        <v>44</v>
      </c>
      <c r="T100" t="s">
        <v>45</v>
      </c>
      <c r="U100" t="s">
        <v>92</v>
      </c>
      <c r="V100" t="s">
        <v>409</v>
      </c>
      <c r="W100">
        <v>86100</v>
      </c>
      <c r="X100" t="s">
        <v>44</v>
      </c>
      <c r="Y100" t="s">
        <v>115</v>
      </c>
      <c r="Z100" t="s">
        <v>49</v>
      </c>
      <c r="AA100" s="10">
        <f>IF(O100&lt;=1,7,7+0.8*ROUNDUP(O100-1,0))</f>
        <v>7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ref="AF100:AF163" si="4">(AA100+AC100+AE100)*6%</f>
        <v>0.42</v>
      </c>
      <c r="AG100" s="11">
        <f t="shared" ref="AG100:AG163" si="5">AA100+AC100+AE100+AF100</f>
        <v>7.42</v>
      </c>
      <c r="AH100" t="s">
        <v>50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410</v>
      </c>
      <c r="G101" t="s">
        <v>37</v>
      </c>
      <c r="H101" t="s">
        <v>38</v>
      </c>
      <c r="I101" t="s">
        <v>411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</v>
      </c>
      <c r="P101" s="8">
        <v>45218.67459490741</v>
      </c>
      <c r="Q101" s="9">
        <v>45220</v>
      </c>
      <c r="R101" t="s">
        <v>37</v>
      </c>
      <c r="S101" t="s">
        <v>44</v>
      </c>
      <c r="T101" t="s">
        <v>45</v>
      </c>
      <c r="U101" t="s">
        <v>92</v>
      </c>
      <c r="V101" t="s">
        <v>412</v>
      </c>
      <c r="W101">
        <v>86800</v>
      </c>
      <c r="X101" t="s">
        <v>44</v>
      </c>
      <c r="Y101" t="s">
        <v>115</v>
      </c>
      <c r="Z101" t="s">
        <v>49</v>
      </c>
      <c r="AA101" s="10">
        <f>IF(O101&lt;=1,7,7+0.8*ROUNDUP(O101-1,0))</f>
        <v>7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4"/>
        <v>0.42</v>
      </c>
      <c r="AG101" s="11">
        <f t="shared" si="5"/>
        <v>7.42</v>
      </c>
      <c r="AH101" t="s">
        <v>50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413</v>
      </c>
      <c r="G102" t="s">
        <v>37</v>
      </c>
      <c r="H102" t="s">
        <v>38</v>
      </c>
      <c r="I102" t="s">
        <v>414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45218.701851851853</v>
      </c>
      <c r="Q102" s="9">
        <v>45220</v>
      </c>
      <c r="R102" t="s">
        <v>37</v>
      </c>
      <c r="S102" t="s">
        <v>44</v>
      </c>
      <c r="T102" t="s">
        <v>45</v>
      </c>
      <c r="U102" t="s">
        <v>157</v>
      </c>
      <c r="V102" t="s">
        <v>415</v>
      </c>
      <c r="W102">
        <v>34000</v>
      </c>
      <c r="X102" t="s">
        <v>44</v>
      </c>
      <c r="Y102" t="s">
        <v>115</v>
      </c>
      <c r="Z102" t="s">
        <v>49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4"/>
        <v>0.42</v>
      </c>
      <c r="AG102" s="11">
        <f t="shared" si="5"/>
        <v>7.42</v>
      </c>
      <c r="AH102" t="s">
        <v>50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416</v>
      </c>
      <c r="G103" t="s">
        <v>37</v>
      </c>
      <c r="H103" t="s">
        <v>38</v>
      </c>
      <c r="I103" t="s">
        <v>417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45218.67459490741</v>
      </c>
      <c r="Q103" s="9">
        <v>45220</v>
      </c>
      <c r="R103" t="s">
        <v>37</v>
      </c>
      <c r="S103" t="s">
        <v>44</v>
      </c>
      <c r="T103" t="s">
        <v>45</v>
      </c>
      <c r="U103" t="s">
        <v>173</v>
      </c>
      <c r="V103" t="s">
        <v>418</v>
      </c>
      <c r="W103">
        <v>89058</v>
      </c>
      <c r="X103" t="s">
        <v>114</v>
      </c>
      <c r="Y103" t="s">
        <v>115</v>
      </c>
      <c r="Z103" t="s">
        <v>49</v>
      </c>
      <c r="AA103" s="12">
        <f>IF(O103&lt;=1,13,IF(O103&lt;=2,23,IF(O103&lt;=3,35,IF(O103&lt;=4,43,IF(O103&lt;=5,53,IF(O103&lt;=6,63,IF(O103&lt;=7,71,IF(O103&lt;=8,79,IF(O103&lt;=9,87,IF(O103&lt;=10,95,IF(O103&lt;=11,105,IF(O103&lt;=12,114,IF(O103&lt;=13,119,IF(O103&lt;=14,127,IF(O103&lt;=15,135,IF(O103&lt;=16,143,IF(O103&lt;=17,153,IF(O103&lt;=18,163,IF(O103&lt;=19,171,IF(O103&lt;=20,185,IF(O103&lt;=21,193,IF(O103&lt;=22,201,IF(O103&lt;=23,210,IF(O103&lt;=24,220,IF(O103&lt;=25,230,IF(O103&lt;=26,240,IF(O103&lt;=27,250,IF(O103&lt;=28,260,IF(O103&lt;=29,270,IF(O103&lt;=30,280,280+10*ROUNDUP(O103-30,0)))))))))))))))))))))))))))))))</f>
        <v>13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4"/>
        <v>0.78</v>
      </c>
      <c r="AG103" s="11">
        <f t="shared" si="5"/>
        <v>13.78</v>
      </c>
      <c r="AH103" t="s">
        <v>116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419</v>
      </c>
      <c r="G104" t="s">
        <v>37</v>
      </c>
      <c r="H104" t="s">
        <v>38</v>
      </c>
      <c r="I104" t="s">
        <v>420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1</v>
      </c>
      <c r="P104" s="8">
        <v>45218.699756944443</v>
      </c>
      <c r="Q104" s="9">
        <v>45220</v>
      </c>
      <c r="R104" t="s">
        <v>37</v>
      </c>
      <c r="S104" t="s">
        <v>44</v>
      </c>
      <c r="T104" t="s">
        <v>45</v>
      </c>
      <c r="U104" t="s">
        <v>61</v>
      </c>
      <c r="V104" t="s">
        <v>421</v>
      </c>
      <c r="W104">
        <v>71800</v>
      </c>
      <c r="X104" t="s">
        <v>44</v>
      </c>
      <c r="Y104" t="s">
        <v>84</v>
      </c>
      <c r="Z104" t="s">
        <v>49</v>
      </c>
      <c r="AA104" s="10">
        <f>IF(O104&lt;=1,7,7+0.8*ROUNDUP(O104-1,0))</f>
        <v>7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4"/>
        <v>0.42</v>
      </c>
      <c r="AG104" s="11">
        <f t="shared" si="5"/>
        <v>7.42</v>
      </c>
      <c r="AH104" t="s">
        <v>50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422</v>
      </c>
      <c r="G105" t="s">
        <v>37</v>
      </c>
      <c r="H105" t="s">
        <v>38</v>
      </c>
      <c r="I105" t="s">
        <v>423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1</v>
      </c>
      <c r="P105" s="8">
        <v>45218.788344907407</v>
      </c>
      <c r="Q105" s="9">
        <v>45220</v>
      </c>
      <c r="R105" t="s">
        <v>37</v>
      </c>
      <c r="S105" t="s">
        <v>44</v>
      </c>
      <c r="T105" t="s">
        <v>55</v>
      </c>
      <c r="U105" t="s">
        <v>87</v>
      </c>
      <c r="V105" t="s">
        <v>424</v>
      </c>
      <c r="W105">
        <v>26070</v>
      </c>
      <c r="X105" t="s">
        <v>44</v>
      </c>
      <c r="Y105" t="s">
        <v>55</v>
      </c>
      <c r="Z105" t="s">
        <v>49</v>
      </c>
      <c r="AA105" s="10">
        <f>IF(O105&lt;=1,7,7+0.8*ROUNDUP(O105-1,0))</f>
        <v>7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4"/>
        <v>0.42</v>
      </c>
      <c r="AG105" s="11">
        <f t="shared" si="5"/>
        <v>7.42</v>
      </c>
      <c r="AH105" t="s">
        <v>50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425</v>
      </c>
      <c r="G106" t="s">
        <v>37</v>
      </c>
      <c r="H106" t="s">
        <v>38</v>
      </c>
      <c r="I106" t="s">
        <v>426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45218.67459490741</v>
      </c>
      <c r="Q106" s="9">
        <v>45220</v>
      </c>
      <c r="R106" t="s">
        <v>37</v>
      </c>
      <c r="S106" t="s">
        <v>44</v>
      </c>
      <c r="T106" t="s">
        <v>45</v>
      </c>
      <c r="U106" t="s">
        <v>66</v>
      </c>
      <c r="V106" t="s">
        <v>427</v>
      </c>
      <c r="W106">
        <v>45800</v>
      </c>
      <c r="X106" t="s">
        <v>44</v>
      </c>
      <c r="Y106" t="s">
        <v>115</v>
      </c>
      <c r="Z106" t="s">
        <v>49</v>
      </c>
      <c r="AA106" s="10">
        <f>IF(O106&lt;=1,7,7+0.8*ROUNDUP(O106-1,0))</f>
        <v>7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4"/>
        <v>0.42</v>
      </c>
      <c r="AG106" s="11">
        <f t="shared" si="5"/>
        <v>7.42</v>
      </c>
      <c r="AH106" t="s">
        <v>50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428</v>
      </c>
      <c r="G107" t="s">
        <v>37</v>
      </c>
      <c r="H107" t="s">
        <v>38</v>
      </c>
      <c r="I107" t="s">
        <v>429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45218.619062500002</v>
      </c>
      <c r="Q107" s="9">
        <v>45220</v>
      </c>
      <c r="R107" t="s">
        <v>37</v>
      </c>
      <c r="S107" t="s">
        <v>44</v>
      </c>
      <c r="T107" t="s">
        <v>45</v>
      </c>
      <c r="U107" t="s">
        <v>92</v>
      </c>
      <c r="V107" t="s">
        <v>430</v>
      </c>
      <c r="W107">
        <v>81900</v>
      </c>
      <c r="X107" t="s">
        <v>44</v>
      </c>
      <c r="Y107" t="s">
        <v>377</v>
      </c>
      <c r="Z107" t="s">
        <v>49</v>
      </c>
      <c r="AA107" s="10">
        <f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4"/>
        <v>0.42</v>
      </c>
      <c r="AG107" s="11">
        <f t="shared" si="5"/>
        <v>7.42</v>
      </c>
      <c r="AH107" t="s">
        <v>50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431</v>
      </c>
      <c r="G108" t="s">
        <v>37</v>
      </c>
      <c r="H108" t="s">
        <v>38</v>
      </c>
      <c r="I108" t="s">
        <v>432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1</v>
      </c>
      <c r="P108" s="8">
        <v>45218.43105324074</v>
      </c>
      <c r="Q108" s="9">
        <v>45220</v>
      </c>
      <c r="R108" t="s">
        <v>37</v>
      </c>
      <c r="S108" t="s">
        <v>44</v>
      </c>
      <c r="T108" t="s">
        <v>45</v>
      </c>
      <c r="U108" t="s">
        <v>92</v>
      </c>
      <c r="V108" t="s">
        <v>433</v>
      </c>
      <c r="W108">
        <v>83100</v>
      </c>
      <c r="X108" t="s">
        <v>44</v>
      </c>
      <c r="Y108" t="s">
        <v>115</v>
      </c>
      <c r="Z108" t="s">
        <v>49</v>
      </c>
      <c r="AA108" s="10">
        <f>IF(O108&lt;=1,7,7+0.8*ROUNDUP(O108-1,0))</f>
        <v>7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4"/>
        <v>0.42</v>
      </c>
      <c r="AG108" s="11">
        <f t="shared" si="5"/>
        <v>7.42</v>
      </c>
      <c r="AH108" t="s">
        <v>50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434</v>
      </c>
      <c r="G109" t="s">
        <v>37</v>
      </c>
      <c r="H109" t="s">
        <v>38</v>
      </c>
      <c r="I109" t="s">
        <v>435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45218.442997685182</v>
      </c>
      <c r="Q109" s="9">
        <v>45220</v>
      </c>
      <c r="R109" t="s">
        <v>37</v>
      </c>
      <c r="S109" t="s">
        <v>44</v>
      </c>
      <c r="T109" t="s">
        <v>45</v>
      </c>
      <c r="U109" t="s">
        <v>182</v>
      </c>
      <c r="V109" t="s">
        <v>436</v>
      </c>
      <c r="W109">
        <v>13300</v>
      </c>
      <c r="X109" t="s">
        <v>44</v>
      </c>
      <c r="Y109" t="s">
        <v>394</v>
      </c>
      <c r="Z109" t="s">
        <v>49</v>
      </c>
      <c r="AA109" s="10">
        <f>IF(O109&lt;=1,7,7+0.8*ROUNDUP(O109-1,0))</f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4"/>
        <v>0.42</v>
      </c>
      <c r="AG109" s="11">
        <f t="shared" si="5"/>
        <v>7.42</v>
      </c>
      <c r="AH109" t="s">
        <v>50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437</v>
      </c>
      <c r="G110" t="s">
        <v>37</v>
      </c>
      <c r="H110" t="s">
        <v>38</v>
      </c>
      <c r="I110" t="s">
        <v>438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2</v>
      </c>
      <c r="P110" s="8">
        <v>45220.631793981483</v>
      </c>
      <c r="Q110" s="9">
        <v>45221</v>
      </c>
      <c r="R110" t="s">
        <v>37</v>
      </c>
      <c r="S110" t="s">
        <v>44</v>
      </c>
      <c r="T110" t="s">
        <v>45</v>
      </c>
      <c r="U110" t="s">
        <v>53</v>
      </c>
      <c r="V110" t="s">
        <v>439</v>
      </c>
      <c r="W110">
        <v>18300</v>
      </c>
      <c r="X110" t="s">
        <v>44</v>
      </c>
      <c r="Y110" t="s">
        <v>314</v>
      </c>
      <c r="Z110" t="s">
        <v>49</v>
      </c>
      <c r="AA110" s="10">
        <f>IF(O110&lt;=1,7,7+0.8*ROUNDUP(O110-1,0))</f>
        <v>7.8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4"/>
        <v>0.46799999999999997</v>
      </c>
      <c r="AG110" s="11">
        <f t="shared" si="5"/>
        <v>8.2680000000000007</v>
      </c>
      <c r="AH110" t="s">
        <v>50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440</v>
      </c>
      <c r="G111" t="s">
        <v>37</v>
      </c>
      <c r="H111" t="s">
        <v>38</v>
      </c>
      <c r="I111" t="s">
        <v>441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45220.421423611115</v>
      </c>
      <c r="Q111" s="9">
        <v>45221</v>
      </c>
      <c r="R111" t="s">
        <v>37</v>
      </c>
      <c r="S111" t="s">
        <v>44</v>
      </c>
      <c r="T111" t="s">
        <v>45</v>
      </c>
      <c r="U111" t="s">
        <v>66</v>
      </c>
      <c r="V111" t="s">
        <v>442</v>
      </c>
      <c r="W111">
        <v>43300</v>
      </c>
      <c r="X111" t="s">
        <v>44</v>
      </c>
      <c r="Y111" t="s">
        <v>443</v>
      </c>
      <c r="Z111" t="s">
        <v>49</v>
      </c>
      <c r="AA111" s="10">
        <f>IF(O111&lt;=1,7,7+0.8*ROUNDUP(O111-1,0))</f>
        <v>7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4"/>
        <v>0.42</v>
      </c>
      <c r="AG111" s="11">
        <f t="shared" si="5"/>
        <v>7.42</v>
      </c>
      <c r="AH111" t="s">
        <v>50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444</v>
      </c>
      <c r="G112" t="s">
        <v>37</v>
      </c>
      <c r="H112" t="s">
        <v>38</v>
      </c>
      <c r="I112" t="s">
        <v>445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1</v>
      </c>
      <c r="P112" s="8">
        <v>45220.689930555556</v>
      </c>
      <c r="Q112" s="9">
        <v>45221</v>
      </c>
      <c r="R112" t="s">
        <v>37</v>
      </c>
      <c r="S112" t="s">
        <v>44</v>
      </c>
      <c r="T112" t="s">
        <v>45</v>
      </c>
      <c r="U112" t="s">
        <v>71</v>
      </c>
      <c r="V112" t="s">
        <v>446</v>
      </c>
      <c r="W112">
        <v>21100</v>
      </c>
      <c r="X112" t="s">
        <v>44</v>
      </c>
      <c r="Y112" t="s">
        <v>73</v>
      </c>
      <c r="Z112" t="s">
        <v>49</v>
      </c>
      <c r="AA112" s="10">
        <f>IF(O112&lt;=1,7,7+0.8*ROUNDUP(O112-1,0))</f>
        <v>7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4"/>
        <v>0.42</v>
      </c>
      <c r="AG112" s="11">
        <f t="shared" si="5"/>
        <v>7.42</v>
      </c>
      <c r="AH112" t="s">
        <v>50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447</v>
      </c>
      <c r="G113" t="s">
        <v>37</v>
      </c>
      <c r="H113" t="s">
        <v>38</v>
      </c>
      <c r="I113" t="s">
        <v>448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45220.631793981483</v>
      </c>
      <c r="Q113" s="9">
        <v>45221</v>
      </c>
      <c r="R113" t="s">
        <v>37</v>
      </c>
      <c r="S113" t="s">
        <v>44</v>
      </c>
      <c r="T113" t="s">
        <v>45</v>
      </c>
      <c r="U113" t="s">
        <v>66</v>
      </c>
      <c r="V113" t="s">
        <v>449</v>
      </c>
      <c r="W113">
        <v>42450</v>
      </c>
      <c r="X113" t="s">
        <v>44</v>
      </c>
      <c r="Y113" t="s">
        <v>450</v>
      </c>
      <c r="Z113" t="s">
        <v>49</v>
      </c>
      <c r="AA113" s="10">
        <f>IF(O113&lt;=1,7,7+0.8*ROUNDUP(O113-1,0))</f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4"/>
        <v>0.42</v>
      </c>
      <c r="AG113" s="11">
        <f t="shared" si="5"/>
        <v>7.42</v>
      </c>
      <c r="AH113" t="s">
        <v>50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451</v>
      </c>
      <c r="G114" t="s">
        <v>37</v>
      </c>
      <c r="H114" t="s">
        <v>38</v>
      </c>
      <c r="I114" t="s">
        <v>452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3</v>
      </c>
      <c r="P114" s="8">
        <v>45220.689930555556</v>
      </c>
      <c r="Q114" s="9">
        <v>45221</v>
      </c>
      <c r="R114" t="s">
        <v>37</v>
      </c>
      <c r="S114" t="s">
        <v>44</v>
      </c>
      <c r="T114" t="s">
        <v>45</v>
      </c>
      <c r="U114" t="s">
        <v>87</v>
      </c>
      <c r="V114" t="s">
        <v>453</v>
      </c>
      <c r="W114">
        <v>25050</v>
      </c>
      <c r="X114" t="s">
        <v>44</v>
      </c>
      <c r="Y114" t="s">
        <v>45</v>
      </c>
      <c r="Z114" t="s">
        <v>49</v>
      </c>
      <c r="AA114" s="10">
        <f>IF(O114&lt;=1,7,7+0.8*ROUNDUP(O114-1,0))</f>
        <v>8.6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4"/>
        <v>0.51600000000000001</v>
      </c>
      <c r="AG114" s="11">
        <f t="shared" si="5"/>
        <v>9.1159999999999997</v>
      </c>
      <c r="AH114" t="s">
        <v>50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454</v>
      </c>
      <c r="G115" t="s">
        <v>37</v>
      </c>
      <c r="H115" t="s">
        <v>38</v>
      </c>
      <c r="I115" t="s">
        <v>455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</v>
      </c>
      <c r="P115" s="8">
        <v>45220.654722222222</v>
      </c>
      <c r="Q115" s="9">
        <v>45221</v>
      </c>
      <c r="R115" t="s">
        <v>37</v>
      </c>
      <c r="S115" t="s">
        <v>44</v>
      </c>
      <c r="T115" t="s">
        <v>45</v>
      </c>
      <c r="U115" t="s">
        <v>66</v>
      </c>
      <c r="V115" t="s">
        <v>456</v>
      </c>
      <c r="W115">
        <v>55100</v>
      </c>
      <c r="X115" t="s">
        <v>44</v>
      </c>
      <c r="Y115" t="s">
        <v>457</v>
      </c>
      <c r="Z115" t="s">
        <v>49</v>
      </c>
      <c r="AA115" s="10">
        <f>IF(O115&lt;=1,7,7+0.8*ROUNDUP(O115-1,0))</f>
        <v>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4"/>
        <v>0.42</v>
      </c>
      <c r="AG115" s="11">
        <f t="shared" si="5"/>
        <v>7.42</v>
      </c>
      <c r="AH115" t="s">
        <v>50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458</v>
      </c>
      <c r="G116" t="s">
        <v>37</v>
      </c>
      <c r="H116" t="s">
        <v>38</v>
      </c>
      <c r="I116" t="s">
        <v>459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1</v>
      </c>
      <c r="P116" s="8">
        <v>45220.501666666663</v>
      </c>
      <c r="Q116" s="9">
        <v>45221</v>
      </c>
      <c r="R116" t="s">
        <v>37</v>
      </c>
      <c r="S116" t="s">
        <v>44</v>
      </c>
      <c r="T116" t="s">
        <v>45</v>
      </c>
      <c r="U116" t="s">
        <v>66</v>
      </c>
      <c r="V116" t="s">
        <v>460</v>
      </c>
      <c r="W116">
        <v>41200</v>
      </c>
      <c r="X116" t="s">
        <v>44</v>
      </c>
      <c r="Y116" t="s">
        <v>461</v>
      </c>
      <c r="Z116" t="s">
        <v>49</v>
      </c>
      <c r="AA116" s="10">
        <f>IF(O116&lt;=1,7,7+0.8*ROUNDUP(O116-1,0))</f>
        <v>7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4"/>
        <v>0.42</v>
      </c>
      <c r="AG116" s="11">
        <f t="shared" si="5"/>
        <v>7.42</v>
      </c>
      <c r="AH116" t="s">
        <v>50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462</v>
      </c>
      <c r="G117" t="s">
        <v>37</v>
      </c>
      <c r="H117" t="s">
        <v>38</v>
      </c>
      <c r="I117" t="s">
        <v>463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1</v>
      </c>
      <c r="P117" s="8">
        <v>45220.424837962964</v>
      </c>
      <c r="Q117" s="9">
        <v>45221</v>
      </c>
      <c r="R117" t="s">
        <v>37</v>
      </c>
      <c r="S117" t="s">
        <v>44</v>
      </c>
      <c r="T117" t="s">
        <v>45</v>
      </c>
      <c r="U117" t="s">
        <v>53</v>
      </c>
      <c r="V117" t="s">
        <v>464</v>
      </c>
      <c r="W117">
        <v>16090</v>
      </c>
      <c r="X117" t="s">
        <v>44</v>
      </c>
      <c r="Y117" t="s">
        <v>55</v>
      </c>
      <c r="Z117" t="s">
        <v>49</v>
      </c>
      <c r="AA117" s="10">
        <f>IF(O117&lt;=1,7,7+0.8*ROUNDUP(O117-1,0))</f>
        <v>7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4"/>
        <v>0.42</v>
      </c>
      <c r="AG117" s="11">
        <f t="shared" si="5"/>
        <v>7.42</v>
      </c>
      <c r="AH117" t="s">
        <v>50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465</v>
      </c>
      <c r="G118" t="s">
        <v>37</v>
      </c>
      <c r="H118" t="s">
        <v>38</v>
      </c>
      <c r="I118" t="s">
        <v>466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4</v>
      </c>
      <c r="P118" s="8">
        <v>45218.783877314818</v>
      </c>
      <c r="Q118" s="9">
        <v>45222</v>
      </c>
      <c r="R118" t="s">
        <v>37</v>
      </c>
      <c r="S118" t="s">
        <v>44</v>
      </c>
      <c r="T118" t="s">
        <v>55</v>
      </c>
      <c r="U118" t="s">
        <v>182</v>
      </c>
      <c r="V118" t="s">
        <v>467</v>
      </c>
      <c r="W118">
        <v>13400</v>
      </c>
      <c r="X118" t="s">
        <v>44</v>
      </c>
      <c r="Y118" t="s">
        <v>468</v>
      </c>
      <c r="Z118" t="s">
        <v>49</v>
      </c>
      <c r="AA118" s="10">
        <f>IF(O118&lt;=1,7,7+0.8*ROUNDUP(O118-1,0))</f>
        <v>9.4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4"/>
        <v>0.56399999999999995</v>
      </c>
      <c r="AG118" s="11">
        <f t="shared" si="5"/>
        <v>9.9640000000000004</v>
      </c>
      <c r="AH118" t="s">
        <v>50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469</v>
      </c>
      <c r="G119" t="s">
        <v>37</v>
      </c>
      <c r="H119" t="s">
        <v>38</v>
      </c>
      <c r="I119" t="s">
        <v>470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1</v>
      </c>
      <c r="P119" s="8">
        <v>45221.543703703705</v>
      </c>
      <c r="Q119" s="9">
        <v>45222</v>
      </c>
      <c r="R119" t="s">
        <v>37</v>
      </c>
      <c r="S119" t="s">
        <v>44</v>
      </c>
      <c r="T119" t="s">
        <v>45</v>
      </c>
      <c r="U119" t="s">
        <v>66</v>
      </c>
      <c r="V119" t="s">
        <v>471</v>
      </c>
      <c r="W119">
        <v>47100</v>
      </c>
      <c r="X119" t="s">
        <v>44</v>
      </c>
      <c r="Y119" t="s">
        <v>253</v>
      </c>
      <c r="Z119" t="s">
        <v>49</v>
      </c>
      <c r="AA119" s="10">
        <f>IF(O119&lt;=1,7,7+0.8*ROUNDUP(O119-1,0))</f>
        <v>7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4"/>
        <v>0.42</v>
      </c>
      <c r="AG119" s="11">
        <f t="shared" si="5"/>
        <v>7.42</v>
      </c>
      <c r="AH119" t="s">
        <v>50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472</v>
      </c>
      <c r="G120" t="s">
        <v>37</v>
      </c>
      <c r="H120" t="s">
        <v>38</v>
      </c>
      <c r="I120" t="s">
        <v>473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45220.437025462961</v>
      </c>
      <c r="Q120" s="9">
        <v>45222</v>
      </c>
      <c r="R120" t="s">
        <v>37</v>
      </c>
      <c r="S120" t="s">
        <v>44</v>
      </c>
      <c r="T120" t="s">
        <v>45</v>
      </c>
      <c r="U120" t="s">
        <v>157</v>
      </c>
      <c r="V120" t="s">
        <v>474</v>
      </c>
      <c r="W120">
        <v>34700</v>
      </c>
      <c r="X120" t="s">
        <v>44</v>
      </c>
      <c r="Y120" t="s">
        <v>115</v>
      </c>
      <c r="Z120" t="s">
        <v>49</v>
      </c>
      <c r="AA120" s="10">
        <f>IF(O120&lt;=1,7,7+0.8*ROUNDUP(O120-1,0))</f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4"/>
        <v>0.42</v>
      </c>
      <c r="AG120" s="11">
        <f t="shared" si="5"/>
        <v>7.42</v>
      </c>
      <c r="AH120" t="s">
        <v>50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475</v>
      </c>
      <c r="G121" t="s">
        <v>37</v>
      </c>
      <c r="H121" t="s">
        <v>38</v>
      </c>
      <c r="I121" t="s">
        <v>476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3</v>
      </c>
      <c r="P121" s="8">
        <v>45220.689930555556</v>
      </c>
      <c r="Q121" s="9">
        <v>45222</v>
      </c>
      <c r="R121" t="s">
        <v>37</v>
      </c>
      <c r="S121" t="s">
        <v>44</v>
      </c>
      <c r="T121" t="s">
        <v>45</v>
      </c>
      <c r="U121" t="s">
        <v>46</v>
      </c>
      <c r="V121" t="s">
        <v>477</v>
      </c>
      <c r="W121">
        <v>8000</v>
      </c>
      <c r="X121" t="s">
        <v>44</v>
      </c>
      <c r="Y121" t="s">
        <v>478</v>
      </c>
      <c r="Z121" t="s">
        <v>49</v>
      </c>
      <c r="AA121" s="10">
        <f>IF(O121&lt;=1,7,7+0.8*ROUNDUP(O121-1,0))</f>
        <v>8.6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4"/>
        <v>0.51600000000000001</v>
      </c>
      <c r="AG121" s="11">
        <f t="shared" si="5"/>
        <v>9.1159999999999997</v>
      </c>
      <c r="AH121" t="s">
        <v>50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479</v>
      </c>
      <c r="G122" t="s">
        <v>37</v>
      </c>
      <c r="H122" t="s">
        <v>38</v>
      </c>
      <c r="I122" t="s">
        <v>480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2</v>
      </c>
      <c r="P122" s="8">
        <v>45217.760706018518</v>
      </c>
      <c r="Q122" s="9">
        <v>45222</v>
      </c>
      <c r="R122" t="s">
        <v>37</v>
      </c>
      <c r="S122" t="s">
        <v>44</v>
      </c>
      <c r="T122" t="s">
        <v>45</v>
      </c>
      <c r="U122" t="s">
        <v>481</v>
      </c>
      <c r="V122" t="s">
        <v>482</v>
      </c>
      <c r="W122">
        <v>87000</v>
      </c>
      <c r="X122" t="s">
        <v>114</v>
      </c>
      <c r="Y122" t="s">
        <v>483</v>
      </c>
      <c r="Z122" t="s">
        <v>49</v>
      </c>
      <c r="AA122" s="12">
        <f>IF(O122&lt;=1,13,IF(O122&lt;=2,23,IF(O122&lt;=3,35,IF(O122&lt;=4,43,IF(O122&lt;=5,53,IF(O122&lt;=6,63,IF(O122&lt;=7,71,IF(O122&lt;=8,79,IF(O122&lt;=9,87,IF(O122&lt;=10,95,IF(O122&lt;=11,105,IF(O122&lt;=12,114,IF(O122&lt;=13,119,IF(O122&lt;=14,127,IF(O122&lt;=15,135,IF(O122&lt;=16,143,IF(O122&lt;=17,153,IF(O122&lt;=18,163,IF(O122&lt;=19,171,IF(O122&lt;=20,185,IF(O122&lt;=21,193,IF(O122&lt;=22,201,IF(O122&lt;=23,210,IF(O122&lt;=24,220,IF(O122&lt;=25,230,IF(O122&lt;=26,240,IF(O122&lt;=27,250,IF(O122&lt;=28,260,IF(O122&lt;=29,270,IF(O122&lt;=30,280,280+10*ROUNDUP(O122-30,0)))))))))))))))))))))))))))))))</f>
        <v>23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4"/>
        <v>1.38</v>
      </c>
      <c r="AG122" s="11">
        <f t="shared" si="5"/>
        <v>24.38</v>
      </c>
      <c r="AH122" t="s">
        <v>116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484</v>
      </c>
      <c r="G123" t="s">
        <v>37</v>
      </c>
      <c r="H123" t="s">
        <v>38</v>
      </c>
      <c r="I123" t="s">
        <v>476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2</v>
      </c>
      <c r="P123" s="8">
        <v>45220.689930555556</v>
      </c>
      <c r="Q123" s="9">
        <v>45222</v>
      </c>
      <c r="R123" t="s">
        <v>37</v>
      </c>
      <c r="S123" t="s">
        <v>44</v>
      </c>
      <c r="T123" t="s">
        <v>45</v>
      </c>
      <c r="U123" t="s">
        <v>46</v>
      </c>
      <c r="V123" t="s">
        <v>485</v>
      </c>
      <c r="W123">
        <v>8000</v>
      </c>
      <c r="X123" t="s">
        <v>44</v>
      </c>
      <c r="Y123" t="s">
        <v>478</v>
      </c>
      <c r="Z123" t="s">
        <v>49</v>
      </c>
      <c r="AA123" s="10">
        <f>IF(O123&lt;=1,7,7+0.8*ROUNDUP(O123-1,0))</f>
        <v>7.8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4"/>
        <v>0.46799999999999997</v>
      </c>
      <c r="AG123" s="11">
        <f t="shared" si="5"/>
        <v>8.2680000000000007</v>
      </c>
      <c r="AH123" t="s">
        <v>50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486</v>
      </c>
      <c r="G124" t="s">
        <v>37</v>
      </c>
      <c r="H124" t="s">
        <v>38</v>
      </c>
      <c r="I124" t="s">
        <v>487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1</v>
      </c>
      <c r="P124" s="8">
        <v>45221.742199074077</v>
      </c>
      <c r="Q124" s="9">
        <v>45222</v>
      </c>
      <c r="R124" t="s">
        <v>37</v>
      </c>
      <c r="S124" t="s">
        <v>44</v>
      </c>
      <c r="T124" t="s">
        <v>45</v>
      </c>
      <c r="U124" t="s">
        <v>66</v>
      </c>
      <c r="V124" t="s">
        <v>488</v>
      </c>
      <c r="W124">
        <v>44200</v>
      </c>
      <c r="X124" t="s">
        <v>44</v>
      </c>
      <c r="Y124" t="s">
        <v>489</v>
      </c>
      <c r="Z124" t="s">
        <v>49</v>
      </c>
      <c r="AA124" s="10">
        <f>IF(O124&lt;=1,7,7+0.8*ROUNDUP(O124-1,0))</f>
        <v>7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4"/>
        <v>0.42</v>
      </c>
      <c r="AG124" s="11">
        <f t="shared" si="5"/>
        <v>7.42</v>
      </c>
      <c r="AH124" t="s">
        <v>50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490</v>
      </c>
      <c r="G125" t="s">
        <v>37</v>
      </c>
      <c r="H125" t="s">
        <v>38</v>
      </c>
      <c r="I125" t="s">
        <v>491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1</v>
      </c>
      <c r="P125" s="8">
        <v>45221.680810185186</v>
      </c>
      <c r="Q125" s="9">
        <v>45222</v>
      </c>
      <c r="R125" t="s">
        <v>37</v>
      </c>
      <c r="S125" t="s">
        <v>44</v>
      </c>
      <c r="T125" t="s">
        <v>45</v>
      </c>
      <c r="U125" t="s">
        <v>53</v>
      </c>
      <c r="V125" t="s">
        <v>492</v>
      </c>
      <c r="W125">
        <v>18300</v>
      </c>
      <c r="X125" t="s">
        <v>44</v>
      </c>
      <c r="Y125" t="s">
        <v>55</v>
      </c>
      <c r="Z125" t="s">
        <v>49</v>
      </c>
      <c r="AA125" s="10">
        <f>IF(O125&lt;=1,7,7+0.8*ROUNDUP(O125-1,0))</f>
        <v>7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4"/>
        <v>0.42</v>
      </c>
      <c r="AG125" s="11">
        <f t="shared" si="5"/>
        <v>7.42</v>
      </c>
      <c r="AH125" t="s">
        <v>50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493</v>
      </c>
      <c r="G126" t="s">
        <v>37</v>
      </c>
      <c r="H126" t="s">
        <v>38</v>
      </c>
      <c r="I126" t="s">
        <v>494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1</v>
      </c>
      <c r="P126" s="8">
        <v>45221.682928240742</v>
      </c>
      <c r="Q126" s="9">
        <v>45222</v>
      </c>
      <c r="R126" t="s">
        <v>37</v>
      </c>
      <c r="S126" t="s">
        <v>44</v>
      </c>
      <c r="T126" t="s">
        <v>45</v>
      </c>
      <c r="U126" t="s">
        <v>71</v>
      </c>
      <c r="V126" t="s">
        <v>495</v>
      </c>
      <c r="W126">
        <v>24000</v>
      </c>
      <c r="X126" t="s">
        <v>44</v>
      </c>
      <c r="Y126" t="s">
        <v>45</v>
      </c>
      <c r="Z126" t="s">
        <v>49</v>
      </c>
      <c r="AA126" s="10">
        <f>IF(O126&lt;=1,7,7+0.8*ROUNDUP(O126-1,0))</f>
        <v>7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4"/>
        <v>0.42</v>
      </c>
      <c r="AG126" s="11">
        <f t="shared" si="5"/>
        <v>7.42</v>
      </c>
      <c r="AH126" t="s">
        <v>50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496</v>
      </c>
      <c r="G127" t="s">
        <v>37</v>
      </c>
      <c r="H127" t="s">
        <v>38</v>
      </c>
      <c r="I127" t="s">
        <v>497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1</v>
      </c>
      <c r="P127" s="8">
        <v>45220.612662037034</v>
      </c>
      <c r="Q127" s="9">
        <v>45222</v>
      </c>
      <c r="R127" t="s">
        <v>37</v>
      </c>
      <c r="S127" t="s">
        <v>44</v>
      </c>
      <c r="T127" t="s">
        <v>45</v>
      </c>
      <c r="U127" t="s">
        <v>66</v>
      </c>
      <c r="V127" t="s">
        <v>498</v>
      </c>
      <c r="W127">
        <v>40150</v>
      </c>
      <c r="X127" t="s">
        <v>44</v>
      </c>
      <c r="Y127" t="s">
        <v>499</v>
      </c>
      <c r="Z127" t="s">
        <v>49</v>
      </c>
      <c r="AA127" s="10">
        <f>IF(O127&lt;=1,7,7+0.8*ROUNDUP(O127-1,0))</f>
        <v>7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4"/>
        <v>0.42</v>
      </c>
      <c r="AG127" s="11">
        <f t="shared" si="5"/>
        <v>7.42</v>
      </c>
      <c r="AH127" t="s">
        <v>50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500</v>
      </c>
      <c r="G128" t="s">
        <v>37</v>
      </c>
      <c r="H128" t="s">
        <v>38</v>
      </c>
      <c r="I128" t="s">
        <v>255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10</v>
      </c>
      <c r="P128" s="8">
        <v>45220.742129629631</v>
      </c>
      <c r="Q128" s="9">
        <v>45222</v>
      </c>
      <c r="R128" t="s">
        <v>37</v>
      </c>
      <c r="S128" t="s">
        <v>44</v>
      </c>
      <c r="T128" t="s">
        <v>45</v>
      </c>
      <c r="U128" t="s">
        <v>87</v>
      </c>
      <c r="V128" t="s">
        <v>256</v>
      </c>
      <c r="W128">
        <v>39100</v>
      </c>
      <c r="X128" t="s">
        <v>44</v>
      </c>
      <c r="Y128" t="s">
        <v>268</v>
      </c>
      <c r="Z128" t="s">
        <v>49</v>
      </c>
      <c r="AA128" s="10">
        <f>IF(O128&lt;=1,7,7+0.8*ROUNDUP(O128-1,0))</f>
        <v>14.2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4"/>
        <v>0.85199999999999998</v>
      </c>
      <c r="AG128" s="11">
        <f t="shared" si="5"/>
        <v>15.052</v>
      </c>
      <c r="AH128" t="s">
        <v>50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501</v>
      </c>
      <c r="G129" t="s">
        <v>37</v>
      </c>
      <c r="H129" t="s">
        <v>38</v>
      </c>
      <c r="I129" t="s">
        <v>502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1</v>
      </c>
      <c r="P129" s="8">
        <v>45221.680821759262</v>
      </c>
      <c r="Q129" s="9">
        <v>45222</v>
      </c>
      <c r="R129" t="s">
        <v>37</v>
      </c>
      <c r="S129" t="s">
        <v>44</v>
      </c>
      <c r="T129" t="s">
        <v>45</v>
      </c>
      <c r="U129" t="s">
        <v>71</v>
      </c>
      <c r="V129" t="s">
        <v>503</v>
      </c>
      <c r="W129">
        <v>21020</v>
      </c>
      <c r="X129" t="s">
        <v>44</v>
      </c>
      <c r="Y129" t="s">
        <v>73</v>
      </c>
      <c r="Z129" t="s">
        <v>49</v>
      </c>
      <c r="AA129" s="10">
        <f>IF(O129&lt;=1,7,7+0.8*ROUNDUP(O129-1,0))</f>
        <v>7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4"/>
        <v>0.42</v>
      </c>
      <c r="AG129" s="11">
        <f t="shared" si="5"/>
        <v>7.42</v>
      </c>
      <c r="AH129" t="s">
        <v>50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504</v>
      </c>
      <c r="G130" t="s">
        <v>37</v>
      </c>
      <c r="H130" t="s">
        <v>38</v>
      </c>
      <c r="I130" t="s">
        <v>505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1</v>
      </c>
      <c r="P130" s="8">
        <v>45221.596273148149</v>
      </c>
      <c r="Q130" s="9">
        <v>45222</v>
      </c>
      <c r="R130" t="s">
        <v>37</v>
      </c>
      <c r="S130" t="s">
        <v>44</v>
      </c>
      <c r="T130" t="s">
        <v>45</v>
      </c>
      <c r="U130" t="s">
        <v>187</v>
      </c>
      <c r="V130" t="s">
        <v>506</v>
      </c>
      <c r="W130">
        <v>55200</v>
      </c>
      <c r="X130" t="s">
        <v>44</v>
      </c>
      <c r="Y130" t="s">
        <v>115</v>
      </c>
      <c r="Z130" t="s">
        <v>49</v>
      </c>
      <c r="AA130" s="10">
        <f>IF(O130&lt;=1,7,7+0.8*ROUNDUP(O130-1,0))</f>
        <v>7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si="4"/>
        <v>0.42</v>
      </c>
      <c r="AG130" s="11">
        <f t="shared" si="5"/>
        <v>7.42</v>
      </c>
      <c r="AH130" t="s">
        <v>50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507</v>
      </c>
      <c r="G131" t="s">
        <v>37</v>
      </c>
      <c r="H131" t="s">
        <v>38</v>
      </c>
      <c r="I131" t="s">
        <v>508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2</v>
      </c>
      <c r="P131" s="8">
        <v>45220.549421296295</v>
      </c>
      <c r="Q131" s="9">
        <v>45222</v>
      </c>
      <c r="R131" t="s">
        <v>37</v>
      </c>
      <c r="S131" t="s">
        <v>44</v>
      </c>
      <c r="T131" t="s">
        <v>45</v>
      </c>
      <c r="U131" t="s">
        <v>66</v>
      </c>
      <c r="V131" t="s">
        <v>509</v>
      </c>
      <c r="W131">
        <v>42500</v>
      </c>
      <c r="X131" t="s">
        <v>44</v>
      </c>
      <c r="Y131" t="s">
        <v>115</v>
      </c>
      <c r="Z131" t="s">
        <v>49</v>
      </c>
      <c r="AA131" s="10">
        <f>IF(O131&lt;=1,7,7+0.8*ROUNDUP(O131-1,0))</f>
        <v>7.8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0.46799999999999997</v>
      </c>
      <c r="AG131" s="11">
        <f t="shared" si="5"/>
        <v>8.2680000000000007</v>
      </c>
      <c r="AH131" t="s">
        <v>50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510</v>
      </c>
      <c r="G132" t="s">
        <v>37</v>
      </c>
      <c r="H132" t="s">
        <v>38</v>
      </c>
      <c r="I132" t="s">
        <v>511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2</v>
      </c>
      <c r="P132" s="8">
        <v>45222.697025462963</v>
      </c>
      <c r="Q132" s="9">
        <v>45223</v>
      </c>
      <c r="R132" t="s">
        <v>37</v>
      </c>
      <c r="S132" t="s">
        <v>44</v>
      </c>
      <c r="T132" t="s">
        <v>45</v>
      </c>
      <c r="U132" t="s">
        <v>66</v>
      </c>
      <c r="V132" t="s">
        <v>512</v>
      </c>
      <c r="W132">
        <v>47600</v>
      </c>
      <c r="X132" t="s">
        <v>44</v>
      </c>
      <c r="Y132" t="s">
        <v>98</v>
      </c>
      <c r="Z132" t="s">
        <v>49</v>
      </c>
      <c r="AA132" s="10">
        <f>IF(O132&lt;=1,7,7+0.8*ROUNDUP(O132-1,0))</f>
        <v>7.8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0.46799999999999997</v>
      </c>
      <c r="AG132" s="11">
        <f t="shared" si="5"/>
        <v>8.2680000000000007</v>
      </c>
      <c r="AH132" t="s">
        <v>50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513</v>
      </c>
      <c r="G133" t="s">
        <v>37</v>
      </c>
      <c r="H133" t="s">
        <v>38</v>
      </c>
      <c r="I133" t="s">
        <v>514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3</v>
      </c>
      <c r="P133" s="8">
        <v>45221.689629629633</v>
      </c>
      <c r="Q133" s="9">
        <v>45223</v>
      </c>
      <c r="R133" t="s">
        <v>37</v>
      </c>
      <c r="S133" t="s">
        <v>44</v>
      </c>
      <c r="T133" t="s">
        <v>45</v>
      </c>
      <c r="U133" t="s">
        <v>173</v>
      </c>
      <c r="V133" t="s">
        <v>515</v>
      </c>
      <c r="W133">
        <v>89000</v>
      </c>
      <c r="X133" t="s">
        <v>114</v>
      </c>
      <c r="Y133" t="s">
        <v>516</v>
      </c>
      <c r="Z133" t="s">
        <v>49</v>
      </c>
      <c r="AA133" s="12">
        <f>IF(O133&lt;=1,13,IF(O133&lt;=2,23,IF(O133&lt;=3,35,IF(O133&lt;=4,43,IF(O133&lt;=5,53,IF(O133&lt;=6,63,IF(O133&lt;=7,71,IF(O133&lt;=8,79,IF(O133&lt;=9,87,IF(O133&lt;=10,95,IF(O133&lt;=11,105,IF(O133&lt;=12,114,IF(O133&lt;=13,119,IF(O133&lt;=14,127,IF(O133&lt;=15,135,IF(O133&lt;=16,143,IF(O133&lt;=17,153,IF(O133&lt;=18,163,IF(O133&lt;=19,171,IF(O133&lt;=20,185,IF(O133&lt;=21,193,IF(O133&lt;=22,201,IF(O133&lt;=23,210,IF(O133&lt;=24,220,IF(O133&lt;=25,230,IF(O133&lt;=26,240,IF(O133&lt;=27,250,IF(O133&lt;=28,260,IF(O133&lt;=29,270,IF(O133&lt;=30,280,280+10*ROUNDUP(O133-30,0)))))))))))))))))))))))))))))))</f>
        <v>35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2.1</v>
      </c>
      <c r="AG133" s="11">
        <f t="shared" si="5"/>
        <v>37.1</v>
      </c>
      <c r="AH133" t="s">
        <v>116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517</v>
      </c>
      <c r="G134" t="s">
        <v>37</v>
      </c>
      <c r="H134" t="s">
        <v>38</v>
      </c>
      <c r="I134" t="s">
        <v>518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</v>
      </c>
      <c r="P134" s="8">
        <v>45221.739884259259</v>
      </c>
      <c r="Q134" s="9">
        <v>45223</v>
      </c>
      <c r="R134" t="s">
        <v>37</v>
      </c>
      <c r="S134" t="s">
        <v>44</v>
      </c>
      <c r="T134" t="s">
        <v>45</v>
      </c>
      <c r="U134" t="s">
        <v>61</v>
      </c>
      <c r="V134" t="s">
        <v>519</v>
      </c>
      <c r="W134">
        <v>71450</v>
      </c>
      <c r="X134" t="s">
        <v>44</v>
      </c>
      <c r="Y134" t="s">
        <v>520</v>
      </c>
      <c r="Z134" t="s">
        <v>49</v>
      </c>
      <c r="AA134" s="10">
        <f>IF(O134&lt;=1,7,7+0.8*ROUNDUP(O134-1,0))</f>
        <v>7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0.42</v>
      </c>
      <c r="AG134" s="11">
        <f t="shared" si="5"/>
        <v>7.42</v>
      </c>
      <c r="AH134" t="s">
        <v>50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521</v>
      </c>
      <c r="G135" t="s">
        <v>37</v>
      </c>
      <c r="H135" t="s">
        <v>38</v>
      </c>
      <c r="I135" t="s">
        <v>522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3</v>
      </c>
      <c r="P135" s="8">
        <v>45222.586828703701</v>
      </c>
      <c r="Q135" s="9">
        <v>45223</v>
      </c>
      <c r="R135" t="s">
        <v>37</v>
      </c>
      <c r="S135" t="s">
        <v>44</v>
      </c>
      <c r="T135" t="s">
        <v>45</v>
      </c>
      <c r="U135" t="s">
        <v>87</v>
      </c>
      <c r="V135" t="s">
        <v>523</v>
      </c>
      <c r="W135">
        <v>26600</v>
      </c>
      <c r="X135" t="s">
        <v>44</v>
      </c>
      <c r="Y135" t="s">
        <v>89</v>
      </c>
      <c r="Z135" t="s">
        <v>49</v>
      </c>
      <c r="AA135" s="10">
        <f>IF(O135&lt;=1,7,7+0.8*ROUNDUP(O135-1,0))</f>
        <v>8.6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0.51600000000000001</v>
      </c>
      <c r="AG135" s="11">
        <f t="shared" si="5"/>
        <v>9.1159999999999997</v>
      </c>
      <c r="AH135" t="s">
        <v>50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524</v>
      </c>
      <c r="G136" t="s">
        <v>37</v>
      </c>
      <c r="H136" t="s">
        <v>38</v>
      </c>
      <c r="I136" t="s">
        <v>525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9</v>
      </c>
      <c r="P136" s="8">
        <v>45221.787743055553</v>
      </c>
      <c r="Q136" s="9">
        <v>45223</v>
      </c>
      <c r="R136" t="s">
        <v>37</v>
      </c>
      <c r="S136" t="s">
        <v>44</v>
      </c>
      <c r="T136" t="s">
        <v>45</v>
      </c>
      <c r="U136" t="s">
        <v>66</v>
      </c>
      <c r="V136" t="s">
        <v>526</v>
      </c>
      <c r="W136">
        <v>41050</v>
      </c>
      <c r="X136" t="s">
        <v>44</v>
      </c>
      <c r="Y136" t="s">
        <v>290</v>
      </c>
      <c r="Z136" t="s">
        <v>49</v>
      </c>
      <c r="AA136" s="10">
        <f>IF(O136&lt;=1,7,7+0.8*ROUNDUP(O136-1,0))</f>
        <v>13.4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0.80399999999999994</v>
      </c>
      <c r="AG136" s="11">
        <f t="shared" si="5"/>
        <v>14.204000000000001</v>
      </c>
      <c r="AH136" t="s">
        <v>50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527</v>
      </c>
      <c r="G137" t="s">
        <v>37</v>
      </c>
      <c r="H137" t="s">
        <v>38</v>
      </c>
      <c r="I137" t="s">
        <v>528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1</v>
      </c>
      <c r="P137" s="8">
        <v>45222.725775462961</v>
      </c>
      <c r="Q137" s="9">
        <v>45223</v>
      </c>
      <c r="R137" t="s">
        <v>37</v>
      </c>
      <c r="S137" t="s">
        <v>44</v>
      </c>
      <c r="T137" t="s">
        <v>45</v>
      </c>
      <c r="U137" t="s">
        <v>71</v>
      </c>
      <c r="V137" t="s">
        <v>529</v>
      </c>
      <c r="W137">
        <v>21300</v>
      </c>
      <c r="X137" t="s">
        <v>44</v>
      </c>
      <c r="Y137" t="s">
        <v>73</v>
      </c>
      <c r="Z137" t="s">
        <v>49</v>
      </c>
      <c r="AA137" s="10">
        <f>IF(O137&lt;=1,7,7+0.8*ROUNDUP(O137-1,0))</f>
        <v>7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0.42</v>
      </c>
      <c r="AG137" s="11">
        <f t="shared" si="5"/>
        <v>7.42</v>
      </c>
      <c r="AH137" t="s">
        <v>50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530</v>
      </c>
      <c r="G138" t="s">
        <v>37</v>
      </c>
      <c r="H138" t="s">
        <v>38</v>
      </c>
      <c r="I138" t="s">
        <v>531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1</v>
      </c>
      <c r="P138" s="8">
        <v>45221.772280092591</v>
      </c>
      <c r="Q138" s="9">
        <v>45223</v>
      </c>
      <c r="R138" t="s">
        <v>37</v>
      </c>
      <c r="S138" t="s">
        <v>44</v>
      </c>
      <c r="T138" t="s">
        <v>45</v>
      </c>
      <c r="U138" t="s">
        <v>66</v>
      </c>
      <c r="V138" t="s">
        <v>532</v>
      </c>
      <c r="W138">
        <v>40000</v>
      </c>
      <c r="X138" t="s">
        <v>44</v>
      </c>
      <c r="Y138" t="s">
        <v>533</v>
      </c>
      <c r="Z138" t="s">
        <v>49</v>
      </c>
      <c r="AA138" s="10">
        <f>IF(O138&lt;=1,7,7+0.8*ROUNDUP(O138-1,0))</f>
        <v>7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0.42</v>
      </c>
      <c r="AG138" s="11">
        <f t="shared" si="5"/>
        <v>7.42</v>
      </c>
      <c r="AH138" t="s">
        <v>50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534</v>
      </c>
      <c r="G139" t="s">
        <v>37</v>
      </c>
      <c r="H139" t="s">
        <v>38</v>
      </c>
      <c r="I139" t="s">
        <v>535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1</v>
      </c>
      <c r="P139" s="8">
        <v>45222.610127314816</v>
      </c>
      <c r="Q139" s="9">
        <v>45223</v>
      </c>
      <c r="R139" t="s">
        <v>37</v>
      </c>
      <c r="S139" t="s">
        <v>44</v>
      </c>
      <c r="T139" t="s">
        <v>45</v>
      </c>
      <c r="U139" t="s">
        <v>66</v>
      </c>
      <c r="V139" t="s">
        <v>536</v>
      </c>
      <c r="W139">
        <v>54200</v>
      </c>
      <c r="X139" t="s">
        <v>44</v>
      </c>
      <c r="Y139" t="s">
        <v>537</v>
      </c>
      <c r="Z139" t="s">
        <v>49</v>
      </c>
      <c r="AA139" s="10">
        <f>IF(O139&lt;=1,7,7+0.8*ROUNDUP(O139-1,0))</f>
        <v>7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0.42</v>
      </c>
      <c r="AG139" s="11">
        <f t="shared" si="5"/>
        <v>7.42</v>
      </c>
      <c r="AH139" t="s">
        <v>50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538</v>
      </c>
      <c r="G140" t="s">
        <v>37</v>
      </c>
      <c r="H140" t="s">
        <v>38</v>
      </c>
      <c r="I140" t="s">
        <v>539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1</v>
      </c>
      <c r="P140" s="8">
        <v>45222.610127314816</v>
      </c>
      <c r="Q140" s="9">
        <v>45223</v>
      </c>
      <c r="R140" t="s">
        <v>37</v>
      </c>
      <c r="S140" t="s">
        <v>44</v>
      </c>
      <c r="T140" t="s">
        <v>45</v>
      </c>
      <c r="U140" t="s">
        <v>187</v>
      </c>
      <c r="V140" t="s">
        <v>540</v>
      </c>
      <c r="W140">
        <v>54000</v>
      </c>
      <c r="X140" t="s">
        <v>44</v>
      </c>
      <c r="Y140" t="s">
        <v>541</v>
      </c>
      <c r="Z140" t="s">
        <v>49</v>
      </c>
      <c r="AA140" s="10">
        <f>IF(O140&lt;=1,7,7+0.8*ROUNDUP(O140-1,0))</f>
        <v>7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0.42</v>
      </c>
      <c r="AG140" s="11">
        <f t="shared" si="5"/>
        <v>7.42</v>
      </c>
      <c r="AH140" t="s">
        <v>50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542</v>
      </c>
      <c r="G141" t="s">
        <v>37</v>
      </c>
      <c r="H141" t="s">
        <v>38</v>
      </c>
      <c r="I141" t="s">
        <v>543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1</v>
      </c>
      <c r="P141" s="8">
        <v>45221.786261574074</v>
      </c>
      <c r="Q141" s="9">
        <v>45223</v>
      </c>
      <c r="R141" t="s">
        <v>37</v>
      </c>
      <c r="S141" t="s">
        <v>44</v>
      </c>
      <c r="T141" t="s">
        <v>45</v>
      </c>
      <c r="U141" t="s">
        <v>187</v>
      </c>
      <c r="V141" t="s">
        <v>544</v>
      </c>
      <c r="W141">
        <v>56000</v>
      </c>
      <c r="X141" t="s">
        <v>44</v>
      </c>
      <c r="Y141" t="s">
        <v>545</v>
      </c>
      <c r="Z141" t="s">
        <v>49</v>
      </c>
      <c r="AA141" s="10">
        <f>IF(O141&lt;=1,7,7+0.8*ROUNDUP(O141-1,0))</f>
        <v>7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0.42</v>
      </c>
      <c r="AG141" s="11">
        <f t="shared" si="5"/>
        <v>7.42</v>
      </c>
      <c r="AH141" t="s">
        <v>50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546</v>
      </c>
      <c r="G142" t="s">
        <v>37</v>
      </c>
      <c r="H142" t="s">
        <v>38</v>
      </c>
      <c r="I142" t="s">
        <v>547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</v>
      </c>
      <c r="P142" s="8">
        <v>45221.739884259259</v>
      </c>
      <c r="Q142" s="9">
        <v>45223</v>
      </c>
      <c r="R142" t="s">
        <v>37</v>
      </c>
      <c r="S142" t="s">
        <v>44</v>
      </c>
      <c r="T142" t="s">
        <v>45</v>
      </c>
      <c r="U142" t="s">
        <v>92</v>
      </c>
      <c r="V142" t="s">
        <v>548</v>
      </c>
      <c r="W142">
        <v>81200</v>
      </c>
      <c r="X142" t="s">
        <v>44</v>
      </c>
      <c r="Y142" t="s">
        <v>115</v>
      </c>
      <c r="Z142" t="s">
        <v>49</v>
      </c>
      <c r="AA142" s="10">
        <f>IF(O142&lt;=1,7,7+0.8*ROUNDUP(O142-1,0))</f>
        <v>7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0.42</v>
      </c>
      <c r="AG142" s="11">
        <f t="shared" si="5"/>
        <v>7.42</v>
      </c>
      <c r="AH142" t="s">
        <v>50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549</v>
      </c>
      <c r="G143" t="s">
        <v>37</v>
      </c>
      <c r="H143" t="s">
        <v>38</v>
      </c>
      <c r="I143" t="s">
        <v>550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6</v>
      </c>
      <c r="P143" s="8">
        <v>45221.571840277778</v>
      </c>
      <c r="Q143" s="9">
        <v>45223</v>
      </c>
      <c r="R143" t="s">
        <v>37</v>
      </c>
      <c r="S143" t="s">
        <v>44</v>
      </c>
      <c r="T143" t="s">
        <v>45</v>
      </c>
      <c r="U143" t="s">
        <v>92</v>
      </c>
      <c r="V143" t="s">
        <v>551</v>
      </c>
      <c r="W143">
        <v>81100</v>
      </c>
      <c r="X143" t="s">
        <v>44</v>
      </c>
      <c r="Y143" t="s">
        <v>192</v>
      </c>
      <c r="Z143" t="s">
        <v>49</v>
      </c>
      <c r="AA143" s="10">
        <f>IF(O143&lt;=1,7,7+0.8*ROUNDUP(O143-1,0))</f>
        <v>11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4"/>
        <v>0.65999999999999992</v>
      </c>
      <c r="AG143" s="11">
        <f t="shared" si="5"/>
        <v>11.66</v>
      </c>
      <c r="AH143" t="s">
        <v>50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552</v>
      </c>
      <c r="G144" t="s">
        <v>37</v>
      </c>
      <c r="H144" t="s">
        <v>38</v>
      </c>
      <c r="I144" t="s">
        <v>553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12</v>
      </c>
      <c r="P144" s="8">
        <v>45222.586828703701</v>
      </c>
      <c r="Q144" s="9">
        <v>45223</v>
      </c>
      <c r="R144" t="s">
        <v>37</v>
      </c>
      <c r="S144" t="s">
        <v>44</v>
      </c>
      <c r="T144" t="s">
        <v>45</v>
      </c>
      <c r="U144" t="s">
        <v>66</v>
      </c>
      <c r="V144" t="s">
        <v>554</v>
      </c>
      <c r="W144">
        <v>42000</v>
      </c>
      <c r="X144" t="s">
        <v>44</v>
      </c>
      <c r="Y144" t="s">
        <v>555</v>
      </c>
      <c r="Z144" t="s">
        <v>49</v>
      </c>
      <c r="AA144" s="10">
        <f>IF(O144&lt;=1,7,7+0.8*ROUNDUP(O144-1,0))</f>
        <v>15.8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4"/>
        <v>0.94799999999999995</v>
      </c>
      <c r="AG144" s="11">
        <f t="shared" si="5"/>
        <v>16.748000000000001</v>
      </c>
      <c r="AH144" t="s">
        <v>50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556</v>
      </c>
      <c r="G145" t="s">
        <v>37</v>
      </c>
      <c r="H145" t="s">
        <v>38</v>
      </c>
      <c r="I145" t="s">
        <v>557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9</v>
      </c>
      <c r="P145" s="8">
        <v>45222.605763888889</v>
      </c>
      <c r="Q145" s="9">
        <v>45223</v>
      </c>
      <c r="R145" t="s">
        <v>37</v>
      </c>
      <c r="S145" t="s">
        <v>44</v>
      </c>
      <c r="T145" t="s">
        <v>45</v>
      </c>
      <c r="U145" t="s">
        <v>66</v>
      </c>
      <c r="V145" t="s">
        <v>558</v>
      </c>
      <c r="W145">
        <v>40150</v>
      </c>
      <c r="X145" t="s">
        <v>44</v>
      </c>
      <c r="Y145" t="s">
        <v>499</v>
      </c>
      <c r="Z145" t="s">
        <v>49</v>
      </c>
      <c r="AA145" s="10">
        <f>IF(O145&lt;=1,7,7+0.8*ROUNDUP(O145-1,0))</f>
        <v>13.4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4"/>
        <v>0.80399999999999994</v>
      </c>
      <c r="AG145" s="11">
        <f t="shared" si="5"/>
        <v>14.204000000000001</v>
      </c>
      <c r="AH145" t="s">
        <v>50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559</v>
      </c>
      <c r="G146" t="s">
        <v>37</v>
      </c>
      <c r="H146" t="s">
        <v>38</v>
      </c>
      <c r="I146" t="s">
        <v>560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4</v>
      </c>
      <c r="P146" s="8">
        <v>45222.549988425926</v>
      </c>
      <c r="Q146" s="9">
        <v>45223</v>
      </c>
      <c r="R146" t="s">
        <v>37</v>
      </c>
      <c r="S146" t="s">
        <v>44</v>
      </c>
      <c r="T146" t="s">
        <v>45</v>
      </c>
      <c r="U146" t="s">
        <v>66</v>
      </c>
      <c r="V146" t="s">
        <v>561</v>
      </c>
      <c r="W146">
        <v>42600</v>
      </c>
      <c r="X146" t="s">
        <v>44</v>
      </c>
      <c r="Y146" t="s">
        <v>562</v>
      </c>
      <c r="Z146" t="s">
        <v>49</v>
      </c>
      <c r="AA146" s="10">
        <f>IF(O146&lt;=1,7,7+0.8*ROUNDUP(O146-1,0))</f>
        <v>9.4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4"/>
        <v>0.56399999999999995</v>
      </c>
      <c r="AG146" s="11">
        <f t="shared" si="5"/>
        <v>9.9640000000000004</v>
      </c>
      <c r="AH146" t="s">
        <v>50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563</v>
      </c>
      <c r="G147" t="s">
        <v>37</v>
      </c>
      <c r="H147" t="s">
        <v>38</v>
      </c>
      <c r="I147" t="s">
        <v>564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1</v>
      </c>
      <c r="P147" s="8">
        <v>45221.772280092591</v>
      </c>
      <c r="Q147" s="9">
        <v>45223</v>
      </c>
      <c r="R147" t="s">
        <v>37</v>
      </c>
      <c r="S147" t="s">
        <v>44</v>
      </c>
      <c r="T147" t="s">
        <v>45</v>
      </c>
      <c r="U147" t="s">
        <v>187</v>
      </c>
      <c r="V147" t="s">
        <v>565</v>
      </c>
      <c r="W147">
        <v>51000</v>
      </c>
      <c r="X147" t="s">
        <v>44</v>
      </c>
      <c r="Y147" t="s">
        <v>324</v>
      </c>
      <c r="Z147" t="s">
        <v>49</v>
      </c>
      <c r="AA147" s="10">
        <f>IF(O147&lt;=1,7,7+0.8*ROUNDUP(O147-1,0))</f>
        <v>7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4"/>
        <v>0.42</v>
      </c>
      <c r="AG147" s="11">
        <f t="shared" si="5"/>
        <v>7.42</v>
      </c>
      <c r="AH147" t="s">
        <v>50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566</v>
      </c>
      <c r="G148" t="s">
        <v>37</v>
      </c>
      <c r="H148" t="s">
        <v>38</v>
      </c>
      <c r="I148" t="s">
        <v>567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45222.565462962964</v>
      </c>
      <c r="Q148" s="9">
        <v>45223</v>
      </c>
      <c r="R148" t="s">
        <v>37</v>
      </c>
      <c r="S148" t="s">
        <v>44</v>
      </c>
      <c r="T148" t="s">
        <v>45</v>
      </c>
      <c r="U148" t="s">
        <v>66</v>
      </c>
      <c r="V148" t="s">
        <v>568</v>
      </c>
      <c r="W148">
        <v>48050</v>
      </c>
      <c r="X148" t="s">
        <v>44</v>
      </c>
      <c r="Y148" t="s">
        <v>569</v>
      </c>
      <c r="Z148" t="s">
        <v>49</v>
      </c>
      <c r="AA148" s="10">
        <f>IF(O148&lt;=1,7,7+0.8*ROUNDUP(O148-1,0))</f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4"/>
        <v>0.42</v>
      </c>
      <c r="AG148" s="11">
        <f t="shared" si="5"/>
        <v>7.42</v>
      </c>
      <c r="AH148" t="s">
        <v>50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570</v>
      </c>
      <c r="G149" t="s">
        <v>37</v>
      </c>
      <c r="H149" t="s">
        <v>38</v>
      </c>
      <c r="I149" t="s">
        <v>571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1</v>
      </c>
      <c r="P149" s="8">
        <v>45221.772280092591</v>
      </c>
      <c r="Q149" s="9">
        <v>45223</v>
      </c>
      <c r="R149" t="s">
        <v>37</v>
      </c>
      <c r="S149" t="s">
        <v>44</v>
      </c>
      <c r="T149" t="s">
        <v>45</v>
      </c>
      <c r="U149" t="s">
        <v>71</v>
      </c>
      <c r="V149" t="s">
        <v>572</v>
      </c>
      <c r="W149">
        <v>21400</v>
      </c>
      <c r="X149" t="s">
        <v>44</v>
      </c>
      <c r="Y149" t="s">
        <v>73</v>
      </c>
      <c r="Z149" t="s">
        <v>49</v>
      </c>
      <c r="AA149" s="10">
        <f>IF(O149&lt;=1,7,7+0.8*ROUNDUP(O149-1,0))</f>
        <v>7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4"/>
        <v>0.42</v>
      </c>
      <c r="AG149" s="11">
        <f t="shared" si="5"/>
        <v>7.42</v>
      </c>
      <c r="AH149" t="s">
        <v>50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573</v>
      </c>
      <c r="G150" t="s">
        <v>37</v>
      </c>
      <c r="H150" t="s">
        <v>38</v>
      </c>
      <c r="I150" t="s">
        <v>574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1</v>
      </c>
      <c r="P150" s="8">
        <v>45221.786261574074</v>
      </c>
      <c r="Q150" s="9">
        <v>45223</v>
      </c>
      <c r="R150" t="s">
        <v>37</v>
      </c>
      <c r="S150" t="s">
        <v>44</v>
      </c>
      <c r="T150" t="s">
        <v>45</v>
      </c>
      <c r="U150" t="s">
        <v>145</v>
      </c>
      <c r="V150" t="s">
        <v>575</v>
      </c>
      <c r="W150">
        <v>75260</v>
      </c>
      <c r="X150" t="s">
        <v>44</v>
      </c>
      <c r="Y150" t="s">
        <v>576</v>
      </c>
      <c r="Z150" t="s">
        <v>49</v>
      </c>
      <c r="AA150" s="10">
        <f>IF(O150&lt;=1,7,7+0.8*ROUNDUP(O150-1,0))</f>
        <v>7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4"/>
        <v>0.42</v>
      </c>
      <c r="AG150" s="11">
        <f t="shared" si="5"/>
        <v>7.42</v>
      </c>
      <c r="AH150" t="s">
        <v>50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577</v>
      </c>
      <c r="G151" t="s">
        <v>37</v>
      </c>
      <c r="H151" t="s">
        <v>38</v>
      </c>
      <c r="I151" t="s">
        <v>578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1</v>
      </c>
      <c r="P151" s="8">
        <v>45222.610127314816</v>
      </c>
      <c r="Q151" s="9">
        <v>45223</v>
      </c>
      <c r="R151" t="s">
        <v>37</v>
      </c>
      <c r="S151" t="s">
        <v>44</v>
      </c>
      <c r="T151" t="s">
        <v>45</v>
      </c>
      <c r="U151" t="s">
        <v>66</v>
      </c>
      <c r="V151" t="s">
        <v>579</v>
      </c>
      <c r="W151">
        <v>42300</v>
      </c>
      <c r="X151" t="s">
        <v>44</v>
      </c>
      <c r="Y151" t="s">
        <v>115</v>
      </c>
      <c r="Z151" t="s">
        <v>49</v>
      </c>
      <c r="AA151" s="10">
        <f>IF(O151&lt;=1,7,7+0.8*ROUNDUP(O151-1,0))</f>
        <v>7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4"/>
        <v>0.42</v>
      </c>
      <c r="AG151" s="11">
        <f t="shared" si="5"/>
        <v>7.42</v>
      </c>
      <c r="AH151" t="s">
        <v>50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580</v>
      </c>
      <c r="G152" t="s">
        <v>37</v>
      </c>
      <c r="H152" t="s">
        <v>38</v>
      </c>
      <c r="I152" t="s">
        <v>581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2</v>
      </c>
      <c r="P152" s="8">
        <v>45221.75037037037</v>
      </c>
      <c r="Q152" s="9">
        <v>45223</v>
      </c>
      <c r="R152" t="s">
        <v>37</v>
      </c>
      <c r="S152" t="s">
        <v>44</v>
      </c>
      <c r="T152" t="s">
        <v>45</v>
      </c>
      <c r="U152" t="s">
        <v>157</v>
      </c>
      <c r="V152" t="s">
        <v>582</v>
      </c>
      <c r="W152">
        <v>32040</v>
      </c>
      <c r="X152" t="s">
        <v>44</v>
      </c>
      <c r="Y152" t="s">
        <v>170</v>
      </c>
      <c r="Z152" t="s">
        <v>49</v>
      </c>
      <c r="AA152" s="10">
        <f>IF(O152&lt;=1,7,7+0.8*ROUNDUP(O152-1,0))</f>
        <v>7.8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4"/>
        <v>0.46799999999999997</v>
      </c>
      <c r="AG152" s="11">
        <f t="shared" si="5"/>
        <v>8.2680000000000007</v>
      </c>
      <c r="AH152" t="s">
        <v>50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583</v>
      </c>
      <c r="G153" t="s">
        <v>37</v>
      </c>
      <c r="H153" t="s">
        <v>38</v>
      </c>
      <c r="I153" t="s">
        <v>584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1</v>
      </c>
      <c r="P153" s="8">
        <v>45222.680555555555</v>
      </c>
      <c r="Q153" s="9">
        <v>45223</v>
      </c>
      <c r="R153" t="s">
        <v>37</v>
      </c>
      <c r="S153" t="s">
        <v>44</v>
      </c>
      <c r="T153" t="s">
        <v>45</v>
      </c>
      <c r="U153" t="s">
        <v>53</v>
      </c>
      <c r="V153" t="s">
        <v>585</v>
      </c>
      <c r="W153">
        <v>18000</v>
      </c>
      <c r="X153" t="s">
        <v>44</v>
      </c>
      <c r="Y153" t="s">
        <v>55</v>
      </c>
      <c r="Z153" t="s">
        <v>49</v>
      </c>
      <c r="AA153" s="10">
        <f>IF(O153&lt;=1,7,7+0.8*ROUNDUP(O153-1,0))</f>
        <v>7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4"/>
        <v>0.42</v>
      </c>
      <c r="AG153" s="11">
        <f t="shared" si="5"/>
        <v>7.42</v>
      </c>
      <c r="AH153" t="s">
        <v>50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586</v>
      </c>
      <c r="G154" t="s">
        <v>37</v>
      </c>
      <c r="H154" t="s">
        <v>38</v>
      </c>
      <c r="I154" t="s">
        <v>587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45222.543958333335</v>
      </c>
      <c r="Q154" s="9">
        <v>45223</v>
      </c>
      <c r="R154" t="s">
        <v>37</v>
      </c>
      <c r="S154" t="s">
        <v>44</v>
      </c>
      <c r="T154" t="s">
        <v>45</v>
      </c>
      <c r="U154" t="s">
        <v>187</v>
      </c>
      <c r="V154" t="s">
        <v>588</v>
      </c>
      <c r="W154">
        <v>53100</v>
      </c>
      <c r="X154" t="s">
        <v>44</v>
      </c>
      <c r="Y154" t="s">
        <v>115</v>
      </c>
      <c r="Z154" t="s">
        <v>49</v>
      </c>
      <c r="AA154" s="10">
        <f>IF(O154&lt;=1,7,7+0.8*ROUNDUP(O154-1,0))</f>
        <v>7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4"/>
        <v>0.42</v>
      </c>
      <c r="AG154" s="11">
        <f t="shared" si="5"/>
        <v>7.42</v>
      </c>
      <c r="AH154" t="s">
        <v>50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589</v>
      </c>
      <c r="G155" t="s">
        <v>37</v>
      </c>
      <c r="H155" t="s">
        <v>38</v>
      </c>
      <c r="I155" t="s">
        <v>590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1</v>
      </c>
      <c r="P155" s="8">
        <v>45222.610127314816</v>
      </c>
      <c r="Q155" s="9">
        <v>45224</v>
      </c>
      <c r="R155" t="s">
        <v>37</v>
      </c>
      <c r="S155" t="s">
        <v>44</v>
      </c>
      <c r="T155" t="s">
        <v>45</v>
      </c>
      <c r="U155" t="s">
        <v>173</v>
      </c>
      <c r="V155" t="s">
        <v>591</v>
      </c>
      <c r="W155">
        <v>89850</v>
      </c>
      <c r="X155" t="s">
        <v>114</v>
      </c>
      <c r="Y155" t="s">
        <v>115</v>
      </c>
      <c r="Z155" t="s">
        <v>49</v>
      </c>
      <c r="AA155" s="12">
        <f>IF(O155&lt;=1,13,IF(O155&lt;=2,23,IF(O155&lt;=3,35,IF(O155&lt;=4,43,IF(O155&lt;=5,53,IF(O155&lt;=6,63,IF(O155&lt;=7,71,IF(O155&lt;=8,79,IF(O155&lt;=9,87,IF(O155&lt;=10,95,IF(O155&lt;=11,105,IF(O155&lt;=12,114,IF(O155&lt;=13,119,IF(O155&lt;=14,127,IF(O155&lt;=15,135,IF(O155&lt;=16,143,IF(O155&lt;=17,153,IF(O155&lt;=18,163,IF(O155&lt;=19,171,IF(O155&lt;=20,185,IF(O155&lt;=21,193,IF(O155&lt;=22,201,IF(O155&lt;=23,210,IF(O155&lt;=24,220,IF(O155&lt;=25,230,IF(O155&lt;=26,240,IF(O155&lt;=27,250,IF(O155&lt;=28,260,IF(O155&lt;=29,270,IF(O155&lt;=30,280,280+10*ROUNDUP(O155-30,0)))))))))))))))))))))))))))))))</f>
        <v>13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4"/>
        <v>0.78</v>
      </c>
      <c r="AG155" s="11">
        <f t="shared" si="5"/>
        <v>13.78</v>
      </c>
      <c r="AH155" t="s">
        <v>116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592</v>
      </c>
      <c r="G156" t="s">
        <v>37</v>
      </c>
      <c r="H156" t="s">
        <v>38</v>
      </c>
      <c r="I156" t="s">
        <v>593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12</v>
      </c>
      <c r="P156" s="8">
        <v>45222.48841435185</v>
      </c>
      <c r="Q156" s="9">
        <v>45224</v>
      </c>
      <c r="R156" t="s">
        <v>37</v>
      </c>
      <c r="S156" t="s">
        <v>44</v>
      </c>
      <c r="T156" t="s">
        <v>45</v>
      </c>
      <c r="U156" t="s">
        <v>182</v>
      </c>
      <c r="V156" t="s">
        <v>594</v>
      </c>
      <c r="W156">
        <v>14000</v>
      </c>
      <c r="X156" t="s">
        <v>44</v>
      </c>
      <c r="Y156" t="s">
        <v>184</v>
      </c>
      <c r="Z156" t="s">
        <v>49</v>
      </c>
      <c r="AA156" s="10">
        <f>IF(O156&lt;=1,7,7+0.8*ROUNDUP(O156-1,0))</f>
        <v>15.8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4"/>
        <v>0.94799999999999995</v>
      </c>
      <c r="AG156" s="11">
        <f t="shared" si="5"/>
        <v>16.748000000000001</v>
      </c>
      <c r="AH156" t="s">
        <v>50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595</v>
      </c>
      <c r="G157" t="s">
        <v>37</v>
      </c>
      <c r="H157" t="s">
        <v>38</v>
      </c>
      <c r="I157" t="s">
        <v>596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1</v>
      </c>
      <c r="P157" s="8">
        <v>45221.772280092591</v>
      </c>
      <c r="Q157" s="9">
        <v>45224</v>
      </c>
      <c r="R157" t="s">
        <v>37</v>
      </c>
      <c r="S157" t="s">
        <v>44</v>
      </c>
      <c r="T157" t="s">
        <v>45</v>
      </c>
      <c r="U157" t="s">
        <v>46</v>
      </c>
      <c r="V157" t="s">
        <v>597</v>
      </c>
      <c r="W157">
        <v>6700</v>
      </c>
      <c r="X157" t="s">
        <v>44</v>
      </c>
      <c r="Y157" t="s">
        <v>226</v>
      </c>
      <c r="Z157" t="s">
        <v>49</v>
      </c>
      <c r="AA157" s="10">
        <f>IF(O157&lt;=1,7,7+0.8*ROUNDUP(O157-1,0))</f>
        <v>7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4"/>
        <v>0.42</v>
      </c>
      <c r="AG157" s="11">
        <f t="shared" si="5"/>
        <v>7.42</v>
      </c>
      <c r="AH157" t="s">
        <v>50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598</v>
      </c>
      <c r="G158" t="s">
        <v>37</v>
      </c>
      <c r="H158" t="s">
        <v>38</v>
      </c>
      <c r="I158" t="s">
        <v>599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1</v>
      </c>
      <c r="P158" s="8">
        <v>45222.70821759259</v>
      </c>
      <c r="Q158" s="9">
        <v>45224</v>
      </c>
      <c r="R158" t="s">
        <v>37</v>
      </c>
      <c r="S158" t="s">
        <v>44</v>
      </c>
      <c r="T158" t="s">
        <v>45</v>
      </c>
      <c r="U158" t="s">
        <v>173</v>
      </c>
      <c r="V158" t="s">
        <v>600</v>
      </c>
      <c r="W158">
        <v>89720</v>
      </c>
      <c r="X158" t="s">
        <v>114</v>
      </c>
      <c r="Y158" t="s">
        <v>115</v>
      </c>
      <c r="Z158" t="s">
        <v>49</v>
      </c>
      <c r="AA158" s="12">
        <f>IF(O158&lt;=1,13,IF(O158&lt;=2,23,IF(O158&lt;=3,35,IF(O158&lt;=4,43,IF(O158&lt;=5,53,IF(O158&lt;=6,63,IF(O158&lt;=7,71,IF(O158&lt;=8,79,IF(O158&lt;=9,87,IF(O158&lt;=10,95,IF(O158&lt;=11,105,IF(O158&lt;=12,114,IF(O158&lt;=13,119,IF(O158&lt;=14,127,IF(O158&lt;=15,135,IF(O158&lt;=16,143,IF(O158&lt;=17,153,IF(O158&lt;=18,163,IF(O158&lt;=19,171,IF(O158&lt;=20,185,IF(O158&lt;=21,193,IF(O158&lt;=22,201,IF(O158&lt;=23,210,IF(O158&lt;=24,220,IF(O158&lt;=25,230,IF(O158&lt;=26,240,IF(O158&lt;=27,250,IF(O158&lt;=28,260,IF(O158&lt;=29,270,IF(O158&lt;=30,280,280+10*ROUNDUP(O158-30,0)))))))))))))))))))))))))))))))</f>
        <v>13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4"/>
        <v>0.78</v>
      </c>
      <c r="AG158" s="11">
        <f t="shared" si="5"/>
        <v>13.78</v>
      </c>
      <c r="AH158" t="s">
        <v>116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601</v>
      </c>
      <c r="G159" t="s">
        <v>37</v>
      </c>
      <c r="H159" t="s">
        <v>38</v>
      </c>
      <c r="I159" t="s">
        <v>602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1</v>
      </c>
      <c r="P159" s="8">
        <v>45223.524652777778</v>
      </c>
      <c r="Q159" s="9">
        <v>45224</v>
      </c>
      <c r="R159" t="s">
        <v>37</v>
      </c>
      <c r="S159" t="s">
        <v>44</v>
      </c>
      <c r="T159" t="s">
        <v>45</v>
      </c>
      <c r="U159" t="s">
        <v>87</v>
      </c>
      <c r="V159" t="s">
        <v>603</v>
      </c>
      <c r="W159">
        <v>25150</v>
      </c>
      <c r="X159" t="s">
        <v>44</v>
      </c>
      <c r="Y159" t="s">
        <v>154</v>
      </c>
      <c r="Z159" t="s">
        <v>49</v>
      </c>
      <c r="AA159" s="10">
        <f>IF(O159&lt;=1,7,7+0.8*ROUNDUP(O159-1,0))</f>
        <v>7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4"/>
        <v>0.42</v>
      </c>
      <c r="AG159" s="11">
        <f t="shared" si="5"/>
        <v>7.42</v>
      </c>
      <c r="AH159" t="s">
        <v>50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604</v>
      </c>
      <c r="G160" t="s">
        <v>37</v>
      </c>
      <c r="H160" t="s">
        <v>38</v>
      </c>
      <c r="I160" t="s">
        <v>605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1</v>
      </c>
      <c r="P160" s="8">
        <v>45221.772280092591</v>
      </c>
      <c r="Q160" s="9">
        <v>45224</v>
      </c>
      <c r="R160" t="s">
        <v>37</v>
      </c>
      <c r="S160" t="s">
        <v>44</v>
      </c>
      <c r="T160" t="s">
        <v>45</v>
      </c>
      <c r="U160" t="s">
        <v>157</v>
      </c>
      <c r="V160" t="s">
        <v>606</v>
      </c>
      <c r="W160">
        <v>31000</v>
      </c>
      <c r="X160" t="s">
        <v>44</v>
      </c>
      <c r="Y160" t="s">
        <v>607</v>
      </c>
      <c r="Z160" t="s">
        <v>49</v>
      </c>
      <c r="AA160" s="10">
        <f>IF(O160&lt;=1,7,7+0.8*ROUNDUP(O160-1,0))</f>
        <v>7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4"/>
        <v>0.42</v>
      </c>
      <c r="AG160" s="11">
        <f t="shared" si="5"/>
        <v>7.42</v>
      </c>
      <c r="AH160" t="s">
        <v>50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608</v>
      </c>
      <c r="G161" t="s">
        <v>37</v>
      </c>
      <c r="H161" t="s">
        <v>38</v>
      </c>
      <c r="I161" t="s">
        <v>609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1</v>
      </c>
      <c r="P161" s="8">
        <v>45221.772280092591</v>
      </c>
      <c r="Q161" s="9">
        <v>45224</v>
      </c>
      <c r="R161" t="s">
        <v>37</v>
      </c>
      <c r="S161" t="s">
        <v>44</v>
      </c>
      <c r="T161" t="s">
        <v>45</v>
      </c>
      <c r="U161" t="s">
        <v>66</v>
      </c>
      <c r="V161" t="s">
        <v>610</v>
      </c>
      <c r="W161">
        <v>47100</v>
      </c>
      <c r="X161" t="s">
        <v>44</v>
      </c>
      <c r="Y161" t="s">
        <v>202</v>
      </c>
      <c r="Z161" t="s">
        <v>49</v>
      </c>
      <c r="AA161" s="10">
        <f>IF(O161&lt;=1,7,7+0.8*ROUNDUP(O161-1,0))</f>
        <v>7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4"/>
        <v>0.42</v>
      </c>
      <c r="AG161" s="11">
        <f t="shared" si="5"/>
        <v>7.42</v>
      </c>
      <c r="AH161" t="s">
        <v>50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611</v>
      </c>
      <c r="G162" t="s">
        <v>37</v>
      </c>
      <c r="H162" t="s">
        <v>38</v>
      </c>
      <c r="I162" t="s">
        <v>612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1</v>
      </c>
      <c r="P162" s="8">
        <v>45223.722569444442</v>
      </c>
      <c r="Q162" s="9">
        <v>45224</v>
      </c>
      <c r="R162" t="s">
        <v>37</v>
      </c>
      <c r="S162" t="s">
        <v>44</v>
      </c>
      <c r="T162" t="s">
        <v>45</v>
      </c>
      <c r="U162" t="s">
        <v>53</v>
      </c>
      <c r="V162" t="s">
        <v>613</v>
      </c>
      <c r="W162">
        <v>15100</v>
      </c>
      <c r="X162" t="s">
        <v>44</v>
      </c>
      <c r="Y162" t="s">
        <v>55</v>
      </c>
      <c r="Z162" t="s">
        <v>49</v>
      </c>
      <c r="AA162" s="10">
        <f>IF(O162&lt;=1,7,7+0.8*ROUNDUP(O162-1,0))</f>
        <v>7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4"/>
        <v>0.42</v>
      </c>
      <c r="AG162" s="11">
        <f t="shared" si="5"/>
        <v>7.42</v>
      </c>
      <c r="AH162" t="s">
        <v>50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614</v>
      </c>
      <c r="G163" t="s">
        <v>37</v>
      </c>
      <c r="H163" t="s">
        <v>38</v>
      </c>
      <c r="I163" t="s">
        <v>615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5</v>
      </c>
      <c r="P163" s="8">
        <v>45222.586828703701</v>
      </c>
      <c r="Q163" s="9">
        <v>45224</v>
      </c>
      <c r="R163" t="s">
        <v>37</v>
      </c>
      <c r="S163" t="s">
        <v>44</v>
      </c>
      <c r="T163" t="s">
        <v>45</v>
      </c>
      <c r="U163" t="s">
        <v>92</v>
      </c>
      <c r="V163" t="s">
        <v>616</v>
      </c>
      <c r="W163">
        <v>82300</v>
      </c>
      <c r="X163" t="s">
        <v>44</v>
      </c>
      <c r="Y163" t="s">
        <v>245</v>
      </c>
      <c r="Z163" t="s">
        <v>49</v>
      </c>
      <c r="AA163" s="10">
        <f>IF(O163&lt;=1,7,7+0.8*ROUNDUP(O163-1,0))</f>
        <v>10.199999999999999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4"/>
        <v>0.61199999999999999</v>
      </c>
      <c r="AG163" s="11">
        <f t="shared" si="5"/>
        <v>10.811999999999999</v>
      </c>
      <c r="AH163" t="s">
        <v>50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617</v>
      </c>
      <c r="G164" t="s">
        <v>37</v>
      </c>
      <c r="H164" t="s">
        <v>38</v>
      </c>
      <c r="I164" t="s">
        <v>618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1</v>
      </c>
      <c r="P164" s="8">
        <v>45223.496504629627</v>
      </c>
      <c r="Q164" s="9">
        <v>45224</v>
      </c>
      <c r="R164" t="s">
        <v>37</v>
      </c>
      <c r="S164" t="s">
        <v>44</v>
      </c>
      <c r="T164" t="s">
        <v>45</v>
      </c>
      <c r="U164" t="s">
        <v>53</v>
      </c>
      <c r="V164" t="s">
        <v>619</v>
      </c>
      <c r="W164">
        <v>17000</v>
      </c>
      <c r="X164" t="s">
        <v>44</v>
      </c>
      <c r="Y164" t="s">
        <v>55</v>
      </c>
      <c r="Z164" t="s">
        <v>49</v>
      </c>
      <c r="AA164" s="10">
        <f>IF(O164&lt;=1,7,7+0.8*ROUNDUP(O164-1,0))</f>
        <v>7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ref="AF164:AF227" si="6">(AA164+AC164+AE164)*6%</f>
        <v>0.42</v>
      </c>
      <c r="AG164" s="11">
        <f t="shared" ref="AG164:AG227" si="7">AA164+AC164+AE164+AF164</f>
        <v>7.42</v>
      </c>
      <c r="AH164" t="s">
        <v>50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620</v>
      </c>
      <c r="G165" t="s">
        <v>37</v>
      </c>
      <c r="H165" t="s">
        <v>38</v>
      </c>
      <c r="I165" t="s">
        <v>621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1</v>
      </c>
      <c r="P165" s="8">
        <v>45223.641469907408</v>
      </c>
      <c r="Q165" s="9">
        <v>45224</v>
      </c>
      <c r="R165" t="s">
        <v>37</v>
      </c>
      <c r="S165" t="s">
        <v>44</v>
      </c>
      <c r="T165" t="s">
        <v>45</v>
      </c>
      <c r="U165" t="s">
        <v>66</v>
      </c>
      <c r="V165" t="s">
        <v>622</v>
      </c>
      <c r="W165">
        <v>40460</v>
      </c>
      <c r="X165" t="s">
        <v>44</v>
      </c>
      <c r="Y165" t="s">
        <v>450</v>
      </c>
      <c r="Z165" t="s">
        <v>49</v>
      </c>
      <c r="AA165" s="10">
        <f>IF(O165&lt;=1,7,7+0.8*ROUNDUP(O165-1,0))</f>
        <v>7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6"/>
        <v>0.42</v>
      </c>
      <c r="AG165" s="11">
        <f t="shared" si="7"/>
        <v>7.42</v>
      </c>
      <c r="AH165" t="s">
        <v>50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623</v>
      </c>
      <c r="G166" t="s">
        <v>37</v>
      </c>
      <c r="H166" t="s">
        <v>38</v>
      </c>
      <c r="I166" t="s">
        <v>624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14</v>
      </c>
      <c r="P166" s="8">
        <v>45222.605763888889</v>
      </c>
      <c r="Q166" s="9">
        <v>45224</v>
      </c>
      <c r="R166" t="s">
        <v>37</v>
      </c>
      <c r="S166" t="s">
        <v>44</v>
      </c>
      <c r="T166" t="s">
        <v>45</v>
      </c>
      <c r="U166" t="s">
        <v>92</v>
      </c>
      <c r="V166" t="s">
        <v>625</v>
      </c>
      <c r="W166">
        <v>81800</v>
      </c>
      <c r="X166" t="s">
        <v>44</v>
      </c>
      <c r="Y166" t="s">
        <v>626</v>
      </c>
      <c r="Z166" t="s">
        <v>49</v>
      </c>
      <c r="AA166" s="10">
        <f>IF(O166&lt;=1,7,7+0.8*ROUNDUP(O166-1,0))</f>
        <v>17.399999999999999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6"/>
        <v>1.0439999999999998</v>
      </c>
      <c r="AG166" s="11">
        <f t="shared" si="7"/>
        <v>18.443999999999999</v>
      </c>
      <c r="AH166" t="s">
        <v>50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627</v>
      </c>
      <c r="G167" t="s">
        <v>37</v>
      </c>
      <c r="H167" t="s">
        <v>38</v>
      </c>
      <c r="I167" t="s">
        <v>628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5</v>
      </c>
      <c r="P167" s="8">
        <v>45222.605763888889</v>
      </c>
      <c r="Q167" s="9">
        <v>45224</v>
      </c>
      <c r="R167" t="s">
        <v>37</v>
      </c>
      <c r="S167" t="s">
        <v>44</v>
      </c>
      <c r="T167" t="s">
        <v>45</v>
      </c>
      <c r="U167" t="s">
        <v>66</v>
      </c>
      <c r="V167" t="s">
        <v>629</v>
      </c>
      <c r="W167">
        <v>43800</v>
      </c>
      <c r="X167" t="s">
        <v>44</v>
      </c>
      <c r="Y167" t="s">
        <v>166</v>
      </c>
      <c r="Z167" t="s">
        <v>49</v>
      </c>
      <c r="AA167" s="10">
        <f>IF(O167&lt;=1,7,7+0.8*ROUNDUP(O167-1,0))</f>
        <v>10.199999999999999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6"/>
        <v>0.61199999999999999</v>
      </c>
      <c r="AG167" s="11">
        <f t="shared" si="7"/>
        <v>10.811999999999999</v>
      </c>
      <c r="AH167" t="s">
        <v>50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630</v>
      </c>
      <c r="G168" t="s">
        <v>37</v>
      </c>
      <c r="H168" t="s">
        <v>38</v>
      </c>
      <c r="I168" t="s">
        <v>631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1</v>
      </c>
      <c r="P168" s="8">
        <v>45222.757349537038</v>
      </c>
      <c r="Q168" s="9">
        <v>45224</v>
      </c>
      <c r="R168" t="s">
        <v>37</v>
      </c>
      <c r="S168" t="s">
        <v>44</v>
      </c>
      <c r="T168" t="s">
        <v>45</v>
      </c>
      <c r="U168" t="s">
        <v>145</v>
      </c>
      <c r="V168" t="s">
        <v>632</v>
      </c>
      <c r="W168">
        <v>75250</v>
      </c>
      <c r="X168" t="s">
        <v>44</v>
      </c>
      <c r="Y168" t="s">
        <v>633</v>
      </c>
      <c r="Z168" t="s">
        <v>49</v>
      </c>
      <c r="AA168" s="10">
        <f>IF(O168&lt;=1,7,7+0.8*ROUNDUP(O168-1,0))</f>
        <v>7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6"/>
        <v>0.42</v>
      </c>
      <c r="AG168" s="11">
        <f t="shared" si="7"/>
        <v>7.42</v>
      </c>
      <c r="AH168" t="s">
        <v>50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634</v>
      </c>
      <c r="G169" t="s">
        <v>37</v>
      </c>
      <c r="H169" t="s">
        <v>38</v>
      </c>
      <c r="I169" t="s">
        <v>635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45223.609293981484</v>
      </c>
      <c r="Q169" s="9">
        <v>45224</v>
      </c>
      <c r="R169" t="s">
        <v>37</v>
      </c>
      <c r="S169" t="s">
        <v>44</v>
      </c>
      <c r="T169" t="s">
        <v>45</v>
      </c>
      <c r="U169" t="s">
        <v>66</v>
      </c>
      <c r="V169" t="s">
        <v>636</v>
      </c>
      <c r="W169">
        <v>42700</v>
      </c>
      <c r="X169" t="s">
        <v>44</v>
      </c>
      <c r="Y169" t="s">
        <v>637</v>
      </c>
      <c r="Z169" t="s">
        <v>49</v>
      </c>
      <c r="AA169" s="10">
        <f>IF(O169&lt;=1,7,7+0.8*ROUNDUP(O169-1,0))</f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6"/>
        <v>0.42</v>
      </c>
      <c r="AG169" s="11">
        <f t="shared" si="7"/>
        <v>7.42</v>
      </c>
      <c r="AH169" t="s">
        <v>50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638</v>
      </c>
      <c r="G170" t="s">
        <v>37</v>
      </c>
      <c r="H170" t="s">
        <v>38</v>
      </c>
      <c r="I170" t="s">
        <v>639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1</v>
      </c>
      <c r="P170" s="8">
        <v>45224.623900462961</v>
      </c>
      <c r="Q170" s="9">
        <v>45225</v>
      </c>
      <c r="R170" t="s">
        <v>37</v>
      </c>
      <c r="S170" t="s">
        <v>44</v>
      </c>
      <c r="T170" t="s">
        <v>45</v>
      </c>
      <c r="U170" t="s">
        <v>87</v>
      </c>
      <c r="V170" t="s">
        <v>640</v>
      </c>
      <c r="W170">
        <v>26100</v>
      </c>
      <c r="X170" t="s">
        <v>44</v>
      </c>
      <c r="Y170" t="s">
        <v>257</v>
      </c>
      <c r="Z170" t="s">
        <v>49</v>
      </c>
      <c r="AA170" s="10">
        <f>IF(O170&lt;=1,7,7+0.8*ROUNDUP(O170-1,0))</f>
        <v>7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6"/>
        <v>0.42</v>
      </c>
      <c r="AG170" s="11">
        <f t="shared" si="7"/>
        <v>7.42</v>
      </c>
      <c r="AH170" t="s">
        <v>50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641</v>
      </c>
      <c r="G171" t="s">
        <v>37</v>
      </c>
      <c r="H171" t="s">
        <v>38</v>
      </c>
      <c r="I171" t="s">
        <v>642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1</v>
      </c>
      <c r="P171" s="8">
        <v>45223.756828703707</v>
      </c>
      <c r="Q171" s="9">
        <v>45225</v>
      </c>
      <c r="R171" t="s">
        <v>37</v>
      </c>
      <c r="S171" t="s">
        <v>44</v>
      </c>
      <c r="T171" t="s">
        <v>45</v>
      </c>
      <c r="U171" t="s">
        <v>71</v>
      </c>
      <c r="V171" t="s">
        <v>643</v>
      </c>
      <c r="W171">
        <v>24000</v>
      </c>
      <c r="X171" t="s">
        <v>44</v>
      </c>
      <c r="Y171" t="s">
        <v>257</v>
      </c>
      <c r="Z171" t="s">
        <v>49</v>
      </c>
      <c r="AA171" s="10">
        <f>IF(O171&lt;=1,7,7+0.8*ROUNDUP(O171-1,0))</f>
        <v>7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6"/>
        <v>0.42</v>
      </c>
      <c r="AG171" s="11">
        <f t="shared" si="7"/>
        <v>7.42</v>
      </c>
      <c r="AH171" t="s">
        <v>50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644</v>
      </c>
      <c r="G172" t="s">
        <v>37</v>
      </c>
      <c r="H172" t="s">
        <v>38</v>
      </c>
      <c r="I172" t="s">
        <v>645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45224.747604166667</v>
      </c>
      <c r="Q172" s="9">
        <v>45225</v>
      </c>
      <c r="R172" t="s">
        <v>37</v>
      </c>
      <c r="S172" t="s">
        <v>44</v>
      </c>
      <c r="T172" t="s">
        <v>45</v>
      </c>
      <c r="U172" t="s">
        <v>71</v>
      </c>
      <c r="V172" t="s">
        <v>646</v>
      </c>
      <c r="W172">
        <v>21300</v>
      </c>
      <c r="X172" t="s">
        <v>44</v>
      </c>
      <c r="Y172" t="s">
        <v>73</v>
      </c>
      <c r="Z172" t="s">
        <v>49</v>
      </c>
      <c r="AA172" s="10">
        <f>IF(O172&lt;=1,7,7+0.8*ROUNDUP(O172-1,0))</f>
        <v>7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6"/>
        <v>0.42</v>
      </c>
      <c r="AG172" s="11">
        <f t="shared" si="7"/>
        <v>7.42</v>
      </c>
      <c r="AH172" t="s">
        <v>50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647</v>
      </c>
      <c r="G173" t="s">
        <v>37</v>
      </c>
      <c r="H173" t="s">
        <v>38</v>
      </c>
      <c r="I173" t="s">
        <v>648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1</v>
      </c>
      <c r="P173" s="8">
        <v>45223.708425925928</v>
      </c>
      <c r="Q173" s="9">
        <v>45225</v>
      </c>
      <c r="R173" t="s">
        <v>37</v>
      </c>
      <c r="S173" t="s">
        <v>44</v>
      </c>
      <c r="T173" t="s">
        <v>45</v>
      </c>
      <c r="U173" t="s">
        <v>157</v>
      </c>
      <c r="V173" t="s">
        <v>649</v>
      </c>
      <c r="W173">
        <v>31350</v>
      </c>
      <c r="X173" t="s">
        <v>44</v>
      </c>
      <c r="Y173" t="s">
        <v>650</v>
      </c>
      <c r="Z173" t="s">
        <v>49</v>
      </c>
      <c r="AA173" s="10">
        <f>IF(O173&lt;=1,7,7+0.8*ROUNDUP(O173-1,0))</f>
        <v>7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6"/>
        <v>0.42</v>
      </c>
      <c r="AG173" s="11">
        <f t="shared" si="7"/>
        <v>7.42</v>
      </c>
      <c r="AH173" t="s">
        <v>50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651</v>
      </c>
      <c r="G174" t="s">
        <v>37</v>
      </c>
      <c r="H174" t="s">
        <v>38</v>
      </c>
      <c r="I174" t="s">
        <v>652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2</v>
      </c>
      <c r="P174" s="8">
        <v>45223.761504629627</v>
      </c>
      <c r="Q174" s="9">
        <v>45225</v>
      </c>
      <c r="R174" t="s">
        <v>37</v>
      </c>
      <c r="S174" t="s">
        <v>44</v>
      </c>
      <c r="T174" t="s">
        <v>45</v>
      </c>
      <c r="U174" t="s">
        <v>53</v>
      </c>
      <c r="V174" t="s">
        <v>653</v>
      </c>
      <c r="W174">
        <v>18200</v>
      </c>
      <c r="X174" t="s">
        <v>44</v>
      </c>
      <c r="Y174" t="s">
        <v>55</v>
      </c>
      <c r="Z174" t="s">
        <v>49</v>
      </c>
      <c r="AA174" s="10">
        <f>IF(O174&lt;=1,7,7+0.8*ROUNDUP(O174-1,0))</f>
        <v>7.8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6"/>
        <v>0.46799999999999997</v>
      </c>
      <c r="AG174" s="11">
        <f t="shared" si="7"/>
        <v>8.2680000000000007</v>
      </c>
      <c r="AH174" t="s">
        <v>50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654</v>
      </c>
      <c r="G175" t="s">
        <v>37</v>
      </c>
      <c r="H175" t="s">
        <v>38</v>
      </c>
      <c r="I175" t="s">
        <v>655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1</v>
      </c>
      <c r="P175" s="8">
        <v>45223.600324074076</v>
      </c>
      <c r="Q175" s="9">
        <v>45225</v>
      </c>
      <c r="R175" t="s">
        <v>37</v>
      </c>
      <c r="S175" t="s">
        <v>44</v>
      </c>
      <c r="T175" t="s">
        <v>45</v>
      </c>
      <c r="U175" t="s">
        <v>263</v>
      </c>
      <c r="V175" t="s">
        <v>656</v>
      </c>
      <c r="W175">
        <v>2400</v>
      </c>
      <c r="X175" t="s">
        <v>44</v>
      </c>
      <c r="Y175" t="s">
        <v>115</v>
      </c>
      <c r="Z175" t="s">
        <v>49</v>
      </c>
      <c r="AA175" s="10">
        <f>IF(O175&lt;=1,7,7+0.8*ROUNDUP(O175-1,0))</f>
        <v>7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6"/>
        <v>0.42</v>
      </c>
      <c r="AG175" s="11">
        <f t="shared" si="7"/>
        <v>7.42</v>
      </c>
      <c r="AH175" t="s">
        <v>50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657</v>
      </c>
      <c r="G176" t="s">
        <v>37</v>
      </c>
      <c r="H176" t="s">
        <v>38</v>
      </c>
      <c r="I176" t="s">
        <v>658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1</v>
      </c>
      <c r="P176" s="8">
        <v>45221.739884259259</v>
      </c>
      <c r="Q176" s="9">
        <v>45225</v>
      </c>
      <c r="R176" t="s">
        <v>37</v>
      </c>
      <c r="S176" t="s">
        <v>44</v>
      </c>
      <c r="T176" t="s">
        <v>45</v>
      </c>
      <c r="U176" t="s">
        <v>157</v>
      </c>
      <c r="V176" t="s">
        <v>659</v>
      </c>
      <c r="W176">
        <v>34000</v>
      </c>
      <c r="X176" t="s">
        <v>44</v>
      </c>
      <c r="Y176" t="s">
        <v>134</v>
      </c>
      <c r="Z176" t="s">
        <v>49</v>
      </c>
      <c r="AA176" s="10">
        <f>IF(O176&lt;=1,7,7+0.8*ROUNDUP(O176-1,0))</f>
        <v>7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6"/>
        <v>0.42</v>
      </c>
      <c r="AG176" s="11">
        <f t="shared" si="7"/>
        <v>7.42</v>
      </c>
      <c r="AH176" t="s">
        <v>50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660</v>
      </c>
      <c r="G177" t="s">
        <v>37</v>
      </c>
      <c r="H177" t="s">
        <v>38</v>
      </c>
      <c r="I177" t="s">
        <v>661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</v>
      </c>
      <c r="P177" s="8">
        <v>45223.761504629627</v>
      </c>
      <c r="Q177" s="9">
        <v>45225</v>
      </c>
      <c r="R177" t="s">
        <v>37</v>
      </c>
      <c r="S177" t="s">
        <v>44</v>
      </c>
      <c r="T177" t="s">
        <v>45</v>
      </c>
      <c r="U177" t="s">
        <v>53</v>
      </c>
      <c r="V177" t="s">
        <v>662</v>
      </c>
      <c r="W177">
        <v>18300</v>
      </c>
      <c r="X177" t="s">
        <v>44</v>
      </c>
      <c r="Y177" t="s">
        <v>55</v>
      </c>
      <c r="Z177" t="s">
        <v>49</v>
      </c>
      <c r="AA177" s="10">
        <f>IF(O177&lt;=1,7,7+0.8*ROUNDUP(O177-1,0))</f>
        <v>7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6"/>
        <v>0.42</v>
      </c>
      <c r="AG177" s="11">
        <f t="shared" si="7"/>
        <v>7.42</v>
      </c>
      <c r="AH177" t="s">
        <v>50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663</v>
      </c>
      <c r="G178" t="s">
        <v>37</v>
      </c>
      <c r="H178" t="s">
        <v>38</v>
      </c>
      <c r="I178" t="s">
        <v>664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1</v>
      </c>
      <c r="P178" s="8">
        <v>45222.757349537038</v>
      </c>
      <c r="Q178" s="9">
        <v>45225</v>
      </c>
      <c r="R178" t="s">
        <v>37</v>
      </c>
      <c r="S178" t="s">
        <v>44</v>
      </c>
      <c r="T178" t="s">
        <v>45</v>
      </c>
      <c r="U178" t="s">
        <v>157</v>
      </c>
      <c r="V178" t="s">
        <v>665</v>
      </c>
      <c r="W178">
        <v>31200</v>
      </c>
      <c r="X178" t="s">
        <v>44</v>
      </c>
      <c r="Y178" t="s">
        <v>666</v>
      </c>
      <c r="Z178" t="s">
        <v>49</v>
      </c>
      <c r="AA178" s="10">
        <f>IF(O178&lt;=1,7,7+0.8*ROUNDUP(O178-1,0))</f>
        <v>7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6"/>
        <v>0.42</v>
      </c>
      <c r="AG178" s="11">
        <f t="shared" si="7"/>
        <v>7.42</v>
      </c>
      <c r="AH178" t="s">
        <v>50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667</v>
      </c>
      <c r="G179" t="s">
        <v>37</v>
      </c>
      <c r="H179" t="s">
        <v>38</v>
      </c>
      <c r="I179" t="s">
        <v>668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1</v>
      </c>
      <c r="P179" s="8">
        <v>45223.600324074076</v>
      </c>
      <c r="Q179" s="9">
        <v>45225</v>
      </c>
      <c r="R179" t="s">
        <v>37</v>
      </c>
      <c r="S179" t="s">
        <v>44</v>
      </c>
      <c r="T179" t="s">
        <v>45</v>
      </c>
      <c r="U179" t="s">
        <v>157</v>
      </c>
      <c r="V179" t="s">
        <v>669</v>
      </c>
      <c r="W179">
        <v>34800</v>
      </c>
      <c r="X179" t="s">
        <v>44</v>
      </c>
      <c r="Y179" t="s">
        <v>670</v>
      </c>
      <c r="Z179" t="s">
        <v>49</v>
      </c>
      <c r="AA179" s="10">
        <f>IF(O179&lt;=1,7,7+0.8*ROUNDUP(O179-1,0))</f>
        <v>7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6"/>
        <v>0.42</v>
      </c>
      <c r="AG179" s="11">
        <f t="shared" si="7"/>
        <v>7.42</v>
      </c>
      <c r="AH179" t="s">
        <v>50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671</v>
      </c>
      <c r="G180" t="s">
        <v>37</v>
      </c>
      <c r="H180" t="s">
        <v>38</v>
      </c>
      <c r="I180" t="s">
        <v>672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7</v>
      </c>
      <c r="P180" s="8">
        <v>45223.778090277781</v>
      </c>
      <c r="Q180" s="9">
        <v>45225</v>
      </c>
      <c r="R180" t="s">
        <v>37</v>
      </c>
      <c r="S180" t="s">
        <v>44</v>
      </c>
      <c r="T180" t="s">
        <v>45</v>
      </c>
      <c r="U180" t="s">
        <v>87</v>
      </c>
      <c r="V180" t="s">
        <v>673</v>
      </c>
      <c r="W180">
        <v>25150</v>
      </c>
      <c r="X180" t="s">
        <v>44</v>
      </c>
      <c r="Y180" t="s">
        <v>89</v>
      </c>
      <c r="Z180" t="s">
        <v>49</v>
      </c>
      <c r="AA180" s="10">
        <f>IF(O180&lt;=1,7,7+0.8*ROUNDUP(O180-1,0))</f>
        <v>11.8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6"/>
        <v>0.70799999999999996</v>
      </c>
      <c r="AG180" s="11">
        <f t="shared" si="7"/>
        <v>12.508000000000001</v>
      </c>
      <c r="AH180" t="s">
        <v>50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674</v>
      </c>
      <c r="G181" t="s">
        <v>37</v>
      </c>
      <c r="H181" t="s">
        <v>38</v>
      </c>
      <c r="I181" t="s">
        <v>675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7</v>
      </c>
      <c r="P181" s="8">
        <v>45223.618391203701</v>
      </c>
      <c r="Q181" s="9">
        <v>45225</v>
      </c>
      <c r="R181" t="s">
        <v>37</v>
      </c>
      <c r="S181" t="s">
        <v>44</v>
      </c>
      <c r="T181" t="s">
        <v>45</v>
      </c>
      <c r="U181" t="s">
        <v>157</v>
      </c>
      <c r="V181" t="s">
        <v>676</v>
      </c>
      <c r="W181">
        <v>32600</v>
      </c>
      <c r="X181" t="s">
        <v>44</v>
      </c>
      <c r="Y181" t="s">
        <v>607</v>
      </c>
      <c r="Z181" t="s">
        <v>49</v>
      </c>
      <c r="AA181" s="10">
        <f>IF(O181&lt;=1,7,7+0.8*ROUNDUP(O181-1,0))</f>
        <v>11.8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6"/>
        <v>0.70799999999999996</v>
      </c>
      <c r="AG181" s="11">
        <f t="shared" si="7"/>
        <v>12.508000000000001</v>
      </c>
      <c r="AH181" t="s">
        <v>50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677</v>
      </c>
      <c r="G182" t="s">
        <v>37</v>
      </c>
      <c r="H182" t="s">
        <v>38</v>
      </c>
      <c r="I182" t="s">
        <v>678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3</v>
      </c>
      <c r="P182" s="8">
        <v>45199.500104166669</v>
      </c>
      <c r="Q182" s="9">
        <v>45200</v>
      </c>
      <c r="R182" t="s">
        <v>37</v>
      </c>
      <c r="S182" t="s">
        <v>44</v>
      </c>
      <c r="T182" t="s">
        <v>45</v>
      </c>
      <c r="U182" t="s">
        <v>53</v>
      </c>
      <c r="V182" t="s">
        <v>679</v>
      </c>
      <c r="W182">
        <v>17500</v>
      </c>
      <c r="X182" t="s">
        <v>44</v>
      </c>
      <c r="Y182" t="s">
        <v>680</v>
      </c>
      <c r="Z182" t="s">
        <v>49</v>
      </c>
      <c r="AA182" s="10">
        <f>IF(O182&lt;=1,7,7+0.8*ROUNDUP(O182-1,0))</f>
        <v>8.6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6"/>
        <v>0.51600000000000001</v>
      </c>
      <c r="AG182" s="11">
        <f t="shared" si="7"/>
        <v>9.1159999999999997</v>
      </c>
      <c r="AH182" t="s">
        <v>50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681</v>
      </c>
      <c r="G183" t="s">
        <v>37</v>
      </c>
      <c r="H183" t="s">
        <v>682</v>
      </c>
      <c r="I183" t="s">
        <v>683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1</v>
      </c>
      <c r="P183" s="8">
        <v>45192.681516203702</v>
      </c>
      <c r="Q183" s="9">
        <v>45200</v>
      </c>
      <c r="R183" t="s">
        <v>37</v>
      </c>
      <c r="S183" t="s">
        <v>44</v>
      </c>
      <c r="T183" t="s">
        <v>45</v>
      </c>
      <c r="U183" t="s">
        <v>53</v>
      </c>
      <c r="V183" t="s">
        <v>684</v>
      </c>
      <c r="W183">
        <v>81930</v>
      </c>
      <c r="X183" t="s">
        <v>44</v>
      </c>
      <c r="Y183" t="s">
        <v>685</v>
      </c>
      <c r="Z183" t="s">
        <v>49</v>
      </c>
      <c r="AA183" s="10">
        <f>IF(O183&lt;=1,7,7+0.8*ROUNDUP(O183-1,0))</f>
        <v>7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6"/>
        <v>0.42</v>
      </c>
      <c r="AG183" s="11">
        <f t="shared" si="7"/>
        <v>7.42</v>
      </c>
      <c r="AH183" t="s">
        <v>50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686</v>
      </c>
      <c r="G184" t="s">
        <v>37</v>
      </c>
      <c r="H184" t="s">
        <v>38</v>
      </c>
      <c r="I184" t="s">
        <v>687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1</v>
      </c>
      <c r="P184" s="8">
        <v>45199.551631944443</v>
      </c>
      <c r="Q184" s="9">
        <v>45200</v>
      </c>
      <c r="R184" t="s">
        <v>37</v>
      </c>
      <c r="S184" t="s">
        <v>44</v>
      </c>
      <c r="T184" t="s">
        <v>45</v>
      </c>
      <c r="U184" t="s">
        <v>71</v>
      </c>
      <c r="V184" t="s">
        <v>688</v>
      </c>
      <c r="W184">
        <v>21450</v>
      </c>
      <c r="X184" t="s">
        <v>44</v>
      </c>
      <c r="Y184" t="s">
        <v>73</v>
      </c>
      <c r="Z184" t="s">
        <v>49</v>
      </c>
      <c r="AA184" s="10">
        <f>IF(O184&lt;=1,7,7+0.8*ROUNDUP(O184-1,0))</f>
        <v>7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6"/>
        <v>0.42</v>
      </c>
      <c r="AG184" s="11">
        <f t="shared" si="7"/>
        <v>7.42</v>
      </c>
      <c r="AH184" t="s">
        <v>50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689</v>
      </c>
      <c r="G185" t="s">
        <v>37</v>
      </c>
      <c r="H185" t="s">
        <v>38</v>
      </c>
      <c r="I185" t="s">
        <v>690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1</v>
      </c>
      <c r="P185" s="8">
        <v>45199.555011574077</v>
      </c>
      <c r="Q185" s="9">
        <v>45200</v>
      </c>
      <c r="R185" t="s">
        <v>37</v>
      </c>
      <c r="S185" t="s">
        <v>44</v>
      </c>
      <c r="T185" t="s">
        <v>45</v>
      </c>
      <c r="U185" t="s">
        <v>66</v>
      </c>
      <c r="V185" t="s">
        <v>691</v>
      </c>
      <c r="W185">
        <v>43500</v>
      </c>
      <c r="X185" t="s">
        <v>44</v>
      </c>
      <c r="Y185" t="s">
        <v>115</v>
      </c>
      <c r="Z185" t="s">
        <v>49</v>
      </c>
      <c r="AA185" s="10">
        <f>IF(O185&lt;=1,7,7+0.8*ROUNDUP(O185-1,0))</f>
        <v>7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6"/>
        <v>0.42</v>
      </c>
      <c r="AG185" s="11">
        <f t="shared" si="7"/>
        <v>7.42</v>
      </c>
      <c r="AH185" t="s">
        <v>50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692</v>
      </c>
      <c r="G186" t="s">
        <v>37</v>
      </c>
      <c r="H186" t="s">
        <v>38</v>
      </c>
      <c r="I186" t="s">
        <v>693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1</v>
      </c>
      <c r="P186" s="8">
        <v>45199.681400462963</v>
      </c>
      <c r="Q186" s="9">
        <v>45200</v>
      </c>
      <c r="R186" t="s">
        <v>37</v>
      </c>
      <c r="S186" t="s">
        <v>44</v>
      </c>
      <c r="T186" t="s">
        <v>45</v>
      </c>
      <c r="U186" t="s">
        <v>71</v>
      </c>
      <c r="V186" t="s">
        <v>694</v>
      </c>
      <c r="W186">
        <v>22000</v>
      </c>
      <c r="X186" t="s">
        <v>44</v>
      </c>
      <c r="Y186" t="s">
        <v>55</v>
      </c>
      <c r="Z186" t="s">
        <v>49</v>
      </c>
      <c r="AA186" s="10">
        <f>IF(O186&lt;=1,7,7+0.8*ROUNDUP(O186-1,0))</f>
        <v>7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6"/>
        <v>0.42</v>
      </c>
      <c r="AG186" s="11">
        <f t="shared" si="7"/>
        <v>7.42</v>
      </c>
      <c r="AH186" t="s">
        <v>50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695</v>
      </c>
      <c r="G187" t="s">
        <v>37</v>
      </c>
      <c r="H187" t="s">
        <v>38</v>
      </c>
      <c r="I187" t="s">
        <v>696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1</v>
      </c>
      <c r="P187" s="8">
        <v>45200.748518518521</v>
      </c>
      <c r="Q187" s="9">
        <v>45201</v>
      </c>
      <c r="R187" t="s">
        <v>37</v>
      </c>
      <c r="S187" t="s">
        <v>44</v>
      </c>
      <c r="T187" t="s">
        <v>45</v>
      </c>
      <c r="U187" t="s">
        <v>87</v>
      </c>
      <c r="V187" t="s">
        <v>697</v>
      </c>
      <c r="W187">
        <v>27200</v>
      </c>
      <c r="X187" t="s">
        <v>44</v>
      </c>
      <c r="Y187" t="s">
        <v>257</v>
      </c>
      <c r="Z187" t="s">
        <v>49</v>
      </c>
      <c r="AA187" s="10">
        <f>IF(O187&lt;=1,7,7+0.8*ROUNDUP(O187-1,0))</f>
        <v>7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6"/>
        <v>0.42</v>
      </c>
      <c r="AG187" s="11">
        <f t="shared" si="7"/>
        <v>7.42</v>
      </c>
      <c r="AH187" t="s">
        <v>50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698</v>
      </c>
      <c r="G188" t="s">
        <v>37</v>
      </c>
      <c r="H188" t="s">
        <v>38</v>
      </c>
      <c r="I188" t="s">
        <v>699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1</v>
      </c>
      <c r="P188" s="8">
        <v>45199.765868055554</v>
      </c>
      <c r="Q188" s="9">
        <v>45201</v>
      </c>
      <c r="R188" t="s">
        <v>37</v>
      </c>
      <c r="S188" t="s">
        <v>44</v>
      </c>
      <c r="T188" t="s">
        <v>45</v>
      </c>
      <c r="U188" t="s">
        <v>66</v>
      </c>
      <c r="V188" t="s">
        <v>700</v>
      </c>
      <c r="W188">
        <v>43200</v>
      </c>
      <c r="X188" t="s">
        <v>44</v>
      </c>
      <c r="Y188" t="s">
        <v>545</v>
      </c>
      <c r="Z188" t="s">
        <v>49</v>
      </c>
      <c r="AA188" s="10">
        <f>IF(O188&lt;=1,7,7+0.8*ROUNDUP(O188-1,0))</f>
        <v>7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6"/>
        <v>0.42</v>
      </c>
      <c r="AG188" s="11">
        <f t="shared" si="7"/>
        <v>7.42</v>
      </c>
      <c r="AH188" t="s">
        <v>50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701</v>
      </c>
      <c r="G189" t="s">
        <v>37</v>
      </c>
      <c r="H189" t="s">
        <v>38</v>
      </c>
      <c r="I189" t="s">
        <v>702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1</v>
      </c>
      <c r="P189" s="8">
        <v>45200.561655092592</v>
      </c>
      <c r="Q189" s="9">
        <v>45201</v>
      </c>
      <c r="R189" t="s">
        <v>37</v>
      </c>
      <c r="S189" t="s">
        <v>44</v>
      </c>
      <c r="T189" t="s">
        <v>45</v>
      </c>
      <c r="U189" t="s">
        <v>53</v>
      </c>
      <c r="V189" t="s">
        <v>703</v>
      </c>
      <c r="W189">
        <v>18000</v>
      </c>
      <c r="X189" t="s">
        <v>44</v>
      </c>
      <c r="Y189" t="s">
        <v>55</v>
      </c>
      <c r="Z189" t="s">
        <v>49</v>
      </c>
      <c r="AA189" s="10">
        <f>IF(O189&lt;=1,7,7+0.8*ROUNDUP(O189-1,0))</f>
        <v>7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6"/>
        <v>0.42</v>
      </c>
      <c r="AG189" s="11">
        <f t="shared" si="7"/>
        <v>7.42</v>
      </c>
      <c r="AH189" t="s">
        <v>50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704</v>
      </c>
      <c r="G190" t="s">
        <v>37</v>
      </c>
      <c r="H190" t="s">
        <v>38</v>
      </c>
      <c r="I190" t="s">
        <v>705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1</v>
      </c>
      <c r="P190" s="8">
        <v>45200.518055555556</v>
      </c>
      <c r="Q190" s="9">
        <v>45201</v>
      </c>
      <c r="R190" t="s">
        <v>37</v>
      </c>
      <c r="S190" t="s">
        <v>44</v>
      </c>
      <c r="T190" t="s">
        <v>45</v>
      </c>
      <c r="U190" t="s">
        <v>66</v>
      </c>
      <c r="V190" t="s">
        <v>706</v>
      </c>
      <c r="W190">
        <v>43900</v>
      </c>
      <c r="X190" t="s">
        <v>44</v>
      </c>
      <c r="Y190" t="s">
        <v>307</v>
      </c>
      <c r="Z190" t="s">
        <v>49</v>
      </c>
      <c r="AA190" s="10">
        <f>IF(O190&lt;=1,7,7+0.8*ROUNDUP(O190-1,0))</f>
        <v>7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6"/>
        <v>0.42</v>
      </c>
      <c r="AG190" s="11">
        <f t="shared" si="7"/>
        <v>7.42</v>
      </c>
      <c r="AH190" t="s">
        <v>50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707</v>
      </c>
      <c r="G191" t="s">
        <v>37</v>
      </c>
      <c r="H191" t="s">
        <v>38</v>
      </c>
      <c r="I191" t="s">
        <v>708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1</v>
      </c>
      <c r="P191" s="8">
        <v>45200.750902777778</v>
      </c>
      <c r="Q191" s="9">
        <v>45201</v>
      </c>
      <c r="R191" t="s">
        <v>37</v>
      </c>
      <c r="S191" t="s">
        <v>44</v>
      </c>
      <c r="T191" t="s">
        <v>45</v>
      </c>
      <c r="U191" t="s">
        <v>87</v>
      </c>
      <c r="V191" t="s">
        <v>709</v>
      </c>
      <c r="W191">
        <v>26800</v>
      </c>
      <c r="X191" t="s">
        <v>44</v>
      </c>
      <c r="Y191" t="s">
        <v>257</v>
      </c>
      <c r="Z191" t="s">
        <v>49</v>
      </c>
      <c r="AA191" s="10">
        <f>IF(O191&lt;=1,7,7+0.8*ROUNDUP(O191-1,0))</f>
        <v>7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6"/>
        <v>0.42</v>
      </c>
      <c r="AG191" s="11">
        <f t="shared" si="7"/>
        <v>7.42</v>
      </c>
      <c r="AH191" t="s">
        <v>50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710</v>
      </c>
      <c r="G192" t="s">
        <v>37</v>
      </c>
      <c r="H192" t="s">
        <v>38</v>
      </c>
      <c r="I192" t="s">
        <v>711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1</v>
      </c>
      <c r="P192" s="8">
        <v>45199.765868055554</v>
      </c>
      <c r="Q192" s="9">
        <v>45201</v>
      </c>
      <c r="R192" t="s">
        <v>37</v>
      </c>
      <c r="S192" t="s">
        <v>44</v>
      </c>
      <c r="T192" t="s">
        <v>45</v>
      </c>
      <c r="U192" t="s">
        <v>66</v>
      </c>
      <c r="V192" t="s">
        <v>712</v>
      </c>
      <c r="W192">
        <v>42000</v>
      </c>
      <c r="X192" t="s">
        <v>44</v>
      </c>
      <c r="Y192" t="s">
        <v>555</v>
      </c>
      <c r="Z192" t="s">
        <v>49</v>
      </c>
      <c r="AA192" s="10">
        <f>IF(O192&lt;=1,7,7+0.8*ROUNDUP(O192-1,0))</f>
        <v>7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6"/>
        <v>0.42</v>
      </c>
      <c r="AG192" s="11">
        <f t="shared" si="7"/>
        <v>7.42</v>
      </c>
      <c r="AH192" t="s">
        <v>50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713</v>
      </c>
      <c r="G193" t="s">
        <v>37</v>
      </c>
      <c r="H193" t="s">
        <v>38</v>
      </c>
      <c r="I193" t="s">
        <v>714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</v>
      </c>
      <c r="P193" s="8">
        <v>45199.765868055554</v>
      </c>
      <c r="Q193" s="9">
        <v>45201</v>
      </c>
      <c r="R193" t="s">
        <v>37</v>
      </c>
      <c r="S193" t="s">
        <v>44</v>
      </c>
      <c r="T193" t="s">
        <v>45</v>
      </c>
      <c r="U193" t="s">
        <v>71</v>
      </c>
      <c r="V193" t="s">
        <v>715</v>
      </c>
      <c r="W193">
        <v>24000</v>
      </c>
      <c r="X193" t="s">
        <v>44</v>
      </c>
      <c r="Y193" t="s">
        <v>257</v>
      </c>
      <c r="Z193" t="s">
        <v>49</v>
      </c>
      <c r="AA193" s="10">
        <f>IF(O193&lt;=1,7,7+0.8*ROUNDUP(O193-1,0))</f>
        <v>7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6"/>
        <v>0.42</v>
      </c>
      <c r="AG193" s="11">
        <f t="shared" si="7"/>
        <v>7.42</v>
      </c>
      <c r="AH193" t="s">
        <v>50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716</v>
      </c>
      <c r="G194" t="s">
        <v>37</v>
      </c>
      <c r="H194" t="s">
        <v>38</v>
      </c>
      <c r="I194" t="s">
        <v>717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1</v>
      </c>
      <c r="P194" s="8">
        <v>45200.724398148152</v>
      </c>
      <c r="Q194" s="9">
        <v>45202</v>
      </c>
      <c r="R194" t="s">
        <v>37</v>
      </c>
      <c r="S194" t="s">
        <v>44</v>
      </c>
      <c r="T194" t="s">
        <v>45</v>
      </c>
      <c r="U194" t="s">
        <v>145</v>
      </c>
      <c r="V194" t="s">
        <v>718</v>
      </c>
      <c r="W194">
        <v>75250</v>
      </c>
      <c r="X194" t="s">
        <v>44</v>
      </c>
      <c r="Y194" t="s">
        <v>115</v>
      </c>
      <c r="Z194" t="s">
        <v>49</v>
      </c>
      <c r="AA194" s="10">
        <f>IF(O194&lt;=1,7,7+0.8*ROUNDUP(O194-1,0))</f>
        <v>7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si="6"/>
        <v>0.42</v>
      </c>
      <c r="AG194" s="11">
        <f t="shared" si="7"/>
        <v>7.42</v>
      </c>
      <c r="AH194" t="s">
        <v>50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719</v>
      </c>
      <c r="G195" t="s">
        <v>37</v>
      </c>
      <c r="H195" t="s">
        <v>38</v>
      </c>
      <c r="I195" t="s">
        <v>720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1</v>
      </c>
      <c r="P195" s="8">
        <v>45199.598530092589</v>
      </c>
      <c r="Q195" s="9">
        <v>45202</v>
      </c>
      <c r="R195" t="s">
        <v>37</v>
      </c>
      <c r="S195" t="s">
        <v>44</v>
      </c>
      <c r="T195" t="s">
        <v>45</v>
      </c>
      <c r="U195" t="s">
        <v>173</v>
      </c>
      <c r="V195" t="s">
        <v>721</v>
      </c>
      <c r="W195">
        <v>91000</v>
      </c>
      <c r="X195" t="s">
        <v>114</v>
      </c>
      <c r="Y195" t="s">
        <v>115</v>
      </c>
      <c r="Z195" t="s">
        <v>49</v>
      </c>
      <c r="AA195" s="12">
        <f>IF(O195&lt;=1,13,IF(O195&lt;=2,23,IF(O195&lt;=3,35,IF(O195&lt;=4,43,IF(O195&lt;=5,53,IF(O195&lt;=6,63,IF(O195&lt;=7,71,IF(O195&lt;=8,79,IF(O195&lt;=9,87,IF(O195&lt;=10,95,IF(O195&lt;=11,105,IF(O195&lt;=12,114,IF(O195&lt;=13,119,IF(O195&lt;=14,127,IF(O195&lt;=15,135,IF(O195&lt;=16,143,IF(O195&lt;=17,153,IF(O195&lt;=18,163,IF(O195&lt;=19,171,IF(O195&lt;=20,185,IF(O195&lt;=21,193,IF(O195&lt;=22,201,IF(O195&lt;=23,210,IF(O195&lt;=24,220,IF(O195&lt;=25,230,IF(O195&lt;=26,240,IF(O195&lt;=27,250,IF(O195&lt;=28,260,IF(O195&lt;=29,270,IF(O195&lt;=30,280,280+10*ROUNDUP(O195-30,0)))))))))))))))))))))))))))))))</f>
        <v>13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0.78</v>
      </c>
      <c r="AG195" s="11">
        <f t="shared" si="7"/>
        <v>13.78</v>
      </c>
      <c r="AH195" t="s">
        <v>116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722</v>
      </c>
      <c r="G196" t="s">
        <v>37</v>
      </c>
      <c r="H196" t="s">
        <v>38</v>
      </c>
      <c r="I196" t="s">
        <v>723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1</v>
      </c>
      <c r="P196" s="8">
        <v>45200.748518518521</v>
      </c>
      <c r="Q196" s="9">
        <v>45202</v>
      </c>
      <c r="R196" t="s">
        <v>37</v>
      </c>
      <c r="S196" t="s">
        <v>44</v>
      </c>
      <c r="T196" t="s">
        <v>45</v>
      </c>
      <c r="U196" t="s">
        <v>66</v>
      </c>
      <c r="V196" t="s">
        <v>724</v>
      </c>
      <c r="W196">
        <v>40400</v>
      </c>
      <c r="X196" t="s">
        <v>44</v>
      </c>
      <c r="Y196" t="s">
        <v>115</v>
      </c>
      <c r="Z196" t="s">
        <v>49</v>
      </c>
      <c r="AA196" s="10">
        <f>IF(O196&lt;=1,7,7+0.8*ROUNDUP(O196-1,0))</f>
        <v>7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0.42</v>
      </c>
      <c r="AG196" s="11">
        <f t="shared" si="7"/>
        <v>7.42</v>
      </c>
      <c r="AH196" t="s">
        <v>50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725</v>
      </c>
      <c r="G197" t="s">
        <v>37</v>
      </c>
      <c r="H197" t="s">
        <v>38</v>
      </c>
      <c r="I197" t="s">
        <v>726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4</v>
      </c>
      <c r="P197" s="8">
        <v>45201.417557870373</v>
      </c>
      <c r="Q197" s="9">
        <v>45202</v>
      </c>
      <c r="R197" t="s">
        <v>37</v>
      </c>
      <c r="S197" t="s">
        <v>44</v>
      </c>
      <c r="T197" t="s">
        <v>45</v>
      </c>
      <c r="U197" t="s">
        <v>87</v>
      </c>
      <c r="V197" t="s">
        <v>727</v>
      </c>
      <c r="W197">
        <v>27300</v>
      </c>
      <c r="X197" t="s">
        <v>44</v>
      </c>
      <c r="Y197" t="s">
        <v>728</v>
      </c>
      <c r="Z197" t="s">
        <v>49</v>
      </c>
      <c r="AA197" s="10">
        <f>IF(O197&lt;=1,7,7+0.8*ROUNDUP(O197-1,0))</f>
        <v>9.4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0.56399999999999995</v>
      </c>
      <c r="AG197" s="11">
        <f t="shared" si="7"/>
        <v>9.9640000000000004</v>
      </c>
      <c r="AH197" t="s">
        <v>50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729</v>
      </c>
      <c r="G198" t="s">
        <v>37</v>
      </c>
      <c r="H198" t="s">
        <v>38</v>
      </c>
      <c r="I198" t="s">
        <v>730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6</v>
      </c>
      <c r="P198" s="8">
        <v>45199.712731481479</v>
      </c>
      <c r="Q198" s="9">
        <v>45202</v>
      </c>
      <c r="R198" t="s">
        <v>37</v>
      </c>
      <c r="S198" t="s">
        <v>44</v>
      </c>
      <c r="T198" t="s">
        <v>45</v>
      </c>
      <c r="U198" t="s">
        <v>145</v>
      </c>
      <c r="V198" t="s">
        <v>731</v>
      </c>
      <c r="W198">
        <v>75450</v>
      </c>
      <c r="X198" t="s">
        <v>44</v>
      </c>
      <c r="Y198" t="s">
        <v>732</v>
      </c>
      <c r="Z198" t="s">
        <v>49</v>
      </c>
      <c r="AA198" s="10">
        <f>IF(O198&lt;=1,7,7+0.8*ROUNDUP(O198-1,0))</f>
        <v>11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0.65999999999999992</v>
      </c>
      <c r="AG198" s="11">
        <f t="shared" si="7"/>
        <v>11.66</v>
      </c>
      <c r="AH198" t="s">
        <v>50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733</v>
      </c>
      <c r="G199" t="s">
        <v>37</v>
      </c>
      <c r="H199" t="s">
        <v>38</v>
      </c>
      <c r="I199" t="s">
        <v>730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1</v>
      </c>
      <c r="P199" s="8">
        <v>45199.712731481479</v>
      </c>
      <c r="Q199" s="9">
        <v>45202</v>
      </c>
      <c r="R199" t="s">
        <v>37</v>
      </c>
      <c r="S199" t="s">
        <v>44</v>
      </c>
      <c r="T199" t="s">
        <v>45</v>
      </c>
      <c r="U199" t="s">
        <v>145</v>
      </c>
      <c r="V199" t="s">
        <v>731</v>
      </c>
      <c r="W199">
        <v>75450</v>
      </c>
      <c r="X199" t="s">
        <v>44</v>
      </c>
      <c r="Y199" t="s">
        <v>732</v>
      </c>
      <c r="Z199" t="s">
        <v>49</v>
      </c>
      <c r="AA199" s="10">
        <f>IF(O199&lt;=1,7,7+0.8*ROUNDUP(O199-1,0))</f>
        <v>7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0.42</v>
      </c>
      <c r="AG199" s="11">
        <f t="shared" si="7"/>
        <v>7.42</v>
      </c>
      <c r="AH199" t="s">
        <v>50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734</v>
      </c>
      <c r="G200" t="s">
        <v>37</v>
      </c>
      <c r="H200" t="s">
        <v>38</v>
      </c>
      <c r="I200" t="s">
        <v>735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2</v>
      </c>
      <c r="P200" s="8">
        <v>45195.761782407404</v>
      </c>
      <c r="Q200" s="9">
        <v>45202</v>
      </c>
      <c r="R200" t="s">
        <v>37</v>
      </c>
      <c r="S200" t="s">
        <v>44</v>
      </c>
      <c r="T200" t="s">
        <v>45</v>
      </c>
      <c r="U200" t="s">
        <v>112</v>
      </c>
      <c r="V200" t="s">
        <v>736</v>
      </c>
      <c r="W200">
        <v>93050</v>
      </c>
      <c r="X200" t="s">
        <v>114</v>
      </c>
      <c r="Y200" t="s">
        <v>115</v>
      </c>
      <c r="Z200" t="s">
        <v>49</v>
      </c>
      <c r="AA200" s="12">
        <f>IF(O200&lt;=1,13,IF(O200&lt;=2,23,IF(O200&lt;=3,35,IF(O200&lt;=4,43,IF(O200&lt;=5,53,IF(O200&lt;=6,63,IF(O200&lt;=7,71,IF(O200&lt;=8,79,IF(O200&lt;=9,87,IF(O200&lt;=10,95,IF(O200&lt;=11,105,IF(O200&lt;=12,114,IF(O200&lt;=13,119,IF(O200&lt;=14,127,IF(O200&lt;=15,135,IF(O200&lt;=16,143,IF(O200&lt;=17,153,IF(O200&lt;=18,163,IF(O200&lt;=19,171,IF(O200&lt;=20,185,IF(O200&lt;=21,193,IF(O200&lt;=22,201,IF(O200&lt;=23,210,IF(O200&lt;=24,220,IF(O200&lt;=25,230,IF(O200&lt;=26,240,IF(O200&lt;=27,250,IF(O200&lt;=28,260,IF(O200&lt;=29,270,IF(O200&lt;=30,280,280+10*ROUNDUP(O200-30,0)))))))))))))))))))))))))))))))</f>
        <v>23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1.38</v>
      </c>
      <c r="AG200" s="11">
        <f t="shared" si="7"/>
        <v>24.38</v>
      </c>
      <c r="AH200" t="s">
        <v>116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737</v>
      </c>
      <c r="G201" t="s">
        <v>37</v>
      </c>
      <c r="H201" t="s">
        <v>38</v>
      </c>
      <c r="I201" t="s">
        <v>432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1</v>
      </c>
      <c r="P201" s="8">
        <v>45200.665902777779</v>
      </c>
      <c r="Q201" s="9">
        <v>45202</v>
      </c>
      <c r="R201" t="s">
        <v>37</v>
      </c>
      <c r="S201" t="s">
        <v>44</v>
      </c>
      <c r="T201" t="s">
        <v>45</v>
      </c>
      <c r="U201" t="s">
        <v>92</v>
      </c>
      <c r="V201" t="s">
        <v>738</v>
      </c>
      <c r="W201">
        <v>83100</v>
      </c>
      <c r="X201" t="s">
        <v>44</v>
      </c>
      <c r="Y201" t="s">
        <v>94</v>
      </c>
      <c r="Z201" t="s">
        <v>49</v>
      </c>
      <c r="AA201" s="10">
        <f>IF(O201&lt;=1,7,7+0.8*ROUNDUP(O201-1,0))</f>
        <v>7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0.42</v>
      </c>
      <c r="AG201" s="11">
        <f t="shared" si="7"/>
        <v>7.42</v>
      </c>
      <c r="AH201" t="s">
        <v>50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739</v>
      </c>
      <c r="G202" t="s">
        <v>37</v>
      </c>
      <c r="H202" t="s">
        <v>38</v>
      </c>
      <c r="I202" t="s">
        <v>144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1</v>
      </c>
      <c r="P202" s="8">
        <v>45200.742685185185</v>
      </c>
      <c r="Q202" s="9">
        <v>45202</v>
      </c>
      <c r="R202" t="s">
        <v>37</v>
      </c>
      <c r="S202" t="s">
        <v>44</v>
      </c>
      <c r="T202" t="s">
        <v>45</v>
      </c>
      <c r="U202" t="s">
        <v>145</v>
      </c>
      <c r="V202" t="s">
        <v>146</v>
      </c>
      <c r="W202">
        <v>77200</v>
      </c>
      <c r="X202" t="s">
        <v>44</v>
      </c>
      <c r="Y202" t="s">
        <v>115</v>
      </c>
      <c r="Z202" t="s">
        <v>49</v>
      </c>
      <c r="AA202" s="10">
        <f>IF(O202&lt;=1,7,7+0.8*ROUNDUP(O202-1,0))</f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0.42</v>
      </c>
      <c r="AG202" s="11">
        <f t="shared" si="7"/>
        <v>7.42</v>
      </c>
      <c r="AH202" t="s">
        <v>50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740</v>
      </c>
      <c r="G203" t="s">
        <v>37</v>
      </c>
      <c r="H203" t="s">
        <v>38</v>
      </c>
      <c r="I203" t="s">
        <v>741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45200.473240740743</v>
      </c>
      <c r="Q203" s="9">
        <v>45202</v>
      </c>
      <c r="R203" t="s">
        <v>37</v>
      </c>
      <c r="S203" t="s">
        <v>44</v>
      </c>
      <c r="T203" t="s">
        <v>45</v>
      </c>
      <c r="U203" t="s">
        <v>92</v>
      </c>
      <c r="V203" t="s">
        <v>742</v>
      </c>
      <c r="W203">
        <v>83600</v>
      </c>
      <c r="X203" t="s">
        <v>44</v>
      </c>
      <c r="Y203" t="s">
        <v>94</v>
      </c>
      <c r="Z203" t="s">
        <v>49</v>
      </c>
      <c r="AA203" s="10">
        <f>IF(O203&lt;=1,7,7+0.8*ROUNDUP(O203-1,0))</f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0.42</v>
      </c>
      <c r="AG203" s="11">
        <f t="shared" si="7"/>
        <v>7.42</v>
      </c>
      <c r="AH203" t="s">
        <v>50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743</v>
      </c>
      <c r="G204" t="s">
        <v>37</v>
      </c>
      <c r="H204" t="s">
        <v>38</v>
      </c>
      <c r="I204" t="s">
        <v>744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1</v>
      </c>
      <c r="P204" s="8">
        <v>45201.452256944445</v>
      </c>
      <c r="Q204" s="9">
        <v>45202</v>
      </c>
      <c r="R204" t="s">
        <v>37</v>
      </c>
      <c r="S204" t="s">
        <v>44</v>
      </c>
      <c r="T204" t="s">
        <v>45</v>
      </c>
      <c r="U204" t="s">
        <v>53</v>
      </c>
      <c r="V204" t="s">
        <v>745</v>
      </c>
      <c r="W204">
        <v>18000</v>
      </c>
      <c r="X204" t="s">
        <v>44</v>
      </c>
      <c r="Y204" t="s">
        <v>746</v>
      </c>
      <c r="Z204" t="s">
        <v>49</v>
      </c>
      <c r="AA204" s="10">
        <f>IF(O204&lt;=1,7,7+0.8*ROUNDUP(O204-1,0))</f>
        <v>7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0.42</v>
      </c>
      <c r="AG204" s="11">
        <f t="shared" si="7"/>
        <v>7.42</v>
      </c>
      <c r="AH204" t="s">
        <v>50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747</v>
      </c>
      <c r="G205" t="s">
        <v>37</v>
      </c>
      <c r="H205" t="s">
        <v>38</v>
      </c>
      <c r="I205" t="s">
        <v>748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3</v>
      </c>
      <c r="P205" s="8">
        <v>45200.684953703705</v>
      </c>
      <c r="Q205" s="9">
        <v>45202</v>
      </c>
      <c r="R205" t="s">
        <v>37</v>
      </c>
      <c r="S205" t="s">
        <v>44</v>
      </c>
      <c r="T205" t="s">
        <v>45</v>
      </c>
      <c r="U205" t="s">
        <v>157</v>
      </c>
      <c r="V205" t="s">
        <v>749</v>
      </c>
      <c r="W205">
        <v>34700</v>
      </c>
      <c r="X205" t="s">
        <v>44</v>
      </c>
      <c r="Y205" t="s">
        <v>670</v>
      </c>
      <c r="Z205" t="s">
        <v>49</v>
      </c>
      <c r="AA205" s="10">
        <f>IF(O205&lt;=1,7,7+0.8*ROUNDUP(O205-1,0))</f>
        <v>8.6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0.51600000000000001</v>
      </c>
      <c r="AG205" s="11">
        <f t="shared" si="7"/>
        <v>9.1159999999999997</v>
      </c>
      <c r="AH205" t="s">
        <v>50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750</v>
      </c>
      <c r="G206" t="s">
        <v>37</v>
      </c>
      <c r="H206" t="s">
        <v>38</v>
      </c>
      <c r="I206" t="s">
        <v>751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2</v>
      </c>
      <c r="P206" s="8">
        <v>45199.765868055554</v>
      </c>
      <c r="Q206" s="9">
        <v>45202</v>
      </c>
      <c r="R206" t="s">
        <v>37</v>
      </c>
      <c r="S206" t="s">
        <v>44</v>
      </c>
      <c r="T206" t="s">
        <v>45</v>
      </c>
      <c r="U206" t="s">
        <v>46</v>
      </c>
      <c r="V206" t="s">
        <v>752</v>
      </c>
      <c r="W206">
        <v>8000</v>
      </c>
      <c r="X206" t="s">
        <v>44</v>
      </c>
      <c r="Y206" t="s">
        <v>753</v>
      </c>
      <c r="Z206" t="s">
        <v>49</v>
      </c>
      <c r="AA206" s="10">
        <f>IF(O206&lt;=1,7,7+0.8*ROUNDUP(O206-1,0))</f>
        <v>7.8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0.46799999999999997</v>
      </c>
      <c r="AG206" s="11">
        <f t="shared" si="7"/>
        <v>8.2680000000000007</v>
      </c>
      <c r="AH206" t="s">
        <v>50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754</v>
      </c>
      <c r="G207" t="s">
        <v>37</v>
      </c>
      <c r="H207" t="s">
        <v>38</v>
      </c>
      <c r="I207" t="s">
        <v>755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2</v>
      </c>
      <c r="P207" s="8">
        <v>45199.753298611111</v>
      </c>
      <c r="Q207" s="9">
        <v>45202</v>
      </c>
      <c r="R207" t="s">
        <v>37</v>
      </c>
      <c r="S207" t="s">
        <v>44</v>
      </c>
      <c r="T207" t="s">
        <v>45</v>
      </c>
      <c r="U207" t="s">
        <v>263</v>
      </c>
      <c r="V207" t="s">
        <v>756</v>
      </c>
      <c r="W207">
        <v>2600</v>
      </c>
      <c r="X207" t="s">
        <v>44</v>
      </c>
      <c r="Y207" t="s">
        <v>757</v>
      </c>
      <c r="Z207" t="s">
        <v>49</v>
      </c>
      <c r="AA207" s="10">
        <f>IF(O207&lt;=1,7,7+0.8*ROUNDUP(O207-1,0))</f>
        <v>7.8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6"/>
        <v>0.46799999999999997</v>
      </c>
      <c r="AG207" s="11">
        <f t="shared" si="7"/>
        <v>8.2680000000000007</v>
      </c>
      <c r="AH207" t="s">
        <v>50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758</v>
      </c>
      <c r="G208" t="s">
        <v>37</v>
      </c>
      <c r="H208" t="s">
        <v>38</v>
      </c>
      <c r="I208" t="s">
        <v>759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2</v>
      </c>
      <c r="P208" s="8">
        <v>45201.452256944445</v>
      </c>
      <c r="Q208" s="9">
        <v>45202</v>
      </c>
      <c r="R208" t="s">
        <v>37</v>
      </c>
      <c r="S208" t="s">
        <v>44</v>
      </c>
      <c r="T208" t="s">
        <v>45</v>
      </c>
      <c r="U208" t="s">
        <v>187</v>
      </c>
      <c r="V208" t="s">
        <v>760</v>
      </c>
      <c r="W208">
        <v>56000</v>
      </c>
      <c r="X208" t="s">
        <v>44</v>
      </c>
      <c r="Y208" t="s">
        <v>545</v>
      </c>
      <c r="Z208" t="s">
        <v>49</v>
      </c>
      <c r="AA208" s="10">
        <f>IF(O208&lt;=1,7,7+0.8*ROUNDUP(O208-1,0))</f>
        <v>7.8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6"/>
        <v>0.46799999999999997</v>
      </c>
      <c r="AG208" s="11">
        <f t="shared" si="7"/>
        <v>8.2680000000000007</v>
      </c>
      <c r="AH208" t="s">
        <v>50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761</v>
      </c>
      <c r="G209" t="s">
        <v>37</v>
      </c>
      <c r="H209" t="s">
        <v>38</v>
      </c>
      <c r="I209" t="s">
        <v>762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1</v>
      </c>
      <c r="P209" s="8">
        <v>45199.765868055554</v>
      </c>
      <c r="Q209" s="9">
        <v>45202</v>
      </c>
      <c r="R209" t="s">
        <v>37</v>
      </c>
      <c r="S209" t="s">
        <v>44</v>
      </c>
      <c r="T209" t="s">
        <v>45</v>
      </c>
      <c r="U209" t="s">
        <v>157</v>
      </c>
      <c r="V209" t="s">
        <v>763</v>
      </c>
      <c r="W209">
        <v>35900</v>
      </c>
      <c r="X209" t="s">
        <v>44</v>
      </c>
      <c r="Y209" t="s">
        <v>764</v>
      </c>
      <c r="Z209" t="s">
        <v>49</v>
      </c>
      <c r="AA209" s="10">
        <f>IF(O209&lt;=1,7,7+0.8*ROUNDUP(O209-1,0))</f>
        <v>7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6"/>
        <v>0.42</v>
      </c>
      <c r="AG209" s="11">
        <f t="shared" si="7"/>
        <v>7.42</v>
      </c>
      <c r="AH209" t="s">
        <v>50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765</v>
      </c>
      <c r="G210" t="s">
        <v>37</v>
      </c>
      <c r="H210" t="s">
        <v>38</v>
      </c>
      <c r="I210" t="s">
        <v>766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1</v>
      </c>
      <c r="P210" s="8">
        <v>45201.727916666663</v>
      </c>
      <c r="Q210" s="9">
        <v>45202</v>
      </c>
      <c r="R210" t="s">
        <v>37</v>
      </c>
      <c r="S210" t="s">
        <v>44</v>
      </c>
      <c r="T210" t="s">
        <v>45</v>
      </c>
      <c r="U210" t="s">
        <v>87</v>
      </c>
      <c r="V210" t="s">
        <v>767</v>
      </c>
      <c r="W210">
        <v>25150</v>
      </c>
      <c r="X210" t="s">
        <v>44</v>
      </c>
      <c r="Y210" t="s">
        <v>257</v>
      </c>
      <c r="Z210" t="s">
        <v>49</v>
      </c>
      <c r="AA210" s="10">
        <f>IF(O210&lt;=1,7,7+0.8*ROUNDUP(O210-1,0))</f>
        <v>7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6"/>
        <v>0.42</v>
      </c>
      <c r="AG210" s="11">
        <f t="shared" si="7"/>
        <v>7.42</v>
      </c>
      <c r="AH210" t="s">
        <v>50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768</v>
      </c>
      <c r="G211" t="s">
        <v>37</v>
      </c>
      <c r="H211" t="s">
        <v>38</v>
      </c>
      <c r="I211" t="s">
        <v>769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1</v>
      </c>
      <c r="P211" s="8">
        <v>45199.765868055554</v>
      </c>
      <c r="Q211" s="9">
        <v>45202</v>
      </c>
      <c r="R211" t="s">
        <v>37</v>
      </c>
      <c r="S211" t="s">
        <v>44</v>
      </c>
      <c r="T211" t="s">
        <v>45</v>
      </c>
      <c r="U211" t="s">
        <v>61</v>
      </c>
      <c r="V211" t="s">
        <v>770</v>
      </c>
      <c r="W211">
        <v>71050</v>
      </c>
      <c r="X211" t="s">
        <v>44</v>
      </c>
      <c r="Y211" t="s">
        <v>771</v>
      </c>
      <c r="Z211" t="s">
        <v>49</v>
      </c>
      <c r="AA211" s="10">
        <f>IF(O211&lt;=1,7,7+0.8*ROUNDUP(O211-1,0))</f>
        <v>7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6"/>
        <v>0.42</v>
      </c>
      <c r="AG211" s="11">
        <f t="shared" si="7"/>
        <v>7.42</v>
      </c>
      <c r="AH211" t="s">
        <v>50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772</v>
      </c>
      <c r="G212" t="s">
        <v>37</v>
      </c>
      <c r="H212" t="s">
        <v>38</v>
      </c>
      <c r="I212" t="s">
        <v>773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2</v>
      </c>
      <c r="P212" s="8">
        <v>45200.739085648151</v>
      </c>
      <c r="Q212" s="9">
        <v>45202</v>
      </c>
      <c r="R212" t="s">
        <v>37</v>
      </c>
      <c r="S212" t="s">
        <v>44</v>
      </c>
      <c r="T212" t="s">
        <v>45</v>
      </c>
      <c r="U212" t="s">
        <v>182</v>
      </c>
      <c r="V212" t="s">
        <v>774</v>
      </c>
      <c r="W212">
        <v>14020</v>
      </c>
      <c r="X212" t="s">
        <v>44</v>
      </c>
      <c r="Y212" t="s">
        <v>775</v>
      </c>
      <c r="Z212" t="s">
        <v>49</v>
      </c>
      <c r="AA212" s="10">
        <f>IF(O212&lt;=1,7,7+0.8*ROUNDUP(O212-1,0))</f>
        <v>7.8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6"/>
        <v>0.46799999999999997</v>
      </c>
      <c r="AG212" s="11">
        <f t="shared" si="7"/>
        <v>8.2680000000000007</v>
      </c>
      <c r="AH212" t="s">
        <v>50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776</v>
      </c>
      <c r="G213" t="s">
        <v>37</v>
      </c>
      <c r="H213" t="s">
        <v>38</v>
      </c>
      <c r="I213" t="s">
        <v>777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1</v>
      </c>
      <c r="P213" s="8">
        <v>45199.765868055554</v>
      </c>
      <c r="Q213" s="9">
        <v>45203</v>
      </c>
      <c r="R213" t="s">
        <v>37</v>
      </c>
      <c r="S213" t="s">
        <v>44</v>
      </c>
      <c r="T213" t="s">
        <v>45</v>
      </c>
      <c r="U213" t="s">
        <v>112</v>
      </c>
      <c r="V213" t="s">
        <v>778</v>
      </c>
      <c r="W213">
        <v>94300</v>
      </c>
      <c r="X213" t="s">
        <v>114</v>
      </c>
      <c r="Y213" t="s">
        <v>115</v>
      </c>
      <c r="Z213" t="s">
        <v>49</v>
      </c>
      <c r="AA213" s="12">
        <f>IF(O213&lt;=1,13,IF(O213&lt;=2,23,IF(O213&lt;=3,35,IF(O213&lt;=4,43,IF(O213&lt;=5,53,IF(O213&lt;=6,63,IF(O213&lt;=7,71,IF(O213&lt;=8,79,IF(O213&lt;=9,87,IF(O213&lt;=10,95,IF(O213&lt;=11,105,IF(O213&lt;=12,114,IF(O213&lt;=13,119,IF(O213&lt;=14,127,IF(O213&lt;=15,135,IF(O213&lt;=16,143,IF(O213&lt;=17,153,IF(O213&lt;=18,163,IF(O213&lt;=19,171,IF(O213&lt;=20,185,IF(O213&lt;=21,193,IF(O213&lt;=22,201,IF(O213&lt;=23,210,IF(O213&lt;=24,220,IF(O213&lt;=25,230,IF(O213&lt;=26,240,IF(O213&lt;=27,250,IF(O213&lt;=28,260,IF(O213&lt;=29,270,IF(O213&lt;=30,280,280+10*ROUNDUP(O213-30,0)))))))))))))))))))))))))))))))</f>
        <v>13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6"/>
        <v>0.78</v>
      </c>
      <c r="AG213" s="11">
        <f t="shared" si="7"/>
        <v>13.78</v>
      </c>
      <c r="AH213" t="s">
        <v>116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779</v>
      </c>
      <c r="G214" t="s">
        <v>37</v>
      </c>
      <c r="H214" t="s">
        <v>38</v>
      </c>
      <c r="I214" t="s">
        <v>780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1</v>
      </c>
      <c r="P214" s="8">
        <v>45201.428229166668</v>
      </c>
      <c r="Q214" s="9">
        <v>45203</v>
      </c>
      <c r="R214" t="s">
        <v>37</v>
      </c>
      <c r="S214" t="s">
        <v>44</v>
      </c>
      <c r="T214" t="s">
        <v>45</v>
      </c>
      <c r="U214" t="s">
        <v>46</v>
      </c>
      <c r="V214" t="s">
        <v>781</v>
      </c>
      <c r="W214">
        <v>8800</v>
      </c>
      <c r="X214" t="s">
        <v>44</v>
      </c>
      <c r="Y214" t="s">
        <v>753</v>
      </c>
      <c r="Z214" t="s">
        <v>49</v>
      </c>
      <c r="AA214" s="10">
        <f>IF(O214&lt;=1,7,7+0.8*ROUNDUP(O214-1,0))</f>
        <v>7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6"/>
        <v>0.42</v>
      </c>
      <c r="AG214" s="11">
        <f t="shared" si="7"/>
        <v>7.42</v>
      </c>
      <c r="AH214" t="s">
        <v>50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782</v>
      </c>
      <c r="G215" t="s">
        <v>37</v>
      </c>
      <c r="H215" t="s">
        <v>38</v>
      </c>
      <c r="I215" t="s">
        <v>255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7</v>
      </c>
      <c r="P215" s="8">
        <v>45201.499016203707</v>
      </c>
      <c r="Q215" s="9">
        <v>45203</v>
      </c>
      <c r="R215" t="s">
        <v>37</v>
      </c>
      <c r="S215" t="s">
        <v>44</v>
      </c>
      <c r="T215" t="s">
        <v>45</v>
      </c>
      <c r="U215" t="s">
        <v>87</v>
      </c>
      <c r="V215" t="s">
        <v>256</v>
      </c>
      <c r="W215">
        <v>39100</v>
      </c>
      <c r="X215" t="s">
        <v>44</v>
      </c>
      <c r="Y215" t="s">
        <v>268</v>
      </c>
      <c r="Z215" t="s">
        <v>49</v>
      </c>
      <c r="AA215" s="10">
        <f>IF(O215&lt;=1,7,7+0.8*ROUNDUP(O215-1,0))</f>
        <v>11.8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6"/>
        <v>0.70799999999999996</v>
      </c>
      <c r="AG215" s="11">
        <f t="shared" si="7"/>
        <v>12.508000000000001</v>
      </c>
      <c r="AH215" t="s">
        <v>50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783</v>
      </c>
      <c r="G216" t="s">
        <v>37</v>
      </c>
      <c r="H216" t="s">
        <v>38</v>
      </c>
      <c r="I216" t="s">
        <v>255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3</v>
      </c>
      <c r="P216" s="8">
        <v>45201.499016203707</v>
      </c>
      <c r="Q216" s="9">
        <v>45203</v>
      </c>
      <c r="R216" t="s">
        <v>37</v>
      </c>
      <c r="S216" t="s">
        <v>44</v>
      </c>
      <c r="T216" t="s">
        <v>45</v>
      </c>
      <c r="U216" t="s">
        <v>87</v>
      </c>
      <c r="V216" t="s">
        <v>256</v>
      </c>
      <c r="W216">
        <v>39100</v>
      </c>
      <c r="X216" t="s">
        <v>44</v>
      </c>
      <c r="Y216" t="s">
        <v>268</v>
      </c>
      <c r="Z216" t="s">
        <v>49</v>
      </c>
      <c r="AA216" s="10">
        <f>IF(O216&lt;=1,7,7+0.8*ROUNDUP(O216-1,0))</f>
        <v>8.6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6"/>
        <v>0.51600000000000001</v>
      </c>
      <c r="AG216" s="11">
        <f t="shared" si="7"/>
        <v>9.1159999999999997</v>
      </c>
      <c r="AH216" t="s">
        <v>50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784</v>
      </c>
      <c r="G217" t="s">
        <v>37</v>
      </c>
      <c r="H217" t="s">
        <v>38</v>
      </c>
      <c r="I217" t="s">
        <v>785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1</v>
      </c>
      <c r="P217" s="8">
        <v>45202.503599537034</v>
      </c>
      <c r="Q217" s="9">
        <v>45203</v>
      </c>
      <c r="R217" t="s">
        <v>37</v>
      </c>
      <c r="S217" t="s">
        <v>44</v>
      </c>
      <c r="T217" t="s">
        <v>45</v>
      </c>
      <c r="U217" t="s">
        <v>66</v>
      </c>
      <c r="V217" t="s">
        <v>786</v>
      </c>
      <c r="W217">
        <v>68000</v>
      </c>
      <c r="X217" t="s">
        <v>44</v>
      </c>
      <c r="Y217" t="s">
        <v>115</v>
      </c>
      <c r="Z217" t="s">
        <v>49</v>
      </c>
      <c r="AA217" s="10">
        <f>IF(O217&lt;=1,7,7+0.8*ROUNDUP(O217-1,0))</f>
        <v>7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6"/>
        <v>0.42</v>
      </c>
      <c r="AG217" s="11">
        <f t="shared" si="7"/>
        <v>7.42</v>
      </c>
      <c r="AH217" t="s">
        <v>50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787</v>
      </c>
      <c r="G218" t="s">
        <v>37</v>
      </c>
      <c r="H218" t="s">
        <v>38</v>
      </c>
      <c r="I218" t="s">
        <v>788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1</v>
      </c>
      <c r="P218" s="8">
        <v>45201.667951388888</v>
      </c>
      <c r="Q218" s="9">
        <v>45203</v>
      </c>
      <c r="R218" t="s">
        <v>37</v>
      </c>
      <c r="S218" t="s">
        <v>44</v>
      </c>
      <c r="T218" t="s">
        <v>45</v>
      </c>
      <c r="U218" t="s">
        <v>182</v>
      </c>
      <c r="V218" t="s">
        <v>789</v>
      </c>
      <c r="W218">
        <v>12300</v>
      </c>
      <c r="X218" t="s">
        <v>44</v>
      </c>
      <c r="Y218" t="s">
        <v>468</v>
      </c>
      <c r="Z218" t="s">
        <v>49</v>
      </c>
      <c r="AA218" s="10">
        <f>IF(O218&lt;=1,7,7+0.8*ROUNDUP(O218-1,0))</f>
        <v>7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6"/>
        <v>0.42</v>
      </c>
      <c r="AG218" s="11">
        <f t="shared" si="7"/>
        <v>7.42</v>
      </c>
      <c r="AH218" t="s">
        <v>50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790</v>
      </c>
      <c r="G219" t="s">
        <v>37</v>
      </c>
      <c r="H219" t="s">
        <v>38</v>
      </c>
      <c r="I219" t="s">
        <v>791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1</v>
      </c>
      <c r="P219" s="8">
        <v>45202.740833333337</v>
      </c>
      <c r="Q219" s="9">
        <v>45203</v>
      </c>
      <c r="R219" t="s">
        <v>37</v>
      </c>
      <c r="S219" t="s">
        <v>44</v>
      </c>
      <c r="T219" t="s">
        <v>45</v>
      </c>
      <c r="U219" t="s">
        <v>66</v>
      </c>
      <c r="V219" t="s">
        <v>792</v>
      </c>
      <c r="W219">
        <v>43000</v>
      </c>
      <c r="X219" t="s">
        <v>44</v>
      </c>
      <c r="Y219" t="s">
        <v>793</v>
      </c>
      <c r="Z219" t="s">
        <v>49</v>
      </c>
      <c r="AA219" s="10">
        <f>IF(O219&lt;=1,7,7+0.8*ROUNDUP(O219-1,0))</f>
        <v>7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6"/>
        <v>0.42</v>
      </c>
      <c r="AG219" s="11">
        <f t="shared" si="7"/>
        <v>7.42</v>
      </c>
      <c r="AH219" t="s">
        <v>50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794</v>
      </c>
      <c r="G220" t="s">
        <v>37</v>
      </c>
      <c r="H220" t="s">
        <v>38</v>
      </c>
      <c r="I220" t="s">
        <v>795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</v>
      </c>
      <c r="P220" s="8">
        <v>45201.426423611112</v>
      </c>
      <c r="Q220" s="9">
        <v>45203</v>
      </c>
      <c r="R220" t="s">
        <v>37</v>
      </c>
      <c r="S220" t="s">
        <v>44</v>
      </c>
      <c r="T220" t="s">
        <v>45</v>
      </c>
      <c r="U220" t="s">
        <v>66</v>
      </c>
      <c r="V220" t="s">
        <v>796</v>
      </c>
      <c r="W220">
        <v>42100</v>
      </c>
      <c r="X220" t="s">
        <v>44</v>
      </c>
      <c r="Y220" t="s">
        <v>115</v>
      </c>
      <c r="Z220" t="s">
        <v>49</v>
      </c>
      <c r="AA220" s="10">
        <f>IF(O220&lt;=1,7,7+0.8*ROUNDUP(O220-1,0))</f>
        <v>7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6"/>
        <v>0.42</v>
      </c>
      <c r="AG220" s="11">
        <f t="shared" si="7"/>
        <v>7.42</v>
      </c>
      <c r="AH220" t="s">
        <v>50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797</v>
      </c>
      <c r="G221" t="s">
        <v>37</v>
      </c>
      <c r="H221" t="s">
        <v>38</v>
      </c>
      <c r="I221" t="s">
        <v>798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1</v>
      </c>
      <c r="P221" s="8">
        <v>45201.529004629629</v>
      </c>
      <c r="Q221" s="9">
        <v>45203</v>
      </c>
      <c r="R221" t="s">
        <v>37</v>
      </c>
      <c r="S221" t="s">
        <v>44</v>
      </c>
      <c r="T221" t="s">
        <v>45</v>
      </c>
      <c r="U221" t="s">
        <v>263</v>
      </c>
      <c r="V221" t="s">
        <v>799</v>
      </c>
      <c r="W221">
        <v>1000</v>
      </c>
      <c r="X221" t="s">
        <v>44</v>
      </c>
      <c r="Y221" t="s">
        <v>757</v>
      </c>
      <c r="Z221" t="s">
        <v>49</v>
      </c>
      <c r="AA221" s="10">
        <f>IF(O221&lt;=1,7,7+0.8*ROUNDUP(O221-1,0))</f>
        <v>7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6"/>
        <v>0.42</v>
      </c>
      <c r="AG221" s="11">
        <f t="shared" si="7"/>
        <v>7.42</v>
      </c>
      <c r="AH221" t="s">
        <v>50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800</v>
      </c>
      <c r="G222" t="s">
        <v>37</v>
      </c>
      <c r="H222" t="s">
        <v>38</v>
      </c>
      <c r="I222" t="s">
        <v>801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1</v>
      </c>
      <c r="P222" s="8">
        <v>45201.688715277778</v>
      </c>
      <c r="Q222" s="9">
        <v>45203</v>
      </c>
      <c r="R222" t="s">
        <v>37</v>
      </c>
      <c r="S222" t="s">
        <v>44</v>
      </c>
      <c r="T222" t="s">
        <v>45</v>
      </c>
      <c r="U222" t="s">
        <v>66</v>
      </c>
      <c r="V222" t="s">
        <v>802</v>
      </c>
      <c r="W222">
        <v>40460</v>
      </c>
      <c r="X222" t="s">
        <v>44</v>
      </c>
      <c r="Y222" t="s">
        <v>450</v>
      </c>
      <c r="Z222" t="s">
        <v>49</v>
      </c>
      <c r="AA222" s="10">
        <f>IF(O222&lt;=1,7,7+0.8*ROUNDUP(O222-1,0))</f>
        <v>7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6"/>
        <v>0.42</v>
      </c>
      <c r="AG222" s="11">
        <f t="shared" si="7"/>
        <v>7.42</v>
      </c>
      <c r="AH222" t="s">
        <v>50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803</v>
      </c>
      <c r="G223" t="s">
        <v>37</v>
      </c>
      <c r="H223" t="s">
        <v>38</v>
      </c>
      <c r="I223" t="s">
        <v>804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3</v>
      </c>
      <c r="P223" s="8">
        <v>45202.562627314815</v>
      </c>
      <c r="Q223" s="9">
        <v>45203</v>
      </c>
      <c r="R223" t="s">
        <v>37</v>
      </c>
      <c r="S223" t="s">
        <v>44</v>
      </c>
      <c r="T223" t="s">
        <v>45</v>
      </c>
      <c r="U223" t="s">
        <v>66</v>
      </c>
      <c r="V223" t="s">
        <v>805</v>
      </c>
      <c r="W223">
        <v>42700</v>
      </c>
      <c r="X223" t="s">
        <v>44</v>
      </c>
      <c r="Y223" t="s">
        <v>637</v>
      </c>
      <c r="Z223" t="s">
        <v>49</v>
      </c>
      <c r="AA223" s="10">
        <f>IF(O223&lt;=1,7,7+0.8*ROUNDUP(O223-1,0))</f>
        <v>8.6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6"/>
        <v>0.51600000000000001</v>
      </c>
      <c r="AG223" s="11">
        <f t="shared" si="7"/>
        <v>9.1159999999999997</v>
      </c>
      <c r="AH223" t="s">
        <v>50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806</v>
      </c>
      <c r="G224" t="s">
        <v>37</v>
      </c>
      <c r="H224" t="s">
        <v>38</v>
      </c>
      <c r="I224" t="s">
        <v>807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2</v>
      </c>
      <c r="P224" s="8">
        <v>45201.417557870373</v>
      </c>
      <c r="Q224" s="9">
        <v>45203</v>
      </c>
      <c r="R224" t="s">
        <v>37</v>
      </c>
      <c r="S224" t="s">
        <v>44</v>
      </c>
      <c r="T224" t="s">
        <v>45</v>
      </c>
      <c r="U224" t="s">
        <v>46</v>
      </c>
      <c r="V224" t="s">
        <v>808</v>
      </c>
      <c r="W224">
        <v>6600</v>
      </c>
      <c r="X224" t="s">
        <v>44</v>
      </c>
      <c r="Y224" t="s">
        <v>115</v>
      </c>
      <c r="Z224" t="s">
        <v>49</v>
      </c>
      <c r="AA224" s="10">
        <f>IF(O224&lt;=1,7,7+0.8*ROUNDUP(O224-1,0))</f>
        <v>7.8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6"/>
        <v>0.46799999999999997</v>
      </c>
      <c r="AG224" s="11">
        <f t="shared" si="7"/>
        <v>8.2680000000000007</v>
      </c>
      <c r="AH224" t="s">
        <v>50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809</v>
      </c>
      <c r="G225" t="s">
        <v>37</v>
      </c>
      <c r="H225" t="s">
        <v>38</v>
      </c>
      <c r="I225" t="s">
        <v>810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45201.660671296297</v>
      </c>
      <c r="Q225" s="9">
        <v>45203</v>
      </c>
      <c r="R225" t="s">
        <v>37</v>
      </c>
      <c r="S225" t="s">
        <v>44</v>
      </c>
      <c r="T225" t="s">
        <v>45</v>
      </c>
      <c r="U225" t="s">
        <v>66</v>
      </c>
      <c r="V225" t="s">
        <v>811</v>
      </c>
      <c r="W225">
        <v>62510</v>
      </c>
      <c r="X225" t="s">
        <v>44</v>
      </c>
      <c r="Y225" t="s">
        <v>115</v>
      </c>
      <c r="Z225" t="s">
        <v>49</v>
      </c>
      <c r="AA225" s="10">
        <f>IF(O225&lt;=1,7,7+0.8*ROUNDUP(O225-1,0))</f>
        <v>7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6"/>
        <v>0.42</v>
      </c>
      <c r="AG225" s="11">
        <f t="shared" si="7"/>
        <v>7.42</v>
      </c>
      <c r="AH225" t="s">
        <v>50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812</v>
      </c>
      <c r="G226" t="s">
        <v>37</v>
      </c>
      <c r="H226" t="s">
        <v>38</v>
      </c>
      <c r="I226" t="s">
        <v>813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1</v>
      </c>
      <c r="P226" s="8">
        <v>45201.663171296299</v>
      </c>
      <c r="Q226" s="9">
        <v>45203</v>
      </c>
      <c r="R226" t="s">
        <v>37</v>
      </c>
      <c r="S226" t="s">
        <v>44</v>
      </c>
      <c r="T226" t="s">
        <v>45</v>
      </c>
      <c r="U226" t="s">
        <v>187</v>
      </c>
      <c r="V226" t="s">
        <v>814</v>
      </c>
      <c r="W226">
        <v>55100</v>
      </c>
      <c r="X226" t="s">
        <v>44</v>
      </c>
      <c r="Y226" t="s">
        <v>373</v>
      </c>
      <c r="Z226" t="s">
        <v>49</v>
      </c>
      <c r="AA226" s="10">
        <f>IF(O226&lt;=1,7,7+0.8*ROUNDUP(O226-1,0))</f>
        <v>7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6"/>
        <v>0.42</v>
      </c>
      <c r="AG226" s="11">
        <f t="shared" si="7"/>
        <v>7.42</v>
      </c>
      <c r="AH226" t="s">
        <v>50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815</v>
      </c>
      <c r="G227" t="s">
        <v>37</v>
      </c>
      <c r="H227" t="s">
        <v>38</v>
      </c>
      <c r="I227" t="s">
        <v>816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1</v>
      </c>
      <c r="P227" s="8">
        <v>45201.664884259262</v>
      </c>
      <c r="Q227" s="9">
        <v>45203</v>
      </c>
      <c r="R227" t="s">
        <v>37</v>
      </c>
      <c r="S227" t="s">
        <v>44</v>
      </c>
      <c r="T227" t="s">
        <v>45</v>
      </c>
      <c r="U227" t="s">
        <v>157</v>
      </c>
      <c r="V227" t="s">
        <v>817</v>
      </c>
      <c r="W227">
        <v>36800</v>
      </c>
      <c r="X227" t="s">
        <v>44</v>
      </c>
      <c r="Y227" t="s">
        <v>159</v>
      </c>
      <c r="Z227" t="s">
        <v>49</v>
      </c>
      <c r="AA227" s="10">
        <f>IF(O227&lt;=1,7,7+0.8*ROUNDUP(O227-1,0))</f>
        <v>7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6"/>
        <v>0.42</v>
      </c>
      <c r="AG227" s="11">
        <f t="shared" si="7"/>
        <v>7.42</v>
      </c>
      <c r="AH227" t="s">
        <v>50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818</v>
      </c>
      <c r="G228" t="s">
        <v>37</v>
      </c>
      <c r="H228" t="s">
        <v>38</v>
      </c>
      <c r="I228" t="s">
        <v>819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1</v>
      </c>
      <c r="P228" s="8">
        <v>45202.731782407405</v>
      </c>
      <c r="Q228" s="9">
        <v>45203</v>
      </c>
      <c r="R228" t="s">
        <v>37</v>
      </c>
      <c r="S228" t="s">
        <v>44</v>
      </c>
      <c r="T228" t="s">
        <v>45</v>
      </c>
      <c r="U228" t="s">
        <v>87</v>
      </c>
      <c r="V228" t="s">
        <v>820</v>
      </c>
      <c r="W228">
        <v>28000</v>
      </c>
      <c r="X228" t="s">
        <v>44</v>
      </c>
      <c r="Y228" t="s">
        <v>45</v>
      </c>
      <c r="Z228" t="s">
        <v>49</v>
      </c>
      <c r="AA228" s="10">
        <f>IF(O228&lt;=1,7,7+0.8*ROUNDUP(O228-1,0))</f>
        <v>7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ref="AF228:AF291" si="8">(AA228+AC228+AE228)*6%</f>
        <v>0.42</v>
      </c>
      <c r="AG228" s="11">
        <f t="shared" ref="AG228:AG291" si="9">AA228+AC228+AE228+AF228</f>
        <v>7.42</v>
      </c>
      <c r="AH228" t="s">
        <v>50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821</v>
      </c>
      <c r="G229" t="s">
        <v>37</v>
      </c>
      <c r="H229" t="s">
        <v>38</v>
      </c>
      <c r="I229" t="s">
        <v>822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1</v>
      </c>
      <c r="P229" s="8">
        <v>45201.591111111113</v>
      </c>
      <c r="Q229" s="9">
        <v>45203</v>
      </c>
      <c r="R229" t="s">
        <v>37</v>
      </c>
      <c r="S229" t="s">
        <v>44</v>
      </c>
      <c r="T229" t="s">
        <v>45</v>
      </c>
      <c r="U229" t="s">
        <v>66</v>
      </c>
      <c r="V229" t="s">
        <v>823</v>
      </c>
      <c r="W229">
        <v>42100</v>
      </c>
      <c r="X229" t="s">
        <v>44</v>
      </c>
      <c r="Y229" t="s">
        <v>115</v>
      </c>
      <c r="Z229" t="s">
        <v>49</v>
      </c>
      <c r="AA229" s="10">
        <f>IF(O229&lt;=1,7,7+0.8*ROUNDUP(O229-1,0))</f>
        <v>7</v>
      </c>
      <c r="AB229" s="11">
        <v>0</v>
      </c>
      <c r="AC229" s="11">
        <v>0</v>
      </c>
      <c r="AD229" s="11">
        <v>1300</v>
      </c>
      <c r="AE229" s="11">
        <f>AD229*1.5%</f>
        <v>19.5</v>
      </c>
      <c r="AF229" s="11">
        <f t="shared" si="8"/>
        <v>1.5899999999999999</v>
      </c>
      <c r="AG229" s="11">
        <f t="shared" si="9"/>
        <v>28.09</v>
      </c>
      <c r="AH229" t="s">
        <v>50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824</v>
      </c>
      <c r="G230" t="s">
        <v>37</v>
      </c>
      <c r="H230" t="s">
        <v>38</v>
      </c>
      <c r="I230" t="s">
        <v>825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3</v>
      </c>
      <c r="P230" s="8">
        <v>45201.692418981482</v>
      </c>
      <c r="Q230" s="9">
        <v>45203</v>
      </c>
      <c r="R230" t="s">
        <v>37</v>
      </c>
      <c r="S230" t="s">
        <v>44</v>
      </c>
      <c r="T230" t="s">
        <v>45</v>
      </c>
      <c r="U230" t="s">
        <v>157</v>
      </c>
      <c r="V230" t="s">
        <v>826</v>
      </c>
      <c r="W230">
        <v>31900</v>
      </c>
      <c r="X230" t="s">
        <v>44</v>
      </c>
      <c r="Y230" t="s">
        <v>282</v>
      </c>
      <c r="Z230" t="s">
        <v>49</v>
      </c>
      <c r="AA230" s="10">
        <f>IF(O230&lt;=1,7,7+0.8*ROUNDUP(O230-1,0))</f>
        <v>8.6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8"/>
        <v>0.51600000000000001</v>
      </c>
      <c r="AG230" s="11">
        <f t="shared" si="9"/>
        <v>9.1159999999999997</v>
      </c>
      <c r="AH230" t="s">
        <v>50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827</v>
      </c>
      <c r="G231" t="s">
        <v>37</v>
      </c>
      <c r="H231" t="s">
        <v>38</v>
      </c>
      <c r="I231" t="s">
        <v>828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1</v>
      </c>
      <c r="P231" s="8">
        <v>45201.763344907406</v>
      </c>
      <c r="Q231" s="9">
        <v>45203</v>
      </c>
      <c r="R231" t="s">
        <v>37</v>
      </c>
      <c r="S231" t="s">
        <v>44</v>
      </c>
      <c r="T231" t="s">
        <v>45</v>
      </c>
      <c r="U231" t="s">
        <v>145</v>
      </c>
      <c r="V231" t="s">
        <v>829</v>
      </c>
      <c r="W231">
        <v>77300</v>
      </c>
      <c r="X231" t="s">
        <v>44</v>
      </c>
      <c r="Y231" t="s">
        <v>115</v>
      </c>
      <c r="Z231" t="s">
        <v>49</v>
      </c>
      <c r="AA231" s="10">
        <f>IF(O231&lt;=1,7,7+0.8*ROUNDUP(O231-1,0))</f>
        <v>7</v>
      </c>
      <c r="AB231" s="11">
        <v>0</v>
      </c>
      <c r="AC231" s="11">
        <v>0</v>
      </c>
      <c r="AD231" s="11">
        <v>1000</v>
      </c>
      <c r="AE231" s="11">
        <f>AD231*1.5%</f>
        <v>15</v>
      </c>
      <c r="AF231" s="11">
        <f t="shared" si="8"/>
        <v>1.3199999999999998</v>
      </c>
      <c r="AG231" s="11">
        <f t="shared" si="9"/>
        <v>23.32</v>
      </c>
      <c r="AH231" t="s">
        <v>50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830</v>
      </c>
      <c r="G232" t="s">
        <v>37</v>
      </c>
      <c r="H232" t="s">
        <v>38</v>
      </c>
      <c r="I232" t="s">
        <v>831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3</v>
      </c>
      <c r="P232" s="8">
        <v>45200.739085648151</v>
      </c>
      <c r="Q232" s="9">
        <v>45203</v>
      </c>
      <c r="R232" t="s">
        <v>37</v>
      </c>
      <c r="S232" t="s">
        <v>44</v>
      </c>
      <c r="T232" t="s">
        <v>45</v>
      </c>
      <c r="U232" t="s">
        <v>66</v>
      </c>
      <c r="V232" t="s">
        <v>832</v>
      </c>
      <c r="W232">
        <v>47830</v>
      </c>
      <c r="X232" t="s">
        <v>44</v>
      </c>
      <c r="Y232" t="s">
        <v>833</v>
      </c>
      <c r="Z232" t="s">
        <v>49</v>
      </c>
      <c r="AA232" s="10">
        <f>IF(O232&lt;=1,7,7+0.8*ROUNDUP(O232-1,0))</f>
        <v>8.6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8"/>
        <v>0.51600000000000001</v>
      </c>
      <c r="AG232" s="11">
        <f t="shared" si="9"/>
        <v>9.1159999999999997</v>
      </c>
      <c r="AH232" t="s">
        <v>50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834</v>
      </c>
      <c r="G233" t="s">
        <v>37</v>
      </c>
      <c r="H233" t="s">
        <v>38</v>
      </c>
      <c r="I233" t="s">
        <v>835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1</v>
      </c>
      <c r="P233" s="8">
        <v>45202.495706018519</v>
      </c>
      <c r="Q233" s="9">
        <v>45203</v>
      </c>
      <c r="R233" t="s">
        <v>37</v>
      </c>
      <c r="S233" t="s">
        <v>44</v>
      </c>
      <c r="T233" t="s">
        <v>45</v>
      </c>
      <c r="U233" t="s">
        <v>187</v>
      </c>
      <c r="V233" t="s">
        <v>836</v>
      </c>
      <c r="W233">
        <v>53100</v>
      </c>
      <c r="X233" t="s">
        <v>44</v>
      </c>
      <c r="Y233" t="s">
        <v>115</v>
      </c>
      <c r="Z233" t="s">
        <v>49</v>
      </c>
      <c r="AA233" s="10">
        <f>IF(O233&lt;=1,7,7+0.8*ROUNDUP(O233-1,0))</f>
        <v>7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8"/>
        <v>0.42</v>
      </c>
      <c r="AG233" s="11">
        <f t="shared" si="9"/>
        <v>7.42</v>
      </c>
      <c r="AH233" t="s">
        <v>50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837</v>
      </c>
      <c r="G234" t="s">
        <v>37</v>
      </c>
      <c r="H234" t="s">
        <v>38</v>
      </c>
      <c r="I234" t="s">
        <v>838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1</v>
      </c>
      <c r="P234" s="8">
        <v>45201.700601851851</v>
      </c>
      <c r="Q234" s="9">
        <v>45203</v>
      </c>
      <c r="R234" t="s">
        <v>37</v>
      </c>
      <c r="S234" t="s">
        <v>44</v>
      </c>
      <c r="T234" t="s">
        <v>45</v>
      </c>
      <c r="U234" t="s">
        <v>61</v>
      </c>
      <c r="V234" t="s">
        <v>839</v>
      </c>
      <c r="W234">
        <v>71800</v>
      </c>
      <c r="X234" t="s">
        <v>44</v>
      </c>
      <c r="Y234" t="s">
        <v>115</v>
      </c>
      <c r="Z234" t="s">
        <v>49</v>
      </c>
      <c r="AA234" s="10">
        <f>IF(O234&lt;=1,7,7+0.8*ROUNDUP(O234-1,0))</f>
        <v>7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8"/>
        <v>0.42</v>
      </c>
      <c r="AG234" s="11">
        <f t="shared" si="9"/>
        <v>7.42</v>
      </c>
      <c r="AH234" t="s">
        <v>50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840</v>
      </c>
      <c r="G235" t="s">
        <v>37</v>
      </c>
      <c r="H235" t="s">
        <v>38</v>
      </c>
      <c r="I235" t="s">
        <v>841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</v>
      </c>
      <c r="P235" s="8">
        <v>45202.480219907404</v>
      </c>
      <c r="Q235" s="9">
        <v>45203</v>
      </c>
      <c r="R235" t="s">
        <v>37</v>
      </c>
      <c r="S235" t="s">
        <v>44</v>
      </c>
      <c r="T235" t="s">
        <v>45</v>
      </c>
      <c r="U235" t="s">
        <v>66</v>
      </c>
      <c r="V235" t="s">
        <v>842</v>
      </c>
      <c r="W235">
        <v>43000</v>
      </c>
      <c r="X235" t="s">
        <v>44</v>
      </c>
      <c r="Y235" t="s">
        <v>793</v>
      </c>
      <c r="Z235" t="s">
        <v>49</v>
      </c>
      <c r="AA235" s="10">
        <f>IF(O235&lt;=1,7,7+0.8*ROUNDUP(O235-1,0))</f>
        <v>7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8"/>
        <v>0.42</v>
      </c>
      <c r="AG235" s="11">
        <f t="shared" si="9"/>
        <v>7.42</v>
      </c>
      <c r="AH235" t="s">
        <v>50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843</v>
      </c>
      <c r="G236" t="s">
        <v>37</v>
      </c>
      <c r="H236" t="s">
        <v>38</v>
      </c>
      <c r="I236" t="s">
        <v>844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3</v>
      </c>
      <c r="P236" s="8">
        <v>45202.562627314815</v>
      </c>
      <c r="Q236" s="9">
        <v>45203</v>
      </c>
      <c r="R236" t="s">
        <v>37</v>
      </c>
      <c r="S236" t="s">
        <v>44</v>
      </c>
      <c r="T236" t="s">
        <v>45</v>
      </c>
      <c r="U236" t="s">
        <v>53</v>
      </c>
      <c r="V236" t="s">
        <v>845</v>
      </c>
      <c r="W236">
        <v>17040</v>
      </c>
      <c r="X236" t="s">
        <v>44</v>
      </c>
      <c r="Y236" t="s">
        <v>846</v>
      </c>
      <c r="Z236" t="s">
        <v>49</v>
      </c>
      <c r="AA236" s="10">
        <f>IF(O236&lt;=1,7,7+0.8*ROUNDUP(O236-1,0))</f>
        <v>8.6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8"/>
        <v>0.51600000000000001</v>
      </c>
      <c r="AG236" s="11">
        <f t="shared" si="9"/>
        <v>9.1159999999999997</v>
      </c>
      <c r="AH236" t="s">
        <v>50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847</v>
      </c>
      <c r="G237" t="s">
        <v>37</v>
      </c>
      <c r="H237" t="s">
        <v>38</v>
      </c>
      <c r="I237" t="s">
        <v>848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1</v>
      </c>
      <c r="P237" s="8">
        <v>45202.497303240743</v>
      </c>
      <c r="Q237" s="9">
        <v>45204</v>
      </c>
      <c r="R237" t="s">
        <v>37</v>
      </c>
      <c r="S237" t="s">
        <v>44</v>
      </c>
      <c r="T237" t="s">
        <v>45</v>
      </c>
      <c r="U237" t="s">
        <v>92</v>
      </c>
      <c r="V237" t="s">
        <v>849</v>
      </c>
      <c r="W237">
        <v>86400</v>
      </c>
      <c r="X237" t="s">
        <v>44</v>
      </c>
      <c r="Y237" t="s">
        <v>105</v>
      </c>
      <c r="Z237" t="s">
        <v>49</v>
      </c>
      <c r="AA237" s="10">
        <f>IF(O237&lt;=1,7,7+0.8*ROUNDUP(O237-1,0))</f>
        <v>7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8"/>
        <v>0.42</v>
      </c>
      <c r="AG237" s="11">
        <f t="shared" si="9"/>
        <v>7.42</v>
      </c>
      <c r="AH237" t="s">
        <v>50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850</v>
      </c>
      <c r="G238" t="s">
        <v>37</v>
      </c>
      <c r="H238" t="s">
        <v>38</v>
      </c>
      <c r="I238" t="s">
        <v>851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1</v>
      </c>
      <c r="P238" s="8">
        <v>45202.495706018519</v>
      </c>
      <c r="Q238" s="9">
        <v>45204</v>
      </c>
      <c r="R238" t="s">
        <v>37</v>
      </c>
      <c r="S238" t="s">
        <v>44</v>
      </c>
      <c r="T238" t="s">
        <v>45</v>
      </c>
      <c r="U238" t="s">
        <v>157</v>
      </c>
      <c r="V238" t="s">
        <v>852</v>
      </c>
      <c r="W238">
        <v>30000</v>
      </c>
      <c r="X238" t="s">
        <v>44</v>
      </c>
      <c r="Y238" t="s">
        <v>115</v>
      </c>
      <c r="Z238" t="s">
        <v>49</v>
      </c>
      <c r="AA238" s="10">
        <f>IF(O238&lt;=1,7,7+0.8*ROUNDUP(O238-1,0))</f>
        <v>7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8"/>
        <v>0.42</v>
      </c>
      <c r="AG238" s="11">
        <f t="shared" si="9"/>
        <v>7.42</v>
      </c>
      <c r="AH238" t="s">
        <v>50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853</v>
      </c>
      <c r="G239" t="s">
        <v>37</v>
      </c>
      <c r="H239" t="s">
        <v>38</v>
      </c>
      <c r="I239" t="s">
        <v>854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1</v>
      </c>
      <c r="P239" s="8">
        <v>45202.505208333336</v>
      </c>
      <c r="Q239" s="9">
        <v>45204</v>
      </c>
      <c r="R239" t="s">
        <v>37</v>
      </c>
      <c r="S239" t="s">
        <v>44</v>
      </c>
      <c r="T239" t="s">
        <v>45</v>
      </c>
      <c r="U239" t="s">
        <v>61</v>
      </c>
      <c r="V239" t="s">
        <v>855</v>
      </c>
      <c r="W239">
        <v>70400</v>
      </c>
      <c r="X239" t="s">
        <v>44</v>
      </c>
      <c r="Y239" t="s">
        <v>63</v>
      </c>
      <c r="Z239" t="s">
        <v>49</v>
      </c>
      <c r="AA239" s="10">
        <f>IF(O239&lt;=1,7,7+0.8*ROUNDUP(O239-1,0))</f>
        <v>7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8"/>
        <v>0.42</v>
      </c>
      <c r="AG239" s="11">
        <f t="shared" si="9"/>
        <v>7.42</v>
      </c>
      <c r="AH239" t="s">
        <v>50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856</v>
      </c>
      <c r="G240" t="s">
        <v>37</v>
      </c>
      <c r="H240" t="s">
        <v>38</v>
      </c>
      <c r="I240" t="s">
        <v>857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3</v>
      </c>
      <c r="P240" s="8">
        <v>45201.417557870373</v>
      </c>
      <c r="Q240" s="9">
        <v>45204</v>
      </c>
      <c r="R240" t="s">
        <v>37</v>
      </c>
      <c r="S240" t="s">
        <v>44</v>
      </c>
      <c r="T240" t="s">
        <v>45</v>
      </c>
      <c r="U240" t="s">
        <v>92</v>
      </c>
      <c r="V240" t="s">
        <v>858</v>
      </c>
      <c r="W240">
        <v>86000</v>
      </c>
      <c r="X240" t="s">
        <v>44</v>
      </c>
      <c r="Y240" t="s">
        <v>859</v>
      </c>
      <c r="Z240" t="s">
        <v>49</v>
      </c>
      <c r="AA240" s="10">
        <f>IF(O240&lt;=1,7,7+0.8*ROUNDUP(O240-1,0))</f>
        <v>8.6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8"/>
        <v>0.51600000000000001</v>
      </c>
      <c r="AG240" s="11">
        <f t="shared" si="9"/>
        <v>9.1159999999999997</v>
      </c>
      <c r="AH240" t="s">
        <v>50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860</v>
      </c>
      <c r="G241" t="s">
        <v>37</v>
      </c>
      <c r="H241" t="s">
        <v>38</v>
      </c>
      <c r="I241" t="s">
        <v>861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1</v>
      </c>
      <c r="P241" s="8">
        <v>45202.776180555556</v>
      </c>
      <c r="Q241" s="9">
        <v>45204</v>
      </c>
      <c r="R241" t="s">
        <v>37</v>
      </c>
      <c r="S241" t="s">
        <v>44</v>
      </c>
      <c r="T241" t="s">
        <v>45</v>
      </c>
      <c r="U241" t="s">
        <v>187</v>
      </c>
      <c r="V241" t="s">
        <v>862</v>
      </c>
      <c r="W241">
        <v>50450</v>
      </c>
      <c r="X241" t="s">
        <v>44</v>
      </c>
      <c r="Y241" t="s">
        <v>541</v>
      </c>
      <c r="Z241" t="s">
        <v>49</v>
      </c>
      <c r="AA241" s="10">
        <f>IF(O241&lt;=1,7,7+0.8*ROUNDUP(O241-1,0))</f>
        <v>7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8"/>
        <v>0.42</v>
      </c>
      <c r="AG241" s="11">
        <f t="shared" si="9"/>
        <v>7.42</v>
      </c>
      <c r="AH241" t="s">
        <v>50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863</v>
      </c>
      <c r="G242" t="s">
        <v>37</v>
      </c>
      <c r="H242" t="s">
        <v>38</v>
      </c>
      <c r="I242" t="s">
        <v>864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2</v>
      </c>
      <c r="P242" s="8">
        <v>45197.622476851851</v>
      </c>
      <c r="Q242" s="9">
        <v>45204</v>
      </c>
      <c r="R242" t="s">
        <v>37</v>
      </c>
      <c r="S242" t="s">
        <v>44</v>
      </c>
      <c r="T242" t="s">
        <v>45</v>
      </c>
      <c r="U242" t="s">
        <v>187</v>
      </c>
      <c r="V242" t="s">
        <v>865</v>
      </c>
      <c r="W242">
        <v>50609</v>
      </c>
      <c r="X242" t="s">
        <v>44</v>
      </c>
      <c r="Y242" t="s">
        <v>541</v>
      </c>
      <c r="Z242" t="s">
        <v>49</v>
      </c>
      <c r="AA242" s="10">
        <f>IF(O242&lt;=1,7,7+0.8*ROUNDUP(O242-1,0))</f>
        <v>7.8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8"/>
        <v>0.46799999999999997</v>
      </c>
      <c r="AG242" s="11">
        <f t="shared" si="9"/>
        <v>8.2680000000000007</v>
      </c>
      <c r="AH242" t="s">
        <v>50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866</v>
      </c>
      <c r="G243" t="s">
        <v>37</v>
      </c>
      <c r="H243" t="s">
        <v>38</v>
      </c>
      <c r="I243" t="s">
        <v>867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1</v>
      </c>
      <c r="P243" s="8">
        <v>45203.683506944442</v>
      </c>
      <c r="Q243" s="9">
        <v>45204</v>
      </c>
      <c r="R243" t="s">
        <v>37</v>
      </c>
      <c r="S243" t="s">
        <v>44</v>
      </c>
      <c r="T243" t="s">
        <v>45</v>
      </c>
      <c r="U243" t="s">
        <v>71</v>
      </c>
      <c r="V243" t="s">
        <v>868</v>
      </c>
      <c r="W243">
        <v>22200</v>
      </c>
      <c r="X243" t="s">
        <v>44</v>
      </c>
      <c r="Y243" t="s">
        <v>55</v>
      </c>
      <c r="Z243" t="s">
        <v>49</v>
      </c>
      <c r="AA243" s="10">
        <f>IF(O243&lt;=1,7,7+0.8*ROUNDUP(O243-1,0))</f>
        <v>7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8"/>
        <v>0.42</v>
      </c>
      <c r="AG243" s="11">
        <f t="shared" si="9"/>
        <v>7.42</v>
      </c>
      <c r="AH243" t="s">
        <v>50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869</v>
      </c>
      <c r="G244" t="s">
        <v>37</v>
      </c>
      <c r="H244" t="s">
        <v>38</v>
      </c>
      <c r="I244" t="s">
        <v>870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45202.480219907404</v>
      </c>
      <c r="Q244" s="9">
        <v>45204</v>
      </c>
      <c r="R244" t="s">
        <v>37</v>
      </c>
      <c r="S244" t="s">
        <v>44</v>
      </c>
      <c r="T244" t="s">
        <v>45</v>
      </c>
      <c r="U244" t="s">
        <v>173</v>
      </c>
      <c r="V244" t="s">
        <v>871</v>
      </c>
      <c r="W244">
        <v>90107</v>
      </c>
      <c r="X244" t="s">
        <v>114</v>
      </c>
      <c r="Y244" t="s">
        <v>115</v>
      </c>
      <c r="Z244" t="s">
        <v>49</v>
      </c>
      <c r="AA244" s="12">
        <f>IF(O244&lt;=1,13,IF(O244&lt;=2,23,IF(O244&lt;=3,35,IF(O244&lt;=4,43,IF(O244&lt;=5,53,IF(O244&lt;=6,63,IF(O244&lt;=7,71,IF(O244&lt;=8,79,IF(O244&lt;=9,87,IF(O244&lt;=10,95,IF(O244&lt;=11,105,IF(O244&lt;=12,114,IF(O244&lt;=13,119,IF(O244&lt;=14,127,IF(O244&lt;=15,135,IF(O244&lt;=16,143,IF(O244&lt;=17,153,IF(O244&lt;=18,163,IF(O244&lt;=19,171,IF(O244&lt;=20,185,IF(O244&lt;=21,193,IF(O244&lt;=22,201,IF(O244&lt;=23,210,IF(O244&lt;=24,220,IF(O244&lt;=25,230,IF(O244&lt;=26,240,IF(O244&lt;=27,250,IF(O244&lt;=28,260,IF(O244&lt;=29,270,IF(O244&lt;=30,280,280+10*ROUNDUP(O244-30,0)))))))))))))))))))))))))))))))</f>
        <v>13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8"/>
        <v>0.78</v>
      </c>
      <c r="AG244" s="11">
        <f t="shared" si="9"/>
        <v>13.78</v>
      </c>
      <c r="AH244" t="s">
        <v>116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872</v>
      </c>
      <c r="G245" t="s">
        <v>37</v>
      </c>
      <c r="H245" t="s">
        <v>38</v>
      </c>
      <c r="I245" t="s">
        <v>873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45203.403055555558</v>
      </c>
      <c r="Q245" s="9">
        <v>45204</v>
      </c>
      <c r="R245" t="s">
        <v>37</v>
      </c>
      <c r="S245" t="s">
        <v>44</v>
      </c>
      <c r="T245" t="s">
        <v>45</v>
      </c>
      <c r="U245" t="s">
        <v>61</v>
      </c>
      <c r="V245" t="s">
        <v>874</v>
      </c>
      <c r="W245">
        <v>72000</v>
      </c>
      <c r="X245" t="s">
        <v>44</v>
      </c>
      <c r="Y245" t="s">
        <v>875</v>
      </c>
      <c r="Z245" t="s">
        <v>49</v>
      </c>
      <c r="AA245" s="10">
        <f>IF(O245&lt;=1,7,7+0.8*ROUNDUP(O245-1,0))</f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8"/>
        <v>0.42</v>
      </c>
      <c r="AG245" s="11">
        <f t="shared" si="9"/>
        <v>7.42</v>
      </c>
      <c r="AH245" t="s">
        <v>50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876</v>
      </c>
      <c r="G246" t="s">
        <v>37</v>
      </c>
      <c r="H246" t="s">
        <v>38</v>
      </c>
      <c r="I246" t="s">
        <v>877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</v>
      </c>
      <c r="P246" s="8">
        <v>45203.742025462961</v>
      </c>
      <c r="Q246" s="9">
        <v>45204</v>
      </c>
      <c r="R246" t="s">
        <v>37</v>
      </c>
      <c r="S246" t="s">
        <v>44</v>
      </c>
      <c r="T246" t="s">
        <v>45</v>
      </c>
      <c r="U246" t="s">
        <v>66</v>
      </c>
      <c r="V246" t="s">
        <v>878</v>
      </c>
      <c r="W246">
        <v>62250</v>
      </c>
      <c r="X246" t="s">
        <v>44</v>
      </c>
      <c r="Y246" t="s">
        <v>115</v>
      </c>
      <c r="Z246" t="s">
        <v>49</v>
      </c>
      <c r="AA246" s="10">
        <f>IF(O246&lt;=1,7,7+0.8*ROUNDUP(O246-1,0))</f>
        <v>7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8"/>
        <v>0.42</v>
      </c>
      <c r="AG246" s="11">
        <f t="shared" si="9"/>
        <v>7.42</v>
      </c>
      <c r="AH246" t="s">
        <v>50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879</v>
      </c>
      <c r="G247" t="s">
        <v>37</v>
      </c>
      <c r="H247" t="s">
        <v>38</v>
      </c>
      <c r="I247" t="s">
        <v>880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1</v>
      </c>
      <c r="P247" s="8">
        <v>45202.740833333337</v>
      </c>
      <c r="Q247" s="9">
        <v>45204</v>
      </c>
      <c r="R247" t="s">
        <v>37</v>
      </c>
      <c r="S247" t="s">
        <v>44</v>
      </c>
      <c r="T247" t="s">
        <v>45</v>
      </c>
      <c r="U247" t="s">
        <v>92</v>
      </c>
      <c r="V247" t="s">
        <v>881</v>
      </c>
      <c r="W247">
        <v>81300</v>
      </c>
      <c r="X247" t="s">
        <v>44</v>
      </c>
      <c r="Y247" t="s">
        <v>882</v>
      </c>
      <c r="Z247" t="s">
        <v>49</v>
      </c>
      <c r="AA247" s="10">
        <f>IF(O247&lt;=1,7,7+0.8*ROUNDUP(O247-1,0))</f>
        <v>7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8"/>
        <v>0.42</v>
      </c>
      <c r="AG247" s="11">
        <f t="shared" si="9"/>
        <v>7.42</v>
      </c>
      <c r="AH247" t="s">
        <v>50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883</v>
      </c>
      <c r="G248" t="s">
        <v>37</v>
      </c>
      <c r="H248" t="s">
        <v>38</v>
      </c>
      <c r="I248" t="s">
        <v>884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45202.710150462961</v>
      </c>
      <c r="Q248" s="9">
        <v>45204</v>
      </c>
      <c r="R248" t="s">
        <v>37</v>
      </c>
      <c r="S248" t="s">
        <v>44</v>
      </c>
      <c r="T248" t="s">
        <v>45</v>
      </c>
      <c r="U248" t="s">
        <v>157</v>
      </c>
      <c r="V248" t="s">
        <v>885</v>
      </c>
      <c r="W248">
        <v>31400</v>
      </c>
      <c r="X248" t="s">
        <v>44</v>
      </c>
      <c r="Y248" t="s">
        <v>115</v>
      </c>
      <c r="Z248" t="s">
        <v>49</v>
      </c>
      <c r="AA248" s="10">
        <f>IF(O248&lt;=1,7,7+0.8*ROUNDUP(O248-1,0))</f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8"/>
        <v>0.42</v>
      </c>
      <c r="AG248" s="11">
        <f t="shared" si="9"/>
        <v>7.42</v>
      </c>
      <c r="AH248" t="s">
        <v>50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886</v>
      </c>
      <c r="G249" t="s">
        <v>37</v>
      </c>
      <c r="H249" t="s">
        <v>38</v>
      </c>
      <c r="I249" t="s">
        <v>887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</v>
      </c>
      <c r="P249" s="8">
        <v>45202.511967592596</v>
      </c>
      <c r="Q249" s="9">
        <v>45204</v>
      </c>
      <c r="R249" t="s">
        <v>37</v>
      </c>
      <c r="S249" t="s">
        <v>44</v>
      </c>
      <c r="T249" t="s">
        <v>45</v>
      </c>
      <c r="U249" t="s">
        <v>182</v>
      </c>
      <c r="V249" t="s">
        <v>888</v>
      </c>
      <c r="W249">
        <v>10100</v>
      </c>
      <c r="X249" t="s">
        <v>44</v>
      </c>
      <c r="Y249" t="s">
        <v>889</v>
      </c>
      <c r="Z249" t="s">
        <v>49</v>
      </c>
      <c r="AA249" s="10">
        <f>IF(O249&lt;=1,7,7+0.8*ROUNDUP(O249-1,0))</f>
        <v>7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8"/>
        <v>0.42</v>
      </c>
      <c r="AG249" s="11">
        <f t="shared" si="9"/>
        <v>7.42</v>
      </c>
      <c r="AH249" t="s">
        <v>50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890</v>
      </c>
      <c r="G250" t="s">
        <v>37</v>
      </c>
      <c r="H250" t="s">
        <v>38</v>
      </c>
      <c r="I250" t="s">
        <v>891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</v>
      </c>
      <c r="P250" s="8">
        <v>45203.602997685186</v>
      </c>
      <c r="Q250" s="9">
        <v>45204</v>
      </c>
      <c r="R250" t="s">
        <v>37</v>
      </c>
      <c r="S250" t="s">
        <v>44</v>
      </c>
      <c r="T250" t="s">
        <v>45</v>
      </c>
      <c r="U250" t="s">
        <v>66</v>
      </c>
      <c r="V250" t="s">
        <v>892</v>
      </c>
      <c r="W250">
        <v>43200</v>
      </c>
      <c r="X250" t="s">
        <v>44</v>
      </c>
      <c r="Y250" t="s">
        <v>893</v>
      </c>
      <c r="Z250" t="s">
        <v>49</v>
      </c>
      <c r="AA250" s="10">
        <f>IF(O250&lt;=1,7,7+0.8*ROUNDUP(O250-1,0))</f>
        <v>7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8"/>
        <v>0.42</v>
      </c>
      <c r="AG250" s="11">
        <f t="shared" si="9"/>
        <v>7.42</v>
      </c>
      <c r="AH250" t="s">
        <v>50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894</v>
      </c>
      <c r="G251" t="s">
        <v>37</v>
      </c>
      <c r="H251" t="s">
        <v>38</v>
      </c>
      <c r="I251" t="s">
        <v>895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8</v>
      </c>
      <c r="P251" s="8">
        <v>45203.533356481479</v>
      </c>
      <c r="Q251" s="9">
        <v>45205</v>
      </c>
      <c r="R251" t="s">
        <v>37</v>
      </c>
      <c r="S251" t="s">
        <v>44</v>
      </c>
      <c r="T251" t="s">
        <v>45</v>
      </c>
      <c r="U251" t="s">
        <v>263</v>
      </c>
      <c r="V251" t="s">
        <v>896</v>
      </c>
      <c r="W251">
        <v>2400</v>
      </c>
      <c r="X251" t="s">
        <v>44</v>
      </c>
      <c r="Y251" t="s">
        <v>757</v>
      </c>
      <c r="Z251" t="s">
        <v>49</v>
      </c>
      <c r="AA251" s="10">
        <f>IF(O251&lt;=1,7,7+0.8*ROUNDUP(O251-1,0))</f>
        <v>12.600000000000001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8"/>
        <v>0.75600000000000001</v>
      </c>
      <c r="AG251" s="11">
        <f t="shared" si="9"/>
        <v>13.356000000000002</v>
      </c>
      <c r="AH251" t="s">
        <v>50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897</v>
      </c>
      <c r="G252" t="s">
        <v>37</v>
      </c>
      <c r="H252" t="s">
        <v>38</v>
      </c>
      <c r="I252" t="s">
        <v>898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45203.576828703706</v>
      </c>
      <c r="Q252" s="9">
        <v>45205</v>
      </c>
      <c r="R252" t="s">
        <v>37</v>
      </c>
      <c r="S252" t="s">
        <v>44</v>
      </c>
      <c r="T252" t="s">
        <v>45</v>
      </c>
      <c r="U252" t="s">
        <v>112</v>
      </c>
      <c r="V252" t="s">
        <v>899</v>
      </c>
      <c r="W252">
        <v>96000</v>
      </c>
      <c r="X252" t="s">
        <v>114</v>
      </c>
      <c r="Y252" t="s">
        <v>115</v>
      </c>
      <c r="Z252" t="s">
        <v>49</v>
      </c>
      <c r="AA252" s="12">
        <f>IF(O252&lt;=1,13,IF(O252&lt;=2,23,IF(O252&lt;=3,35,IF(O252&lt;=4,43,IF(O252&lt;=5,53,IF(O252&lt;=6,63,IF(O252&lt;=7,71,IF(O252&lt;=8,79,IF(O252&lt;=9,87,IF(O252&lt;=10,95,IF(O252&lt;=11,105,IF(O252&lt;=12,114,IF(O252&lt;=13,119,IF(O252&lt;=14,127,IF(O252&lt;=15,135,IF(O252&lt;=16,143,IF(O252&lt;=17,153,IF(O252&lt;=18,163,IF(O252&lt;=19,171,IF(O252&lt;=20,185,IF(O252&lt;=21,193,IF(O252&lt;=22,201,IF(O252&lt;=23,210,IF(O252&lt;=24,220,IF(O252&lt;=25,230,IF(O252&lt;=26,240,IF(O252&lt;=27,250,IF(O252&lt;=28,260,IF(O252&lt;=29,270,IF(O252&lt;=30,280,280+10*ROUNDUP(O252-30,0)))))))))))))))))))))))))))))))</f>
        <v>13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8"/>
        <v>0.78</v>
      </c>
      <c r="AG252" s="11">
        <f t="shared" si="9"/>
        <v>13.78</v>
      </c>
      <c r="AH252" t="s">
        <v>116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900</v>
      </c>
      <c r="G253" t="s">
        <v>37</v>
      </c>
      <c r="H253" t="s">
        <v>38</v>
      </c>
      <c r="I253" t="s">
        <v>901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1</v>
      </c>
      <c r="P253" s="8">
        <v>45204.467974537038</v>
      </c>
      <c r="Q253" s="9">
        <v>45205</v>
      </c>
      <c r="R253" t="s">
        <v>37</v>
      </c>
      <c r="S253" t="s">
        <v>44</v>
      </c>
      <c r="T253" t="s">
        <v>45</v>
      </c>
      <c r="U253" t="s">
        <v>66</v>
      </c>
      <c r="V253" t="s">
        <v>902</v>
      </c>
      <c r="W253">
        <v>53100</v>
      </c>
      <c r="X253" t="s">
        <v>44</v>
      </c>
      <c r="Y253" t="s">
        <v>537</v>
      </c>
      <c r="Z253" t="s">
        <v>49</v>
      </c>
      <c r="AA253" s="10">
        <f>IF(O253&lt;=1,7,7+0.8*ROUNDUP(O253-1,0))</f>
        <v>7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8"/>
        <v>0.42</v>
      </c>
      <c r="AG253" s="11">
        <f t="shared" si="9"/>
        <v>7.42</v>
      </c>
      <c r="AH253" t="s">
        <v>50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903</v>
      </c>
      <c r="G254" t="s">
        <v>37</v>
      </c>
      <c r="H254" t="s">
        <v>38</v>
      </c>
      <c r="I254" t="s">
        <v>904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</v>
      </c>
      <c r="P254" s="8">
        <v>45204.708287037036</v>
      </c>
      <c r="Q254" s="9">
        <v>45205</v>
      </c>
      <c r="R254" t="s">
        <v>37</v>
      </c>
      <c r="S254" t="s">
        <v>44</v>
      </c>
      <c r="T254" t="s">
        <v>45</v>
      </c>
      <c r="U254" t="s">
        <v>66</v>
      </c>
      <c r="V254" t="s">
        <v>905</v>
      </c>
      <c r="W254">
        <v>41250</v>
      </c>
      <c r="X254" t="s">
        <v>44</v>
      </c>
      <c r="Y254" t="s">
        <v>115</v>
      </c>
      <c r="Z254" t="s">
        <v>49</v>
      </c>
      <c r="AA254" s="10">
        <f>IF(O254&lt;=1,7,7+0.8*ROUNDUP(O254-1,0))</f>
        <v>7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8"/>
        <v>0.42</v>
      </c>
      <c r="AG254" s="11">
        <f t="shared" si="9"/>
        <v>7.42</v>
      </c>
      <c r="AH254" t="s">
        <v>50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906</v>
      </c>
      <c r="G255" t="s">
        <v>37</v>
      </c>
      <c r="H255" t="s">
        <v>38</v>
      </c>
      <c r="I255" t="s">
        <v>907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45203.571168981478</v>
      </c>
      <c r="Q255" s="9">
        <v>45205</v>
      </c>
      <c r="R255" t="s">
        <v>37</v>
      </c>
      <c r="S255" t="s">
        <v>44</v>
      </c>
      <c r="T255" t="s">
        <v>45</v>
      </c>
      <c r="U255" t="s">
        <v>145</v>
      </c>
      <c r="V255" t="s">
        <v>908</v>
      </c>
      <c r="W255">
        <v>77300</v>
      </c>
      <c r="X255" t="s">
        <v>44</v>
      </c>
      <c r="Y255" t="s">
        <v>909</v>
      </c>
      <c r="Z255" t="s">
        <v>49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8"/>
        <v>0.42</v>
      </c>
      <c r="AG255" s="11">
        <f t="shared" si="9"/>
        <v>7.42</v>
      </c>
      <c r="AH255" t="s">
        <v>50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910</v>
      </c>
      <c r="G256" t="s">
        <v>37</v>
      </c>
      <c r="H256" t="s">
        <v>38</v>
      </c>
      <c r="I256" t="s">
        <v>911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1</v>
      </c>
      <c r="P256" s="8">
        <v>45204.710347222222</v>
      </c>
      <c r="Q256" s="9">
        <v>45205</v>
      </c>
      <c r="R256" t="s">
        <v>37</v>
      </c>
      <c r="S256" t="s">
        <v>44</v>
      </c>
      <c r="T256" t="s">
        <v>45</v>
      </c>
      <c r="U256" t="s">
        <v>66</v>
      </c>
      <c r="V256" t="s">
        <v>912</v>
      </c>
      <c r="W256">
        <v>62592</v>
      </c>
      <c r="X256" t="s">
        <v>44</v>
      </c>
      <c r="Y256" t="s">
        <v>115</v>
      </c>
      <c r="Z256" t="s">
        <v>49</v>
      </c>
      <c r="AA256" s="10">
        <f>IF(O256&lt;=1,7,7+0.8*ROUNDUP(O256-1,0))</f>
        <v>7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8"/>
        <v>0.42</v>
      </c>
      <c r="AG256" s="11">
        <f t="shared" si="9"/>
        <v>7.42</v>
      </c>
      <c r="AH256" t="s">
        <v>50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913</v>
      </c>
      <c r="G257" t="s">
        <v>37</v>
      </c>
      <c r="H257" t="s">
        <v>38</v>
      </c>
      <c r="I257" t="s">
        <v>914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45203.806504629632</v>
      </c>
      <c r="Q257" s="9">
        <v>45205</v>
      </c>
      <c r="R257" t="s">
        <v>37</v>
      </c>
      <c r="S257" t="s">
        <v>44</v>
      </c>
      <c r="T257" t="s">
        <v>45</v>
      </c>
      <c r="U257" t="s">
        <v>71</v>
      </c>
      <c r="V257" t="s">
        <v>915</v>
      </c>
      <c r="W257">
        <v>21700</v>
      </c>
      <c r="X257" t="s">
        <v>44</v>
      </c>
      <c r="Y257" t="s">
        <v>73</v>
      </c>
      <c r="Z257" t="s">
        <v>49</v>
      </c>
      <c r="AA257" s="10">
        <f>IF(O257&lt;=1,7,7+0.8*ROUNDUP(O257-1,0))</f>
        <v>7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8"/>
        <v>0.42</v>
      </c>
      <c r="AG257" s="11">
        <f t="shared" si="9"/>
        <v>7.42</v>
      </c>
      <c r="AH257" t="s">
        <v>50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916</v>
      </c>
      <c r="G258" t="s">
        <v>37</v>
      </c>
      <c r="H258" t="s">
        <v>38</v>
      </c>
      <c r="I258" t="s">
        <v>917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</v>
      </c>
      <c r="P258" s="8">
        <v>45204.645416666666</v>
      </c>
      <c r="Q258" s="9">
        <v>45205</v>
      </c>
      <c r="R258" t="s">
        <v>37</v>
      </c>
      <c r="S258" t="s">
        <v>44</v>
      </c>
      <c r="T258" t="s">
        <v>45</v>
      </c>
      <c r="U258" t="s">
        <v>87</v>
      </c>
      <c r="V258" t="s">
        <v>918</v>
      </c>
      <c r="W258">
        <v>25150</v>
      </c>
      <c r="X258" t="s">
        <v>44</v>
      </c>
      <c r="Y258" t="s">
        <v>45</v>
      </c>
      <c r="Z258" t="s">
        <v>49</v>
      </c>
      <c r="AA258" s="10">
        <f>IF(O258&lt;=1,7,7+0.8*ROUNDUP(O258-1,0))</f>
        <v>7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si="8"/>
        <v>0.42</v>
      </c>
      <c r="AG258" s="11">
        <f t="shared" si="9"/>
        <v>7.42</v>
      </c>
      <c r="AH258" t="s">
        <v>50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919</v>
      </c>
      <c r="G259" t="s">
        <v>37</v>
      </c>
      <c r="H259" t="s">
        <v>38</v>
      </c>
      <c r="I259" t="s">
        <v>920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</v>
      </c>
      <c r="P259" s="8">
        <v>45203.758217592593</v>
      </c>
      <c r="Q259" s="9">
        <v>45205</v>
      </c>
      <c r="R259" t="s">
        <v>37</v>
      </c>
      <c r="S259" t="s">
        <v>44</v>
      </c>
      <c r="T259" t="s">
        <v>45</v>
      </c>
      <c r="U259" t="s">
        <v>187</v>
      </c>
      <c r="V259" t="s">
        <v>921</v>
      </c>
      <c r="W259">
        <v>54200</v>
      </c>
      <c r="X259" t="s">
        <v>44</v>
      </c>
      <c r="Y259" t="s">
        <v>537</v>
      </c>
      <c r="Z259" t="s">
        <v>49</v>
      </c>
      <c r="AA259" s="10">
        <f>IF(O259&lt;=1,7,7+0.8*ROUNDUP(O259-1,0))</f>
        <v>7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0.42</v>
      </c>
      <c r="AG259" s="11">
        <f t="shared" si="9"/>
        <v>7.42</v>
      </c>
      <c r="AH259" t="s">
        <v>50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922</v>
      </c>
      <c r="G260" t="s">
        <v>37</v>
      </c>
      <c r="H260" t="s">
        <v>38</v>
      </c>
      <c r="I260" t="s">
        <v>923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1</v>
      </c>
      <c r="P260" s="8">
        <v>45203.806504629632</v>
      </c>
      <c r="Q260" s="9">
        <v>45205</v>
      </c>
      <c r="R260" t="s">
        <v>37</v>
      </c>
      <c r="S260" t="s">
        <v>44</v>
      </c>
      <c r="T260" t="s">
        <v>45</v>
      </c>
      <c r="U260" t="s">
        <v>53</v>
      </c>
      <c r="V260" t="s">
        <v>924</v>
      </c>
      <c r="W260">
        <v>16050</v>
      </c>
      <c r="X260" t="s">
        <v>44</v>
      </c>
      <c r="Y260" t="s">
        <v>55</v>
      </c>
      <c r="Z260" t="s">
        <v>49</v>
      </c>
      <c r="AA260" s="10">
        <f>IF(O260&lt;=1,7,7+0.8*ROUNDUP(O260-1,0))</f>
        <v>7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0.42</v>
      </c>
      <c r="AG260" s="11">
        <f t="shared" si="9"/>
        <v>7.42</v>
      </c>
      <c r="AH260" t="s">
        <v>50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925</v>
      </c>
      <c r="G261" t="s">
        <v>37</v>
      </c>
      <c r="H261" t="s">
        <v>38</v>
      </c>
      <c r="I261" t="s">
        <v>926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2</v>
      </c>
      <c r="P261" s="8">
        <v>45204.617696759262</v>
      </c>
      <c r="Q261" s="9">
        <v>45205</v>
      </c>
      <c r="R261" t="s">
        <v>37</v>
      </c>
      <c r="S261" t="s">
        <v>44</v>
      </c>
      <c r="T261" t="s">
        <v>45</v>
      </c>
      <c r="U261" t="s">
        <v>66</v>
      </c>
      <c r="V261" t="s">
        <v>927</v>
      </c>
      <c r="W261">
        <v>43300</v>
      </c>
      <c r="X261" t="s">
        <v>44</v>
      </c>
      <c r="Y261" t="s">
        <v>115</v>
      </c>
      <c r="Z261" t="s">
        <v>49</v>
      </c>
      <c r="AA261" s="10">
        <f>IF(O261&lt;=1,7,7+0.8*ROUNDUP(O261-1,0))</f>
        <v>7.8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0.46799999999999997</v>
      </c>
      <c r="AG261" s="11">
        <f t="shared" si="9"/>
        <v>8.2680000000000007</v>
      </c>
      <c r="AH261" t="s">
        <v>50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928</v>
      </c>
      <c r="G262" t="s">
        <v>37</v>
      </c>
      <c r="H262" t="s">
        <v>38</v>
      </c>
      <c r="I262" t="s">
        <v>926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1</v>
      </c>
      <c r="P262" s="8">
        <v>45203.787222222221</v>
      </c>
      <c r="Q262" s="9">
        <v>45205</v>
      </c>
      <c r="R262" t="s">
        <v>37</v>
      </c>
      <c r="S262" t="s">
        <v>44</v>
      </c>
      <c r="T262" t="s">
        <v>45</v>
      </c>
      <c r="U262" t="s">
        <v>66</v>
      </c>
      <c r="V262" t="s">
        <v>929</v>
      </c>
      <c r="W262">
        <v>43300</v>
      </c>
      <c r="X262" t="s">
        <v>44</v>
      </c>
      <c r="Y262" t="s">
        <v>150</v>
      </c>
      <c r="Z262" t="s">
        <v>49</v>
      </c>
      <c r="AA262" s="10">
        <f>IF(O262&lt;=1,7,7+0.8*ROUNDUP(O262-1,0))</f>
        <v>7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0.42</v>
      </c>
      <c r="AG262" s="11">
        <f t="shared" si="9"/>
        <v>7.42</v>
      </c>
      <c r="AH262" t="s">
        <v>50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930</v>
      </c>
      <c r="G263" t="s">
        <v>37</v>
      </c>
      <c r="H263" t="s">
        <v>38</v>
      </c>
      <c r="I263" t="s">
        <v>931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1</v>
      </c>
      <c r="P263" s="8">
        <v>45203.806504629632</v>
      </c>
      <c r="Q263" s="9">
        <v>45205</v>
      </c>
      <c r="R263" t="s">
        <v>37</v>
      </c>
      <c r="S263" t="s">
        <v>44</v>
      </c>
      <c r="T263" t="s">
        <v>45</v>
      </c>
      <c r="U263" t="s">
        <v>53</v>
      </c>
      <c r="V263" t="s">
        <v>932</v>
      </c>
      <c r="W263">
        <v>17500</v>
      </c>
      <c r="X263" t="s">
        <v>44</v>
      </c>
      <c r="Y263" t="s">
        <v>55</v>
      </c>
      <c r="Z263" t="s">
        <v>49</v>
      </c>
      <c r="AA263" s="10">
        <f>IF(O263&lt;=1,7,7+0.8*ROUNDUP(O263-1,0))</f>
        <v>7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0.42</v>
      </c>
      <c r="AG263" s="11">
        <f t="shared" si="9"/>
        <v>7.42</v>
      </c>
      <c r="AH263" t="s">
        <v>50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933</v>
      </c>
      <c r="G264" t="s">
        <v>37</v>
      </c>
      <c r="H264" t="s">
        <v>38</v>
      </c>
      <c r="I264" t="s">
        <v>934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1</v>
      </c>
      <c r="P264" s="8">
        <v>45203.806504629632</v>
      </c>
      <c r="Q264" s="9">
        <v>45205</v>
      </c>
      <c r="R264" t="s">
        <v>37</v>
      </c>
      <c r="S264" t="s">
        <v>44</v>
      </c>
      <c r="T264" t="s">
        <v>45</v>
      </c>
      <c r="U264" t="s">
        <v>187</v>
      </c>
      <c r="V264" t="s">
        <v>935</v>
      </c>
      <c r="W264">
        <v>55100</v>
      </c>
      <c r="X264" t="s">
        <v>44</v>
      </c>
      <c r="Y264" t="s">
        <v>541</v>
      </c>
      <c r="Z264" t="s">
        <v>49</v>
      </c>
      <c r="AA264" s="10">
        <f>IF(O264&lt;=1,7,7+0.8*ROUNDUP(O264-1,0))</f>
        <v>7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0.42</v>
      </c>
      <c r="AG264" s="11">
        <f t="shared" si="9"/>
        <v>7.42</v>
      </c>
      <c r="AH264" t="s">
        <v>50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936</v>
      </c>
      <c r="G265" t="s">
        <v>37</v>
      </c>
      <c r="H265" t="s">
        <v>38</v>
      </c>
      <c r="I265" t="s">
        <v>937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1</v>
      </c>
      <c r="P265" s="8">
        <v>45204.50271990741</v>
      </c>
      <c r="Q265" s="9">
        <v>45205</v>
      </c>
      <c r="R265" t="s">
        <v>37</v>
      </c>
      <c r="S265" t="s">
        <v>44</v>
      </c>
      <c r="T265" t="s">
        <v>45</v>
      </c>
      <c r="U265" t="s">
        <v>187</v>
      </c>
      <c r="V265" t="s">
        <v>938</v>
      </c>
      <c r="W265">
        <v>53300</v>
      </c>
      <c r="X265" t="s">
        <v>44</v>
      </c>
      <c r="Y265" t="s">
        <v>939</v>
      </c>
      <c r="Z265" t="s">
        <v>49</v>
      </c>
      <c r="AA265" s="10">
        <f>IF(O265&lt;=1,7,7+0.8*ROUNDUP(O265-1,0))</f>
        <v>7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0.42</v>
      </c>
      <c r="AG265" s="11">
        <f t="shared" si="9"/>
        <v>7.42</v>
      </c>
      <c r="AH265" t="s">
        <v>50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940</v>
      </c>
      <c r="G266" t="s">
        <v>37</v>
      </c>
      <c r="H266" t="s">
        <v>38</v>
      </c>
      <c r="I266" t="s">
        <v>941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2</v>
      </c>
      <c r="P266" s="8">
        <v>45203.74554398148</v>
      </c>
      <c r="Q266" s="9">
        <v>45205</v>
      </c>
      <c r="R266" t="s">
        <v>37</v>
      </c>
      <c r="S266" t="s">
        <v>44</v>
      </c>
      <c r="T266" t="s">
        <v>45</v>
      </c>
      <c r="U266" t="s">
        <v>46</v>
      </c>
      <c r="V266" t="s">
        <v>942</v>
      </c>
      <c r="W266">
        <v>8100</v>
      </c>
      <c r="X266" t="s">
        <v>44</v>
      </c>
      <c r="Y266" t="s">
        <v>753</v>
      </c>
      <c r="Z266" t="s">
        <v>49</v>
      </c>
      <c r="AA266" s="10">
        <f>IF(O266&lt;=1,7,7+0.8*ROUNDUP(O266-1,0))</f>
        <v>7.8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0.46799999999999997</v>
      </c>
      <c r="AG266" s="11">
        <f t="shared" si="9"/>
        <v>8.2680000000000007</v>
      </c>
      <c r="AH266" t="s">
        <v>50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943</v>
      </c>
      <c r="G267" t="s">
        <v>37</v>
      </c>
      <c r="H267" t="s">
        <v>38</v>
      </c>
      <c r="I267" t="s">
        <v>944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45204.689166666663</v>
      </c>
      <c r="Q267" s="9">
        <v>45205</v>
      </c>
      <c r="R267" t="s">
        <v>37</v>
      </c>
      <c r="S267" t="s">
        <v>44</v>
      </c>
      <c r="T267" t="s">
        <v>45</v>
      </c>
      <c r="U267" t="s">
        <v>53</v>
      </c>
      <c r="V267" t="s">
        <v>945</v>
      </c>
      <c r="W267">
        <v>16100</v>
      </c>
      <c r="X267" t="s">
        <v>44</v>
      </c>
      <c r="Y267" t="s">
        <v>55</v>
      </c>
      <c r="Z267" t="s">
        <v>49</v>
      </c>
      <c r="AA267" s="10">
        <f>IF(O267&lt;=1,7,7+0.8*ROUNDUP(O267-1,0))</f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0.42</v>
      </c>
      <c r="AG267" s="11">
        <f t="shared" si="9"/>
        <v>7.42</v>
      </c>
      <c r="AH267" t="s">
        <v>50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946</v>
      </c>
      <c r="G268" t="s">
        <v>37</v>
      </c>
      <c r="H268" t="s">
        <v>38</v>
      </c>
      <c r="I268" t="s">
        <v>349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2</v>
      </c>
      <c r="P268" s="8">
        <v>45204.735567129632</v>
      </c>
      <c r="Q268" s="9">
        <v>45206</v>
      </c>
      <c r="R268" t="s">
        <v>37</v>
      </c>
      <c r="S268" t="s">
        <v>44</v>
      </c>
      <c r="T268" t="s">
        <v>55</v>
      </c>
      <c r="U268" t="s">
        <v>87</v>
      </c>
      <c r="V268" t="s">
        <v>947</v>
      </c>
      <c r="W268">
        <v>25200</v>
      </c>
      <c r="X268" t="s">
        <v>44</v>
      </c>
      <c r="Y268" t="s">
        <v>154</v>
      </c>
      <c r="Z268" t="s">
        <v>49</v>
      </c>
      <c r="AA268" s="10">
        <f>IF(O268&lt;=1,7,7+0.8*ROUNDUP(O268-1,0))</f>
        <v>7.8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0.46799999999999997</v>
      </c>
      <c r="AG268" s="11">
        <f t="shared" si="9"/>
        <v>8.2680000000000007</v>
      </c>
      <c r="AH268" t="s">
        <v>50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948</v>
      </c>
      <c r="G269" t="s">
        <v>37</v>
      </c>
      <c r="H269" t="s">
        <v>38</v>
      </c>
      <c r="I269" t="s">
        <v>949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1</v>
      </c>
      <c r="P269" s="8">
        <v>45204.747395833336</v>
      </c>
      <c r="Q269" s="9">
        <v>45206</v>
      </c>
      <c r="R269" t="s">
        <v>37</v>
      </c>
      <c r="S269" t="s">
        <v>44</v>
      </c>
      <c r="T269" t="s">
        <v>55</v>
      </c>
      <c r="U269" t="s">
        <v>66</v>
      </c>
      <c r="V269" t="s">
        <v>950</v>
      </c>
      <c r="W269">
        <v>47000</v>
      </c>
      <c r="X269" t="s">
        <v>44</v>
      </c>
      <c r="Y269" t="s">
        <v>569</v>
      </c>
      <c r="Z269" t="s">
        <v>49</v>
      </c>
      <c r="AA269" s="10">
        <f>IF(O269&lt;=1,7,7+0.8*ROUNDUP(O269-1,0))</f>
        <v>7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0.42</v>
      </c>
      <c r="AG269" s="11">
        <f t="shared" si="9"/>
        <v>7.42</v>
      </c>
      <c r="AH269" t="s">
        <v>50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951</v>
      </c>
      <c r="G270" t="s">
        <v>37</v>
      </c>
      <c r="H270" t="s">
        <v>38</v>
      </c>
      <c r="I270" t="s">
        <v>952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1</v>
      </c>
      <c r="P270" s="8">
        <v>45203.806504629632</v>
      </c>
      <c r="Q270" s="9">
        <v>45206</v>
      </c>
      <c r="R270" t="s">
        <v>37</v>
      </c>
      <c r="S270" t="s">
        <v>44</v>
      </c>
      <c r="T270" t="s">
        <v>45</v>
      </c>
      <c r="U270" t="s">
        <v>263</v>
      </c>
      <c r="V270" t="s">
        <v>953</v>
      </c>
      <c r="W270">
        <v>1000</v>
      </c>
      <c r="X270" t="s">
        <v>44</v>
      </c>
      <c r="Y270" t="s">
        <v>954</v>
      </c>
      <c r="Z270" t="s">
        <v>49</v>
      </c>
      <c r="AA270" s="10">
        <f>IF(O270&lt;=1,7,7+0.8*ROUNDUP(O270-1,0))</f>
        <v>7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0.42</v>
      </c>
      <c r="AG270" s="11">
        <f t="shared" si="9"/>
        <v>7.42</v>
      </c>
      <c r="AH270" t="s">
        <v>50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955</v>
      </c>
      <c r="G271" t="s">
        <v>37</v>
      </c>
      <c r="H271" t="s">
        <v>38</v>
      </c>
      <c r="I271" t="s">
        <v>956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45204.648599537039</v>
      </c>
      <c r="Q271" s="9">
        <v>45206</v>
      </c>
      <c r="R271" t="s">
        <v>37</v>
      </c>
      <c r="S271" t="s">
        <v>44</v>
      </c>
      <c r="T271" t="s">
        <v>45</v>
      </c>
      <c r="U271" t="s">
        <v>92</v>
      </c>
      <c r="V271" t="s">
        <v>957</v>
      </c>
      <c r="W271">
        <v>81800</v>
      </c>
      <c r="X271" t="s">
        <v>44</v>
      </c>
      <c r="Y271" t="s">
        <v>626</v>
      </c>
      <c r="Z271" t="s">
        <v>49</v>
      </c>
      <c r="AA271" s="10">
        <f>IF(O271&lt;=1,7,7+0.8*ROUNDUP(O271-1,0))</f>
        <v>7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8"/>
        <v>0.42</v>
      </c>
      <c r="AG271" s="11">
        <f t="shared" si="9"/>
        <v>7.42</v>
      </c>
      <c r="AH271" t="s">
        <v>50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958</v>
      </c>
      <c r="G272" t="s">
        <v>37</v>
      </c>
      <c r="H272" t="s">
        <v>38</v>
      </c>
      <c r="I272" t="s">
        <v>959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1</v>
      </c>
      <c r="P272" s="8">
        <v>45204.636886574073</v>
      </c>
      <c r="Q272" s="9">
        <v>45206</v>
      </c>
      <c r="R272" t="s">
        <v>37</v>
      </c>
      <c r="S272" t="s">
        <v>44</v>
      </c>
      <c r="T272" t="s">
        <v>45</v>
      </c>
      <c r="U272" t="s">
        <v>92</v>
      </c>
      <c r="V272" t="s">
        <v>960</v>
      </c>
      <c r="W272">
        <v>81600</v>
      </c>
      <c r="X272" t="s">
        <v>44</v>
      </c>
      <c r="Y272" t="s">
        <v>685</v>
      </c>
      <c r="Z272" t="s">
        <v>49</v>
      </c>
      <c r="AA272" s="10">
        <f>IF(O272&lt;=1,7,7+0.8*ROUNDUP(O272-1,0))</f>
        <v>7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8"/>
        <v>0.42</v>
      </c>
      <c r="AG272" s="11">
        <f t="shared" si="9"/>
        <v>7.42</v>
      </c>
      <c r="AH272" t="s">
        <v>50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961</v>
      </c>
      <c r="G273" t="s">
        <v>37</v>
      </c>
      <c r="H273" t="s">
        <v>38</v>
      </c>
      <c r="I273" t="s">
        <v>962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1</v>
      </c>
      <c r="P273" s="8">
        <v>45204.763043981482</v>
      </c>
      <c r="Q273" s="9">
        <v>45206</v>
      </c>
      <c r="R273" t="s">
        <v>37</v>
      </c>
      <c r="S273" t="s">
        <v>44</v>
      </c>
      <c r="T273" t="s">
        <v>55</v>
      </c>
      <c r="U273" t="s">
        <v>66</v>
      </c>
      <c r="V273" t="s">
        <v>963</v>
      </c>
      <c r="W273">
        <v>42100</v>
      </c>
      <c r="X273" t="s">
        <v>44</v>
      </c>
      <c r="Y273" t="s">
        <v>964</v>
      </c>
      <c r="Z273" t="s">
        <v>49</v>
      </c>
      <c r="AA273" s="10">
        <f>IF(O273&lt;=1,7,7+0.8*ROUNDUP(O273-1,0))</f>
        <v>7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8"/>
        <v>0.42</v>
      </c>
      <c r="AG273" s="11">
        <f t="shared" si="9"/>
        <v>7.42</v>
      </c>
      <c r="AH273" t="s">
        <v>50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965</v>
      </c>
      <c r="G274" t="s">
        <v>37</v>
      </c>
      <c r="H274" t="s">
        <v>38</v>
      </c>
      <c r="I274" t="s">
        <v>966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3</v>
      </c>
      <c r="P274" s="8">
        <v>45204.763043981482</v>
      </c>
      <c r="Q274" s="9">
        <v>45206</v>
      </c>
      <c r="R274" t="s">
        <v>37</v>
      </c>
      <c r="S274" t="s">
        <v>44</v>
      </c>
      <c r="T274" t="s">
        <v>55</v>
      </c>
      <c r="U274" t="s">
        <v>66</v>
      </c>
      <c r="V274" t="s">
        <v>967</v>
      </c>
      <c r="W274">
        <v>40150</v>
      </c>
      <c r="X274" t="s">
        <v>44</v>
      </c>
      <c r="Y274" t="s">
        <v>499</v>
      </c>
      <c r="Z274" t="s">
        <v>49</v>
      </c>
      <c r="AA274" s="10">
        <f>IF(O274&lt;=1,7,7+0.8*ROUNDUP(O274-1,0))</f>
        <v>8.6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8"/>
        <v>0.51600000000000001</v>
      </c>
      <c r="AG274" s="11">
        <f t="shared" si="9"/>
        <v>9.1159999999999997</v>
      </c>
      <c r="AH274" t="s">
        <v>50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968</v>
      </c>
      <c r="G275" t="s">
        <v>37</v>
      </c>
      <c r="H275" t="s">
        <v>38</v>
      </c>
      <c r="I275" t="s">
        <v>969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1</v>
      </c>
      <c r="P275" s="8">
        <v>45203.80672453704</v>
      </c>
      <c r="Q275" s="9">
        <v>45206</v>
      </c>
      <c r="R275" t="s">
        <v>37</v>
      </c>
      <c r="S275" t="s">
        <v>44</v>
      </c>
      <c r="T275" t="s">
        <v>45</v>
      </c>
      <c r="U275" t="s">
        <v>263</v>
      </c>
      <c r="V275" t="s">
        <v>970</v>
      </c>
      <c r="W275">
        <v>2500</v>
      </c>
      <c r="X275" t="s">
        <v>44</v>
      </c>
      <c r="Y275" t="s">
        <v>954</v>
      </c>
      <c r="Z275" t="s">
        <v>49</v>
      </c>
      <c r="AA275" s="10">
        <f>IF(O275&lt;=1,7,7+0.8*ROUNDUP(O275-1,0))</f>
        <v>7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8"/>
        <v>0.42</v>
      </c>
      <c r="AG275" s="11">
        <f t="shared" si="9"/>
        <v>7.42</v>
      </c>
      <c r="AH275" t="s">
        <v>50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971</v>
      </c>
      <c r="G276" t="s">
        <v>37</v>
      </c>
      <c r="H276" t="s">
        <v>38</v>
      </c>
      <c r="I276" t="s">
        <v>972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3</v>
      </c>
      <c r="P276" s="8">
        <v>45203.806504629632</v>
      </c>
      <c r="Q276" s="9">
        <v>45206</v>
      </c>
      <c r="R276" t="s">
        <v>37</v>
      </c>
      <c r="S276" t="s">
        <v>44</v>
      </c>
      <c r="T276" t="s">
        <v>45</v>
      </c>
      <c r="U276" t="s">
        <v>263</v>
      </c>
      <c r="V276" t="s">
        <v>973</v>
      </c>
      <c r="W276">
        <v>2100</v>
      </c>
      <c r="X276" t="s">
        <v>44</v>
      </c>
      <c r="Y276" t="s">
        <v>974</v>
      </c>
      <c r="Z276" t="s">
        <v>49</v>
      </c>
      <c r="AA276" s="10">
        <f>IF(O276&lt;=1,7,7+0.8*ROUNDUP(O276-1,0))</f>
        <v>8.6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8"/>
        <v>0.51600000000000001</v>
      </c>
      <c r="AG276" s="11">
        <f t="shared" si="9"/>
        <v>9.1159999999999997</v>
      </c>
      <c r="AH276" t="s">
        <v>50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975</v>
      </c>
      <c r="G277" t="s">
        <v>37</v>
      </c>
      <c r="H277" t="s">
        <v>38</v>
      </c>
      <c r="I277" t="s">
        <v>976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45203.806504629632</v>
      </c>
      <c r="Q277" s="9">
        <v>45206</v>
      </c>
      <c r="R277" t="s">
        <v>37</v>
      </c>
      <c r="S277" t="s">
        <v>44</v>
      </c>
      <c r="T277" t="s">
        <v>45</v>
      </c>
      <c r="U277" t="s">
        <v>263</v>
      </c>
      <c r="V277" t="s">
        <v>977</v>
      </c>
      <c r="W277">
        <v>1000</v>
      </c>
      <c r="X277" t="s">
        <v>44</v>
      </c>
      <c r="Y277" t="s">
        <v>954</v>
      </c>
      <c r="Z277" t="s">
        <v>49</v>
      </c>
      <c r="AA277" s="10">
        <f>IF(O277&lt;=1,7,7+0.8*ROUNDUP(O277-1,0))</f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8"/>
        <v>0.42</v>
      </c>
      <c r="AG277" s="11">
        <f t="shared" si="9"/>
        <v>7.42</v>
      </c>
      <c r="AH277" t="s">
        <v>50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978</v>
      </c>
      <c r="G278" t="s">
        <v>37</v>
      </c>
      <c r="H278" t="s">
        <v>38</v>
      </c>
      <c r="I278" t="s">
        <v>979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1</v>
      </c>
      <c r="P278" s="8">
        <v>45204.747395833336</v>
      </c>
      <c r="Q278" s="9">
        <v>45206</v>
      </c>
      <c r="R278" t="s">
        <v>37</v>
      </c>
      <c r="S278" t="s">
        <v>44</v>
      </c>
      <c r="T278" t="s">
        <v>55</v>
      </c>
      <c r="U278" t="s">
        <v>66</v>
      </c>
      <c r="V278" t="s">
        <v>980</v>
      </c>
      <c r="W278">
        <v>47120</v>
      </c>
      <c r="X278" t="s">
        <v>44</v>
      </c>
      <c r="Y278" t="s">
        <v>253</v>
      </c>
      <c r="Z278" t="s">
        <v>49</v>
      </c>
      <c r="AA278" s="10">
        <f>IF(O278&lt;=1,7,7+0.8*ROUNDUP(O278-1,0))</f>
        <v>7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8"/>
        <v>0.42</v>
      </c>
      <c r="AG278" s="11">
        <f t="shared" si="9"/>
        <v>7.42</v>
      </c>
      <c r="AH278" t="s">
        <v>50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981</v>
      </c>
      <c r="G279" t="s">
        <v>37</v>
      </c>
      <c r="H279" t="s">
        <v>38</v>
      </c>
      <c r="I279" t="s">
        <v>982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12</v>
      </c>
      <c r="P279" s="8">
        <v>45203.808206018519</v>
      </c>
      <c r="Q279" s="9">
        <v>45206</v>
      </c>
      <c r="R279" t="s">
        <v>37</v>
      </c>
      <c r="S279" t="s">
        <v>44</v>
      </c>
      <c r="T279" t="s">
        <v>45</v>
      </c>
      <c r="U279" t="s">
        <v>263</v>
      </c>
      <c r="V279" t="s">
        <v>983</v>
      </c>
      <c r="W279">
        <v>2700</v>
      </c>
      <c r="X279" t="s">
        <v>44</v>
      </c>
      <c r="Y279" t="s">
        <v>954</v>
      </c>
      <c r="Z279" t="s">
        <v>49</v>
      </c>
      <c r="AA279" s="10">
        <f>IF(O279&lt;=1,7,7+0.8*ROUNDUP(O279-1,0))</f>
        <v>15.8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8"/>
        <v>0.94799999999999995</v>
      </c>
      <c r="AG279" s="11">
        <f t="shared" si="9"/>
        <v>16.748000000000001</v>
      </c>
      <c r="AH279" t="s">
        <v>50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984</v>
      </c>
      <c r="G280" t="s">
        <v>37</v>
      </c>
      <c r="H280" t="s">
        <v>38</v>
      </c>
      <c r="I280" t="s">
        <v>985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4</v>
      </c>
      <c r="P280" s="8">
        <v>45204.747395833336</v>
      </c>
      <c r="Q280" s="9">
        <v>45206</v>
      </c>
      <c r="R280" t="s">
        <v>37</v>
      </c>
      <c r="S280" t="s">
        <v>44</v>
      </c>
      <c r="T280" t="s">
        <v>55</v>
      </c>
      <c r="U280" t="s">
        <v>87</v>
      </c>
      <c r="V280" t="s">
        <v>986</v>
      </c>
      <c r="W280">
        <v>26070</v>
      </c>
      <c r="X280" t="s">
        <v>44</v>
      </c>
      <c r="Y280" t="s">
        <v>987</v>
      </c>
      <c r="Z280" t="s">
        <v>49</v>
      </c>
      <c r="AA280" s="10">
        <f>IF(O280&lt;=1,7,7+0.8*ROUNDUP(O280-1,0))</f>
        <v>9.4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8"/>
        <v>0.56399999999999995</v>
      </c>
      <c r="AG280" s="11">
        <f t="shared" si="9"/>
        <v>9.9640000000000004</v>
      </c>
      <c r="AH280" t="s">
        <v>50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988</v>
      </c>
      <c r="G281" t="s">
        <v>37</v>
      </c>
      <c r="H281" t="s">
        <v>38</v>
      </c>
      <c r="I281" t="s">
        <v>989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1</v>
      </c>
      <c r="P281" s="8">
        <v>45204.507418981484</v>
      </c>
      <c r="Q281" s="9">
        <v>45206</v>
      </c>
      <c r="R281" t="s">
        <v>37</v>
      </c>
      <c r="S281" t="s">
        <v>44</v>
      </c>
      <c r="T281" t="s">
        <v>45</v>
      </c>
      <c r="U281" t="s">
        <v>182</v>
      </c>
      <c r="V281" t="s">
        <v>990</v>
      </c>
      <c r="W281">
        <v>14100</v>
      </c>
      <c r="X281" t="s">
        <v>44</v>
      </c>
      <c r="Y281" t="s">
        <v>115</v>
      </c>
      <c r="Z281" t="s">
        <v>49</v>
      </c>
      <c r="AA281" s="10">
        <f>IF(O281&lt;=1,7,7+0.8*ROUNDUP(O281-1,0))</f>
        <v>7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8"/>
        <v>0.42</v>
      </c>
      <c r="AG281" s="11">
        <f t="shared" si="9"/>
        <v>7.42</v>
      </c>
      <c r="AH281" t="s">
        <v>50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991</v>
      </c>
      <c r="G282" t="s">
        <v>37</v>
      </c>
      <c r="H282" t="s">
        <v>38</v>
      </c>
      <c r="I282" t="s">
        <v>992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6</v>
      </c>
      <c r="P282" s="8">
        <v>45204.735567129632</v>
      </c>
      <c r="Q282" s="9">
        <v>45206</v>
      </c>
      <c r="R282" t="s">
        <v>37</v>
      </c>
      <c r="S282" t="s">
        <v>44</v>
      </c>
      <c r="T282" t="s">
        <v>55</v>
      </c>
      <c r="U282" t="s">
        <v>61</v>
      </c>
      <c r="V282" t="s">
        <v>993</v>
      </c>
      <c r="W282">
        <v>71900</v>
      </c>
      <c r="X282" t="s">
        <v>44</v>
      </c>
      <c r="Y282" t="s">
        <v>84</v>
      </c>
      <c r="Z282" t="s">
        <v>49</v>
      </c>
      <c r="AA282" s="10">
        <f>IF(O282&lt;=1,7,7+0.8*ROUNDUP(O282-1,0))</f>
        <v>11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8"/>
        <v>0.65999999999999992</v>
      </c>
      <c r="AG282" s="11">
        <f t="shared" si="9"/>
        <v>11.66</v>
      </c>
      <c r="AH282" t="s">
        <v>50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994</v>
      </c>
      <c r="G283" t="s">
        <v>37</v>
      </c>
      <c r="H283" t="s">
        <v>38</v>
      </c>
      <c r="I283" t="s">
        <v>995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1</v>
      </c>
      <c r="P283" s="8">
        <v>45206.68109953704</v>
      </c>
      <c r="Q283" s="9">
        <v>45207</v>
      </c>
      <c r="R283" t="s">
        <v>37</v>
      </c>
      <c r="S283" t="s">
        <v>44</v>
      </c>
      <c r="T283" t="s">
        <v>45</v>
      </c>
      <c r="U283" t="s">
        <v>66</v>
      </c>
      <c r="V283" t="s">
        <v>996</v>
      </c>
      <c r="W283">
        <v>47130</v>
      </c>
      <c r="X283" t="s">
        <v>44</v>
      </c>
      <c r="Y283" t="s">
        <v>202</v>
      </c>
      <c r="Z283" t="s">
        <v>49</v>
      </c>
      <c r="AA283" s="10">
        <f>IF(O283&lt;=1,7,7+0.8*ROUNDUP(O283-1,0))</f>
        <v>7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8"/>
        <v>0.42</v>
      </c>
      <c r="AG283" s="11">
        <f t="shared" si="9"/>
        <v>7.42</v>
      </c>
      <c r="AH283" t="s">
        <v>50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997</v>
      </c>
      <c r="G284" t="s">
        <v>37</v>
      </c>
      <c r="H284" t="s">
        <v>38</v>
      </c>
      <c r="I284" t="s">
        <v>998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45206.568553240744</v>
      </c>
      <c r="Q284" s="9">
        <v>45207</v>
      </c>
      <c r="R284" t="s">
        <v>37</v>
      </c>
      <c r="S284" t="s">
        <v>44</v>
      </c>
      <c r="T284" t="s">
        <v>45</v>
      </c>
      <c r="U284" t="s">
        <v>87</v>
      </c>
      <c r="V284" t="s">
        <v>999</v>
      </c>
      <c r="W284">
        <v>26060</v>
      </c>
      <c r="X284" t="s">
        <v>44</v>
      </c>
      <c r="Y284" t="s">
        <v>45</v>
      </c>
      <c r="Z284" t="s">
        <v>49</v>
      </c>
      <c r="AA284" s="10">
        <f>IF(O284&lt;=1,7,7+0.8*ROUNDUP(O284-1,0))</f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8"/>
        <v>0.42</v>
      </c>
      <c r="AG284" s="11">
        <f t="shared" si="9"/>
        <v>7.42</v>
      </c>
      <c r="AH284" t="s">
        <v>50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1000</v>
      </c>
      <c r="G285" t="s">
        <v>37</v>
      </c>
      <c r="H285" t="s">
        <v>38</v>
      </c>
      <c r="I285" t="s">
        <v>1001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1</v>
      </c>
      <c r="P285" s="8">
        <v>45204.782418981478</v>
      </c>
      <c r="Q285" s="9">
        <v>45207</v>
      </c>
      <c r="R285" t="s">
        <v>37</v>
      </c>
      <c r="S285" t="s">
        <v>44</v>
      </c>
      <c r="T285" t="s">
        <v>55</v>
      </c>
      <c r="U285" t="s">
        <v>92</v>
      </c>
      <c r="V285" t="s">
        <v>1002</v>
      </c>
      <c r="W285">
        <v>81750</v>
      </c>
      <c r="X285" t="s">
        <v>44</v>
      </c>
      <c r="Y285" t="s">
        <v>115</v>
      </c>
      <c r="Z285" t="s">
        <v>49</v>
      </c>
      <c r="AA285" s="10">
        <f>IF(O285&lt;=1,7,7+0.8*ROUNDUP(O285-1,0))</f>
        <v>7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8"/>
        <v>0.42</v>
      </c>
      <c r="AG285" s="11">
        <f t="shared" si="9"/>
        <v>7.42</v>
      </c>
      <c r="AH285" t="s">
        <v>50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1003</v>
      </c>
      <c r="G286" t="s">
        <v>37</v>
      </c>
      <c r="H286" t="s">
        <v>38</v>
      </c>
      <c r="I286" t="s">
        <v>1004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5</v>
      </c>
      <c r="P286" s="8">
        <v>45204.763043981482</v>
      </c>
      <c r="Q286" s="9">
        <v>45207</v>
      </c>
      <c r="R286" t="s">
        <v>37</v>
      </c>
      <c r="S286" t="s">
        <v>44</v>
      </c>
      <c r="T286" t="s">
        <v>55</v>
      </c>
      <c r="U286" t="s">
        <v>173</v>
      </c>
      <c r="V286" t="s">
        <v>1005</v>
      </c>
      <c r="W286">
        <v>90000</v>
      </c>
      <c r="X286" t="s">
        <v>114</v>
      </c>
      <c r="Y286" t="s">
        <v>1006</v>
      </c>
      <c r="Z286" t="s">
        <v>49</v>
      </c>
      <c r="AA286" s="12">
        <f>IF(O286&lt;=1,13,IF(O286&lt;=2,23,IF(O286&lt;=3,35,IF(O286&lt;=4,43,IF(O286&lt;=5,53,IF(O286&lt;=6,63,IF(O286&lt;=7,71,IF(O286&lt;=8,79,IF(O286&lt;=9,87,IF(O286&lt;=10,95,IF(O286&lt;=11,105,IF(O286&lt;=12,114,IF(O286&lt;=13,119,IF(O286&lt;=14,127,IF(O286&lt;=15,135,IF(O286&lt;=16,143,IF(O286&lt;=17,153,IF(O286&lt;=18,163,IF(O286&lt;=19,171,IF(O286&lt;=20,185,IF(O286&lt;=21,193,IF(O286&lt;=22,201,IF(O286&lt;=23,210,IF(O286&lt;=24,220,IF(O286&lt;=25,230,IF(O286&lt;=26,240,IF(O286&lt;=27,250,IF(O286&lt;=28,260,IF(O286&lt;=29,270,IF(O286&lt;=30,280,280+10*ROUNDUP(O286-30,0)))))))))))))))))))))))))))))))</f>
        <v>53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8"/>
        <v>3.1799999999999997</v>
      </c>
      <c r="AG286" s="11">
        <f t="shared" si="9"/>
        <v>56.18</v>
      </c>
      <c r="AH286" t="s">
        <v>116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1007</v>
      </c>
      <c r="G287" t="s">
        <v>37</v>
      </c>
      <c r="H287" t="s">
        <v>38</v>
      </c>
      <c r="I287" t="s">
        <v>1008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3</v>
      </c>
      <c r="P287" s="8">
        <v>45206.693668981483</v>
      </c>
      <c r="Q287" s="9">
        <v>45207</v>
      </c>
      <c r="R287" t="s">
        <v>37</v>
      </c>
      <c r="S287" t="s">
        <v>44</v>
      </c>
      <c r="T287" t="s">
        <v>45</v>
      </c>
      <c r="U287" t="s">
        <v>71</v>
      </c>
      <c r="V287" t="s">
        <v>1009</v>
      </c>
      <c r="W287">
        <v>23000</v>
      </c>
      <c r="X287" t="s">
        <v>44</v>
      </c>
      <c r="Y287" t="s">
        <v>1010</v>
      </c>
      <c r="Z287" t="s">
        <v>49</v>
      </c>
      <c r="AA287" s="10">
        <f>IF(O287&lt;=1,7,7+0.8*ROUNDUP(O287-1,0))</f>
        <v>8.6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8"/>
        <v>0.51600000000000001</v>
      </c>
      <c r="AG287" s="11">
        <f t="shared" si="9"/>
        <v>9.1159999999999997</v>
      </c>
      <c r="AH287" t="s">
        <v>50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1011</v>
      </c>
      <c r="G288" t="s">
        <v>37</v>
      </c>
      <c r="H288" t="s">
        <v>38</v>
      </c>
      <c r="I288" t="s">
        <v>1012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1</v>
      </c>
      <c r="P288" s="8">
        <v>45206.734189814815</v>
      </c>
      <c r="Q288" s="9">
        <v>45207</v>
      </c>
      <c r="R288" t="s">
        <v>37</v>
      </c>
      <c r="S288" t="s">
        <v>44</v>
      </c>
      <c r="T288" t="s">
        <v>45</v>
      </c>
      <c r="U288" t="s">
        <v>71</v>
      </c>
      <c r="V288" t="s">
        <v>1013</v>
      </c>
      <c r="W288">
        <v>22200</v>
      </c>
      <c r="X288" t="s">
        <v>44</v>
      </c>
      <c r="Y288" t="s">
        <v>55</v>
      </c>
      <c r="Z288" t="s">
        <v>49</v>
      </c>
      <c r="AA288" s="10">
        <f>IF(O288&lt;=1,7,7+0.8*ROUNDUP(O288-1,0))</f>
        <v>7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8"/>
        <v>0.42</v>
      </c>
      <c r="AG288" s="11">
        <f t="shared" si="9"/>
        <v>7.42</v>
      </c>
      <c r="AH288" t="s">
        <v>50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1014</v>
      </c>
      <c r="G289" t="s">
        <v>37</v>
      </c>
      <c r="H289" t="s">
        <v>38</v>
      </c>
      <c r="I289" t="s">
        <v>1015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5</v>
      </c>
      <c r="P289" s="8">
        <v>45203.787222222221</v>
      </c>
      <c r="Q289" s="9">
        <v>45207</v>
      </c>
      <c r="R289" t="s">
        <v>37</v>
      </c>
      <c r="S289" t="s">
        <v>44</v>
      </c>
      <c r="T289" t="s">
        <v>45</v>
      </c>
      <c r="U289" t="s">
        <v>145</v>
      </c>
      <c r="V289" t="s">
        <v>1016</v>
      </c>
      <c r="W289">
        <v>76450</v>
      </c>
      <c r="X289" t="s">
        <v>44</v>
      </c>
      <c r="Y289" t="s">
        <v>275</v>
      </c>
      <c r="Z289" t="s">
        <v>49</v>
      </c>
      <c r="AA289" s="10">
        <f>IF(O289&lt;=1,7,7+0.8*ROUNDUP(O289-1,0))</f>
        <v>10.199999999999999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8"/>
        <v>0.61199999999999999</v>
      </c>
      <c r="AG289" s="11">
        <f t="shared" si="9"/>
        <v>10.811999999999999</v>
      </c>
      <c r="AH289" t="s">
        <v>50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1017</v>
      </c>
      <c r="G290" t="s">
        <v>37</v>
      </c>
      <c r="H290" t="s">
        <v>38</v>
      </c>
      <c r="I290" t="s">
        <v>1018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45206.600046296298</v>
      </c>
      <c r="Q290" s="9">
        <v>45207</v>
      </c>
      <c r="R290" t="s">
        <v>37</v>
      </c>
      <c r="S290" t="s">
        <v>44</v>
      </c>
      <c r="T290" t="s">
        <v>45</v>
      </c>
      <c r="U290" t="s">
        <v>66</v>
      </c>
      <c r="V290" t="s">
        <v>1019</v>
      </c>
      <c r="W290">
        <v>43800</v>
      </c>
      <c r="X290" t="s">
        <v>44</v>
      </c>
      <c r="Y290" t="s">
        <v>166</v>
      </c>
      <c r="Z290" t="s">
        <v>49</v>
      </c>
      <c r="AA290" s="10">
        <f>IF(O290&lt;=1,7,7+0.8*ROUNDUP(O290-1,0))</f>
        <v>7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8"/>
        <v>0.42</v>
      </c>
      <c r="AG290" s="11">
        <f t="shared" si="9"/>
        <v>7.42</v>
      </c>
      <c r="AH290" t="s">
        <v>50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1020</v>
      </c>
      <c r="G291" t="s">
        <v>37</v>
      </c>
      <c r="H291" t="s">
        <v>38</v>
      </c>
      <c r="I291" t="s">
        <v>1021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1</v>
      </c>
      <c r="P291" s="8">
        <v>45206.720613425925</v>
      </c>
      <c r="Q291" s="9">
        <v>45207</v>
      </c>
      <c r="R291" t="s">
        <v>37</v>
      </c>
      <c r="S291" t="s">
        <v>44</v>
      </c>
      <c r="T291" t="s">
        <v>45</v>
      </c>
      <c r="U291" t="s">
        <v>66</v>
      </c>
      <c r="V291" t="s">
        <v>1022</v>
      </c>
      <c r="W291">
        <v>42920</v>
      </c>
      <c r="X291" t="s">
        <v>44</v>
      </c>
      <c r="Y291" t="s">
        <v>115</v>
      </c>
      <c r="Z291" t="s">
        <v>49</v>
      </c>
      <c r="AA291" s="10">
        <f>IF(O291&lt;=1,7,7+0.8*ROUNDUP(O291-1,0))</f>
        <v>7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8"/>
        <v>0.42</v>
      </c>
      <c r="AG291" s="11">
        <f t="shared" si="9"/>
        <v>7.42</v>
      </c>
      <c r="AH291" t="s">
        <v>50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1023</v>
      </c>
      <c r="G292" t="s">
        <v>37</v>
      </c>
      <c r="H292" t="s">
        <v>38</v>
      </c>
      <c r="I292" t="s">
        <v>1024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1</v>
      </c>
      <c r="P292" s="8">
        <v>45206.734189814815</v>
      </c>
      <c r="Q292" s="9">
        <v>45207</v>
      </c>
      <c r="R292" t="s">
        <v>37</v>
      </c>
      <c r="S292" t="s">
        <v>44</v>
      </c>
      <c r="T292" t="s">
        <v>45</v>
      </c>
      <c r="U292" t="s">
        <v>71</v>
      </c>
      <c r="V292" t="s">
        <v>1025</v>
      </c>
      <c r="W292">
        <v>21800</v>
      </c>
      <c r="X292" t="s">
        <v>44</v>
      </c>
      <c r="Y292" t="s">
        <v>73</v>
      </c>
      <c r="Z292" t="s">
        <v>49</v>
      </c>
      <c r="AA292" s="10">
        <f>IF(O292&lt;=1,7,7+0.8*ROUNDUP(O292-1,0))</f>
        <v>7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ref="AF292:AF355" si="10">(AA292+AC292+AE292)*6%</f>
        <v>0.42</v>
      </c>
      <c r="AG292" s="11">
        <f t="shared" ref="AG292:AG355" si="11">AA292+AC292+AE292+AF292</f>
        <v>7.42</v>
      </c>
      <c r="AH292" t="s">
        <v>50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1026</v>
      </c>
      <c r="G293" t="s">
        <v>37</v>
      </c>
      <c r="H293" t="s">
        <v>38</v>
      </c>
      <c r="I293" t="s">
        <v>1027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1</v>
      </c>
      <c r="P293" s="8">
        <v>45206.768611111111</v>
      </c>
      <c r="Q293" s="9">
        <v>45207</v>
      </c>
      <c r="R293" t="s">
        <v>37</v>
      </c>
      <c r="S293" t="s">
        <v>44</v>
      </c>
      <c r="T293" t="s">
        <v>45</v>
      </c>
      <c r="U293" t="s">
        <v>53</v>
      </c>
      <c r="V293" t="s">
        <v>1028</v>
      </c>
      <c r="W293">
        <v>17000</v>
      </c>
      <c r="X293" t="s">
        <v>44</v>
      </c>
      <c r="Y293" t="s">
        <v>55</v>
      </c>
      <c r="Z293" t="s">
        <v>49</v>
      </c>
      <c r="AA293" s="10">
        <f>IF(O293&lt;=1,7,7+0.8*ROUNDUP(O293-1,0))</f>
        <v>7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0"/>
        <v>0.42</v>
      </c>
      <c r="AG293" s="11">
        <f t="shared" si="11"/>
        <v>7.42</v>
      </c>
      <c r="AH293" t="s">
        <v>50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1029</v>
      </c>
      <c r="G294" t="s">
        <v>37</v>
      </c>
      <c r="H294" t="s">
        <v>38</v>
      </c>
      <c r="I294" t="s">
        <v>1030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1</v>
      </c>
      <c r="P294" s="8">
        <v>45204.747395833336</v>
      </c>
      <c r="Q294" s="9">
        <v>45207</v>
      </c>
      <c r="R294" t="s">
        <v>37</v>
      </c>
      <c r="S294" t="s">
        <v>44</v>
      </c>
      <c r="T294" t="s">
        <v>55</v>
      </c>
      <c r="U294" t="s">
        <v>46</v>
      </c>
      <c r="V294" t="s">
        <v>1031</v>
      </c>
      <c r="W294">
        <v>8330</v>
      </c>
      <c r="X294" t="s">
        <v>44</v>
      </c>
      <c r="Y294" t="s">
        <v>753</v>
      </c>
      <c r="Z294" t="s">
        <v>49</v>
      </c>
      <c r="AA294" s="10">
        <f>IF(O294&lt;=1,7,7+0.8*ROUNDUP(O294-1,0))</f>
        <v>7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0"/>
        <v>0.42</v>
      </c>
      <c r="AG294" s="11">
        <f t="shared" si="11"/>
        <v>7.42</v>
      </c>
      <c r="AH294" t="s">
        <v>50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1032</v>
      </c>
      <c r="G295" t="s">
        <v>37</v>
      </c>
      <c r="H295" t="s">
        <v>38</v>
      </c>
      <c r="I295" t="s">
        <v>1033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1</v>
      </c>
      <c r="P295" s="8">
        <v>45206.715775462966</v>
      </c>
      <c r="Q295" s="9">
        <v>45207</v>
      </c>
      <c r="R295" t="s">
        <v>37</v>
      </c>
      <c r="S295" t="s">
        <v>44</v>
      </c>
      <c r="T295" t="s">
        <v>45</v>
      </c>
      <c r="U295" t="s">
        <v>71</v>
      </c>
      <c r="V295" t="s">
        <v>1034</v>
      </c>
      <c r="W295">
        <v>23200</v>
      </c>
      <c r="X295" t="s">
        <v>44</v>
      </c>
      <c r="Y295" t="s">
        <v>73</v>
      </c>
      <c r="Z295" t="s">
        <v>49</v>
      </c>
      <c r="AA295" s="10">
        <f>IF(O295&lt;=1,7,7+0.8*ROUNDUP(O295-1,0))</f>
        <v>7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0"/>
        <v>0.42</v>
      </c>
      <c r="AG295" s="11">
        <f t="shared" si="11"/>
        <v>7.42</v>
      </c>
      <c r="AH295" t="s">
        <v>50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1035</v>
      </c>
      <c r="G296" t="s">
        <v>37</v>
      </c>
      <c r="H296" t="s">
        <v>38</v>
      </c>
      <c r="I296" t="s">
        <v>1036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1</v>
      </c>
      <c r="P296" s="8">
        <v>45206.720613425925</v>
      </c>
      <c r="Q296" s="9">
        <v>45208</v>
      </c>
      <c r="R296" t="s">
        <v>37</v>
      </c>
      <c r="S296" t="s">
        <v>44</v>
      </c>
      <c r="T296" t="s">
        <v>45</v>
      </c>
      <c r="U296" t="s">
        <v>157</v>
      </c>
      <c r="V296" t="s">
        <v>1037</v>
      </c>
      <c r="W296">
        <v>34600</v>
      </c>
      <c r="X296" t="s">
        <v>44</v>
      </c>
      <c r="Y296" t="s">
        <v>115</v>
      </c>
      <c r="Z296" t="s">
        <v>49</v>
      </c>
      <c r="AA296" s="10">
        <f>IF(O296&lt;=1,7,7+0.8*ROUNDUP(O296-1,0))</f>
        <v>7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10"/>
        <v>0.42</v>
      </c>
      <c r="AG296" s="11">
        <f t="shared" si="11"/>
        <v>7.42</v>
      </c>
      <c r="AH296" t="s">
        <v>50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1038</v>
      </c>
      <c r="G297" t="s">
        <v>37</v>
      </c>
      <c r="H297" t="s">
        <v>38</v>
      </c>
      <c r="I297" t="s">
        <v>1039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6</v>
      </c>
      <c r="P297" s="8">
        <v>45206.814560185187</v>
      </c>
      <c r="Q297" s="9">
        <v>45208</v>
      </c>
      <c r="R297" t="s">
        <v>37</v>
      </c>
      <c r="S297" t="s">
        <v>44</v>
      </c>
      <c r="T297" t="s">
        <v>45</v>
      </c>
      <c r="U297" t="s">
        <v>87</v>
      </c>
      <c r="V297" t="s">
        <v>1040</v>
      </c>
      <c r="W297">
        <v>26600</v>
      </c>
      <c r="X297" t="s">
        <v>44</v>
      </c>
      <c r="Y297" t="s">
        <v>89</v>
      </c>
      <c r="Z297" t="s">
        <v>49</v>
      </c>
      <c r="AA297" s="10">
        <f>IF(O297&lt;=1,7,7+0.8*ROUNDUP(O297-1,0))</f>
        <v>11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10"/>
        <v>0.65999999999999992</v>
      </c>
      <c r="AG297" s="11">
        <f t="shared" si="11"/>
        <v>11.66</v>
      </c>
      <c r="AH297" t="s">
        <v>50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1041</v>
      </c>
      <c r="G298" t="s">
        <v>37</v>
      </c>
      <c r="H298" t="s">
        <v>38</v>
      </c>
      <c r="I298" t="s">
        <v>1042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1</v>
      </c>
      <c r="P298" s="8">
        <v>45207.669074074074</v>
      </c>
      <c r="Q298" s="9">
        <v>45208</v>
      </c>
      <c r="R298" t="s">
        <v>37</v>
      </c>
      <c r="S298" t="s">
        <v>44</v>
      </c>
      <c r="T298" t="s">
        <v>45</v>
      </c>
      <c r="U298" t="s">
        <v>71</v>
      </c>
      <c r="V298" t="s">
        <v>1043</v>
      </c>
      <c r="W298">
        <v>22200</v>
      </c>
      <c r="X298" t="s">
        <v>44</v>
      </c>
      <c r="Y298" t="s">
        <v>55</v>
      </c>
      <c r="Z298" t="s">
        <v>49</v>
      </c>
      <c r="AA298" s="10">
        <f>IF(O298&lt;=1,7,7+0.8*ROUNDUP(O298-1,0))</f>
        <v>7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10"/>
        <v>0.42</v>
      </c>
      <c r="AG298" s="11">
        <f t="shared" si="11"/>
        <v>7.42</v>
      </c>
      <c r="AH298" t="s">
        <v>50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1044</v>
      </c>
      <c r="G299" t="s">
        <v>37</v>
      </c>
      <c r="H299" t="s">
        <v>38</v>
      </c>
      <c r="I299" t="s">
        <v>1045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1</v>
      </c>
      <c r="P299" s="8">
        <v>45207.711944444447</v>
      </c>
      <c r="Q299" s="9">
        <v>45208</v>
      </c>
      <c r="R299" t="s">
        <v>37</v>
      </c>
      <c r="S299" t="s">
        <v>44</v>
      </c>
      <c r="T299" t="s">
        <v>45</v>
      </c>
      <c r="U299" t="s">
        <v>66</v>
      </c>
      <c r="V299" t="s">
        <v>1046</v>
      </c>
      <c r="W299">
        <v>47300</v>
      </c>
      <c r="X299" t="s">
        <v>44</v>
      </c>
      <c r="Y299" t="s">
        <v>1047</v>
      </c>
      <c r="Z299" t="s">
        <v>49</v>
      </c>
      <c r="AA299" s="10">
        <f>IF(O299&lt;=1,7,7+0.8*ROUNDUP(O299-1,0))</f>
        <v>7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10"/>
        <v>0.42</v>
      </c>
      <c r="AG299" s="11">
        <f t="shared" si="11"/>
        <v>7.42</v>
      </c>
      <c r="AH299" t="s">
        <v>50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1048</v>
      </c>
      <c r="G300" t="s">
        <v>37</v>
      </c>
      <c r="H300" t="s">
        <v>38</v>
      </c>
      <c r="I300" t="s">
        <v>255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9</v>
      </c>
      <c r="P300" s="8">
        <v>45206.564768518518</v>
      </c>
      <c r="Q300" s="9">
        <v>45208</v>
      </c>
      <c r="R300" t="s">
        <v>37</v>
      </c>
      <c r="S300" t="s">
        <v>44</v>
      </c>
      <c r="T300" t="s">
        <v>45</v>
      </c>
      <c r="U300" t="s">
        <v>87</v>
      </c>
      <c r="V300" t="s">
        <v>1049</v>
      </c>
      <c r="W300">
        <v>39100</v>
      </c>
      <c r="X300" t="s">
        <v>44</v>
      </c>
      <c r="Y300" t="s">
        <v>268</v>
      </c>
      <c r="Z300" t="s">
        <v>49</v>
      </c>
      <c r="AA300" s="10">
        <f>IF(O300&lt;=1,7,7+0.8*ROUNDUP(O300-1,0))</f>
        <v>13.4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10"/>
        <v>0.80399999999999994</v>
      </c>
      <c r="AG300" s="11">
        <f t="shared" si="11"/>
        <v>14.204000000000001</v>
      </c>
      <c r="AH300" t="s">
        <v>50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1050</v>
      </c>
      <c r="G301" t="s">
        <v>37</v>
      </c>
      <c r="H301" t="s">
        <v>38</v>
      </c>
      <c r="I301" t="s">
        <v>1051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1</v>
      </c>
      <c r="P301" s="8">
        <v>45207.642268518517</v>
      </c>
      <c r="Q301" s="9">
        <v>45208</v>
      </c>
      <c r="R301" t="s">
        <v>37</v>
      </c>
      <c r="S301" t="s">
        <v>44</v>
      </c>
      <c r="T301" t="s">
        <v>45</v>
      </c>
      <c r="U301" t="s">
        <v>66</v>
      </c>
      <c r="V301" t="s">
        <v>1052</v>
      </c>
      <c r="W301">
        <v>43300</v>
      </c>
      <c r="X301" t="s">
        <v>44</v>
      </c>
      <c r="Y301" t="s">
        <v>1053</v>
      </c>
      <c r="Z301" t="s">
        <v>49</v>
      </c>
      <c r="AA301" s="10">
        <f>IF(O301&lt;=1,7,7+0.8*ROUNDUP(O301-1,0))</f>
        <v>7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10"/>
        <v>0.42</v>
      </c>
      <c r="AG301" s="11">
        <f t="shared" si="11"/>
        <v>7.42</v>
      </c>
      <c r="AH301" t="s">
        <v>50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1054</v>
      </c>
      <c r="G302" t="s">
        <v>37</v>
      </c>
      <c r="H302" t="s">
        <v>38</v>
      </c>
      <c r="I302" t="s">
        <v>1055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45207.642268518517</v>
      </c>
      <c r="Q302" s="9">
        <v>45208</v>
      </c>
      <c r="R302" t="s">
        <v>37</v>
      </c>
      <c r="S302" t="s">
        <v>44</v>
      </c>
      <c r="T302" t="s">
        <v>45</v>
      </c>
      <c r="U302" t="s">
        <v>66</v>
      </c>
      <c r="V302" t="s">
        <v>1056</v>
      </c>
      <c r="W302">
        <v>43200</v>
      </c>
      <c r="X302" t="s">
        <v>44</v>
      </c>
      <c r="Y302" t="s">
        <v>1053</v>
      </c>
      <c r="Z302" t="s">
        <v>49</v>
      </c>
      <c r="AA302" s="10">
        <f>IF(O302&lt;=1,7,7+0.8*ROUNDUP(O302-1,0))</f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10"/>
        <v>0.42</v>
      </c>
      <c r="AG302" s="11">
        <f t="shared" si="11"/>
        <v>7.42</v>
      </c>
      <c r="AH302" t="s">
        <v>50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1057</v>
      </c>
      <c r="G303" t="s">
        <v>37</v>
      </c>
      <c r="H303" t="s">
        <v>38</v>
      </c>
      <c r="I303" t="s">
        <v>1058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45207.743333333332</v>
      </c>
      <c r="Q303" s="9">
        <v>45208</v>
      </c>
      <c r="R303" t="s">
        <v>37</v>
      </c>
      <c r="S303" t="s">
        <v>44</v>
      </c>
      <c r="T303" t="s">
        <v>45</v>
      </c>
      <c r="U303" t="s">
        <v>87</v>
      </c>
      <c r="V303" t="s">
        <v>1059</v>
      </c>
      <c r="W303">
        <v>26500</v>
      </c>
      <c r="X303" t="s">
        <v>44</v>
      </c>
      <c r="Y303" t="s">
        <v>45</v>
      </c>
      <c r="Z303" t="s">
        <v>49</v>
      </c>
      <c r="AA303" s="10">
        <f>IF(O303&lt;=1,7,7+0.8*ROUNDUP(O303-1,0))</f>
        <v>7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10"/>
        <v>0.42</v>
      </c>
      <c r="AG303" s="11">
        <f t="shared" si="11"/>
        <v>7.42</v>
      </c>
      <c r="AH303" t="s">
        <v>50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1060</v>
      </c>
      <c r="G304" t="s">
        <v>37</v>
      </c>
      <c r="H304" t="s">
        <v>38</v>
      </c>
      <c r="I304" t="s">
        <v>1061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2</v>
      </c>
      <c r="P304" s="8">
        <v>45206.404965277776</v>
      </c>
      <c r="Q304" s="9">
        <v>45208</v>
      </c>
      <c r="R304" t="s">
        <v>37</v>
      </c>
      <c r="S304" t="s">
        <v>44</v>
      </c>
      <c r="T304" t="s">
        <v>45</v>
      </c>
      <c r="U304" t="s">
        <v>71</v>
      </c>
      <c r="V304" t="s">
        <v>1062</v>
      </c>
      <c r="W304">
        <v>23200</v>
      </c>
      <c r="X304" t="s">
        <v>44</v>
      </c>
      <c r="Y304" t="s">
        <v>1010</v>
      </c>
      <c r="Z304" t="s">
        <v>49</v>
      </c>
      <c r="AA304" s="10">
        <f>IF(O304&lt;=1,7,7+0.8*ROUNDUP(O304-1,0))</f>
        <v>7.8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10"/>
        <v>0.46799999999999997</v>
      </c>
      <c r="AG304" s="11">
        <f t="shared" si="11"/>
        <v>8.2680000000000007</v>
      </c>
      <c r="AH304" t="s">
        <v>50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1063</v>
      </c>
      <c r="G305" t="s">
        <v>37</v>
      </c>
      <c r="H305" t="s">
        <v>38</v>
      </c>
      <c r="I305" t="s">
        <v>1064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4.7</v>
      </c>
      <c r="P305" s="8">
        <v>45207.722928240742</v>
      </c>
      <c r="Q305" s="9">
        <v>45208</v>
      </c>
      <c r="R305" t="s">
        <v>37</v>
      </c>
      <c r="S305" t="s">
        <v>44</v>
      </c>
      <c r="T305" t="s">
        <v>45</v>
      </c>
      <c r="U305" t="s">
        <v>53</v>
      </c>
      <c r="V305" t="s">
        <v>1065</v>
      </c>
      <c r="W305">
        <v>17000</v>
      </c>
      <c r="X305" t="s">
        <v>44</v>
      </c>
      <c r="Y305" t="s">
        <v>846</v>
      </c>
      <c r="Z305" t="s">
        <v>49</v>
      </c>
      <c r="AA305" s="10">
        <f>IF(O305&lt;=1,7,7+0.8*ROUNDUP(O305-1,0))</f>
        <v>10.199999999999999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10"/>
        <v>0.61199999999999999</v>
      </c>
      <c r="AG305" s="11">
        <f t="shared" si="11"/>
        <v>10.811999999999999</v>
      </c>
      <c r="AH305" t="s">
        <v>50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1066</v>
      </c>
      <c r="G306" t="s">
        <v>37</v>
      </c>
      <c r="H306" t="s">
        <v>38</v>
      </c>
      <c r="I306" t="s">
        <v>1067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1</v>
      </c>
      <c r="P306" s="8">
        <v>45206.68109953704</v>
      </c>
      <c r="Q306" s="9">
        <v>45208</v>
      </c>
      <c r="R306" t="s">
        <v>37</v>
      </c>
      <c r="S306" t="s">
        <v>44</v>
      </c>
      <c r="T306" t="s">
        <v>45</v>
      </c>
      <c r="U306" t="s">
        <v>182</v>
      </c>
      <c r="V306" t="s">
        <v>1068</v>
      </c>
      <c r="W306">
        <v>13600</v>
      </c>
      <c r="X306" t="s">
        <v>44</v>
      </c>
      <c r="Y306" t="s">
        <v>184</v>
      </c>
      <c r="Z306" t="s">
        <v>49</v>
      </c>
      <c r="AA306" s="10">
        <f>IF(O306&lt;=1,7,7+0.8*ROUNDUP(O306-1,0))</f>
        <v>7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10"/>
        <v>0.42</v>
      </c>
      <c r="AG306" s="11">
        <f t="shared" si="11"/>
        <v>7.42</v>
      </c>
      <c r="AH306" t="s">
        <v>50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1069</v>
      </c>
      <c r="G307" t="s">
        <v>37</v>
      </c>
      <c r="H307" t="s">
        <v>38</v>
      </c>
      <c r="I307" t="s">
        <v>1070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1</v>
      </c>
      <c r="P307" s="8">
        <v>45206.768611111111</v>
      </c>
      <c r="Q307" s="9">
        <v>45208</v>
      </c>
      <c r="R307" t="s">
        <v>37</v>
      </c>
      <c r="S307" t="s">
        <v>44</v>
      </c>
      <c r="T307" t="s">
        <v>45</v>
      </c>
      <c r="U307" t="s">
        <v>157</v>
      </c>
      <c r="V307" t="s">
        <v>1071</v>
      </c>
      <c r="W307">
        <v>36200</v>
      </c>
      <c r="X307" t="s">
        <v>44</v>
      </c>
      <c r="Y307" t="s">
        <v>159</v>
      </c>
      <c r="Z307" t="s">
        <v>49</v>
      </c>
      <c r="AA307" s="10">
        <f>IF(O307&lt;=1,7,7+0.8*ROUNDUP(O307-1,0))</f>
        <v>7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10"/>
        <v>0.42</v>
      </c>
      <c r="AG307" s="11">
        <f t="shared" si="11"/>
        <v>7.42</v>
      </c>
      <c r="AH307" t="s">
        <v>50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1072</v>
      </c>
      <c r="G308" t="s">
        <v>37</v>
      </c>
      <c r="H308" t="s">
        <v>38</v>
      </c>
      <c r="I308" t="s">
        <v>1073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1</v>
      </c>
      <c r="P308" s="8">
        <v>45206.743900462963</v>
      </c>
      <c r="Q308" s="9">
        <v>45208</v>
      </c>
      <c r="R308" t="s">
        <v>37</v>
      </c>
      <c r="S308" t="s">
        <v>44</v>
      </c>
      <c r="T308" t="s">
        <v>45</v>
      </c>
      <c r="U308" t="s">
        <v>173</v>
      </c>
      <c r="V308" t="s">
        <v>1074</v>
      </c>
      <c r="W308">
        <v>89600</v>
      </c>
      <c r="X308" t="s">
        <v>114</v>
      </c>
      <c r="Y308" t="s">
        <v>115</v>
      </c>
      <c r="Z308" t="s">
        <v>49</v>
      </c>
      <c r="AA308" s="12">
        <f>IF(O308&lt;=1,13,IF(O308&lt;=2,23,IF(O308&lt;=3,35,IF(O308&lt;=4,43,IF(O308&lt;=5,53,IF(O308&lt;=6,63,IF(O308&lt;=7,71,IF(O308&lt;=8,79,IF(O308&lt;=9,87,IF(O308&lt;=10,95,IF(O308&lt;=11,105,IF(O308&lt;=12,114,IF(O308&lt;=13,119,IF(O308&lt;=14,127,IF(O308&lt;=15,135,IF(O308&lt;=16,143,IF(O308&lt;=17,153,IF(O308&lt;=18,163,IF(O308&lt;=19,171,IF(O308&lt;=20,185,IF(O308&lt;=21,193,IF(O308&lt;=22,201,IF(O308&lt;=23,210,IF(O308&lt;=24,220,IF(O308&lt;=25,230,IF(O308&lt;=26,240,IF(O308&lt;=27,250,IF(O308&lt;=28,260,IF(O308&lt;=29,270,IF(O308&lt;=30,280,280+10*ROUNDUP(O308-30,0)))))))))))))))))))))))))))))))</f>
        <v>13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10"/>
        <v>0.78</v>
      </c>
      <c r="AG308" s="11">
        <f t="shared" si="11"/>
        <v>13.78</v>
      </c>
      <c r="AH308" t="s">
        <v>116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1075</v>
      </c>
      <c r="G309" t="s">
        <v>37</v>
      </c>
      <c r="H309" t="s">
        <v>38</v>
      </c>
      <c r="I309" t="s">
        <v>1076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45207.739641203705</v>
      </c>
      <c r="Q309" s="9">
        <v>45208</v>
      </c>
      <c r="R309" t="s">
        <v>37</v>
      </c>
      <c r="S309" t="s">
        <v>44</v>
      </c>
      <c r="T309" t="s">
        <v>45</v>
      </c>
      <c r="U309" t="s">
        <v>71</v>
      </c>
      <c r="V309" t="s">
        <v>1077</v>
      </c>
      <c r="W309">
        <v>21080</v>
      </c>
      <c r="X309" t="s">
        <v>44</v>
      </c>
      <c r="Y309" t="s">
        <v>73</v>
      </c>
      <c r="Z309" t="s">
        <v>49</v>
      </c>
      <c r="AA309" s="10">
        <f>IF(O309&lt;=1,7,7+0.8*ROUNDUP(O309-1,0))</f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10"/>
        <v>0.42</v>
      </c>
      <c r="AG309" s="11">
        <f t="shared" si="11"/>
        <v>7.42</v>
      </c>
      <c r="AH309" t="s">
        <v>50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1078</v>
      </c>
      <c r="G310" t="s">
        <v>37</v>
      </c>
      <c r="H310" t="s">
        <v>38</v>
      </c>
      <c r="I310" t="s">
        <v>1079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1</v>
      </c>
      <c r="P310" s="8">
        <v>45206.517326388886</v>
      </c>
      <c r="Q310" s="9">
        <v>45208</v>
      </c>
      <c r="R310" t="s">
        <v>37</v>
      </c>
      <c r="S310" t="s">
        <v>44</v>
      </c>
      <c r="T310" t="s">
        <v>45</v>
      </c>
      <c r="U310" t="s">
        <v>157</v>
      </c>
      <c r="V310" t="s">
        <v>1080</v>
      </c>
      <c r="W310">
        <v>33300</v>
      </c>
      <c r="X310" t="s">
        <v>44</v>
      </c>
      <c r="Y310" t="s">
        <v>1081</v>
      </c>
      <c r="Z310" t="s">
        <v>49</v>
      </c>
      <c r="AA310" s="10">
        <f>IF(O310&lt;=1,7,7+0.8*ROUNDUP(O310-1,0))</f>
        <v>7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10"/>
        <v>0.42</v>
      </c>
      <c r="AG310" s="11">
        <f t="shared" si="11"/>
        <v>7.42</v>
      </c>
      <c r="AH310" t="s">
        <v>50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1082</v>
      </c>
      <c r="G311" t="s">
        <v>37</v>
      </c>
      <c r="H311" t="s">
        <v>38</v>
      </c>
      <c r="I311" t="s">
        <v>1083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</v>
      </c>
      <c r="P311" s="8">
        <v>45206.720613425925</v>
      </c>
      <c r="Q311" s="9">
        <v>45208</v>
      </c>
      <c r="R311" t="s">
        <v>37</v>
      </c>
      <c r="S311" t="s">
        <v>44</v>
      </c>
      <c r="T311" t="s">
        <v>45</v>
      </c>
      <c r="U311" t="s">
        <v>92</v>
      </c>
      <c r="V311" t="s">
        <v>1084</v>
      </c>
      <c r="W311">
        <v>81800</v>
      </c>
      <c r="X311" t="s">
        <v>44</v>
      </c>
      <c r="Y311" t="s">
        <v>626</v>
      </c>
      <c r="Z311" t="s">
        <v>49</v>
      </c>
      <c r="AA311" s="10">
        <f>IF(O311&lt;=1,7,7+0.8*ROUNDUP(O311-1,0))</f>
        <v>7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10"/>
        <v>0.42</v>
      </c>
      <c r="AG311" s="11">
        <f t="shared" si="11"/>
        <v>7.42</v>
      </c>
      <c r="AH311" t="s">
        <v>50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1085</v>
      </c>
      <c r="G312" t="s">
        <v>37</v>
      </c>
      <c r="H312" t="s">
        <v>38</v>
      </c>
      <c r="I312" t="s">
        <v>1086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1</v>
      </c>
      <c r="P312" s="8">
        <v>45206.68109953704</v>
      </c>
      <c r="Q312" s="9">
        <v>45208</v>
      </c>
      <c r="R312" t="s">
        <v>37</v>
      </c>
      <c r="S312" t="s">
        <v>44</v>
      </c>
      <c r="T312" t="s">
        <v>45</v>
      </c>
      <c r="U312" t="s">
        <v>187</v>
      </c>
      <c r="V312" t="s">
        <v>1087</v>
      </c>
      <c r="W312">
        <v>57000</v>
      </c>
      <c r="X312" t="s">
        <v>44</v>
      </c>
      <c r="Y312" t="s">
        <v>68</v>
      </c>
      <c r="Z312" t="s">
        <v>49</v>
      </c>
      <c r="AA312" s="10">
        <f>IF(O312&lt;=1,7,7+0.8*ROUNDUP(O312-1,0))</f>
        <v>7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10"/>
        <v>0.42</v>
      </c>
      <c r="AG312" s="11">
        <f t="shared" si="11"/>
        <v>7.42</v>
      </c>
      <c r="AH312" t="s">
        <v>50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1088</v>
      </c>
      <c r="G313" t="s">
        <v>37</v>
      </c>
      <c r="H313" t="s">
        <v>38</v>
      </c>
      <c r="I313" t="s">
        <v>1089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1</v>
      </c>
      <c r="P313" s="8">
        <v>45206.768611111111</v>
      </c>
      <c r="Q313" s="9">
        <v>45208</v>
      </c>
      <c r="R313" t="s">
        <v>37</v>
      </c>
      <c r="S313" t="s">
        <v>44</v>
      </c>
      <c r="T313" t="s">
        <v>45</v>
      </c>
      <c r="U313" t="s">
        <v>92</v>
      </c>
      <c r="V313" t="s">
        <v>1090</v>
      </c>
      <c r="W313">
        <v>81200</v>
      </c>
      <c r="X313" t="s">
        <v>44</v>
      </c>
      <c r="Y313" t="s">
        <v>134</v>
      </c>
      <c r="Z313" t="s">
        <v>49</v>
      </c>
      <c r="AA313" s="10">
        <f>IF(O313&lt;=1,7,7+0.8*ROUNDUP(O313-1,0))</f>
        <v>7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10"/>
        <v>0.42</v>
      </c>
      <c r="AG313" s="11">
        <f t="shared" si="11"/>
        <v>7.42</v>
      </c>
      <c r="AH313" t="s">
        <v>50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1091</v>
      </c>
      <c r="G314" t="s">
        <v>37</v>
      </c>
      <c r="H314" t="s">
        <v>38</v>
      </c>
      <c r="I314" t="s">
        <v>1092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1</v>
      </c>
      <c r="P314" s="8">
        <v>45207.566365740742</v>
      </c>
      <c r="Q314" s="9">
        <v>45208</v>
      </c>
      <c r="R314" t="s">
        <v>37</v>
      </c>
      <c r="S314" t="s">
        <v>44</v>
      </c>
      <c r="T314" t="s">
        <v>45</v>
      </c>
      <c r="U314" t="s">
        <v>66</v>
      </c>
      <c r="V314" t="s">
        <v>1093</v>
      </c>
      <c r="W314">
        <v>47810</v>
      </c>
      <c r="X314" t="s">
        <v>44</v>
      </c>
      <c r="Y314" t="s">
        <v>1094</v>
      </c>
      <c r="Z314" t="s">
        <v>49</v>
      </c>
      <c r="AA314" s="10">
        <f>IF(O314&lt;=1,7,7+0.8*ROUNDUP(O314-1,0))</f>
        <v>7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10"/>
        <v>0.42</v>
      </c>
      <c r="AG314" s="11">
        <f t="shared" si="11"/>
        <v>7.42</v>
      </c>
      <c r="AH314" t="s">
        <v>50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1095</v>
      </c>
      <c r="G315" t="s">
        <v>37</v>
      </c>
      <c r="H315" t="s">
        <v>38</v>
      </c>
      <c r="I315" t="s">
        <v>1096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1</v>
      </c>
      <c r="P315" s="8">
        <v>45206.739791666667</v>
      </c>
      <c r="Q315" s="9">
        <v>45208</v>
      </c>
      <c r="R315" t="s">
        <v>37</v>
      </c>
      <c r="S315" t="s">
        <v>44</v>
      </c>
      <c r="T315" t="s">
        <v>45</v>
      </c>
      <c r="U315" t="s">
        <v>112</v>
      </c>
      <c r="V315" t="s">
        <v>1097</v>
      </c>
      <c r="W315">
        <v>98800</v>
      </c>
      <c r="X315" t="s">
        <v>114</v>
      </c>
      <c r="Y315" t="s">
        <v>115</v>
      </c>
      <c r="Z315" t="s">
        <v>49</v>
      </c>
      <c r="AA315" s="12">
        <f>IF(O315&lt;=1,13,IF(O315&lt;=2,23,IF(O315&lt;=3,35,IF(O315&lt;=4,43,IF(O315&lt;=5,53,IF(O315&lt;=6,63,IF(O315&lt;=7,71,IF(O315&lt;=8,79,IF(O315&lt;=9,87,IF(O315&lt;=10,95,IF(O315&lt;=11,105,IF(O315&lt;=12,114,IF(O315&lt;=13,119,IF(O315&lt;=14,127,IF(O315&lt;=15,135,IF(O315&lt;=16,143,IF(O315&lt;=17,153,IF(O315&lt;=18,163,IF(O315&lt;=19,171,IF(O315&lt;=20,185,IF(O315&lt;=21,193,IF(O315&lt;=22,201,IF(O315&lt;=23,210,IF(O315&lt;=24,220,IF(O315&lt;=25,230,IF(O315&lt;=26,240,IF(O315&lt;=27,250,IF(O315&lt;=28,260,IF(O315&lt;=29,270,IF(O315&lt;=30,280,280+10*ROUNDUP(O315-30,0)))))))))))))))))))))))))))))))</f>
        <v>13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10"/>
        <v>0.78</v>
      </c>
      <c r="AG315" s="11">
        <f t="shared" si="11"/>
        <v>13.78</v>
      </c>
      <c r="AH315" t="s">
        <v>116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1098</v>
      </c>
      <c r="G316" t="s">
        <v>37</v>
      </c>
      <c r="H316" t="s">
        <v>38</v>
      </c>
      <c r="I316" t="s">
        <v>1099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1</v>
      </c>
      <c r="P316" s="8">
        <v>45207.739641203705</v>
      </c>
      <c r="Q316" s="9">
        <v>45208</v>
      </c>
      <c r="R316" t="s">
        <v>37</v>
      </c>
      <c r="S316" t="s">
        <v>44</v>
      </c>
      <c r="T316" t="s">
        <v>45</v>
      </c>
      <c r="U316" t="s">
        <v>87</v>
      </c>
      <c r="V316" t="s">
        <v>1100</v>
      </c>
      <c r="W316">
        <v>25150</v>
      </c>
      <c r="X316" t="s">
        <v>44</v>
      </c>
      <c r="Y316" t="s">
        <v>45</v>
      </c>
      <c r="Z316" t="s">
        <v>49</v>
      </c>
      <c r="AA316" s="10">
        <f>IF(O316&lt;=1,7,7+0.8*ROUNDUP(O316-1,0))</f>
        <v>7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10"/>
        <v>0.42</v>
      </c>
      <c r="AG316" s="11">
        <f t="shared" si="11"/>
        <v>7.42</v>
      </c>
      <c r="AH316" t="s">
        <v>50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1101</v>
      </c>
      <c r="G317" t="s">
        <v>37</v>
      </c>
      <c r="H317" t="s">
        <v>38</v>
      </c>
      <c r="I317" t="s">
        <v>1102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2.5</v>
      </c>
      <c r="P317" s="8">
        <v>45207.701261574075</v>
      </c>
      <c r="Q317" s="9">
        <v>45208</v>
      </c>
      <c r="R317" t="s">
        <v>37</v>
      </c>
      <c r="S317" t="s">
        <v>44</v>
      </c>
      <c r="T317" t="s">
        <v>45</v>
      </c>
      <c r="U317" t="s">
        <v>71</v>
      </c>
      <c r="V317" t="s">
        <v>1103</v>
      </c>
      <c r="W317">
        <v>24210</v>
      </c>
      <c r="X317" t="s">
        <v>44</v>
      </c>
      <c r="Y317" t="s">
        <v>1104</v>
      </c>
      <c r="Z317" t="s">
        <v>49</v>
      </c>
      <c r="AA317" s="10">
        <f>IF(O317&lt;=1,7,7+0.8*ROUNDUP(O317-1,0))</f>
        <v>8.6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10"/>
        <v>0.51600000000000001</v>
      </c>
      <c r="AG317" s="11">
        <f t="shared" si="11"/>
        <v>9.1159999999999997</v>
      </c>
      <c r="AH317" t="s">
        <v>50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1105</v>
      </c>
      <c r="G318" t="s">
        <v>37</v>
      </c>
      <c r="H318" t="s">
        <v>38</v>
      </c>
      <c r="I318" t="s">
        <v>1106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1</v>
      </c>
      <c r="P318" s="8">
        <v>45207.725335648145</v>
      </c>
      <c r="Q318" s="9">
        <v>45208</v>
      </c>
      <c r="R318" t="s">
        <v>37</v>
      </c>
      <c r="S318" t="s">
        <v>44</v>
      </c>
      <c r="T318" t="s">
        <v>45</v>
      </c>
      <c r="U318" t="s">
        <v>53</v>
      </c>
      <c r="V318" t="s">
        <v>1107</v>
      </c>
      <c r="W318">
        <v>17000</v>
      </c>
      <c r="X318" t="s">
        <v>44</v>
      </c>
      <c r="Y318" t="s">
        <v>55</v>
      </c>
      <c r="Z318" t="s">
        <v>49</v>
      </c>
      <c r="AA318" s="10">
        <f>IF(O318&lt;=1,7,7+0.8*ROUNDUP(O318-1,0))</f>
        <v>7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10"/>
        <v>0.42</v>
      </c>
      <c r="AG318" s="11">
        <f t="shared" si="11"/>
        <v>7.42</v>
      </c>
      <c r="AH318" t="s">
        <v>50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1108</v>
      </c>
      <c r="G319" t="s">
        <v>37</v>
      </c>
      <c r="H319" t="s">
        <v>38</v>
      </c>
      <c r="I319" t="s">
        <v>1109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6</v>
      </c>
      <c r="P319" s="8">
        <v>45206.814560185187</v>
      </c>
      <c r="Q319" s="9">
        <v>45208</v>
      </c>
      <c r="R319" t="s">
        <v>37</v>
      </c>
      <c r="S319" t="s">
        <v>44</v>
      </c>
      <c r="T319" t="s">
        <v>45</v>
      </c>
      <c r="U319" t="s">
        <v>66</v>
      </c>
      <c r="V319" t="s">
        <v>1110</v>
      </c>
      <c r="W319">
        <v>42100</v>
      </c>
      <c r="X319" t="s">
        <v>44</v>
      </c>
      <c r="Y319" t="s">
        <v>115</v>
      </c>
      <c r="Z319" t="s">
        <v>49</v>
      </c>
      <c r="AA319" s="10">
        <f>IF(O319&lt;=1,7,7+0.8*ROUNDUP(O319-1,0))</f>
        <v>11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10"/>
        <v>0.65999999999999992</v>
      </c>
      <c r="AG319" s="11">
        <f t="shared" si="11"/>
        <v>11.66</v>
      </c>
      <c r="AH319" t="s">
        <v>50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1111</v>
      </c>
      <c r="G320" t="s">
        <v>37</v>
      </c>
      <c r="H320" t="s">
        <v>38</v>
      </c>
      <c r="I320" t="s">
        <v>1112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1</v>
      </c>
      <c r="P320" s="8">
        <v>45207.672465277778</v>
      </c>
      <c r="Q320" s="9">
        <v>45208</v>
      </c>
      <c r="R320" t="s">
        <v>37</v>
      </c>
      <c r="S320" t="s">
        <v>44</v>
      </c>
      <c r="T320" t="s">
        <v>45</v>
      </c>
      <c r="U320" t="s">
        <v>66</v>
      </c>
      <c r="V320" t="s">
        <v>1113</v>
      </c>
      <c r="W320">
        <v>43650</v>
      </c>
      <c r="X320" t="s">
        <v>44</v>
      </c>
      <c r="Y320" t="s">
        <v>80</v>
      </c>
      <c r="Z320" t="s">
        <v>49</v>
      </c>
      <c r="AA320" s="10">
        <f>IF(O320&lt;=1,7,7+0.8*ROUNDUP(O320-1,0))</f>
        <v>7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10"/>
        <v>0.42</v>
      </c>
      <c r="AG320" s="11">
        <f t="shared" si="11"/>
        <v>7.42</v>
      </c>
      <c r="AH320" t="s">
        <v>50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1114</v>
      </c>
      <c r="G321" t="s">
        <v>37</v>
      </c>
      <c r="H321" t="s">
        <v>38</v>
      </c>
      <c r="I321" t="s">
        <v>1115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3</v>
      </c>
      <c r="P321" s="8">
        <v>45207.660462962966</v>
      </c>
      <c r="Q321" s="9">
        <v>45208</v>
      </c>
      <c r="R321" t="s">
        <v>37</v>
      </c>
      <c r="S321" t="s">
        <v>44</v>
      </c>
      <c r="T321" t="s">
        <v>45</v>
      </c>
      <c r="U321" t="s">
        <v>66</v>
      </c>
      <c r="V321" t="s">
        <v>1116</v>
      </c>
      <c r="W321">
        <v>47100</v>
      </c>
      <c r="X321" t="s">
        <v>44</v>
      </c>
      <c r="Y321" t="s">
        <v>202</v>
      </c>
      <c r="Z321" t="s">
        <v>49</v>
      </c>
      <c r="AA321" s="10">
        <f>IF(O321&lt;=1,7,7+0.8*ROUNDUP(O321-1,0))</f>
        <v>8.6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10"/>
        <v>0.51600000000000001</v>
      </c>
      <c r="AG321" s="11">
        <f t="shared" si="11"/>
        <v>9.1159999999999997</v>
      </c>
      <c r="AH321" t="s">
        <v>50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1117</v>
      </c>
      <c r="G322" t="s">
        <v>37</v>
      </c>
      <c r="H322" t="s">
        <v>38</v>
      </c>
      <c r="I322" t="s">
        <v>1118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1</v>
      </c>
      <c r="P322" s="8">
        <v>45207.678530092591</v>
      </c>
      <c r="Q322" s="9">
        <v>45208</v>
      </c>
      <c r="R322" t="s">
        <v>37</v>
      </c>
      <c r="S322" t="s">
        <v>44</v>
      </c>
      <c r="T322" t="s">
        <v>45</v>
      </c>
      <c r="U322" t="s">
        <v>66</v>
      </c>
      <c r="V322" t="s">
        <v>1119</v>
      </c>
      <c r="W322">
        <v>43000</v>
      </c>
      <c r="X322" t="s">
        <v>44</v>
      </c>
      <c r="Y322" t="s">
        <v>115</v>
      </c>
      <c r="Z322" t="s">
        <v>49</v>
      </c>
      <c r="AA322" s="10">
        <f>IF(O322&lt;=1,7,7+0.8*ROUNDUP(O322-1,0))</f>
        <v>7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si="10"/>
        <v>0.42</v>
      </c>
      <c r="AG322" s="11">
        <f t="shared" si="11"/>
        <v>7.42</v>
      </c>
      <c r="AH322" t="s">
        <v>50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1120</v>
      </c>
      <c r="G323" t="s">
        <v>37</v>
      </c>
      <c r="H323" t="s">
        <v>38</v>
      </c>
      <c r="I323" t="s">
        <v>1121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1</v>
      </c>
      <c r="P323" s="8">
        <v>45208.599305555559</v>
      </c>
      <c r="Q323" s="9">
        <v>45209</v>
      </c>
      <c r="R323" t="s">
        <v>37</v>
      </c>
      <c r="S323" t="s">
        <v>44</v>
      </c>
      <c r="T323" t="s">
        <v>45</v>
      </c>
      <c r="U323" t="s">
        <v>71</v>
      </c>
      <c r="V323" t="s">
        <v>1122</v>
      </c>
      <c r="W323">
        <v>21060</v>
      </c>
      <c r="X323" t="s">
        <v>44</v>
      </c>
      <c r="Y323" t="s">
        <v>73</v>
      </c>
      <c r="Z323" t="s">
        <v>49</v>
      </c>
      <c r="AA323" s="10">
        <f>IF(O323&lt;=1,7,7+0.8*ROUNDUP(O323-1,0))</f>
        <v>7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0.42</v>
      </c>
      <c r="AG323" s="11">
        <f t="shared" si="11"/>
        <v>7.42</v>
      </c>
      <c r="AH323" t="s">
        <v>50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1123</v>
      </c>
      <c r="G324" t="s">
        <v>37</v>
      </c>
      <c r="H324" t="s">
        <v>38</v>
      </c>
      <c r="I324" t="s">
        <v>1124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45207.890925925924</v>
      </c>
      <c r="Q324" s="9">
        <v>45209</v>
      </c>
      <c r="R324" t="s">
        <v>37</v>
      </c>
      <c r="S324" t="s">
        <v>44</v>
      </c>
      <c r="T324" t="s">
        <v>45</v>
      </c>
      <c r="U324" t="s">
        <v>66</v>
      </c>
      <c r="V324" t="s">
        <v>1125</v>
      </c>
      <c r="W324">
        <v>52200</v>
      </c>
      <c r="X324" t="s">
        <v>44</v>
      </c>
      <c r="Y324" t="s">
        <v>833</v>
      </c>
      <c r="Z324" t="s">
        <v>49</v>
      </c>
      <c r="AA324" s="10">
        <f>IF(O324&lt;=1,7,7+0.8*ROUNDUP(O324-1,0))</f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0.42</v>
      </c>
      <c r="AG324" s="11">
        <f t="shared" si="11"/>
        <v>7.42</v>
      </c>
      <c r="AH324" t="s">
        <v>50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1126</v>
      </c>
      <c r="G325" t="s">
        <v>37</v>
      </c>
      <c r="H325" t="s">
        <v>38</v>
      </c>
      <c r="I325" t="s">
        <v>1127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</v>
      </c>
      <c r="P325" s="8">
        <v>45207.5549537037</v>
      </c>
      <c r="Q325" s="9">
        <v>45209</v>
      </c>
      <c r="R325" t="s">
        <v>37</v>
      </c>
      <c r="S325" t="s">
        <v>44</v>
      </c>
      <c r="T325" t="s">
        <v>45</v>
      </c>
      <c r="U325" t="s">
        <v>157</v>
      </c>
      <c r="V325" t="s">
        <v>1128</v>
      </c>
      <c r="W325">
        <v>31350</v>
      </c>
      <c r="X325" t="s">
        <v>44</v>
      </c>
      <c r="Y325" t="s">
        <v>650</v>
      </c>
      <c r="Z325" t="s">
        <v>49</v>
      </c>
      <c r="AA325" s="10">
        <f>IF(O325&lt;=1,7,7+0.8*ROUNDUP(O325-1,0))</f>
        <v>7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0.42</v>
      </c>
      <c r="AG325" s="11">
        <f t="shared" si="11"/>
        <v>7.42</v>
      </c>
      <c r="AH325" t="s">
        <v>50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1129</v>
      </c>
      <c r="G326" t="s">
        <v>37</v>
      </c>
      <c r="H326" t="s">
        <v>38</v>
      </c>
      <c r="I326" t="s">
        <v>1130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6.6</v>
      </c>
      <c r="P326" s="8">
        <v>45208.757824074077</v>
      </c>
      <c r="Q326" s="9">
        <v>45209</v>
      </c>
      <c r="R326" t="s">
        <v>37</v>
      </c>
      <c r="S326" t="s">
        <v>44</v>
      </c>
      <c r="T326" t="s">
        <v>45</v>
      </c>
      <c r="U326" t="s">
        <v>66</v>
      </c>
      <c r="V326" t="s">
        <v>1131</v>
      </c>
      <c r="W326">
        <v>41050</v>
      </c>
      <c r="X326" t="s">
        <v>44</v>
      </c>
      <c r="Y326" t="s">
        <v>1132</v>
      </c>
      <c r="Z326" t="s">
        <v>49</v>
      </c>
      <c r="AA326" s="10">
        <f>IF(O326&lt;=1,7,7+0.8*ROUNDUP(O326-1,0))</f>
        <v>11.8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0.70799999999999996</v>
      </c>
      <c r="AG326" s="11">
        <f t="shared" si="11"/>
        <v>12.508000000000001</v>
      </c>
      <c r="AH326" t="s">
        <v>50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1133</v>
      </c>
      <c r="G327" t="s">
        <v>37</v>
      </c>
      <c r="H327" t="s">
        <v>38</v>
      </c>
      <c r="I327" t="s">
        <v>1134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45206.739791666667</v>
      </c>
      <c r="Q327" s="9">
        <v>45209</v>
      </c>
      <c r="R327" t="s">
        <v>37</v>
      </c>
      <c r="S327" t="s">
        <v>44</v>
      </c>
      <c r="T327" t="s">
        <v>45</v>
      </c>
      <c r="U327" t="s">
        <v>173</v>
      </c>
      <c r="V327" t="s">
        <v>1135</v>
      </c>
      <c r="W327">
        <v>88460</v>
      </c>
      <c r="X327" t="s">
        <v>114</v>
      </c>
      <c r="Y327" t="s">
        <v>115</v>
      </c>
      <c r="Z327" t="s">
        <v>49</v>
      </c>
      <c r="AA327" s="12">
        <f>IF(O327&lt;=1,13,IF(O327&lt;=2,23,IF(O327&lt;=3,35,IF(O327&lt;=4,43,IF(O327&lt;=5,53,IF(O327&lt;=6,63,IF(O327&lt;=7,71,IF(O327&lt;=8,79,IF(O327&lt;=9,87,IF(O327&lt;=10,95,IF(O327&lt;=11,105,IF(O327&lt;=12,114,IF(O327&lt;=13,119,IF(O327&lt;=14,127,IF(O327&lt;=15,135,IF(O327&lt;=16,143,IF(O327&lt;=17,153,IF(O327&lt;=18,163,IF(O327&lt;=19,171,IF(O327&lt;=20,185,IF(O327&lt;=21,193,IF(O327&lt;=22,201,IF(O327&lt;=23,210,IF(O327&lt;=24,220,IF(O327&lt;=25,230,IF(O327&lt;=26,240,IF(O327&lt;=27,250,IF(O327&lt;=28,260,IF(O327&lt;=29,270,IF(O327&lt;=30,280,280+10*ROUNDUP(O327-30,0)))))))))))))))))))))))))))))))</f>
        <v>13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0.78</v>
      </c>
      <c r="AG327" s="11">
        <f t="shared" si="11"/>
        <v>13.78</v>
      </c>
      <c r="AH327" t="s">
        <v>116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1136</v>
      </c>
      <c r="G328" t="s">
        <v>37</v>
      </c>
      <c r="H328" t="s">
        <v>38</v>
      </c>
      <c r="I328" t="s">
        <v>1137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1</v>
      </c>
      <c r="P328" s="8">
        <v>45207.5549537037</v>
      </c>
      <c r="Q328" s="9">
        <v>45209</v>
      </c>
      <c r="R328" t="s">
        <v>37</v>
      </c>
      <c r="S328" t="s">
        <v>44</v>
      </c>
      <c r="T328" t="s">
        <v>45</v>
      </c>
      <c r="U328" t="s">
        <v>157</v>
      </c>
      <c r="V328" t="s">
        <v>1138</v>
      </c>
      <c r="W328">
        <v>32040</v>
      </c>
      <c r="X328" t="s">
        <v>44</v>
      </c>
      <c r="Y328" t="s">
        <v>115</v>
      </c>
      <c r="Z328" t="s">
        <v>49</v>
      </c>
      <c r="AA328" s="10">
        <f>IF(O328&lt;=1,7,7+0.8*ROUNDUP(O328-1,0))</f>
        <v>7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0.42</v>
      </c>
      <c r="AG328" s="11">
        <f t="shared" si="11"/>
        <v>7.42</v>
      </c>
      <c r="AH328" t="s">
        <v>50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1139</v>
      </c>
      <c r="G329" t="s">
        <v>37</v>
      </c>
      <c r="H329" t="s">
        <v>38</v>
      </c>
      <c r="I329" t="s">
        <v>1140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1</v>
      </c>
      <c r="P329" s="8">
        <v>45207.642268518517</v>
      </c>
      <c r="Q329" s="9">
        <v>45209</v>
      </c>
      <c r="R329" t="s">
        <v>37</v>
      </c>
      <c r="S329" t="s">
        <v>44</v>
      </c>
      <c r="T329" t="s">
        <v>45</v>
      </c>
      <c r="U329" t="s">
        <v>145</v>
      </c>
      <c r="V329" t="s">
        <v>1141</v>
      </c>
      <c r="W329">
        <v>75450</v>
      </c>
      <c r="X329" t="s">
        <v>44</v>
      </c>
      <c r="Y329" t="s">
        <v>732</v>
      </c>
      <c r="Z329" t="s">
        <v>49</v>
      </c>
      <c r="AA329" s="10">
        <f>IF(O329&lt;=1,7,7+0.8*ROUNDUP(O329-1,0))</f>
        <v>7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0.42</v>
      </c>
      <c r="AG329" s="11">
        <f t="shared" si="11"/>
        <v>7.42</v>
      </c>
      <c r="AH329" t="s">
        <v>50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1142</v>
      </c>
      <c r="G330" t="s">
        <v>37</v>
      </c>
      <c r="H330" t="s">
        <v>38</v>
      </c>
      <c r="I330" t="s">
        <v>1143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1</v>
      </c>
      <c r="P330" s="8">
        <v>45207.642256944448</v>
      </c>
      <c r="Q330" s="9">
        <v>45209</v>
      </c>
      <c r="R330" t="s">
        <v>37</v>
      </c>
      <c r="S330" t="s">
        <v>44</v>
      </c>
      <c r="T330" t="s">
        <v>45</v>
      </c>
      <c r="U330" t="s">
        <v>157</v>
      </c>
      <c r="V330" t="s">
        <v>1144</v>
      </c>
      <c r="W330">
        <v>35950</v>
      </c>
      <c r="X330" t="s">
        <v>44</v>
      </c>
      <c r="Y330" t="s">
        <v>764</v>
      </c>
      <c r="Z330" t="s">
        <v>49</v>
      </c>
      <c r="AA330" s="10">
        <f>IF(O330&lt;=1,7,7+0.8*ROUNDUP(O330-1,0))</f>
        <v>7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0.42</v>
      </c>
      <c r="AG330" s="11">
        <f t="shared" si="11"/>
        <v>7.42</v>
      </c>
      <c r="AH330" t="s">
        <v>50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1145</v>
      </c>
      <c r="G331" t="s">
        <v>37</v>
      </c>
      <c r="H331" t="s">
        <v>38</v>
      </c>
      <c r="I331" t="s">
        <v>1146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45208.531770833331</v>
      </c>
      <c r="Q331" s="9">
        <v>45209</v>
      </c>
      <c r="R331" t="s">
        <v>37</v>
      </c>
      <c r="S331" t="s">
        <v>44</v>
      </c>
      <c r="T331" t="s">
        <v>45</v>
      </c>
      <c r="U331" t="s">
        <v>66</v>
      </c>
      <c r="V331" t="s">
        <v>1147</v>
      </c>
      <c r="W331">
        <v>43900</v>
      </c>
      <c r="X331" t="s">
        <v>44</v>
      </c>
      <c r="Y331" t="s">
        <v>307</v>
      </c>
      <c r="Z331" t="s">
        <v>49</v>
      </c>
      <c r="AA331" s="10">
        <f>IF(O331&lt;=1,7,7+0.8*ROUNDUP(O331-1,0))</f>
        <v>7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0.42</v>
      </c>
      <c r="AG331" s="11">
        <f t="shared" si="11"/>
        <v>7.42</v>
      </c>
      <c r="AH331" t="s">
        <v>50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1148</v>
      </c>
      <c r="G332" t="s">
        <v>37</v>
      </c>
      <c r="H332" t="s">
        <v>38</v>
      </c>
      <c r="I332" t="s">
        <v>1149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2.7</v>
      </c>
      <c r="P332" s="8">
        <v>45208.478750000002</v>
      </c>
      <c r="Q332" s="9">
        <v>45209</v>
      </c>
      <c r="R332" t="s">
        <v>37</v>
      </c>
      <c r="S332" t="s">
        <v>44</v>
      </c>
      <c r="T332" t="s">
        <v>45</v>
      </c>
      <c r="U332" t="s">
        <v>187</v>
      </c>
      <c r="V332" t="s">
        <v>1150</v>
      </c>
      <c r="W332">
        <v>50400</v>
      </c>
      <c r="X332" t="s">
        <v>44</v>
      </c>
      <c r="Y332" t="s">
        <v>541</v>
      </c>
      <c r="Z332" t="s">
        <v>49</v>
      </c>
      <c r="AA332" s="10">
        <f>IF(O332&lt;=1,7,7+0.8*ROUNDUP(O332-1,0))</f>
        <v>8.6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0.51600000000000001</v>
      </c>
      <c r="AG332" s="11">
        <f t="shared" si="11"/>
        <v>9.1159999999999997</v>
      </c>
      <c r="AH332" t="s">
        <v>50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1151</v>
      </c>
      <c r="G333" t="s">
        <v>37</v>
      </c>
      <c r="H333" t="s">
        <v>38</v>
      </c>
      <c r="I333" t="s">
        <v>1152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1</v>
      </c>
      <c r="P333" s="8">
        <v>45208.752418981479</v>
      </c>
      <c r="Q333" s="9">
        <v>45209</v>
      </c>
      <c r="R333" t="s">
        <v>37</v>
      </c>
      <c r="S333" t="s">
        <v>44</v>
      </c>
      <c r="T333" t="s">
        <v>45</v>
      </c>
      <c r="U333" t="s">
        <v>66</v>
      </c>
      <c r="V333" t="s">
        <v>1153</v>
      </c>
      <c r="W333">
        <v>42000</v>
      </c>
      <c r="X333" t="s">
        <v>44</v>
      </c>
      <c r="Y333" t="s">
        <v>555</v>
      </c>
      <c r="Z333" t="s">
        <v>49</v>
      </c>
      <c r="AA333" s="10">
        <f>IF(O333&lt;=1,7,7+0.8*ROUNDUP(O333-1,0))</f>
        <v>7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0.42</v>
      </c>
      <c r="AG333" s="11">
        <f t="shared" si="11"/>
        <v>7.42</v>
      </c>
      <c r="AH333" t="s">
        <v>50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1154</v>
      </c>
      <c r="G334" t="s">
        <v>37</v>
      </c>
      <c r="H334" t="s">
        <v>38</v>
      </c>
      <c r="I334" t="s">
        <v>1155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1</v>
      </c>
      <c r="P334" s="8">
        <v>45208.622465277775</v>
      </c>
      <c r="Q334" s="9">
        <v>45209</v>
      </c>
      <c r="R334" t="s">
        <v>37</v>
      </c>
      <c r="S334" t="s">
        <v>44</v>
      </c>
      <c r="T334" t="s">
        <v>45</v>
      </c>
      <c r="U334" t="s">
        <v>53</v>
      </c>
      <c r="V334" t="s">
        <v>1156</v>
      </c>
      <c r="W334">
        <v>16210</v>
      </c>
      <c r="X334" t="s">
        <v>44</v>
      </c>
      <c r="Y334" t="s">
        <v>55</v>
      </c>
      <c r="Z334" t="s">
        <v>49</v>
      </c>
      <c r="AA334" s="10">
        <f>IF(O334&lt;=1,7,7+0.8*ROUNDUP(O334-1,0))</f>
        <v>7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0.42</v>
      </c>
      <c r="AG334" s="11">
        <f t="shared" si="11"/>
        <v>7.42</v>
      </c>
      <c r="AH334" t="s">
        <v>50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1157</v>
      </c>
      <c r="G335" t="s">
        <v>37</v>
      </c>
      <c r="H335" t="s">
        <v>38</v>
      </c>
      <c r="I335" t="s">
        <v>1158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7</v>
      </c>
      <c r="P335" s="8">
        <v>45206.814560185187</v>
      </c>
      <c r="Q335" s="9">
        <v>45209</v>
      </c>
      <c r="R335" t="s">
        <v>37</v>
      </c>
      <c r="S335" t="s">
        <v>44</v>
      </c>
      <c r="T335" t="s">
        <v>45</v>
      </c>
      <c r="U335" t="s">
        <v>157</v>
      </c>
      <c r="V335" t="s">
        <v>1159</v>
      </c>
      <c r="W335">
        <v>33040</v>
      </c>
      <c r="X335" t="s">
        <v>44</v>
      </c>
      <c r="Y335" t="s">
        <v>1160</v>
      </c>
      <c r="Z335" t="s">
        <v>49</v>
      </c>
      <c r="AA335" s="10">
        <f>IF(O335&lt;=1,7,7+0.8*ROUNDUP(O335-1,0))</f>
        <v>11.8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0"/>
        <v>0.70799999999999996</v>
      </c>
      <c r="AG335" s="11">
        <f t="shared" si="11"/>
        <v>12.508000000000001</v>
      </c>
      <c r="AH335" t="s">
        <v>50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1161</v>
      </c>
      <c r="G336" t="s">
        <v>37</v>
      </c>
      <c r="H336" t="s">
        <v>38</v>
      </c>
      <c r="I336" t="s">
        <v>1162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2</v>
      </c>
      <c r="P336" s="8">
        <v>45207.739641203705</v>
      </c>
      <c r="Q336" s="9">
        <v>45209</v>
      </c>
      <c r="R336" t="s">
        <v>37</v>
      </c>
      <c r="S336" t="s">
        <v>44</v>
      </c>
      <c r="T336" t="s">
        <v>45</v>
      </c>
      <c r="U336" t="s">
        <v>92</v>
      </c>
      <c r="V336" t="s">
        <v>1163</v>
      </c>
      <c r="W336">
        <v>81300</v>
      </c>
      <c r="X336" t="s">
        <v>44</v>
      </c>
      <c r="Y336" t="s">
        <v>882</v>
      </c>
      <c r="Z336" t="s">
        <v>49</v>
      </c>
      <c r="AA336" s="10">
        <f>IF(O336&lt;=1,7,7+0.8*ROUNDUP(O336-1,0))</f>
        <v>7.8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0"/>
        <v>0.46799999999999997</v>
      </c>
      <c r="AG336" s="11">
        <f t="shared" si="11"/>
        <v>8.2680000000000007</v>
      </c>
      <c r="AH336" t="s">
        <v>50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1164</v>
      </c>
      <c r="G337" t="s">
        <v>37</v>
      </c>
      <c r="H337" t="s">
        <v>38</v>
      </c>
      <c r="I337" t="s">
        <v>1165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1</v>
      </c>
      <c r="P337" s="8">
        <v>45208.471365740741</v>
      </c>
      <c r="Q337" s="9">
        <v>45209</v>
      </c>
      <c r="R337" t="s">
        <v>37</v>
      </c>
      <c r="S337" t="s">
        <v>44</v>
      </c>
      <c r="T337" t="s">
        <v>45</v>
      </c>
      <c r="U337" t="s">
        <v>87</v>
      </c>
      <c r="V337" t="s">
        <v>1166</v>
      </c>
      <c r="W337">
        <v>26400</v>
      </c>
      <c r="X337" t="s">
        <v>44</v>
      </c>
      <c r="Y337" t="s">
        <v>45</v>
      </c>
      <c r="Z337" t="s">
        <v>49</v>
      </c>
      <c r="AA337" s="10">
        <f>IF(O337&lt;=1,7,7+0.8*ROUNDUP(O337-1,0))</f>
        <v>7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0"/>
        <v>0.42</v>
      </c>
      <c r="AG337" s="11">
        <f t="shared" si="11"/>
        <v>7.42</v>
      </c>
      <c r="AH337" t="s">
        <v>50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1167</v>
      </c>
      <c r="G338" t="s">
        <v>37</v>
      </c>
      <c r="H338" t="s">
        <v>38</v>
      </c>
      <c r="I338" t="s">
        <v>82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1.5</v>
      </c>
      <c r="P338" s="8">
        <v>45208.564398148148</v>
      </c>
      <c r="Q338" s="9">
        <v>45209</v>
      </c>
      <c r="R338" t="s">
        <v>37</v>
      </c>
      <c r="S338" t="s">
        <v>44</v>
      </c>
      <c r="T338" t="s">
        <v>45</v>
      </c>
      <c r="U338" t="s">
        <v>61</v>
      </c>
      <c r="V338" t="s">
        <v>1168</v>
      </c>
      <c r="W338">
        <v>71800</v>
      </c>
      <c r="X338" t="s">
        <v>44</v>
      </c>
      <c r="Y338" t="s">
        <v>84</v>
      </c>
      <c r="Z338" t="s">
        <v>49</v>
      </c>
      <c r="AA338" s="10">
        <f>IF(O338&lt;=1,7,7+0.8*ROUNDUP(O338-1,0))</f>
        <v>7.8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0"/>
        <v>0.46799999999999997</v>
      </c>
      <c r="AG338" s="11">
        <f t="shared" si="11"/>
        <v>8.2680000000000007</v>
      </c>
      <c r="AH338" t="s">
        <v>50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1169</v>
      </c>
      <c r="G339" t="s">
        <v>37</v>
      </c>
      <c r="H339" t="s">
        <v>38</v>
      </c>
      <c r="I339" t="s">
        <v>1170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1</v>
      </c>
      <c r="P339" s="8">
        <v>45208.713125000002</v>
      </c>
      <c r="Q339" s="9">
        <v>45209</v>
      </c>
      <c r="R339" t="s">
        <v>37</v>
      </c>
      <c r="S339" t="s">
        <v>44</v>
      </c>
      <c r="T339" t="s">
        <v>45</v>
      </c>
      <c r="U339" t="s">
        <v>187</v>
      </c>
      <c r="V339" t="s">
        <v>1171</v>
      </c>
      <c r="W339">
        <v>57000</v>
      </c>
      <c r="X339" t="s">
        <v>44</v>
      </c>
      <c r="Y339" t="s">
        <v>1172</v>
      </c>
      <c r="Z339" t="s">
        <v>49</v>
      </c>
      <c r="AA339" s="10">
        <f>IF(O339&lt;=1,7,7+0.8*ROUNDUP(O339-1,0))</f>
        <v>7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0"/>
        <v>0.42</v>
      </c>
      <c r="AG339" s="11">
        <f t="shared" si="11"/>
        <v>7.42</v>
      </c>
      <c r="AH339" t="s">
        <v>50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1173</v>
      </c>
      <c r="G340" t="s">
        <v>37</v>
      </c>
      <c r="H340" t="s">
        <v>38</v>
      </c>
      <c r="I340" t="s">
        <v>1174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1</v>
      </c>
      <c r="P340" s="8">
        <v>45205.411157407405</v>
      </c>
      <c r="Q340" s="9">
        <v>45209</v>
      </c>
      <c r="R340" t="s">
        <v>37</v>
      </c>
      <c r="S340" t="s">
        <v>44</v>
      </c>
      <c r="T340" t="s">
        <v>55</v>
      </c>
      <c r="U340" t="s">
        <v>173</v>
      </c>
      <c r="V340" t="s">
        <v>1175</v>
      </c>
      <c r="W340">
        <v>88815</v>
      </c>
      <c r="X340" t="s">
        <v>114</v>
      </c>
      <c r="Y340" t="s">
        <v>115</v>
      </c>
      <c r="Z340" t="s">
        <v>49</v>
      </c>
      <c r="AA340" s="12">
        <f>IF(O340&lt;=1,13,IF(O340&lt;=2,23,IF(O340&lt;=3,35,IF(O340&lt;=4,43,IF(O340&lt;=5,53,IF(O340&lt;=6,63,IF(O340&lt;=7,71,IF(O340&lt;=8,79,IF(O340&lt;=9,87,IF(O340&lt;=10,95,IF(O340&lt;=11,105,IF(O340&lt;=12,114,IF(O340&lt;=13,119,IF(O340&lt;=14,127,IF(O340&lt;=15,135,IF(O340&lt;=16,143,IF(O340&lt;=17,153,IF(O340&lt;=18,163,IF(O340&lt;=19,171,IF(O340&lt;=20,185,IF(O340&lt;=21,193,IF(O340&lt;=22,201,IF(O340&lt;=23,210,IF(O340&lt;=24,220,IF(O340&lt;=25,230,IF(O340&lt;=26,240,IF(O340&lt;=27,250,IF(O340&lt;=28,260,IF(O340&lt;=29,270,IF(O340&lt;=30,280,280+10*ROUNDUP(O340-30,0)))))))))))))))))))))))))))))))</f>
        <v>13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0"/>
        <v>0.78</v>
      </c>
      <c r="AG340" s="11">
        <f t="shared" si="11"/>
        <v>13.78</v>
      </c>
      <c r="AH340" t="s">
        <v>116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1176</v>
      </c>
      <c r="G341" t="s">
        <v>37</v>
      </c>
      <c r="H341" t="s">
        <v>38</v>
      </c>
      <c r="I341" t="s">
        <v>1177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12</v>
      </c>
      <c r="P341" s="8">
        <v>45209.535624999997</v>
      </c>
      <c r="Q341" s="9">
        <v>45210</v>
      </c>
      <c r="R341" t="s">
        <v>37</v>
      </c>
      <c r="S341" t="s">
        <v>44</v>
      </c>
      <c r="T341" t="s">
        <v>45</v>
      </c>
      <c r="U341" t="s">
        <v>71</v>
      </c>
      <c r="V341" t="s">
        <v>1178</v>
      </c>
      <c r="W341">
        <v>21060</v>
      </c>
      <c r="X341" t="s">
        <v>44</v>
      </c>
      <c r="Y341" t="s">
        <v>179</v>
      </c>
      <c r="Z341" t="s">
        <v>49</v>
      </c>
      <c r="AA341" s="10">
        <f>IF(O341&lt;=1,7,7+0.8*ROUNDUP(O341-1,0))</f>
        <v>15.8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0"/>
        <v>0.94799999999999995</v>
      </c>
      <c r="AG341" s="11">
        <f t="shared" si="11"/>
        <v>16.748000000000001</v>
      </c>
      <c r="AH341" t="s">
        <v>50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1179</v>
      </c>
      <c r="G342" t="s">
        <v>37</v>
      </c>
      <c r="H342" t="s">
        <v>38</v>
      </c>
      <c r="I342" t="s">
        <v>1180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45209.406446759262</v>
      </c>
      <c r="Q342" s="9">
        <v>45210</v>
      </c>
      <c r="R342" t="s">
        <v>37</v>
      </c>
      <c r="S342" t="s">
        <v>44</v>
      </c>
      <c r="T342" t="s">
        <v>45</v>
      </c>
      <c r="U342" t="s">
        <v>71</v>
      </c>
      <c r="V342" t="s">
        <v>1181</v>
      </c>
      <c r="W342">
        <v>21100</v>
      </c>
      <c r="X342" t="s">
        <v>44</v>
      </c>
      <c r="Y342" t="s">
        <v>73</v>
      </c>
      <c r="Z342" t="s">
        <v>49</v>
      </c>
      <c r="AA342" s="10">
        <f>IF(O342&lt;=1,7,7+0.8*ROUNDUP(O342-1,0))</f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0"/>
        <v>0.42</v>
      </c>
      <c r="AG342" s="11">
        <f t="shared" si="11"/>
        <v>7.42</v>
      </c>
      <c r="AH342" t="s">
        <v>50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1182</v>
      </c>
      <c r="G343" t="s">
        <v>37</v>
      </c>
      <c r="H343" t="s">
        <v>38</v>
      </c>
      <c r="I343" t="s">
        <v>1183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1</v>
      </c>
      <c r="P343" s="8">
        <v>45209.778541666667</v>
      </c>
      <c r="Q343" s="9">
        <v>45210</v>
      </c>
      <c r="R343" t="s">
        <v>37</v>
      </c>
      <c r="S343" t="s">
        <v>44</v>
      </c>
      <c r="T343" t="s">
        <v>45</v>
      </c>
      <c r="U343" t="s">
        <v>187</v>
      </c>
      <c r="V343" t="s">
        <v>1184</v>
      </c>
      <c r="W343">
        <v>47400</v>
      </c>
      <c r="X343" t="s">
        <v>44</v>
      </c>
      <c r="Y343" t="s">
        <v>1047</v>
      </c>
      <c r="Z343" t="s">
        <v>49</v>
      </c>
      <c r="AA343" s="10">
        <f>IF(O343&lt;=1,7,7+0.8*ROUNDUP(O343-1,0))</f>
        <v>7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0"/>
        <v>0.42</v>
      </c>
      <c r="AG343" s="11">
        <f t="shared" si="11"/>
        <v>7.42</v>
      </c>
      <c r="AH343" t="s">
        <v>50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1185</v>
      </c>
      <c r="G344" t="s">
        <v>37</v>
      </c>
      <c r="H344" t="s">
        <v>38</v>
      </c>
      <c r="I344" t="s">
        <v>1186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1</v>
      </c>
      <c r="P344" s="8">
        <v>45208.596770833334</v>
      </c>
      <c r="Q344" s="9">
        <v>45210</v>
      </c>
      <c r="R344" t="s">
        <v>37</v>
      </c>
      <c r="S344" t="s">
        <v>44</v>
      </c>
      <c r="T344" t="s">
        <v>45</v>
      </c>
      <c r="U344" t="s">
        <v>61</v>
      </c>
      <c r="V344" t="s">
        <v>1187</v>
      </c>
      <c r="W344">
        <v>71900</v>
      </c>
      <c r="X344" t="s">
        <v>44</v>
      </c>
      <c r="Y344" t="s">
        <v>63</v>
      </c>
      <c r="Z344" t="s">
        <v>49</v>
      </c>
      <c r="AA344" s="10">
        <f>IF(O344&lt;=1,7,7+0.8*ROUNDUP(O344-1,0))</f>
        <v>7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0"/>
        <v>0.42</v>
      </c>
      <c r="AG344" s="11">
        <f t="shared" si="11"/>
        <v>7.42</v>
      </c>
      <c r="AH344" t="s">
        <v>50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1188</v>
      </c>
      <c r="G345" t="s">
        <v>37</v>
      </c>
      <c r="H345" t="s">
        <v>38</v>
      </c>
      <c r="I345" t="s">
        <v>1189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45209.77853009259</v>
      </c>
      <c r="Q345" s="9">
        <v>45210</v>
      </c>
      <c r="R345" t="s">
        <v>37</v>
      </c>
      <c r="S345" t="s">
        <v>44</v>
      </c>
      <c r="T345" t="s">
        <v>45</v>
      </c>
      <c r="U345" t="s">
        <v>61</v>
      </c>
      <c r="V345" t="s">
        <v>1190</v>
      </c>
      <c r="W345">
        <v>70300</v>
      </c>
      <c r="X345" t="s">
        <v>44</v>
      </c>
      <c r="Y345" t="s">
        <v>63</v>
      </c>
      <c r="Z345" t="s">
        <v>49</v>
      </c>
      <c r="AA345" s="10">
        <f>IF(O345&lt;=1,7,7+0.8*ROUNDUP(O345-1,0))</f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0"/>
        <v>0.42</v>
      </c>
      <c r="AG345" s="11">
        <f t="shared" si="11"/>
        <v>7.42</v>
      </c>
      <c r="AH345" t="s">
        <v>50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1191</v>
      </c>
      <c r="G346" t="s">
        <v>37</v>
      </c>
      <c r="H346" t="s">
        <v>38</v>
      </c>
      <c r="I346" t="s">
        <v>1192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2</v>
      </c>
      <c r="P346" s="8">
        <v>45209.669131944444</v>
      </c>
      <c r="Q346" s="9">
        <v>45210</v>
      </c>
      <c r="R346" t="s">
        <v>37</v>
      </c>
      <c r="S346" t="s">
        <v>44</v>
      </c>
      <c r="T346" t="s">
        <v>45</v>
      </c>
      <c r="U346" t="s">
        <v>145</v>
      </c>
      <c r="V346" t="s">
        <v>1193</v>
      </c>
      <c r="W346">
        <v>76450</v>
      </c>
      <c r="X346" t="s">
        <v>44</v>
      </c>
      <c r="Y346" t="s">
        <v>275</v>
      </c>
      <c r="Z346" t="s">
        <v>49</v>
      </c>
      <c r="AA346" s="10">
        <f>IF(O346&lt;=1,7,7+0.8*ROUNDUP(O346-1,0))</f>
        <v>7.8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0"/>
        <v>0.46799999999999997</v>
      </c>
      <c r="AG346" s="11">
        <f t="shared" si="11"/>
        <v>8.2680000000000007</v>
      </c>
      <c r="AH346" t="s">
        <v>50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1194</v>
      </c>
      <c r="G347" t="s">
        <v>37</v>
      </c>
      <c r="H347" t="s">
        <v>38</v>
      </c>
      <c r="I347" t="s">
        <v>1195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2</v>
      </c>
      <c r="P347" s="8">
        <v>45209.682083333333</v>
      </c>
      <c r="Q347" s="9">
        <v>45210</v>
      </c>
      <c r="R347" t="s">
        <v>37</v>
      </c>
      <c r="S347" t="s">
        <v>44</v>
      </c>
      <c r="T347" t="s">
        <v>45</v>
      </c>
      <c r="U347" t="s">
        <v>66</v>
      </c>
      <c r="V347" t="s">
        <v>1196</v>
      </c>
      <c r="W347">
        <v>43900</v>
      </c>
      <c r="X347" t="s">
        <v>44</v>
      </c>
      <c r="Y347" t="s">
        <v>307</v>
      </c>
      <c r="Z347" t="s">
        <v>49</v>
      </c>
      <c r="AA347" s="10">
        <f>IF(O347&lt;=1,7,7+0.8*ROUNDUP(O347-1,0))</f>
        <v>7.8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0"/>
        <v>0.46799999999999997</v>
      </c>
      <c r="AG347" s="11">
        <f t="shared" si="11"/>
        <v>8.2680000000000007</v>
      </c>
      <c r="AH347" t="s">
        <v>50</v>
      </c>
    </row>
    <row r="348" spans="1:34" ht="15" customHeight="1" x14ac:dyDescent="0.35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1197</v>
      </c>
      <c r="G348" t="s">
        <v>37</v>
      </c>
      <c r="H348" t="s">
        <v>38</v>
      </c>
      <c r="I348" t="s">
        <v>1198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1</v>
      </c>
      <c r="P348" s="8">
        <v>45209.562719907408</v>
      </c>
      <c r="Q348" s="9">
        <v>45210</v>
      </c>
      <c r="R348" t="s">
        <v>37</v>
      </c>
      <c r="S348" t="s">
        <v>44</v>
      </c>
      <c r="T348" t="s">
        <v>45</v>
      </c>
      <c r="U348" t="s">
        <v>71</v>
      </c>
      <c r="V348" t="s">
        <v>1199</v>
      </c>
      <c r="W348">
        <v>24200</v>
      </c>
      <c r="X348" t="s">
        <v>44</v>
      </c>
      <c r="Y348" t="s">
        <v>73</v>
      </c>
      <c r="Z348" t="s">
        <v>49</v>
      </c>
      <c r="AA348" s="10">
        <f>IF(O348&lt;=1,7,7+0.8*ROUNDUP(O348-1,0))</f>
        <v>7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0"/>
        <v>0.42</v>
      </c>
      <c r="AG348" s="11">
        <f t="shared" si="11"/>
        <v>7.42</v>
      </c>
      <c r="AH348" t="s">
        <v>50</v>
      </c>
    </row>
    <row r="349" spans="1:34" ht="15" customHeight="1" x14ac:dyDescent="0.35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1200</v>
      </c>
      <c r="G349" t="s">
        <v>37</v>
      </c>
      <c r="H349" t="s">
        <v>38</v>
      </c>
      <c r="I349" t="s">
        <v>1201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2</v>
      </c>
      <c r="P349" s="8">
        <v>45207.743333333332</v>
      </c>
      <c r="Q349" s="9">
        <v>45210</v>
      </c>
      <c r="R349" t="s">
        <v>37</v>
      </c>
      <c r="S349" t="s">
        <v>44</v>
      </c>
      <c r="T349" t="s">
        <v>45</v>
      </c>
      <c r="U349" t="s">
        <v>92</v>
      </c>
      <c r="V349" t="s">
        <v>1202</v>
      </c>
      <c r="W349">
        <v>86600</v>
      </c>
      <c r="X349" t="s">
        <v>44</v>
      </c>
      <c r="Y349" t="s">
        <v>115</v>
      </c>
      <c r="Z349" t="s">
        <v>49</v>
      </c>
      <c r="AA349" s="10">
        <f>IF(O349&lt;=1,7,7+0.8*ROUNDUP(O349-1,0))</f>
        <v>7.8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0"/>
        <v>0.46799999999999997</v>
      </c>
      <c r="AG349" s="11">
        <f t="shared" si="11"/>
        <v>8.2680000000000007</v>
      </c>
      <c r="AH349" t="s">
        <v>50</v>
      </c>
    </row>
    <row r="350" spans="1:34" ht="15" customHeight="1" x14ac:dyDescent="0.35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1203</v>
      </c>
      <c r="G350" t="s">
        <v>37</v>
      </c>
      <c r="H350" t="s">
        <v>38</v>
      </c>
      <c r="I350" t="s">
        <v>1204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1</v>
      </c>
      <c r="P350" s="8">
        <v>45209.52915509259</v>
      </c>
      <c r="Q350" s="9">
        <v>45210</v>
      </c>
      <c r="R350" t="s">
        <v>37</v>
      </c>
      <c r="S350" t="s">
        <v>44</v>
      </c>
      <c r="T350" t="s">
        <v>45</v>
      </c>
      <c r="U350" t="s">
        <v>66</v>
      </c>
      <c r="V350" t="s">
        <v>1205</v>
      </c>
      <c r="W350">
        <v>47130</v>
      </c>
      <c r="X350" t="s">
        <v>44</v>
      </c>
      <c r="Y350" t="s">
        <v>202</v>
      </c>
      <c r="Z350" t="s">
        <v>49</v>
      </c>
      <c r="AA350" s="10">
        <f>IF(O350&lt;=1,7,7+0.8*ROUNDUP(O350-1,0))</f>
        <v>7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0"/>
        <v>0.42</v>
      </c>
      <c r="AG350" s="11">
        <f t="shared" si="11"/>
        <v>7.42</v>
      </c>
      <c r="AH350" t="s">
        <v>50</v>
      </c>
    </row>
    <row r="351" spans="1:34" ht="15" customHeight="1" x14ac:dyDescent="0.35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1206</v>
      </c>
      <c r="G351" t="s">
        <v>37</v>
      </c>
      <c r="H351" t="s">
        <v>38</v>
      </c>
      <c r="I351" t="s">
        <v>1207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1</v>
      </c>
      <c r="P351" s="8">
        <v>45208.737268518518</v>
      </c>
      <c r="Q351" s="9">
        <v>45210</v>
      </c>
      <c r="R351" t="s">
        <v>37</v>
      </c>
      <c r="S351" t="s">
        <v>44</v>
      </c>
      <c r="T351" t="s">
        <v>45</v>
      </c>
      <c r="U351" t="s">
        <v>92</v>
      </c>
      <c r="V351" t="s">
        <v>1208</v>
      </c>
      <c r="W351">
        <v>81300</v>
      </c>
      <c r="X351" t="s">
        <v>44</v>
      </c>
      <c r="Y351" t="s">
        <v>882</v>
      </c>
      <c r="Z351" t="s">
        <v>49</v>
      </c>
      <c r="AA351" s="10">
        <f>IF(O351&lt;=1,7,7+0.8*ROUNDUP(O351-1,0))</f>
        <v>7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0"/>
        <v>0.42</v>
      </c>
      <c r="AG351" s="11">
        <f t="shared" si="11"/>
        <v>7.42</v>
      </c>
      <c r="AH351" t="s">
        <v>50</v>
      </c>
    </row>
    <row r="352" spans="1:34" ht="15" customHeight="1" x14ac:dyDescent="0.35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1209</v>
      </c>
      <c r="G352" t="s">
        <v>37</v>
      </c>
      <c r="H352" t="s">
        <v>38</v>
      </c>
      <c r="I352" t="s">
        <v>1210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1</v>
      </c>
      <c r="P352" s="8">
        <v>45208.713113425925</v>
      </c>
      <c r="Q352" s="9">
        <v>45210</v>
      </c>
      <c r="R352" t="s">
        <v>37</v>
      </c>
      <c r="S352" t="s">
        <v>44</v>
      </c>
      <c r="T352" t="s">
        <v>45</v>
      </c>
      <c r="U352" t="s">
        <v>182</v>
      </c>
      <c r="V352" t="s">
        <v>1211</v>
      </c>
      <c r="W352">
        <v>13100</v>
      </c>
      <c r="X352" t="s">
        <v>44</v>
      </c>
      <c r="Y352" t="s">
        <v>394</v>
      </c>
      <c r="Z352" t="s">
        <v>49</v>
      </c>
      <c r="AA352" s="10">
        <f>IF(O352&lt;=1,7,7+0.8*ROUNDUP(O352-1,0))</f>
        <v>7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0"/>
        <v>0.42</v>
      </c>
      <c r="AG352" s="11">
        <f t="shared" si="11"/>
        <v>7.42</v>
      </c>
      <c r="AH352" t="s">
        <v>50</v>
      </c>
    </row>
    <row r="353" spans="1:34" ht="15" customHeight="1" x14ac:dyDescent="0.35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1212</v>
      </c>
      <c r="G353" t="s">
        <v>37</v>
      </c>
      <c r="H353" t="s">
        <v>38</v>
      </c>
      <c r="I353" t="s">
        <v>1213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1</v>
      </c>
      <c r="P353" s="8">
        <v>45209.625717592593</v>
      </c>
      <c r="Q353" s="9">
        <v>45210</v>
      </c>
      <c r="R353" t="s">
        <v>37</v>
      </c>
      <c r="S353" t="s">
        <v>44</v>
      </c>
      <c r="T353" t="s">
        <v>45</v>
      </c>
      <c r="U353" t="s">
        <v>66</v>
      </c>
      <c r="V353" t="s">
        <v>1214</v>
      </c>
      <c r="W353">
        <v>40150</v>
      </c>
      <c r="X353" t="s">
        <v>44</v>
      </c>
      <c r="Y353" t="s">
        <v>499</v>
      </c>
      <c r="Z353" t="s">
        <v>49</v>
      </c>
      <c r="AA353" s="10">
        <f>IF(O353&lt;=1,7,7+0.8*ROUNDUP(O353-1,0))</f>
        <v>7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0"/>
        <v>0.42</v>
      </c>
      <c r="AG353" s="11">
        <f t="shared" si="11"/>
        <v>7.42</v>
      </c>
      <c r="AH353" t="s">
        <v>50</v>
      </c>
    </row>
    <row r="354" spans="1:34" ht="15" customHeight="1" x14ac:dyDescent="0.35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1215</v>
      </c>
      <c r="G354" t="s">
        <v>37</v>
      </c>
      <c r="H354" t="s">
        <v>38</v>
      </c>
      <c r="I354" t="s">
        <v>1216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3</v>
      </c>
      <c r="P354" s="8">
        <v>45209.4844212963</v>
      </c>
      <c r="Q354" s="9">
        <v>45210</v>
      </c>
      <c r="R354" t="s">
        <v>37</v>
      </c>
      <c r="S354" t="s">
        <v>44</v>
      </c>
      <c r="T354" t="s">
        <v>45</v>
      </c>
      <c r="U354" t="s">
        <v>66</v>
      </c>
      <c r="V354" t="s">
        <v>1217</v>
      </c>
      <c r="W354">
        <v>42700</v>
      </c>
      <c r="X354" t="s">
        <v>44</v>
      </c>
      <c r="Y354" t="s">
        <v>637</v>
      </c>
      <c r="Z354" t="s">
        <v>49</v>
      </c>
      <c r="AA354" s="10">
        <f>IF(O354&lt;=1,7,7+0.8*ROUNDUP(O354-1,0))</f>
        <v>8.6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0"/>
        <v>0.51600000000000001</v>
      </c>
      <c r="AG354" s="11">
        <f t="shared" si="11"/>
        <v>9.1159999999999997</v>
      </c>
      <c r="AH354" t="s">
        <v>50</v>
      </c>
    </row>
    <row r="355" spans="1:34" ht="15" customHeight="1" x14ac:dyDescent="0.35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1218</v>
      </c>
      <c r="G355" t="s">
        <v>37</v>
      </c>
      <c r="H355" t="s">
        <v>38</v>
      </c>
      <c r="I355" t="s">
        <v>1219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8</v>
      </c>
      <c r="P355" s="8">
        <v>45208.535243055558</v>
      </c>
      <c r="Q355" s="9">
        <v>45210</v>
      </c>
      <c r="R355" t="s">
        <v>37</v>
      </c>
      <c r="S355" t="s">
        <v>44</v>
      </c>
      <c r="T355" t="s">
        <v>45</v>
      </c>
      <c r="U355" t="s">
        <v>182</v>
      </c>
      <c r="V355" t="s">
        <v>1220</v>
      </c>
      <c r="W355">
        <v>14000</v>
      </c>
      <c r="X355" t="s">
        <v>44</v>
      </c>
      <c r="Y355" t="s">
        <v>184</v>
      </c>
      <c r="Z355" t="s">
        <v>49</v>
      </c>
      <c r="AA355" s="10">
        <f>IF(O355&lt;=1,7,7+0.8*ROUNDUP(O355-1,0))</f>
        <v>12.600000000000001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0"/>
        <v>0.75600000000000001</v>
      </c>
      <c r="AG355" s="11">
        <f t="shared" si="11"/>
        <v>13.356000000000002</v>
      </c>
      <c r="AH355" t="s">
        <v>50</v>
      </c>
    </row>
    <row r="356" spans="1:34" ht="15" customHeight="1" x14ac:dyDescent="0.35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1221</v>
      </c>
      <c r="G356" t="s">
        <v>37</v>
      </c>
      <c r="H356" t="s">
        <v>38</v>
      </c>
      <c r="I356" t="s">
        <v>1222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1</v>
      </c>
      <c r="P356" s="8">
        <v>45209.665347222224</v>
      </c>
      <c r="Q356" s="9">
        <v>45210</v>
      </c>
      <c r="R356" t="s">
        <v>37</v>
      </c>
      <c r="S356" t="s">
        <v>44</v>
      </c>
      <c r="T356" t="s">
        <v>45</v>
      </c>
      <c r="U356" t="s">
        <v>66</v>
      </c>
      <c r="V356" t="s">
        <v>1223</v>
      </c>
      <c r="W356">
        <v>43650</v>
      </c>
      <c r="X356" t="s">
        <v>44</v>
      </c>
      <c r="Y356" t="s">
        <v>80</v>
      </c>
      <c r="Z356" t="s">
        <v>49</v>
      </c>
      <c r="AA356" s="10">
        <f>IF(O356&lt;=1,7,7+0.8*ROUNDUP(O356-1,0))</f>
        <v>7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ref="AF356:AF419" si="12">(AA356+AC356+AE356)*6%</f>
        <v>0.42</v>
      </c>
      <c r="AG356" s="11">
        <f t="shared" ref="AG356:AG419" si="13">AA356+AC356+AE356+AF356</f>
        <v>7.42</v>
      </c>
      <c r="AH356" t="s">
        <v>50</v>
      </c>
    </row>
    <row r="357" spans="1:34" ht="15" customHeight="1" x14ac:dyDescent="0.35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1224</v>
      </c>
      <c r="G357" t="s">
        <v>37</v>
      </c>
      <c r="H357" t="s">
        <v>38</v>
      </c>
      <c r="I357" t="s">
        <v>1225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1</v>
      </c>
      <c r="P357" s="8">
        <v>45209.728576388887</v>
      </c>
      <c r="Q357" s="9">
        <v>45210</v>
      </c>
      <c r="R357" t="s">
        <v>37</v>
      </c>
      <c r="S357" t="s">
        <v>44</v>
      </c>
      <c r="T357" t="s">
        <v>45</v>
      </c>
      <c r="U357" t="s">
        <v>66</v>
      </c>
      <c r="V357" t="s">
        <v>1226</v>
      </c>
      <c r="W357">
        <v>47180</v>
      </c>
      <c r="X357" t="s">
        <v>44</v>
      </c>
      <c r="Y357" t="s">
        <v>68</v>
      </c>
      <c r="Z357" t="s">
        <v>49</v>
      </c>
      <c r="AA357" s="10">
        <f>IF(O357&lt;=1,7,7+0.8*ROUNDUP(O357-1,0))</f>
        <v>7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2"/>
        <v>0.42</v>
      </c>
      <c r="AG357" s="11">
        <f t="shared" si="13"/>
        <v>7.42</v>
      </c>
      <c r="AH357" t="s">
        <v>50</v>
      </c>
    </row>
    <row r="358" spans="1:34" ht="15" customHeight="1" x14ac:dyDescent="0.35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1227</v>
      </c>
      <c r="G358" t="s">
        <v>37</v>
      </c>
      <c r="H358" t="s">
        <v>38</v>
      </c>
      <c r="I358" t="s">
        <v>1228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1</v>
      </c>
      <c r="P358" s="8">
        <v>45208.604421296295</v>
      </c>
      <c r="Q358" s="9">
        <v>45210</v>
      </c>
      <c r="R358" t="s">
        <v>37</v>
      </c>
      <c r="S358" t="s">
        <v>44</v>
      </c>
      <c r="T358" t="s">
        <v>45</v>
      </c>
      <c r="U358" t="s">
        <v>92</v>
      </c>
      <c r="V358" t="s">
        <v>1229</v>
      </c>
      <c r="W358">
        <v>81300</v>
      </c>
      <c r="X358" t="s">
        <v>44</v>
      </c>
      <c r="Y358" t="s">
        <v>882</v>
      </c>
      <c r="Z358" t="s">
        <v>49</v>
      </c>
      <c r="AA358" s="10">
        <f>IF(O358&lt;=1,7,7+0.8*ROUNDUP(O358-1,0))</f>
        <v>7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2"/>
        <v>0.42</v>
      </c>
      <c r="AG358" s="11">
        <f t="shared" si="13"/>
        <v>7.42</v>
      </c>
      <c r="AH358" t="s">
        <v>50</v>
      </c>
    </row>
    <row r="359" spans="1:34" ht="15" customHeight="1" x14ac:dyDescent="0.35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1230</v>
      </c>
      <c r="G359" t="s">
        <v>37</v>
      </c>
      <c r="H359" t="s">
        <v>38</v>
      </c>
      <c r="I359" t="s">
        <v>1231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45208.404444444444</v>
      </c>
      <c r="Q359" s="9">
        <v>45210</v>
      </c>
      <c r="R359" t="s">
        <v>37</v>
      </c>
      <c r="S359" t="s">
        <v>44</v>
      </c>
      <c r="T359" t="s">
        <v>45</v>
      </c>
      <c r="U359" t="s">
        <v>92</v>
      </c>
      <c r="V359" t="s">
        <v>1232</v>
      </c>
      <c r="W359">
        <v>81700</v>
      </c>
      <c r="X359" t="s">
        <v>44</v>
      </c>
      <c r="Y359" t="s">
        <v>1233</v>
      </c>
      <c r="Z359" t="s">
        <v>49</v>
      </c>
      <c r="AA359" s="10">
        <f>IF(O359&lt;=1,7,7+0.8*ROUNDUP(O359-1,0))</f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2"/>
        <v>0.42</v>
      </c>
      <c r="AG359" s="11">
        <f t="shared" si="13"/>
        <v>7.42</v>
      </c>
      <c r="AH359" t="s">
        <v>50</v>
      </c>
    </row>
    <row r="360" spans="1:34" ht="15" customHeight="1" x14ac:dyDescent="0.35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1234</v>
      </c>
      <c r="G360" t="s">
        <v>37</v>
      </c>
      <c r="H360" t="s">
        <v>38</v>
      </c>
      <c r="I360" t="s">
        <v>1235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1</v>
      </c>
      <c r="P360" s="8">
        <v>45208.754791666666</v>
      </c>
      <c r="Q360" s="9">
        <v>45211</v>
      </c>
      <c r="R360" t="s">
        <v>37</v>
      </c>
      <c r="S360" t="s">
        <v>44</v>
      </c>
      <c r="T360" t="s">
        <v>45</v>
      </c>
      <c r="U360" t="s">
        <v>173</v>
      </c>
      <c r="V360" t="s">
        <v>1236</v>
      </c>
      <c r="W360">
        <v>89108</v>
      </c>
      <c r="X360" t="s">
        <v>114</v>
      </c>
      <c r="Y360" t="s">
        <v>115</v>
      </c>
      <c r="Z360" t="s">
        <v>49</v>
      </c>
      <c r="AA360" s="12">
        <f>IF(O360&lt;=1,13,IF(O360&lt;=2,23,IF(O360&lt;=3,35,IF(O360&lt;=4,43,IF(O360&lt;=5,53,IF(O360&lt;=6,63,IF(O360&lt;=7,71,IF(O360&lt;=8,79,IF(O360&lt;=9,87,IF(O360&lt;=10,95,IF(O360&lt;=11,105,IF(O360&lt;=12,114,IF(O360&lt;=13,119,IF(O360&lt;=14,127,IF(O360&lt;=15,135,IF(O360&lt;=16,143,IF(O360&lt;=17,153,IF(O360&lt;=18,163,IF(O360&lt;=19,171,IF(O360&lt;=20,185,IF(O360&lt;=21,193,IF(O360&lt;=22,201,IF(O360&lt;=23,210,IF(O360&lt;=24,220,IF(O360&lt;=25,230,IF(O360&lt;=26,240,IF(O360&lt;=27,250,IF(O360&lt;=28,260,IF(O360&lt;=29,270,IF(O360&lt;=30,280,280+10*ROUNDUP(O360-30,0)))))))))))))))))))))))))))))))</f>
        <v>13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2"/>
        <v>0.78</v>
      </c>
      <c r="AG360" s="11">
        <f t="shared" si="13"/>
        <v>13.78</v>
      </c>
      <c r="AH360" t="s">
        <v>116</v>
      </c>
    </row>
    <row r="361" spans="1:34" ht="15" customHeight="1" x14ac:dyDescent="0.35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1237</v>
      </c>
      <c r="G361" t="s">
        <v>37</v>
      </c>
      <c r="H361" t="s">
        <v>38</v>
      </c>
      <c r="I361" t="s">
        <v>1238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1</v>
      </c>
      <c r="P361" s="8">
        <v>45209.662488425929</v>
      </c>
      <c r="Q361" s="9">
        <v>45211</v>
      </c>
      <c r="R361" t="s">
        <v>37</v>
      </c>
      <c r="S361" t="s">
        <v>44</v>
      </c>
      <c r="T361" t="s">
        <v>45</v>
      </c>
      <c r="U361" t="s">
        <v>92</v>
      </c>
      <c r="V361" t="s">
        <v>1239</v>
      </c>
      <c r="W361">
        <v>81750</v>
      </c>
      <c r="X361" t="s">
        <v>44</v>
      </c>
      <c r="Y361" t="s">
        <v>1240</v>
      </c>
      <c r="Z361" t="s">
        <v>49</v>
      </c>
      <c r="AA361" s="10">
        <f>IF(O361&lt;=1,7,7+0.8*ROUNDUP(O361-1,0))</f>
        <v>7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2"/>
        <v>0.42</v>
      </c>
      <c r="AG361" s="11">
        <f t="shared" si="13"/>
        <v>7.42</v>
      </c>
      <c r="AH361" t="s">
        <v>50</v>
      </c>
    </row>
    <row r="362" spans="1:34" ht="15" customHeight="1" x14ac:dyDescent="0.35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1241</v>
      </c>
      <c r="G362" t="s">
        <v>37</v>
      </c>
      <c r="H362" t="s">
        <v>38</v>
      </c>
      <c r="I362" t="s">
        <v>1242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1</v>
      </c>
      <c r="P362" s="8">
        <v>45209.71471064815</v>
      </c>
      <c r="Q362" s="9">
        <v>45211</v>
      </c>
      <c r="R362" t="s">
        <v>37</v>
      </c>
      <c r="S362" t="s">
        <v>44</v>
      </c>
      <c r="T362" t="s">
        <v>45</v>
      </c>
      <c r="U362" t="s">
        <v>182</v>
      </c>
      <c r="V362" t="s">
        <v>1243</v>
      </c>
      <c r="W362">
        <v>13600</v>
      </c>
      <c r="X362" t="s">
        <v>44</v>
      </c>
      <c r="Y362" t="s">
        <v>184</v>
      </c>
      <c r="Z362" t="s">
        <v>49</v>
      </c>
      <c r="AA362" s="10">
        <f>IF(O362&lt;=1,7,7+0.8*ROUNDUP(O362-1,0))</f>
        <v>7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2"/>
        <v>0.42</v>
      </c>
      <c r="AG362" s="11">
        <f t="shared" si="13"/>
        <v>7.42</v>
      </c>
      <c r="AH362" t="s">
        <v>50</v>
      </c>
    </row>
    <row r="363" spans="1:34" ht="15" customHeight="1" x14ac:dyDescent="0.35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1244</v>
      </c>
      <c r="G363" t="s">
        <v>37</v>
      </c>
      <c r="H363" t="s">
        <v>38</v>
      </c>
      <c r="I363" t="s">
        <v>1245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1</v>
      </c>
      <c r="P363" s="8">
        <v>45210.560358796298</v>
      </c>
      <c r="Q363" s="9">
        <v>45211</v>
      </c>
      <c r="R363" t="s">
        <v>37</v>
      </c>
      <c r="S363" t="s">
        <v>44</v>
      </c>
      <c r="T363" t="s">
        <v>45</v>
      </c>
      <c r="U363" t="s">
        <v>187</v>
      </c>
      <c r="V363" t="s">
        <v>1246</v>
      </c>
      <c r="W363">
        <v>53300</v>
      </c>
      <c r="X363" t="s">
        <v>44</v>
      </c>
      <c r="Y363" t="s">
        <v>1247</v>
      </c>
      <c r="Z363" t="s">
        <v>49</v>
      </c>
      <c r="AA363" s="10">
        <f>IF(O363&lt;=1,7,7+0.8*ROUNDUP(O363-1,0))</f>
        <v>7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2"/>
        <v>0.42</v>
      </c>
      <c r="AG363" s="11">
        <f t="shared" si="13"/>
        <v>7.42</v>
      </c>
      <c r="AH363" t="s">
        <v>50</v>
      </c>
    </row>
    <row r="364" spans="1:34" ht="15" customHeight="1" x14ac:dyDescent="0.35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1248</v>
      </c>
      <c r="G364" t="s">
        <v>37</v>
      </c>
      <c r="H364" t="s">
        <v>38</v>
      </c>
      <c r="I364" t="s">
        <v>1249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1</v>
      </c>
      <c r="P364" s="8">
        <v>45210.767511574071</v>
      </c>
      <c r="Q364" s="9">
        <v>45211</v>
      </c>
      <c r="R364" t="s">
        <v>37</v>
      </c>
      <c r="S364" t="s">
        <v>44</v>
      </c>
      <c r="T364" t="s">
        <v>45</v>
      </c>
      <c r="U364" t="s">
        <v>53</v>
      </c>
      <c r="V364" t="s">
        <v>1250</v>
      </c>
      <c r="W364">
        <v>17500</v>
      </c>
      <c r="X364" t="s">
        <v>44</v>
      </c>
      <c r="Y364" t="s">
        <v>55</v>
      </c>
      <c r="Z364" t="s">
        <v>49</v>
      </c>
      <c r="AA364" s="10">
        <f>IF(O364&lt;=1,7,7+0.8*ROUNDUP(O364-1,0))</f>
        <v>7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2"/>
        <v>0.42</v>
      </c>
      <c r="AG364" s="11">
        <f t="shared" si="13"/>
        <v>7.42</v>
      </c>
      <c r="AH364" t="s">
        <v>50</v>
      </c>
    </row>
    <row r="365" spans="1:34" ht="15" customHeight="1" x14ac:dyDescent="0.35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1251</v>
      </c>
      <c r="G365" t="s">
        <v>37</v>
      </c>
      <c r="H365" t="s">
        <v>38</v>
      </c>
      <c r="I365" t="s">
        <v>642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1</v>
      </c>
      <c r="P365" s="8">
        <v>45208.779062499998</v>
      </c>
      <c r="Q365" s="9">
        <v>45211</v>
      </c>
      <c r="R365" t="s">
        <v>37</v>
      </c>
      <c r="S365" t="s">
        <v>44</v>
      </c>
      <c r="T365" t="s">
        <v>45</v>
      </c>
      <c r="U365" t="s">
        <v>71</v>
      </c>
      <c r="V365" t="s">
        <v>1252</v>
      </c>
      <c r="W365">
        <v>24000</v>
      </c>
      <c r="X365" t="s">
        <v>44</v>
      </c>
      <c r="Y365" t="s">
        <v>55</v>
      </c>
      <c r="Z365" t="s">
        <v>49</v>
      </c>
      <c r="AA365" s="10">
        <f>IF(O365&lt;=1,7,7+0.8*ROUNDUP(O365-1,0))</f>
        <v>7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2"/>
        <v>0.42</v>
      </c>
      <c r="AG365" s="11">
        <f t="shared" si="13"/>
        <v>7.42</v>
      </c>
      <c r="AH365" t="s">
        <v>50</v>
      </c>
    </row>
    <row r="366" spans="1:34" ht="15" customHeight="1" x14ac:dyDescent="0.35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1253</v>
      </c>
      <c r="G366" t="s">
        <v>37</v>
      </c>
      <c r="H366" t="s">
        <v>38</v>
      </c>
      <c r="I366" t="s">
        <v>1254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1</v>
      </c>
      <c r="P366" s="8">
        <v>45210.760960648149</v>
      </c>
      <c r="Q366" s="9">
        <v>45211</v>
      </c>
      <c r="R366" t="s">
        <v>37</v>
      </c>
      <c r="S366" t="s">
        <v>44</v>
      </c>
      <c r="T366" t="s">
        <v>45</v>
      </c>
      <c r="U366" t="s">
        <v>53</v>
      </c>
      <c r="V366" t="s">
        <v>1255</v>
      </c>
      <c r="W366">
        <v>17500</v>
      </c>
      <c r="X366" t="s">
        <v>44</v>
      </c>
      <c r="Y366" t="s">
        <v>55</v>
      </c>
      <c r="Z366" t="s">
        <v>49</v>
      </c>
      <c r="AA366" s="10">
        <f>IF(O366&lt;=1,7,7+0.8*ROUNDUP(O366-1,0))</f>
        <v>7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2"/>
        <v>0.42</v>
      </c>
      <c r="AG366" s="11">
        <f t="shared" si="13"/>
        <v>7.42</v>
      </c>
      <c r="AH366" t="s">
        <v>50</v>
      </c>
    </row>
    <row r="367" spans="1:34" ht="15" customHeight="1" x14ac:dyDescent="0.35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1256</v>
      </c>
      <c r="G367" t="s">
        <v>37</v>
      </c>
      <c r="H367" t="s">
        <v>38</v>
      </c>
      <c r="I367" t="s">
        <v>1257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1</v>
      </c>
      <c r="P367" s="8">
        <v>45210.760960648149</v>
      </c>
      <c r="Q367" s="9">
        <v>45211</v>
      </c>
      <c r="R367" t="s">
        <v>37</v>
      </c>
      <c r="S367" t="s">
        <v>44</v>
      </c>
      <c r="T367" t="s">
        <v>45</v>
      </c>
      <c r="U367" t="s">
        <v>53</v>
      </c>
      <c r="V367" t="s">
        <v>1258</v>
      </c>
      <c r="W367">
        <v>16450</v>
      </c>
      <c r="X367" t="s">
        <v>44</v>
      </c>
      <c r="Y367" t="s">
        <v>55</v>
      </c>
      <c r="Z367" t="s">
        <v>49</v>
      </c>
      <c r="AA367" s="10">
        <f>IF(O367&lt;=1,7,7+0.8*ROUNDUP(O367-1,0))</f>
        <v>7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2"/>
        <v>0.42</v>
      </c>
      <c r="AG367" s="11">
        <f t="shared" si="13"/>
        <v>7.42</v>
      </c>
      <c r="AH367" t="s">
        <v>50</v>
      </c>
    </row>
    <row r="368" spans="1:34" ht="15" customHeight="1" x14ac:dyDescent="0.35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1259</v>
      </c>
      <c r="G368" t="s">
        <v>37</v>
      </c>
      <c r="H368" t="s">
        <v>38</v>
      </c>
      <c r="I368" t="s">
        <v>1260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1</v>
      </c>
      <c r="P368" s="8">
        <v>45210.760960648149</v>
      </c>
      <c r="Q368" s="9">
        <v>45211</v>
      </c>
      <c r="R368" t="s">
        <v>37</v>
      </c>
      <c r="S368" t="s">
        <v>44</v>
      </c>
      <c r="T368" t="s">
        <v>45</v>
      </c>
      <c r="U368" t="s">
        <v>53</v>
      </c>
      <c r="V368" t="s">
        <v>1261</v>
      </c>
      <c r="W368">
        <v>18500</v>
      </c>
      <c r="X368" t="s">
        <v>44</v>
      </c>
      <c r="Y368" t="s">
        <v>55</v>
      </c>
      <c r="Z368" t="s">
        <v>49</v>
      </c>
      <c r="AA368" s="10">
        <f>IF(O368&lt;=1,7,7+0.8*ROUNDUP(O368-1,0))</f>
        <v>7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2"/>
        <v>0.42</v>
      </c>
      <c r="AG368" s="11">
        <f t="shared" si="13"/>
        <v>7.42</v>
      </c>
      <c r="AH368" t="s">
        <v>50</v>
      </c>
    </row>
    <row r="369" spans="1:34" ht="15" customHeight="1" x14ac:dyDescent="0.35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1262</v>
      </c>
      <c r="G369" t="s">
        <v>37</v>
      </c>
      <c r="H369" t="s">
        <v>38</v>
      </c>
      <c r="I369" t="s">
        <v>243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1</v>
      </c>
      <c r="P369" s="8">
        <v>45209.775555555556</v>
      </c>
      <c r="Q369" s="9">
        <v>45211</v>
      </c>
      <c r="R369" t="s">
        <v>37</v>
      </c>
      <c r="S369" t="s">
        <v>44</v>
      </c>
      <c r="T369" t="s">
        <v>45</v>
      </c>
      <c r="U369" t="s">
        <v>92</v>
      </c>
      <c r="V369" t="s">
        <v>1263</v>
      </c>
      <c r="W369">
        <v>82200</v>
      </c>
      <c r="X369" t="s">
        <v>44</v>
      </c>
      <c r="Y369" t="s">
        <v>115</v>
      </c>
      <c r="Z369" t="s">
        <v>49</v>
      </c>
      <c r="AA369" s="10">
        <f>IF(O369&lt;=1,7,7+0.8*ROUNDUP(O369-1,0))</f>
        <v>7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2"/>
        <v>0.42</v>
      </c>
      <c r="AG369" s="11">
        <f t="shared" si="13"/>
        <v>7.42</v>
      </c>
      <c r="AH369" t="s">
        <v>50</v>
      </c>
    </row>
    <row r="370" spans="1:34" ht="15" customHeight="1" x14ac:dyDescent="0.35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1264</v>
      </c>
      <c r="G370" t="s">
        <v>37</v>
      </c>
      <c r="H370" t="s">
        <v>38</v>
      </c>
      <c r="I370" t="s">
        <v>1265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1</v>
      </c>
      <c r="P370" s="8">
        <v>45210.767511574071</v>
      </c>
      <c r="Q370" s="9">
        <v>45211</v>
      </c>
      <c r="R370" t="s">
        <v>37</v>
      </c>
      <c r="S370" t="s">
        <v>44</v>
      </c>
      <c r="T370" t="s">
        <v>45</v>
      </c>
      <c r="U370" t="s">
        <v>53</v>
      </c>
      <c r="V370" t="s">
        <v>1266</v>
      </c>
      <c r="W370">
        <v>16150</v>
      </c>
      <c r="X370" t="s">
        <v>44</v>
      </c>
      <c r="Y370" t="s">
        <v>55</v>
      </c>
      <c r="Z370" t="s">
        <v>49</v>
      </c>
      <c r="AA370" s="10">
        <f>IF(O370&lt;=1,7,7+0.8*ROUNDUP(O370-1,0))</f>
        <v>7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2"/>
        <v>0.42</v>
      </c>
      <c r="AG370" s="11">
        <f t="shared" si="13"/>
        <v>7.42</v>
      </c>
      <c r="AH370" t="s">
        <v>50</v>
      </c>
    </row>
    <row r="371" spans="1:34" ht="15" customHeight="1" x14ac:dyDescent="0.35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1267</v>
      </c>
      <c r="G371" t="s">
        <v>37</v>
      </c>
      <c r="H371" t="s">
        <v>38</v>
      </c>
      <c r="I371" t="s">
        <v>1268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1</v>
      </c>
      <c r="P371" s="8">
        <v>45210.760960648149</v>
      </c>
      <c r="Q371" s="9">
        <v>45211</v>
      </c>
      <c r="R371" t="s">
        <v>37</v>
      </c>
      <c r="S371" t="s">
        <v>44</v>
      </c>
      <c r="T371" t="s">
        <v>45</v>
      </c>
      <c r="U371" t="s">
        <v>53</v>
      </c>
      <c r="V371" t="s">
        <v>1269</v>
      </c>
      <c r="W371">
        <v>17500</v>
      </c>
      <c r="X371" t="s">
        <v>44</v>
      </c>
      <c r="Y371" t="s">
        <v>55</v>
      </c>
      <c r="Z371" t="s">
        <v>49</v>
      </c>
      <c r="AA371" s="10">
        <f>IF(O371&lt;=1,7,7+0.8*ROUNDUP(O371-1,0))</f>
        <v>7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2"/>
        <v>0.42</v>
      </c>
      <c r="AG371" s="11">
        <f t="shared" si="13"/>
        <v>7.42</v>
      </c>
      <c r="AH371" t="s">
        <v>50</v>
      </c>
    </row>
    <row r="372" spans="1:34" ht="15" customHeight="1" x14ac:dyDescent="0.35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1270</v>
      </c>
      <c r="G372" t="s">
        <v>37</v>
      </c>
      <c r="H372" t="s">
        <v>38</v>
      </c>
      <c r="I372" t="s">
        <v>1271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1</v>
      </c>
      <c r="P372" s="8">
        <v>45210.767511574071</v>
      </c>
      <c r="Q372" s="9">
        <v>45211</v>
      </c>
      <c r="R372" t="s">
        <v>37</v>
      </c>
      <c r="S372" t="s">
        <v>44</v>
      </c>
      <c r="T372" t="s">
        <v>45</v>
      </c>
      <c r="U372" t="s">
        <v>66</v>
      </c>
      <c r="V372" t="s">
        <v>1272</v>
      </c>
      <c r="W372">
        <v>47301</v>
      </c>
      <c r="X372" t="s">
        <v>44</v>
      </c>
      <c r="Y372" t="s">
        <v>1273</v>
      </c>
      <c r="Z372" t="s">
        <v>49</v>
      </c>
      <c r="AA372" s="10">
        <f>IF(O372&lt;=1,7,7+0.8*ROUNDUP(O372-1,0))</f>
        <v>7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2"/>
        <v>0.42</v>
      </c>
      <c r="AG372" s="11">
        <f t="shared" si="13"/>
        <v>7.42</v>
      </c>
      <c r="AH372" t="s">
        <v>50</v>
      </c>
    </row>
    <row r="373" spans="1:34" ht="15" customHeight="1" x14ac:dyDescent="0.35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1274</v>
      </c>
      <c r="G373" t="s">
        <v>37</v>
      </c>
      <c r="H373" t="s">
        <v>38</v>
      </c>
      <c r="I373" t="s">
        <v>1275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1</v>
      </c>
      <c r="P373" s="8">
        <v>45209.699467592596</v>
      </c>
      <c r="Q373" s="9">
        <v>45211</v>
      </c>
      <c r="R373" t="s">
        <v>37</v>
      </c>
      <c r="S373" t="s">
        <v>44</v>
      </c>
      <c r="T373" t="s">
        <v>45</v>
      </c>
      <c r="U373" t="s">
        <v>46</v>
      </c>
      <c r="V373" t="s">
        <v>1276</v>
      </c>
      <c r="W373">
        <v>6900</v>
      </c>
      <c r="X373" t="s">
        <v>44</v>
      </c>
      <c r="Y373" t="s">
        <v>115</v>
      </c>
      <c r="Z373" t="s">
        <v>49</v>
      </c>
      <c r="AA373" s="10">
        <f>IF(O373&lt;=1,7,7+0.8*ROUNDUP(O373-1,0))</f>
        <v>7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2"/>
        <v>0.42</v>
      </c>
      <c r="AG373" s="11">
        <f t="shared" si="13"/>
        <v>7.42</v>
      </c>
      <c r="AH373" t="s">
        <v>50</v>
      </c>
    </row>
    <row r="374" spans="1:34" ht="15" customHeight="1" x14ac:dyDescent="0.35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1277</v>
      </c>
      <c r="G374" t="s">
        <v>37</v>
      </c>
      <c r="H374" t="s">
        <v>38</v>
      </c>
      <c r="I374" t="s">
        <v>255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8</v>
      </c>
      <c r="P374" s="8">
        <v>45209.506145833337</v>
      </c>
      <c r="Q374" s="9">
        <v>45211</v>
      </c>
      <c r="R374" t="s">
        <v>37</v>
      </c>
      <c r="S374" t="s">
        <v>44</v>
      </c>
      <c r="T374" t="s">
        <v>45</v>
      </c>
      <c r="U374" t="s">
        <v>87</v>
      </c>
      <c r="V374" t="s">
        <v>1278</v>
      </c>
      <c r="W374">
        <v>39100</v>
      </c>
      <c r="X374" t="s">
        <v>44</v>
      </c>
      <c r="Y374" t="s">
        <v>268</v>
      </c>
      <c r="Z374" t="s">
        <v>49</v>
      </c>
      <c r="AA374" s="10">
        <f>IF(O374&lt;=1,7,7+0.8*ROUNDUP(O374-1,0))</f>
        <v>12.600000000000001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2"/>
        <v>0.75600000000000001</v>
      </c>
      <c r="AG374" s="11">
        <f t="shared" si="13"/>
        <v>13.356000000000002</v>
      </c>
      <c r="AH374" t="s">
        <v>50</v>
      </c>
    </row>
    <row r="375" spans="1:34" ht="15" customHeight="1" x14ac:dyDescent="0.35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1279</v>
      </c>
      <c r="G375" t="s">
        <v>37</v>
      </c>
      <c r="H375" t="s">
        <v>38</v>
      </c>
      <c r="I375" t="s">
        <v>255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3</v>
      </c>
      <c r="P375" s="8">
        <v>45209.506145833337</v>
      </c>
      <c r="Q375" s="9">
        <v>45211</v>
      </c>
      <c r="R375" t="s">
        <v>37</v>
      </c>
      <c r="S375" t="s">
        <v>44</v>
      </c>
      <c r="T375" t="s">
        <v>45</v>
      </c>
      <c r="U375" t="s">
        <v>87</v>
      </c>
      <c r="V375" t="s">
        <v>256</v>
      </c>
      <c r="W375">
        <v>39100</v>
      </c>
      <c r="X375" t="s">
        <v>44</v>
      </c>
      <c r="Y375" t="s">
        <v>268</v>
      </c>
      <c r="Z375" t="s">
        <v>49</v>
      </c>
      <c r="AA375" s="10">
        <f>IF(O375&lt;=1,7,7+0.8*ROUNDUP(O375-1,0))</f>
        <v>8.6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2"/>
        <v>0.51600000000000001</v>
      </c>
      <c r="AG375" s="11">
        <f t="shared" si="13"/>
        <v>9.1159999999999997</v>
      </c>
      <c r="AH375" t="s">
        <v>50</v>
      </c>
    </row>
    <row r="376" spans="1:34" ht="15" customHeight="1" x14ac:dyDescent="0.35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1280</v>
      </c>
      <c r="G376" t="s">
        <v>37</v>
      </c>
      <c r="H376" t="s">
        <v>38</v>
      </c>
      <c r="I376" t="s">
        <v>1281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1</v>
      </c>
      <c r="P376" s="8">
        <v>45210.771909722222</v>
      </c>
      <c r="Q376" s="9">
        <v>45211</v>
      </c>
      <c r="R376" t="s">
        <v>37</v>
      </c>
      <c r="S376" t="s">
        <v>44</v>
      </c>
      <c r="T376" t="s">
        <v>45</v>
      </c>
      <c r="U376" t="s">
        <v>61</v>
      </c>
      <c r="V376" t="s">
        <v>1282</v>
      </c>
      <c r="W376">
        <v>70400</v>
      </c>
      <c r="X376" t="s">
        <v>44</v>
      </c>
      <c r="Y376" t="s">
        <v>520</v>
      </c>
      <c r="Z376" t="s">
        <v>49</v>
      </c>
      <c r="AA376" s="10">
        <f>IF(O376&lt;=1,7,7+0.8*ROUNDUP(O376-1,0))</f>
        <v>7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2"/>
        <v>0.42</v>
      </c>
      <c r="AG376" s="11">
        <f t="shared" si="13"/>
        <v>7.42</v>
      </c>
      <c r="AH376" t="s">
        <v>50</v>
      </c>
    </row>
    <row r="377" spans="1:34" ht="15" customHeight="1" x14ac:dyDescent="0.35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1283</v>
      </c>
      <c r="G377" t="s">
        <v>37</v>
      </c>
      <c r="H377" t="s">
        <v>38</v>
      </c>
      <c r="I377" t="s">
        <v>1284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1</v>
      </c>
      <c r="P377" s="8">
        <v>45210.767511574071</v>
      </c>
      <c r="Q377" s="9">
        <v>45211</v>
      </c>
      <c r="R377" t="s">
        <v>37</v>
      </c>
      <c r="S377" t="s">
        <v>44</v>
      </c>
      <c r="T377" t="s">
        <v>45</v>
      </c>
      <c r="U377" t="s">
        <v>53</v>
      </c>
      <c r="V377" t="s">
        <v>1285</v>
      </c>
      <c r="W377">
        <v>16600</v>
      </c>
      <c r="X377" t="s">
        <v>44</v>
      </c>
      <c r="Y377" t="s">
        <v>55</v>
      </c>
      <c r="Z377" t="s">
        <v>49</v>
      </c>
      <c r="AA377" s="10">
        <f>IF(O377&lt;=1,7,7+0.8*ROUNDUP(O377-1,0))</f>
        <v>7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2"/>
        <v>0.42</v>
      </c>
      <c r="AG377" s="11">
        <f t="shared" si="13"/>
        <v>7.42</v>
      </c>
      <c r="AH377" t="s">
        <v>50</v>
      </c>
    </row>
    <row r="378" spans="1:34" ht="15" customHeight="1" x14ac:dyDescent="0.35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1286</v>
      </c>
      <c r="G378" t="s">
        <v>37</v>
      </c>
      <c r="H378" t="s">
        <v>38</v>
      </c>
      <c r="I378" t="s">
        <v>1287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1</v>
      </c>
      <c r="P378" s="8">
        <v>45208.779062499998</v>
      </c>
      <c r="Q378" s="9">
        <v>45211</v>
      </c>
      <c r="R378" t="s">
        <v>37</v>
      </c>
      <c r="S378" t="s">
        <v>44</v>
      </c>
      <c r="T378" t="s">
        <v>45</v>
      </c>
      <c r="U378" t="s">
        <v>92</v>
      </c>
      <c r="V378" t="s">
        <v>1288</v>
      </c>
      <c r="W378">
        <v>81100</v>
      </c>
      <c r="X378" t="s">
        <v>44</v>
      </c>
      <c r="Y378" t="s">
        <v>192</v>
      </c>
      <c r="Z378" t="s">
        <v>49</v>
      </c>
      <c r="AA378" s="10">
        <f>IF(O378&lt;=1,7,7+0.8*ROUNDUP(O378-1,0))</f>
        <v>7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2"/>
        <v>0.42</v>
      </c>
      <c r="AG378" s="11">
        <f t="shared" si="13"/>
        <v>7.42</v>
      </c>
      <c r="AH378" t="s">
        <v>50</v>
      </c>
    </row>
    <row r="379" spans="1:34" ht="15" customHeight="1" x14ac:dyDescent="0.35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1289</v>
      </c>
      <c r="G379" t="s">
        <v>37</v>
      </c>
      <c r="H379" t="s">
        <v>38</v>
      </c>
      <c r="I379" t="s">
        <v>1290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1</v>
      </c>
      <c r="P379" s="8">
        <v>45210.767511574071</v>
      </c>
      <c r="Q379" s="9">
        <v>45211</v>
      </c>
      <c r="R379" t="s">
        <v>37</v>
      </c>
      <c r="S379" t="s">
        <v>44</v>
      </c>
      <c r="T379" t="s">
        <v>45</v>
      </c>
      <c r="U379" t="s">
        <v>53</v>
      </c>
      <c r="V379" t="s">
        <v>1291</v>
      </c>
      <c r="W379">
        <v>18000</v>
      </c>
      <c r="X379" t="s">
        <v>44</v>
      </c>
      <c r="Y379" t="s">
        <v>55</v>
      </c>
      <c r="Z379" t="s">
        <v>49</v>
      </c>
      <c r="AA379" s="10">
        <f>IF(O379&lt;=1,7,7+0.8*ROUNDUP(O379-1,0))</f>
        <v>7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2"/>
        <v>0.42</v>
      </c>
      <c r="AG379" s="11">
        <f t="shared" si="13"/>
        <v>7.42</v>
      </c>
      <c r="AH379" t="s">
        <v>50</v>
      </c>
    </row>
    <row r="380" spans="1:34" ht="15" customHeight="1" x14ac:dyDescent="0.35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1292</v>
      </c>
      <c r="G380" t="s">
        <v>37</v>
      </c>
      <c r="H380" t="s">
        <v>38</v>
      </c>
      <c r="I380" t="s">
        <v>711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11</v>
      </c>
      <c r="P380" s="8">
        <v>45210.741701388892</v>
      </c>
      <c r="Q380" s="9">
        <v>45211</v>
      </c>
      <c r="R380" t="s">
        <v>37</v>
      </c>
      <c r="S380" t="s">
        <v>44</v>
      </c>
      <c r="T380" t="s">
        <v>45</v>
      </c>
      <c r="U380" t="s">
        <v>66</v>
      </c>
      <c r="V380" t="s">
        <v>1293</v>
      </c>
      <c r="W380">
        <v>42000</v>
      </c>
      <c r="X380" t="s">
        <v>44</v>
      </c>
      <c r="Y380" t="s">
        <v>555</v>
      </c>
      <c r="Z380" t="s">
        <v>49</v>
      </c>
      <c r="AA380" s="10">
        <f>IF(O380&lt;=1,7,7+0.8*ROUNDUP(O380-1,0))</f>
        <v>15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2"/>
        <v>0.89999999999999991</v>
      </c>
      <c r="AG380" s="11">
        <f t="shared" si="13"/>
        <v>15.9</v>
      </c>
      <c r="AH380" t="s">
        <v>50</v>
      </c>
    </row>
    <row r="381" spans="1:34" ht="15" customHeight="1" x14ac:dyDescent="0.35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1294</v>
      </c>
      <c r="G381" t="s">
        <v>37</v>
      </c>
      <c r="H381" t="s">
        <v>38</v>
      </c>
      <c r="I381" t="s">
        <v>1295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1</v>
      </c>
      <c r="P381" s="8">
        <v>45208.779062499998</v>
      </c>
      <c r="Q381" s="9">
        <v>45211</v>
      </c>
      <c r="R381" t="s">
        <v>37</v>
      </c>
      <c r="S381" t="s">
        <v>44</v>
      </c>
      <c r="T381" t="s">
        <v>45</v>
      </c>
      <c r="U381" t="s">
        <v>92</v>
      </c>
      <c r="V381" t="s">
        <v>1296</v>
      </c>
      <c r="W381">
        <v>81100</v>
      </c>
      <c r="X381" t="s">
        <v>44</v>
      </c>
      <c r="Y381" t="s">
        <v>192</v>
      </c>
      <c r="Z381" t="s">
        <v>49</v>
      </c>
      <c r="AA381" s="10">
        <f>IF(O381&lt;=1,7,7+0.8*ROUNDUP(O381-1,0))</f>
        <v>7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2"/>
        <v>0.42</v>
      </c>
      <c r="AG381" s="11">
        <f t="shared" si="13"/>
        <v>7.42</v>
      </c>
      <c r="AH381" t="s">
        <v>50</v>
      </c>
    </row>
    <row r="382" spans="1:34" ht="15" customHeight="1" x14ac:dyDescent="0.35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1297</v>
      </c>
      <c r="G382" t="s">
        <v>37</v>
      </c>
      <c r="H382" t="s">
        <v>38</v>
      </c>
      <c r="I382" t="s">
        <v>1298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45210.760960648149</v>
      </c>
      <c r="Q382" s="9">
        <v>45211</v>
      </c>
      <c r="R382" t="s">
        <v>37</v>
      </c>
      <c r="S382" t="s">
        <v>44</v>
      </c>
      <c r="T382" t="s">
        <v>45</v>
      </c>
      <c r="U382" t="s">
        <v>53</v>
      </c>
      <c r="V382" t="s">
        <v>1299</v>
      </c>
      <c r="W382">
        <v>17500</v>
      </c>
      <c r="X382" t="s">
        <v>44</v>
      </c>
      <c r="Y382" t="s">
        <v>55</v>
      </c>
      <c r="Z382" t="s">
        <v>49</v>
      </c>
      <c r="AA382" s="10">
        <f>IF(O382&lt;=1,7,7+0.8*ROUNDUP(O382-1,0))</f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2"/>
        <v>0.42</v>
      </c>
      <c r="AG382" s="11">
        <f t="shared" si="13"/>
        <v>7.42</v>
      </c>
      <c r="AH382" t="s">
        <v>50</v>
      </c>
    </row>
    <row r="383" spans="1:34" ht="15" customHeight="1" x14ac:dyDescent="0.35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1300</v>
      </c>
      <c r="G383" t="s">
        <v>37</v>
      </c>
      <c r="H383" t="s">
        <v>38</v>
      </c>
      <c r="I383" t="s">
        <v>1089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1</v>
      </c>
      <c r="P383" s="8">
        <v>45208.779062499998</v>
      </c>
      <c r="Q383" s="9">
        <v>45211</v>
      </c>
      <c r="R383" t="s">
        <v>37</v>
      </c>
      <c r="S383" t="s">
        <v>44</v>
      </c>
      <c r="T383" t="s">
        <v>45</v>
      </c>
      <c r="U383" t="s">
        <v>92</v>
      </c>
      <c r="V383" t="s">
        <v>1301</v>
      </c>
      <c r="W383">
        <v>81200</v>
      </c>
      <c r="X383" t="s">
        <v>44</v>
      </c>
      <c r="Y383" t="s">
        <v>134</v>
      </c>
      <c r="Z383" t="s">
        <v>49</v>
      </c>
      <c r="AA383" s="10">
        <f>IF(O383&lt;=1,7,7+0.8*ROUNDUP(O383-1,0))</f>
        <v>7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2"/>
        <v>0.42</v>
      </c>
      <c r="AG383" s="11">
        <f t="shared" si="13"/>
        <v>7.42</v>
      </c>
      <c r="AH383" t="s">
        <v>50</v>
      </c>
    </row>
    <row r="384" spans="1:34" ht="15" customHeight="1" x14ac:dyDescent="0.35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1302</v>
      </c>
      <c r="G384" t="s">
        <v>37</v>
      </c>
      <c r="H384" t="s">
        <v>38</v>
      </c>
      <c r="I384" t="s">
        <v>1303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1</v>
      </c>
      <c r="P384" s="8">
        <v>45210.767511574071</v>
      </c>
      <c r="Q384" s="9">
        <v>45211</v>
      </c>
      <c r="R384" t="s">
        <v>37</v>
      </c>
      <c r="S384" t="s">
        <v>44</v>
      </c>
      <c r="T384" t="s">
        <v>45</v>
      </c>
      <c r="U384" t="s">
        <v>53</v>
      </c>
      <c r="V384" t="s">
        <v>1304</v>
      </c>
      <c r="W384">
        <v>17500</v>
      </c>
      <c r="X384" t="s">
        <v>44</v>
      </c>
      <c r="Y384" t="s">
        <v>55</v>
      </c>
      <c r="Z384" t="s">
        <v>49</v>
      </c>
      <c r="AA384" s="10">
        <f>IF(O384&lt;=1,7,7+0.8*ROUNDUP(O384-1,0))</f>
        <v>7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2"/>
        <v>0.42</v>
      </c>
      <c r="AG384" s="11">
        <f t="shared" si="13"/>
        <v>7.42</v>
      </c>
      <c r="AH384" t="s">
        <v>50</v>
      </c>
    </row>
    <row r="385" spans="1:34" ht="15" customHeight="1" x14ac:dyDescent="0.35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1305</v>
      </c>
      <c r="G385" t="s">
        <v>37</v>
      </c>
      <c r="H385" t="s">
        <v>38</v>
      </c>
      <c r="I385" t="s">
        <v>1306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2</v>
      </c>
      <c r="P385" s="8">
        <v>45210.720277777778</v>
      </c>
      <c r="Q385" s="9">
        <v>45211</v>
      </c>
      <c r="R385" t="s">
        <v>37</v>
      </c>
      <c r="S385" t="s">
        <v>44</v>
      </c>
      <c r="T385" t="s">
        <v>45</v>
      </c>
      <c r="U385" t="s">
        <v>87</v>
      </c>
      <c r="V385" t="s">
        <v>1307</v>
      </c>
      <c r="W385">
        <v>28050</v>
      </c>
      <c r="X385" t="s">
        <v>44</v>
      </c>
      <c r="Y385" t="s">
        <v>1308</v>
      </c>
      <c r="Z385" t="s">
        <v>49</v>
      </c>
      <c r="AA385" s="10">
        <f>IF(O385&lt;=1,7,7+0.8*ROUNDUP(O385-1,0))</f>
        <v>7.8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2"/>
        <v>0.46799999999999997</v>
      </c>
      <c r="AG385" s="11">
        <f t="shared" si="13"/>
        <v>8.2680000000000007</v>
      </c>
      <c r="AH385" t="s">
        <v>50</v>
      </c>
    </row>
    <row r="386" spans="1:34" ht="15" customHeight="1" x14ac:dyDescent="0.35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1309</v>
      </c>
      <c r="G386" t="s">
        <v>37</v>
      </c>
      <c r="H386" t="s">
        <v>38</v>
      </c>
      <c r="I386" t="s">
        <v>1310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1</v>
      </c>
      <c r="P386" s="8">
        <v>45210.767511574071</v>
      </c>
      <c r="Q386" s="9">
        <v>45211</v>
      </c>
      <c r="R386" t="s">
        <v>37</v>
      </c>
      <c r="S386" t="s">
        <v>44</v>
      </c>
      <c r="T386" t="s">
        <v>45</v>
      </c>
      <c r="U386" t="s">
        <v>53</v>
      </c>
      <c r="V386" t="s">
        <v>1311</v>
      </c>
      <c r="W386">
        <v>15350</v>
      </c>
      <c r="X386" t="s">
        <v>44</v>
      </c>
      <c r="Y386" t="s">
        <v>55</v>
      </c>
      <c r="Z386" t="s">
        <v>49</v>
      </c>
      <c r="AA386" s="10">
        <f>IF(O386&lt;=1,7,7+0.8*ROUNDUP(O386-1,0))</f>
        <v>7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si="12"/>
        <v>0.42</v>
      </c>
      <c r="AG386" s="11">
        <f t="shared" si="13"/>
        <v>7.42</v>
      </c>
      <c r="AH386" t="s">
        <v>50</v>
      </c>
    </row>
    <row r="387" spans="1:34" ht="15" customHeight="1" x14ac:dyDescent="0.35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1312</v>
      </c>
      <c r="G387" t="s">
        <v>37</v>
      </c>
      <c r="H387" t="s">
        <v>38</v>
      </c>
      <c r="I387" t="s">
        <v>1313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45209.601087962961</v>
      </c>
      <c r="Q387" s="9">
        <v>45211</v>
      </c>
      <c r="R387" t="s">
        <v>37</v>
      </c>
      <c r="S387" t="s">
        <v>44</v>
      </c>
      <c r="T387" t="s">
        <v>45</v>
      </c>
      <c r="U387" t="s">
        <v>157</v>
      </c>
      <c r="V387" t="s">
        <v>1314</v>
      </c>
      <c r="W387">
        <v>30020</v>
      </c>
      <c r="X387" t="s">
        <v>44</v>
      </c>
      <c r="Y387" t="s">
        <v>666</v>
      </c>
      <c r="Z387" t="s">
        <v>49</v>
      </c>
      <c r="AA387" s="10">
        <f>IF(O387&lt;=1,7,7+0.8*ROUNDUP(O387-1,0))</f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2"/>
        <v>0.42</v>
      </c>
      <c r="AG387" s="11">
        <f t="shared" si="13"/>
        <v>7.42</v>
      </c>
      <c r="AH387" t="s">
        <v>50</v>
      </c>
    </row>
    <row r="388" spans="1:34" ht="15" customHeight="1" x14ac:dyDescent="0.35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1315</v>
      </c>
      <c r="G388" t="s">
        <v>37</v>
      </c>
      <c r="H388" t="s">
        <v>38</v>
      </c>
      <c r="I388" t="s">
        <v>1316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1</v>
      </c>
      <c r="P388" s="8">
        <v>45210.760960648149</v>
      </c>
      <c r="Q388" s="9">
        <v>45211</v>
      </c>
      <c r="R388" t="s">
        <v>37</v>
      </c>
      <c r="S388" t="s">
        <v>44</v>
      </c>
      <c r="T388" t="s">
        <v>45</v>
      </c>
      <c r="U388" t="s">
        <v>53</v>
      </c>
      <c r="V388" t="s">
        <v>1317</v>
      </c>
      <c r="W388">
        <v>16400</v>
      </c>
      <c r="X388" t="s">
        <v>44</v>
      </c>
      <c r="Y388" t="s">
        <v>55</v>
      </c>
      <c r="Z388" t="s">
        <v>49</v>
      </c>
      <c r="AA388" s="10">
        <f>IF(O388&lt;=1,7,7+0.8*ROUNDUP(O388-1,0))</f>
        <v>7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2"/>
        <v>0.42</v>
      </c>
      <c r="AG388" s="11">
        <f t="shared" si="13"/>
        <v>7.42</v>
      </c>
      <c r="AH388" t="s">
        <v>50</v>
      </c>
    </row>
    <row r="389" spans="1:34" ht="15" customHeight="1" x14ac:dyDescent="0.35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1318</v>
      </c>
      <c r="G389" t="s">
        <v>37</v>
      </c>
      <c r="H389" t="s">
        <v>38</v>
      </c>
      <c r="I389" t="s">
        <v>1319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1</v>
      </c>
      <c r="P389" s="8">
        <v>45209.542546296296</v>
      </c>
      <c r="Q389" s="9">
        <v>45211</v>
      </c>
      <c r="R389" t="s">
        <v>37</v>
      </c>
      <c r="S389" t="s">
        <v>44</v>
      </c>
      <c r="T389" t="s">
        <v>45</v>
      </c>
      <c r="U389" t="s">
        <v>182</v>
      </c>
      <c r="V389" t="s">
        <v>1320</v>
      </c>
      <c r="W389">
        <v>11800</v>
      </c>
      <c r="X389" t="s">
        <v>44</v>
      </c>
      <c r="Y389" t="s">
        <v>230</v>
      </c>
      <c r="Z389" t="s">
        <v>49</v>
      </c>
      <c r="AA389" s="10">
        <f>IF(O389&lt;=1,7,7+0.8*ROUNDUP(O389-1,0))</f>
        <v>7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2"/>
        <v>0.42</v>
      </c>
      <c r="AG389" s="11">
        <f t="shared" si="13"/>
        <v>7.42</v>
      </c>
      <c r="AH389" t="s">
        <v>50</v>
      </c>
    </row>
    <row r="390" spans="1:34" ht="15" customHeight="1" x14ac:dyDescent="0.35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1321</v>
      </c>
      <c r="G390" t="s">
        <v>37</v>
      </c>
      <c r="H390" t="s">
        <v>38</v>
      </c>
      <c r="I390" t="s">
        <v>1322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45209.721805555557</v>
      </c>
      <c r="Q390" s="9">
        <v>45211</v>
      </c>
      <c r="R390" t="s">
        <v>37</v>
      </c>
      <c r="S390" t="s">
        <v>44</v>
      </c>
      <c r="T390" t="s">
        <v>45</v>
      </c>
      <c r="U390" t="s">
        <v>46</v>
      </c>
      <c r="V390" t="s">
        <v>1323</v>
      </c>
      <c r="W390">
        <v>6660</v>
      </c>
      <c r="X390" t="s">
        <v>44</v>
      </c>
      <c r="Y390" t="s">
        <v>226</v>
      </c>
      <c r="Z390" t="s">
        <v>49</v>
      </c>
      <c r="AA390" s="10">
        <f>IF(O390&lt;=1,7,7+0.8*ROUNDUP(O390-1,0))</f>
        <v>7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2"/>
        <v>0.42</v>
      </c>
      <c r="AG390" s="11">
        <f t="shared" si="13"/>
        <v>7.42</v>
      </c>
      <c r="AH390" t="s">
        <v>50</v>
      </c>
    </row>
    <row r="391" spans="1:34" ht="15" customHeight="1" x14ac:dyDescent="0.35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1324</v>
      </c>
      <c r="G391" t="s">
        <v>37</v>
      </c>
      <c r="H391" t="s">
        <v>38</v>
      </c>
      <c r="I391" t="s">
        <v>1325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1</v>
      </c>
      <c r="P391" s="8">
        <v>45210.760960648149</v>
      </c>
      <c r="Q391" s="9">
        <v>45211</v>
      </c>
      <c r="R391" t="s">
        <v>37</v>
      </c>
      <c r="S391" t="s">
        <v>44</v>
      </c>
      <c r="T391" t="s">
        <v>45</v>
      </c>
      <c r="U391" t="s">
        <v>53</v>
      </c>
      <c r="V391" t="s">
        <v>1326</v>
      </c>
      <c r="W391">
        <v>18500</v>
      </c>
      <c r="X391" t="s">
        <v>44</v>
      </c>
      <c r="Y391" t="s">
        <v>55</v>
      </c>
      <c r="Z391" t="s">
        <v>49</v>
      </c>
      <c r="AA391" s="10">
        <f>IF(O391&lt;=1,7,7+0.8*ROUNDUP(O391-1,0))</f>
        <v>7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2"/>
        <v>0.42</v>
      </c>
      <c r="AG391" s="11">
        <f t="shared" si="13"/>
        <v>7.42</v>
      </c>
      <c r="AH391" t="s">
        <v>50</v>
      </c>
    </row>
    <row r="392" spans="1:34" ht="15" customHeight="1" x14ac:dyDescent="0.35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1327</v>
      </c>
      <c r="G392" t="s">
        <v>37</v>
      </c>
      <c r="H392" t="s">
        <v>38</v>
      </c>
      <c r="I392" t="s">
        <v>1328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2</v>
      </c>
      <c r="P392" s="8">
        <v>45210.724895833337</v>
      </c>
      <c r="Q392" s="9">
        <v>45211</v>
      </c>
      <c r="R392" t="s">
        <v>37</v>
      </c>
      <c r="S392" t="s">
        <v>44</v>
      </c>
      <c r="T392" t="s">
        <v>45</v>
      </c>
      <c r="U392" t="s">
        <v>87</v>
      </c>
      <c r="V392" t="s">
        <v>1329</v>
      </c>
      <c r="W392">
        <v>26400</v>
      </c>
      <c r="X392" t="s">
        <v>44</v>
      </c>
      <c r="Y392" t="s">
        <v>45</v>
      </c>
      <c r="Z392" t="s">
        <v>49</v>
      </c>
      <c r="AA392" s="10">
        <f>IF(O392&lt;=1,7,7+0.8*ROUNDUP(O392-1,0))</f>
        <v>7.8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2"/>
        <v>0.46799999999999997</v>
      </c>
      <c r="AG392" s="11">
        <f t="shared" si="13"/>
        <v>8.2680000000000007</v>
      </c>
      <c r="AH392" t="s">
        <v>50</v>
      </c>
    </row>
    <row r="393" spans="1:34" ht="15" customHeight="1" x14ac:dyDescent="0.35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1330</v>
      </c>
      <c r="G393" t="s">
        <v>37</v>
      </c>
      <c r="H393" t="s">
        <v>38</v>
      </c>
      <c r="I393" t="s">
        <v>1331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2</v>
      </c>
      <c r="P393" s="8">
        <v>45210.724895833337</v>
      </c>
      <c r="Q393" s="9">
        <v>45211</v>
      </c>
      <c r="R393" t="s">
        <v>37</v>
      </c>
      <c r="S393" t="s">
        <v>44</v>
      </c>
      <c r="T393" t="s">
        <v>45</v>
      </c>
      <c r="U393" t="s">
        <v>66</v>
      </c>
      <c r="V393" t="s">
        <v>1332</v>
      </c>
      <c r="W393">
        <v>68000</v>
      </c>
      <c r="X393" t="s">
        <v>44</v>
      </c>
      <c r="Y393" t="s">
        <v>1333</v>
      </c>
      <c r="Z393" t="s">
        <v>49</v>
      </c>
      <c r="AA393" s="10">
        <f>IF(O393&lt;=1,7,7+0.8*ROUNDUP(O393-1,0))</f>
        <v>7.8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2"/>
        <v>0.46799999999999997</v>
      </c>
      <c r="AG393" s="11">
        <f t="shared" si="13"/>
        <v>8.2680000000000007</v>
      </c>
      <c r="AH393" t="s">
        <v>50</v>
      </c>
    </row>
    <row r="394" spans="1:34" ht="15" customHeight="1" x14ac:dyDescent="0.35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1334</v>
      </c>
      <c r="G394" t="s">
        <v>37</v>
      </c>
      <c r="H394" t="s">
        <v>38</v>
      </c>
      <c r="I394" t="s">
        <v>1335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1</v>
      </c>
      <c r="P394" s="8">
        <v>45209.699467592596</v>
      </c>
      <c r="Q394" s="9">
        <v>45211</v>
      </c>
      <c r="R394" t="s">
        <v>37</v>
      </c>
      <c r="S394" t="s">
        <v>44</v>
      </c>
      <c r="T394" t="s">
        <v>45</v>
      </c>
      <c r="U394" t="s">
        <v>263</v>
      </c>
      <c r="V394" t="s">
        <v>1336</v>
      </c>
      <c r="W394">
        <v>2600</v>
      </c>
      <c r="X394" t="s">
        <v>44</v>
      </c>
      <c r="Y394" t="s">
        <v>954</v>
      </c>
      <c r="Z394" t="s">
        <v>49</v>
      </c>
      <c r="AA394" s="10">
        <f>IF(O394&lt;=1,7,7+0.8*ROUNDUP(O394-1,0))</f>
        <v>7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2"/>
        <v>0.42</v>
      </c>
      <c r="AG394" s="11">
        <f t="shared" si="13"/>
        <v>7.42</v>
      </c>
      <c r="AH394" t="s">
        <v>50</v>
      </c>
    </row>
    <row r="395" spans="1:34" ht="15" customHeight="1" x14ac:dyDescent="0.35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1337</v>
      </c>
      <c r="G395" t="s">
        <v>37</v>
      </c>
      <c r="H395" t="s">
        <v>38</v>
      </c>
      <c r="I395" t="s">
        <v>1338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1</v>
      </c>
      <c r="P395" s="8">
        <v>45210.760960648149</v>
      </c>
      <c r="Q395" s="9">
        <v>45211</v>
      </c>
      <c r="R395" t="s">
        <v>37</v>
      </c>
      <c r="S395" t="s">
        <v>44</v>
      </c>
      <c r="T395" t="s">
        <v>45</v>
      </c>
      <c r="U395" t="s">
        <v>53</v>
      </c>
      <c r="V395" t="s">
        <v>1339</v>
      </c>
      <c r="W395">
        <v>16210</v>
      </c>
      <c r="X395" t="s">
        <v>44</v>
      </c>
      <c r="Y395" t="s">
        <v>55</v>
      </c>
      <c r="Z395" t="s">
        <v>49</v>
      </c>
      <c r="AA395" s="10">
        <f>IF(O395&lt;=1,7,7+0.8*ROUNDUP(O395-1,0))</f>
        <v>7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2"/>
        <v>0.42</v>
      </c>
      <c r="AG395" s="11">
        <f t="shared" si="13"/>
        <v>7.42</v>
      </c>
      <c r="AH395" t="s">
        <v>50</v>
      </c>
    </row>
    <row r="396" spans="1:34" ht="15" customHeight="1" x14ac:dyDescent="0.35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1340</v>
      </c>
      <c r="G396" t="s">
        <v>37</v>
      </c>
      <c r="H396" t="s">
        <v>38</v>
      </c>
      <c r="I396" t="s">
        <v>1341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1</v>
      </c>
      <c r="P396" s="8">
        <v>45210.767511574071</v>
      </c>
      <c r="Q396" s="9">
        <v>45211</v>
      </c>
      <c r="R396" t="s">
        <v>37</v>
      </c>
      <c r="S396" t="s">
        <v>44</v>
      </c>
      <c r="T396" t="s">
        <v>45</v>
      </c>
      <c r="U396" t="s">
        <v>66</v>
      </c>
      <c r="V396" t="s">
        <v>1342</v>
      </c>
      <c r="W396">
        <v>68100</v>
      </c>
      <c r="X396" t="s">
        <v>44</v>
      </c>
      <c r="Y396" t="s">
        <v>1343</v>
      </c>
      <c r="Z396" t="s">
        <v>49</v>
      </c>
      <c r="AA396" s="10">
        <f>IF(O396&lt;=1,7,7+0.8*ROUNDUP(O396-1,0))</f>
        <v>7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2"/>
        <v>0.42</v>
      </c>
      <c r="AG396" s="11">
        <f t="shared" si="13"/>
        <v>7.42</v>
      </c>
      <c r="AH396" t="s">
        <v>50</v>
      </c>
    </row>
    <row r="397" spans="1:34" ht="15" customHeight="1" x14ac:dyDescent="0.35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1344</v>
      </c>
      <c r="G397" t="s">
        <v>37</v>
      </c>
      <c r="H397" t="s">
        <v>38</v>
      </c>
      <c r="I397" t="s">
        <v>1345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9</v>
      </c>
      <c r="P397" s="8">
        <v>45210.557303240741</v>
      </c>
      <c r="Q397" s="9">
        <v>45211</v>
      </c>
      <c r="R397" t="s">
        <v>37</v>
      </c>
      <c r="S397" t="s">
        <v>44</v>
      </c>
      <c r="T397" t="s">
        <v>45</v>
      </c>
      <c r="U397" t="s">
        <v>53</v>
      </c>
      <c r="V397" t="s">
        <v>1346</v>
      </c>
      <c r="W397">
        <v>18000</v>
      </c>
      <c r="X397" t="s">
        <v>44</v>
      </c>
      <c r="Y397" t="s">
        <v>746</v>
      </c>
      <c r="Z397" t="s">
        <v>49</v>
      </c>
      <c r="AA397" s="10">
        <f>IF(O397&lt;=1,7,7+0.8*ROUNDUP(O397-1,0))</f>
        <v>13.4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2"/>
        <v>0.80399999999999994</v>
      </c>
      <c r="AG397" s="11">
        <f t="shared" si="13"/>
        <v>14.204000000000001</v>
      </c>
      <c r="AH397" t="s">
        <v>50</v>
      </c>
    </row>
    <row r="398" spans="1:34" ht="15" customHeight="1" x14ac:dyDescent="0.35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1347</v>
      </c>
      <c r="G398" t="s">
        <v>37</v>
      </c>
      <c r="H398" t="s">
        <v>38</v>
      </c>
      <c r="I398" t="s">
        <v>1348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1</v>
      </c>
      <c r="P398" s="8">
        <v>45209.679247685184</v>
      </c>
      <c r="Q398" s="9">
        <v>45211</v>
      </c>
      <c r="R398" t="s">
        <v>37</v>
      </c>
      <c r="S398" t="s">
        <v>44</v>
      </c>
      <c r="T398" t="s">
        <v>45</v>
      </c>
      <c r="U398" t="s">
        <v>92</v>
      </c>
      <c r="V398" t="s">
        <v>1349</v>
      </c>
      <c r="W398">
        <v>81100</v>
      </c>
      <c r="X398" t="s">
        <v>44</v>
      </c>
      <c r="Y398" t="s">
        <v>134</v>
      </c>
      <c r="Z398" t="s">
        <v>49</v>
      </c>
      <c r="AA398" s="10">
        <f>IF(O398&lt;=1,7,7+0.8*ROUNDUP(O398-1,0))</f>
        <v>7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2"/>
        <v>0.42</v>
      </c>
      <c r="AG398" s="11">
        <f t="shared" si="13"/>
        <v>7.42</v>
      </c>
      <c r="AH398" t="s">
        <v>50</v>
      </c>
    </row>
    <row r="399" spans="1:34" ht="15" customHeight="1" x14ac:dyDescent="0.35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1350</v>
      </c>
      <c r="G399" t="s">
        <v>37</v>
      </c>
      <c r="H399" t="s">
        <v>38</v>
      </c>
      <c r="I399" t="s">
        <v>1351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2</v>
      </c>
      <c r="P399" s="8">
        <v>45211.719861111109</v>
      </c>
      <c r="Q399" s="9">
        <v>45212</v>
      </c>
      <c r="R399" t="s">
        <v>37</v>
      </c>
      <c r="S399" t="s">
        <v>44</v>
      </c>
      <c r="T399" t="s">
        <v>45</v>
      </c>
      <c r="U399" t="s">
        <v>71</v>
      </c>
      <c r="V399" t="s">
        <v>1352</v>
      </c>
      <c r="W399">
        <v>20100</v>
      </c>
      <c r="X399" t="s">
        <v>44</v>
      </c>
      <c r="Y399" t="s">
        <v>1353</v>
      </c>
      <c r="Z399" t="s">
        <v>49</v>
      </c>
      <c r="AA399" s="10">
        <f>IF(O399&lt;=1,7,7+0.8*ROUNDUP(O399-1,0))</f>
        <v>7.8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2"/>
        <v>0.46799999999999997</v>
      </c>
      <c r="AG399" s="11">
        <f t="shared" si="13"/>
        <v>8.2680000000000007</v>
      </c>
      <c r="AH399" t="s">
        <v>50</v>
      </c>
    </row>
    <row r="400" spans="1:34" ht="15" customHeight="1" x14ac:dyDescent="0.35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1354</v>
      </c>
      <c r="G400" t="s">
        <v>37</v>
      </c>
      <c r="H400" t="s">
        <v>38</v>
      </c>
      <c r="I400" t="s">
        <v>1355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8</v>
      </c>
      <c r="P400" s="8">
        <v>45211.416064814817</v>
      </c>
      <c r="Q400" s="9">
        <v>45212</v>
      </c>
      <c r="R400" t="s">
        <v>37</v>
      </c>
      <c r="S400" t="s">
        <v>44</v>
      </c>
      <c r="T400" t="s">
        <v>45</v>
      </c>
      <c r="U400" t="s">
        <v>87</v>
      </c>
      <c r="V400" t="s">
        <v>1356</v>
      </c>
      <c r="W400">
        <v>28100</v>
      </c>
      <c r="X400" t="s">
        <v>44</v>
      </c>
      <c r="Y400" t="s">
        <v>1357</v>
      </c>
      <c r="Z400" t="s">
        <v>49</v>
      </c>
      <c r="AA400" s="10">
        <f>IF(O400&lt;=1,7,7+0.8*ROUNDUP(O400-1,0))</f>
        <v>12.600000000000001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2"/>
        <v>0.75600000000000001</v>
      </c>
      <c r="AG400" s="11">
        <f t="shared" si="13"/>
        <v>13.356000000000002</v>
      </c>
      <c r="AH400" t="s">
        <v>50</v>
      </c>
    </row>
    <row r="401" spans="1:34" ht="15" customHeight="1" x14ac:dyDescent="0.35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1358</v>
      </c>
      <c r="G401" t="s">
        <v>37</v>
      </c>
      <c r="H401" t="s">
        <v>38</v>
      </c>
      <c r="I401" t="s">
        <v>1359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1</v>
      </c>
      <c r="P401" s="8">
        <v>45210.706099537034</v>
      </c>
      <c r="Q401" s="9">
        <v>45212</v>
      </c>
      <c r="R401" t="s">
        <v>37</v>
      </c>
      <c r="S401" t="s">
        <v>44</v>
      </c>
      <c r="T401" t="s">
        <v>45</v>
      </c>
      <c r="U401" t="s">
        <v>187</v>
      </c>
      <c r="V401" t="s">
        <v>1360</v>
      </c>
      <c r="W401">
        <v>47800</v>
      </c>
      <c r="X401" t="s">
        <v>44</v>
      </c>
      <c r="Y401" t="s">
        <v>115</v>
      </c>
      <c r="Z401" t="s">
        <v>49</v>
      </c>
      <c r="AA401" s="10">
        <f>IF(O401&lt;=1,7,7+0.8*ROUNDUP(O401-1,0))</f>
        <v>7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2"/>
        <v>0.42</v>
      </c>
      <c r="AG401" s="11">
        <f t="shared" si="13"/>
        <v>7.42</v>
      </c>
      <c r="AH401" t="s">
        <v>50</v>
      </c>
    </row>
    <row r="402" spans="1:34" ht="15" customHeight="1" x14ac:dyDescent="0.35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1361</v>
      </c>
      <c r="G402" t="s">
        <v>37</v>
      </c>
      <c r="H402" t="s">
        <v>38</v>
      </c>
      <c r="I402" t="s">
        <v>1362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3</v>
      </c>
      <c r="P402" s="8">
        <v>45210.724895833337</v>
      </c>
      <c r="Q402" s="9">
        <v>45212</v>
      </c>
      <c r="R402" t="s">
        <v>37</v>
      </c>
      <c r="S402" t="s">
        <v>44</v>
      </c>
      <c r="T402" t="s">
        <v>45</v>
      </c>
      <c r="U402" t="s">
        <v>182</v>
      </c>
      <c r="V402" t="s">
        <v>1363</v>
      </c>
      <c r="W402">
        <v>13700</v>
      </c>
      <c r="X402" t="s">
        <v>44</v>
      </c>
      <c r="Y402" t="s">
        <v>115</v>
      </c>
      <c r="Z402" t="s">
        <v>49</v>
      </c>
      <c r="AA402" s="10">
        <f>IF(O402&lt;=1,7,7+0.8*ROUNDUP(O402-1,0))</f>
        <v>8.6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2"/>
        <v>0.51600000000000001</v>
      </c>
      <c r="AG402" s="11">
        <f t="shared" si="13"/>
        <v>9.1159999999999997</v>
      </c>
      <c r="AH402" t="s">
        <v>50</v>
      </c>
    </row>
    <row r="403" spans="1:34" ht="15" customHeight="1" x14ac:dyDescent="0.35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1364</v>
      </c>
      <c r="G403" t="s">
        <v>37</v>
      </c>
      <c r="H403" t="s">
        <v>38</v>
      </c>
      <c r="I403" t="s">
        <v>1365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2</v>
      </c>
      <c r="P403" s="8">
        <v>45210.747534722221</v>
      </c>
      <c r="Q403" s="9">
        <v>45212</v>
      </c>
      <c r="R403" t="s">
        <v>37</v>
      </c>
      <c r="S403" t="s">
        <v>44</v>
      </c>
      <c r="T403" t="s">
        <v>45</v>
      </c>
      <c r="U403" t="s">
        <v>92</v>
      </c>
      <c r="V403" t="s">
        <v>1366</v>
      </c>
      <c r="W403">
        <v>86000</v>
      </c>
      <c r="X403" t="s">
        <v>44</v>
      </c>
      <c r="Y403" t="s">
        <v>859</v>
      </c>
      <c r="Z403" t="s">
        <v>49</v>
      </c>
      <c r="AA403" s="10">
        <f>IF(O403&lt;=1,7,7+0.8*ROUNDUP(O403-1,0))</f>
        <v>7.8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2"/>
        <v>0.46799999999999997</v>
      </c>
      <c r="AG403" s="11">
        <f t="shared" si="13"/>
        <v>8.2680000000000007</v>
      </c>
      <c r="AH403" t="s">
        <v>50</v>
      </c>
    </row>
    <row r="404" spans="1:34" ht="15" customHeight="1" x14ac:dyDescent="0.35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1367</v>
      </c>
      <c r="G404" t="s">
        <v>37</v>
      </c>
      <c r="H404" t="s">
        <v>38</v>
      </c>
      <c r="I404" t="s">
        <v>1368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1</v>
      </c>
      <c r="P404" s="8">
        <v>45211.635520833333</v>
      </c>
      <c r="Q404" s="9">
        <v>45212</v>
      </c>
      <c r="R404" t="s">
        <v>37</v>
      </c>
      <c r="S404" t="s">
        <v>44</v>
      </c>
      <c r="T404" t="s">
        <v>45</v>
      </c>
      <c r="U404" t="s">
        <v>145</v>
      </c>
      <c r="V404" t="s">
        <v>1369</v>
      </c>
      <c r="W404">
        <v>76300</v>
      </c>
      <c r="X404" t="s">
        <v>44</v>
      </c>
      <c r="Y404" t="s">
        <v>275</v>
      </c>
      <c r="Z404" t="s">
        <v>49</v>
      </c>
      <c r="AA404" s="10">
        <f>IF(O404&lt;=1,7,7+0.8*ROUNDUP(O404-1,0))</f>
        <v>7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2"/>
        <v>0.42</v>
      </c>
      <c r="AG404" s="11">
        <f t="shared" si="13"/>
        <v>7.42</v>
      </c>
      <c r="AH404" t="s">
        <v>50</v>
      </c>
    </row>
    <row r="405" spans="1:34" ht="15" customHeight="1" x14ac:dyDescent="0.35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1370</v>
      </c>
      <c r="G405" t="s">
        <v>37</v>
      </c>
      <c r="H405" t="s">
        <v>38</v>
      </c>
      <c r="I405" t="s">
        <v>1371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5.0999999999999996</v>
      </c>
      <c r="P405" s="8">
        <v>45211.719861111109</v>
      </c>
      <c r="Q405" s="9">
        <v>45212</v>
      </c>
      <c r="R405" t="s">
        <v>37</v>
      </c>
      <c r="S405" t="s">
        <v>44</v>
      </c>
      <c r="T405" t="s">
        <v>45</v>
      </c>
      <c r="U405" t="s">
        <v>87</v>
      </c>
      <c r="V405" t="s">
        <v>1372</v>
      </c>
      <c r="W405">
        <v>27200</v>
      </c>
      <c r="X405" t="s">
        <v>44</v>
      </c>
      <c r="Y405" t="s">
        <v>728</v>
      </c>
      <c r="Z405" t="s">
        <v>49</v>
      </c>
      <c r="AA405" s="10">
        <f>IF(O405&lt;=1,7,7+0.8*ROUNDUP(O405-1,0))</f>
        <v>11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2"/>
        <v>0.65999999999999992</v>
      </c>
      <c r="AG405" s="11">
        <f t="shared" si="13"/>
        <v>11.66</v>
      </c>
      <c r="AH405" t="s">
        <v>50</v>
      </c>
    </row>
    <row r="406" spans="1:34" ht="15" customHeight="1" x14ac:dyDescent="0.35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1373</v>
      </c>
      <c r="G406" t="s">
        <v>37</v>
      </c>
      <c r="H406" t="s">
        <v>38</v>
      </c>
      <c r="I406" t="s">
        <v>1374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1</v>
      </c>
      <c r="P406" s="8">
        <v>45210.724895833337</v>
      </c>
      <c r="Q406" s="9">
        <v>45212</v>
      </c>
      <c r="R406" t="s">
        <v>37</v>
      </c>
      <c r="S406" t="s">
        <v>44</v>
      </c>
      <c r="T406" t="s">
        <v>45</v>
      </c>
      <c r="U406" t="s">
        <v>182</v>
      </c>
      <c r="V406" t="s">
        <v>1375</v>
      </c>
      <c r="W406">
        <v>13500</v>
      </c>
      <c r="X406" t="s">
        <v>44</v>
      </c>
      <c r="Y406" t="s">
        <v>468</v>
      </c>
      <c r="Z406" t="s">
        <v>49</v>
      </c>
      <c r="AA406" s="10">
        <f>IF(O406&lt;=1,7,7+0.8*ROUNDUP(O406-1,0))</f>
        <v>7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2"/>
        <v>0.42</v>
      </c>
      <c r="AG406" s="11">
        <f t="shared" si="13"/>
        <v>7.42</v>
      </c>
      <c r="AH406" t="s">
        <v>50</v>
      </c>
    </row>
    <row r="407" spans="1:34" ht="15" customHeight="1" x14ac:dyDescent="0.35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1376</v>
      </c>
      <c r="G407" t="s">
        <v>37</v>
      </c>
      <c r="H407" t="s">
        <v>38</v>
      </c>
      <c r="I407" t="s">
        <v>1377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45210.748761574076</v>
      </c>
      <c r="Q407" s="9">
        <v>45212</v>
      </c>
      <c r="R407" t="s">
        <v>37</v>
      </c>
      <c r="S407" t="s">
        <v>44</v>
      </c>
      <c r="T407" t="s">
        <v>45</v>
      </c>
      <c r="U407" t="s">
        <v>182</v>
      </c>
      <c r="V407" t="s">
        <v>1378</v>
      </c>
      <c r="W407">
        <v>11920</v>
      </c>
      <c r="X407" t="s">
        <v>44</v>
      </c>
      <c r="Y407" t="s">
        <v>1379</v>
      </c>
      <c r="Z407" t="s">
        <v>49</v>
      </c>
      <c r="AA407" s="10">
        <f>IF(O407&lt;=1,7,7+0.8*ROUNDUP(O407-1,0))</f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2"/>
        <v>0.42</v>
      </c>
      <c r="AG407" s="11">
        <f t="shared" si="13"/>
        <v>7.42</v>
      </c>
      <c r="AH407" t="s">
        <v>50</v>
      </c>
    </row>
    <row r="408" spans="1:34" ht="15" customHeight="1" x14ac:dyDescent="0.35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1380</v>
      </c>
      <c r="G408" t="s">
        <v>37</v>
      </c>
      <c r="H408" t="s">
        <v>38</v>
      </c>
      <c r="I408" t="s">
        <v>1381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1</v>
      </c>
      <c r="P408" s="8">
        <v>45211.739085648151</v>
      </c>
      <c r="Q408" s="9">
        <v>45212</v>
      </c>
      <c r="R408" t="s">
        <v>37</v>
      </c>
      <c r="S408" t="s">
        <v>44</v>
      </c>
      <c r="T408" t="s">
        <v>45</v>
      </c>
      <c r="U408" t="s">
        <v>187</v>
      </c>
      <c r="V408" t="s">
        <v>1382</v>
      </c>
      <c r="W408">
        <v>56000</v>
      </c>
      <c r="X408" t="s">
        <v>44</v>
      </c>
      <c r="Y408" t="s">
        <v>1172</v>
      </c>
      <c r="Z408" t="s">
        <v>49</v>
      </c>
      <c r="AA408" s="10">
        <f>IF(O408&lt;=1,7,7+0.8*ROUNDUP(O408-1,0))</f>
        <v>7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2"/>
        <v>0.42</v>
      </c>
      <c r="AG408" s="11">
        <f t="shared" si="13"/>
        <v>7.42</v>
      </c>
      <c r="AH408" t="s">
        <v>50</v>
      </c>
    </row>
    <row r="409" spans="1:34" ht="15" customHeight="1" x14ac:dyDescent="0.35">
      <c r="A409">
        <v>7547676</v>
      </c>
      <c r="B409">
        <v>690929</v>
      </c>
      <c r="C409" t="s">
        <v>34</v>
      </c>
      <c r="D409" t="s">
        <v>35</v>
      </c>
      <c r="E409" s="6" t="s">
        <v>34</v>
      </c>
      <c r="F409" t="s">
        <v>1383</v>
      </c>
      <c r="G409" t="s">
        <v>37</v>
      </c>
      <c r="H409" t="s">
        <v>38</v>
      </c>
      <c r="I409" t="s">
        <v>1384</v>
      </c>
      <c r="J409" t="s">
        <v>40</v>
      </c>
      <c r="K409">
        <v>2</v>
      </c>
      <c r="L409" t="s">
        <v>41</v>
      </c>
      <c r="M409" t="s">
        <v>42</v>
      </c>
      <c r="N409" t="s">
        <v>43</v>
      </c>
      <c r="O409" s="7">
        <v>2</v>
      </c>
      <c r="P409" s="8">
        <v>45210.747534722221</v>
      </c>
      <c r="Q409" s="9">
        <v>45212</v>
      </c>
      <c r="R409" t="s">
        <v>37</v>
      </c>
      <c r="S409" t="s">
        <v>44</v>
      </c>
      <c r="T409" t="s">
        <v>45</v>
      </c>
      <c r="U409" t="s">
        <v>157</v>
      </c>
      <c r="V409" t="s">
        <v>1385</v>
      </c>
      <c r="W409">
        <v>30020</v>
      </c>
      <c r="X409" t="s">
        <v>44</v>
      </c>
      <c r="Y409" t="s">
        <v>666</v>
      </c>
      <c r="Z409" t="s">
        <v>49</v>
      </c>
      <c r="AA409" s="10">
        <f>IF(O409&lt;=1,7,7+0.8*ROUNDUP(O409-1,0))</f>
        <v>7.8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2"/>
        <v>0.46799999999999997</v>
      </c>
      <c r="AG409" s="11">
        <f t="shared" si="13"/>
        <v>8.2680000000000007</v>
      </c>
      <c r="AH409" t="s">
        <v>50</v>
      </c>
    </row>
    <row r="410" spans="1:34" ht="15" customHeight="1" x14ac:dyDescent="0.35">
      <c r="A410">
        <v>7547676</v>
      </c>
      <c r="B410">
        <v>690929</v>
      </c>
      <c r="C410" t="s">
        <v>34</v>
      </c>
      <c r="D410" t="s">
        <v>35</v>
      </c>
      <c r="E410" s="6" t="s">
        <v>34</v>
      </c>
      <c r="F410" t="s">
        <v>1386</v>
      </c>
      <c r="G410" t="s">
        <v>37</v>
      </c>
      <c r="H410" t="s">
        <v>38</v>
      </c>
      <c r="I410" t="s">
        <v>148</v>
      </c>
      <c r="J410" t="s">
        <v>40</v>
      </c>
      <c r="K410">
        <v>2</v>
      </c>
      <c r="L410" t="s">
        <v>41</v>
      </c>
      <c r="M410" t="s">
        <v>42</v>
      </c>
      <c r="N410" t="s">
        <v>43</v>
      </c>
      <c r="O410" s="7">
        <v>1</v>
      </c>
      <c r="P410" s="8">
        <v>45210.724895833337</v>
      </c>
      <c r="Q410" s="9">
        <v>45213</v>
      </c>
      <c r="R410" t="s">
        <v>37</v>
      </c>
      <c r="S410" t="s">
        <v>44</v>
      </c>
      <c r="T410" t="s">
        <v>45</v>
      </c>
      <c r="U410" t="s">
        <v>66</v>
      </c>
      <c r="V410" t="s">
        <v>149</v>
      </c>
      <c r="W410">
        <v>43300</v>
      </c>
      <c r="X410" t="s">
        <v>44</v>
      </c>
      <c r="Y410" t="s">
        <v>1343</v>
      </c>
      <c r="Z410" t="s">
        <v>49</v>
      </c>
      <c r="AA410" s="10">
        <f>IF(O410&lt;=1,7,7+0.8*ROUNDUP(O410-1,0))</f>
        <v>7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2"/>
        <v>0.42</v>
      </c>
      <c r="AG410" s="11">
        <f t="shared" si="13"/>
        <v>7.42</v>
      </c>
      <c r="AH410" t="s">
        <v>50</v>
      </c>
    </row>
    <row r="411" spans="1:34" ht="15" customHeight="1" x14ac:dyDescent="0.35">
      <c r="A411">
        <v>7547676</v>
      </c>
      <c r="B411">
        <v>690929</v>
      </c>
      <c r="C411" t="s">
        <v>34</v>
      </c>
      <c r="D411" t="s">
        <v>35</v>
      </c>
      <c r="E411" s="6" t="s">
        <v>34</v>
      </c>
      <c r="F411" t="s">
        <v>1387</v>
      </c>
      <c r="G411" t="s">
        <v>37</v>
      </c>
      <c r="H411" t="s">
        <v>38</v>
      </c>
      <c r="I411" t="s">
        <v>1388</v>
      </c>
      <c r="J411" t="s">
        <v>40</v>
      </c>
      <c r="K411">
        <v>2</v>
      </c>
      <c r="L411" t="s">
        <v>41</v>
      </c>
      <c r="M411" t="s">
        <v>42</v>
      </c>
      <c r="N411" t="s">
        <v>43</v>
      </c>
      <c r="O411" s="7">
        <v>1</v>
      </c>
      <c r="P411" s="8">
        <v>45210.747534722221</v>
      </c>
      <c r="Q411" s="9">
        <v>45213</v>
      </c>
      <c r="R411" t="s">
        <v>37</v>
      </c>
      <c r="S411" t="s">
        <v>44</v>
      </c>
      <c r="T411" t="s">
        <v>45</v>
      </c>
      <c r="U411" t="s">
        <v>46</v>
      </c>
      <c r="V411" t="s">
        <v>1389</v>
      </c>
      <c r="W411">
        <v>7000</v>
      </c>
      <c r="X411" t="s">
        <v>44</v>
      </c>
      <c r="Y411" t="s">
        <v>115</v>
      </c>
      <c r="Z411" t="s">
        <v>49</v>
      </c>
      <c r="AA411" s="10">
        <f>IF(O411&lt;=1,7,7+0.8*ROUNDUP(O411-1,0))</f>
        <v>7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2"/>
        <v>0.42</v>
      </c>
      <c r="AG411" s="11">
        <f t="shared" si="13"/>
        <v>7.42</v>
      </c>
      <c r="AH411" t="s">
        <v>50</v>
      </c>
    </row>
    <row r="412" spans="1:34" ht="15" customHeight="1" x14ac:dyDescent="0.35">
      <c r="A412">
        <v>7547676</v>
      </c>
      <c r="B412">
        <v>690929</v>
      </c>
      <c r="C412" t="s">
        <v>34</v>
      </c>
      <c r="D412" t="s">
        <v>35</v>
      </c>
      <c r="E412" s="6" t="s">
        <v>34</v>
      </c>
      <c r="F412" t="s">
        <v>1390</v>
      </c>
      <c r="G412" t="s">
        <v>37</v>
      </c>
      <c r="H412" t="s">
        <v>38</v>
      </c>
      <c r="I412" t="s">
        <v>1391</v>
      </c>
      <c r="J412" t="s">
        <v>40</v>
      </c>
      <c r="K412">
        <v>2</v>
      </c>
      <c r="L412" t="s">
        <v>41</v>
      </c>
      <c r="M412" t="s">
        <v>42</v>
      </c>
      <c r="N412" t="s">
        <v>43</v>
      </c>
      <c r="O412" s="7">
        <v>1</v>
      </c>
      <c r="P412" s="8">
        <v>45211.516458333332</v>
      </c>
      <c r="Q412" s="9">
        <v>45213</v>
      </c>
      <c r="R412" t="s">
        <v>37</v>
      </c>
      <c r="S412" t="s">
        <v>44</v>
      </c>
      <c r="T412" t="s">
        <v>45</v>
      </c>
      <c r="U412" t="s">
        <v>46</v>
      </c>
      <c r="V412" t="s">
        <v>1392</v>
      </c>
      <c r="W412">
        <v>5150</v>
      </c>
      <c r="X412" t="s">
        <v>44</v>
      </c>
      <c r="Y412" t="s">
        <v>360</v>
      </c>
      <c r="Z412" t="s">
        <v>49</v>
      </c>
      <c r="AA412" s="10">
        <f>IF(O412&lt;=1,7,7+0.8*ROUNDUP(O412-1,0))</f>
        <v>7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2"/>
        <v>0.42</v>
      </c>
      <c r="AG412" s="11">
        <f t="shared" si="13"/>
        <v>7.42</v>
      </c>
      <c r="AH412" t="s">
        <v>50</v>
      </c>
    </row>
    <row r="413" spans="1:34" ht="15" customHeight="1" x14ac:dyDescent="0.35">
      <c r="A413">
        <v>7547676</v>
      </c>
      <c r="B413">
        <v>690929</v>
      </c>
      <c r="C413" t="s">
        <v>34</v>
      </c>
      <c r="D413" t="s">
        <v>35</v>
      </c>
      <c r="E413" s="6" t="s">
        <v>34</v>
      </c>
      <c r="F413" t="s">
        <v>1393</v>
      </c>
      <c r="G413" t="s">
        <v>37</v>
      </c>
      <c r="H413" t="s">
        <v>38</v>
      </c>
      <c r="I413" t="s">
        <v>1394</v>
      </c>
      <c r="J413" t="s">
        <v>40</v>
      </c>
      <c r="K413">
        <v>2</v>
      </c>
      <c r="L413" t="s">
        <v>41</v>
      </c>
      <c r="M413" t="s">
        <v>42</v>
      </c>
      <c r="N413" t="s">
        <v>43</v>
      </c>
      <c r="O413" s="7">
        <v>5</v>
      </c>
      <c r="P413" s="8">
        <v>45211.710115740738</v>
      </c>
      <c r="Q413" s="9">
        <v>45213</v>
      </c>
      <c r="R413" t="s">
        <v>37</v>
      </c>
      <c r="S413" t="s">
        <v>44</v>
      </c>
      <c r="T413" t="s">
        <v>45</v>
      </c>
      <c r="U413" t="s">
        <v>61</v>
      </c>
      <c r="V413" t="s">
        <v>1395</v>
      </c>
      <c r="W413">
        <v>71800</v>
      </c>
      <c r="X413" t="s">
        <v>44</v>
      </c>
      <c r="Y413" t="s">
        <v>84</v>
      </c>
      <c r="Z413" t="s">
        <v>49</v>
      </c>
      <c r="AA413" s="10">
        <f>IF(O413&lt;=1,7,7+0.8*ROUNDUP(O413-1,0))</f>
        <v>10.199999999999999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2"/>
        <v>0.61199999999999999</v>
      </c>
      <c r="AG413" s="11">
        <f t="shared" si="13"/>
        <v>10.811999999999999</v>
      </c>
      <c r="AH413" t="s">
        <v>50</v>
      </c>
    </row>
    <row r="414" spans="1:34" ht="15" customHeight="1" x14ac:dyDescent="0.35">
      <c r="A414">
        <v>7547676</v>
      </c>
      <c r="B414">
        <v>690929</v>
      </c>
      <c r="C414" t="s">
        <v>34</v>
      </c>
      <c r="D414" t="s">
        <v>35</v>
      </c>
      <c r="E414" s="6" t="s">
        <v>34</v>
      </c>
      <c r="F414" t="s">
        <v>1396</v>
      </c>
      <c r="G414" t="s">
        <v>37</v>
      </c>
      <c r="H414" t="s">
        <v>38</v>
      </c>
      <c r="I414" t="s">
        <v>1397</v>
      </c>
      <c r="J414" t="s">
        <v>40</v>
      </c>
      <c r="K414">
        <v>2</v>
      </c>
      <c r="L414" t="s">
        <v>41</v>
      </c>
      <c r="M414" t="s">
        <v>42</v>
      </c>
      <c r="N414" t="s">
        <v>43</v>
      </c>
      <c r="O414" s="7">
        <v>1</v>
      </c>
      <c r="P414" s="8">
        <v>45213.630636574075</v>
      </c>
      <c r="Q414" s="9">
        <v>45214</v>
      </c>
      <c r="R414" t="s">
        <v>37</v>
      </c>
      <c r="S414" t="s">
        <v>44</v>
      </c>
      <c r="T414" t="s">
        <v>45</v>
      </c>
      <c r="U414" t="s">
        <v>66</v>
      </c>
      <c r="V414" t="s">
        <v>1398</v>
      </c>
      <c r="W414">
        <v>40170</v>
      </c>
      <c r="X414" t="s">
        <v>44</v>
      </c>
      <c r="Y414" t="s">
        <v>115</v>
      </c>
      <c r="Z414" t="s">
        <v>49</v>
      </c>
      <c r="AA414" s="10">
        <f>IF(O414&lt;=1,7,7+0.8*ROUNDUP(O414-1,0))</f>
        <v>7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2"/>
        <v>0.42</v>
      </c>
      <c r="AG414" s="11">
        <f t="shared" si="13"/>
        <v>7.42</v>
      </c>
      <c r="AH414" t="s">
        <v>50</v>
      </c>
    </row>
    <row r="415" spans="1:34" ht="15" customHeight="1" x14ac:dyDescent="0.35">
      <c r="A415">
        <v>7547676</v>
      </c>
      <c r="B415">
        <v>690929</v>
      </c>
      <c r="C415" t="s">
        <v>34</v>
      </c>
      <c r="D415" t="s">
        <v>35</v>
      </c>
      <c r="E415" s="6" t="s">
        <v>34</v>
      </c>
      <c r="F415" t="s">
        <v>1399</v>
      </c>
      <c r="G415" t="s">
        <v>37</v>
      </c>
      <c r="H415" t="s">
        <v>38</v>
      </c>
      <c r="I415" t="s">
        <v>1400</v>
      </c>
      <c r="J415" t="s">
        <v>40</v>
      </c>
      <c r="K415">
        <v>2</v>
      </c>
      <c r="L415" t="s">
        <v>41</v>
      </c>
      <c r="M415" t="s">
        <v>42</v>
      </c>
      <c r="N415" t="s">
        <v>43</v>
      </c>
      <c r="O415" s="7">
        <v>4</v>
      </c>
      <c r="P415" s="8">
        <v>45213.705625000002</v>
      </c>
      <c r="Q415" s="9">
        <v>45214</v>
      </c>
      <c r="R415" t="s">
        <v>37</v>
      </c>
      <c r="S415" t="s">
        <v>44</v>
      </c>
      <c r="T415" t="s">
        <v>45</v>
      </c>
      <c r="U415" t="s">
        <v>66</v>
      </c>
      <c r="V415" t="s">
        <v>1401</v>
      </c>
      <c r="W415">
        <v>47810</v>
      </c>
      <c r="X415" t="s">
        <v>44</v>
      </c>
      <c r="Y415" t="s">
        <v>1094</v>
      </c>
      <c r="Z415" t="s">
        <v>49</v>
      </c>
      <c r="AA415" s="10">
        <f>IF(O415&lt;=1,7,7+0.8*ROUNDUP(O415-1,0))</f>
        <v>9.4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2"/>
        <v>0.56399999999999995</v>
      </c>
      <c r="AG415" s="11">
        <f t="shared" si="13"/>
        <v>9.9640000000000004</v>
      </c>
      <c r="AH415" t="s">
        <v>50</v>
      </c>
    </row>
    <row r="416" spans="1:34" ht="15" customHeight="1" x14ac:dyDescent="0.35">
      <c r="A416">
        <v>7547676</v>
      </c>
      <c r="B416">
        <v>690929</v>
      </c>
      <c r="C416" t="s">
        <v>34</v>
      </c>
      <c r="D416" t="s">
        <v>35</v>
      </c>
      <c r="E416" s="6" t="s">
        <v>34</v>
      </c>
      <c r="F416" t="s">
        <v>1402</v>
      </c>
      <c r="G416" t="s">
        <v>37</v>
      </c>
      <c r="H416" t="s">
        <v>38</v>
      </c>
      <c r="I416" t="s">
        <v>1403</v>
      </c>
      <c r="J416" t="s">
        <v>40</v>
      </c>
      <c r="K416">
        <v>2</v>
      </c>
      <c r="L416" t="s">
        <v>41</v>
      </c>
      <c r="M416" t="s">
        <v>42</v>
      </c>
      <c r="N416" t="s">
        <v>43</v>
      </c>
      <c r="O416" s="7">
        <v>6</v>
      </c>
      <c r="P416" s="8">
        <v>45213.60292824074</v>
      </c>
      <c r="Q416" s="9">
        <v>45214</v>
      </c>
      <c r="R416" t="s">
        <v>37</v>
      </c>
      <c r="S416" t="s">
        <v>44</v>
      </c>
      <c r="T416" t="s">
        <v>45</v>
      </c>
      <c r="U416" t="s">
        <v>66</v>
      </c>
      <c r="V416" t="s">
        <v>1404</v>
      </c>
      <c r="W416">
        <v>41150</v>
      </c>
      <c r="X416" t="s">
        <v>44</v>
      </c>
      <c r="Y416" t="s">
        <v>290</v>
      </c>
      <c r="Z416" t="s">
        <v>49</v>
      </c>
      <c r="AA416" s="10">
        <f>IF(O416&lt;=1,7,7+0.8*ROUNDUP(O416-1,0))</f>
        <v>11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2"/>
        <v>0.65999999999999992</v>
      </c>
      <c r="AG416" s="11">
        <f t="shared" si="13"/>
        <v>11.66</v>
      </c>
      <c r="AH416" t="s">
        <v>50</v>
      </c>
    </row>
    <row r="417" spans="1:34" ht="15" customHeight="1" x14ac:dyDescent="0.35">
      <c r="A417">
        <v>7547676</v>
      </c>
      <c r="B417">
        <v>690929</v>
      </c>
      <c r="C417" t="s">
        <v>34</v>
      </c>
      <c r="D417" t="s">
        <v>35</v>
      </c>
      <c r="E417" s="6" t="s">
        <v>34</v>
      </c>
      <c r="F417" t="s">
        <v>1405</v>
      </c>
      <c r="G417" t="s">
        <v>37</v>
      </c>
      <c r="H417" t="s">
        <v>38</v>
      </c>
      <c r="I417" t="s">
        <v>1406</v>
      </c>
      <c r="J417" t="s">
        <v>40</v>
      </c>
      <c r="K417">
        <v>2</v>
      </c>
      <c r="L417" t="s">
        <v>41</v>
      </c>
      <c r="M417" t="s">
        <v>42</v>
      </c>
      <c r="N417" t="s">
        <v>43</v>
      </c>
      <c r="O417" s="7">
        <v>1</v>
      </c>
      <c r="P417" s="8">
        <v>45213.740925925929</v>
      </c>
      <c r="Q417" s="9">
        <v>45214</v>
      </c>
      <c r="R417" t="s">
        <v>37</v>
      </c>
      <c r="S417" t="s">
        <v>44</v>
      </c>
      <c r="T417" t="s">
        <v>45</v>
      </c>
      <c r="U417" t="s">
        <v>53</v>
      </c>
      <c r="V417" t="s">
        <v>1407</v>
      </c>
      <c r="W417">
        <v>16080</v>
      </c>
      <c r="X417" t="s">
        <v>44</v>
      </c>
      <c r="Y417" t="s">
        <v>55</v>
      </c>
      <c r="Z417" t="s">
        <v>49</v>
      </c>
      <c r="AA417" s="10">
        <f>IF(O417&lt;=1,7,7+0.8*ROUNDUP(O417-1,0))</f>
        <v>7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2"/>
        <v>0.42</v>
      </c>
      <c r="AG417" s="11">
        <f t="shared" si="13"/>
        <v>7.42</v>
      </c>
      <c r="AH417" t="s">
        <v>50</v>
      </c>
    </row>
    <row r="418" spans="1:34" ht="15" customHeight="1" x14ac:dyDescent="0.35">
      <c r="A418">
        <v>7547676</v>
      </c>
      <c r="B418">
        <v>690929</v>
      </c>
      <c r="C418" t="s">
        <v>34</v>
      </c>
      <c r="D418" t="s">
        <v>35</v>
      </c>
      <c r="E418" s="6" t="s">
        <v>34</v>
      </c>
      <c r="F418" t="s">
        <v>1408</v>
      </c>
      <c r="G418" t="s">
        <v>37</v>
      </c>
      <c r="H418" t="s">
        <v>38</v>
      </c>
      <c r="I418" t="s">
        <v>1409</v>
      </c>
      <c r="J418" t="s">
        <v>40</v>
      </c>
      <c r="K418">
        <v>2</v>
      </c>
      <c r="L418" t="s">
        <v>41</v>
      </c>
      <c r="M418" t="s">
        <v>42</v>
      </c>
      <c r="N418" t="s">
        <v>43</v>
      </c>
      <c r="O418" s="7">
        <v>1</v>
      </c>
      <c r="P418" s="8">
        <v>45213.740925925929</v>
      </c>
      <c r="Q418" s="9">
        <v>45214</v>
      </c>
      <c r="R418" t="s">
        <v>37</v>
      </c>
      <c r="S418" t="s">
        <v>44</v>
      </c>
      <c r="T418" t="s">
        <v>45</v>
      </c>
      <c r="U418" t="s">
        <v>53</v>
      </c>
      <c r="V418" t="s">
        <v>1410</v>
      </c>
      <c r="W418">
        <v>15576</v>
      </c>
      <c r="X418" t="s">
        <v>44</v>
      </c>
      <c r="Y418" t="s">
        <v>55</v>
      </c>
      <c r="Z418" t="s">
        <v>49</v>
      </c>
      <c r="AA418" s="10">
        <f>IF(O418&lt;=1,7,7+0.8*ROUNDUP(O418-1,0))</f>
        <v>7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2"/>
        <v>0.42</v>
      </c>
      <c r="AG418" s="11">
        <f t="shared" si="13"/>
        <v>7.42</v>
      </c>
      <c r="AH418" t="s">
        <v>50</v>
      </c>
    </row>
    <row r="419" spans="1:34" ht="15" customHeight="1" x14ac:dyDescent="0.35">
      <c r="A419">
        <v>7547676</v>
      </c>
      <c r="B419">
        <v>690929</v>
      </c>
      <c r="C419" t="s">
        <v>34</v>
      </c>
      <c r="D419" t="s">
        <v>35</v>
      </c>
      <c r="E419" s="6" t="s">
        <v>34</v>
      </c>
      <c r="F419" t="s">
        <v>1411</v>
      </c>
      <c r="G419" t="s">
        <v>37</v>
      </c>
      <c r="H419" t="s">
        <v>38</v>
      </c>
      <c r="I419" t="s">
        <v>1412</v>
      </c>
      <c r="J419" t="s">
        <v>40</v>
      </c>
      <c r="K419">
        <v>2</v>
      </c>
      <c r="L419" t="s">
        <v>41</v>
      </c>
      <c r="M419" t="s">
        <v>42</v>
      </c>
      <c r="N419" t="s">
        <v>43</v>
      </c>
      <c r="O419" s="7">
        <v>1</v>
      </c>
      <c r="P419" s="8">
        <v>45213.686111111114</v>
      </c>
      <c r="Q419" s="9">
        <v>45214</v>
      </c>
      <c r="R419" t="s">
        <v>37</v>
      </c>
      <c r="S419" t="s">
        <v>44</v>
      </c>
      <c r="T419" t="s">
        <v>45</v>
      </c>
      <c r="U419" t="s">
        <v>71</v>
      </c>
      <c r="V419" t="s">
        <v>1413</v>
      </c>
      <c r="W419">
        <v>22200</v>
      </c>
      <c r="X419" t="s">
        <v>44</v>
      </c>
      <c r="Y419" t="s">
        <v>249</v>
      </c>
      <c r="Z419" t="s">
        <v>49</v>
      </c>
      <c r="AA419" s="10">
        <f>IF(O419&lt;=1,7,7+0.8*ROUNDUP(O419-1,0))</f>
        <v>7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2"/>
        <v>0.42</v>
      </c>
      <c r="AG419" s="11">
        <f t="shared" si="13"/>
        <v>7.42</v>
      </c>
      <c r="AH419" t="s">
        <v>50</v>
      </c>
    </row>
    <row r="420" spans="1:34" ht="15" customHeight="1" x14ac:dyDescent="0.35">
      <c r="A420">
        <v>7547676</v>
      </c>
      <c r="B420">
        <v>690929</v>
      </c>
      <c r="C420" t="s">
        <v>34</v>
      </c>
      <c r="D420" t="s">
        <v>35</v>
      </c>
      <c r="E420" s="6" t="s">
        <v>34</v>
      </c>
      <c r="F420" t="s">
        <v>1414</v>
      </c>
      <c r="G420" t="s">
        <v>37</v>
      </c>
      <c r="H420" t="s">
        <v>38</v>
      </c>
      <c r="I420" t="s">
        <v>1415</v>
      </c>
      <c r="J420" t="s">
        <v>40</v>
      </c>
      <c r="K420">
        <v>2</v>
      </c>
      <c r="L420" t="s">
        <v>41</v>
      </c>
      <c r="M420" t="s">
        <v>42</v>
      </c>
      <c r="N420" t="s">
        <v>43</v>
      </c>
      <c r="O420" s="7">
        <v>1</v>
      </c>
      <c r="P420" s="8">
        <v>45213.575381944444</v>
      </c>
      <c r="Q420" s="9">
        <v>45214</v>
      </c>
      <c r="R420" t="s">
        <v>37</v>
      </c>
      <c r="S420" t="s">
        <v>44</v>
      </c>
      <c r="T420" t="s">
        <v>45</v>
      </c>
      <c r="U420" t="s">
        <v>71</v>
      </c>
      <c r="V420" t="s">
        <v>1416</v>
      </c>
      <c r="W420">
        <v>21020</v>
      </c>
      <c r="X420" t="s">
        <v>44</v>
      </c>
      <c r="Y420" t="s">
        <v>73</v>
      </c>
      <c r="Z420" t="s">
        <v>49</v>
      </c>
      <c r="AA420" s="10">
        <f>IF(O420&lt;=1,7,7+0.8*ROUNDUP(O420-1,0))</f>
        <v>7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ref="AF420:AF477" si="14">(AA420+AC420+AE420)*6%</f>
        <v>0.42</v>
      </c>
      <c r="AG420" s="11">
        <f t="shared" ref="AG420:AG477" si="15">AA420+AC420+AE420+AF420</f>
        <v>7.42</v>
      </c>
      <c r="AH420" t="s">
        <v>50</v>
      </c>
    </row>
    <row r="421" spans="1:34" ht="15" customHeight="1" x14ac:dyDescent="0.35">
      <c r="A421">
        <v>7547676</v>
      </c>
      <c r="B421">
        <v>690929</v>
      </c>
      <c r="C421" t="s">
        <v>34</v>
      </c>
      <c r="D421" t="s">
        <v>35</v>
      </c>
      <c r="E421" s="6" t="s">
        <v>34</v>
      </c>
      <c r="F421" t="s">
        <v>1417</v>
      </c>
      <c r="G421" t="s">
        <v>37</v>
      </c>
      <c r="H421" t="s">
        <v>38</v>
      </c>
      <c r="I421" t="s">
        <v>1418</v>
      </c>
      <c r="J421" t="s">
        <v>40</v>
      </c>
      <c r="K421">
        <v>2</v>
      </c>
      <c r="L421" t="s">
        <v>41</v>
      </c>
      <c r="M421" t="s">
        <v>42</v>
      </c>
      <c r="N421" t="s">
        <v>43</v>
      </c>
      <c r="O421" s="7">
        <v>1</v>
      </c>
      <c r="P421" s="8">
        <v>45214.640462962961</v>
      </c>
      <c r="Q421" s="9">
        <v>45215</v>
      </c>
      <c r="R421" t="s">
        <v>37</v>
      </c>
      <c r="S421" t="s">
        <v>44</v>
      </c>
      <c r="T421" t="s">
        <v>45</v>
      </c>
      <c r="U421" t="s">
        <v>66</v>
      </c>
      <c r="V421" t="s">
        <v>1419</v>
      </c>
      <c r="W421">
        <v>48050</v>
      </c>
      <c r="X421" t="s">
        <v>44</v>
      </c>
      <c r="Y421" t="s">
        <v>115</v>
      </c>
      <c r="Z421" t="s">
        <v>49</v>
      </c>
      <c r="AA421" s="10">
        <f>IF(O421&lt;=1,7,7+0.8*ROUNDUP(O421-1,0))</f>
        <v>7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4"/>
        <v>0.42</v>
      </c>
      <c r="AG421" s="11">
        <f t="shared" si="15"/>
        <v>7.42</v>
      </c>
      <c r="AH421" t="s">
        <v>50</v>
      </c>
    </row>
    <row r="422" spans="1:34" ht="15" customHeight="1" x14ac:dyDescent="0.35">
      <c r="A422">
        <v>7547676</v>
      </c>
      <c r="B422">
        <v>690929</v>
      </c>
      <c r="C422" t="s">
        <v>34</v>
      </c>
      <c r="D422" t="s">
        <v>35</v>
      </c>
      <c r="E422" s="6" t="s">
        <v>34</v>
      </c>
      <c r="F422" t="s">
        <v>1420</v>
      </c>
      <c r="G422" t="s">
        <v>37</v>
      </c>
      <c r="H422" t="s">
        <v>38</v>
      </c>
      <c r="I422" t="s">
        <v>1421</v>
      </c>
      <c r="J422" t="s">
        <v>40</v>
      </c>
      <c r="K422">
        <v>2</v>
      </c>
      <c r="L422" t="s">
        <v>41</v>
      </c>
      <c r="M422" t="s">
        <v>42</v>
      </c>
      <c r="N422" t="s">
        <v>43</v>
      </c>
      <c r="O422" s="7">
        <v>1</v>
      </c>
      <c r="P422" s="8">
        <v>45214.662708333337</v>
      </c>
      <c r="Q422" s="9">
        <v>45215</v>
      </c>
      <c r="R422" t="s">
        <v>37</v>
      </c>
      <c r="S422" t="s">
        <v>44</v>
      </c>
      <c r="T422" t="s">
        <v>45</v>
      </c>
      <c r="U422" t="s">
        <v>187</v>
      </c>
      <c r="V422" t="s">
        <v>1422</v>
      </c>
      <c r="W422">
        <v>53100</v>
      </c>
      <c r="X422" t="s">
        <v>44</v>
      </c>
      <c r="Y422" t="s">
        <v>115</v>
      </c>
      <c r="Z422" t="s">
        <v>49</v>
      </c>
      <c r="AA422" s="10">
        <f>IF(O422&lt;=1,7,7+0.8*ROUNDUP(O422-1,0))</f>
        <v>7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4"/>
        <v>0.42</v>
      </c>
      <c r="AG422" s="11">
        <f t="shared" si="15"/>
        <v>7.42</v>
      </c>
      <c r="AH422" t="s">
        <v>50</v>
      </c>
    </row>
    <row r="423" spans="1:34" ht="15" customHeight="1" x14ac:dyDescent="0.35">
      <c r="A423">
        <v>7547676</v>
      </c>
      <c r="B423">
        <v>690929</v>
      </c>
      <c r="C423" t="s">
        <v>34</v>
      </c>
      <c r="D423" t="s">
        <v>35</v>
      </c>
      <c r="E423" s="6" t="s">
        <v>34</v>
      </c>
      <c r="F423" t="s">
        <v>1423</v>
      </c>
      <c r="G423" t="s">
        <v>37</v>
      </c>
      <c r="H423" t="s">
        <v>38</v>
      </c>
      <c r="I423" t="s">
        <v>473</v>
      </c>
      <c r="J423" t="s">
        <v>40</v>
      </c>
      <c r="K423">
        <v>2</v>
      </c>
      <c r="L423" t="s">
        <v>41</v>
      </c>
      <c r="M423" t="s">
        <v>42</v>
      </c>
      <c r="N423" t="s">
        <v>43</v>
      </c>
      <c r="O423" s="7">
        <v>1</v>
      </c>
      <c r="P423" s="8">
        <v>45213.495381944442</v>
      </c>
      <c r="Q423" s="9">
        <v>45215</v>
      </c>
      <c r="R423" t="s">
        <v>37</v>
      </c>
      <c r="S423" t="s">
        <v>44</v>
      </c>
      <c r="T423" t="s">
        <v>45</v>
      </c>
      <c r="U423" t="s">
        <v>157</v>
      </c>
      <c r="V423" t="s">
        <v>474</v>
      </c>
      <c r="W423">
        <v>34700</v>
      </c>
      <c r="X423" t="s">
        <v>44</v>
      </c>
      <c r="Y423" t="s">
        <v>115</v>
      </c>
      <c r="Z423" t="s">
        <v>49</v>
      </c>
      <c r="AA423" s="10">
        <f>IF(O423&lt;=1,7,7+0.8*ROUNDUP(O423-1,0))</f>
        <v>7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4"/>
        <v>0.42</v>
      </c>
      <c r="AG423" s="11">
        <f t="shared" si="15"/>
        <v>7.42</v>
      </c>
      <c r="AH423" t="s">
        <v>50</v>
      </c>
    </row>
    <row r="424" spans="1:34" ht="15" customHeight="1" x14ac:dyDescent="0.35">
      <c r="A424">
        <v>7547676</v>
      </c>
      <c r="B424">
        <v>690929</v>
      </c>
      <c r="C424" t="s">
        <v>34</v>
      </c>
      <c r="D424" t="s">
        <v>35</v>
      </c>
      <c r="E424" s="6" t="s">
        <v>34</v>
      </c>
      <c r="F424" t="s">
        <v>1424</v>
      </c>
      <c r="H424" t="s">
        <v>38</v>
      </c>
      <c r="I424" t="s">
        <v>1425</v>
      </c>
      <c r="J424" t="s">
        <v>40</v>
      </c>
      <c r="K424">
        <v>2</v>
      </c>
      <c r="L424" t="s">
        <v>41</v>
      </c>
      <c r="M424" t="s">
        <v>42</v>
      </c>
      <c r="N424" t="s">
        <v>43</v>
      </c>
      <c r="O424" s="7">
        <v>1</v>
      </c>
      <c r="P424" s="8">
        <v>45223.752430555556</v>
      </c>
      <c r="Q424" s="9">
        <v>45226</v>
      </c>
      <c r="S424" t="s">
        <v>44</v>
      </c>
      <c r="T424" t="s">
        <v>45</v>
      </c>
      <c r="U424" t="s">
        <v>66</v>
      </c>
      <c r="V424" t="s">
        <v>1426</v>
      </c>
      <c r="W424">
        <v>68100</v>
      </c>
      <c r="X424" t="s">
        <v>44</v>
      </c>
      <c r="Y424" t="s">
        <v>222</v>
      </c>
      <c r="Z424" t="s">
        <v>49</v>
      </c>
      <c r="AA424" s="10">
        <f>IF(O424&lt;=1,7,7+0.8*ROUNDUP(O424-1,0))</f>
        <v>7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4"/>
        <v>0.42</v>
      </c>
      <c r="AG424" s="11">
        <f t="shared" si="15"/>
        <v>7.42</v>
      </c>
      <c r="AH424" t="s">
        <v>50</v>
      </c>
    </row>
    <row r="425" spans="1:34" ht="15" customHeight="1" x14ac:dyDescent="0.35">
      <c r="A425">
        <v>7547676</v>
      </c>
      <c r="B425">
        <v>690929</v>
      </c>
      <c r="C425" t="s">
        <v>34</v>
      </c>
      <c r="D425" t="s">
        <v>35</v>
      </c>
      <c r="E425" s="6" t="s">
        <v>34</v>
      </c>
      <c r="F425" t="s">
        <v>1427</v>
      </c>
      <c r="H425" t="s">
        <v>38</v>
      </c>
      <c r="I425" t="s">
        <v>1428</v>
      </c>
      <c r="J425" t="s">
        <v>40</v>
      </c>
      <c r="K425">
        <v>2</v>
      </c>
      <c r="L425" t="s">
        <v>41</v>
      </c>
      <c r="M425" t="s">
        <v>42</v>
      </c>
      <c r="N425" t="s">
        <v>43</v>
      </c>
      <c r="O425" s="7">
        <v>1</v>
      </c>
      <c r="P425" s="8">
        <v>45224.718101851853</v>
      </c>
      <c r="Q425" s="9">
        <v>45226</v>
      </c>
      <c r="S425" t="s">
        <v>44</v>
      </c>
      <c r="T425" t="s">
        <v>45</v>
      </c>
      <c r="U425" t="s">
        <v>66</v>
      </c>
      <c r="V425" t="s">
        <v>1429</v>
      </c>
      <c r="W425">
        <v>68000</v>
      </c>
      <c r="X425" t="s">
        <v>44</v>
      </c>
      <c r="Y425" t="s">
        <v>457</v>
      </c>
      <c r="Z425" t="s">
        <v>49</v>
      </c>
      <c r="AA425" s="10">
        <f>IF(O425&lt;=1,7,7+0.8*ROUNDUP(O425-1,0))</f>
        <v>7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4"/>
        <v>0.42</v>
      </c>
      <c r="AG425" s="11">
        <f t="shared" si="15"/>
        <v>7.42</v>
      </c>
      <c r="AH425" t="s">
        <v>50</v>
      </c>
    </row>
    <row r="426" spans="1:34" ht="15" customHeight="1" x14ac:dyDescent="0.35">
      <c r="A426">
        <v>7547676</v>
      </c>
      <c r="B426">
        <v>690929</v>
      </c>
      <c r="C426" t="s">
        <v>34</v>
      </c>
      <c r="D426" t="s">
        <v>35</v>
      </c>
      <c r="E426" s="6" t="s">
        <v>34</v>
      </c>
      <c r="F426" t="s">
        <v>1430</v>
      </c>
      <c r="H426" t="s">
        <v>38</v>
      </c>
      <c r="I426" t="s">
        <v>1431</v>
      </c>
      <c r="J426" t="s">
        <v>40</v>
      </c>
      <c r="K426">
        <v>2</v>
      </c>
      <c r="L426" t="s">
        <v>41</v>
      </c>
      <c r="M426" t="s">
        <v>42</v>
      </c>
      <c r="N426" t="s">
        <v>43</v>
      </c>
      <c r="O426" s="7">
        <v>1</v>
      </c>
      <c r="P426" s="8">
        <v>45224.620208333334</v>
      </c>
      <c r="Q426" s="9">
        <v>45226</v>
      </c>
      <c r="S426" t="s">
        <v>44</v>
      </c>
      <c r="T426" t="s">
        <v>45</v>
      </c>
      <c r="U426" t="s">
        <v>92</v>
      </c>
      <c r="V426" t="s">
        <v>1432</v>
      </c>
      <c r="W426">
        <v>81100</v>
      </c>
      <c r="X426" t="s">
        <v>44</v>
      </c>
      <c r="Y426" t="s">
        <v>192</v>
      </c>
      <c r="Z426" t="s">
        <v>49</v>
      </c>
      <c r="AA426" s="10">
        <f>IF(O426&lt;=1,7,7+0.8*ROUNDUP(O426-1,0))</f>
        <v>7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4"/>
        <v>0.42</v>
      </c>
      <c r="AG426" s="11">
        <f t="shared" si="15"/>
        <v>7.42</v>
      </c>
      <c r="AH426" t="s">
        <v>50</v>
      </c>
    </row>
    <row r="427" spans="1:34" ht="15" customHeight="1" x14ac:dyDescent="0.35">
      <c r="A427">
        <v>7547676</v>
      </c>
      <c r="B427">
        <v>690929</v>
      </c>
      <c r="C427" t="s">
        <v>34</v>
      </c>
      <c r="D427" t="s">
        <v>35</v>
      </c>
      <c r="E427" s="6" t="s">
        <v>34</v>
      </c>
      <c r="F427" t="s">
        <v>1433</v>
      </c>
      <c r="H427" t="s">
        <v>38</v>
      </c>
      <c r="I427" t="s">
        <v>473</v>
      </c>
      <c r="J427" t="s">
        <v>40</v>
      </c>
      <c r="K427">
        <v>2</v>
      </c>
      <c r="L427" t="s">
        <v>41</v>
      </c>
      <c r="M427" t="s">
        <v>42</v>
      </c>
      <c r="N427" t="s">
        <v>43</v>
      </c>
      <c r="O427" s="7">
        <v>1</v>
      </c>
      <c r="P427" s="8">
        <v>45224.48232638889</v>
      </c>
      <c r="Q427" s="9">
        <v>45226</v>
      </c>
      <c r="S427" t="s">
        <v>44</v>
      </c>
      <c r="T427" t="s">
        <v>45</v>
      </c>
      <c r="U427" t="s">
        <v>157</v>
      </c>
      <c r="V427" t="s">
        <v>1434</v>
      </c>
      <c r="W427">
        <v>34700</v>
      </c>
      <c r="X427" t="s">
        <v>44</v>
      </c>
      <c r="Y427" t="s">
        <v>115</v>
      </c>
      <c r="Z427" t="s">
        <v>49</v>
      </c>
      <c r="AA427" s="10">
        <f>IF(O427&lt;=1,7,7+0.8*ROUNDUP(O427-1,0))</f>
        <v>7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4"/>
        <v>0.42</v>
      </c>
      <c r="AG427" s="11">
        <f t="shared" si="15"/>
        <v>7.42</v>
      </c>
      <c r="AH427" t="s">
        <v>50</v>
      </c>
    </row>
    <row r="428" spans="1:34" ht="15" customHeight="1" x14ac:dyDescent="0.35">
      <c r="A428">
        <v>7547676</v>
      </c>
      <c r="B428">
        <v>690929</v>
      </c>
      <c r="C428" t="s">
        <v>34</v>
      </c>
      <c r="D428" t="s">
        <v>35</v>
      </c>
      <c r="E428" s="6" t="s">
        <v>34</v>
      </c>
      <c r="F428" t="s">
        <v>1435</v>
      </c>
      <c r="H428" t="s">
        <v>38</v>
      </c>
      <c r="I428" t="s">
        <v>1436</v>
      </c>
      <c r="J428" t="s">
        <v>40</v>
      </c>
      <c r="K428">
        <v>2</v>
      </c>
      <c r="L428" t="s">
        <v>41</v>
      </c>
      <c r="M428" t="s">
        <v>42</v>
      </c>
      <c r="N428" t="s">
        <v>43</v>
      </c>
      <c r="O428" s="7">
        <v>1</v>
      </c>
      <c r="P428" s="8">
        <v>45224.762511574074</v>
      </c>
      <c r="Q428" s="9">
        <v>45226</v>
      </c>
      <c r="S428" t="s">
        <v>44</v>
      </c>
      <c r="T428" t="s">
        <v>45</v>
      </c>
      <c r="U428" t="s">
        <v>66</v>
      </c>
      <c r="V428" t="s">
        <v>1437</v>
      </c>
      <c r="W428">
        <v>42000</v>
      </c>
      <c r="X428" t="s">
        <v>44</v>
      </c>
      <c r="Y428" t="s">
        <v>555</v>
      </c>
      <c r="Z428" t="s">
        <v>49</v>
      </c>
      <c r="AA428" s="10">
        <f>IF(O428&lt;=1,7,7+0.8*ROUNDUP(O428-1,0))</f>
        <v>7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4"/>
        <v>0.42</v>
      </c>
      <c r="AG428" s="11">
        <f t="shared" si="15"/>
        <v>7.42</v>
      </c>
      <c r="AH428" t="s">
        <v>50</v>
      </c>
    </row>
    <row r="429" spans="1:34" ht="15" customHeight="1" x14ac:dyDescent="0.35">
      <c r="A429">
        <v>7547676</v>
      </c>
      <c r="B429">
        <v>690929</v>
      </c>
      <c r="C429" t="s">
        <v>34</v>
      </c>
      <c r="D429" t="s">
        <v>35</v>
      </c>
      <c r="E429" s="6" t="s">
        <v>34</v>
      </c>
      <c r="F429" t="s">
        <v>1438</v>
      </c>
      <c r="H429" t="s">
        <v>38</v>
      </c>
      <c r="I429" t="s">
        <v>1439</v>
      </c>
      <c r="J429" t="s">
        <v>40</v>
      </c>
      <c r="K429">
        <v>2</v>
      </c>
      <c r="L429" t="s">
        <v>41</v>
      </c>
      <c r="M429" t="s">
        <v>42</v>
      </c>
      <c r="N429" t="s">
        <v>43</v>
      </c>
      <c r="O429" s="7">
        <v>1</v>
      </c>
      <c r="P429" s="8">
        <v>45225.506747685184</v>
      </c>
      <c r="Q429" s="9">
        <v>45226</v>
      </c>
      <c r="S429" t="s">
        <v>44</v>
      </c>
      <c r="T429" t="s">
        <v>45</v>
      </c>
      <c r="U429" t="s">
        <v>71</v>
      </c>
      <c r="V429" t="s">
        <v>1440</v>
      </c>
      <c r="W429">
        <v>20050</v>
      </c>
      <c r="X429" t="s">
        <v>44</v>
      </c>
      <c r="Y429" t="s">
        <v>73</v>
      </c>
      <c r="Z429" t="s">
        <v>49</v>
      </c>
      <c r="AA429" s="10">
        <f>IF(O429&lt;=1,7,7+0.8*ROUNDUP(O429-1,0))</f>
        <v>7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4"/>
        <v>0.42</v>
      </c>
      <c r="AG429" s="11">
        <f t="shared" si="15"/>
        <v>7.42</v>
      </c>
      <c r="AH429" t="s">
        <v>50</v>
      </c>
    </row>
    <row r="430" spans="1:34" ht="15" customHeight="1" x14ac:dyDescent="0.35">
      <c r="A430">
        <v>7547676</v>
      </c>
      <c r="B430">
        <v>690929</v>
      </c>
      <c r="C430" t="s">
        <v>34</v>
      </c>
      <c r="D430" t="s">
        <v>35</v>
      </c>
      <c r="E430" s="6" t="s">
        <v>34</v>
      </c>
      <c r="F430" t="s">
        <v>1441</v>
      </c>
      <c r="H430" t="s">
        <v>38</v>
      </c>
      <c r="I430" t="s">
        <v>1442</v>
      </c>
      <c r="J430" t="s">
        <v>40</v>
      </c>
      <c r="K430">
        <v>2</v>
      </c>
      <c r="L430" t="s">
        <v>41</v>
      </c>
      <c r="M430" t="s">
        <v>42</v>
      </c>
      <c r="N430" t="s">
        <v>43</v>
      </c>
      <c r="O430" s="7">
        <v>1</v>
      </c>
      <c r="P430" s="8">
        <v>45223.761504629627</v>
      </c>
      <c r="Q430" s="9">
        <v>45226</v>
      </c>
      <c r="S430" t="s">
        <v>44</v>
      </c>
      <c r="T430" t="s">
        <v>45</v>
      </c>
      <c r="U430" t="s">
        <v>187</v>
      </c>
      <c r="V430" t="s">
        <v>1443</v>
      </c>
      <c r="W430">
        <v>50603</v>
      </c>
      <c r="X430" t="s">
        <v>44</v>
      </c>
      <c r="Y430" t="s">
        <v>1047</v>
      </c>
      <c r="Z430" t="s">
        <v>49</v>
      </c>
      <c r="AA430" s="10">
        <f>IF(O430&lt;=1,7,7+0.8*ROUNDUP(O430-1,0))</f>
        <v>7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4"/>
        <v>0.42</v>
      </c>
      <c r="AG430" s="11">
        <f t="shared" si="15"/>
        <v>7.42</v>
      </c>
      <c r="AH430" t="s">
        <v>50</v>
      </c>
    </row>
    <row r="431" spans="1:34" ht="15" customHeight="1" x14ac:dyDescent="0.35">
      <c r="A431">
        <v>7547676</v>
      </c>
      <c r="B431">
        <v>690929</v>
      </c>
      <c r="C431" t="s">
        <v>34</v>
      </c>
      <c r="D431" t="s">
        <v>35</v>
      </c>
      <c r="E431" s="6" t="s">
        <v>34</v>
      </c>
      <c r="F431" t="s">
        <v>1444</v>
      </c>
      <c r="H431" t="s">
        <v>38</v>
      </c>
      <c r="I431" t="s">
        <v>1445</v>
      </c>
      <c r="J431" t="s">
        <v>40</v>
      </c>
      <c r="K431">
        <v>2</v>
      </c>
      <c r="L431" t="s">
        <v>41</v>
      </c>
      <c r="M431" t="s">
        <v>42</v>
      </c>
      <c r="N431" t="s">
        <v>43</v>
      </c>
      <c r="O431" s="7">
        <v>1</v>
      </c>
      <c r="P431" s="8">
        <v>45225.720555555556</v>
      </c>
      <c r="Q431" s="9">
        <v>45226</v>
      </c>
      <c r="S431" t="s">
        <v>44</v>
      </c>
      <c r="T431" t="s">
        <v>45</v>
      </c>
      <c r="U431" t="s">
        <v>53</v>
      </c>
      <c r="V431" t="s">
        <v>1446</v>
      </c>
      <c r="W431">
        <v>16250</v>
      </c>
      <c r="X431" t="s">
        <v>44</v>
      </c>
      <c r="Y431" t="s">
        <v>55</v>
      </c>
      <c r="Z431" t="s">
        <v>49</v>
      </c>
      <c r="AA431" s="10">
        <f>IF(O431&lt;=1,7,7+0.8*ROUNDUP(O431-1,0))</f>
        <v>7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4"/>
        <v>0.42</v>
      </c>
      <c r="AG431" s="11">
        <f t="shared" si="15"/>
        <v>7.42</v>
      </c>
      <c r="AH431" t="s">
        <v>50</v>
      </c>
    </row>
    <row r="432" spans="1:34" ht="15" customHeight="1" x14ac:dyDescent="0.35">
      <c r="A432">
        <v>7547676</v>
      </c>
      <c r="B432">
        <v>690929</v>
      </c>
      <c r="C432" t="s">
        <v>34</v>
      </c>
      <c r="D432" t="s">
        <v>35</v>
      </c>
      <c r="E432" s="6" t="s">
        <v>34</v>
      </c>
      <c r="F432" t="s">
        <v>1447</v>
      </c>
      <c r="H432" t="s">
        <v>38</v>
      </c>
      <c r="I432" t="s">
        <v>1448</v>
      </c>
      <c r="J432" t="s">
        <v>40</v>
      </c>
      <c r="K432">
        <v>2</v>
      </c>
      <c r="L432" t="s">
        <v>41</v>
      </c>
      <c r="M432" t="s">
        <v>42</v>
      </c>
      <c r="N432" t="s">
        <v>43</v>
      </c>
      <c r="O432" s="7">
        <v>1</v>
      </c>
      <c r="P432" s="8">
        <v>45224.623900462961</v>
      </c>
      <c r="Q432" s="9">
        <v>45226</v>
      </c>
      <c r="S432" t="s">
        <v>44</v>
      </c>
      <c r="T432" t="s">
        <v>45</v>
      </c>
      <c r="U432" t="s">
        <v>157</v>
      </c>
      <c r="V432" t="s">
        <v>1449</v>
      </c>
      <c r="W432">
        <v>33320</v>
      </c>
      <c r="X432" t="s">
        <v>44</v>
      </c>
      <c r="Y432" t="s">
        <v>1081</v>
      </c>
      <c r="Z432" t="s">
        <v>49</v>
      </c>
      <c r="AA432" s="10">
        <f>IF(O432&lt;=1,7,7+0.8*ROUNDUP(O432-1,0))</f>
        <v>7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4"/>
        <v>0.42</v>
      </c>
      <c r="AG432" s="11">
        <f t="shared" si="15"/>
        <v>7.42</v>
      </c>
      <c r="AH432" t="s">
        <v>50</v>
      </c>
    </row>
    <row r="433" spans="1:34" ht="15" customHeight="1" x14ac:dyDescent="0.35">
      <c r="A433">
        <v>7547676</v>
      </c>
      <c r="B433">
        <v>690929</v>
      </c>
      <c r="C433" t="s">
        <v>34</v>
      </c>
      <c r="D433" t="s">
        <v>35</v>
      </c>
      <c r="E433" s="6" t="s">
        <v>34</v>
      </c>
      <c r="F433" t="s">
        <v>1450</v>
      </c>
      <c r="H433" t="s">
        <v>38</v>
      </c>
      <c r="I433" t="s">
        <v>1406</v>
      </c>
      <c r="J433" t="s">
        <v>40</v>
      </c>
      <c r="K433">
        <v>2</v>
      </c>
      <c r="L433" t="s">
        <v>41</v>
      </c>
      <c r="M433" t="s">
        <v>42</v>
      </c>
      <c r="N433" t="s">
        <v>43</v>
      </c>
      <c r="O433" s="7">
        <v>1</v>
      </c>
      <c r="P433" s="8">
        <v>45225.725694444445</v>
      </c>
      <c r="Q433" s="9">
        <v>45226</v>
      </c>
      <c r="S433" t="s">
        <v>44</v>
      </c>
      <c r="T433" t="s">
        <v>45</v>
      </c>
      <c r="U433" t="s">
        <v>53</v>
      </c>
      <c r="V433" t="s">
        <v>1451</v>
      </c>
      <c r="W433">
        <v>16080</v>
      </c>
      <c r="X433" t="s">
        <v>44</v>
      </c>
      <c r="Y433" t="s">
        <v>55</v>
      </c>
      <c r="Z433" t="s">
        <v>49</v>
      </c>
      <c r="AA433" s="10">
        <f>IF(O433&lt;=1,7,7+0.8*ROUNDUP(O433-1,0))</f>
        <v>7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4"/>
        <v>0.42</v>
      </c>
      <c r="AG433" s="11">
        <f t="shared" si="15"/>
        <v>7.42</v>
      </c>
      <c r="AH433" t="s">
        <v>50</v>
      </c>
    </row>
    <row r="434" spans="1:34" ht="15" customHeight="1" x14ac:dyDescent="0.35">
      <c r="A434">
        <v>7547676</v>
      </c>
      <c r="B434">
        <v>690929</v>
      </c>
      <c r="C434" t="s">
        <v>34</v>
      </c>
      <c r="D434" t="s">
        <v>35</v>
      </c>
      <c r="E434" s="6" t="s">
        <v>34</v>
      </c>
      <c r="F434" t="s">
        <v>1452</v>
      </c>
      <c r="H434" t="s">
        <v>38</v>
      </c>
      <c r="I434" t="s">
        <v>1453</v>
      </c>
      <c r="J434" t="s">
        <v>40</v>
      </c>
      <c r="K434">
        <v>2</v>
      </c>
      <c r="L434" t="s">
        <v>41</v>
      </c>
      <c r="M434" t="s">
        <v>42</v>
      </c>
      <c r="N434" t="s">
        <v>43</v>
      </c>
      <c r="O434" s="7">
        <v>1</v>
      </c>
      <c r="P434" s="8">
        <v>45225.702303240738</v>
      </c>
      <c r="Q434" s="9">
        <v>45227</v>
      </c>
      <c r="S434" t="s">
        <v>44</v>
      </c>
      <c r="T434" t="s">
        <v>45</v>
      </c>
      <c r="U434" t="s">
        <v>157</v>
      </c>
      <c r="V434" t="s">
        <v>1454</v>
      </c>
      <c r="W434">
        <v>31550</v>
      </c>
      <c r="X434" t="s">
        <v>44</v>
      </c>
      <c r="Y434" t="s">
        <v>115</v>
      </c>
      <c r="Z434" t="s">
        <v>49</v>
      </c>
      <c r="AA434" s="10">
        <f>IF(O434&lt;=1,7,7+0.8*ROUNDUP(O434-1,0))</f>
        <v>7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4"/>
        <v>0.42</v>
      </c>
      <c r="AG434" s="11">
        <f t="shared" si="15"/>
        <v>7.42</v>
      </c>
      <c r="AH434" t="s">
        <v>50</v>
      </c>
    </row>
    <row r="435" spans="1:34" ht="15" customHeight="1" x14ac:dyDescent="0.35">
      <c r="A435">
        <v>7547676</v>
      </c>
      <c r="B435">
        <v>690929</v>
      </c>
      <c r="C435" t="s">
        <v>34</v>
      </c>
      <c r="D435" t="s">
        <v>35</v>
      </c>
      <c r="E435" s="6" t="s">
        <v>34</v>
      </c>
      <c r="F435" t="s">
        <v>1455</v>
      </c>
      <c r="H435" t="s">
        <v>38</v>
      </c>
      <c r="I435" t="s">
        <v>408</v>
      </c>
      <c r="J435" t="s">
        <v>40</v>
      </c>
      <c r="K435">
        <v>2</v>
      </c>
      <c r="L435" t="s">
        <v>41</v>
      </c>
      <c r="M435" t="s">
        <v>42</v>
      </c>
      <c r="N435" t="s">
        <v>43</v>
      </c>
      <c r="O435" s="7">
        <v>1</v>
      </c>
      <c r="P435" s="8">
        <v>45224.715115740742</v>
      </c>
      <c r="Q435" s="9">
        <v>45227</v>
      </c>
      <c r="S435" t="s">
        <v>44</v>
      </c>
      <c r="T435" t="s">
        <v>45</v>
      </c>
      <c r="U435" t="s">
        <v>92</v>
      </c>
      <c r="V435" t="s">
        <v>1456</v>
      </c>
      <c r="W435">
        <v>86100</v>
      </c>
      <c r="X435" t="s">
        <v>44</v>
      </c>
      <c r="Y435" t="s">
        <v>115</v>
      </c>
      <c r="Z435" t="s">
        <v>49</v>
      </c>
      <c r="AA435" s="10">
        <f>IF(O435&lt;=1,7,7+0.8*ROUNDUP(O435-1,0))</f>
        <v>7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4"/>
        <v>0.42</v>
      </c>
      <c r="AG435" s="11">
        <f t="shared" si="15"/>
        <v>7.42</v>
      </c>
      <c r="AH435" t="s">
        <v>50</v>
      </c>
    </row>
    <row r="436" spans="1:34" ht="15" customHeight="1" x14ac:dyDescent="0.35">
      <c r="A436">
        <v>7547676</v>
      </c>
      <c r="B436">
        <v>690929</v>
      </c>
      <c r="C436" t="s">
        <v>34</v>
      </c>
      <c r="D436" t="s">
        <v>35</v>
      </c>
      <c r="E436" s="6" t="s">
        <v>34</v>
      </c>
      <c r="F436" t="s">
        <v>1457</v>
      </c>
      <c r="H436" t="s">
        <v>38</v>
      </c>
      <c r="I436" t="s">
        <v>144</v>
      </c>
      <c r="J436" t="s">
        <v>40</v>
      </c>
      <c r="K436">
        <v>2</v>
      </c>
      <c r="L436" t="s">
        <v>41</v>
      </c>
      <c r="M436" t="s">
        <v>42</v>
      </c>
      <c r="N436" t="s">
        <v>43</v>
      </c>
      <c r="O436" s="7">
        <v>1</v>
      </c>
      <c r="P436" s="8">
        <v>45225.722766203704</v>
      </c>
      <c r="Q436" s="9">
        <v>45227</v>
      </c>
      <c r="S436" t="s">
        <v>44</v>
      </c>
      <c r="T436" t="s">
        <v>45</v>
      </c>
      <c r="U436" t="s">
        <v>145</v>
      </c>
      <c r="V436" t="s">
        <v>1458</v>
      </c>
      <c r="W436">
        <v>77200</v>
      </c>
      <c r="X436" t="s">
        <v>44</v>
      </c>
      <c r="Y436" t="s">
        <v>1459</v>
      </c>
      <c r="Z436" t="s">
        <v>49</v>
      </c>
      <c r="AA436" s="10">
        <f>IF(O436&lt;=1,7,7+0.8*ROUNDUP(O436-1,0))</f>
        <v>7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4"/>
        <v>0.42</v>
      </c>
      <c r="AG436" s="11">
        <f t="shared" si="15"/>
        <v>7.42</v>
      </c>
      <c r="AH436" t="s">
        <v>50</v>
      </c>
    </row>
    <row r="437" spans="1:34" ht="15" customHeight="1" x14ac:dyDescent="0.35">
      <c r="A437">
        <v>7547676</v>
      </c>
      <c r="B437">
        <v>690929</v>
      </c>
      <c r="C437" t="s">
        <v>34</v>
      </c>
      <c r="D437" t="s">
        <v>35</v>
      </c>
      <c r="E437" s="6" t="s">
        <v>34</v>
      </c>
      <c r="F437" t="s">
        <v>1460</v>
      </c>
      <c r="H437" t="s">
        <v>38</v>
      </c>
      <c r="I437" t="s">
        <v>1461</v>
      </c>
      <c r="J437" t="s">
        <v>40</v>
      </c>
      <c r="K437">
        <v>2</v>
      </c>
      <c r="L437" t="s">
        <v>41</v>
      </c>
      <c r="M437" t="s">
        <v>42</v>
      </c>
      <c r="N437" t="s">
        <v>43</v>
      </c>
      <c r="O437" s="7">
        <v>1</v>
      </c>
      <c r="P437" s="8">
        <v>45225.78402777778</v>
      </c>
      <c r="Q437" s="9">
        <v>45227</v>
      </c>
      <c r="S437" t="s">
        <v>44</v>
      </c>
      <c r="T437" t="s">
        <v>55</v>
      </c>
      <c r="U437" t="s">
        <v>71</v>
      </c>
      <c r="V437" t="s">
        <v>1462</v>
      </c>
      <c r="W437">
        <v>21400</v>
      </c>
      <c r="X437" t="s">
        <v>44</v>
      </c>
      <c r="Y437" t="s">
        <v>73</v>
      </c>
      <c r="Z437" t="s">
        <v>49</v>
      </c>
      <c r="AA437" s="10">
        <f>IF(O437&lt;=1,7,7+0.8*ROUNDUP(O437-1,0))</f>
        <v>7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4"/>
        <v>0.42</v>
      </c>
      <c r="AG437" s="11">
        <f t="shared" si="15"/>
        <v>7.42</v>
      </c>
      <c r="AH437" t="s">
        <v>50</v>
      </c>
    </row>
    <row r="438" spans="1:34" ht="15" customHeight="1" x14ac:dyDescent="0.35">
      <c r="A438">
        <v>7547676</v>
      </c>
      <c r="B438">
        <v>690929</v>
      </c>
      <c r="C438" t="s">
        <v>34</v>
      </c>
      <c r="D438" t="s">
        <v>35</v>
      </c>
      <c r="E438" s="6" t="s">
        <v>34</v>
      </c>
      <c r="F438" t="s">
        <v>1463</v>
      </c>
      <c r="H438" t="s">
        <v>38</v>
      </c>
      <c r="I438" t="s">
        <v>1464</v>
      </c>
      <c r="J438" t="s">
        <v>40</v>
      </c>
      <c r="K438">
        <v>2</v>
      </c>
      <c r="L438" t="s">
        <v>41</v>
      </c>
      <c r="M438" t="s">
        <v>42</v>
      </c>
      <c r="N438" t="s">
        <v>43</v>
      </c>
      <c r="O438" s="7">
        <v>2</v>
      </c>
      <c r="P438" s="8">
        <v>45225.774386574078</v>
      </c>
      <c r="Q438" s="9">
        <v>45227</v>
      </c>
      <c r="S438" t="s">
        <v>44</v>
      </c>
      <c r="T438" t="s">
        <v>55</v>
      </c>
      <c r="U438" t="s">
        <v>187</v>
      </c>
      <c r="V438" t="s">
        <v>1465</v>
      </c>
      <c r="W438">
        <v>56000</v>
      </c>
      <c r="X438" t="s">
        <v>44</v>
      </c>
      <c r="Y438" t="s">
        <v>545</v>
      </c>
      <c r="Z438" t="s">
        <v>49</v>
      </c>
      <c r="AA438" s="10">
        <f>IF(O438&lt;=1,7,7+0.8*ROUNDUP(O438-1,0))</f>
        <v>7.8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4"/>
        <v>0.46799999999999997</v>
      </c>
      <c r="AG438" s="11">
        <f t="shared" si="15"/>
        <v>8.2680000000000007</v>
      </c>
      <c r="AH438" t="s">
        <v>50</v>
      </c>
    </row>
    <row r="439" spans="1:34" ht="15" customHeight="1" x14ac:dyDescent="0.35">
      <c r="A439">
        <v>7547676</v>
      </c>
      <c r="B439">
        <v>690929</v>
      </c>
      <c r="C439" t="s">
        <v>34</v>
      </c>
      <c r="D439" t="s">
        <v>35</v>
      </c>
      <c r="E439" s="6" t="s">
        <v>34</v>
      </c>
      <c r="F439" t="s">
        <v>1466</v>
      </c>
      <c r="H439" t="s">
        <v>38</v>
      </c>
      <c r="I439" t="s">
        <v>1467</v>
      </c>
      <c r="J439" t="s">
        <v>40</v>
      </c>
      <c r="K439">
        <v>2</v>
      </c>
      <c r="L439" t="s">
        <v>41</v>
      </c>
      <c r="M439" t="s">
        <v>42</v>
      </c>
      <c r="N439" t="s">
        <v>43</v>
      </c>
      <c r="O439" s="7">
        <v>1</v>
      </c>
      <c r="P439" s="8">
        <v>45226.402037037034</v>
      </c>
      <c r="Q439" s="9">
        <v>45227</v>
      </c>
      <c r="S439" t="s">
        <v>44</v>
      </c>
      <c r="T439" t="s">
        <v>55</v>
      </c>
      <c r="U439" t="s">
        <v>182</v>
      </c>
      <c r="V439" t="s">
        <v>1468</v>
      </c>
      <c r="W439">
        <v>13200</v>
      </c>
      <c r="X439" t="s">
        <v>44</v>
      </c>
      <c r="Y439" t="s">
        <v>394</v>
      </c>
      <c r="Z439" t="s">
        <v>49</v>
      </c>
      <c r="AA439" s="10">
        <f>IF(O439&lt;=1,7,7+0.8*ROUNDUP(O439-1,0))</f>
        <v>7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4"/>
        <v>0.42</v>
      </c>
      <c r="AG439" s="11">
        <f t="shared" si="15"/>
        <v>7.42</v>
      </c>
      <c r="AH439" t="s">
        <v>50</v>
      </c>
    </row>
    <row r="440" spans="1:34" ht="15" customHeight="1" x14ac:dyDescent="0.35">
      <c r="A440">
        <v>7547676</v>
      </c>
      <c r="B440">
        <v>690929</v>
      </c>
      <c r="C440" t="s">
        <v>34</v>
      </c>
      <c r="D440" t="s">
        <v>35</v>
      </c>
      <c r="E440" s="6" t="s">
        <v>34</v>
      </c>
      <c r="F440" t="s">
        <v>1469</v>
      </c>
      <c r="H440" t="s">
        <v>682</v>
      </c>
      <c r="I440" t="s">
        <v>1470</v>
      </c>
      <c r="J440" t="s">
        <v>40</v>
      </c>
      <c r="K440">
        <v>2</v>
      </c>
      <c r="L440" t="s">
        <v>41</v>
      </c>
      <c r="M440" t="s">
        <v>42</v>
      </c>
      <c r="N440" t="s">
        <v>43</v>
      </c>
      <c r="O440" s="7">
        <v>1</v>
      </c>
      <c r="P440" s="8">
        <v>45224.685694444444</v>
      </c>
      <c r="Q440" s="9">
        <v>45227</v>
      </c>
      <c r="S440" t="s">
        <v>44</v>
      </c>
      <c r="T440" t="s">
        <v>45</v>
      </c>
      <c r="U440" t="s">
        <v>112</v>
      </c>
      <c r="V440" t="s">
        <v>1471</v>
      </c>
      <c r="W440">
        <v>96100</v>
      </c>
      <c r="X440" t="s">
        <v>114</v>
      </c>
      <c r="Y440" t="s">
        <v>1472</v>
      </c>
      <c r="Z440" t="s">
        <v>49</v>
      </c>
      <c r="AA440" s="12">
        <f>IF(O440&lt;=1,13,IF(O440&lt;=2,23,IF(O440&lt;=3,35,IF(O440&lt;=4,43,IF(O440&lt;=5,53,IF(O440&lt;=6,63,IF(O440&lt;=7,71,IF(O440&lt;=8,79,IF(O440&lt;=9,87,IF(O440&lt;=10,95,IF(O440&lt;=11,105,IF(O440&lt;=12,114,IF(O440&lt;=13,119,IF(O440&lt;=14,127,IF(O440&lt;=15,135,IF(O440&lt;=16,143,IF(O440&lt;=17,153,IF(O440&lt;=18,163,IF(O440&lt;=19,171,IF(O440&lt;=20,185,IF(O440&lt;=21,193,IF(O440&lt;=22,201,IF(O440&lt;=23,210,IF(O440&lt;=24,220,IF(O440&lt;=25,230,IF(O440&lt;=26,240,IF(O440&lt;=27,250,IF(O440&lt;=28,260,IF(O440&lt;=29,270,IF(O440&lt;=30,280,280+10*ROUNDUP(O440-30,0)))))))))))))))))))))))))))))))</f>
        <v>13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4"/>
        <v>0.78</v>
      </c>
      <c r="AG440" s="11">
        <f t="shared" si="15"/>
        <v>13.78</v>
      </c>
      <c r="AH440" t="s">
        <v>116</v>
      </c>
    </row>
    <row r="441" spans="1:34" ht="15" customHeight="1" x14ac:dyDescent="0.35">
      <c r="A441">
        <v>7547676</v>
      </c>
      <c r="B441">
        <v>690929</v>
      </c>
      <c r="C441" t="s">
        <v>34</v>
      </c>
      <c r="D441" t="s">
        <v>35</v>
      </c>
      <c r="E441" s="6" t="s">
        <v>34</v>
      </c>
      <c r="F441" t="s">
        <v>1473</v>
      </c>
      <c r="H441" t="s">
        <v>38</v>
      </c>
      <c r="I441" t="s">
        <v>1474</v>
      </c>
      <c r="J441" t="s">
        <v>40</v>
      </c>
      <c r="K441">
        <v>2</v>
      </c>
      <c r="L441" t="s">
        <v>41</v>
      </c>
      <c r="M441" t="s">
        <v>42</v>
      </c>
      <c r="N441" t="s">
        <v>43</v>
      </c>
      <c r="O441" s="7">
        <v>1</v>
      </c>
      <c r="P441" s="8">
        <v>45226.473819444444</v>
      </c>
      <c r="Q441" s="9">
        <v>45227</v>
      </c>
      <c r="S441" t="s">
        <v>44</v>
      </c>
      <c r="T441" t="s">
        <v>55</v>
      </c>
      <c r="U441" t="s">
        <v>66</v>
      </c>
      <c r="V441" t="s">
        <v>1475</v>
      </c>
      <c r="W441">
        <v>40150</v>
      </c>
      <c r="X441" t="s">
        <v>44</v>
      </c>
      <c r="Y441" t="s">
        <v>115</v>
      </c>
      <c r="Z441" t="s">
        <v>49</v>
      </c>
      <c r="AA441" s="10">
        <f>IF(O441&lt;=1,7,7+0.8*ROUNDUP(O441-1,0))</f>
        <v>7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4"/>
        <v>0.42</v>
      </c>
      <c r="AG441" s="11">
        <f t="shared" si="15"/>
        <v>7.42</v>
      </c>
      <c r="AH441" t="s">
        <v>50</v>
      </c>
    </row>
    <row r="442" spans="1:34" ht="15" customHeight="1" x14ac:dyDescent="0.35">
      <c r="A442">
        <v>7547676</v>
      </c>
      <c r="B442">
        <v>690929</v>
      </c>
      <c r="C442" t="s">
        <v>34</v>
      </c>
      <c r="D442" t="s">
        <v>35</v>
      </c>
      <c r="E442" s="6" t="s">
        <v>34</v>
      </c>
      <c r="F442" t="s">
        <v>1476</v>
      </c>
      <c r="H442" t="s">
        <v>38</v>
      </c>
      <c r="I442" t="s">
        <v>1477</v>
      </c>
      <c r="J442" t="s">
        <v>40</v>
      </c>
      <c r="K442">
        <v>2</v>
      </c>
      <c r="L442" t="s">
        <v>41</v>
      </c>
      <c r="M442" t="s">
        <v>42</v>
      </c>
      <c r="N442" t="s">
        <v>43</v>
      </c>
      <c r="O442" s="7">
        <v>16</v>
      </c>
      <c r="P442" s="8">
        <v>45225.774386574078</v>
      </c>
      <c r="Q442" s="9">
        <v>45227</v>
      </c>
      <c r="S442" t="s">
        <v>44</v>
      </c>
      <c r="T442" t="s">
        <v>55</v>
      </c>
      <c r="U442" t="s">
        <v>66</v>
      </c>
      <c r="V442" t="s">
        <v>1478</v>
      </c>
      <c r="W442">
        <v>46000</v>
      </c>
      <c r="X442" t="s">
        <v>44</v>
      </c>
      <c r="Y442" t="s">
        <v>238</v>
      </c>
      <c r="Z442" t="s">
        <v>49</v>
      </c>
      <c r="AA442" s="10">
        <f>IF(O442&lt;=1,7,7+0.8*ROUNDUP(O442-1,0))</f>
        <v>19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4"/>
        <v>1.1399999999999999</v>
      </c>
      <c r="AG442" s="11">
        <f t="shared" si="15"/>
        <v>20.14</v>
      </c>
      <c r="AH442" t="s">
        <v>50</v>
      </c>
    </row>
    <row r="443" spans="1:34" ht="15" customHeight="1" x14ac:dyDescent="0.35">
      <c r="A443">
        <v>7547676</v>
      </c>
      <c r="B443">
        <v>690929</v>
      </c>
      <c r="C443" t="s">
        <v>34</v>
      </c>
      <c r="D443" t="s">
        <v>35</v>
      </c>
      <c r="E443" s="6" t="s">
        <v>34</v>
      </c>
      <c r="F443" t="s">
        <v>1479</v>
      </c>
      <c r="H443" t="s">
        <v>38</v>
      </c>
      <c r="I443" t="s">
        <v>1480</v>
      </c>
      <c r="J443" t="s">
        <v>40</v>
      </c>
      <c r="K443">
        <v>2</v>
      </c>
      <c r="L443" t="s">
        <v>41</v>
      </c>
      <c r="M443" t="s">
        <v>42</v>
      </c>
      <c r="N443" t="s">
        <v>43</v>
      </c>
      <c r="O443" s="7">
        <v>3</v>
      </c>
      <c r="P443" s="8">
        <v>45225.416354166664</v>
      </c>
      <c r="Q443" s="9">
        <v>45227</v>
      </c>
      <c r="S443" t="s">
        <v>44</v>
      </c>
      <c r="T443" t="s">
        <v>45</v>
      </c>
      <c r="U443" t="s">
        <v>182</v>
      </c>
      <c r="V443" t="s">
        <v>1481</v>
      </c>
      <c r="W443">
        <v>13200</v>
      </c>
      <c r="X443" t="s">
        <v>44</v>
      </c>
      <c r="Y443" t="s">
        <v>394</v>
      </c>
      <c r="Z443" t="s">
        <v>49</v>
      </c>
      <c r="AA443" s="10">
        <f>IF(O443&lt;=1,7,7+0.8*ROUNDUP(O443-1,0))</f>
        <v>8.6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4"/>
        <v>0.51600000000000001</v>
      </c>
      <c r="AG443" s="11">
        <f t="shared" si="15"/>
        <v>9.1159999999999997</v>
      </c>
      <c r="AH443" t="s">
        <v>50</v>
      </c>
    </row>
    <row r="444" spans="1:34" ht="15" customHeight="1" x14ac:dyDescent="0.35">
      <c r="A444">
        <v>7547676</v>
      </c>
      <c r="B444">
        <v>690929</v>
      </c>
      <c r="C444" t="s">
        <v>34</v>
      </c>
      <c r="D444" t="s">
        <v>35</v>
      </c>
      <c r="E444" s="6" t="s">
        <v>34</v>
      </c>
      <c r="F444" t="s">
        <v>1482</v>
      </c>
      <c r="H444" t="s">
        <v>38</v>
      </c>
      <c r="I444" t="s">
        <v>1483</v>
      </c>
      <c r="J444" t="s">
        <v>40</v>
      </c>
      <c r="K444">
        <v>2</v>
      </c>
      <c r="L444" t="s">
        <v>41</v>
      </c>
      <c r="M444" t="s">
        <v>42</v>
      </c>
      <c r="N444" t="s">
        <v>43</v>
      </c>
      <c r="O444" s="7">
        <v>1</v>
      </c>
      <c r="P444" s="8">
        <v>45227.567870370367</v>
      </c>
      <c r="Q444" s="9">
        <v>45228</v>
      </c>
      <c r="S444" t="s">
        <v>44</v>
      </c>
      <c r="T444" t="s">
        <v>45</v>
      </c>
      <c r="U444" t="s">
        <v>61</v>
      </c>
      <c r="V444" t="s">
        <v>1484</v>
      </c>
      <c r="W444">
        <v>72200</v>
      </c>
      <c r="X444" t="s">
        <v>44</v>
      </c>
      <c r="Y444" t="s">
        <v>875</v>
      </c>
      <c r="Z444" t="s">
        <v>49</v>
      </c>
      <c r="AA444" s="10">
        <f>IF(O444&lt;=1,7,7+0.8*ROUNDUP(O444-1,0))</f>
        <v>7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4"/>
        <v>0.42</v>
      </c>
      <c r="AG444" s="11">
        <f t="shared" si="15"/>
        <v>7.42</v>
      </c>
      <c r="AH444" t="s">
        <v>50</v>
      </c>
    </row>
    <row r="445" spans="1:34" ht="15" customHeight="1" x14ac:dyDescent="0.35">
      <c r="A445">
        <v>7547676</v>
      </c>
      <c r="B445">
        <v>690929</v>
      </c>
      <c r="C445" t="s">
        <v>34</v>
      </c>
      <c r="D445" t="s">
        <v>35</v>
      </c>
      <c r="E445" s="6" t="s">
        <v>34</v>
      </c>
      <c r="F445" t="s">
        <v>1485</v>
      </c>
      <c r="H445" t="s">
        <v>38</v>
      </c>
      <c r="I445" t="s">
        <v>1486</v>
      </c>
      <c r="J445" t="s">
        <v>40</v>
      </c>
      <c r="K445">
        <v>2</v>
      </c>
      <c r="L445" t="s">
        <v>41</v>
      </c>
      <c r="M445" t="s">
        <v>42</v>
      </c>
      <c r="N445" t="s">
        <v>43</v>
      </c>
      <c r="O445" s="7">
        <v>1</v>
      </c>
      <c r="P445" s="8">
        <v>45227.701157407406</v>
      </c>
      <c r="Q445" s="9">
        <v>45228</v>
      </c>
      <c r="S445" t="s">
        <v>44</v>
      </c>
      <c r="T445" t="s">
        <v>45</v>
      </c>
      <c r="U445" t="s">
        <v>71</v>
      </c>
      <c r="V445" t="s">
        <v>1487</v>
      </c>
      <c r="W445">
        <v>21700</v>
      </c>
      <c r="X445" t="s">
        <v>44</v>
      </c>
      <c r="Y445" t="s">
        <v>73</v>
      </c>
      <c r="Z445" t="s">
        <v>49</v>
      </c>
      <c r="AA445" s="10">
        <f>IF(O445&lt;=1,7,7+0.8*ROUNDUP(O445-1,0))</f>
        <v>7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4"/>
        <v>0.42</v>
      </c>
      <c r="AG445" s="11">
        <f t="shared" si="15"/>
        <v>7.42</v>
      </c>
      <c r="AH445" t="s">
        <v>50</v>
      </c>
    </row>
    <row r="446" spans="1:34" ht="15" customHeight="1" x14ac:dyDescent="0.35">
      <c r="A446">
        <v>7547676</v>
      </c>
      <c r="B446">
        <v>690929</v>
      </c>
      <c r="C446" t="s">
        <v>34</v>
      </c>
      <c r="D446" t="s">
        <v>35</v>
      </c>
      <c r="E446" s="6" t="s">
        <v>34</v>
      </c>
      <c r="F446" t="s">
        <v>1488</v>
      </c>
      <c r="H446" t="s">
        <v>38</v>
      </c>
      <c r="I446" t="s">
        <v>1489</v>
      </c>
      <c r="J446" t="s">
        <v>40</v>
      </c>
      <c r="K446">
        <v>2</v>
      </c>
      <c r="L446" t="s">
        <v>41</v>
      </c>
      <c r="M446" t="s">
        <v>42</v>
      </c>
      <c r="N446" t="s">
        <v>43</v>
      </c>
      <c r="O446" s="7">
        <v>1</v>
      </c>
      <c r="P446" s="8">
        <v>45227.632893518516</v>
      </c>
      <c r="Q446" s="9">
        <v>45228</v>
      </c>
      <c r="S446" t="s">
        <v>44</v>
      </c>
      <c r="T446" t="s">
        <v>45</v>
      </c>
      <c r="U446" t="s">
        <v>71</v>
      </c>
      <c r="V446" t="s">
        <v>1490</v>
      </c>
      <c r="W446">
        <v>24000</v>
      </c>
      <c r="X446" t="s">
        <v>44</v>
      </c>
      <c r="Y446" t="s">
        <v>45</v>
      </c>
      <c r="Z446" t="s">
        <v>49</v>
      </c>
      <c r="AA446" s="10">
        <f>IF(O446&lt;=1,7,7+0.8*ROUNDUP(O446-1,0))</f>
        <v>7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4"/>
        <v>0.42</v>
      </c>
      <c r="AG446" s="11">
        <f t="shared" si="15"/>
        <v>7.42</v>
      </c>
      <c r="AH446" t="s">
        <v>50</v>
      </c>
    </row>
    <row r="447" spans="1:34" ht="15" customHeight="1" x14ac:dyDescent="0.35">
      <c r="A447">
        <v>7547676</v>
      </c>
      <c r="B447">
        <v>690929</v>
      </c>
      <c r="C447" t="s">
        <v>34</v>
      </c>
      <c r="D447" t="s">
        <v>35</v>
      </c>
      <c r="E447" s="6" t="s">
        <v>34</v>
      </c>
      <c r="F447" t="s">
        <v>1491</v>
      </c>
      <c r="H447" t="s">
        <v>38</v>
      </c>
      <c r="I447" t="s">
        <v>1492</v>
      </c>
      <c r="J447" t="s">
        <v>40</v>
      </c>
      <c r="K447">
        <v>2</v>
      </c>
      <c r="L447" t="s">
        <v>41</v>
      </c>
      <c r="M447" t="s">
        <v>42</v>
      </c>
      <c r="N447" t="s">
        <v>43</v>
      </c>
      <c r="O447" s="7">
        <v>2</v>
      </c>
      <c r="P447" s="8">
        <v>45225.774386574078</v>
      </c>
      <c r="Q447" s="9">
        <v>45228</v>
      </c>
      <c r="S447" t="s">
        <v>44</v>
      </c>
      <c r="T447" t="s">
        <v>55</v>
      </c>
      <c r="U447" t="s">
        <v>66</v>
      </c>
      <c r="V447" t="s">
        <v>1493</v>
      </c>
      <c r="W447">
        <v>42500</v>
      </c>
      <c r="X447" t="s">
        <v>44</v>
      </c>
      <c r="Y447" t="s">
        <v>562</v>
      </c>
      <c r="Z447" t="s">
        <v>49</v>
      </c>
      <c r="AA447" s="10">
        <f>IF(O447&lt;=1,7,7+0.8*ROUNDUP(O447-1,0))</f>
        <v>7.8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4"/>
        <v>0.46799999999999997</v>
      </c>
      <c r="AG447" s="11">
        <f t="shared" si="15"/>
        <v>8.2680000000000007</v>
      </c>
      <c r="AH447" t="s">
        <v>50</v>
      </c>
    </row>
    <row r="448" spans="1:34" ht="15" customHeight="1" x14ac:dyDescent="0.35">
      <c r="A448">
        <v>7547676</v>
      </c>
      <c r="B448">
        <v>690929</v>
      </c>
      <c r="C448" t="s">
        <v>34</v>
      </c>
      <c r="D448" t="s">
        <v>35</v>
      </c>
      <c r="E448" s="6" t="s">
        <v>34</v>
      </c>
      <c r="F448" t="s">
        <v>1494</v>
      </c>
      <c r="H448" t="s">
        <v>38</v>
      </c>
      <c r="I448" t="s">
        <v>1495</v>
      </c>
      <c r="J448" t="s">
        <v>40</v>
      </c>
      <c r="K448">
        <v>2</v>
      </c>
      <c r="L448" t="s">
        <v>41</v>
      </c>
      <c r="M448" t="s">
        <v>42</v>
      </c>
      <c r="N448" t="s">
        <v>43</v>
      </c>
      <c r="O448" s="7">
        <v>5</v>
      </c>
      <c r="P448" s="8">
        <v>45227.632893518516</v>
      </c>
      <c r="Q448" s="9">
        <v>45228</v>
      </c>
      <c r="S448" t="s">
        <v>44</v>
      </c>
      <c r="T448" t="s">
        <v>45</v>
      </c>
      <c r="U448" t="s">
        <v>71</v>
      </c>
      <c r="V448" t="s">
        <v>1496</v>
      </c>
      <c r="W448">
        <v>21200</v>
      </c>
      <c r="X448" t="s">
        <v>44</v>
      </c>
      <c r="Y448" t="s">
        <v>1497</v>
      </c>
      <c r="Z448" t="s">
        <v>49</v>
      </c>
      <c r="AA448" s="10">
        <f>IF(O448&lt;=1,7,7+0.8*ROUNDUP(O448-1,0))</f>
        <v>10.199999999999999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4"/>
        <v>0.61199999999999999</v>
      </c>
      <c r="AG448" s="11">
        <f t="shared" si="15"/>
        <v>10.811999999999999</v>
      </c>
      <c r="AH448" t="s">
        <v>50</v>
      </c>
    </row>
    <row r="449" spans="1:34" ht="15" customHeight="1" x14ac:dyDescent="0.35">
      <c r="A449">
        <v>7547676</v>
      </c>
      <c r="B449">
        <v>690929</v>
      </c>
      <c r="C449" t="s">
        <v>34</v>
      </c>
      <c r="D449" t="s">
        <v>35</v>
      </c>
      <c r="E449" s="6" t="s">
        <v>34</v>
      </c>
      <c r="F449" t="s">
        <v>1498</v>
      </c>
      <c r="H449" t="s">
        <v>38</v>
      </c>
      <c r="I449" t="s">
        <v>445</v>
      </c>
      <c r="J449" t="s">
        <v>40</v>
      </c>
      <c r="K449">
        <v>2</v>
      </c>
      <c r="L449" t="s">
        <v>41</v>
      </c>
      <c r="M449" t="s">
        <v>42</v>
      </c>
      <c r="N449" t="s">
        <v>43</v>
      </c>
      <c r="O449" s="7">
        <v>1</v>
      </c>
      <c r="P449" s="8">
        <v>45227.701157407406</v>
      </c>
      <c r="Q449" s="9">
        <v>45228</v>
      </c>
      <c r="S449" t="s">
        <v>44</v>
      </c>
      <c r="T449" t="s">
        <v>45</v>
      </c>
      <c r="U449" t="s">
        <v>71</v>
      </c>
      <c r="V449" t="s">
        <v>1499</v>
      </c>
      <c r="W449">
        <v>21100</v>
      </c>
      <c r="X449" t="s">
        <v>44</v>
      </c>
      <c r="Y449" t="s">
        <v>73</v>
      </c>
      <c r="Z449" t="s">
        <v>49</v>
      </c>
      <c r="AA449" s="10">
        <f>IF(O449&lt;=1,7,7+0.8*ROUNDUP(O449-1,0))</f>
        <v>7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4"/>
        <v>0.42</v>
      </c>
      <c r="AG449" s="11">
        <f t="shared" si="15"/>
        <v>7.42</v>
      </c>
      <c r="AH449" t="s">
        <v>50</v>
      </c>
    </row>
    <row r="450" spans="1:34" ht="15" customHeight="1" x14ac:dyDescent="0.35">
      <c r="A450">
        <v>7547676</v>
      </c>
      <c r="B450">
        <v>690929</v>
      </c>
      <c r="C450" t="s">
        <v>34</v>
      </c>
      <c r="D450" t="s">
        <v>35</v>
      </c>
      <c r="E450" s="6" t="s">
        <v>34</v>
      </c>
      <c r="F450" t="s">
        <v>1500</v>
      </c>
      <c r="H450" t="s">
        <v>682</v>
      </c>
      <c r="I450" t="s">
        <v>1501</v>
      </c>
      <c r="J450" t="s">
        <v>40</v>
      </c>
      <c r="K450">
        <v>2</v>
      </c>
      <c r="L450" t="s">
        <v>41</v>
      </c>
      <c r="M450" t="s">
        <v>42</v>
      </c>
      <c r="N450" t="s">
        <v>43</v>
      </c>
      <c r="O450" s="7">
        <v>1</v>
      </c>
      <c r="P450" s="8">
        <v>45225.534525462965</v>
      </c>
      <c r="Q450" s="9">
        <v>45228</v>
      </c>
      <c r="S450" t="s">
        <v>44</v>
      </c>
      <c r="T450" t="s">
        <v>45</v>
      </c>
      <c r="U450" t="s">
        <v>173</v>
      </c>
      <c r="V450" t="s">
        <v>1502</v>
      </c>
      <c r="W450">
        <v>89800</v>
      </c>
      <c r="X450" t="s">
        <v>114</v>
      </c>
      <c r="Y450" t="s">
        <v>1503</v>
      </c>
      <c r="Z450" t="s">
        <v>49</v>
      </c>
      <c r="AA450" s="12">
        <f>IF(O450&lt;=1,13,IF(O450&lt;=2,23,IF(O450&lt;=3,35,IF(O450&lt;=4,43,IF(O450&lt;=5,53,IF(O450&lt;=6,63,IF(O450&lt;=7,71,IF(O450&lt;=8,79,IF(O450&lt;=9,87,IF(O450&lt;=10,95,IF(O450&lt;=11,105,IF(O450&lt;=12,114,IF(O450&lt;=13,119,IF(O450&lt;=14,127,IF(O450&lt;=15,135,IF(O450&lt;=16,143,IF(O450&lt;=17,153,IF(O450&lt;=18,163,IF(O450&lt;=19,171,IF(O450&lt;=20,185,IF(O450&lt;=21,193,IF(O450&lt;=22,201,IF(O450&lt;=23,210,IF(O450&lt;=24,220,IF(O450&lt;=25,230,IF(O450&lt;=26,240,IF(O450&lt;=27,250,IF(O450&lt;=28,260,IF(O450&lt;=29,270,IF(O450&lt;=30,280,280+10*ROUNDUP(O450-30,0)))))))))))))))))))))))))))))))</f>
        <v>13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si="14"/>
        <v>0.78</v>
      </c>
      <c r="AG450" s="11">
        <f t="shared" si="15"/>
        <v>13.78</v>
      </c>
      <c r="AH450" t="s">
        <v>116</v>
      </c>
    </row>
    <row r="451" spans="1:34" ht="15" customHeight="1" x14ac:dyDescent="0.35">
      <c r="A451">
        <v>7547676</v>
      </c>
      <c r="B451">
        <v>690929</v>
      </c>
      <c r="C451" t="s">
        <v>34</v>
      </c>
      <c r="D451" t="s">
        <v>35</v>
      </c>
      <c r="E451" s="6" t="s">
        <v>34</v>
      </c>
      <c r="F451" t="s">
        <v>1504</v>
      </c>
      <c r="H451" t="s">
        <v>38</v>
      </c>
      <c r="I451" t="s">
        <v>1505</v>
      </c>
      <c r="J451" t="s">
        <v>40</v>
      </c>
      <c r="K451">
        <v>2</v>
      </c>
      <c r="L451" t="s">
        <v>41</v>
      </c>
      <c r="M451" t="s">
        <v>42</v>
      </c>
      <c r="N451" t="s">
        <v>43</v>
      </c>
      <c r="O451" s="7">
        <v>1</v>
      </c>
      <c r="P451" s="8">
        <v>45227.58321759259</v>
      </c>
      <c r="Q451" s="9">
        <v>45228</v>
      </c>
      <c r="S451" t="s">
        <v>44</v>
      </c>
      <c r="T451" t="s">
        <v>45</v>
      </c>
      <c r="U451" t="s">
        <v>66</v>
      </c>
      <c r="V451" t="s">
        <v>1506</v>
      </c>
      <c r="W451">
        <v>43500</v>
      </c>
      <c r="X451" t="s">
        <v>44</v>
      </c>
      <c r="Y451" t="s">
        <v>1507</v>
      </c>
      <c r="Z451" t="s">
        <v>49</v>
      </c>
      <c r="AA451" s="10">
        <f>IF(O451&lt;=1,7,7+0.8*ROUNDUP(O451-1,0))</f>
        <v>7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14"/>
        <v>0.42</v>
      </c>
      <c r="AG451" s="11">
        <f t="shared" si="15"/>
        <v>7.42</v>
      </c>
      <c r="AH451" t="s">
        <v>50</v>
      </c>
    </row>
    <row r="452" spans="1:34" ht="15" customHeight="1" x14ac:dyDescent="0.35">
      <c r="A452">
        <v>7547676</v>
      </c>
      <c r="B452">
        <v>690929</v>
      </c>
      <c r="C452" t="s">
        <v>34</v>
      </c>
      <c r="D452" t="s">
        <v>35</v>
      </c>
      <c r="E452" s="6" t="s">
        <v>34</v>
      </c>
      <c r="F452" t="s">
        <v>1508</v>
      </c>
      <c r="H452" t="s">
        <v>38</v>
      </c>
      <c r="I452" t="s">
        <v>1509</v>
      </c>
      <c r="J452" t="s">
        <v>40</v>
      </c>
      <c r="K452">
        <v>2</v>
      </c>
      <c r="L452" t="s">
        <v>41</v>
      </c>
      <c r="M452" t="s">
        <v>42</v>
      </c>
      <c r="N452" t="s">
        <v>43</v>
      </c>
      <c r="O452" s="7">
        <v>2</v>
      </c>
      <c r="P452" s="8">
        <v>45227.632893518516</v>
      </c>
      <c r="Q452" s="9">
        <v>45228</v>
      </c>
      <c r="S452" t="s">
        <v>44</v>
      </c>
      <c r="T452" t="s">
        <v>45</v>
      </c>
      <c r="U452" t="s">
        <v>66</v>
      </c>
      <c r="V452" t="s">
        <v>1510</v>
      </c>
      <c r="W452">
        <v>42700</v>
      </c>
      <c r="X452" t="s">
        <v>44</v>
      </c>
      <c r="Y452" t="s">
        <v>1511</v>
      </c>
      <c r="Z452" t="s">
        <v>49</v>
      </c>
      <c r="AA452" s="10">
        <f>IF(O452&lt;=1,7,7+0.8*ROUNDUP(O452-1,0))</f>
        <v>7.8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14"/>
        <v>0.46799999999999997</v>
      </c>
      <c r="AG452" s="11">
        <f t="shared" si="15"/>
        <v>8.2680000000000007</v>
      </c>
      <c r="AH452" t="s">
        <v>50</v>
      </c>
    </row>
    <row r="453" spans="1:34" ht="15" customHeight="1" x14ac:dyDescent="0.35">
      <c r="A453">
        <v>7547676</v>
      </c>
      <c r="B453">
        <v>690929</v>
      </c>
      <c r="C453" t="s">
        <v>34</v>
      </c>
      <c r="D453" t="s">
        <v>35</v>
      </c>
      <c r="E453" s="6" t="s">
        <v>34</v>
      </c>
      <c r="F453" t="s">
        <v>1512</v>
      </c>
      <c r="H453" t="s">
        <v>38</v>
      </c>
      <c r="I453" t="s">
        <v>1513</v>
      </c>
      <c r="J453" t="s">
        <v>40</v>
      </c>
      <c r="K453">
        <v>2</v>
      </c>
      <c r="L453" t="s">
        <v>41</v>
      </c>
      <c r="M453" t="s">
        <v>42</v>
      </c>
      <c r="N453" t="s">
        <v>43</v>
      </c>
      <c r="O453" s="7">
        <v>1</v>
      </c>
      <c r="P453" s="8">
        <v>45227.710752314815</v>
      </c>
      <c r="Q453" s="9">
        <v>45228</v>
      </c>
      <c r="S453" t="s">
        <v>44</v>
      </c>
      <c r="T453" t="s">
        <v>45</v>
      </c>
      <c r="U453" t="s">
        <v>66</v>
      </c>
      <c r="V453" t="s">
        <v>1514</v>
      </c>
      <c r="W453">
        <v>45200</v>
      </c>
      <c r="X453" t="s">
        <v>44</v>
      </c>
      <c r="Y453" t="s">
        <v>1515</v>
      </c>
      <c r="Z453" t="s">
        <v>49</v>
      </c>
      <c r="AA453" s="10">
        <f>IF(O453&lt;=1,7,7+0.8*ROUNDUP(O453-1,0))</f>
        <v>7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14"/>
        <v>0.42</v>
      </c>
      <c r="AG453" s="11">
        <f t="shared" si="15"/>
        <v>7.42</v>
      </c>
      <c r="AH453" t="s">
        <v>50</v>
      </c>
    </row>
    <row r="454" spans="1:34" ht="15" customHeight="1" x14ac:dyDescent="0.35">
      <c r="A454">
        <v>7547676</v>
      </c>
      <c r="B454">
        <v>690929</v>
      </c>
      <c r="C454" t="s">
        <v>34</v>
      </c>
      <c r="D454" t="s">
        <v>35</v>
      </c>
      <c r="E454" s="6" t="s">
        <v>34</v>
      </c>
      <c r="F454" t="s">
        <v>1516</v>
      </c>
      <c r="H454" t="s">
        <v>38</v>
      </c>
      <c r="I454" t="s">
        <v>1517</v>
      </c>
      <c r="J454" t="s">
        <v>40</v>
      </c>
      <c r="K454">
        <v>2</v>
      </c>
      <c r="L454" t="s">
        <v>41</v>
      </c>
      <c r="M454" t="s">
        <v>42</v>
      </c>
      <c r="N454" t="s">
        <v>43</v>
      </c>
      <c r="O454" s="7">
        <v>1</v>
      </c>
      <c r="P454" s="8">
        <v>45225.610474537039</v>
      </c>
      <c r="Q454" s="9">
        <v>45228</v>
      </c>
      <c r="S454" t="s">
        <v>44</v>
      </c>
      <c r="T454" t="s">
        <v>45</v>
      </c>
      <c r="U454" t="s">
        <v>53</v>
      </c>
      <c r="V454" t="s">
        <v>1518</v>
      </c>
      <c r="W454">
        <v>15200</v>
      </c>
      <c r="X454" t="s">
        <v>44</v>
      </c>
      <c r="Y454" t="s">
        <v>55</v>
      </c>
      <c r="Z454" t="s">
        <v>49</v>
      </c>
      <c r="AA454" s="10">
        <f>IF(O454&lt;=1,7,7+0.8*ROUNDUP(O454-1,0))</f>
        <v>7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14"/>
        <v>0.42</v>
      </c>
      <c r="AG454" s="11">
        <f t="shared" si="15"/>
        <v>7.42</v>
      </c>
      <c r="AH454" t="s">
        <v>50</v>
      </c>
    </row>
    <row r="455" spans="1:34" ht="15" customHeight="1" x14ac:dyDescent="0.35">
      <c r="A455">
        <v>7547676</v>
      </c>
      <c r="B455">
        <v>690929</v>
      </c>
      <c r="C455" t="s">
        <v>34</v>
      </c>
      <c r="D455" t="s">
        <v>35</v>
      </c>
      <c r="E455" s="6" t="s">
        <v>34</v>
      </c>
      <c r="F455" t="s">
        <v>1519</v>
      </c>
      <c r="H455" t="s">
        <v>38</v>
      </c>
      <c r="I455" t="s">
        <v>1520</v>
      </c>
      <c r="J455" t="s">
        <v>40</v>
      </c>
      <c r="K455">
        <v>2</v>
      </c>
      <c r="L455" t="s">
        <v>41</v>
      </c>
      <c r="M455" t="s">
        <v>42</v>
      </c>
      <c r="N455" t="s">
        <v>43</v>
      </c>
      <c r="O455" s="7">
        <v>1</v>
      </c>
      <c r="P455" s="8">
        <v>45227.701157407406</v>
      </c>
      <c r="Q455" s="9">
        <v>45229</v>
      </c>
      <c r="S455" t="s">
        <v>44</v>
      </c>
      <c r="T455" t="s">
        <v>45</v>
      </c>
      <c r="U455" t="s">
        <v>157</v>
      </c>
      <c r="V455" t="s">
        <v>1521</v>
      </c>
      <c r="W455">
        <v>31200</v>
      </c>
      <c r="X455" t="s">
        <v>44</v>
      </c>
      <c r="Y455" t="s">
        <v>115</v>
      </c>
      <c r="Z455" t="s">
        <v>49</v>
      </c>
      <c r="AA455" s="10">
        <f>IF(O455&lt;=1,7,7+0.8*ROUNDUP(O455-1,0))</f>
        <v>7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14"/>
        <v>0.42</v>
      </c>
      <c r="AG455" s="11">
        <f t="shared" si="15"/>
        <v>7.42</v>
      </c>
      <c r="AH455" t="s">
        <v>50</v>
      </c>
    </row>
    <row r="456" spans="1:34" ht="15" customHeight="1" x14ac:dyDescent="0.35">
      <c r="A456">
        <v>7547676</v>
      </c>
      <c r="B456">
        <v>690929</v>
      </c>
      <c r="C456" t="s">
        <v>34</v>
      </c>
      <c r="D456" t="s">
        <v>35</v>
      </c>
      <c r="E456" s="6" t="s">
        <v>34</v>
      </c>
      <c r="F456" t="s">
        <v>1522</v>
      </c>
      <c r="H456" t="s">
        <v>38</v>
      </c>
      <c r="I456" t="s">
        <v>1523</v>
      </c>
      <c r="J456" t="s">
        <v>40</v>
      </c>
      <c r="K456">
        <v>2</v>
      </c>
      <c r="L456" t="s">
        <v>41</v>
      </c>
      <c r="M456" t="s">
        <v>42</v>
      </c>
      <c r="N456" t="s">
        <v>43</v>
      </c>
      <c r="O456" s="7">
        <v>5</v>
      </c>
      <c r="P456" s="8">
        <v>45227.701157407406</v>
      </c>
      <c r="Q456" s="9">
        <v>45229</v>
      </c>
      <c r="S456" t="s">
        <v>44</v>
      </c>
      <c r="T456" t="s">
        <v>45</v>
      </c>
      <c r="U456" t="s">
        <v>92</v>
      </c>
      <c r="V456" t="s">
        <v>1524</v>
      </c>
      <c r="W456">
        <v>86000</v>
      </c>
      <c r="X456" t="s">
        <v>44</v>
      </c>
      <c r="Y456" t="s">
        <v>1525</v>
      </c>
      <c r="Z456" t="s">
        <v>49</v>
      </c>
      <c r="AA456" s="10">
        <f>IF(O456&lt;=1,7,7+0.8*ROUNDUP(O456-1,0))</f>
        <v>10.199999999999999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14"/>
        <v>0.61199999999999999</v>
      </c>
      <c r="AG456" s="11">
        <f t="shared" si="15"/>
        <v>10.811999999999999</v>
      </c>
      <c r="AH456" t="s">
        <v>50</v>
      </c>
    </row>
    <row r="457" spans="1:34" ht="15" customHeight="1" x14ac:dyDescent="0.35">
      <c r="A457">
        <v>7547676</v>
      </c>
      <c r="B457">
        <v>690929</v>
      </c>
      <c r="C457" t="s">
        <v>34</v>
      </c>
      <c r="D457" t="s">
        <v>35</v>
      </c>
      <c r="E457" s="6" t="s">
        <v>34</v>
      </c>
      <c r="F457" t="s">
        <v>1526</v>
      </c>
      <c r="H457" t="s">
        <v>38</v>
      </c>
      <c r="I457" t="s">
        <v>1527</v>
      </c>
      <c r="J457" t="s">
        <v>40</v>
      </c>
      <c r="K457">
        <v>2</v>
      </c>
      <c r="L457" t="s">
        <v>41</v>
      </c>
      <c r="M457" t="s">
        <v>42</v>
      </c>
      <c r="N457" t="s">
        <v>43</v>
      </c>
      <c r="O457" s="7">
        <v>1</v>
      </c>
      <c r="P457" s="8">
        <v>45227.632893518516</v>
      </c>
      <c r="Q457" s="9">
        <v>45229</v>
      </c>
      <c r="S457" t="s">
        <v>44</v>
      </c>
      <c r="T457" t="s">
        <v>45</v>
      </c>
      <c r="U457" t="s">
        <v>182</v>
      </c>
      <c r="V457" t="s">
        <v>1528</v>
      </c>
      <c r="W457">
        <v>13050</v>
      </c>
      <c r="X457" t="s">
        <v>44</v>
      </c>
      <c r="Y457" t="s">
        <v>115</v>
      </c>
      <c r="Z457" t="s">
        <v>49</v>
      </c>
      <c r="AA457" s="10">
        <f>IF(O457&lt;=1,7,7+0.8*ROUNDUP(O457-1,0))</f>
        <v>7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14"/>
        <v>0.42</v>
      </c>
      <c r="AG457" s="11">
        <f t="shared" si="15"/>
        <v>7.42</v>
      </c>
      <c r="AH457" t="s">
        <v>50</v>
      </c>
    </row>
    <row r="458" spans="1:34" ht="15" customHeight="1" x14ac:dyDescent="0.35">
      <c r="A458">
        <v>7547676</v>
      </c>
      <c r="B458">
        <v>690929</v>
      </c>
      <c r="C458" t="s">
        <v>34</v>
      </c>
      <c r="D458" t="s">
        <v>35</v>
      </c>
      <c r="E458" s="6" t="s">
        <v>34</v>
      </c>
      <c r="F458" t="s">
        <v>1529</v>
      </c>
      <c r="H458" t="s">
        <v>38</v>
      </c>
      <c r="I458" t="s">
        <v>1530</v>
      </c>
      <c r="J458" t="s">
        <v>40</v>
      </c>
      <c r="K458">
        <v>2</v>
      </c>
      <c r="L458" t="s">
        <v>41</v>
      </c>
      <c r="M458" t="s">
        <v>42</v>
      </c>
      <c r="N458" t="s">
        <v>43</v>
      </c>
      <c r="O458" s="7">
        <v>1</v>
      </c>
      <c r="P458" s="8">
        <v>45228.656238425923</v>
      </c>
      <c r="Q458" s="9">
        <v>45229</v>
      </c>
      <c r="S458" t="s">
        <v>44</v>
      </c>
      <c r="T458" t="s">
        <v>45</v>
      </c>
      <c r="U458" t="s">
        <v>87</v>
      </c>
      <c r="V458" t="s">
        <v>1531</v>
      </c>
      <c r="W458">
        <v>26080</v>
      </c>
      <c r="X458" t="s">
        <v>44</v>
      </c>
      <c r="Y458" t="s">
        <v>257</v>
      </c>
      <c r="Z458" t="s">
        <v>49</v>
      </c>
      <c r="AA458" s="10">
        <f>IF(O458&lt;=1,7,7+0.8*ROUNDUP(O458-1,0))</f>
        <v>7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14"/>
        <v>0.42</v>
      </c>
      <c r="AG458" s="11">
        <f t="shared" si="15"/>
        <v>7.42</v>
      </c>
      <c r="AH458" t="s">
        <v>50</v>
      </c>
    </row>
    <row r="459" spans="1:34" ht="15" customHeight="1" x14ac:dyDescent="0.35">
      <c r="A459">
        <v>7547676</v>
      </c>
      <c r="B459">
        <v>690929</v>
      </c>
      <c r="C459" t="s">
        <v>34</v>
      </c>
      <c r="D459" t="s">
        <v>35</v>
      </c>
      <c r="E459" s="6" t="s">
        <v>34</v>
      </c>
      <c r="F459" t="s">
        <v>1532</v>
      </c>
      <c r="H459" t="s">
        <v>38</v>
      </c>
      <c r="I459" t="s">
        <v>1533</v>
      </c>
      <c r="J459" t="s">
        <v>40</v>
      </c>
      <c r="K459">
        <v>2</v>
      </c>
      <c r="L459" t="s">
        <v>41</v>
      </c>
      <c r="M459" t="s">
        <v>42</v>
      </c>
      <c r="N459" t="s">
        <v>43</v>
      </c>
      <c r="O459" s="7">
        <v>1</v>
      </c>
      <c r="P459" s="8">
        <v>45228.737673611111</v>
      </c>
      <c r="Q459" s="9">
        <v>45229</v>
      </c>
      <c r="S459" t="s">
        <v>44</v>
      </c>
      <c r="T459" t="s">
        <v>45</v>
      </c>
      <c r="U459" t="s">
        <v>53</v>
      </c>
      <c r="V459" t="s">
        <v>1534</v>
      </c>
      <c r="W459">
        <v>18000</v>
      </c>
      <c r="X459" t="s">
        <v>44</v>
      </c>
      <c r="Y459" t="s">
        <v>55</v>
      </c>
      <c r="Z459" t="s">
        <v>49</v>
      </c>
      <c r="AA459" s="10">
        <f>IF(O459&lt;=1,7,7+0.8*ROUNDUP(O459-1,0))</f>
        <v>7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14"/>
        <v>0.42</v>
      </c>
      <c r="AG459" s="11">
        <f t="shared" si="15"/>
        <v>7.42</v>
      </c>
      <c r="AH459" t="s">
        <v>50</v>
      </c>
    </row>
    <row r="460" spans="1:34" ht="15" customHeight="1" x14ac:dyDescent="0.35">
      <c r="A460">
        <v>7547676</v>
      </c>
      <c r="B460">
        <v>690929</v>
      </c>
      <c r="C460" t="s">
        <v>34</v>
      </c>
      <c r="D460" t="s">
        <v>35</v>
      </c>
      <c r="E460" s="6" t="s">
        <v>34</v>
      </c>
      <c r="F460" t="s">
        <v>1535</v>
      </c>
      <c r="H460" t="s">
        <v>38</v>
      </c>
      <c r="I460" t="s">
        <v>1536</v>
      </c>
      <c r="J460" t="s">
        <v>40</v>
      </c>
      <c r="K460">
        <v>2</v>
      </c>
      <c r="L460" t="s">
        <v>41</v>
      </c>
      <c r="M460" t="s">
        <v>42</v>
      </c>
      <c r="N460" t="s">
        <v>43</v>
      </c>
      <c r="O460" s="7">
        <v>1</v>
      </c>
      <c r="P460" s="8">
        <v>45227.58321759259</v>
      </c>
      <c r="Q460" s="9">
        <v>45229</v>
      </c>
      <c r="S460" t="s">
        <v>44</v>
      </c>
      <c r="T460" t="s">
        <v>45</v>
      </c>
      <c r="U460" t="s">
        <v>46</v>
      </c>
      <c r="V460" t="s">
        <v>1537</v>
      </c>
      <c r="W460">
        <v>9200</v>
      </c>
      <c r="X460" t="s">
        <v>44</v>
      </c>
      <c r="Y460" t="s">
        <v>1538</v>
      </c>
      <c r="Z460" t="s">
        <v>49</v>
      </c>
      <c r="AA460" s="10">
        <f>IF(O460&lt;=1,7,7+0.8*ROUNDUP(O460-1,0))</f>
        <v>7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14"/>
        <v>0.42</v>
      </c>
      <c r="AG460" s="11">
        <f t="shared" si="15"/>
        <v>7.42</v>
      </c>
      <c r="AH460" t="s">
        <v>50</v>
      </c>
    </row>
    <row r="461" spans="1:34" ht="15" customHeight="1" x14ac:dyDescent="0.35">
      <c r="A461">
        <v>7547676</v>
      </c>
      <c r="B461">
        <v>690929</v>
      </c>
      <c r="C461" t="s">
        <v>34</v>
      </c>
      <c r="D461" t="s">
        <v>35</v>
      </c>
      <c r="E461" s="6" t="s">
        <v>34</v>
      </c>
      <c r="F461" t="s">
        <v>1539</v>
      </c>
      <c r="H461" t="s">
        <v>38</v>
      </c>
      <c r="I461" t="s">
        <v>266</v>
      </c>
      <c r="J461" t="s">
        <v>40</v>
      </c>
      <c r="K461">
        <v>2</v>
      </c>
      <c r="L461" t="s">
        <v>41</v>
      </c>
      <c r="M461" t="s">
        <v>42</v>
      </c>
      <c r="N461" t="s">
        <v>43</v>
      </c>
      <c r="O461" s="7">
        <v>10</v>
      </c>
      <c r="P461" s="8">
        <v>45226.683935185189</v>
      </c>
      <c r="Q461" s="9">
        <v>45229</v>
      </c>
      <c r="S461" t="s">
        <v>44</v>
      </c>
      <c r="T461" t="s">
        <v>45</v>
      </c>
      <c r="U461" t="s">
        <v>87</v>
      </c>
      <c r="V461" t="s">
        <v>267</v>
      </c>
      <c r="W461">
        <v>39100</v>
      </c>
      <c r="X461" t="s">
        <v>44</v>
      </c>
      <c r="Y461" t="s">
        <v>115</v>
      </c>
      <c r="Z461" t="s">
        <v>49</v>
      </c>
      <c r="AA461" s="10">
        <f>IF(O461&lt;=1,7,7+0.8*ROUNDUP(O461-1,0))</f>
        <v>14.2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14"/>
        <v>0.85199999999999998</v>
      </c>
      <c r="AG461" s="11">
        <f t="shared" si="15"/>
        <v>15.052</v>
      </c>
      <c r="AH461" t="s">
        <v>50</v>
      </c>
    </row>
    <row r="462" spans="1:34" ht="15" customHeight="1" x14ac:dyDescent="0.35">
      <c r="A462">
        <v>7547676</v>
      </c>
      <c r="B462">
        <v>690929</v>
      </c>
      <c r="C462" t="s">
        <v>34</v>
      </c>
      <c r="D462" t="s">
        <v>35</v>
      </c>
      <c r="E462" s="6" t="s">
        <v>34</v>
      </c>
      <c r="F462" t="s">
        <v>1540</v>
      </c>
      <c r="H462" t="s">
        <v>38</v>
      </c>
      <c r="I462" t="s">
        <v>1541</v>
      </c>
      <c r="J462" t="s">
        <v>40</v>
      </c>
      <c r="K462">
        <v>2</v>
      </c>
      <c r="L462" t="s">
        <v>41</v>
      </c>
      <c r="M462" t="s">
        <v>42</v>
      </c>
      <c r="N462" t="s">
        <v>43</v>
      </c>
      <c r="O462" s="7">
        <v>1</v>
      </c>
      <c r="P462" s="8">
        <v>45228.677766203706</v>
      </c>
      <c r="Q462" s="9">
        <v>45229</v>
      </c>
      <c r="S462" t="s">
        <v>44</v>
      </c>
      <c r="T462" t="s">
        <v>45</v>
      </c>
      <c r="U462" t="s">
        <v>53</v>
      </c>
      <c r="V462" t="s">
        <v>1542</v>
      </c>
      <c r="W462">
        <v>18300</v>
      </c>
      <c r="X462" t="s">
        <v>44</v>
      </c>
      <c r="Y462" t="s">
        <v>1543</v>
      </c>
      <c r="Z462" t="s">
        <v>49</v>
      </c>
      <c r="AA462" s="10">
        <f>IF(O462&lt;=1,7,7+0.8*ROUNDUP(O462-1,0))</f>
        <v>7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14"/>
        <v>0.42</v>
      </c>
      <c r="AG462" s="11">
        <f t="shared" si="15"/>
        <v>7.42</v>
      </c>
      <c r="AH462" t="s">
        <v>50</v>
      </c>
    </row>
    <row r="463" spans="1:34" ht="15" customHeight="1" x14ac:dyDescent="0.35">
      <c r="A463">
        <v>7547676</v>
      </c>
      <c r="B463">
        <v>690929</v>
      </c>
      <c r="C463" t="s">
        <v>34</v>
      </c>
      <c r="D463" t="s">
        <v>35</v>
      </c>
      <c r="E463" s="6" t="s">
        <v>34</v>
      </c>
      <c r="F463" t="s">
        <v>1544</v>
      </c>
      <c r="H463" t="s">
        <v>38</v>
      </c>
      <c r="I463" t="s">
        <v>1545</v>
      </c>
      <c r="J463" t="s">
        <v>40</v>
      </c>
      <c r="K463">
        <v>2</v>
      </c>
      <c r="L463" t="s">
        <v>41</v>
      </c>
      <c r="M463" t="s">
        <v>42</v>
      </c>
      <c r="N463" t="s">
        <v>43</v>
      </c>
      <c r="O463" s="7">
        <v>2</v>
      </c>
      <c r="P463" s="8">
        <v>45227.814305555556</v>
      </c>
      <c r="Q463" s="9">
        <v>45229</v>
      </c>
      <c r="S463" t="s">
        <v>44</v>
      </c>
      <c r="T463" t="s">
        <v>45</v>
      </c>
      <c r="U463" t="s">
        <v>66</v>
      </c>
      <c r="V463" t="s">
        <v>1546</v>
      </c>
      <c r="W463">
        <v>47130</v>
      </c>
      <c r="X463" t="s">
        <v>44</v>
      </c>
      <c r="Y463" t="s">
        <v>1547</v>
      </c>
      <c r="Z463" t="s">
        <v>49</v>
      </c>
      <c r="AA463" s="10">
        <f>IF(O463&lt;=1,7,7+0.8*ROUNDUP(O463-1,0))</f>
        <v>7.8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14"/>
        <v>0.46799999999999997</v>
      </c>
      <c r="AG463" s="11">
        <f t="shared" si="15"/>
        <v>8.2680000000000007</v>
      </c>
      <c r="AH463" t="s">
        <v>50</v>
      </c>
    </row>
    <row r="464" spans="1:34" ht="15" customHeight="1" x14ac:dyDescent="0.35">
      <c r="A464">
        <v>7547676</v>
      </c>
      <c r="B464">
        <v>690929</v>
      </c>
      <c r="C464" t="s">
        <v>34</v>
      </c>
      <c r="D464" t="s">
        <v>35</v>
      </c>
      <c r="E464" s="6" t="s">
        <v>34</v>
      </c>
      <c r="F464" t="s">
        <v>1548</v>
      </c>
      <c r="H464" t="s">
        <v>38</v>
      </c>
      <c r="I464" t="s">
        <v>1549</v>
      </c>
      <c r="J464" t="s">
        <v>40</v>
      </c>
      <c r="K464">
        <v>2</v>
      </c>
      <c r="L464" t="s">
        <v>41</v>
      </c>
      <c r="M464" t="s">
        <v>42</v>
      </c>
      <c r="N464" t="s">
        <v>43</v>
      </c>
      <c r="O464" s="7">
        <v>1</v>
      </c>
      <c r="P464" s="8">
        <v>45227.776331018518</v>
      </c>
      <c r="Q464" s="9">
        <v>45229</v>
      </c>
      <c r="S464" t="s">
        <v>44</v>
      </c>
      <c r="T464" t="s">
        <v>45</v>
      </c>
      <c r="U464" t="s">
        <v>66</v>
      </c>
      <c r="V464" t="s">
        <v>1550</v>
      </c>
      <c r="W464">
        <v>46000</v>
      </c>
      <c r="X464" t="s">
        <v>44</v>
      </c>
      <c r="Y464" t="s">
        <v>115</v>
      </c>
      <c r="Z464" t="s">
        <v>49</v>
      </c>
      <c r="AA464" s="10">
        <f>IF(O464&lt;=1,7,7+0.8*ROUNDUP(O464-1,0))</f>
        <v>7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14"/>
        <v>0.42</v>
      </c>
      <c r="AG464" s="11">
        <f t="shared" si="15"/>
        <v>7.42</v>
      </c>
      <c r="AH464" t="s">
        <v>50</v>
      </c>
    </row>
    <row r="465" spans="1:34" ht="15" customHeight="1" x14ac:dyDescent="0.35">
      <c r="A465">
        <v>7547676</v>
      </c>
      <c r="B465">
        <v>690929</v>
      </c>
      <c r="C465" t="s">
        <v>34</v>
      </c>
      <c r="D465" t="s">
        <v>35</v>
      </c>
      <c r="E465" s="6" t="s">
        <v>34</v>
      </c>
      <c r="F465" t="s">
        <v>1551</v>
      </c>
      <c r="H465" t="s">
        <v>38</v>
      </c>
      <c r="I465" t="s">
        <v>1552</v>
      </c>
      <c r="J465" t="s">
        <v>40</v>
      </c>
      <c r="K465">
        <v>2</v>
      </c>
      <c r="L465" t="s">
        <v>41</v>
      </c>
      <c r="M465" t="s">
        <v>42</v>
      </c>
      <c r="N465" t="s">
        <v>43</v>
      </c>
      <c r="O465" s="7">
        <v>1</v>
      </c>
      <c r="P465" s="8">
        <v>45227.780648148146</v>
      </c>
      <c r="Q465" s="9">
        <v>45229</v>
      </c>
      <c r="S465" t="s">
        <v>44</v>
      </c>
      <c r="T465" t="s">
        <v>45</v>
      </c>
      <c r="U465" t="s">
        <v>66</v>
      </c>
      <c r="V465" t="s">
        <v>1553</v>
      </c>
      <c r="W465">
        <v>42200</v>
      </c>
      <c r="X465" t="s">
        <v>44</v>
      </c>
      <c r="Y465" t="s">
        <v>1554</v>
      </c>
      <c r="Z465" t="s">
        <v>49</v>
      </c>
      <c r="AA465" s="10">
        <f>IF(O465&lt;=1,7,7+0.8*ROUNDUP(O465-1,0))</f>
        <v>7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14"/>
        <v>0.42</v>
      </c>
      <c r="AG465" s="11">
        <f t="shared" si="15"/>
        <v>7.42</v>
      </c>
      <c r="AH465" t="s">
        <v>50</v>
      </c>
    </row>
    <row r="466" spans="1:34" ht="15" customHeight="1" x14ac:dyDescent="0.35">
      <c r="A466">
        <v>7547676</v>
      </c>
      <c r="B466">
        <v>690929</v>
      </c>
      <c r="C466" t="s">
        <v>34</v>
      </c>
      <c r="D466" t="s">
        <v>35</v>
      </c>
      <c r="E466" s="6" t="s">
        <v>34</v>
      </c>
      <c r="F466" t="s">
        <v>1555</v>
      </c>
      <c r="H466" t="s">
        <v>38</v>
      </c>
      <c r="I466" t="s">
        <v>1556</v>
      </c>
      <c r="J466" t="s">
        <v>40</v>
      </c>
      <c r="K466">
        <v>2</v>
      </c>
      <c r="L466" t="s">
        <v>41</v>
      </c>
      <c r="M466" t="s">
        <v>42</v>
      </c>
      <c r="N466" t="s">
        <v>43</v>
      </c>
      <c r="O466" s="7">
        <v>1</v>
      </c>
      <c r="P466" s="8">
        <v>45227.406076388892</v>
      </c>
      <c r="Q466" s="9">
        <v>45229</v>
      </c>
      <c r="S466" t="s">
        <v>44</v>
      </c>
      <c r="T466" t="s">
        <v>45</v>
      </c>
      <c r="U466" t="s">
        <v>66</v>
      </c>
      <c r="V466" t="s">
        <v>1557</v>
      </c>
      <c r="W466">
        <v>68100</v>
      </c>
      <c r="X466" t="s">
        <v>44</v>
      </c>
      <c r="Y466" t="s">
        <v>115</v>
      </c>
      <c r="Z466" t="s">
        <v>49</v>
      </c>
      <c r="AA466" s="10">
        <f>IF(O466&lt;=1,7,7+0.8*ROUNDUP(O466-1,0))</f>
        <v>7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14"/>
        <v>0.42</v>
      </c>
      <c r="AG466" s="11">
        <f t="shared" si="15"/>
        <v>7.42</v>
      </c>
      <c r="AH466" t="s">
        <v>50</v>
      </c>
    </row>
    <row r="467" spans="1:34" ht="15" customHeight="1" x14ac:dyDescent="0.35">
      <c r="A467">
        <v>7547676</v>
      </c>
      <c r="B467">
        <v>690929</v>
      </c>
      <c r="C467" t="s">
        <v>34</v>
      </c>
      <c r="D467" t="s">
        <v>35</v>
      </c>
      <c r="E467" s="6" t="s">
        <v>34</v>
      </c>
      <c r="F467" t="s">
        <v>1558</v>
      </c>
      <c r="H467" t="s">
        <v>38</v>
      </c>
      <c r="I467" t="s">
        <v>1559</v>
      </c>
      <c r="J467" t="s">
        <v>40</v>
      </c>
      <c r="K467">
        <v>2</v>
      </c>
      <c r="L467" t="s">
        <v>41</v>
      </c>
      <c r="M467" t="s">
        <v>42</v>
      </c>
      <c r="N467" t="s">
        <v>43</v>
      </c>
      <c r="O467" s="7">
        <v>1</v>
      </c>
      <c r="P467" s="8">
        <v>45225.774386574078</v>
      </c>
      <c r="Q467" s="9">
        <v>45229</v>
      </c>
      <c r="S467" t="s">
        <v>44</v>
      </c>
      <c r="T467" t="s">
        <v>55</v>
      </c>
      <c r="U467" t="s">
        <v>66</v>
      </c>
      <c r="V467" t="s">
        <v>1560</v>
      </c>
      <c r="W467">
        <v>43300</v>
      </c>
      <c r="X467" t="s">
        <v>44</v>
      </c>
      <c r="Y467" t="s">
        <v>115</v>
      </c>
      <c r="Z467" t="s">
        <v>49</v>
      </c>
      <c r="AA467" s="10">
        <f>IF(O467&lt;=1,7,7+0.8*ROUNDUP(O467-1,0))</f>
        <v>7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14"/>
        <v>0.42</v>
      </c>
      <c r="AG467" s="11">
        <f t="shared" si="15"/>
        <v>7.42</v>
      </c>
      <c r="AH467" t="s">
        <v>50</v>
      </c>
    </row>
    <row r="468" spans="1:34" ht="15" customHeight="1" x14ac:dyDescent="0.35">
      <c r="A468">
        <v>7547676</v>
      </c>
      <c r="B468">
        <v>690929</v>
      </c>
      <c r="C468" t="s">
        <v>34</v>
      </c>
      <c r="D468" t="s">
        <v>35</v>
      </c>
      <c r="E468" s="6" t="s">
        <v>34</v>
      </c>
      <c r="F468" t="s">
        <v>1561</v>
      </c>
      <c r="H468" t="s">
        <v>38</v>
      </c>
      <c r="I468" t="s">
        <v>1562</v>
      </c>
      <c r="J468" t="s">
        <v>40</v>
      </c>
      <c r="K468">
        <v>2</v>
      </c>
      <c r="L468" t="s">
        <v>41</v>
      </c>
      <c r="M468" t="s">
        <v>42</v>
      </c>
      <c r="N468" t="s">
        <v>43</v>
      </c>
      <c r="O468" s="7">
        <v>1</v>
      </c>
      <c r="P468" s="8">
        <v>45227.705671296295</v>
      </c>
      <c r="Q468" s="9">
        <v>45230</v>
      </c>
      <c r="S468" t="s">
        <v>44</v>
      </c>
      <c r="T468" t="s">
        <v>45</v>
      </c>
      <c r="U468" t="s">
        <v>112</v>
      </c>
      <c r="V468" t="s">
        <v>1563</v>
      </c>
      <c r="W468">
        <v>97008</v>
      </c>
      <c r="X468" t="s">
        <v>114</v>
      </c>
      <c r="Y468" t="s">
        <v>115</v>
      </c>
      <c r="Z468" t="s">
        <v>49</v>
      </c>
      <c r="AA468" s="12">
        <f>IF(O468&lt;=1,13,IF(O468&lt;=2,23,IF(O468&lt;=3,35,IF(O468&lt;=4,43,IF(O468&lt;=5,53,IF(O468&lt;=6,63,IF(O468&lt;=7,71,IF(O468&lt;=8,79,IF(O468&lt;=9,87,IF(O468&lt;=10,95,IF(O468&lt;=11,105,IF(O468&lt;=12,114,IF(O468&lt;=13,119,IF(O468&lt;=14,127,IF(O468&lt;=15,135,IF(O468&lt;=16,143,IF(O468&lt;=17,153,IF(O468&lt;=18,163,IF(O468&lt;=19,171,IF(O468&lt;=20,185,IF(O468&lt;=21,193,IF(O468&lt;=22,201,IF(O468&lt;=23,210,IF(O468&lt;=24,220,IF(O468&lt;=25,230,IF(O468&lt;=26,240,IF(O468&lt;=27,250,IF(O468&lt;=28,260,IF(O468&lt;=29,270,IF(O468&lt;=30,280,280+10*ROUNDUP(O468-30,0)))))))))))))))))))))))))))))))</f>
        <v>13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14"/>
        <v>0.78</v>
      </c>
      <c r="AG468" s="11">
        <f t="shared" si="15"/>
        <v>13.78</v>
      </c>
      <c r="AH468" t="s">
        <v>116</v>
      </c>
    </row>
    <row r="469" spans="1:34" ht="15" customHeight="1" x14ac:dyDescent="0.35">
      <c r="A469">
        <v>7547676</v>
      </c>
      <c r="B469">
        <v>690929</v>
      </c>
      <c r="C469" t="s">
        <v>34</v>
      </c>
      <c r="D469" t="s">
        <v>35</v>
      </c>
      <c r="E469" s="6" t="s">
        <v>34</v>
      </c>
      <c r="F469" t="s">
        <v>1564</v>
      </c>
      <c r="H469" t="s">
        <v>38</v>
      </c>
      <c r="I469" t="s">
        <v>1565</v>
      </c>
      <c r="J469" t="s">
        <v>40</v>
      </c>
      <c r="K469">
        <v>2</v>
      </c>
      <c r="L469" t="s">
        <v>41</v>
      </c>
      <c r="M469" t="s">
        <v>42</v>
      </c>
      <c r="N469" t="s">
        <v>43</v>
      </c>
      <c r="O469" s="7">
        <v>2</v>
      </c>
      <c r="P469" s="8">
        <v>45229.657083333332</v>
      </c>
      <c r="Q469" s="9">
        <v>45230</v>
      </c>
      <c r="S469" t="s">
        <v>44</v>
      </c>
      <c r="T469" t="s">
        <v>45</v>
      </c>
      <c r="U469" t="s">
        <v>187</v>
      </c>
      <c r="V469" t="s">
        <v>1566</v>
      </c>
      <c r="W469">
        <v>47400</v>
      </c>
      <c r="X469" t="s">
        <v>44</v>
      </c>
      <c r="Y469" t="s">
        <v>1567</v>
      </c>
      <c r="Z469" t="s">
        <v>49</v>
      </c>
      <c r="AA469" s="10">
        <f>IF(O469&lt;=1,7,7+0.8*ROUNDUP(O469-1,0))</f>
        <v>7.8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14"/>
        <v>0.46799999999999997</v>
      </c>
      <c r="AG469" s="11">
        <f t="shared" si="15"/>
        <v>8.2680000000000007</v>
      </c>
      <c r="AH469" t="s">
        <v>50</v>
      </c>
    </row>
    <row r="470" spans="1:34" ht="15" customHeight="1" x14ac:dyDescent="0.35">
      <c r="A470">
        <v>7547676</v>
      </c>
      <c r="B470">
        <v>690929</v>
      </c>
      <c r="C470" t="s">
        <v>34</v>
      </c>
      <c r="D470" t="s">
        <v>35</v>
      </c>
      <c r="E470" s="6" t="s">
        <v>34</v>
      </c>
      <c r="F470" t="s">
        <v>1568</v>
      </c>
      <c r="H470" t="s">
        <v>38</v>
      </c>
      <c r="I470" t="s">
        <v>1569</v>
      </c>
      <c r="J470" t="s">
        <v>40</v>
      </c>
      <c r="K470">
        <v>2</v>
      </c>
      <c r="L470" t="s">
        <v>41</v>
      </c>
      <c r="M470" t="s">
        <v>42</v>
      </c>
      <c r="N470" t="s">
        <v>43</v>
      </c>
      <c r="O470" s="7">
        <v>11</v>
      </c>
      <c r="P470" s="8">
        <v>45228.634409722225</v>
      </c>
      <c r="Q470" s="9">
        <v>45230</v>
      </c>
      <c r="S470" t="s">
        <v>44</v>
      </c>
      <c r="T470" t="s">
        <v>45</v>
      </c>
      <c r="U470" t="s">
        <v>92</v>
      </c>
      <c r="V470" t="s">
        <v>1570</v>
      </c>
      <c r="W470">
        <v>81900</v>
      </c>
      <c r="X470" t="s">
        <v>44</v>
      </c>
      <c r="Y470" t="s">
        <v>115</v>
      </c>
      <c r="Z470" t="s">
        <v>49</v>
      </c>
      <c r="AA470" s="10">
        <f>IF(O470&lt;=1,7,7+0.8*ROUNDUP(O470-1,0))</f>
        <v>15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14"/>
        <v>0.89999999999999991</v>
      </c>
      <c r="AG470" s="11">
        <f t="shared" si="15"/>
        <v>15.9</v>
      </c>
      <c r="AH470" t="s">
        <v>50</v>
      </c>
    </row>
    <row r="471" spans="1:34" ht="15" customHeight="1" x14ac:dyDescent="0.35">
      <c r="A471">
        <v>7547676</v>
      </c>
      <c r="B471">
        <v>690929</v>
      </c>
      <c r="C471" t="s">
        <v>34</v>
      </c>
      <c r="D471" t="s">
        <v>35</v>
      </c>
      <c r="E471" s="6" t="s">
        <v>34</v>
      </c>
      <c r="F471" t="s">
        <v>1571</v>
      </c>
      <c r="H471" t="s">
        <v>38</v>
      </c>
      <c r="I471" t="s">
        <v>186</v>
      </c>
      <c r="J471" t="s">
        <v>40</v>
      </c>
      <c r="K471">
        <v>2</v>
      </c>
      <c r="L471" t="s">
        <v>41</v>
      </c>
      <c r="M471" t="s">
        <v>42</v>
      </c>
      <c r="N471" t="s">
        <v>43</v>
      </c>
      <c r="O471" s="7">
        <v>1</v>
      </c>
      <c r="P471" s="8">
        <v>45229.715312499997</v>
      </c>
      <c r="Q471" s="9">
        <v>45230</v>
      </c>
      <c r="S471" t="s">
        <v>44</v>
      </c>
      <c r="T471" t="s">
        <v>115</v>
      </c>
      <c r="U471" t="s">
        <v>187</v>
      </c>
      <c r="V471" t="s">
        <v>1572</v>
      </c>
      <c r="W471">
        <v>50050</v>
      </c>
      <c r="X471" t="s">
        <v>44</v>
      </c>
      <c r="Y471" t="s">
        <v>1573</v>
      </c>
      <c r="Z471" t="s">
        <v>49</v>
      </c>
      <c r="AA471" s="10">
        <f>IF(O471&lt;=1,7,7+0.8*ROUNDUP(O471-1,0))</f>
        <v>7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14"/>
        <v>0.42</v>
      </c>
      <c r="AG471" s="11">
        <f t="shared" si="15"/>
        <v>7.42</v>
      </c>
      <c r="AH471" t="s">
        <v>50</v>
      </c>
    </row>
    <row r="472" spans="1:34" ht="15" customHeight="1" x14ac:dyDescent="0.35">
      <c r="A472">
        <v>7547676</v>
      </c>
      <c r="B472">
        <v>690929</v>
      </c>
      <c r="C472" t="s">
        <v>34</v>
      </c>
      <c r="D472" t="s">
        <v>35</v>
      </c>
      <c r="E472" s="6" t="s">
        <v>34</v>
      </c>
      <c r="F472" t="s">
        <v>1574</v>
      </c>
      <c r="H472" t="s">
        <v>38</v>
      </c>
      <c r="I472" t="s">
        <v>1575</v>
      </c>
      <c r="J472" t="s">
        <v>40</v>
      </c>
      <c r="K472">
        <v>2</v>
      </c>
      <c r="L472" t="s">
        <v>41</v>
      </c>
      <c r="M472" t="s">
        <v>42</v>
      </c>
      <c r="N472" t="s">
        <v>43</v>
      </c>
      <c r="O472" s="7">
        <v>2</v>
      </c>
      <c r="P472" s="8">
        <v>45229.679027777776</v>
      </c>
      <c r="Q472" s="9">
        <v>45230</v>
      </c>
      <c r="S472" t="s">
        <v>44</v>
      </c>
      <c r="T472" t="s">
        <v>115</v>
      </c>
      <c r="U472" t="s">
        <v>66</v>
      </c>
      <c r="V472" t="s">
        <v>1576</v>
      </c>
      <c r="W472">
        <v>62604</v>
      </c>
      <c r="X472" t="s">
        <v>44</v>
      </c>
      <c r="Y472" t="s">
        <v>1547</v>
      </c>
      <c r="Z472" t="s">
        <v>49</v>
      </c>
      <c r="AA472" s="10">
        <f>IF(O472&lt;=1,7,7+0.8*ROUNDUP(O472-1,0))</f>
        <v>7.8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14"/>
        <v>0.46799999999999997</v>
      </c>
      <c r="AG472" s="11">
        <f t="shared" si="15"/>
        <v>8.2680000000000007</v>
      </c>
      <c r="AH472" t="s">
        <v>50</v>
      </c>
    </row>
    <row r="473" spans="1:34" ht="15" customHeight="1" x14ac:dyDescent="0.35">
      <c r="A473">
        <v>7547676</v>
      </c>
      <c r="B473">
        <v>690929</v>
      </c>
      <c r="C473" t="s">
        <v>34</v>
      </c>
      <c r="D473" t="s">
        <v>35</v>
      </c>
      <c r="E473" s="6" t="s">
        <v>34</v>
      </c>
      <c r="F473" t="s">
        <v>1577</v>
      </c>
      <c r="H473" t="s">
        <v>38</v>
      </c>
      <c r="I473" t="s">
        <v>1578</v>
      </c>
      <c r="J473" t="s">
        <v>40</v>
      </c>
      <c r="K473">
        <v>2</v>
      </c>
      <c r="L473" t="s">
        <v>41</v>
      </c>
      <c r="M473" t="s">
        <v>42</v>
      </c>
      <c r="N473" t="s">
        <v>43</v>
      </c>
      <c r="O473" s="7">
        <v>1</v>
      </c>
      <c r="P473" s="8">
        <v>45229.635671296295</v>
      </c>
      <c r="Q473" s="9">
        <v>45230</v>
      </c>
      <c r="S473" t="s">
        <v>44</v>
      </c>
      <c r="T473" t="s">
        <v>115</v>
      </c>
      <c r="U473" t="s">
        <v>66</v>
      </c>
      <c r="V473" t="s">
        <v>1579</v>
      </c>
      <c r="W473">
        <v>40000</v>
      </c>
      <c r="X473" t="s">
        <v>44</v>
      </c>
      <c r="Y473" t="s">
        <v>1580</v>
      </c>
      <c r="Z473" t="s">
        <v>49</v>
      </c>
      <c r="AA473" s="10">
        <f>IF(O473&lt;=1,7,7+0.8*ROUNDUP(O473-1,0))</f>
        <v>7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14"/>
        <v>0.42</v>
      </c>
      <c r="AG473" s="11">
        <f t="shared" si="15"/>
        <v>7.42</v>
      </c>
      <c r="AH473" t="s">
        <v>50</v>
      </c>
    </row>
    <row r="474" spans="1:34" ht="15" customHeight="1" x14ac:dyDescent="0.35">
      <c r="A474">
        <v>7547676</v>
      </c>
      <c r="B474">
        <v>690929</v>
      </c>
      <c r="C474" t="s">
        <v>34</v>
      </c>
      <c r="D474" t="s">
        <v>35</v>
      </c>
      <c r="E474" s="6" t="s">
        <v>34</v>
      </c>
      <c r="F474" t="s">
        <v>1581</v>
      </c>
      <c r="H474" t="s">
        <v>38</v>
      </c>
      <c r="I474" t="s">
        <v>1582</v>
      </c>
      <c r="J474" t="s">
        <v>40</v>
      </c>
      <c r="K474">
        <v>2</v>
      </c>
      <c r="L474" t="s">
        <v>41</v>
      </c>
      <c r="M474" t="s">
        <v>42</v>
      </c>
      <c r="N474" t="s">
        <v>43</v>
      </c>
      <c r="O474" s="7">
        <v>3</v>
      </c>
      <c r="P474" s="8">
        <v>45227.814305555556</v>
      </c>
      <c r="Q474" s="9">
        <v>45230</v>
      </c>
      <c r="S474" t="s">
        <v>44</v>
      </c>
      <c r="T474" t="s">
        <v>45</v>
      </c>
      <c r="U474" t="s">
        <v>173</v>
      </c>
      <c r="V474" t="s">
        <v>1583</v>
      </c>
      <c r="W474">
        <v>88618</v>
      </c>
      <c r="X474" t="s">
        <v>114</v>
      </c>
      <c r="Y474" t="s">
        <v>1584</v>
      </c>
      <c r="Z474" t="s">
        <v>49</v>
      </c>
      <c r="AA474" s="12">
        <f>IF(O474&lt;=1,13,IF(O474&lt;=2,23,IF(O474&lt;=3,35,IF(O474&lt;=4,43,IF(O474&lt;=5,53,IF(O474&lt;=6,63,IF(O474&lt;=7,71,IF(O474&lt;=8,79,IF(O474&lt;=9,87,IF(O474&lt;=10,95,IF(O474&lt;=11,105,IF(O474&lt;=12,114,IF(O474&lt;=13,119,IF(O474&lt;=14,127,IF(O474&lt;=15,135,IF(O474&lt;=16,143,IF(O474&lt;=17,153,IF(O474&lt;=18,163,IF(O474&lt;=19,171,IF(O474&lt;=20,185,IF(O474&lt;=21,193,IF(O474&lt;=22,201,IF(O474&lt;=23,210,IF(O474&lt;=24,220,IF(O474&lt;=25,230,IF(O474&lt;=26,240,IF(O474&lt;=27,250,IF(O474&lt;=28,260,IF(O474&lt;=29,270,IF(O474&lt;=30,280,280+10*ROUNDUP(O474-30,0)))))))))))))))))))))))))))))))</f>
        <v>35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14"/>
        <v>2.1</v>
      </c>
      <c r="AG474" s="11">
        <f t="shared" si="15"/>
        <v>37.1</v>
      </c>
      <c r="AH474" t="s">
        <v>116</v>
      </c>
    </row>
    <row r="475" spans="1:34" ht="15" customHeight="1" x14ac:dyDescent="0.35">
      <c r="A475">
        <v>7547676</v>
      </c>
      <c r="B475">
        <v>690929</v>
      </c>
      <c r="C475" t="s">
        <v>34</v>
      </c>
      <c r="D475" t="s">
        <v>35</v>
      </c>
      <c r="E475" s="6" t="s">
        <v>34</v>
      </c>
      <c r="F475" t="s">
        <v>1585</v>
      </c>
      <c r="H475" t="s">
        <v>38</v>
      </c>
      <c r="I475" t="s">
        <v>1586</v>
      </c>
      <c r="J475" t="s">
        <v>40</v>
      </c>
      <c r="K475">
        <v>2</v>
      </c>
      <c r="L475" t="s">
        <v>41</v>
      </c>
      <c r="M475" t="s">
        <v>42</v>
      </c>
      <c r="N475" t="s">
        <v>43</v>
      </c>
      <c r="O475" s="7">
        <v>1</v>
      </c>
      <c r="P475" s="8">
        <v>45228.721817129626</v>
      </c>
      <c r="Q475" s="9">
        <v>45230</v>
      </c>
      <c r="S475" t="s">
        <v>44</v>
      </c>
      <c r="T475" t="s">
        <v>45</v>
      </c>
      <c r="U475" t="s">
        <v>66</v>
      </c>
      <c r="V475" t="s">
        <v>1587</v>
      </c>
      <c r="W475">
        <v>43000</v>
      </c>
      <c r="X475" t="s">
        <v>44</v>
      </c>
      <c r="Y475" t="s">
        <v>1588</v>
      </c>
      <c r="Z475" t="s">
        <v>49</v>
      </c>
      <c r="AA475" s="10">
        <f>IF(O475&lt;=1,7,7+0.8*ROUNDUP(O475-1,0))</f>
        <v>7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14"/>
        <v>0.42</v>
      </c>
      <c r="AG475" s="11">
        <f t="shared" si="15"/>
        <v>7.42</v>
      </c>
      <c r="AH475" t="s">
        <v>50</v>
      </c>
    </row>
    <row r="476" spans="1:34" ht="15" customHeight="1" x14ac:dyDescent="0.35">
      <c r="A476">
        <v>7547676</v>
      </c>
      <c r="B476">
        <v>690929</v>
      </c>
      <c r="C476" t="s">
        <v>34</v>
      </c>
      <c r="D476" t="s">
        <v>35</v>
      </c>
      <c r="E476" s="6" t="s">
        <v>34</v>
      </c>
      <c r="F476" t="s">
        <v>1589</v>
      </c>
      <c r="H476" t="s">
        <v>38</v>
      </c>
      <c r="I476" t="s">
        <v>1590</v>
      </c>
      <c r="J476" t="s">
        <v>40</v>
      </c>
      <c r="K476">
        <v>2</v>
      </c>
      <c r="L476" t="s">
        <v>41</v>
      </c>
      <c r="M476" t="s">
        <v>42</v>
      </c>
      <c r="N476" t="s">
        <v>43</v>
      </c>
      <c r="O476" s="7">
        <v>1</v>
      </c>
      <c r="P476" s="8">
        <v>45227.82545138889</v>
      </c>
      <c r="Q476" s="9">
        <v>45230</v>
      </c>
      <c r="S476" t="s">
        <v>44</v>
      </c>
      <c r="T476" t="s">
        <v>45</v>
      </c>
      <c r="U476" t="s">
        <v>112</v>
      </c>
      <c r="V476" t="s">
        <v>1591</v>
      </c>
      <c r="W476">
        <v>96100</v>
      </c>
      <c r="X476" t="s">
        <v>114</v>
      </c>
      <c r="Y476" t="s">
        <v>115</v>
      </c>
      <c r="Z476" t="s">
        <v>49</v>
      </c>
      <c r="AA476" s="12">
        <f>IF(O476&lt;=1,13,IF(O476&lt;=2,23,IF(O476&lt;=3,35,IF(O476&lt;=4,43,IF(O476&lt;=5,53,IF(O476&lt;=6,63,IF(O476&lt;=7,71,IF(O476&lt;=8,79,IF(O476&lt;=9,87,IF(O476&lt;=10,95,IF(O476&lt;=11,105,IF(O476&lt;=12,114,IF(O476&lt;=13,119,IF(O476&lt;=14,127,IF(O476&lt;=15,135,IF(O476&lt;=16,143,IF(O476&lt;=17,153,IF(O476&lt;=18,163,IF(O476&lt;=19,171,IF(O476&lt;=20,185,IF(O476&lt;=21,193,IF(O476&lt;=22,201,IF(O476&lt;=23,210,IF(O476&lt;=24,220,IF(O476&lt;=25,230,IF(O476&lt;=26,240,IF(O476&lt;=27,250,IF(O476&lt;=28,260,IF(O476&lt;=29,270,IF(O476&lt;=30,280,280+10*ROUNDUP(O476-30,0)))))))))))))))))))))))))))))))</f>
        <v>13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14"/>
        <v>0.78</v>
      </c>
      <c r="AG476" s="11">
        <f t="shared" si="15"/>
        <v>13.78</v>
      </c>
      <c r="AH476" t="s">
        <v>116</v>
      </c>
    </row>
    <row r="477" spans="1:34" ht="15" customHeight="1" x14ac:dyDescent="0.35">
      <c r="A477">
        <v>7547676</v>
      </c>
      <c r="B477">
        <v>690929</v>
      </c>
      <c r="C477" t="s">
        <v>34</v>
      </c>
      <c r="D477" t="s">
        <v>35</v>
      </c>
      <c r="E477" s="6" t="s">
        <v>34</v>
      </c>
      <c r="F477" t="s">
        <v>1592</v>
      </c>
      <c r="H477" t="s">
        <v>38</v>
      </c>
      <c r="I477" t="s">
        <v>1593</v>
      </c>
      <c r="J477" t="s">
        <v>40</v>
      </c>
      <c r="K477">
        <v>2</v>
      </c>
      <c r="L477" t="s">
        <v>41</v>
      </c>
      <c r="M477" t="s">
        <v>42</v>
      </c>
      <c r="N477" t="s">
        <v>43</v>
      </c>
      <c r="O477" s="7">
        <v>1</v>
      </c>
      <c r="P477" s="8">
        <v>45228.714166666665</v>
      </c>
      <c r="Q477" s="9">
        <v>45230</v>
      </c>
      <c r="S477" t="s">
        <v>44</v>
      </c>
      <c r="T477" t="s">
        <v>45</v>
      </c>
      <c r="U477" t="s">
        <v>187</v>
      </c>
      <c r="V477" t="s">
        <v>1594</v>
      </c>
      <c r="W477">
        <v>55200</v>
      </c>
      <c r="X477" t="s">
        <v>44</v>
      </c>
      <c r="Y477" t="s">
        <v>1595</v>
      </c>
      <c r="Z477" t="s">
        <v>49</v>
      </c>
      <c r="AA477" s="10">
        <f>IF(O477&lt;=1,7,7+0.8*ROUNDUP(O477-1,0))</f>
        <v>7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14"/>
        <v>0.42</v>
      </c>
      <c r="AG477" s="11">
        <f t="shared" si="15"/>
        <v>7.42</v>
      </c>
      <c r="AH477" t="s">
        <v>50</v>
      </c>
    </row>
    <row r="479" spans="1:34" x14ac:dyDescent="0.35">
      <c r="AA479" s="13">
        <f>SUM(AA2:AA477)</f>
        <v>4087.0000000000018</v>
      </c>
      <c r="AB479" s="13">
        <f>SUM(AB2:AB477)</f>
        <v>0</v>
      </c>
      <c r="AC479" s="13">
        <f>SUM(AC2:AC477)</f>
        <v>0</v>
      </c>
      <c r="AD479" s="13">
        <f>SUM(AD2:AD477)</f>
        <v>2300</v>
      </c>
      <c r="AE479" s="13">
        <f>SUM(AE2:AE477)</f>
        <v>34.5</v>
      </c>
      <c r="AF479" s="13">
        <f>SUM(AF2:AF477)</f>
        <v>247.28999999999783</v>
      </c>
      <c r="AG479" s="13">
        <f>SUM(AG2:AG477)</f>
        <v>4368.7900000000182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2023-11-02T14:03:21Z</dcterms:created>
  <dcterms:modified xsi:type="dcterms:W3CDTF">2023-11-02T14:03:22Z</dcterms:modified>
</cp:coreProperties>
</file>