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Sep'22\Billing\ASN\Final\Individual\Individual Partner Sep'22\"/>
    </mc:Choice>
  </mc:AlternateContent>
  <xr:revisionPtr revIDLastSave="0" documentId="8_{7A1902F2-171E-452B-8BA3-E2E938151D5A}" xr6:coauthVersionLast="47" xr6:coauthVersionMax="47" xr10:uidLastSave="{00000000-0000-0000-0000-000000000000}"/>
  <bookViews>
    <workbookView xWindow="28680" yWindow="-120" windowWidth="29040" windowHeight="15840" xr2:uid="{540D6CC1-EE96-43A1-B6B6-8400E766A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07" i="1" l="1"/>
  <c r="AI407" i="1"/>
  <c r="AH407" i="1"/>
  <c r="AG407" i="1"/>
  <c r="AF407" i="1"/>
  <c r="AE407" i="1"/>
  <c r="AD407" i="1"/>
  <c r="AD405" i="1"/>
  <c r="AD404" i="1"/>
  <c r="AI403" i="1"/>
  <c r="AD403" i="1"/>
  <c r="AJ403" i="1" s="1"/>
  <c r="AD402" i="1"/>
  <c r="AI401" i="1"/>
  <c r="AD401" i="1"/>
  <c r="AJ401" i="1" s="1"/>
  <c r="AJ400" i="1"/>
  <c r="AI400" i="1"/>
  <c r="AD400" i="1"/>
  <c r="AI399" i="1"/>
  <c r="AD399" i="1"/>
  <c r="AJ399" i="1" s="1"/>
  <c r="AD398" i="1"/>
  <c r="AD397" i="1"/>
  <c r="AJ396" i="1"/>
  <c r="AI396" i="1"/>
  <c r="AD396" i="1"/>
  <c r="AD395" i="1"/>
  <c r="AD394" i="1"/>
  <c r="AD393" i="1"/>
  <c r="AI393" i="1" s="1"/>
  <c r="AJ393" i="1" s="1"/>
  <c r="AI392" i="1"/>
  <c r="AD392" i="1"/>
  <c r="AJ392" i="1" s="1"/>
  <c r="AI391" i="1"/>
  <c r="AD391" i="1"/>
  <c r="AJ391" i="1" s="1"/>
  <c r="AI390" i="1"/>
  <c r="AD390" i="1"/>
  <c r="AJ390" i="1" s="1"/>
  <c r="AD389" i="1"/>
  <c r="AJ388" i="1"/>
  <c r="AI388" i="1"/>
  <c r="AD388" i="1"/>
  <c r="AD387" i="1"/>
  <c r="AD386" i="1"/>
  <c r="AD385" i="1"/>
  <c r="AI384" i="1"/>
  <c r="AD384" i="1"/>
  <c r="AJ384" i="1" s="1"/>
  <c r="AI383" i="1"/>
  <c r="AD383" i="1"/>
  <c r="AJ383" i="1" s="1"/>
  <c r="AI382" i="1"/>
  <c r="AD382" i="1"/>
  <c r="AJ382" i="1" s="1"/>
  <c r="AD381" i="1"/>
  <c r="AJ380" i="1"/>
  <c r="AI380" i="1"/>
  <c r="AD380" i="1"/>
  <c r="AD379" i="1"/>
  <c r="AI379" i="1" s="1"/>
  <c r="AJ379" i="1" s="1"/>
  <c r="AD378" i="1"/>
  <c r="AD377" i="1"/>
  <c r="AD376" i="1"/>
  <c r="AI376" i="1" s="1"/>
  <c r="AI375" i="1"/>
  <c r="AD375" i="1"/>
  <c r="AJ375" i="1" s="1"/>
  <c r="AI374" i="1"/>
  <c r="AJ374" i="1" s="1"/>
  <c r="AD374" i="1"/>
  <c r="AD373" i="1"/>
  <c r="AJ372" i="1"/>
  <c r="AI372" i="1"/>
  <c r="AD372" i="1"/>
  <c r="AD371" i="1"/>
  <c r="AI371" i="1" s="1"/>
  <c r="AJ371" i="1" s="1"/>
  <c r="AD370" i="1"/>
  <c r="AD369" i="1"/>
  <c r="AI369" i="1" s="1"/>
  <c r="AJ369" i="1" s="1"/>
  <c r="AD368" i="1"/>
  <c r="AI368" i="1" s="1"/>
  <c r="AI367" i="1"/>
  <c r="AD367" i="1"/>
  <c r="AJ367" i="1" s="1"/>
  <c r="AI366" i="1"/>
  <c r="AJ366" i="1" s="1"/>
  <c r="AD366" i="1"/>
  <c r="AD365" i="1"/>
  <c r="AJ364" i="1"/>
  <c r="AI364" i="1"/>
  <c r="AD364" i="1"/>
  <c r="AD363" i="1"/>
  <c r="AI363" i="1" s="1"/>
  <c r="AJ363" i="1" s="1"/>
  <c r="AD362" i="1"/>
  <c r="AD361" i="1"/>
  <c r="AI361" i="1" s="1"/>
  <c r="AJ361" i="1" s="1"/>
  <c r="AD360" i="1"/>
  <c r="AI360" i="1" s="1"/>
  <c r="AI359" i="1"/>
  <c r="AD359" i="1"/>
  <c r="AJ359" i="1" s="1"/>
  <c r="AI358" i="1"/>
  <c r="AD358" i="1"/>
  <c r="AJ358" i="1" s="1"/>
  <c r="AD357" i="1"/>
  <c r="AJ356" i="1"/>
  <c r="AI356" i="1"/>
  <c r="AD356" i="1"/>
  <c r="AJ355" i="1"/>
  <c r="AI355" i="1"/>
  <c r="AD355" i="1"/>
  <c r="AD354" i="1"/>
  <c r="AD353" i="1"/>
  <c r="AD352" i="1"/>
  <c r="AI352" i="1" s="1"/>
  <c r="AJ352" i="1" s="1"/>
  <c r="AI351" i="1"/>
  <c r="AD351" i="1"/>
  <c r="AJ351" i="1" s="1"/>
  <c r="AI350" i="1"/>
  <c r="AD350" i="1"/>
  <c r="AJ350" i="1" s="1"/>
  <c r="AD349" i="1"/>
  <c r="AJ348" i="1"/>
  <c r="AI348" i="1"/>
  <c r="AD348" i="1"/>
  <c r="AJ347" i="1"/>
  <c r="AI347" i="1"/>
  <c r="AD347" i="1"/>
  <c r="AD346" i="1"/>
  <c r="AD345" i="1"/>
  <c r="AI345" i="1" s="1"/>
  <c r="AJ345" i="1" s="1"/>
  <c r="AD344" i="1"/>
  <c r="AI344" i="1" s="1"/>
  <c r="AJ344" i="1" s="1"/>
  <c r="AI343" i="1"/>
  <c r="AD343" i="1"/>
  <c r="AJ343" i="1" s="1"/>
  <c r="AI342" i="1"/>
  <c r="AD342" i="1"/>
  <c r="AJ342" i="1" s="1"/>
  <c r="AD341" i="1"/>
  <c r="AJ340" i="1"/>
  <c r="AI340" i="1"/>
  <c r="AD340" i="1"/>
  <c r="AD339" i="1"/>
  <c r="AI339" i="1" s="1"/>
  <c r="AJ339" i="1" s="1"/>
  <c r="AD338" i="1"/>
  <c r="AD337" i="1"/>
  <c r="AI336" i="1"/>
  <c r="AJ336" i="1" s="1"/>
  <c r="AD336" i="1"/>
  <c r="AI335" i="1"/>
  <c r="AD335" i="1"/>
  <c r="AJ335" i="1" s="1"/>
  <c r="AI334" i="1"/>
  <c r="AD334" i="1"/>
  <c r="AJ334" i="1" s="1"/>
  <c r="AD333" i="1"/>
  <c r="AJ332" i="1"/>
  <c r="AI332" i="1"/>
  <c r="AD332" i="1"/>
  <c r="AD331" i="1"/>
  <c r="AD330" i="1"/>
  <c r="AD329" i="1"/>
  <c r="AI328" i="1"/>
  <c r="AJ328" i="1" s="1"/>
  <c r="AD328" i="1"/>
  <c r="AI327" i="1"/>
  <c r="AD327" i="1"/>
  <c r="AJ327" i="1" s="1"/>
  <c r="AI326" i="1"/>
  <c r="AD326" i="1"/>
  <c r="AJ326" i="1" s="1"/>
  <c r="AD325" i="1"/>
  <c r="AJ324" i="1"/>
  <c r="AI324" i="1"/>
  <c r="AD324" i="1"/>
  <c r="AJ323" i="1"/>
  <c r="AI323" i="1"/>
  <c r="AD323" i="1"/>
  <c r="AD322" i="1"/>
  <c r="AD321" i="1"/>
  <c r="AI321" i="1" s="1"/>
  <c r="AJ321" i="1" s="1"/>
  <c r="AJ320" i="1"/>
  <c r="AI320" i="1"/>
  <c r="AD320" i="1"/>
  <c r="AI319" i="1"/>
  <c r="AD319" i="1"/>
  <c r="AJ319" i="1" s="1"/>
  <c r="AD318" i="1"/>
  <c r="AD317" i="1"/>
  <c r="AI317" i="1" s="1"/>
  <c r="AJ317" i="1" s="1"/>
  <c r="AJ316" i="1"/>
  <c r="AI316" i="1"/>
  <c r="AD316" i="1"/>
  <c r="AI315" i="1"/>
  <c r="AD315" i="1"/>
  <c r="AJ315" i="1" s="1"/>
  <c r="AD314" i="1"/>
  <c r="AD313" i="1"/>
  <c r="AI313" i="1" s="1"/>
  <c r="AJ313" i="1" s="1"/>
  <c r="AI312" i="1"/>
  <c r="AJ312" i="1" s="1"/>
  <c r="AD312" i="1"/>
  <c r="AI311" i="1"/>
  <c r="AD311" i="1"/>
  <c r="AJ311" i="1" s="1"/>
  <c r="AD310" i="1"/>
  <c r="AD309" i="1"/>
  <c r="AI309" i="1" s="1"/>
  <c r="AJ309" i="1" s="1"/>
  <c r="AJ308" i="1"/>
  <c r="AI308" i="1"/>
  <c r="AD308" i="1"/>
  <c r="AI307" i="1"/>
  <c r="AD307" i="1"/>
  <c r="AJ307" i="1" s="1"/>
  <c r="AD306" i="1"/>
  <c r="AD305" i="1"/>
  <c r="AI305" i="1" s="1"/>
  <c r="AJ305" i="1" s="1"/>
  <c r="AJ304" i="1"/>
  <c r="AI304" i="1"/>
  <c r="AD304" i="1"/>
  <c r="AI303" i="1"/>
  <c r="AD303" i="1"/>
  <c r="AJ303" i="1" s="1"/>
  <c r="AD302" i="1"/>
  <c r="AD301" i="1"/>
  <c r="AI301" i="1" s="1"/>
  <c r="AJ301" i="1" s="1"/>
  <c r="AJ300" i="1"/>
  <c r="AI300" i="1"/>
  <c r="AD300" i="1"/>
  <c r="AI299" i="1"/>
  <c r="AD299" i="1"/>
  <c r="AJ299" i="1" s="1"/>
  <c r="AD298" i="1"/>
  <c r="AD297" i="1"/>
  <c r="AI297" i="1" s="1"/>
  <c r="AJ297" i="1" s="1"/>
  <c r="AJ296" i="1"/>
  <c r="AI296" i="1"/>
  <c r="AD296" i="1"/>
  <c r="AI295" i="1"/>
  <c r="AD295" i="1"/>
  <c r="AJ295" i="1" s="1"/>
  <c r="AD294" i="1"/>
  <c r="AD293" i="1"/>
  <c r="AI293" i="1" s="1"/>
  <c r="AJ293" i="1" s="1"/>
  <c r="AJ292" i="1"/>
  <c r="AI292" i="1"/>
  <c r="AD292" i="1"/>
  <c r="AI291" i="1"/>
  <c r="AD291" i="1"/>
  <c r="AJ291" i="1" s="1"/>
  <c r="AD290" i="1"/>
  <c r="AJ289" i="1"/>
  <c r="AI289" i="1"/>
  <c r="AD289" i="1"/>
  <c r="AJ288" i="1"/>
  <c r="AI288" i="1"/>
  <c r="AD288" i="1"/>
  <c r="AI287" i="1"/>
  <c r="AD287" i="1"/>
  <c r="AJ287" i="1" s="1"/>
  <c r="AD286" i="1"/>
  <c r="AD285" i="1"/>
  <c r="AI285" i="1" s="1"/>
  <c r="AJ285" i="1" s="1"/>
  <c r="AJ284" i="1"/>
  <c r="AI284" i="1"/>
  <c r="AD284" i="1"/>
  <c r="AI283" i="1"/>
  <c r="AD283" i="1"/>
  <c r="AJ283" i="1" s="1"/>
  <c r="AD282" i="1"/>
  <c r="AJ281" i="1"/>
  <c r="AI281" i="1"/>
  <c r="AD281" i="1"/>
  <c r="AJ280" i="1"/>
  <c r="AI280" i="1"/>
  <c r="AD280" i="1"/>
  <c r="AI279" i="1"/>
  <c r="AD279" i="1"/>
  <c r="AJ279" i="1" s="1"/>
  <c r="AD278" i="1"/>
  <c r="AD277" i="1"/>
  <c r="AI277" i="1" s="1"/>
  <c r="AJ277" i="1" s="1"/>
  <c r="AI276" i="1"/>
  <c r="AJ276" i="1" s="1"/>
  <c r="AD276" i="1"/>
  <c r="AI275" i="1"/>
  <c r="AD275" i="1"/>
  <c r="AJ275" i="1" s="1"/>
  <c r="AD274" i="1"/>
  <c r="AJ273" i="1"/>
  <c r="AI273" i="1"/>
  <c r="AD273" i="1"/>
  <c r="AJ272" i="1"/>
  <c r="AI272" i="1"/>
  <c r="AD272" i="1"/>
  <c r="AD271" i="1"/>
  <c r="AD270" i="1"/>
  <c r="AD269" i="1"/>
  <c r="AI269" i="1" s="1"/>
  <c r="AJ269" i="1" s="1"/>
  <c r="AI268" i="1"/>
  <c r="AJ268" i="1" s="1"/>
  <c r="AD268" i="1"/>
  <c r="AI267" i="1"/>
  <c r="AD267" i="1"/>
  <c r="AJ267" i="1" s="1"/>
  <c r="AD266" i="1"/>
  <c r="AJ265" i="1"/>
  <c r="AI265" i="1"/>
  <c r="AD265" i="1"/>
  <c r="AJ264" i="1"/>
  <c r="AI264" i="1"/>
  <c r="AD264" i="1"/>
  <c r="AD263" i="1"/>
  <c r="AD262" i="1"/>
  <c r="AD261" i="1"/>
  <c r="AI261" i="1" s="1"/>
  <c r="AJ261" i="1" s="1"/>
  <c r="AI260" i="1"/>
  <c r="AJ260" i="1" s="1"/>
  <c r="AD260" i="1"/>
  <c r="AI259" i="1"/>
  <c r="AD259" i="1"/>
  <c r="AJ259" i="1" s="1"/>
  <c r="AD258" i="1"/>
  <c r="AJ257" i="1"/>
  <c r="AI257" i="1"/>
  <c r="AD257" i="1"/>
  <c r="AJ256" i="1"/>
  <c r="AI256" i="1"/>
  <c r="AD256" i="1"/>
  <c r="AD255" i="1"/>
  <c r="AD254" i="1"/>
  <c r="AD253" i="1"/>
  <c r="AI253" i="1" s="1"/>
  <c r="AJ253" i="1" s="1"/>
  <c r="AI252" i="1"/>
  <c r="AJ252" i="1" s="1"/>
  <c r="AD252" i="1"/>
  <c r="AI251" i="1"/>
  <c r="AD251" i="1"/>
  <c r="AJ251" i="1" s="1"/>
  <c r="AD250" i="1"/>
  <c r="AJ249" i="1"/>
  <c r="AI249" i="1"/>
  <c r="AD249" i="1"/>
  <c r="AJ248" i="1"/>
  <c r="AI248" i="1"/>
  <c r="AD248" i="1"/>
  <c r="AD247" i="1"/>
  <c r="AD246" i="1"/>
  <c r="AD245" i="1"/>
  <c r="AI245" i="1" s="1"/>
  <c r="AJ245" i="1" s="1"/>
  <c r="AI244" i="1"/>
  <c r="AJ244" i="1" s="1"/>
  <c r="AD244" i="1"/>
  <c r="AI243" i="1"/>
  <c r="AD243" i="1"/>
  <c r="AJ243" i="1" s="1"/>
  <c r="AD242" i="1"/>
  <c r="AJ241" i="1"/>
  <c r="AI241" i="1"/>
  <c r="AD241" i="1"/>
  <c r="AJ240" i="1"/>
  <c r="AI240" i="1"/>
  <c r="AD240" i="1"/>
  <c r="AD239" i="1"/>
  <c r="AD238" i="1"/>
  <c r="AD237" i="1"/>
  <c r="AI237" i="1" s="1"/>
  <c r="AJ237" i="1" s="1"/>
  <c r="AI236" i="1"/>
  <c r="AJ236" i="1" s="1"/>
  <c r="AD236" i="1"/>
  <c r="AI235" i="1"/>
  <c r="AD235" i="1"/>
  <c r="AJ235" i="1" s="1"/>
  <c r="AD234" i="1"/>
  <c r="AJ233" i="1"/>
  <c r="AI233" i="1"/>
  <c r="AD233" i="1"/>
  <c r="AJ232" i="1"/>
  <c r="AI232" i="1"/>
  <c r="AD232" i="1"/>
  <c r="AD231" i="1"/>
  <c r="AD230" i="1"/>
  <c r="AJ229" i="1"/>
  <c r="AI229" i="1"/>
  <c r="AD229" i="1"/>
  <c r="AI228" i="1"/>
  <c r="AJ228" i="1" s="1"/>
  <c r="AD228" i="1"/>
  <c r="AI227" i="1"/>
  <c r="AD227" i="1"/>
  <c r="AJ227" i="1" s="1"/>
  <c r="AD226" i="1"/>
  <c r="AJ225" i="1"/>
  <c r="AI225" i="1"/>
  <c r="AD225" i="1"/>
  <c r="AJ224" i="1"/>
  <c r="AI224" i="1"/>
  <c r="AD224" i="1"/>
  <c r="AD223" i="1"/>
  <c r="AD222" i="1"/>
  <c r="AD221" i="1"/>
  <c r="AI221" i="1" s="1"/>
  <c r="AJ221" i="1" s="1"/>
  <c r="AI220" i="1"/>
  <c r="AJ220" i="1" s="1"/>
  <c r="AD220" i="1"/>
  <c r="AI219" i="1"/>
  <c r="AD219" i="1"/>
  <c r="AJ219" i="1" s="1"/>
  <c r="AD218" i="1"/>
  <c r="AJ217" i="1"/>
  <c r="AI217" i="1"/>
  <c r="AD217" i="1"/>
  <c r="AJ216" i="1"/>
  <c r="AI216" i="1"/>
  <c r="AD216" i="1"/>
  <c r="AD215" i="1"/>
  <c r="AD214" i="1"/>
  <c r="AD213" i="1"/>
  <c r="AI213" i="1" s="1"/>
  <c r="AJ213" i="1" s="1"/>
  <c r="AI212" i="1"/>
  <c r="AJ212" i="1" s="1"/>
  <c r="AD212" i="1"/>
  <c r="AI211" i="1"/>
  <c r="AD211" i="1"/>
  <c r="AJ211" i="1" s="1"/>
  <c r="AD210" i="1"/>
  <c r="AJ209" i="1"/>
  <c r="AI209" i="1"/>
  <c r="AD209" i="1"/>
  <c r="AJ208" i="1"/>
  <c r="AI208" i="1"/>
  <c r="AD208" i="1"/>
  <c r="AD207" i="1"/>
  <c r="AD206" i="1"/>
  <c r="AD205" i="1"/>
  <c r="AI205" i="1" s="1"/>
  <c r="AJ205" i="1" s="1"/>
  <c r="AI204" i="1"/>
  <c r="AJ204" i="1" s="1"/>
  <c r="AD204" i="1"/>
  <c r="AD203" i="1"/>
  <c r="AI202" i="1"/>
  <c r="AD202" i="1"/>
  <c r="AJ202" i="1" s="1"/>
  <c r="AJ201" i="1"/>
  <c r="AI201" i="1"/>
  <c r="AD201" i="1"/>
  <c r="AI200" i="1"/>
  <c r="AJ200" i="1" s="1"/>
  <c r="AD200" i="1"/>
  <c r="AD199" i="1"/>
  <c r="AD198" i="1"/>
  <c r="AD197" i="1"/>
  <c r="AI197" i="1" s="1"/>
  <c r="AJ197" i="1" s="1"/>
  <c r="AI196" i="1"/>
  <c r="AJ196" i="1" s="1"/>
  <c r="AD196" i="1"/>
  <c r="AI195" i="1"/>
  <c r="AD195" i="1"/>
  <c r="AJ195" i="1" s="1"/>
  <c r="AI194" i="1"/>
  <c r="AD194" i="1"/>
  <c r="AJ194" i="1" s="1"/>
  <c r="AJ193" i="1"/>
  <c r="AI193" i="1"/>
  <c r="AD193" i="1"/>
  <c r="AJ192" i="1"/>
  <c r="AI192" i="1"/>
  <c r="AD192" i="1"/>
  <c r="AD191" i="1"/>
  <c r="AD190" i="1"/>
  <c r="AD189" i="1"/>
  <c r="AI188" i="1"/>
  <c r="AD188" i="1"/>
  <c r="AJ188" i="1" s="1"/>
  <c r="AI187" i="1"/>
  <c r="AD187" i="1"/>
  <c r="AJ187" i="1" s="1"/>
  <c r="AI186" i="1"/>
  <c r="AD186" i="1"/>
  <c r="AJ186" i="1" s="1"/>
  <c r="AJ185" i="1"/>
  <c r="AI185" i="1"/>
  <c r="AD185" i="1"/>
  <c r="AJ184" i="1"/>
  <c r="AI184" i="1"/>
  <c r="AD184" i="1"/>
  <c r="AD183" i="1"/>
  <c r="AD182" i="1"/>
  <c r="AD181" i="1"/>
  <c r="AI180" i="1"/>
  <c r="AD180" i="1"/>
  <c r="AJ180" i="1" s="1"/>
  <c r="AI179" i="1"/>
  <c r="AD179" i="1"/>
  <c r="AJ179" i="1" s="1"/>
  <c r="AI178" i="1"/>
  <c r="AD178" i="1"/>
  <c r="AJ178" i="1" s="1"/>
  <c r="AJ177" i="1"/>
  <c r="AI177" i="1"/>
  <c r="AD177" i="1"/>
  <c r="AJ176" i="1"/>
  <c r="AI176" i="1"/>
  <c r="AD176" i="1"/>
  <c r="AD175" i="1"/>
  <c r="AD174" i="1"/>
  <c r="AD173" i="1"/>
  <c r="AI172" i="1"/>
  <c r="AD172" i="1"/>
  <c r="AJ172" i="1" s="1"/>
  <c r="AI171" i="1"/>
  <c r="AD171" i="1"/>
  <c r="AJ171" i="1" s="1"/>
  <c r="AI170" i="1"/>
  <c r="AD170" i="1"/>
  <c r="AJ170" i="1" s="1"/>
  <c r="AJ169" i="1"/>
  <c r="AI169" i="1"/>
  <c r="AD169" i="1"/>
  <c r="AJ168" i="1"/>
  <c r="AI168" i="1"/>
  <c r="AD168" i="1"/>
  <c r="AD167" i="1"/>
  <c r="AD166" i="1"/>
  <c r="AD165" i="1"/>
  <c r="AI164" i="1"/>
  <c r="AD164" i="1"/>
  <c r="AJ164" i="1" s="1"/>
  <c r="AD163" i="1"/>
  <c r="AI162" i="1"/>
  <c r="AD162" i="1"/>
  <c r="AJ162" i="1" s="1"/>
  <c r="AJ161" i="1"/>
  <c r="AI161" i="1"/>
  <c r="AD161" i="1"/>
  <c r="AI160" i="1"/>
  <c r="AJ160" i="1" s="1"/>
  <c r="AD160" i="1"/>
  <c r="AD159" i="1"/>
  <c r="AD158" i="1"/>
  <c r="AD157" i="1"/>
  <c r="AI157" i="1" s="1"/>
  <c r="AJ157" i="1" s="1"/>
  <c r="AI156" i="1"/>
  <c r="AD156" i="1"/>
  <c r="AJ156" i="1" s="1"/>
  <c r="AI155" i="1"/>
  <c r="AD155" i="1"/>
  <c r="AJ155" i="1" s="1"/>
  <c r="AI154" i="1"/>
  <c r="AD154" i="1"/>
  <c r="AJ154" i="1" s="1"/>
  <c r="AJ153" i="1"/>
  <c r="AI153" i="1"/>
  <c r="AD153" i="1"/>
  <c r="AJ152" i="1"/>
  <c r="AI152" i="1"/>
  <c r="AD152" i="1"/>
  <c r="AD151" i="1"/>
  <c r="AD150" i="1"/>
  <c r="AD149" i="1"/>
  <c r="AI149" i="1" s="1"/>
  <c r="AJ149" i="1" s="1"/>
  <c r="AI148" i="1"/>
  <c r="AD148" i="1"/>
  <c r="AJ148" i="1" s="1"/>
  <c r="AI147" i="1"/>
  <c r="AD147" i="1"/>
  <c r="AJ147" i="1" s="1"/>
  <c r="AI146" i="1"/>
  <c r="AD146" i="1"/>
  <c r="AJ146" i="1" s="1"/>
  <c r="AJ145" i="1"/>
  <c r="AI145" i="1"/>
  <c r="AD145" i="1"/>
  <c r="AI144" i="1"/>
  <c r="AJ144" i="1" s="1"/>
  <c r="AD144" i="1"/>
  <c r="AD143" i="1"/>
  <c r="AD142" i="1"/>
  <c r="AD141" i="1"/>
  <c r="AI141" i="1" s="1"/>
  <c r="AJ141" i="1" s="1"/>
  <c r="AI140" i="1"/>
  <c r="AD140" i="1"/>
  <c r="AJ140" i="1" s="1"/>
  <c r="AI139" i="1"/>
  <c r="AD139" i="1"/>
  <c r="AJ139" i="1" s="1"/>
  <c r="AI138" i="1"/>
  <c r="AD138" i="1"/>
  <c r="AJ138" i="1" s="1"/>
  <c r="AD137" i="1"/>
  <c r="AI137" i="1" s="1"/>
  <c r="AJ137" i="1" s="1"/>
  <c r="AJ136" i="1"/>
  <c r="AI136" i="1"/>
  <c r="AD136" i="1"/>
  <c r="AD135" i="1"/>
  <c r="AD134" i="1"/>
  <c r="AD133" i="1"/>
  <c r="AI133" i="1" s="1"/>
  <c r="AJ133" i="1" s="1"/>
  <c r="AI132" i="1"/>
  <c r="AJ132" i="1" s="1"/>
  <c r="AD132" i="1"/>
  <c r="AI131" i="1"/>
  <c r="AD131" i="1"/>
  <c r="AJ131" i="1" s="1"/>
  <c r="AI130" i="1"/>
  <c r="AJ130" i="1" s="1"/>
  <c r="AD130" i="1"/>
  <c r="AD129" i="1"/>
  <c r="AI129" i="1" s="1"/>
  <c r="AJ129" i="1" s="1"/>
  <c r="AJ128" i="1"/>
  <c r="AI128" i="1"/>
  <c r="AD128" i="1"/>
  <c r="AD127" i="1"/>
  <c r="AD126" i="1"/>
  <c r="AD125" i="1"/>
  <c r="AI125" i="1" s="1"/>
  <c r="AJ125" i="1" s="1"/>
  <c r="AI124" i="1"/>
  <c r="AD124" i="1"/>
  <c r="AJ124" i="1" s="1"/>
  <c r="AI123" i="1"/>
  <c r="AD123" i="1"/>
  <c r="AJ123" i="1" s="1"/>
  <c r="AD122" i="1"/>
  <c r="AD121" i="1"/>
  <c r="AI121" i="1" s="1"/>
  <c r="AJ121" i="1" s="1"/>
  <c r="AJ120" i="1"/>
  <c r="AI120" i="1"/>
  <c r="AD120" i="1"/>
  <c r="AD119" i="1"/>
  <c r="AD118" i="1"/>
  <c r="AD117" i="1"/>
  <c r="AI117" i="1" s="1"/>
  <c r="AJ117" i="1" s="1"/>
  <c r="AI116" i="1"/>
  <c r="AJ116" i="1" s="1"/>
  <c r="AD116" i="1"/>
  <c r="AI115" i="1"/>
  <c r="AD115" i="1"/>
  <c r="AJ115" i="1" s="1"/>
  <c r="AD114" i="1"/>
  <c r="AD113" i="1"/>
  <c r="AI113" i="1" s="1"/>
  <c r="AJ113" i="1" s="1"/>
  <c r="AJ112" i="1"/>
  <c r="AI112" i="1"/>
  <c r="AD112" i="1"/>
  <c r="AD111" i="1"/>
  <c r="AD110" i="1"/>
  <c r="AD109" i="1"/>
  <c r="AI109" i="1" s="1"/>
  <c r="AJ109" i="1" s="1"/>
  <c r="AI108" i="1"/>
  <c r="AJ108" i="1" s="1"/>
  <c r="AD108" i="1"/>
  <c r="AI107" i="1"/>
  <c r="AD107" i="1"/>
  <c r="AJ107" i="1" s="1"/>
  <c r="AD106" i="1"/>
  <c r="AD105" i="1"/>
  <c r="AI105" i="1" s="1"/>
  <c r="AJ105" i="1" s="1"/>
  <c r="AJ104" i="1"/>
  <c r="AI104" i="1"/>
  <c r="AD104" i="1"/>
  <c r="AD103" i="1"/>
  <c r="AD102" i="1"/>
  <c r="AD101" i="1"/>
  <c r="AI101" i="1" s="1"/>
  <c r="AJ101" i="1" s="1"/>
  <c r="AI100" i="1"/>
  <c r="AJ100" i="1" s="1"/>
  <c r="AD100" i="1"/>
  <c r="AI99" i="1"/>
  <c r="AD99" i="1"/>
  <c r="AJ99" i="1" s="1"/>
  <c r="AD98" i="1"/>
  <c r="AD97" i="1"/>
  <c r="AI97" i="1" s="1"/>
  <c r="AJ97" i="1" s="1"/>
  <c r="AJ96" i="1"/>
  <c r="AI96" i="1"/>
  <c r="AD96" i="1"/>
  <c r="AD95" i="1"/>
  <c r="AD94" i="1"/>
  <c r="AD93" i="1"/>
  <c r="AI93" i="1" s="1"/>
  <c r="AJ93" i="1" s="1"/>
  <c r="AI92" i="1"/>
  <c r="AJ92" i="1" s="1"/>
  <c r="AD92" i="1"/>
  <c r="AI91" i="1"/>
  <c r="AD91" i="1"/>
  <c r="AJ91" i="1" s="1"/>
  <c r="AD90" i="1"/>
  <c r="AD89" i="1"/>
  <c r="AI89" i="1" s="1"/>
  <c r="AJ89" i="1" s="1"/>
  <c r="AJ88" i="1"/>
  <c r="AI88" i="1"/>
  <c r="AD88" i="1"/>
  <c r="AD87" i="1"/>
  <c r="AD86" i="1"/>
  <c r="AD85" i="1"/>
  <c r="AI85" i="1" s="1"/>
  <c r="AJ85" i="1" s="1"/>
  <c r="AI84" i="1"/>
  <c r="AJ84" i="1" s="1"/>
  <c r="AD84" i="1"/>
  <c r="AI83" i="1"/>
  <c r="AD83" i="1"/>
  <c r="AJ83" i="1" s="1"/>
  <c r="AD82" i="1"/>
  <c r="AD81" i="1"/>
  <c r="AI81" i="1" s="1"/>
  <c r="AJ81" i="1" s="1"/>
  <c r="AJ80" i="1"/>
  <c r="AI80" i="1"/>
  <c r="AD80" i="1"/>
  <c r="AD79" i="1"/>
  <c r="AD78" i="1"/>
  <c r="AJ77" i="1"/>
  <c r="AI77" i="1"/>
  <c r="AD77" i="1"/>
  <c r="AI76" i="1"/>
  <c r="AJ76" i="1" s="1"/>
  <c r="AD76" i="1"/>
  <c r="AD75" i="1"/>
  <c r="AD74" i="1"/>
  <c r="AI74" i="1" s="1"/>
  <c r="AJ74" i="1" s="1"/>
  <c r="AD73" i="1"/>
  <c r="AI73" i="1" s="1"/>
  <c r="AJ73" i="1" s="1"/>
  <c r="AI72" i="1"/>
  <c r="AJ72" i="1" s="1"/>
  <c r="AD72" i="1"/>
  <c r="AD71" i="1"/>
  <c r="AD70" i="1"/>
  <c r="AJ69" i="1"/>
  <c r="AI69" i="1"/>
  <c r="AD69" i="1"/>
  <c r="AI68" i="1"/>
  <c r="AJ68" i="1" s="1"/>
  <c r="AD68" i="1"/>
  <c r="AD67" i="1"/>
  <c r="AD66" i="1"/>
  <c r="AI66" i="1" s="1"/>
  <c r="AJ66" i="1" s="1"/>
  <c r="AD65" i="1"/>
  <c r="AI65" i="1" s="1"/>
  <c r="AJ65" i="1" s="1"/>
  <c r="AI64" i="1"/>
  <c r="AJ64" i="1" s="1"/>
  <c r="AD64" i="1"/>
  <c r="AD63" i="1"/>
  <c r="AD62" i="1"/>
  <c r="AJ61" i="1"/>
  <c r="AI61" i="1"/>
  <c r="AD61" i="1"/>
  <c r="AI60" i="1"/>
  <c r="AJ60" i="1" s="1"/>
  <c r="AD60" i="1"/>
  <c r="AD59" i="1"/>
  <c r="AD58" i="1"/>
  <c r="AI58" i="1" s="1"/>
  <c r="AJ58" i="1" s="1"/>
  <c r="AD57" i="1"/>
  <c r="AI57" i="1" s="1"/>
  <c r="AJ57" i="1" s="1"/>
  <c r="AI56" i="1"/>
  <c r="AJ56" i="1" s="1"/>
  <c r="AD56" i="1"/>
  <c r="AD55" i="1"/>
  <c r="AD54" i="1"/>
  <c r="AJ53" i="1"/>
  <c r="AI53" i="1"/>
  <c r="AD53" i="1"/>
  <c r="AI52" i="1"/>
  <c r="AD52" i="1"/>
  <c r="AJ52" i="1" s="1"/>
  <c r="AD51" i="1"/>
  <c r="AJ50" i="1"/>
  <c r="AI50" i="1"/>
  <c r="AD50" i="1"/>
  <c r="AD49" i="1"/>
  <c r="AI49" i="1" s="1"/>
  <c r="AJ49" i="1" s="1"/>
  <c r="AI48" i="1"/>
  <c r="AJ48" i="1" s="1"/>
  <c r="AD48" i="1"/>
  <c r="AD47" i="1"/>
  <c r="AD46" i="1"/>
  <c r="AJ45" i="1"/>
  <c r="AI45" i="1"/>
  <c r="AD45" i="1"/>
  <c r="AI44" i="1"/>
  <c r="AD44" i="1"/>
  <c r="AJ44" i="1" s="1"/>
  <c r="AD43" i="1"/>
  <c r="AJ42" i="1"/>
  <c r="AI42" i="1"/>
  <c r="AD42" i="1"/>
  <c r="AD41" i="1"/>
  <c r="AI41" i="1" s="1"/>
  <c r="AJ41" i="1" s="1"/>
  <c r="AI40" i="1"/>
  <c r="AD40" i="1"/>
  <c r="AJ40" i="1" s="1"/>
  <c r="AD39" i="1"/>
  <c r="AD38" i="1"/>
  <c r="AJ37" i="1"/>
  <c r="AI37" i="1"/>
  <c r="AD37" i="1"/>
  <c r="AI36" i="1"/>
  <c r="AD36" i="1"/>
  <c r="AJ36" i="1" s="1"/>
  <c r="AD35" i="1"/>
  <c r="AD34" i="1"/>
  <c r="AI34" i="1" s="1"/>
  <c r="AJ34" i="1" s="1"/>
  <c r="AD33" i="1"/>
  <c r="AI33" i="1" s="1"/>
  <c r="AJ33" i="1" s="1"/>
  <c r="AD32" i="1"/>
  <c r="AI32" i="1" s="1"/>
  <c r="AD31" i="1"/>
  <c r="AD30" i="1"/>
  <c r="AI29" i="1"/>
  <c r="AJ29" i="1" s="1"/>
  <c r="AD29" i="1"/>
  <c r="AI28" i="1"/>
  <c r="AD28" i="1"/>
  <c r="AJ28" i="1" s="1"/>
  <c r="AD27" i="1"/>
  <c r="AI27" i="1" s="1"/>
  <c r="AD26" i="1"/>
  <c r="AI26" i="1" s="1"/>
  <c r="AJ26" i="1" s="1"/>
  <c r="AD25" i="1"/>
  <c r="AI25" i="1" s="1"/>
  <c r="AJ25" i="1" s="1"/>
  <c r="AD24" i="1"/>
  <c r="AD23" i="1"/>
  <c r="AD22" i="1"/>
  <c r="AI21" i="1"/>
  <c r="AJ21" i="1" s="1"/>
  <c r="AD21" i="1"/>
  <c r="AI20" i="1"/>
  <c r="AJ20" i="1" s="1"/>
  <c r="AD20" i="1"/>
  <c r="AI19" i="1"/>
  <c r="AD19" i="1"/>
  <c r="AD18" i="1"/>
  <c r="AD17" i="1"/>
  <c r="AJ16" i="1"/>
  <c r="AI16" i="1"/>
  <c r="AD16" i="1"/>
  <c r="AI15" i="1"/>
  <c r="AJ15" i="1" s="1"/>
  <c r="AD15" i="1"/>
  <c r="AD14" i="1"/>
  <c r="AI14" i="1" s="1"/>
  <c r="AD13" i="1"/>
  <c r="AD12" i="1"/>
  <c r="AI12" i="1" s="1"/>
  <c r="AJ12" i="1" s="1"/>
  <c r="AI11" i="1"/>
  <c r="AJ11" i="1" s="1"/>
  <c r="AD11" i="1"/>
  <c r="AD10" i="1"/>
  <c r="AD9" i="1"/>
  <c r="AJ8" i="1"/>
  <c r="AI8" i="1"/>
  <c r="AD8" i="1"/>
  <c r="AI7" i="1"/>
  <c r="AJ7" i="1" s="1"/>
  <c r="AD7" i="1"/>
  <c r="AD6" i="1"/>
  <c r="AI6" i="1" s="1"/>
  <c r="AD5" i="1"/>
  <c r="AI5" i="1" s="1"/>
  <c r="AJ5" i="1" s="1"/>
  <c r="AD4" i="1"/>
  <c r="AI4" i="1" s="1"/>
  <c r="AJ4" i="1" s="1"/>
  <c r="AI3" i="1"/>
  <c r="AJ3" i="1" s="1"/>
  <c r="AD3" i="1"/>
  <c r="AD2" i="1"/>
  <c r="AJ24" i="1" l="1"/>
  <c r="AJ46" i="1"/>
  <c r="AJ14" i="1"/>
  <c r="AI17" i="1"/>
  <c r="AJ17" i="1" s="1"/>
  <c r="AI24" i="1"/>
  <c r="AJ27" i="1"/>
  <c r="AJ32" i="1"/>
  <c r="AJ98" i="1"/>
  <c r="AJ6" i="1"/>
  <c r="AI9" i="1"/>
  <c r="AJ9" i="1" s="1"/>
  <c r="AJ38" i="1"/>
  <c r="AJ159" i="1"/>
  <c r="AJ397" i="1"/>
  <c r="AJ266" i="1"/>
  <c r="AI2" i="1"/>
  <c r="AJ2" i="1" s="1"/>
  <c r="AI18" i="1"/>
  <c r="AJ18" i="1" s="1"/>
  <c r="AI35" i="1"/>
  <c r="AJ35" i="1" s="1"/>
  <c r="AJ59" i="1"/>
  <c r="AJ191" i="1"/>
  <c r="AJ87" i="1"/>
  <c r="AJ199" i="1"/>
  <c r="AI10" i="1"/>
  <c r="AJ10" i="1" s="1"/>
  <c r="AI13" i="1"/>
  <c r="AJ13" i="1" s="1"/>
  <c r="AJ258" i="1"/>
  <c r="AI23" i="1"/>
  <c r="AJ23" i="1" s="1"/>
  <c r="AJ190" i="1"/>
  <c r="AJ19" i="1"/>
  <c r="AI22" i="1"/>
  <c r="AJ22" i="1" s="1"/>
  <c r="AJ30" i="1"/>
  <c r="AJ86" i="1"/>
  <c r="AJ331" i="1"/>
  <c r="AI43" i="1"/>
  <c r="AJ43" i="1" s="1"/>
  <c r="AI51" i="1"/>
  <c r="AJ51" i="1" s="1"/>
  <c r="AI59" i="1"/>
  <c r="AI67" i="1"/>
  <c r="AJ67" i="1" s="1"/>
  <c r="AI75" i="1"/>
  <c r="AJ75" i="1" s="1"/>
  <c r="AI163" i="1"/>
  <c r="AJ163" i="1" s="1"/>
  <c r="AI203" i="1"/>
  <c r="AJ203" i="1" s="1"/>
  <c r="AI331" i="1"/>
  <c r="AJ360" i="1"/>
  <c r="AJ368" i="1"/>
  <c r="AJ376" i="1"/>
  <c r="AI387" i="1"/>
  <c r="AJ387" i="1" s="1"/>
  <c r="AI395" i="1"/>
  <c r="AJ395" i="1" s="1"/>
  <c r="AI30" i="1"/>
  <c r="AI38" i="1"/>
  <c r="AI46" i="1"/>
  <c r="AI54" i="1"/>
  <c r="AJ54" i="1" s="1"/>
  <c r="AI62" i="1"/>
  <c r="AJ62" i="1" s="1"/>
  <c r="AI70" i="1"/>
  <c r="AJ70" i="1" s="1"/>
  <c r="AI78" i="1"/>
  <c r="AJ78" i="1" s="1"/>
  <c r="AI86" i="1"/>
  <c r="AI94" i="1"/>
  <c r="AJ94" i="1" s="1"/>
  <c r="AI102" i="1"/>
  <c r="AJ102" i="1" s="1"/>
  <c r="AI110" i="1"/>
  <c r="AJ110" i="1" s="1"/>
  <c r="AI118" i="1"/>
  <c r="AJ118" i="1" s="1"/>
  <c r="AI126" i="1"/>
  <c r="AJ126" i="1" s="1"/>
  <c r="AI134" i="1"/>
  <c r="AJ134" i="1" s="1"/>
  <c r="AI142" i="1"/>
  <c r="AJ142" i="1" s="1"/>
  <c r="AI150" i="1"/>
  <c r="AJ150" i="1" s="1"/>
  <c r="AI158" i="1"/>
  <c r="AJ158" i="1" s="1"/>
  <c r="AI166" i="1"/>
  <c r="AJ166" i="1" s="1"/>
  <c r="AI174" i="1"/>
  <c r="AJ174" i="1" s="1"/>
  <c r="AI182" i="1"/>
  <c r="AJ182" i="1" s="1"/>
  <c r="AI190" i="1"/>
  <c r="AI198" i="1"/>
  <c r="AJ198" i="1" s="1"/>
  <c r="AI206" i="1"/>
  <c r="AJ206" i="1" s="1"/>
  <c r="AI214" i="1"/>
  <c r="AJ214" i="1" s="1"/>
  <c r="AI222" i="1"/>
  <c r="AJ222" i="1" s="1"/>
  <c r="AI230" i="1"/>
  <c r="AJ230" i="1" s="1"/>
  <c r="AI238" i="1"/>
  <c r="AJ238" i="1" s="1"/>
  <c r="AI246" i="1"/>
  <c r="AJ246" i="1" s="1"/>
  <c r="AI254" i="1"/>
  <c r="AJ254" i="1" s="1"/>
  <c r="AI262" i="1"/>
  <c r="AJ262" i="1" s="1"/>
  <c r="AI270" i="1"/>
  <c r="AJ270" i="1" s="1"/>
  <c r="AI278" i="1"/>
  <c r="AJ278" i="1" s="1"/>
  <c r="AI286" i="1"/>
  <c r="AJ286" i="1" s="1"/>
  <c r="AI294" i="1"/>
  <c r="AJ294" i="1" s="1"/>
  <c r="AI302" i="1"/>
  <c r="AJ302" i="1" s="1"/>
  <c r="AI310" i="1"/>
  <c r="AJ310" i="1" s="1"/>
  <c r="AI318" i="1"/>
  <c r="AJ318" i="1" s="1"/>
  <c r="AI398" i="1"/>
  <c r="AJ398" i="1" s="1"/>
  <c r="AI329" i="1"/>
  <c r="AJ329" i="1" s="1"/>
  <c r="AI337" i="1"/>
  <c r="AJ337" i="1" s="1"/>
  <c r="AI353" i="1"/>
  <c r="AJ353" i="1" s="1"/>
  <c r="AI377" i="1"/>
  <c r="AJ377" i="1" s="1"/>
  <c r="AI385" i="1"/>
  <c r="AJ385" i="1" s="1"/>
  <c r="AI404" i="1"/>
  <c r="AJ404" i="1" s="1"/>
  <c r="AI31" i="1"/>
  <c r="AJ31" i="1" s="1"/>
  <c r="AI39" i="1"/>
  <c r="AJ39" i="1" s="1"/>
  <c r="AI47" i="1"/>
  <c r="AJ47" i="1" s="1"/>
  <c r="AI55" i="1"/>
  <c r="AJ55" i="1" s="1"/>
  <c r="AI63" i="1"/>
  <c r="AJ63" i="1" s="1"/>
  <c r="AI71" i="1"/>
  <c r="AJ71" i="1" s="1"/>
  <c r="AI79" i="1"/>
  <c r="AJ79" i="1" s="1"/>
  <c r="AI87" i="1"/>
  <c r="AI95" i="1"/>
  <c r="AJ95" i="1" s="1"/>
  <c r="AI103" i="1"/>
  <c r="AJ103" i="1" s="1"/>
  <c r="AI111" i="1"/>
  <c r="AJ111" i="1" s="1"/>
  <c r="AI119" i="1"/>
  <c r="AJ119" i="1" s="1"/>
  <c r="AI127" i="1"/>
  <c r="AJ127" i="1" s="1"/>
  <c r="AI135" i="1"/>
  <c r="AJ135" i="1" s="1"/>
  <c r="AI143" i="1"/>
  <c r="AJ143" i="1" s="1"/>
  <c r="AI151" i="1"/>
  <c r="AJ151" i="1" s="1"/>
  <c r="AI159" i="1"/>
  <c r="AI167" i="1"/>
  <c r="AJ167" i="1" s="1"/>
  <c r="AI175" i="1"/>
  <c r="AJ175" i="1" s="1"/>
  <c r="AI183" i="1"/>
  <c r="AJ183" i="1" s="1"/>
  <c r="AI191" i="1"/>
  <c r="AI199" i="1"/>
  <c r="AI207" i="1"/>
  <c r="AJ207" i="1" s="1"/>
  <c r="AI215" i="1"/>
  <c r="AJ215" i="1" s="1"/>
  <c r="AI223" i="1"/>
  <c r="AJ223" i="1" s="1"/>
  <c r="AI231" i="1"/>
  <c r="AJ231" i="1" s="1"/>
  <c r="AI239" i="1"/>
  <c r="AJ239" i="1" s="1"/>
  <c r="AI247" i="1"/>
  <c r="AJ247" i="1" s="1"/>
  <c r="AI255" i="1"/>
  <c r="AJ255" i="1" s="1"/>
  <c r="AI263" i="1"/>
  <c r="AJ263" i="1" s="1"/>
  <c r="AI271" i="1"/>
  <c r="AJ271" i="1" s="1"/>
  <c r="AI82" i="1"/>
  <c r="AJ82" i="1" s="1"/>
  <c r="AI90" i="1"/>
  <c r="AJ90" i="1" s="1"/>
  <c r="AI98" i="1"/>
  <c r="AI106" i="1"/>
  <c r="AJ106" i="1" s="1"/>
  <c r="AI114" i="1"/>
  <c r="AJ114" i="1" s="1"/>
  <c r="AI122" i="1"/>
  <c r="AJ122" i="1" s="1"/>
  <c r="AI210" i="1"/>
  <c r="AJ210" i="1" s="1"/>
  <c r="AI218" i="1"/>
  <c r="AJ218" i="1" s="1"/>
  <c r="AI226" i="1"/>
  <c r="AJ226" i="1" s="1"/>
  <c r="AI234" i="1"/>
  <c r="AJ234" i="1" s="1"/>
  <c r="AI242" i="1"/>
  <c r="AJ242" i="1" s="1"/>
  <c r="AI250" i="1"/>
  <c r="AJ250" i="1" s="1"/>
  <c r="AI258" i="1"/>
  <c r="AI266" i="1"/>
  <c r="AI274" i="1"/>
  <c r="AJ274" i="1" s="1"/>
  <c r="AI282" i="1"/>
  <c r="AJ282" i="1" s="1"/>
  <c r="AI290" i="1"/>
  <c r="AJ290" i="1" s="1"/>
  <c r="AI298" i="1"/>
  <c r="AJ298" i="1" s="1"/>
  <c r="AI306" i="1"/>
  <c r="AJ306" i="1" s="1"/>
  <c r="AI314" i="1"/>
  <c r="AJ314" i="1" s="1"/>
  <c r="AI322" i="1"/>
  <c r="AJ322" i="1" s="1"/>
  <c r="AI330" i="1"/>
  <c r="AJ330" i="1" s="1"/>
  <c r="AI338" i="1"/>
  <c r="AJ338" i="1" s="1"/>
  <c r="AI346" i="1"/>
  <c r="AJ346" i="1" s="1"/>
  <c r="AI354" i="1"/>
  <c r="AJ354" i="1" s="1"/>
  <c r="AI362" i="1"/>
  <c r="AJ362" i="1" s="1"/>
  <c r="AI370" i="1"/>
  <c r="AJ370" i="1" s="1"/>
  <c r="AI378" i="1"/>
  <c r="AJ378" i="1" s="1"/>
  <c r="AI386" i="1"/>
  <c r="AJ386" i="1" s="1"/>
  <c r="AI394" i="1"/>
  <c r="AJ394" i="1" s="1"/>
  <c r="AI402" i="1"/>
  <c r="AJ402" i="1" s="1"/>
  <c r="AI165" i="1"/>
  <c r="AJ165" i="1" s="1"/>
  <c r="AI173" i="1"/>
  <c r="AJ173" i="1" s="1"/>
  <c r="AI181" i="1"/>
  <c r="AJ181" i="1" s="1"/>
  <c r="AI189" i="1"/>
  <c r="AJ189" i="1" s="1"/>
  <c r="AI325" i="1"/>
  <c r="AJ325" i="1" s="1"/>
  <c r="AI333" i="1"/>
  <c r="AJ333" i="1" s="1"/>
  <c r="AI341" i="1"/>
  <c r="AJ341" i="1" s="1"/>
  <c r="AI349" i="1"/>
  <c r="AJ349" i="1" s="1"/>
  <c r="AI357" i="1"/>
  <c r="AJ357" i="1" s="1"/>
  <c r="AI365" i="1"/>
  <c r="AJ365" i="1" s="1"/>
  <c r="AI373" i="1"/>
  <c r="AJ373" i="1" s="1"/>
  <c r="AI381" i="1"/>
  <c r="AJ381" i="1" s="1"/>
  <c r="AI389" i="1"/>
  <c r="AJ389" i="1" s="1"/>
  <c r="AI397" i="1"/>
  <c r="AI405" i="1"/>
  <c r="AJ405" i="1" s="1"/>
</calcChain>
</file>

<file path=xl/sharedStrings.xml><?xml version="1.0" encoding="utf-8"?>
<sst xmlns="http://schemas.openxmlformats.org/spreadsheetml/2006/main" count="7713" uniqueCount="1311">
  <si>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</si>
  <si>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</si>
  <si>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</si>
  <si>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</si>
  <si>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</si>
  <si>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</si>
  <si>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</si>
  <si>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</si>
  <si>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</si>
  <si>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</si>
  <si>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</si>
  <si>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</si>
  <si>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</si>
  <si>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</si>
  <si>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</si>
  <si>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</si>
  <si>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</si>
  <si>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</si>
  <si>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</si>
  <si>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</si>
  <si>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</si>
  <si>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</si>
  <si>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</si>
  <si>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</si>
  <si>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</si>
  <si>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</si>
  <si>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</si>
  <si>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</si>
  <si>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</si>
  <si>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</si>
  <si>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</si>
  <si>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</si>
  <si>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</si>
  <si>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</si>
  <si>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</si>
  <si>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</si>
  <si>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</si>
  <si>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</si>
  <si>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</si>
  <si>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</si>
  <si>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NVMY34535000002607</t>
  </si>
  <si>
    <t>Completed</t>
  </si>
  <si>
    <t>DAYANA AWANG AHMAD</t>
  </si>
  <si>
    <t>DELIVERY_THREE_DAYS_ANYTIME</t>
  </si>
  <si>
    <t>Parcel</t>
  </si>
  <si>
    <t>STANDARD</t>
  </si>
  <si>
    <t>SMALL</t>
  </si>
  <si>
    <t>WMSIA</t>
  </si>
  <si>
    <t>KBR1-KBR1</t>
  </si>
  <si>
    <t>Sabah</t>
  </si>
  <si>
    <t>LOT 658, TAMAN PANTAI LOKKAWI , 88100 KINARUT PAPAR SABAH   Sabah  88100</t>
  </si>
  <si>
    <t>EMSIA</t>
  </si>
  <si>
    <t>15-PPR-122</t>
  </si>
  <si>
    <t>AHMAD ASN</t>
  </si>
  <si>
    <t>NVMY34535000002632</t>
  </si>
  <si>
    <t>JAMILAH KAMIS</t>
  </si>
  <si>
    <t>Kedah</t>
  </si>
  <si>
    <t>LOT 1049 KAMPUNG PERMATANG TIONG JUNJONG 09000 KULIM KEDAH   Kedah  09000</t>
  </si>
  <si>
    <t>MM-MM</t>
  </si>
  <si>
    <t>NVMY34535000002631</t>
  </si>
  <si>
    <t>MUHD DANIAL</t>
  </si>
  <si>
    <t>Pulau Pinang</t>
  </si>
  <si>
    <t>NO 46 MUKIM 5 KUBANG SEMAN BUKIT MERTAJAM 14400 KUBANG SEMAN PULAU PINANG   Pulau Pinang  14400</t>
  </si>
  <si>
    <t>NVMY34535000002630</t>
  </si>
  <si>
    <t>NIK MUHD ADAM MUKRIS BIN NIK LAH</t>
  </si>
  <si>
    <t>Melaka</t>
  </si>
  <si>
    <t>NO 2 JALAN POKOK MANGGA 6 TAMAN POKOK MANGGA 75250 MELAKA TENGAH MELAKA   Melaka  75250</t>
  </si>
  <si>
    <t>NVMY34535000002608</t>
  </si>
  <si>
    <t>NOOR SHAZLIZA BINTI MD NAWI</t>
  </si>
  <si>
    <t>NO 997H, TAMAN SETIA BERJAYA, JLN LANGGAR 05200 ALOR SETAR, KEDAH  Kedah  Kedah  05200</t>
  </si>
  <si>
    <t>NVMY34535000002623</t>
  </si>
  <si>
    <t>MUHAMMAD HAFIZ BIN ROSLY</t>
  </si>
  <si>
    <t>Negeri Sembilan</t>
  </si>
  <si>
    <t>NO 3 LORONG 6 TAMAN MAWAR BATU KIKIR 72200 NEGERI SEMBILAN   Negeri Sembilan  72200</t>
  </si>
  <si>
    <t>NVMY34535000002634</t>
  </si>
  <si>
    <t>MASTURA BINTI ZAKARIA</t>
  </si>
  <si>
    <t>Kelantan</t>
  </si>
  <si>
    <t>PT 501 KG SEBERANG PASIR MAS 15100 KOTA BHARU KELANTAN   Kelantan  15100</t>
  </si>
  <si>
    <t>1-KET-141</t>
  </si>
  <si>
    <t>NVMY34535000002619</t>
  </si>
  <si>
    <t>NUR SHAIRA NADIA</t>
  </si>
  <si>
    <t>Perak</t>
  </si>
  <si>
    <t>NO 80 JALAN PENGKALAN MAJU 6 TAMAN PENGKALAN UTAMA 34700 TAIPING PERAK   Perak  34700</t>
  </si>
  <si>
    <t>NVMY34535000002620</t>
  </si>
  <si>
    <t>MASNAH KHAMIS</t>
  </si>
  <si>
    <t>Selangor</t>
  </si>
  <si>
    <t>BERHADAPAN MASJID SG MERAB LUAR NO 1 JLN DAMAI 5 TAMAN DESA DAMAI 43000 BANGI SELANGOR   Selangor  43000</t>
  </si>
  <si>
    <t>NVMY34535000002602</t>
  </si>
  <si>
    <t>AHMAD FADHLAN IMAN</t>
  </si>
  <si>
    <t>PT211 TERATAK AMANI JALAN BUKIT MARAK CABANG 3 PAUH LIMA 16150 KOTA BHARU KELANTAN  Kelantan  Kelantan  16150</t>
  </si>
  <si>
    <t>KEL-KEL</t>
  </si>
  <si>
    <t>NVMY34535000002624</t>
  </si>
  <si>
    <t>SALIAH MD DAREN</t>
  </si>
  <si>
    <t>Johor</t>
  </si>
  <si>
    <t>NO 18 JALAN 3 TAMAN LUNDANG PARIT RAJA 84000 BATU PAHAT JOHOR   Johor  84000</t>
  </si>
  <si>
    <t>NVMY34535000002625</t>
  </si>
  <si>
    <t>SITI HASMAH BINTI SARMUN</t>
  </si>
  <si>
    <t>NO 9 JALAN SRI MAKMUR 1 KAMPUNG PAYA 81850 LAYANG LAYANG JOHOR   Johor  81850</t>
  </si>
  <si>
    <t>NVMY34535000002627</t>
  </si>
  <si>
    <t>CHE NGAH</t>
  </si>
  <si>
    <t>412C LORONG ASTANA 10/15 BANDAR SERI ASTANA 08000 SUNGAI PETANI KEDAH   Kedah  08000</t>
  </si>
  <si>
    <t>NVMY34535000002633</t>
  </si>
  <si>
    <t>ANI</t>
  </si>
  <si>
    <t>LOT 715 BATU 23 JALAN REDAN HUJUNG KANCHONG DARAT 42700 BANTING SELANGOR   Selangor  42700</t>
  </si>
  <si>
    <t>NVMY34535000002610</t>
  </si>
  <si>
    <t>FAEZAH ROHAIZAT</t>
  </si>
  <si>
    <t>215 JALAN DAMAI 8/1 TAMAN DAMAI 81400 SENAI JOHOR   Johor  81400</t>
  </si>
  <si>
    <t>NVMY34535000002609</t>
  </si>
  <si>
    <t>ZIYAD</t>
  </si>
  <si>
    <t>NO 47 JALAN BESAR KOTA 71350 REMBAU NEGERI SEMBILAN   Negeri Sembilan  71350</t>
  </si>
  <si>
    <t>NVMY34535000002628</t>
  </si>
  <si>
    <t>MKF EMPIRE</t>
  </si>
  <si>
    <t>C-06-03 BLOK C JALAN PJS 2C/2 TAMAN MEDAN CAHAYA 46000 PETALING JAYA SELANGOR   Selangor  46000</t>
  </si>
  <si>
    <t>NVMY34535000002617</t>
  </si>
  <si>
    <t>NURUL FATIN ZAMILAH BT ZAMZURI</t>
  </si>
  <si>
    <t>Perlis</t>
  </si>
  <si>
    <t>NO 13 TAMAN BAHAGIA BALAI BARU 02400 BERSERI PERLIS   Perlis  02400</t>
  </si>
  <si>
    <t>NVMY34535000002636</t>
  </si>
  <si>
    <t>NOR HAMIAH BT ABDUL HAMID</t>
  </si>
  <si>
    <t>Pahang</t>
  </si>
  <si>
    <t>95 LRG KETAPANG MUALIM 6 TAMAN KETAPANG MUALIM 26600 PEKAN PAHANG   Pahang  26600</t>
  </si>
  <si>
    <t>NVMY34535000002655</t>
  </si>
  <si>
    <t>HANIF FADLI</t>
  </si>
  <si>
    <t>BLOCK BB NO.14 PERUMAHAN JPN KG DANGAR KUBANG PANJANG PASIR MAS 17000 KELANTAN   Kelantan  17000</t>
  </si>
  <si>
    <t>NVMY34535000002662</t>
  </si>
  <si>
    <t>MOHD FAIZOL BIN IBRAHIM</t>
  </si>
  <si>
    <t>NO 5 BLOK A JALAN MELATI PPSK RUMPUN MAKMUR KUALA KRAU 28050 TEMERLOH   Pahang  28050</t>
  </si>
  <si>
    <t>6A-JER-38</t>
  </si>
  <si>
    <t>NVMY34535000002642</t>
  </si>
  <si>
    <t>SITI ZALEHA BINTI RAZALI</t>
  </si>
  <si>
    <t>LOT 1315 KAMPUNG BELUKAR KUBUR JALAN DEWAN BATU 23 18500 MACHANG KELANTAN   Kelantan  18500</t>
  </si>
  <si>
    <t>1A-MAC-3</t>
  </si>
  <si>
    <t>NVMY34535000002511</t>
  </si>
  <si>
    <t>NORHAYATI BT MARZUKI</t>
  </si>
  <si>
    <t>Sarawak</t>
  </si>
  <si>
    <t>LOT 2002 SKIM PEMBESARAN KAMPU NG MANG 94300 KOTA SEMARAHAN SARAWAK   Sarawak  94300</t>
  </si>
  <si>
    <t>16-SER-131</t>
  </si>
  <si>
    <t>NVMY34535000002680</t>
  </si>
  <si>
    <t>JAMALULLAIL</t>
  </si>
  <si>
    <t>NO.5 JALAN SERI PUTRA 2/2D, BANDAR SERI PUTRA, KAJANG 43000 SELANGOR   Selangor  43000</t>
  </si>
  <si>
    <t>10-BSP-182</t>
  </si>
  <si>
    <t>NVMY34535000002664</t>
  </si>
  <si>
    <t>HASNIZA ABDUL RAHMAN</t>
  </si>
  <si>
    <t>4-3-1 , GUGUSAN SEROJA, JALAN CECAWI 6/30,SEKSYEN 6,KOTA DAMANSARA,47810 PETALING JAYA SELANGOR   Selangor  47810</t>
  </si>
  <si>
    <t>NVMY34535000002635</t>
  </si>
  <si>
    <t>HOMESTAY ANIKA JUNAINI KOSNAN</t>
  </si>
  <si>
    <t>NO 3 JALAN MANIS 6 TAMAN MANIS 86400 PARIT RAJA BATU PAHAT JOHOR    Johor  86400</t>
  </si>
  <si>
    <t>NVMY34535000002643</t>
  </si>
  <si>
    <t>NOR AINI BT MD JUSOH</t>
  </si>
  <si>
    <t>NO. 22 JALAN SERAI PERMAI 13 TAMAN SERAI PERMAI 34300 BAGAN SERAI PERAK   Perak  34300</t>
  </si>
  <si>
    <t>NVMY34535000002657</t>
  </si>
  <si>
    <t>AZWA BALQIS</t>
  </si>
  <si>
    <t>B4, JALAN KARIMUN PARIT 6 BARAT 45300 SUNGAI BESAR SELANGOR   Selangor  45300</t>
  </si>
  <si>
    <t>NVMY34535000002678</t>
  </si>
  <si>
    <t>DES</t>
  </si>
  <si>
    <t>LORONG E1, LOT E12P KAMPUNG MELAYU SERI KUNDANG 48050 SELANGOR   Selangor  48050</t>
  </si>
  <si>
    <t>14-SGB-179</t>
  </si>
  <si>
    <t>NVMY34535000002659</t>
  </si>
  <si>
    <t>NUR AMANINA</t>
  </si>
  <si>
    <t>NO 1 JALAN KLINIK PARIT 9 BARAT 45300 SUNGAI BESAR SELANGOR   Selangor  45300</t>
  </si>
  <si>
    <t>NVMY34535000002672</t>
  </si>
  <si>
    <t>MOHD FAHMY</t>
  </si>
  <si>
    <t xml:space="preserve"> J-6-24 APT. SRI ANGKASA, JLN. BT. UNJUR 10, 41200 KLANG, SELANGOR   Selangor  41200</t>
  </si>
  <si>
    <t>NVMY34535000002653</t>
  </si>
  <si>
    <t>WARDAH</t>
  </si>
  <si>
    <t>BLOCK D 17B TINGKAT 2 TAMAN ALAM JAYA JALAN ALAM JAYA 8 BATU 9 43200 KUALA LUMPUR   Kuala Lumpur  43200</t>
  </si>
  <si>
    <t>NVMY34535000002679</t>
  </si>
  <si>
    <t>FIRDAUZ JUHAR</t>
  </si>
  <si>
    <t>NO 4, JALAN MUTIARA SEMANTAN 2, TAMAN MUTIARA SEMANTAN 28000 TEMERLOH PAHANG   Pahang  28000</t>
  </si>
  <si>
    <t>6A-TMH-35</t>
  </si>
  <si>
    <t>NVMY34535000002648</t>
  </si>
  <si>
    <t>MUHAMMAD SYAHIRAN AFZAN SABKI</t>
  </si>
  <si>
    <t>AKADEMI BOLASEPAK MERAH KUNING NO 1 JALAN U15/3 SEK U15 40170 SHAH ALAM SELANGOR   Selangor  40170</t>
  </si>
  <si>
    <t>NVMY34535000002654</t>
  </si>
  <si>
    <t>FARIZA IZUDDIN</t>
  </si>
  <si>
    <t>45 JALAN PJU 10/7 TAMAN DESA RIANG 47830 PETALING JAYA DAMANSARA DAMAI SELANGOR   Selangor  47830</t>
  </si>
  <si>
    <t>NVMY34535000002673</t>
  </si>
  <si>
    <t>HARMAN BIN KASNAWI</t>
  </si>
  <si>
    <t>LOT 478 JALAN MUSLIFAH 2 KAMPUNG BATU 2 SEPINTAS 45200 SABAK BERNAM SELANGOR    Selangor  45200</t>
  </si>
  <si>
    <t>13-SBR-103</t>
  </si>
  <si>
    <t>NVMY34535000002676</t>
  </si>
  <si>
    <t>SIR NIZAM MOHD</t>
  </si>
  <si>
    <t>LOT 11377-B, JLN MELUR 1, PKT 3 SUNGAI KANTAN, 43000 KAJANG SELANGOR   Selangor  43000</t>
  </si>
  <si>
    <t>10A-KAJ-68</t>
  </si>
  <si>
    <t>NVMY34535000002616</t>
  </si>
  <si>
    <t>SYEKILA BINTI PONLIMAN</t>
  </si>
  <si>
    <t>QSR STORES SDN BHD GROUND FLOOR LOT NO 101, 102, 120, 121 &amp; 122 OF PARENT LOT 3918 BLOCK 233 KUCHING SENTRAL JALAN PENRISSEN 93250 KUCHING SARAWAK   Sarawak  93250</t>
  </si>
  <si>
    <t>16-SAM-149</t>
  </si>
  <si>
    <t>NVMY34535000002670</t>
  </si>
  <si>
    <t>SARIFAH NORHAYATI BT. SYED M HALIM</t>
  </si>
  <si>
    <t>Kuala Lumpur</t>
  </si>
  <si>
    <t>SEK MEN KEB SEGAMBUT JLN SEGAMBUT 51200 KUALA LUMPUR   Kuala Lumpur  51200</t>
  </si>
  <si>
    <t>12A-SEG-92</t>
  </si>
  <si>
    <t>NVMY34535000002668</t>
  </si>
  <si>
    <t>CHE HASROLAZIZI BIN HAMZAH</t>
  </si>
  <si>
    <t>B3A PERUMAHAN KILANG SAWIT PASOH 72300 SIMPANG PERTANG NEGERI SEMBILAN   Negeri Sembilan  72300</t>
  </si>
  <si>
    <t>9-KLA-161</t>
  </si>
  <si>
    <t>NVMY34535000002681</t>
  </si>
  <si>
    <t>MUHAMAD ROSDI BIN AB KADIR</t>
  </si>
  <si>
    <t>JACKSON TOWING SERVICE NO 25 JALAN TAMING JAYA TAMING JAYA INDUSTRIAL PARK 43300 BALAKONG SELANGOR   Selangor  43300</t>
  </si>
  <si>
    <t>NVMY34535000002645</t>
  </si>
  <si>
    <t>NURUL AZIDA MOHAMAD</t>
  </si>
  <si>
    <t>C-3-9 PANGSAPURI LAGUNA BIRU 1, JLN TASIK BIRU 17 KUNDANG 48050 RAWANG SELANGOR   Selangor  48050</t>
  </si>
  <si>
    <t>NVMY34535000002660</t>
  </si>
  <si>
    <t>TENGKU SUHAILA</t>
  </si>
  <si>
    <t>A-2-4, SHAMELIN BESTARI CONDOMINIUM, JALAN 2/91A, TAMAN SHAMELIN 56100 KUALA LUMPUR   Kuala Lumpur  56100</t>
  </si>
  <si>
    <t>NVMY34535000002663</t>
  </si>
  <si>
    <t>MUHAMMAD SHAKIR</t>
  </si>
  <si>
    <t>A-3-7 IRIS APARTMENT JALAN 2/109C TAMAN ABADI INDAH 58100 KUALA LUMPUR   Kuala Lumpur  58100</t>
  </si>
  <si>
    <t>NVMY34535000002658</t>
  </si>
  <si>
    <t>LIYANA NATASYA</t>
  </si>
  <si>
    <t>132 JALAN TTJS 3/7 TAMAN TUANKU JAAFAR 71450 SUNGAI GADUT NEGERI SEMBILAN   Negeri Sembilan  71450</t>
  </si>
  <si>
    <t>NVMY34535000002682</t>
  </si>
  <si>
    <t>FIFI</t>
  </si>
  <si>
    <t>BLOK C-28-16 LIBERTY ARC @ AMPANG UKAY ULU KELANG HULU LANGAT 68000 SELANGOR   Selangor  68000</t>
  </si>
  <si>
    <t>NVMY34535000002644</t>
  </si>
  <si>
    <t>SUZILAWATI IBERAHIM</t>
  </si>
  <si>
    <t>NO 10 KG MAMPAN SIMPANG 5 83000 BATU PAHAT JOHOR   Johor  83000</t>
  </si>
  <si>
    <t>NVMY34535000002667</t>
  </si>
  <si>
    <t>MOHAMAD FARIS HAKIMI BIN ABD HALIM</t>
  </si>
  <si>
    <t>1ST FLOOR, NO 12943, JALAN BBN 1/7D, BANDAR BARU NILAI, 71800, NEGERI SEMBILAN   Negeri Sembilan  71800</t>
  </si>
  <si>
    <t>9-NIL-61</t>
  </si>
  <si>
    <t>NVMY34535000002638</t>
  </si>
  <si>
    <t>AZIZAH BINTI FADZIL</t>
  </si>
  <si>
    <t>1022 PERMATANG RAMBAI  13100 PENAGA  SEBERANG PERAI UTARA PULAU PINANG   Pulau Pinang  13100</t>
  </si>
  <si>
    <t>NVMY34535000002649</t>
  </si>
  <si>
    <t>SULKEEFLEE SAMAEA</t>
  </si>
  <si>
    <t>NO 6 PERUMAHAN BANJIR RKT KESEDAR LEBIR 18300 GUA MUSANG KELANTAN   Kelantan  18300</t>
  </si>
  <si>
    <t>1B-GUA-106</t>
  </si>
  <si>
    <t>NVMY34535000002640</t>
  </si>
  <si>
    <t>MASTURA BT MD NOOR</t>
  </si>
  <si>
    <t>No 13 JALAN PRIMA SAUJANA 4/6, TAMAN PRIMA SAUJANA, SEKSYEN 4 , 43000 KAJANG, SELANGOR   Selangor  43000</t>
  </si>
  <si>
    <t>NVMY34535000002639</t>
  </si>
  <si>
    <t>NORAZLIN MD ISA</t>
  </si>
  <si>
    <t>1574 LRG KENARI 12/3A TAMAN KENARI 09000 KULIM KEDAH   Kedah  09000</t>
  </si>
  <si>
    <t>NVMY34535000002651</t>
  </si>
  <si>
    <t>AINA</t>
  </si>
  <si>
    <t>BLOCK A-06-04 D'CASA CONDOMINIUM JALAN WAWASAN AMPANG 68000 AMPANG JAYA SELANGOR   Selangor  68000</t>
  </si>
  <si>
    <t>NVMY34535000002646</t>
  </si>
  <si>
    <t>ROSLINDA ABDULLAH</t>
  </si>
  <si>
    <t>NO 401 BLOK 2  JALAN 18/3 SEKSYEN 18  40000 SHAH ALAM SELANGOR   Selangor  40000</t>
  </si>
  <si>
    <t>NVMY34535000002641</t>
  </si>
  <si>
    <t>NURUL AKMAL BTE ABU KASIM</t>
  </si>
  <si>
    <t>NO 16B BLOK E FLAT SRI PERLIS 2 DATO KERAMAT 54000 KUALA LUMPUR   Kuala Lumpur  54000</t>
  </si>
  <si>
    <t>NVMY34535000002652</t>
  </si>
  <si>
    <t>10A-AMP-71</t>
  </si>
  <si>
    <t>NVMY34535000002696</t>
  </si>
  <si>
    <t>MUHD FIRDAUS</t>
  </si>
  <si>
    <t>311-3 APARTMENT KOTA WARISAN, SELAYANG BAHAGIA, 68100 BATU CAVES SELANGOR   Selangor  68100</t>
  </si>
  <si>
    <t>NVMY34535000002637</t>
  </si>
  <si>
    <t>SYADAA JEEB</t>
  </si>
  <si>
    <t>NO 24, JALAN TSS 1, TAMAN SERI SEMELING, 08100 BEDONG, SUNGAI PETANI, KEDAH   Kedah  08100</t>
  </si>
  <si>
    <t>NVMY34535000002691</t>
  </si>
  <si>
    <t>NINA SYAZANA</t>
  </si>
  <si>
    <t>NO 26 LORONG 2 TAMAN IMPIAN 27000 JERANTUT PAHANG   Pahang  27000</t>
  </si>
  <si>
    <t>NVMY34535000002687</t>
  </si>
  <si>
    <t>FATIN KADIM</t>
  </si>
  <si>
    <t>No 3,Jalan Karyawan Bestari,Puncak Bestari,42300 Bandar Puncak Alam,Selangor.   Selangor  42300</t>
  </si>
  <si>
    <t>NVMY34535000002674</t>
  </si>
  <si>
    <t>AMIR AIZAD SHAH BIN ROSLIMAN SHAH</t>
  </si>
  <si>
    <t>NO.264 FASA 3C 32040 SERI MANJUNG, PERAK   Perak  32040</t>
  </si>
  <si>
    <t>8A-STW-52</t>
  </si>
  <si>
    <t>NVMY34535000002697</t>
  </si>
  <si>
    <t>MUHAMMAD FIKRI BIN MOHAMED SAID</t>
  </si>
  <si>
    <t>NO 57 LORONG CEMPAKA 3  26700 MUADZAM SHAH PAHANG   Pahang  26700</t>
  </si>
  <si>
    <t>6-MSH-41</t>
  </si>
  <si>
    <t>NVMY34535000002669</t>
  </si>
  <si>
    <t>SALLEHUDIN BIN ABU HASAN</t>
  </si>
  <si>
    <t>NO 134 JALAN PERDANA 6, BATU 1 1/2 JALAN BAKRI 84000 MUAR JOHOR   Johor  84000</t>
  </si>
  <si>
    <t>NVMY34535000002675</t>
  </si>
  <si>
    <t>JAMIE AZNIZI</t>
  </si>
  <si>
    <t>NO 20 JALAN MELATI 3 TAMAN MELATI BUKIT SIPUT 85000 SEGAMAT JOHOR   Johor  85000</t>
  </si>
  <si>
    <t>NVMY34535000002671</t>
  </si>
  <si>
    <t>ROSNANI BT DESA</t>
  </si>
  <si>
    <t>2739, JLN MAHSURI 12 /G, TAMAN MAHSURI, 09400 PADANG SERAI KEDAH   Kedah  09400</t>
  </si>
  <si>
    <t>NVMY34535000002666</t>
  </si>
  <si>
    <t>SYAZANASARI BINTI AHMAD SAFIAN</t>
  </si>
  <si>
    <t>NO 27A KAMPUNG TELUK, 32400 AYER TAWAR, PERAK   Perak  32400</t>
  </si>
  <si>
    <t>8-ATW-138</t>
  </si>
  <si>
    <t>NVMY34535000002689</t>
  </si>
  <si>
    <t>MOHD SHAHRIL BIN MOHAMED ADANAN</t>
  </si>
  <si>
    <t>BALAI BOMBA DAN PENYELAMAT SEPUTEH JALAN KLANG LAMA 58100 KUALA LUMPUR   Kuala Lumpur  58100</t>
  </si>
  <si>
    <t>NVMY34535000002656</t>
  </si>
  <si>
    <t>NURSAIYIDAH NAFISAH  BINTI FADLI</t>
  </si>
  <si>
    <t>KOLEJ PROFESSIONAL MARA AYER MOLEK KM 16 JALAN AYER MOLEK/TIANG DUA 75460 AYER MOLEK MELAKA   Melaka  75460</t>
  </si>
  <si>
    <t>NVMY34535000002661</t>
  </si>
  <si>
    <t>TETUAN ALAN KANG &amp; CO</t>
  </si>
  <si>
    <t>PEGUAMBELA &amp; PEGUAMCARA 5.06 5TH FLOOR PLAZA PRIMA JALAN KELANG LAMA 58200 KUALA LUMPUR   Kuala Lumpur  58200</t>
  </si>
  <si>
    <t>NVMY34535000002699</t>
  </si>
  <si>
    <t>SUZANA BINTI MD YUNOS</t>
  </si>
  <si>
    <t>LOT 355 LORONG ALI AMIN (BENGKEL CAT) BATU 16 1/2 DUSUN TUA 43100 HULU LANGAT SELANGOR   Selangor  43100</t>
  </si>
  <si>
    <t>NVMY34535000002694</t>
  </si>
  <si>
    <t>MOHD HAFISZUL AMIN</t>
  </si>
  <si>
    <t>C-10-15 PANGSAPURI DENAI NUSANTARA GELANG PATAH 81550 JOHOR   Johor  81550</t>
  </si>
  <si>
    <t>4-GLG-136</t>
  </si>
  <si>
    <t>NVMY34535000002665</t>
  </si>
  <si>
    <t>JURIANAH BINTI KAMARUDIN NG</t>
  </si>
  <si>
    <t xml:space="preserve"> NO. 28 TAMAN DESA MUTIARA JLN LENCONG BARAT 05050 ALOR SETAR KEDAH   Kedah  05050</t>
  </si>
  <si>
    <t>NVMY34535000002706</t>
  </si>
  <si>
    <t>MAISHARAH BINTI MAMAT</t>
  </si>
  <si>
    <t>Terengganu</t>
  </si>
  <si>
    <t>PT 18189 SBLH STESEN PETRONAS JLN KEMAMAN-DUNGUN KG BARU KERTEH 24300 KERTEH KEMAMAN TERENGGANU   Terengganu  24300</t>
  </si>
  <si>
    <t>NVMY34535000002703</t>
  </si>
  <si>
    <t>NABILA</t>
  </si>
  <si>
    <t>83, LORONG DATO MUFTI 7 KG TENGAH 68000 AMPANG SELANGOR   Selangor  68000</t>
  </si>
  <si>
    <t>NVMY34535000002701</t>
  </si>
  <si>
    <t>NORLIZA ISMAIL</t>
  </si>
  <si>
    <t>NO 823 KG SETAJAM 26820 KUALA ROMPIN PAHANG   Pahang  26820</t>
  </si>
  <si>
    <t>NVMY34535000002683</t>
  </si>
  <si>
    <t>AMIRUL AIZAT</t>
  </si>
  <si>
    <t>No. 1179 JALAN ADILLA 4 TAMAN TUNKU SARINA 06000 JITRA KEDAH  Kedah  Kedah  06000</t>
  </si>
  <si>
    <t>NVMY34535000002650</t>
  </si>
  <si>
    <t>NORMA BINTI YAACOB</t>
  </si>
  <si>
    <t>BLOK 2-14-9 PANGSAPURI KTMB BANGSAR UTAMA 59000 KUALA LUMPUR    Kuala Lumpur  my 59000</t>
  </si>
  <si>
    <t>NVMY34535000002698</t>
  </si>
  <si>
    <t>CHOIZES CONCEPT STORE SDN BHD</t>
  </si>
  <si>
    <t>UNIT NO D6-3A-17 BANGUNAN PERDAGANGAN D6, SENTUL RAYA, 801 JLN SENTUL 51100 KUALA LUMPUR   Kuala Lumpur  51100</t>
  </si>
  <si>
    <t>NVMY34535000002684</t>
  </si>
  <si>
    <t>NOORAZAWANA MAZLI</t>
  </si>
  <si>
    <t>NO 6-1-3 JAMBUL COURT PERSIARAN BUKIT JAMBUL 5 11900 BAYAN LEPAS PULAU PINANG   Pulau Pinang  11900</t>
  </si>
  <si>
    <t>NVMY34535000002702</t>
  </si>
  <si>
    <t>NURUL LAILATUL BT JAAFAR</t>
  </si>
  <si>
    <t>954-A KG GELONG BILAL, JALAN PASIR PANJANG, 21100 KUALA TERENGGANU, TERENGGANU   Terengganu  21100</t>
  </si>
  <si>
    <t>2-PYG-170</t>
  </si>
  <si>
    <t>NVMY34535000002695</t>
  </si>
  <si>
    <t>AMIN</t>
  </si>
  <si>
    <t>NO 5 BLOK 2 JALAN JUJUR 2 BANDAR TUN RAZAK 56000 WILAYAH PERSEKUTUAN KUALA LUMPUR   Kuala Lumpur  56000</t>
  </si>
  <si>
    <t>12A-BTR-88</t>
  </si>
  <si>
    <t>NVMY34535000002693</t>
  </si>
  <si>
    <t>CHE MUHAMAD NAZRI BIN SOH SIVA</t>
  </si>
  <si>
    <t>KEMENTERIAN PERDAGANGAN DALAM NEGERI KOPERASI DAN KEPENGGUNAAN CAWANGAN MUAR, NO. 134-10, BANGUNAN HOKKIEN, JALAN SALLEH 84000 MUAR JOHOR   Johor  84000</t>
  </si>
  <si>
    <t>7-MUA-46</t>
  </si>
  <si>
    <t>NVMY34535000002692</t>
  </si>
  <si>
    <t>LAVANIYA SHAMUGANATHAN</t>
  </si>
  <si>
    <t>NO 57 JALAN 7 TAMAN PERMAI 45800 JERAM SELANGOR   Selangor  45800</t>
  </si>
  <si>
    <t>NVMY34535000002686</t>
  </si>
  <si>
    <t>HASLINA BT MUSTAPHA</t>
  </si>
  <si>
    <t>KEDAI JLE ELECTRICAL &amp; AIRCOND BUKIT PAK MUD 17600 JELI KELANTAN   Kelantan  17600</t>
  </si>
  <si>
    <t>NVMY34535000002690</t>
  </si>
  <si>
    <t>NUR FARHANA BT MOHD ROSLEE</t>
  </si>
  <si>
    <t>A-4-17 PERSIARAN KLEBANG RESTU PANGSAPURI KLEBANG ELEGEN 31200 CHEMOR PERAK   Perak  31200</t>
  </si>
  <si>
    <t>NVMY34535000002688</t>
  </si>
  <si>
    <t>IDA BADARIAH IBRAHIM</t>
  </si>
  <si>
    <t>No.11A, Kg Parit Amarikan Sungai Batu 34900 Pantai Remis Perak   Perak  34900</t>
  </si>
  <si>
    <t>NVMY34535000002677</t>
  </si>
  <si>
    <t>MOHAMAD ARAFAT BIN AZRI</t>
  </si>
  <si>
    <t>BATALION KE 13 RAMD KEM PAKIT 95000 SRI AMAN SARAWAK   Sarawak  95000</t>
  </si>
  <si>
    <t>16-SRI-132</t>
  </si>
  <si>
    <t>NVMY34535000002708</t>
  </si>
  <si>
    <t>MUHAMMAD SYUKRI BIN MOHAMMAD AZHAR</t>
  </si>
  <si>
    <t>1902-9 KAMPUNG GELAM TANJUNG KELING 76400 MELAKA   Melaka  76400</t>
  </si>
  <si>
    <t>NVMY34535000002717</t>
  </si>
  <si>
    <t>NOR AZURA BINTI LONG</t>
  </si>
  <si>
    <t>TINGKAT 6 SURUHANJAYA SYARIKAT MALAYSIA MENARA YAYASAN ISLAM TERENGGANU JALAN SULTAN OMAR 20300 KUALA TERENGGANU TERENGGANU   Terengganu  20300</t>
  </si>
  <si>
    <t>NVMY34535000002710</t>
  </si>
  <si>
    <t>NORASHIKIN BINTI AHMAD</t>
  </si>
  <si>
    <t>NO 113 LORONG LAUTAN SAMUDERA 9/3, LAVENDER VILLE SEKSYEN 9, 42300 BANDAR PUNCAK ALAM SELANGOR   Selangor  42300</t>
  </si>
  <si>
    <t>NVMY34535000002714</t>
  </si>
  <si>
    <t>MOHD AZIKI BIN ABDULLAH</t>
  </si>
  <si>
    <t>PT 2694 TAMAN RANTAU BARU 17200 RANTAU PANJANG KELANTAN   Kelantan  17200</t>
  </si>
  <si>
    <t>NVMY34535000002713</t>
  </si>
  <si>
    <t>LINDA FIZZLIND</t>
  </si>
  <si>
    <t>KE 11, KEDAI PERMATA, PASAR KEDAI PAYANG, 20000 KUALA TERENGGANU TERENGGANU   Terengganu  20000</t>
  </si>
  <si>
    <t>NVMY34535000002719</t>
  </si>
  <si>
    <t>INA SYAZWAN</t>
  </si>
  <si>
    <t>A-13-14 PPR HILIRAN AMPANG NO 2, JLN AMPANG PUTRA 55100 KUALA LUMPUR   Kuala Lumpur  55100</t>
  </si>
  <si>
    <t>NVMY34535000002704</t>
  </si>
  <si>
    <t>NUR SYUHADA BINTI MUSA</t>
  </si>
  <si>
    <t>CAPE EMS MANUFACTURING SDN. BHD. PLO 226D &amp; 227A, JLN CYBER ​​1A, KAWASAN PERINDUSTRIAN SENAI FASA 3, 81400 SENAI JOHOR   Johor  81400</t>
  </si>
  <si>
    <t>NVMY34535000002647</t>
  </si>
  <si>
    <t>SITI NORAIN MOHD JAN</t>
  </si>
  <si>
    <t>NO 2 JLN ASLI 19 TMN PASIR PUTIH 81700 PASIR GUDANG JOHOR   Johor  81700</t>
  </si>
  <si>
    <t>NVMY34535000002700</t>
  </si>
  <si>
    <t>SITI ZAINAB BINTI JAMALUDIN</t>
  </si>
  <si>
    <t>C 6 PLS 13 JALAN KLUANG PARIT LAPIS SEMARANG 86400 PARIT RAJA BATU PAHAT JOHOR   Johor  86400</t>
  </si>
  <si>
    <t>NVMY34535000002705</t>
  </si>
  <si>
    <t>MOHAMAD SHAFIE BIN AZIS  (PBS)</t>
  </si>
  <si>
    <t>BLOK D12 MARKAS PANGKALAN LUMUT PANGKALAN TLDM 32100 LUMUT PERAK   Perak  32100</t>
  </si>
  <si>
    <t>NVMY34535000002707</t>
  </si>
  <si>
    <t>SYAHIDAN ZUKRI</t>
  </si>
  <si>
    <t>A2-11 JALAN HELANG FLAT PERMAI INDAH 11700 GELUGOR PULAU PINANG   Pulau Pinang  11700</t>
  </si>
  <si>
    <t>NVMY34535000002739</t>
  </si>
  <si>
    <t>SHAHRIL EFFANDY BIN OTHMAN</t>
  </si>
  <si>
    <t>NO.742, JALAN 1B/4, BANDAR BARU SG BULOH, SUNGAI BULOH 47000, SELANGOR   Selangor  47000</t>
  </si>
  <si>
    <t>NVMY34535000002720</t>
  </si>
  <si>
    <t>ASHMIRA (ANGAH)</t>
  </si>
  <si>
    <t>NO 1 TINGKAT 1 BLOK 43 TAMAN AIR BATU 81700 PASIR GUDANG JOHOR   Johor  81700</t>
  </si>
  <si>
    <t>NVMY34535000002744</t>
  </si>
  <si>
    <t>NOOR UMIUMAIYAH</t>
  </si>
  <si>
    <t xml:space="preserve"> BLOK E-410  PANGSAPURI SRI CEMPAKA BANDAR SRI DAMANSARA 52200 KUALA LUMPUR   Kuala Lumpur  52200</t>
  </si>
  <si>
    <t>11A-KEP-79</t>
  </si>
  <si>
    <t>NVMY34535000002755</t>
  </si>
  <si>
    <t>NUR IZZATI BT MUSTAFA</t>
  </si>
  <si>
    <t>G-60-G JALAN TEKNOLOGI 3/9 BISTARI DE'KOTA KOTA DAMANSARA 47810 PETALING JAYA SELANGOR   Selangor  47810</t>
  </si>
  <si>
    <t>NVMY34535000002754</t>
  </si>
  <si>
    <t>MUHAMMAD SHAHRUL AFFZAN</t>
  </si>
  <si>
    <t>DESA SISWA KPTM BANGI SEKSYEN 14 JALAN TERAS JERNANG 43650 BANDAR BARU BANGI SELANGOR   Selangor  43650</t>
  </si>
  <si>
    <t>NVMY34535000002709</t>
  </si>
  <si>
    <t>SITI SAODAH BINTI REDHUAN</t>
  </si>
  <si>
    <t>SB 177 UNIT 2 KAMPUNG BUKIT KECIL JURU 14000 BUKIT MERTAJAM PULAU PINANG   Pulau Pinang  14000</t>
  </si>
  <si>
    <t>NVMY34535000002759</t>
  </si>
  <si>
    <t>SYZ STORE</t>
  </si>
  <si>
    <t>SUNWAY COURT APARTMENT BLOCK B101 JALAN PJS 7/13 BANDAR SUNWAY 47500 PETALING JAYA SELANGOR   Selangor  47500</t>
  </si>
  <si>
    <t>10-SUN-77</t>
  </si>
  <si>
    <t>NVMY34535000002753</t>
  </si>
  <si>
    <t>NAJWA BALQIS BT HARUN</t>
  </si>
  <si>
    <t>307-2 JALAN KETAPANG KAMPUNG BUKIT KUANG 24000 CHUKAI KEMAMAN TERENGGANU   Terengganu  24000</t>
  </si>
  <si>
    <t>NVMY34535000002715</t>
  </si>
  <si>
    <t>MOHD ZUKI BIN IBRAHIM</t>
  </si>
  <si>
    <t>PT 7187 TAMAN MESRA JALAN PERSIARAN RAYA 18300 GUA MUSANG KELANTAN   Kelantan  18300</t>
  </si>
  <si>
    <t>NVMY34535000002741</t>
  </si>
  <si>
    <t>SHALIMIN GHANI</t>
  </si>
  <si>
    <t>NO 10 LORONG BALOK PERDANA 4/3, PERUMAHAN BALOK PERDANA 26080 KUANTAN PAHANG   Pahang  26080</t>
  </si>
  <si>
    <t>6-BLK-169</t>
  </si>
  <si>
    <t>NVMY34535000002736</t>
  </si>
  <si>
    <t>SURIA OSMAN</t>
  </si>
  <si>
    <t>C0202 KASTURI APPARTMENT BK 3/7 BDR KINRARA 47100 PUCHONG SELANGOR   Selangor  47100</t>
  </si>
  <si>
    <t>14-TPK-118</t>
  </si>
  <si>
    <t>NVMY34535000002722</t>
  </si>
  <si>
    <t>NORSHAFARINA BINTI ASAARI</t>
  </si>
  <si>
    <t>KEMENTERIAN PEMBANGUNAN WANITA, KELUARGA DAN MASYARAKAT NO 55 PERSIARAN PERDARA, PRESINT 4, 62100 PUTRAJAYA   Putrajaya  62100</t>
  </si>
  <si>
    <t>NVMY34535000002731</t>
  </si>
  <si>
    <t>ABDURAHMAN</t>
  </si>
  <si>
    <t>AC4 RIA BLOCK B-3A-6 JALAN TAMAN SRI SENTOSA 58000 KUALA LUMPUR   Kuala Lumpur  58000</t>
  </si>
  <si>
    <t>NVMY34535000002733</t>
  </si>
  <si>
    <t>APAI ICHIGO</t>
  </si>
  <si>
    <t>F-3-03, PERSIARAN PUTRA PERMAI SELESA, BANDR PUTRA PERMAI, 43300 SERI KEMBANGAN SELANGOR   Selangor  43300</t>
  </si>
  <si>
    <t>12-SRD-94</t>
  </si>
  <si>
    <t>NVMY34535000002735</t>
  </si>
  <si>
    <t>MUHAMMAD SYAFIT BIN AZIZAN</t>
  </si>
  <si>
    <t>NO 82 FELDA SELNCAR 4 26700 MUADZAM SHAH PAHANG   Pahang  26700</t>
  </si>
  <si>
    <t>NVMY34535000002746</t>
  </si>
  <si>
    <t>JUMAAH BIN IMAM KANAFI</t>
  </si>
  <si>
    <t>NO 3, LORONG IM 6/9 BANDAR INDERA MAHKOTA 25200 KUANTAN PAHANG   Pahang  25200</t>
  </si>
  <si>
    <t>6A-KUA-33</t>
  </si>
  <si>
    <t>NVMY34535000002718</t>
  </si>
  <si>
    <t>NOR AKMA</t>
  </si>
  <si>
    <t>PT 835 KAMPUNG TERSUSUN SALAK BARU 31050 KUALA KANGSAR, PERAK   Perak  31050</t>
  </si>
  <si>
    <t>NVMY34535000002729</t>
  </si>
  <si>
    <t>AYU INDRI HAFSARI</t>
  </si>
  <si>
    <t>PENCHALA COSMESTIC 184 A KAMPUNG SUNGAI PENCHALA JL DAMANSARA  60000 KUALA LUMPUR   Kuala Lumpur  60000</t>
  </si>
  <si>
    <t>10A-DAM-72</t>
  </si>
  <si>
    <t>NVMY34535000002711</t>
  </si>
  <si>
    <t>WAN NUR SAFUWANI WAN MAT</t>
  </si>
  <si>
    <t>LOT 657A DEPAN SMU (A) WAKAF BHARU 16250 WAKAF BHARU KELANTAN   Kelantan  16250</t>
  </si>
  <si>
    <t>NVMY34535000002727</t>
  </si>
  <si>
    <t>POK MUNG</t>
  </si>
  <si>
    <t>CAWANGAN TRAFIK IPD KUALA LANGAT 42700 BANTING SELANGOR   Selangor  42700</t>
  </si>
  <si>
    <t>NVMY34535000002724</t>
  </si>
  <si>
    <t>MOHAMAD AZRUL HAFFIS BIN SOHILAN</t>
  </si>
  <si>
    <t>116 JALAN GUA 27100 PADANG TENGKU KUALA NIPIS PAHANG   Pahang  27100</t>
  </si>
  <si>
    <t>NVMY34535000002737</t>
  </si>
  <si>
    <t>MASTURA BINTI MD NASIR</t>
  </si>
  <si>
    <t>LOT 39E JALAN 1/6,KAMPUNG PAYA JARAS HILIR 47000, SUNGAI BULOH SELANGOR    Selangor  47000</t>
  </si>
  <si>
    <t>10A-SBZ-69</t>
  </si>
  <si>
    <t>NVMY34535000002734</t>
  </si>
  <si>
    <t>IKRAM ZAIM</t>
  </si>
  <si>
    <t xml:space="preserve"> BLOK 36.03.12 DESA TUN RAZAK SG UDANG 76300 MELAKA   Melaka  76300</t>
  </si>
  <si>
    <t>MKZ-MKZ</t>
  </si>
  <si>
    <t>NVMY34535000002712</t>
  </si>
  <si>
    <t>AFIQAH HASHIM</t>
  </si>
  <si>
    <t>NO 1056 PERSIARAN 3/1 KULIM UTAMA FASA 2 , 09000 KULIM KEDAH   Kedah  09000</t>
  </si>
  <si>
    <t>NVMY34535000002752</t>
  </si>
  <si>
    <t>SITI SHAMIMI</t>
  </si>
  <si>
    <t>N-G-21 APARTMENT DAHLIA TAMAN BUNGA RAYA BUKIT BERUNTUNG 48300 RAWANG SELANGOR   Selangor  48300</t>
  </si>
  <si>
    <t>NVMY34535000002730</t>
  </si>
  <si>
    <t>MUHAMAD SHAFIQ BIN RAHIDI</t>
  </si>
  <si>
    <t>NO 15,LEBOH PENDAMAR INDAH 1,TAMAN PENDAMARAN INDAH,42000  PELABUHAN KLANG,SELANGOR   Selangor  42000</t>
  </si>
  <si>
    <t>NVMY34535000002743</t>
  </si>
  <si>
    <t>RAJA MUHAMMAD SHAFIQ</t>
  </si>
  <si>
    <t>A1 LOT 1414 JALAN SULTAN HARUN LEMBAH PINGGIRAN BATU 7 3/4 SG CHINCHIN GOMBAK 68100 BATU CAVES SELANGOR   Selangor  68100</t>
  </si>
  <si>
    <t>10-CAV-75</t>
  </si>
  <si>
    <t>NVMY34535000002721</t>
  </si>
  <si>
    <t>PUTRI ATIKAH ARIFIN</t>
  </si>
  <si>
    <t>NO 33 JALAN AMAN KAMPUNG MELAYU MAJIDEE 81100 JB JOHOR   Johor  81100</t>
  </si>
  <si>
    <t>4A-KEM-22</t>
  </si>
  <si>
    <t>NVMY34535000002774</t>
  </si>
  <si>
    <t>NURSAFIA DESIGN SDN BHD</t>
  </si>
  <si>
    <t>NO 8 JALAN SITAR SATU 33/6A SHAH ALAM PREMIER INDUSTRIAL PARK 40400 SHAH ALAM SELANGOR   Selangor  40400</t>
  </si>
  <si>
    <t>NVMY34535000002716</t>
  </si>
  <si>
    <t>DEENLVA</t>
  </si>
  <si>
    <t>5A-16 ANZEN BUSINESS PARK NO 3-9 JALAN 4/37A KAWASAN INDUSTRI TAMAN BUKIT MALURI 52100 KUALA LUMPUR   Kuala Lumpur  52100</t>
  </si>
  <si>
    <t>NVMY34535000002742</t>
  </si>
  <si>
    <t>MOHD TAUFID BIN ISMAIL</t>
  </si>
  <si>
    <t>491 JALAN 2/3 TAMAN NUSARI BAYU 1 BANDAR SERI SENDAYAN 71950 SEREMBAN NEGERI SEMBILAN   Negeri Sembilan  71950</t>
  </si>
  <si>
    <t>9-SBN-145</t>
  </si>
  <si>
    <t>NVMY34535000002728</t>
  </si>
  <si>
    <t>FATHURAHMAN BIN MOHD NOOR</t>
  </si>
  <si>
    <t>BLOK B-2-16 KUATERS HOSPITAK SULTAN ISMAIL JALAN PERSIARAN EMAS UTAMA TAMAN MOUNT AUSTIN TEBRAU JOHOR BAHRU 81100 JOHOR   Johor  81100</t>
  </si>
  <si>
    <t>4A-AUS-23</t>
  </si>
  <si>
    <t>NVMY34535000002771</t>
  </si>
  <si>
    <t>IDAYU AYUMIE</t>
  </si>
  <si>
    <t>C-01-26 PANGSAPURI SRI MUTIARA JLN PUTRA INDAH 9/1C SEKSYEN 9 PUTRA HEIGHT PETALING JAYA 47650 SELANGOR   Selangor  47650</t>
  </si>
  <si>
    <t>NVMY34535000002751</t>
  </si>
  <si>
    <t>ROGAYAH BT YAACOB</t>
  </si>
  <si>
    <t>NO 36 JALAN RS2 TAMAN RAMBAI SETIA 75250 BUKIT RAMBAI MELAKA    Melaka  75250</t>
  </si>
  <si>
    <t>NVMY34535000002750</t>
  </si>
  <si>
    <t>OM HJ SAHLAN</t>
  </si>
  <si>
    <t>NO 2 PERSIARAN PENGKALAN RIA 7 MEDAN PENGKALAN BIDARI IPOH 31650 PERAK   Perak  31650</t>
  </si>
  <si>
    <t>8-HLD-139</t>
  </si>
  <si>
    <t>NVMY34535000002763</t>
  </si>
  <si>
    <t>SITI JUARIAH BT MOHAMMAD SHODEK</t>
  </si>
  <si>
    <t>NO 2 JALAN TEBUK HJ NOOR BT 36 DALAM SEKENDI 45200 SABAK BERNAM SELANGOR   Selangor  45200</t>
  </si>
  <si>
    <t>NVMY34535000002762</t>
  </si>
  <si>
    <t>APIT LID COLLECTION</t>
  </si>
  <si>
    <t>RKAT RPS BLOK G8-03-11 KEM PAYA JARAS MOSEP 47000 SUNGAI BULOH SELANGOR   Selangor  47000</t>
  </si>
  <si>
    <t>NVMY34535000002726</t>
  </si>
  <si>
    <t>MOHAMAD SHAMSURIE BIN MOHD SAKRI</t>
  </si>
  <si>
    <t>UNIT VEKTOR PEJABAT KESIHATAN DAERAH KULIM JALAN TASIK KULIM 09000 KEDAH   Kedah  09000</t>
  </si>
  <si>
    <t>5-KLM-27</t>
  </si>
  <si>
    <t>NVMY34535000002770</t>
  </si>
  <si>
    <t>ASMAH BT HASHIM</t>
  </si>
  <si>
    <t>NO41. TAMAN SEROJA 28700 BENTONG PAHANG DARUL MAKMUR   Pahang  28700</t>
  </si>
  <si>
    <t>14A-BEN-104</t>
  </si>
  <si>
    <t>NVMY34535000002773</t>
  </si>
  <si>
    <t>KTA TENAGA SDN BHD</t>
  </si>
  <si>
    <t>D1-21 JALAN PJU 1/41 DATARAN PRIMA KELANA JAYA 47301 PETALING JAYA SELANGOR   Selangor  47301</t>
  </si>
  <si>
    <t>NVMY34535000002776</t>
  </si>
  <si>
    <t>C-06-03,BLOK C, JALAN PJS 2C/2 TAMAN MEDAN CAHAYA, 46000 Petaling Jaya, Selangor, Petaling Jaya, 46000, SELANGOR   Selangor  46000</t>
  </si>
  <si>
    <t>NVMY34535000002775</t>
  </si>
  <si>
    <t xml:space="preserve"> C-06-03,BLOK C, JALAN PJS 2C/2 TAMAN MEDAN CAHAYA, 46000 Petaling Jaya, Selangor, Petaling Jaya, 46000, SELANGOR   Selangor  46000</t>
  </si>
  <si>
    <t>NVMY34535000002757</t>
  </si>
  <si>
    <t>NIK ANISAH BTE MAT JUSOH</t>
  </si>
  <si>
    <t>LOT PT 1369 RUMAH TERES BATU 9 17500 TANAH MERAH KELANTAN  Kelantan  Kelantan  17500</t>
  </si>
  <si>
    <t>NVMY34535000002766</t>
  </si>
  <si>
    <t>NOOR AKMA MAT DESA</t>
  </si>
  <si>
    <t>18 JALAN SP9/26, BANDAR SAUJANA PUTRA, 42610 JENJAROM, KUALA LANGAT, SELANGOR   Selangor  42610</t>
  </si>
  <si>
    <t>14-RBY-116</t>
  </si>
  <si>
    <t>NVMY34535000002756</t>
  </si>
  <si>
    <t>NOR SALSABILA BTE KAMARUL AZAHA</t>
  </si>
  <si>
    <t>NO 33 JALAN SG DURI INDAH 4 TAMAN SG DURI INDAH SUNGAI BAKAP 14200 PENANG   Pulau Pinang  my 14200</t>
  </si>
  <si>
    <t>NVMY34535000002765</t>
  </si>
  <si>
    <t>NORMALIZA BINTI AB MANAF</t>
  </si>
  <si>
    <t>E- 05-11, PERUMAHAN PENJAWAT AWAM, JALAN TEJA P18B ( JALAN P18B) PARCEL 18R12, PRESINT 18, 62100 PUTRAJAYA   Putrajaya  62100</t>
  </si>
  <si>
    <t>12-CJY-96</t>
  </si>
  <si>
    <t>NVMY34535000002747</t>
  </si>
  <si>
    <t>MUHAMMAD HARIZ AFFANDI BIN MOHD YUSRI</t>
  </si>
  <si>
    <t>1-15-17 TAMAN UTAMA LINTANG MIDEN 2 GELUGOR PULAU PINANG, TIMUR LAUT, 11700,  PENANG   Pulau Pinang  11700</t>
  </si>
  <si>
    <t>5-FLM-137</t>
  </si>
  <si>
    <t>NVMY34535000002769</t>
  </si>
  <si>
    <t>ATIKAH BT PE RAMLI</t>
  </si>
  <si>
    <t>NO 4527 KG BUKIT GREBAR 22100 SETIU TERENGGANU   Terengganu  22100</t>
  </si>
  <si>
    <t>NVMY34535000002748</t>
  </si>
  <si>
    <t>MUHAMMAD AFIQ</t>
  </si>
  <si>
    <t>NO 19 LORONG PERDA TIMUR 7 BANDAR PERDA 14000 BUKIT MERTAJAM PULAU PINANG   Pulau Pinang  14000</t>
  </si>
  <si>
    <t>NVMY34535000002764</t>
  </si>
  <si>
    <t>NORAINI ARIFFIN</t>
  </si>
  <si>
    <t>NO.8 JALAN CEMPAKA 17, TAMAN ROS MEWAH, 70450 SEREMBAN SENAWANG NEGERI SEMBILAN   Negeri Sembilan  70450</t>
  </si>
  <si>
    <t>9-SWG-60</t>
  </si>
  <si>
    <t>NVMY34535000002732</t>
  </si>
  <si>
    <t>MOHD HAFFIZAT BIN MAT LATIP</t>
  </si>
  <si>
    <t>NO1A BAN PISANG TEBUK PANCHUR 34310 BUKIT MERAH PERAK KERIAN 34400 PERAK   Perak  34400</t>
  </si>
  <si>
    <t>8A-BAG-50</t>
  </si>
  <si>
    <t>NVMY34535000002725</t>
  </si>
  <si>
    <t>MOHD NABIL MUHAMMAD</t>
  </si>
  <si>
    <t>NO 108,JLN PUTERI LAGENDA 5,TAMAN PUTERI LAGENDA,08300,GURUN,KEDAH   Kedah  08300</t>
  </si>
  <si>
    <t>3-GRN-143</t>
  </si>
  <si>
    <t>NVMY34535000002723</t>
  </si>
  <si>
    <t>UMMI NADRAH BINTI YAHYA</t>
  </si>
  <si>
    <t>04-05 LAGENDA TASEK APARTMENT JALAN PADI MAKMUR TAMAN SURIA MUAFAKAT 81200 JOHOR BAHRU JOHOR   Johor  81200</t>
  </si>
  <si>
    <t>NVMY34535000002738</t>
  </si>
  <si>
    <t>MUHAMMAD AIMAN BIN ZAINUN ABIDIN</t>
  </si>
  <si>
    <t>TAMAN SPRING FIELD LOT 54 ,BLOK F JLN LINTAS LABUK OFF MILE 8 JALAN LABUK  90000 SANDAKAN SABAH   Sabah  90000</t>
  </si>
  <si>
    <t>NVMY34535000002779</t>
  </si>
  <si>
    <t>MUHAMMAD RIDHUAN BIN MOHD ISA</t>
  </si>
  <si>
    <t>BLOK N-02-04 JALAN BATU NILAM 34 BANDAR BUKIT TINGGI 2, 41200 KLANG SELANGOR   Selangor  41200</t>
  </si>
  <si>
    <t>NVMY34535000002772</t>
  </si>
  <si>
    <t>BASHAH BT BAHAUDIN</t>
  </si>
  <si>
    <t>G 01 PANGSAPURI TAMAN DESA PALMA 14000 BUKIT MERTAJAM PULAU PINANG   Pulau Pinang  14000</t>
  </si>
  <si>
    <t>NVMY34535000002760</t>
  </si>
  <si>
    <t>NABILAH AHMAD</t>
  </si>
  <si>
    <t>NO 30 JALAN BAKAU 3 RPA 02000 KUALA PERLIS   Perlis  02000</t>
  </si>
  <si>
    <t>NVMY34535000002745</t>
  </si>
  <si>
    <t>MUHAMMAD ZAKWAN</t>
  </si>
  <si>
    <t>No 226, BLOK 9, FELDA MEMPAGA 1, PAHANG  KARAK   Malaysia 28600</t>
  </si>
  <si>
    <t>NVMY34535000002795</t>
  </si>
  <si>
    <t>NVMY34535000002685</t>
  </si>
  <si>
    <t>LYNDIANA BINTI MAJID</t>
  </si>
  <si>
    <t>LADANG FELDA SAHABAT 10 PETI SURAT 10 POS CENDERAWASIH 91150 LAHAD DATU SABAH   Sabah  91150</t>
  </si>
  <si>
    <t>MM-XDK</t>
  </si>
  <si>
    <t>NVMY34535000002790</t>
  </si>
  <si>
    <t>AMIR HAMZAH</t>
  </si>
  <si>
    <t>LOT 947-6 JALAN AMAN KAMPUNG KANCHONG DARAT 42700 BANTING SELANGOR   Selangor  42700</t>
  </si>
  <si>
    <t>13-BAN-98</t>
  </si>
  <si>
    <t>NVMY34535000002794</t>
  </si>
  <si>
    <t>NVMY34535000002791</t>
  </si>
  <si>
    <t>NVMY34535000002768</t>
  </si>
  <si>
    <t>SITI NORLIZAWATI RAHMAN</t>
  </si>
  <si>
    <t>NO 1613-2A, KUARTERS RUMAH GURU SMK HUTAN MELINTANG,  36400 HUTAN MELINTANG PERAK   Perak  36400</t>
  </si>
  <si>
    <t>NVMY34535000002792</t>
  </si>
  <si>
    <t>NVMY34535000002793</t>
  </si>
  <si>
    <t>NVMY34535000002767</t>
  </si>
  <si>
    <t>SYAZWANI YASMIN</t>
  </si>
  <si>
    <t>BATU 18 3/4 JALAN CHANGLUN 06000 JITRA KEDAH   Kedah  06000</t>
  </si>
  <si>
    <t>NVMY34535000002789</t>
  </si>
  <si>
    <t>RAS ATIKA</t>
  </si>
  <si>
    <t>NO 30, JLN PERMAI 15 TAMAN LESTARI PERMAI  BANDAR PUTRA PERMAI SERI KEMBANGAN, SERI KEMBANGAN, 43300, SELANGOR   Selangor  43300</t>
  </si>
  <si>
    <t>NVMY34535000002777</t>
  </si>
  <si>
    <t>RAFIDA MUHAMMAD</t>
  </si>
  <si>
    <t>N 21 JALAN 5 TAMAN SERI IJOK 45600 BESTARI JAYA SELANGOR   Selangor  45600</t>
  </si>
  <si>
    <t>13-KSR-97</t>
  </si>
  <si>
    <t>NVMY34535000002740</t>
  </si>
  <si>
    <t>MOHD RAZIF BIN ISHAK</t>
  </si>
  <si>
    <t>4655 KUALA MUDA 13110 PENAGA PULAU PINANG  Pulau Pinang  Pulau Pinang  13100</t>
  </si>
  <si>
    <t>5-BTS-29</t>
  </si>
  <si>
    <t>NVMY34535000002786</t>
  </si>
  <si>
    <t>NOR ASHIKIN BINTI AHMAD</t>
  </si>
  <si>
    <t>LOT 1550 KAMPUNG PULAU SERAI, JALAN BENTAN 26600 PEKAN, PAHANG   Pahang  26600</t>
  </si>
  <si>
    <t>NVMY34535000002749</t>
  </si>
  <si>
    <t>ROZARINA GANI</t>
  </si>
  <si>
    <t>KFC BATARAS LOT G1 ,G2 &amp;G3 JALAN DATUK CHONG THEIN VUN 91007 TAWAU SABAH   Sabah  91007</t>
  </si>
  <si>
    <t>NVMY34535000002761</t>
  </si>
  <si>
    <t>MUHAMMAD N.ADAM BIN NOORHISHAM</t>
  </si>
  <si>
    <t>NO 11 TAMAN RASA SAYANG FASA 1 LORONG 3 BEDONG 08100 KEDAH   Kedah  08100</t>
  </si>
  <si>
    <t>NVMY34535000002787</t>
  </si>
  <si>
    <t>CHENG NUR MEISHA SURAYA</t>
  </si>
  <si>
    <t>NO 47 JALAN PERMATA 11 TAMAN PERMATA 86000 KLUANG JOHOR   Johor  86000</t>
  </si>
  <si>
    <t>NVMY34535000002797</t>
  </si>
  <si>
    <t>MUHAMMAD KHAIRUL IKHWAN BIN RAYMEE</t>
  </si>
  <si>
    <t>8/783 KAMPUNG BATU HITAM BESERAH 26100 KUANTAN PAHANG   Pahang  26100</t>
  </si>
  <si>
    <t>NVMY34535000002784</t>
  </si>
  <si>
    <t>AFIQ IMAN</t>
  </si>
  <si>
    <t>NO 127 FASA 3B 32040 SERI MANJUNG PERAK   Perak  32040</t>
  </si>
  <si>
    <t>NVMY34535000002758</t>
  </si>
  <si>
    <t>ANA IZZATI HALIM</t>
  </si>
  <si>
    <t>NO 7 MK 11 SIMPANG EMPAT BUKIT TENGAH 14000 BUKIT MERTAJAM PULAU PINANG   Pulau Pinang  14000</t>
  </si>
  <si>
    <t>NVMY34535000002788</t>
  </si>
  <si>
    <t>ZUKNI PUTRA</t>
  </si>
  <si>
    <t>NO 63 JALAN 3 TAMAN TIMAH JAYA 31800 TG TUALANG PERAK   Perak  31800</t>
  </si>
  <si>
    <t>PRK-PRK</t>
  </si>
  <si>
    <t>NVMY34535000002780</t>
  </si>
  <si>
    <t>MUHAMAD AZRI</t>
  </si>
  <si>
    <t>NO 20 JALAN LAMAN SETIA 2/18 TAMAN LAMAN SETIA SETIA ECO GARDEN 81550 GELANG PATAH JOHOR   Johor  81550</t>
  </si>
  <si>
    <t>NVMY34535000002781</t>
  </si>
  <si>
    <t>HAIKAL</t>
  </si>
  <si>
    <t>BLOCK LC-3-8 , JLN NILAI PERDANA 11, TMN NILAI PERDANA, 71800 NILAI NEGERI SEMBILAN   Negeri Sembilan  71800</t>
  </si>
  <si>
    <t>NVMY34535000002783</t>
  </si>
  <si>
    <t>M.D.ELSA BIN MISNUR</t>
  </si>
  <si>
    <t>LOT 22 KG SERI BUNIAN PARIT HAJI OTHMAN BATU 33 JLN JOHOR 82000 PONTIAN JOHOR   Johor  82000</t>
  </si>
  <si>
    <t>NVMY34535000002785</t>
  </si>
  <si>
    <t>ZALIKHA BINTI AWANG</t>
  </si>
  <si>
    <t>B 84 LORONG ENGGANG 6 TAMAN DESA ENGGANG 08000 SUNGAI PETANI KUALA MUDA KEDAH   Kedah  08000</t>
  </si>
  <si>
    <t>NVMY34535000002778</t>
  </si>
  <si>
    <t>NVMY34535000002798</t>
  </si>
  <si>
    <t>SAIPOL BAHARI B RAMLI</t>
  </si>
  <si>
    <t>NO2-13 BLOCK B JALAN PELANDUK 1, TAMAN SCIENTEX, PASIR GUDANG 81700 JOHOR   Johor  81700</t>
  </si>
  <si>
    <t>NVMY34535000002796</t>
  </si>
  <si>
    <t>KAPLAK DAMASCUS ENTERPRISE</t>
  </si>
  <si>
    <t>LOT 1616 MARA ENTERPRENEUR PARK, PONGSU SERIBU, 13200 KEPALA BATAS PULAU PINANG   Pulau Pinang  13200</t>
  </si>
  <si>
    <t>NVMY34535000002810</t>
  </si>
  <si>
    <t>HAUZ</t>
  </si>
  <si>
    <t>PANGSAPURI SERI INTAN, NO 2-2-4, JALAN SETIA GEMILANG U13/45C, SEKSYEN U13 SETIA ALAM 40170, SHAH ALAM SELANGOR   Selangor  40170</t>
  </si>
  <si>
    <t>10-ALM-158</t>
  </si>
  <si>
    <t>NVMY34535000002821</t>
  </si>
  <si>
    <t>Muhamad alif Imran</t>
  </si>
  <si>
    <t>1178-A kampung kubang panjang 21400 kuala Terengganu    Terengganu  21400</t>
  </si>
  <si>
    <t>NVMY34535000002819</t>
  </si>
  <si>
    <t>SHAIFUL</t>
  </si>
  <si>
    <t>no 37 lorong bukit goh aman 1/3 perumahan bukit goh aman 1, 26050 kuantan pahang   Pahang  26050</t>
  </si>
  <si>
    <t>NVMY34535000002782</t>
  </si>
  <si>
    <t>AMIR BIN SHAARI</t>
  </si>
  <si>
    <t>NO 10 TEPI PENGCAWANG TNB KG PADANG GAONG MUKIM ULU MELAKA 07100 LANGKAWI (RUMAH SEWA CIKGU JOHARI) PULAU LANGKAWI KEDAH   Kedah  07100</t>
  </si>
  <si>
    <t>NVMY34535000002811</t>
  </si>
  <si>
    <t>Faeiman and Rahman</t>
  </si>
  <si>
    <t>No 48 SPKA JERAM BESU BENTA 27310 RAUB PAHANG   Pahang  27310</t>
  </si>
  <si>
    <t>6-LIP-105</t>
  </si>
  <si>
    <t>NVMY34535000002804</t>
  </si>
  <si>
    <t>MAIZURA WAHID</t>
  </si>
  <si>
    <t>LOT 2702 TAMAN DATIN HALIMAH,  KG PADANG LUAS 22000 JERTEH TERENGGANU   Terengganu  22000</t>
  </si>
  <si>
    <t>NVMY34535000002802</t>
  </si>
  <si>
    <t>MUHAMMAD SYAHIRAN AFZAN BIN SABKI</t>
  </si>
  <si>
    <t>AKADEMI BOLASEPAK MERAH KUNING NO 1 JALAN U15/3, SEK U15, 40170 SHAH ALAM SELANGOR   Selangor  40170</t>
  </si>
  <si>
    <t>13-PCK-101</t>
  </si>
  <si>
    <t>NVMY34535000002817</t>
  </si>
  <si>
    <t>Siti hajarul aini bt abd samad</t>
  </si>
  <si>
    <t>Pos 14,Kg Parit Lapis Kajang,simpang 5. 83020 Batu Pahat johor   Johor  83020</t>
  </si>
  <si>
    <t>NVMY34535000002801</t>
  </si>
  <si>
    <t>RIZA SYAMIMI</t>
  </si>
  <si>
    <t>KLINIK PERGIGIAN JASMIN DENTAL CARE. NO 30 LALUAN MERU IMPIAN A1, PUSAT PERNIAGAAN MERU IMPIAN 30020 IPOH, PERAK   Perak  30020</t>
  </si>
  <si>
    <t>8-IPH-58</t>
  </si>
  <si>
    <t>NVMY34535000002806</t>
  </si>
  <si>
    <t>NUR SYUHADA</t>
  </si>
  <si>
    <t>NO 6 JALAN PADI MALINJA TAMAN SENGGARANG 83200 SENGGARANG BATU PAHAT JOHOR   Johor  83200</t>
  </si>
  <si>
    <t>NVMY34535000002826</t>
  </si>
  <si>
    <t>JJ CORNER</t>
  </si>
  <si>
    <t>BATU 16 DUSUN TUA 43100 HULU LANGAT SELANGOR   Selangor  43100</t>
  </si>
  <si>
    <t>NVMY34535000002827</t>
  </si>
  <si>
    <t>FARID ROSLAN</t>
  </si>
  <si>
    <t>NO 6-1 JALAN PJU 10/18A SUTERA DAMANSARA 47830 PETALING JAYA SELANGOR   Selangor  47830</t>
  </si>
  <si>
    <t>NVMY34535000002829</t>
  </si>
  <si>
    <t>HAMISAH ISHAK</t>
  </si>
  <si>
    <t>31 LORONG SETIABISTARI 4 BUKIT DAMANSARA 50490 KUALA LUMPUR   Kuala Lumpur  50490</t>
  </si>
  <si>
    <t>NVMY34535000002813</t>
  </si>
  <si>
    <t>Noor syafiqah idris</t>
  </si>
  <si>
    <t>Residensi Laguna biru 2, BLOK D-11-10, JALAN TASIK BIRU 2 , TAMAN TASIK BIRU 2 ,48050 RAWANG SELANGOR   Selangor  48050</t>
  </si>
  <si>
    <t>NVMY34535000002816</t>
  </si>
  <si>
    <t>NOR ZARINA BT SUBARI</t>
  </si>
  <si>
    <t>No 141 jalan laman orkid 3/7 ,laman orkid  nilai impian, Seremban, 71800, Negeri Sembilan   Negeri Sembilan  71800</t>
  </si>
  <si>
    <t>NVMY34535000002805</t>
  </si>
  <si>
    <t>AZILAWATY BT MUDA</t>
  </si>
  <si>
    <t>BLOK 1, TINGKAT 2, UNIT 2, APARTMENT 5R6, PARCEL 5R6, PRESINT 5, 62200 PUTRAJAYA   Putrajaya  62200</t>
  </si>
  <si>
    <t>NVMY34535000002807</t>
  </si>
  <si>
    <t>ALYA</t>
  </si>
  <si>
    <t>NO.1, JALAN BINTANG 9, DESA RENING JAYA, 44200, RASA HULU SELANGOR SELANGOR   Selangor  44200</t>
  </si>
  <si>
    <t>NVMY34535000002808</t>
  </si>
  <si>
    <t>MOHD NAJIB</t>
  </si>
  <si>
    <t>NO 13, PERSIARAN DELIMA 4, FELDAJAYA SELATAN RAJA ALIAS, 72120, BANDAR SERI JEMPOL, NEGERI SEMBILAN   Negeri Sembilan  72120</t>
  </si>
  <si>
    <t>NVMY34535000002809</t>
  </si>
  <si>
    <t>SAIFUL FAHMI</t>
  </si>
  <si>
    <t>LOT 717 JALAN SEMUNGKIS KAMPUNG SEMUNGKIS HULU LANGAT 43100 SELANGOR DARUL EHSAN   Selangor  43100</t>
  </si>
  <si>
    <t>14-BMC-120</t>
  </si>
  <si>
    <t>NVMY34535000002818</t>
  </si>
  <si>
    <t>Mohd nadzri bin shahrin</t>
  </si>
  <si>
    <t>32 perumahan awam 2 Jalan permatang pasir 34950 bandar baharu Kedah   Kedah  34950</t>
  </si>
  <si>
    <t>NVMY34535000002815</t>
  </si>
  <si>
    <t>Muhammad Qayyum Bin Zaimarzuki</t>
  </si>
  <si>
    <t>6289B JALAN PANTAI BATU 6, KAMPUNG SAWAH SUNGGALA SI RUSA NEGERI SEMBILAN 71050 PORT DICKSON    Negeri Sembilan  71050</t>
  </si>
  <si>
    <t>9-PDS-62</t>
  </si>
  <si>
    <t>NVMY34535000002825</t>
  </si>
  <si>
    <t>MOHD FAIZ BIN ABDUL RAHMAN</t>
  </si>
  <si>
    <t>NO 15 JALAN BAGAN TERAP 26/11 HICOM INDUSTRI AREA SEKSYEN 26 40400 SHAH ALAM SELANGOR   Selangor  40400</t>
  </si>
  <si>
    <t>10A-SHA-70</t>
  </si>
  <si>
    <t>NVMY34535000002812</t>
  </si>
  <si>
    <t>Radzy Nurhakim</t>
  </si>
  <si>
    <t>D 89 , T/L 91 kampung parit mustaffa 83500 parit sulong batu pahat Johor   Johor  83500</t>
  </si>
  <si>
    <t>7-BPT-47</t>
  </si>
  <si>
    <t>NVMY34535000002799</t>
  </si>
  <si>
    <t>NURZAKIRAH</t>
  </si>
  <si>
    <t>LOT 1941 - NO4 JALAN TANJONG BATU 9 DALAM KG MEDAN, RUMAH WARNA PINK SIJANGKANG KUALA LANGAT 42500 SELANGOR   Selangor  42500</t>
  </si>
  <si>
    <t>NVMY34535000002803</t>
  </si>
  <si>
    <t>NAN YANG EMPORIUM</t>
  </si>
  <si>
    <t>PT 4211-4216 TAMAN BUNGA TROPIKAL 18300 GUA MUSANG KELANTAN   Kelantan  18300</t>
  </si>
  <si>
    <t>NVMY34535000002828</t>
  </si>
  <si>
    <t>NOR FARIDAH</t>
  </si>
  <si>
    <t>12-10 KOMPLEKS KEDIAMAN KAKITANGAN AWAM BRICKFIELDS JALAN ANG SENG 4 50470 KUALA LUMPUR   Kuala Lumpur  50470</t>
  </si>
  <si>
    <t>NVMY34535000002822</t>
  </si>
  <si>
    <t>MOHD RIDHWAN BIN MOHD ROPI</t>
  </si>
  <si>
    <t>13 JALAN SURIA S U5/S BANDAR PINGGIRAN SUBANG SEKSYEN U5 40150 SHAH ALAM SELANGOR   Selangor  40150</t>
  </si>
  <si>
    <t>NVMY34535000002823</t>
  </si>
  <si>
    <t>NUR HIDAYATI BT MOHD NOOR</t>
  </si>
  <si>
    <t>KOPOLISAS POLITEKNIK SULTAN HAJI AHMAD SHAH 25350 KUANTAN PAHANG (0172350831)   Pahang  25350</t>
  </si>
  <si>
    <t>NVMY34535000002824</t>
  </si>
  <si>
    <t>NVMY34535000002833</t>
  </si>
  <si>
    <t>AIMAN FARHAN</t>
  </si>
  <si>
    <t>KOPERASI UiTM KEDAI NO 7 KOMPLEKS TOK GAJAH, UNIVERSITI TEKNOLOGI MARA, CAWANGAN PAHANG, KAMPUS JENGKA 26400 BANDAR JENGKA , PAHANG DARUL MAKMUR   Pahang  26400</t>
  </si>
  <si>
    <t>NVMY34535000002836</t>
  </si>
  <si>
    <t>KOLEJ PROFESSIONAL MARA AYER MOLEK, KM 16, JALAN AYER MOLEK/ TIANG DUA, 75460 AYER MOLEK MELAKA   Melaka  75460</t>
  </si>
  <si>
    <t>NVMY34535000002814</t>
  </si>
  <si>
    <t>MOHAMAD ASYRAF BIN AHMAD</t>
  </si>
  <si>
    <t>SIMPANG ULU MELAKA,MUKIM ULU MELAKA,LANGKAWI,07000,KEDAH   Kedah  07000</t>
  </si>
  <si>
    <t>Warehouse to Freight-LGK</t>
  </si>
  <si>
    <t>NVMY34535000002831</t>
  </si>
  <si>
    <t>AZLIZAWANI</t>
  </si>
  <si>
    <t>PT 5370, TINGKAT BAWAH, TAMAN BAHAGIA, 18000 KUALA KRAI KELANTAN   Kelantan  18000</t>
  </si>
  <si>
    <t>NVMY34535000002820</t>
  </si>
  <si>
    <t>ASHARI</t>
  </si>
  <si>
    <t>D5-5-501 P/puri SRI meranti PSN meranti bandar SRI Damansara PJU 9 52200 kuala lumpur  Kuala Lumpur  Kuala Lumpur  52200</t>
  </si>
  <si>
    <t>NVMY34535000002834</t>
  </si>
  <si>
    <t>FARA</t>
  </si>
  <si>
    <t>366, LRG HJ ABDULLAH TAIB,  OFF JALAN SENTOSA, KG BUKIT CHERAKAH JAYA, SEKSYEN U15, 40170 SHAH ALAM SELANGOR   Selangor  40170</t>
  </si>
  <si>
    <t>NVMY34535000002838</t>
  </si>
  <si>
    <t>DIHAH</t>
  </si>
  <si>
    <t>SINAR GIANT BATU CAVES LOT B12 , GIANT COMPLEX BATU CAVES, LOT 10243 OFF JALAN CAVES, DAERAH GOMBAK, 68100 BATU CAVES SELANGOR   Selangor  68100</t>
  </si>
  <si>
    <t>NVMY34535000002800</t>
  </si>
  <si>
    <t>SITI SHERLY ROSLI</t>
  </si>
  <si>
    <t>SL 40 TAMAN SAMARINDAH LORONG SAMARINDAH BARU 2,JALAN DATO MOHD MUSA, 94300 KOTA SAMARAHAN SARAWAK   Sarawak  94300</t>
  </si>
  <si>
    <t>NVMY34535000002841</t>
  </si>
  <si>
    <t>NORMISSNAH BINTI ABDULLAH</t>
  </si>
  <si>
    <t>KELUMPUK CAMAR D 2933 JALAN AU 3/8 TAMAN SEPAKAT 54200 HULU KELANG KUALA LUMPUR   Kuala Lumpur  54200</t>
  </si>
  <si>
    <t>NVMY34535000002832</t>
  </si>
  <si>
    <t>ARIJ NISREEN</t>
  </si>
  <si>
    <t>NO 17, JALAN SENTOSA 2 TAMAN BUKIT SENTOSA, 53100 GOMBAK KUALA LUMPUR   Kuala Lumpur  53100</t>
  </si>
  <si>
    <t>NVMY34535000002830</t>
  </si>
  <si>
    <t>FAUZIAH ABDUL GHANI</t>
  </si>
  <si>
    <t>SEK KEB TAMAN DAMANSARA ALIFF JLN ALIFF HARMONI UTAMA 81200JOHOR BAHRU JOHOR   Johor  81200</t>
  </si>
  <si>
    <t>NVMY34535000002842</t>
  </si>
  <si>
    <t>NATRAH BINTI IBRAHIM</t>
  </si>
  <si>
    <t>B2 11 BAZAR DATARAN KESEDAR, GUA MUSANG GUA MUSANG KELANTAN   Malaysia 18300</t>
  </si>
  <si>
    <t>NVMY34535000002852</t>
  </si>
  <si>
    <t>NUR SYAFIQAH HAZIRAH BINTI AZMIN</t>
  </si>
  <si>
    <t>EMK MANAGEMENT SERVICES SDN BHD  B-3-13 (SUITE B) IOI BOULEVARD, JALAN KENARI 5, BANDAR PUCHONG JAYA, 47170 PUCHONG SELANGOR   Selangor  47170</t>
  </si>
  <si>
    <t>NVMY34535000002855</t>
  </si>
  <si>
    <t>MIRA ZOOL</t>
  </si>
  <si>
    <t>J6-2-8 PANGSAPURI SERI JATI, JALAN SETIA GEMILANG U13/45C, SETIA ALAM, 40170 SHAH ALAM SELANGOR   Selangor  my 40170</t>
  </si>
  <si>
    <t>NVMY34535000002846</t>
  </si>
  <si>
    <t>AMZAR MAT AROH</t>
  </si>
  <si>
    <t>ZP-01-21 ZEST POINT, BK9, LEBUHRAYA BUKIT JALIL-PUCHONG, 47180 KINRARA PUCHONG SELANGOR   Selangor  47180</t>
  </si>
  <si>
    <t>NVMY34535000002847</t>
  </si>
  <si>
    <t>NUR NATASYA AISYAH</t>
  </si>
  <si>
    <t>LOT 1966, KAMPUNG SENANG, JALAN KOTA JEMBAL, 16150 KOTA BHARU KELANTAN   Kelantan  16150</t>
  </si>
  <si>
    <t>NVMY34535000002840</t>
  </si>
  <si>
    <t>MELATI</t>
  </si>
  <si>
    <t>LOT 1483 JALAN BUKIT KUDA 41300 KLANG SELANGOR   Selangor  41300</t>
  </si>
  <si>
    <t>NVMY34535000002835</t>
  </si>
  <si>
    <t>229 MK 9, KAMPUNG PAYA, TELUK KUMBAR, 11920 BAYAN LEPAS PULAU PINANG   Pulau Pinang  11920</t>
  </si>
  <si>
    <t>NVMY34535000002843</t>
  </si>
  <si>
    <t>AMMAR</t>
  </si>
  <si>
    <t>C-5-6 RIANA GREEN EAST 53300 WANGSAMAJU KUALA LUMPUR   Kuala Lumpur  53300</t>
  </si>
  <si>
    <t>NVMY34535000002839</t>
  </si>
  <si>
    <t>ELEENA BINTI JAIHAN</t>
  </si>
  <si>
    <t>POS 255 PARIT MOIN 2 BAGAN 83000 BATU PAHAT JOHOR   Johor  83000</t>
  </si>
  <si>
    <t>NVMY34535000002849</t>
  </si>
  <si>
    <t>NOR HIDAYAH BINTI HAZA</t>
  </si>
  <si>
    <t>32-10-7, BUKIT PANDAN 1 CONDOMINIUM, JALAN PERDANA 1/91B, PANDAN PERDANA, 55300 KUALA LUMPUR   Kuala Lumpur  55300</t>
  </si>
  <si>
    <t>NVMY34535000002853</t>
  </si>
  <si>
    <t>YUSNITA BT AMRAN</t>
  </si>
  <si>
    <t>D-05-07 SRI PUTRAMAS JALAN PUTRAMAS 1 OFF JALAN KUCHING 51200 KUALA LUMPUR  , Kuala Lumpur  Kuala Lumpur MY 51200</t>
  </si>
  <si>
    <t>NVMY34535000002862</t>
  </si>
  <si>
    <t>NVMY34535000002868</t>
  </si>
  <si>
    <t>RASHIDAH BINTI MOHAMED NOOR</t>
  </si>
  <si>
    <t>SJKC KEPONG 2, JALAN BESAR KEPONG 52100 KUALA LUMPUR   Kuala Lumpur  52100</t>
  </si>
  <si>
    <t>NVMY34535000002837</t>
  </si>
  <si>
    <t>TALIP NORSAH</t>
  </si>
  <si>
    <t>Labuan</t>
  </si>
  <si>
    <t>PETRONAS CARI GALI SDN BHD , LABUAN GAS TERMINAL (LGAST) JALAN SUNGAI PAGAR , LABUAN 87022 WP LABUAN   Labuan  my 87022</t>
  </si>
  <si>
    <t>15B-LBN-111</t>
  </si>
  <si>
    <t>NVMY34535000002848</t>
  </si>
  <si>
    <t>PUTERI NUR FARAH BT SARIF</t>
  </si>
  <si>
    <t>JLN BALAI RAYA , KG TITIAN AKAR , 71150 LINGGI , NEGERI SEMBILAN  Negeri Sembilan  Negeri Sembilan  71150</t>
  </si>
  <si>
    <t>NVMY34535000002876</t>
  </si>
  <si>
    <t>MUHAMMAD BIN MUJAHID</t>
  </si>
  <si>
    <t>NO A7100 LORONG TOK SIRA 22 MEDAN TOK SIRA 25050 KUANTAN PAHANG   Pahang  25050</t>
  </si>
  <si>
    <t>NVMY34535000002861</t>
  </si>
  <si>
    <t>HASMIRA BINTI MOHD ASRI</t>
  </si>
  <si>
    <t>NO 34 JALAN PRIMA 3 TAMAN GOPENG PRIMA 31600 GOPENG PERAK   Perak  31600</t>
  </si>
  <si>
    <t>NVMY34535000002865</t>
  </si>
  <si>
    <t>NO 141 JALAN LAMAN ORKID 3/7 JALAN LAMAN ORKID NILAI IMPIAN , SEREMBAN, 71800 NEGERI SEMBILAN   Negeri Sembilan  71800</t>
  </si>
  <si>
    <t>NVMY34535000002870</t>
  </si>
  <si>
    <t>BLOCK C-28-16 LIBERTY ARC @ AMPANG UKAY ULU KELANG HULU LANGAT 68000 SELANGOR   Selangor  68000</t>
  </si>
  <si>
    <t>NVMY34535000002875</t>
  </si>
  <si>
    <t>LUQMANULHAKIM BIN MAHMAD NOR ZHAKI</t>
  </si>
  <si>
    <t>282526 KG DESA MAKMUR BATU 10 1/4 53100 GOMBAK KUALA LUMPUR   Kuala Lumpur  53100</t>
  </si>
  <si>
    <t>NVMY34535000002854</t>
  </si>
  <si>
    <t>SITI ADURA BINTI SULIMAN</t>
  </si>
  <si>
    <t>H13 QUARTERS LOJI AIR SAJ SIMPANG RENGGAM 86200 SIMPANG RENGGAM JOHOR   Johor  86200</t>
  </si>
  <si>
    <t>NVMY34535000002844</t>
  </si>
  <si>
    <t>HAZLIEDA BT MAT RONI</t>
  </si>
  <si>
    <t>No 8-A, JALAN SENTOSA, KAMPUNG MELAYU MAJIDEE JOHOR BAHRU, 81100 JOHOR   Johor  81100</t>
  </si>
  <si>
    <t>NVMY34535000002873</t>
  </si>
  <si>
    <t>MUHAMMAD FARIS BIN DERAMAN</t>
  </si>
  <si>
    <t>372 KG PUJUK MANIR 21200 KUALA TERENGGANU TERENGGANU   Terengganu  21200</t>
  </si>
  <si>
    <t>NVMY34535000002872</t>
  </si>
  <si>
    <t>MUHAMMAD NUAIMAN BIN M AFANDDI</t>
  </si>
  <si>
    <t>62 JALAN LAMAN ORKID 2/4 NILAI IMPIAN 71800 NILAI NEGERI SEMBILAN   Negeri Sembilan  71800</t>
  </si>
  <si>
    <t>NVMY34535000002845</t>
  </si>
  <si>
    <t>ECHA MEOW MEOW</t>
  </si>
  <si>
    <t>NO 95,JALAN PENDEKAR, KAMPUNG MUHIBBAH 86600 PALOH KLUANG JOHOR   Johor  86600</t>
  </si>
  <si>
    <t>NVMY34535000002867</t>
  </si>
  <si>
    <t>AMYLIZYANA</t>
  </si>
  <si>
    <t>TH04 JALAN GOH HOCK HUAT 41400 KLANG SELANGOR   Selangor  41400</t>
  </si>
  <si>
    <t>14-RPG-172</t>
  </si>
  <si>
    <t>NVMY34535000002851</t>
  </si>
  <si>
    <t>FIFIAZIRA BINTI ROSLI</t>
  </si>
  <si>
    <t>M-1-1 PANGSAPURI FASA 4A TANJUNG TOKONG 10470 PULAU PINANG   Pulau Pinang  10470</t>
  </si>
  <si>
    <t>NVMY34535000002850</t>
  </si>
  <si>
    <t>AMIRA BINTI AZAHAR</t>
  </si>
  <si>
    <t>NO 14A, KG LABU KUBONG, LUBOK MERBAU 33010 KUALA KANGSAR PERAK   Perak  33010</t>
  </si>
  <si>
    <t>NVMY34535000002878</t>
  </si>
  <si>
    <t>ZURAINI BT MD ZAKARIA</t>
  </si>
  <si>
    <t>PTD 1384 TELUK SISEK KG SIMPANG PENYABONG 86900 ENDAU MERSING JOHOR   Johor  86900</t>
  </si>
  <si>
    <t>NVMY34535000002864</t>
  </si>
  <si>
    <t>EN RAZALI</t>
  </si>
  <si>
    <t>BUNGE LODERS PLO 8 &amp; 9 JALAN TIMAH PASIR GUDANG 81700 JOHOR DARUL TADZIM   Johor  81700</t>
  </si>
  <si>
    <t>4A-PSG-24</t>
  </si>
  <si>
    <t>NVMY34535000002860</t>
  </si>
  <si>
    <t>SAIDATUL</t>
  </si>
  <si>
    <t>NO 18, JALAN 6, TAMAN KELISA JAYA, PARIT RAJA, 86400 BATU PAHAT JOHOR   Johor  86400</t>
  </si>
  <si>
    <t>7-HTM-135</t>
  </si>
  <si>
    <t>NVMY34535000002871</t>
  </si>
  <si>
    <t>NURAINUN WAHIDA BINTI MAHAZIM</t>
  </si>
  <si>
    <t>NO 25 KG BUKIT BULUH SG RENGIT 81620 PENGERANG JOHOR   Johor  81620</t>
  </si>
  <si>
    <t>4-PWR-26</t>
  </si>
  <si>
    <t>NVMY34535000002859</t>
  </si>
  <si>
    <t>JEFFRI</t>
  </si>
  <si>
    <t>10 A - JALAN SLIM KAMPUNG CHANGKAT KHIR JOHARI TANJUNG MALIK 35900 PERAK   Perak  35900</t>
  </si>
  <si>
    <t>8-SLM-56</t>
  </si>
  <si>
    <t>NVMY34535000002879</t>
  </si>
  <si>
    <t>HAYATI BINTI OMAR</t>
  </si>
  <si>
    <t>127 HADAPAN KLINIK KAMPUNG LAUT 16040 PALEKBANG KELANTAN   Kelantan  16040</t>
  </si>
  <si>
    <t>NVMY34535000002877</t>
  </si>
  <si>
    <t>NORAZIMA BT AWANG</t>
  </si>
  <si>
    <t>LOT 3231 KG PAUH KUBANG TERAP 17000 PASIR MAS KELANTAN   Kelantan  17000</t>
  </si>
  <si>
    <t>NVMY34535000002856</t>
  </si>
  <si>
    <t>UST ISMAIL BIN MAT ALI</t>
  </si>
  <si>
    <t>NO 21 JALAN BUKIT MUTIARA 16 TAMAN BUKIT MUTIARA 81100 TERBRAU JOHOR BAHRU   Johor  81100</t>
  </si>
  <si>
    <t>NVMY34535000002857</t>
  </si>
  <si>
    <t>NO 21 JALAN BUKIT MUTIARA 16 TAMAN BUKIT MUTIARA 81100 TEBRAU JOHOR BAHRU   Johor  81100</t>
  </si>
  <si>
    <t>NVMY34535000002863</t>
  </si>
  <si>
    <t>SYAHMEER KHAN BIN SANI KHAN</t>
  </si>
  <si>
    <t>NO 6, JALAN SUTERA 5, TAMAN SENTOSA, 80150, JOHOR   Johor  80150</t>
  </si>
  <si>
    <t>NVMY34535000002874</t>
  </si>
  <si>
    <t>SYED MOHAMAD ASLAM HUSAINI BIN SYED BAHRIM</t>
  </si>
  <si>
    <t>57C JALAN KERIS MAS 2 KG MASJID TELOK RAMUNIA 81620 PENGERANG JOHOR   Johor  81620</t>
  </si>
  <si>
    <t>NVMY34535000002869</t>
  </si>
  <si>
    <t>MOHAMAD ARDI BIN DAHLAN</t>
  </si>
  <si>
    <t>NO 404 LORONG SRI TELAWI 1/1 TAMAN TELAWI 70400 SEREMBAN NEGERI SEMBILAN   Negeri Sembilan  70400</t>
  </si>
  <si>
    <t>NVMY34535000002883</t>
  </si>
  <si>
    <t>WAN NURUL HIDAYAH</t>
  </si>
  <si>
    <t>3436 LORONG KETAPANG 8 TAMAN DESA DARUL IMAN BUKIT KUANG 24000 KEMAMAN TERENGGANU   Terengganu  24000</t>
  </si>
  <si>
    <t>PHG-PHG</t>
  </si>
  <si>
    <t>NVMY34535000002888</t>
  </si>
  <si>
    <t>MOHAMAD AKMAL SYAFIQ BIN ZULKIFLI</t>
  </si>
  <si>
    <t>PT 14338K, GONG BADAK 5, JLN SEK KEB GONG BADAK, KUALA NERUS 21030 TERENGGANU   Terengganu  21030</t>
  </si>
  <si>
    <t>NVMY34535000002866</t>
  </si>
  <si>
    <t>MATLIFF</t>
  </si>
  <si>
    <t>2/11482 BATU TIGA JALAN GAMBANG 25150 KUANTAN PAHANG  Pahang  Pahang  25150</t>
  </si>
  <si>
    <t>NVMY34535000002885</t>
  </si>
  <si>
    <t>MUHAMMAD ABDULLAH BIN MUHAMMAD KARIM</t>
  </si>
  <si>
    <t>F73 PONDOK AL DINNIAH AL BAKRIAH PASIR TUMBOH TERUSAN LIMBAT 16150 KOTA BHARU, KELANTAN   Kelantan  16150</t>
  </si>
  <si>
    <t>1A-KBR-1</t>
  </si>
  <si>
    <t>NVMY34535000002886</t>
  </si>
  <si>
    <t>MUHAMMAD HAIRUL ASYRAF</t>
  </si>
  <si>
    <t>08-06-10 PANGSAPURI SENTOSA 8, JALAN SETIA PERMAI U13/40 SETIA ALAM SEKSYEN U13 40170 SHAH ALAM SELANGOR   Selangor  40170</t>
  </si>
  <si>
    <t>NVMY34535000002884</t>
  </si>
  <si>
    <t>MUHD QHAIYYUM</t>
  </si>
  <si>
    <t>2178-01, TKT SG. GELUGOR 8, 11700 GELUGOR, PULAU PINANG   Pulau Pinang  11700</t>
  </si>
  <si>
    <t>NVMY34535000002890</t>
  </si>
  <si>
    <t>CHE ZAINI</t>
  </si>
  <si>
    <t>B-10 TMN PERUMAHAN WAKAF TENGAH 21030 KUALA TERENGGANU TERENGGANU   Terengganu  21030</t>
  </si>
  <si>
    <t>NVMY34535000002891</t>
  </si>
  <si>
    <t>SALWANI ANUAR</t>
  </si>
  <si>
    <t>1-9 SETAPAK GREEN CONDO JALAN SETAPAK 53000 W.PERSEKUTUAN KUALA LUMPUR   Kuala Lumpur  53000</t>
  </si>
  <si>
    <t>NVMY34535000002889</t>
  </si>
  <si>
    <t>NOR AZIMAH BT CHE AHMAD</t>
  </si>
  <si>
    <t>B10-00-08 APARTMENT ANGGERIK DESA PANDAN JALAN KAMPUNG PANDAN 55100 KUALA LUMPUR   Kuala Lumpur  55100</t>
  </si>
  <si>
    <t>14-SHM-119</t>
  </si>
  <si>
    <t>NVMY34535000002880</t>
  </si>
  <si>
    <t>ZAINURA BT OTHMAN</t>
  </si>
  <si>
    <t>BATU 3 SG KALKATI 45000 KUALA SELANGOR SELANGOR   Selangor  45000</t>
  </si>
  <si>
    <t>NVMY34535000002882</t>
  </si>
  <si>
    <t>BADARIAH HASSAN</t>
  </si>
  <si>
    <t>NO 360 TAMAN TUNKU YAAKOB, JALAN ALOR MENGKUDU 05400 ALOR SETAR, KEDAH DARUL AMAN   Kedah  05400</t>
  </si>
  <si>
    <t>NVMY34535000002858</t>
  </si>
  <si>
    <t>NVMY34535000002881</t>
  </si>
  <si>
    <t>MUHAMAD IKMAL BIN KHAIRUL NIZAM</t>
  </si>
  <si>
    <t>NO 40 JALAN MUHIBBAH 3 KAMPUNG BUKIT BADONG 45600 BESTARI JAYA SELANGOR   Selangor  45600</t>
  </si>
  <si>
    <t>NVMY34535000002887</t>
  </si>
  <si>
    <t>FITHRI</t>
  </si>
  <si>
    <t>B-3-15, TAMAN MACHANG BUBOK, LORONG 20, 14020 BUKIT MERTAJAM, PULAU PINANG   Pulau Pinang  14020</t>
  </si>
  <si>
    <t>5-SIM-30</t>
  </si>
  <si>
    <t>NVMY34535000002895</t>
  </si>
  <si>
    <t>SITI NORSUHADA</t>
  </si>
  <si>
    <t>LOT 559 JALAN MASJID LATI KAMPUNG LATI 17000 PASIR MAS KELANTAN   Kelantan  17000</t>
  </si>
  <si>
    <t>1A-PAS-2</t>
  </si>
  <si>
    <t>NVMY34535000002893</t>
  </si>
  <si>
    <t>HAZILAWANI BINTI HAMID</t>
  </si>
  <si>
    <t>1671 KG KUBANG GETAH 16450 KETEREH KOTA BHARU KELANTAN   Kelantan  16450</t>
  </si>
  <si>
    <t>NVMY34535000002897</t>
  </si>
  <si>
    <t>JANNAH NAWI</t>
  </si>
  <si>
    <t>NO 5 LORONG PELINDUNG 8 PELINDUNG HEIGHTS 25050 KUANTAN PAHANG   Pahang  25050</t>
  </si>
  <si>
    <t>NVMY34535000002902</t>
  </si>
  <si>
    <t>AQILAH KHAIRUNNISA BT SHAHRULAKMAR</t>
  </si>
  <si>
    <t>59,DATARAN RAPAT BARU 8, MEDAN LAPANGAN SENTOSA 31350 IPOH PERAK   Perak  31350</t>
  </si>
  <si>
    <t>NVMY34535000002894</t>
  </si>
  <si>
    <t>MUHAMAD KHAIRI ADHAM</t>
  </si>
  <si>
    <t>KG SELINDANG 27100 KUALA LIPIS PAHANG   Pahang  27100</t>
  </si>
  <si>
    <t>NVMY34535000002899</t>
  </si>
  <si>
    <t>HAFIZAH ABDUL SALAM</t>
  </si>
  <si>
    <t>LOT 1322 KG MAT KILAU 1 27000 JERANTUT PAHANG   Pahang  27000</t>
  </si>
  <si>
    <t>NVMY34535000002900</t>
  </si>
  <si>
    <t>SITI NADIA SHEIKH ISMAIL</t>
  </si>
  <si>
    <t>NO 5 LORONG CHENOR INDAH 8 TAMAN CHENOR INDAH 28100 MARAN PAHANG   Pahang  28100</t>
  </si>
  <si>
    <t>NVMY34535000002892</t>
  </si>
  <si>
    <t>INTAN ZAMRI</t>
  </si>
  <si>
    <t>NO 216 (C) JALAN SAUJANA 3/1 TAMAN SAUJANA JOHOR BAHRU 81750 JOHOR   Johor  81750</t>
  </si>
  <si>
    <t>NVMY34535000002905</t>
  </si>
  <si>
    <t>SITI NURAINI BT NAZULA</t>
  </si>
  <si>
    <t>NO 45 JLN TG.GELANG 30/36 TAMAN ANDAMAN KG JLN KEBUN SEKSYEN 30 40460 SHAH ALAM SELANGOR   Selangor  40460</t>
  </si>
  <si>
    <t>11A-KMU-81</t>
  </si>
  <si>
    <t>NVMY34535000002896</t>
  </si>
  <si>
    <t>WAN ADNAN BIN SEMAN</t>
  </si>
  <si>
    <t>KG RAJA CONGAH RUMAH PUTIH BERTENTANG BENGKEL BESI JALAN ABI PADANG MELANGIT 01000 KANGAR PERLIS   Perlis  01000</t>
  </si>
  <si>
    <t>NVMY34535000002901</t>
  </si>
  <si>
    <t>DZUL HUSNI</t>
  </si>
  <si>
    <t>470 LORONG DAMAI 6 BANDAR UTAMA SUNGAI PETANI 08000 SUNGAI PETANI KEDAH   Kedah  08000</t>
  </si>
  <si>
    <t>NVMY34535000002907</t>
  </si>
  <si>
    <t>MOHD FAIZ BIN RUSLI</t>
  </si>
  <si>
    <t>KAMPUNG LEPAN JENUT 18000 KUALA KRAI KELANTAN   Kelantan  18000</t>
  </si>
  <si>
    <t>1A-RAI-4</t>
  </si>
  <si>
    <t>NVMY34535000002910</t>
  </si>
  <si>
    <t>AMIRUL AIMAN ALI AMRAN</t>
  </si>
  <si>
    <t>LOT 9, CELLARIUM SHAH ALAM, BANGUNAN TUNAS MEKAR, UiTM SHAH ALAM 40450 SELANGOR   Selangor  40450</t>
  </si>
  <si>
    <t>NVMY34535000002898</t>
  </si>
  <si>
    <t>AZEAN JOHARI</t>
  </si>
  <si>
    <t>SMK AGAMA SARATOK KM 3 JALAN ROBAN LAMA 95400 SARATOK SARAWAK   Sarawak  95400</t>
  </si>
  <si>
    <t>NVMY34535000002908</t>
  </si>
  <si>
    <t>NURUL AIDA MOHD NOOR</t>
  </si>
  <si>
    <t>27A KG TOK BINTANG 21700 KUALA BERANG TERENGGANU   Terengganu  21700</t>
  </si>
  <si>
    <t>NVMY34535000002906</t>
  </si>
  <si>
    <t>EYRAA</t>
  </si>
  <si>
    <t>167-5-20 SRI MUTIARA APARTMENT JALAN LAPANGAN PERMAI1 PUDU KUALA LUMPUR 57100 KUALA LUMPUR   Kuala Lumpur  57100</t>
  </si>
  <si>
    <t>NVMY34535000002930</t>
  </si>
  <si>
    <t>MOHD IRWAN FARDZLIE BIN ABD MAJID</t>
  </si>
  <si>
    <t>NO 23, JALAN ECOHILL 7/2D, SETIA ECOHILL 2, 43700 BERANANG SELANGOR   Selangor  43700</t>
  </si>
  <si>
    <t>13-SYH-102</t>
  </si>
  <si>
    <t>NVMY34535000002914</t>
  </si>
  <si>
    <t>FATIN</t>
  </si>
  <si>
    <t>LOT 3815 KAMPUNG BELUKAR SIMPANG 3 PENDEK KOTA BHARU 15100 KELANTAN   Kelantan  15100</t>
  </si>
  <si>
    <t>NVMY34535000002916</t>
  </si>
  <si>
    <t>NOORHALEZARIAH BINTI ABDUL LATIFF</t>
  </si>
  <si>
    <t>NO 29 JALAN AU 2A/9 TAMAN KERAMAT 54200 KUALA LUMPUR   Kuala Lumpur  54200</t>
  </si>
  <si>
    <t>NVMY34535000002934</t>
  </si>
  <si>
    <t>MUHAMMAD ZIKRI BIN MOHAMMAD HANIS</t>
  </si>
  <si>
    <t>NO 97 TAMAN SERI SETIA JALAN ROMPIN LAMA 26600 PEKAN PAHANG   Pahang  26600</t>
  </si>
  <si>
    <t>NVMY34535000002918</t>
  </si>
  <si>
    <t>HASS BUCUK</t>
  </si>
  <si>
    <t>NO.10 JALAN IDAMAN 2 , TAMAN CHERAS IDAMAN , 43000 KAJANG SELANGOR   Selangor  43000</t>
  </si>
  <si>
    <t>NVMY34535000002923</t>
  </si>
  <si>
    <t>NOR ASMA MASLIZA MAMAT</t>
  </si>
  <si>
    <t>PT 20426 TAMAN PERMINT PERDANA FASA 2, KAMPUNG BATIN, 21300 KUALA NERUS TERENGGANU   Terengganu  21300</t>
  </si>
  <si>
    <t>2-GBK-8</t>
  </si>
  <si>
    <t>NVMY34535000002920</t>
  </si>
  <si>
    <t>CHE WAN HAKIM ZULFAQAR</t>
  </si>
  <si>
    <t>LOT 2735 JALAN INTAN KAMPUNG BALAI BESAR 23000 DUNGUN TERENGGANU   Terengganu  23000</t>
  </si>
  <si>
    <t>NVMY34535000002909</t>
  </si>
  <si>
    <t>ANIS MEL</t>
  </si>
  <si>
    <t>500 D , LORONG PH A/7, BANDAR SERI ASTANA D (PARKHOMES), 08000, SUNGAI PETANI KEDAH   Kedah  08000</t>
  </si>
  <si>
    <t>NVMY34535000002926</t>
  </si>
  <si>
    <t>MUHAMMAD AMIRUL ZULFADLI BIN ABDUL MALIK</t>
  </si>
  <si>
    <t>NO 68A, CEMPAKA SERI 1 TOWNVILLAS, JALAN LAMAN CEMPAKA 2, KOTA SERIEMAS NILAI 71800 NEGERI SEMBILAN  , Negeri Sembilan  Negeri Sembilan MY 71800</t>
  </si>
  <si>
    <t>NVMY34535000002927</t>
  </si>
  <si>
    <t>AMIRUL HAREEZ</t>
  </si>
  <si>
    <t>LOT 7062-F LORONG 3, KG LIMBONG 23100 PAKA TERENGGANU  , Terengganu  Terengganu MY 23100</t>
  </si>
  <si>
    <t>2-PAK-10</t>
  </si>
  <si>
    <t>NVMY34535000002935</t>
  </si>
  <si>
    <t>SYAZWAN</t>
  </si>
  <si>
    <t>LOT 4862 JALAN KENANGAN KAMPUNG MERU 41050 KLANG SELANGOR   Selangor  41050</t>
  </si>
  <si>
    <t>12A-MRU-90</t>
  </si>
  <si>
    <t>NVMY34535000002929</t>
  </si>
  <si>
    <t>MUHAMMAD ARAFAT BIN ZAINUDIN</t>
  </si>
  <si>
    <t>LOT 11594 JLN HT2 KG TERSUSUN HAJI TAHIR BT MASJID 35350 TEMOH PERAK   Perak  35350</t>
  </si>
  <si>
    <t>8A-TAP-54</t>
  </si>
  <si>
    <t>NVMY34535000002913</t>
  </si>
  <si>
    <t>SUHAILA BINTI MAHMUD</t>
  </si>
  <si>
    <t>NO 67 JALAN PANGKALAN 19/50 SEKSYEN 19 40300 SHAH ALAM SELANGOR   Selangor  40300</t>
  </si>
  <si>
    <t>NVMY34535000002933</t>
  </si>
  <si>
    <t>SHAIK ADAM</t>
  </si>
  <si>
    <t>NO 147 SEBELAH PEJABAT POS SELEKOH 36200 SELEKOH PERAK DARUL RIDZUAN    Perak  36200</t>
  </si>
  <si>
    <t>NVMY34535000002904</t>
  </si>
  <si>
    <t>VINCENT FWO</t>
  </si>
  <si>
    <t>NO 2 LORONG 2/SS8 BANDAR TASEK MUTIARA 14120 SIMPANG AMPAT PULAU PINANG  Pulau Pinang   Pulau Pinang  my 14120</t>
  </si>
  <si>
    <t>NVMY34535000002903</t>
  </si>
  <si>
    <t>NO 2 LORONG 2/SS8 BANDAR TASEK MUTIARA 14120 SIMPANG AMPAT PULAU PINANG  Pulau Pinang  Pulau Pinang  14120</t>
  </si>
  <si>
    <t>NVMY34535000002922</t>
  </si>
  <si>
    <t>SURAYA BINTI REMIN</t>
  </si>
  <si>
    <t>NO 10 LORONG MEWAH 14 BANDAR TUN RAZAK 56000 CHERAS KUALA LUMPUR   Kuala Lumpur  56000</t>
  </si>
  <si>
    <t>NVMY34535000002917</t>
  </si>
  <si>
    <t>ARMAN BIN MAT RIPIN</t>
  </si>
  <si>
    <t>LOT 968 TAMAN PARIT BARU PASIR TUMBUH 16150 KOTA BHARU KELANTAN   Kelantan  16150</t>
  </si>
  <si>
    <t>NVMY34535000002921</t>
  </si>
  <si>
    <t>NORHAFIZAH BINTI KHAMIS</t>
  </si>
  <si>
    <t>NO 23 KAMPUNG OLAK BATU MUKIM 7 86400 PARIT RAJA BATU PAHAT JOHOR   Johor  86400</t>
  </si>
  <si>
    <t>NVMY34535000002912</t>
  </si>
  <si>
    <t>NURUL NAJIHAH BINTI SAIDIN (SYAHIRAH)</t>
  </si>
  <si>
    <t>CALTEX NO 92 LEBUHRAYA DARULAMAN 05100 ALOR SETAR KEDAH   Kedah  05100</t>
  </si>
  <si>
    <t>NVMY34535000002950</t>
  </si>
  <si>
    <t>MOHD KHALEK BIN STAPA</t>
  </si>
  <si>
    <t>7 ELEVEN 2177, PT 8895 (GF) TAMAN GELIGA INTAN, JALAN KUANTAN-KUALA TERENGGANU, KEMAMAN 24000 TERENGGANU   Terengganu  24000</t>
  </si>
  <si>
    <t>6A-CHU-34</t>
  </si>
  <si>
    <t>NVMY34535000002911</t>
  </si>
  <si>
    <t>FARAHANA AZLIN BT AHMAD NAZIAN</t>
  </si>
  <si>
    <t>BATU 20 KAMPUNG MACANG, LORONG PAK MEGAT MUKIM PDG TEMAK 06300 KUALA NERANG KEDAH  Kedah  Kedah  06300</t>
  </si>
  <si>
    <t>NVMY34535000002931</t>
  </si>
  <si>
    <t>SYAFIQ SYARQAWI</t>
  </si>
  <si>
    <t>TNB BUKIT SELAMBAU SOLAR LOT 2556 AND 2557, 3774 AND 3776, BUKIT SELAMBAU 08010 SUNGAI PETANI KEDAH   Kedah  08010</t>
  </si>
  <si>
    <t>3-SPT-17</t>
  </si>
  <si>
    <t>NVMY34535000002932</t>
  </si>
  <si>
    <t>MOHD RAFEE BIN MOHAMED SHARIFF</t>
  </si>
  <si>
    <t>NO 51 JALAN GAYA 2 TAMAN SALENG GAYA 81400 SENAI KULAI JOHOR DARUL TAKZIM   Johor  81400</t>
  </si>
  <si>
    <t>4-SEN-181</t>
  </si>
  <si>
    <t>NVMY34535000002951</t>
  </si>
  <si>
    <t>AISHAH NADHIRAH</t>
  </si>
  <si>
    <t>NO2 KEDIAMAN PPRT TMN PER TELAGA DAING SEB TAKIR 21300 KUALA NERUS TERENGGANU   Terengganu  21300</t>
  </si>
  <si>
    <t>NVMY34535000002936</t>
  </si>
  <si>
    <t>NO 14 JALAN PULAI INDAH 16/9 TAMAN PULAI INDAH 81110 JOHOR BAHRU, JOHOR   Johor  81110</t>
  </si>
  <si>
    <t>NVMY34535000002915</t>
  </si>
  <si>
    <t>ZURA RAHMAN</t>
  </si>
  <si>
    <t>10-01 JALAN ALIFF 3 TAMAN DAMANSARA ALIFF 81200 JOHOR BAHRU JOHOR   Johor  81200</t>
  </si>
  <si>
    <t>NVMY34535000002928</t>
  </si>
  <si>
    <t>MUHD AMIRUL ZARIQ</t>
  </si>
  <si>
    <t>NO 18 JALAN CERMAI 7 TAMAN KOTA MASAI PASIR GUDANG 81700 JOHOR   Johor  81700</t>
  </si>
  <si>
    <t>4-MAS-167</t>
  </si>
  <si>
    <t>NVMY34535000002925</t>
  </si>
  <si>
    <t>ZAIMAN BIN ZAINAL</t>
  </si>
  <si>
    <t>1066-20-58 GREEN. GARDEN JALAN PAYA TERUBONG 11060 PULAU PINANG   Pulau Pinang  11060</t>
  </si>
  <si>
    <t>NVMY34535000002940</t>
  </si>
  <si>
    <t>MOHAMAD DESA (MAT CHA)</t>
  </si>
  <si>
    <t>NO 5, KG BELUKAR, MUKIM KURONG HITAM, 06300 K. NERANG, KEDAH   Kedah  06300</t>
  </si>
  <si>
    <t>3-PSN-133</t>
  </si>
  <si>
    <t>NVMY34535000002948</t>
  </si>
  <si>
    <t>NVMY34535000002938</t>
  </si>
  <si>
    <t>NVMY34535000002949</t>
  </si>
  <si>
    <t>NVMY34535000002959</t>
  </si>
  <si>
    <t>WAN NOR EZZATI WAN REDZA</t>
  </si>
  <si>
    <t>PT 3988 KG GONG KUA 16800 PASIR PUTEH  KELANTAN   Kelantan  16800</t>
  </si>
  <si>
    <t>1A-PTH-5</t>
  </si>
  <si>
    <t>NVMY34535000002945</t>
  </si>
  <si>
    <t>NVMY34535000002942</t>
  </si>
  <si>
    <t>NVMY34535000002939</t>
  </si>
  <si>
    <t>NVMY34535000002919</t>
  </si>
  <si>
    <t>SYAH ANIQ HAIKKAL</t>
  </si>
  <si>
    <t>LORONG 6, KAMPUNG SIOL KANDIS, PETRAJAYA, 93050 KUCHING SARAWAK   Sarawak  93050</t>
  </si>
  <si>
    <t>16-KCH-112</t>
  </si>
  <si>
    <t>NVMY34535000002955</t>
  </si>
  <si>
    <t>HASNAN BIN RASHID</t>
  </si>
  <si>
    <t>NO 22 TAMAN SEMARAK JALAN BETONG 33100 PENGKALAN HULU PERAK   Perak  33100</t>
  </si>
  <si>
    <t>NVMY34535000002952</t>
  </si>
  <si>
    <t>ANIS SALSABILA</t>
  </si>
  <si>
    <t>13B FAIRPARK RESIDENCE JALAN KAMARUDDIN ISA 31400 IPOH PERAK   Perak  31400</t>
  </si>
  <si>
    <t>NVMY34535000002944</t>
  </si>
  <si>
    <t>NVMY34535000002946</t>
  </si>
  <si>
    <t>NVMY34535000002943</t>
  </si>
  <si>
    <t>NVMY34535000002941</t>
  </si>
  <si>
    <t>NVMY34535000002937</t>
  </si>
  <si>
    <t>NVMY34535000002947</t>
  </si>
  <si>
    <t>NVMY34535000002956</t>
  </si>
  <si>
    <t>SHAHRIN ANUAR BIN HUSSIN SHAH</t>
  </si>
  <si>
    <t>NO 321 C JLN DATIN KAMPUNG MANJOI 30020 IPOH PERAK   Perak  30020</t>
  </si>
  <si>
    <t>NVMY34535000002957</t>
  </si>
  <si>
    <t>G 01 PANGSAPURI TAMAN DESA PALMA 14000 BUKIT MERTAJAM PULAU PINANG   Pulau Pinang  my 14000</t>
  </si>
  <si>
    <t>NVMY34535000002967</t>
  </si>
  <si>
    <t>NUR AZNIDA IZZATY BINTI ZAWAWI</t>
  </si>
  <si>
    <t>NO 5 JALAN EMAS 3 TAMAN EMAS 27200 KUALA LIPIS PAHANG   Pahang  27200</t>
  </si>
  <si>
    <t>NVMY34535000002960</t>
  </si>
  <si>
    <t>NURIN ANNISAH BT MOHD ZAIDI, RS 22167</t>
  </si>
  <si>
    <t>C2-202, RESIDENT PELAJAR 3, UNIVERSITI MALAYSIA PAHANG, LEBUHRAYA TUN RAZAK 26300 GAMBANG, PAHANG   Pahang  26300</t>
  </si>
  <si>
    <t>NVMY34535000002964</t>
  </si>
  <si>
    <t>FARAH WAHIDA BT ABD RAHMAN</t>
  </si>
  <si>
    <t>NO 46 LORONG 2 TAMAN LAMANDA PERMAI FELDA TRIANG 3 28200 BANDAR BERA PAHANG DARUL MAKMUR   Pahang  28200</t>
  </si>
  <si>
    <t>NVMY34535000002953</t>
  </si>
  <si>
    <t>AHMAD THANI</t>
  </si>
  <si>
    <t>NO 6 JALAN BESATARI 1/5 PUNCAK BESTARI 42300 PUNCAK ALAM SELANGOR   Selangor  42300</t>
  </si>
  <si>
    <t>NVMY34535000002965</t>
  </si>
  <si>
    <t>AERIZUL B HAMDAN</t>
  </si>
  <si>
    <t>LOT 779 KG BATU 5 BANGI 43000 KAJANG SELANGOR   Selangor  43000</t>
  </si>
  <si>
    <t>NVMY34535000002954</t>
  </si>
  <si>
    <t>MUHAMAD ZULFADLI BIN AHMAD PAUZI</t>
  </si>
  <si>
    <t>LHDNM PP UNIT KHIDMAT PELANGGAN TINGKAT 3-11 LEBUH PANTAI DEWAN PERNIAGAAN MELAYU 10910 GEORGETOWN PULAU PINANG   Pulau Pinang  10910</t>
  </si>
  <si>
    <t>NVMY34535000002969</t>
  </si>
  <si>
    <t>RAJA ZARINA BINTI RAJA AZLAN</t>
  </si>
  <si>
    <t>A2 T2 28, KOLEJ KEDIAMAN SERI LIPIS KOLEJ MATRIKULASI PAHANG, 26300 GAMBANG PAHANG   Pahang  26300</t>
  </si>
  <si>
    <t>NVMY34535000002958</t>
  </si>
  <si>
    <t>MOHAMAD IRFAN DANIEL BIN MOHAMAD IHSAN (N410)</t>
  </si>
  <si>
    <t>UNIT KEDIAMAN, IPGK TENGKU AMPUAN AFZAN KM 10, JALAN PADANG TENGKU, 27200 KUALA LIPIS, PAHANG.   Pahang  27200</t>
  </si>
  <si>
    <t>NVMY34535000002963</t>
  </si>
  <si>
    <t>ANITA BINTI MOKHTAZA</t>
  </si>
  <si>
    <t>LOT 1194 PEKAN SARI KAMPUNG AWAH 28000 TEMERLOH PAHANG   Pahang  28000</t>
  </si>
  <si>
    <t>NVMY34535000002978</t>
  </si>
  <si>
    <t>AQKMAR DANIAEL</t>
  </si>
  <si>
    <t>SRI ANAQI ENTERPRISE 1-3-19, JAPAN RU 3/9A SEKSYEN 3 , 40000 SHAH ALAM SELANGOR   Selangor  40000</t>
  </si>
  <si>
    <t>NVMY34535000002974</t>
  </si>
  <si>
    <t>JAITRIPTA KAUR</t>
  </si>
  <si>
    <t>43, JALAN RK 6/2, RASAH KEMAYAN 70300 SEREMBAN NEGERI SEMBILAN   Negeri Sembilan  70300</t>
  </si>
  <si>
    <t>NVMY34535000002968</t>
  </si>
  <si>
    <t>FAEZ BT ZA'BAR</t>
  </si>
  <si>
    <t>NO 45 JALAN BAYAM 4 FELDA MAOKIL 3 85300 LABIS SEGAMAT JOHOR   Johor  85300</t>
  </si>
  <si>
    <t>NVMY34535000002976</t>
  </si>
  <si>
    <t>NUR ALIANIE</t>
  </si>
  <si>
    <t>2088 JALAN LIMAU KASTURI GONG LIMAU 24000 KEMAMAN TERENGGANU   Terengganu  24000</t>
  </si>
  <si>
    <t>NVMY34535000002961</t>
  </si>
  <si>
    <t>SHUAIDA BINTI MANSOR</t>
  </si>
  <si>
    <t>4270 KAMPUNG BAHARU 13300 TASEK GELUGOR SEBERANG PERAI UTARA PULAU PINANG   Pulau Pinang  13300</t>
  </si>
  <si>
    <t>NVMY34535000002971</t>
  </si>
  <si>
    <t>MUHAMMAD AMIRUL ZAMIR</t>
  </si>
  <si>
    <t>NO 2 JALAN AMPANG 23 TAMAN AMPANG PECAH 44000 KUALA KUBU BHARU SELANGOR   Selangor  44000</t>
  </si>
  <si>
    <t>NVMY34535000002982</t>
  </si>
  <si>
    <t>RUSMINA BT RAMLI</t>
  </si>
  <si>
    <t>JABATAN KEMAS PAHANG, WISMA PERSEKUTUAN, TINGKAT 12, JALAN GAMBUT, 25000 KUANTAN PAHANG   Pahang  25000</t>
  </si>
  <si>
    <t>NVMY34535000002973</t>
  </si>
  <si>
    <t>RANIYA SYAFIKHA ABDULLAH</t>
  </si>
  <si>
    <t>KG ALOR BEMBAN ALOR PASIR 17500 TANAH MERAH KELANTAN   Kelantan  17500</t>
  </si>
  <si>
    <t>NVMY34535000002970</t>
  </si>
  <si>
    <t>NURIN</t>
  </si>
  <si>
    <t>02-31 BLOK 23 TAMAN KENANGA TAMPOI 81200 JOHOR BAHRU JOHOR   Johor  81200</t>
  </si>
  <si>
    <t>NVMY34535000002979</t>
  </si>
  <si>
    <t>AISYAH</t>
  </si>
  <si>
    <t>FLAT PANDAN JAYA BLOK L19A UNIT 4-04, 55100 KUALA LUMPUR   Kuala Lumpur  55100</t>
  </si>
  <si>
    <t>NVMY34535000002972</t>
  </si>
  <si>
    <t>LLOYD MOFFATT</t>
  </si>
  <si>
    <t>THE PEARL 20-03A 2A JALAN STONOR 50450 KUALA LUMPUR   Kuala Lumpur  50450</t>
  </si>
  <si>
    <t>NVMY34535000002966</t>
  </si>
  <si>
    <t>MOHAMAD HASNOR BIN ABD HAMID</t>
  </si>
  <si>
    <t>D7-4 PRESINT CDE KOMPLEKS PENJARA BENTONG 28600 KARAK PAHANG   Pahang  28600</t>
  </si>
  <si>
    <t>NVMY34535000002977</t>
  </si>
  <si>
    <t>NUR SHAHIRA BT HAMDAN DAVID CHONG</t>
  </si>
  <si>
    <t>CAWANGAN BEKALAN BATALION 6 PASUKAN GERAKAN AM BAKRI 84200 MUAR JOHOR   Johor  84200</t>
  </si>
  <si>
    <t>NVMY34535000002983</t>
  </si>
  <si>
    <t>RAJA MOHD AZHAN BIN RAJA BIDIN</t>
  </si>
  <si>
    <t>NO. 6663-2-1 KUARTERS JKR  BATU 4 1/2 JALAN SG. BESI 57100 KUALA LUMPUR   Kuala Lumpur  my 57100</t>
  </si>
  <si>
    <t>NVMY34535000002991</t>
  </si>
  <si>
    <t>Muhammad Irham</t>
  </si>
  <si>
    <t>Kampung Bagan Tunjang,45200 sabak,selangor   Selangor  my 45200</t>
  </si>
  <si>
    <t>NVMY34535000002975</t>
  </si>
  <si>
    <t>NU'AIM SYAKIROH BT BAKAR</t>
  </si>
  <si>
    <t>3196 NYIOR SEBATANG, 13300 TASEK GELUGOR, SEBERANG PERAI UTARA, PULAU PINANG   Pulau Pinang  13300</t>
  </si>
  <si>
    <t>NVMY34535000002990</t>
  </si>
  <si>
    <t>Muhammad Zikrullah</t>
  </si>
  <si>
    <t>No. 26, Jalan Seri Desa 2, Seri Desa Tanah Hitam 31200 Chemor, Perak   Perak  31200</t>
  </si>
  <si>
    <t>NVMY34535000002988</t>
  </si>
  <si>
    <t>HANITA BTE MD ZIN</t>
  </si>
  <si>
    <t>KJ CAN (SELANGOR) SDN BHD LOT PT 5141 JALAN JENJARUM SATU 28/39A SEKSYEN 28 40000 SHAH ALAM SELANGOR DARUL EHSAN   Selangor  40000</t>
  </si>
  <si>
    <t>NVMY34535000002986</t>
  </si>
  <si>
    <t>BAIM</t>
  </si>
  <si>
    <t>BALAI POLIS KIJAL 24100 KEMAMAN TERENGGANU   Terengganu  24100</t>
  </si>
  <si>
    <t>NVMY34535000002985</t>
  </si>
  <si>
    <t>AHMAD NUJAIDI AFFITRI BIN AB LLAH</t>
  </si>
  <si>
    <t>PT 2209, TAMAN RUSHDAN YUSOFF BALOH, JALAN SEKOLAH CHUNG HWA, KOK LANAS, 16450 KOTA BHARU, KELANTAN   Kelantan  16450</t>
  </si>
  <si>
    <t>NVMY34535000002980</t>
  </si>
  <si>
    <t>HASLINA BINTI HAMID</t>
  </si>
  <si>
    <t>NO 5 LORONG GUAR PERAHU 24 TAMAN GUAR PERAHU 14400 KUBANG SEMANG PULAU PINANG   Pulau Pinang  14400</t>
  </si>
  <si>
    <t>NVMY34535000002981</t>
  </si>
  <si>
    <t>NO 33 JALAN AMAN , KAMPUNG MELAYU MAJIDEE, 81100 JB , JOHOR    Johor  81100</t>
  </si>
  <si>
    <t>NVMY34535000002924</t>
  </si>
  <si>
    <t>ARIP</t>
  </si>
  <si>
    <t>PETI SURAT 390, 89208 TUARAN SABAH  Sabah  Sabah  89208</t>
  </si>
  <si>
    <t>15-TUA-147</t>
  </si>
  <si>
    <t>NVMY34535000002989</t>
  </si>
  <si>
    <t>HARIZ HENSEM</t>
  </si>
  <si>
    <t>4-1-6 Desa Sri Ara, lebuh sg ara, sg ara, 11900 bayan lepas , Penang   Pulau Pinang  11900</t>
  </si>
  <si>
    <t>NVMY34535000003001</t>
  </si>
  <si>
    <t>EN AB RAHMAN BIN CHE HAMAD</t>
  </si>
  <si>
    <t>120 JALAN SEPAH PUTERI 5/19 SEKSEYEN 5 KOTA DAMANSARA 47810 PETALING JAYA SELANGOR   Selangor  47810</t>
  </si>
  <si>
    <t>NVMY34535000002998</t>
  </si>
  <si>
    <t>NORULAZIAH</t>
  </si>
  <si>
    <t>NO 26 JALAN TANJUNG GELANG 30/36 TAMAN ANDAMAN 40460 SHAH ALAM SELANGOR   Selangor  40460</t>
  </si>
  <si>
    <t>NVMY34535000002999</t>
  </si>
  <si>
    <t>AISYA DAUD BEAUTY</t>
  </si>
  <si>
    <t>LOT 3535 KG BECHAH PULAI LALOH 18000  KUALA KRAI KELANTAN   Kelantan  18000</t>
  </si>
  <si>
    <t>NVMY34535000002997</t>
  </si>
  <si>
    <t>SHAHRUL NIZAM</t>
  </si>
  <si>
    <t>NO 36 JALAN PUTRA SETIA 6/1E PUTRA AVENUE 47650 SUBANG JAYA SELANGOR   Selangor  47650</t>
  </si>
  <si>
    <t>NVMY34535000002995</t>
  </si>
  <si>
    <t>AIN SYAZANA BT LUQMAN</t>
  </si>
  <si>
    <t>NO 10 JALAN DESA AMAN S 8/2 TAMAN DESA AMAN 09300 SG. KARANGAN KEDAH   Kedah  09300</t>
  </si>
  <si>
    <t>NVMY34535000002994</t>
  </si>
  <si>
    <t>NO 10 JALAN DESA AMAN S 8/2 TAMAN DESA AMAN 09300 SG. KARANGAN KEDAH   Kedah  my 09300</t>
  </si>
  <si>
    <t>NVMY34535000002984</t>
  </si>
  <si>
    <t>ROSLAN BIN LATIF</t>
  </si>
  <si>
    <t>B1-09-08  BLOK RAJAWALI PPR MELANA INDAH FASA 2 JLN SUTERA DAHLIA TMN SUTERA UTAMA 81200 JOHOR BAHRU JOHOR  (01137377471)   Johor  my 81200</t>
  </si>
  <si>
    <t>4A-NSJ-20</t>
  </si>
  <si>
    <t>NVMY34535000003014</t>
  </si>
  <si>
    <t>MUHAMAD IZWAN ISMAIL</t>
  </si>
  <si>
    <t>LOT 2147-D JALAN SATU, LORONG RAJA JUMAAT, KAMPUNG JAWA, 41000 KLANG SELANGOR   Selangor  41000</t>
  </si>
  <si>
    <t>11-KLG-83</t>
  </si>
  <si>
    <t>NVMY34535000003028</t>
  </si>
  <si>
    <t>NUR AISYAH</t>
  </si>
  <si>
    <t>42, Jalan Teratai 1/11B, Taman Bukit Teratai,56100, KL   Kuala Lumpur  56100</t>
  </si>
  <si>
    <t>NVMY34535000003023</t>
  </si>
  <si>
    <t>NIK ANIS BT NIK ZAKARIA</t>
  </si>
  <si>
    <t>NO 1 JALAN AKUAMARIN SATU 7/21A SEKSYEN 7 40000 SHAH ALAM SELANGOR   Selangor  40000</t>
  </si>
  <si>
    <t>NVMY34535000003005</t>
  </si>
  <si>
    <t>NO 32 JLN PJS 6/1E KAMPONG LINDUNGGANG PETALING JAYA 46000 SELANGOR   Selangor  46000</t>
  </si>
  <si>
    <t>NVMY34535000003010</t>
  </si>
  <si>
    <t>MOHD NAZRIN</t>
  </si>
  <si>
    <t>K-1-8, BLOK K, PUCHONG UTAMA COURT 1, 47100 PUCHONG SELANGOR   Selangor  47100</t>
  </si>
  <si>
    <t>11A-PUC-80</t>
  </si>
  <si>
    <t>NVMY34535000003024</t>
  </si>
  <si>
    <t>IZAH</t>
  </si>
  <si>
    <t>NO 22 JALAN SRI MANJA 6B (LORONG PJS 1/44) 17A TAMAN SRI MANJA 6B (SM6B) 46150 PETALING JAYA SELANGOR   Selangor  46150</t>
  </si>
  <si>
    <t>NVMY34535000003029</t>
  </si>
  <si>
    <t>SOFIA QISTINA (DILAH)</t>
  </si>
  <si>
    <t>Kampung tanjung pagar 16450 ketereh, kota bharu kelantan.   Kelantan  16450</t>
  </si>
  <si>
    <t>NVMY34535000003022</t>
  </si>
  <si>
    <t>KTA TENAGA SDN BHD (IR NOOR HARIZAL BIN HUSSEIN)</t>
  </si>
  <si>
    <t>D1-21 JALAN PJU 1/41 DATARAN PRIMA KELANA JAYA 47301 PETALING JAYA SELANGOR DARUL EHSAN   Selangor  47301</t>
  </si>
  <si>
    <t>NVMY34535000003027</t>
  </si>
  <si>
    <t>RAHIMA</t>
  </si>
  <si>
    <t>No.1 Jalan BM 6/28A seksyen 6 Bandar Bukit Mahkota 43000 Kajang Selangor Darul Ehsan   Selangor  43000</t>
  </si>
  <si>
    <t>NVMY34535000003017</t>
  </si>
  <si>
    <t>STEPHANIE</t>
  </si>
  <si>
    <t>350K JALAN YONG PAK KHIAN UJONG PASIR 75050 MELAKA   Melaka  75050</t>
  </si>
  <si>
    <t>NVMY34535000003011</t>
  </si>
  <si>
    <t>HAFIS</t>
  </si>
  <si>
    <t>(A21 GF) SPA BEKAM AR RAYYAN, LORONG PERAMU AMAN 30, TANJUNG LUMPUR, 26060 KUANTAN PAHANG   Pahang  26060</t>
  </si>
  <si>
    <t>NVMY34535000003012</t>
  </si>
  <si>
    <t>AYOI</t>
  </si>
  <si>
    <t>NO 210 FELDA RENTAM 28200 BERA PAHANG   Pahang  28200</t>
  </si>
  <si>
    <t>6A-TRI-36</t>
  </si>
  <si>
    <t>NVMY34535000002987</t>
  </si>
  <si>
    <t>JUAN DANAR</t>
  </si>
  <si>
    <t>10A LORONG OYA 8, 96000 SIBU SARAWAK   Sarawak  96000</t>
  </si>
  <si>
    <t>NVMY34535000003026</t>
  </si>
  <si>
    <t>ALWINA EDWARD</t>
  </si>
  <si>
    <t>KIMS MART 7 &amp; 9 JALAN SOLARIS 2, SOLARIS MONT KIARA 50480 KUALA LUMPUR   Kuala Lumpur  50480</t>
  </si>
  <si>
    <t>NVMY34535000003015</t>
  </si>
  <si>
    <t>MUHAMMAD ABDUL AZIZ</t>
  </si>
  <si>
    <t>PEJABAT AGAMA 8 RAMD KEM LIPIS 27200 KUALA LIPIS PAHANG   Pahang  27200</t>
  </si>
  <si>
    <t>NVMY34535000003000</t>
  </si>
  <si>
    <t>MUHD AREP</t>
  </si>
  <si>
    <t>195 LORONG KERANJI 2/3 TAMAN KERANJI 09000 KULIM KEDAH   Kedah  09000</t>
  </si>
  <si>
    <t>NVMY34535000003003</t>
  </si>
  <si>
    <t xml:space="preserve"> J-6-24 APT. SRI ANGKASA, JLN. BT. UNJUR 10, 41200 KLANG, SELANGOR.   Selangor  41200</t>
  </si>
  <si>
    <t>11A-PKL-82</t>
  </si>
  <si>
    <t>NVMY34535000002996</t>
  </si>
  <si>
    <t>MUHAMMAD NORHAFIZUL</t>
  </si>
  <si>
    <t>36 JALAN PERWIRA BANDAR TENGGARA 81000 KULAI JOHOR   Johor  81000</t>
  </si>
  <si>
    <t>NVMY34535000003019</t>
  </si>
  <si>
    <t>SYAZA NAJLAA</t>
  </si>
  <si>
    <t>DYNATON HOLDINGS NO 1 TINGKAT BASEMENT JALAN DAGANG 2 DYNATON BUKIT ANGIN 28000 TEMERLOH PAHANG   Pahang  28000</t>
  </si>
  <si>
    <t>NVMY34535000003008</t>
  </si>
  <si>
    <t>MUHAMMAD SYAZNI BIN ZULKIFFLY</t>
  </si>
  <si>
    <t>NO 10 JALAN SPRINGHILL 2/15 FASA 2B BANDAR SPRINGHILL 71010 PORT DICKSON NEGERI SEMBILAN   Negeri Sembilan  71010</t>
  </si>
  <si>
    <t>NVMY34535000003018</t>
  </si>
  <si>
    <t>NOR FITRAH BINTI MOHD ISA</t>
  </si>
  <si>
    <t>TINGKAT 3 UNIT TEKNOLOGI MAKLUMAT HOSPITAL SULTAN HAJI AHMAD SHAH 28000 TEMERLOH PAHANG   Pahang  28000</t>
  </si>
  <si>
    <t>NVMY34535000003013</t>
  </si>
  <si>
    <t>MOHD FIZREE IDRIS</t>
  </si>
  <si>
    <t>PT7629, LORONG KETAPANG 2D, PERUMAHAN CASA RAHMAH, BUKIT KUANG SEJAHTERA, 24000 CHUKAI, KEMAMAN, TERENGGANU.   Terengganu  24000</t>
  </si>
  <si>
    <t>NVMY34535000003021</t>
  </si>
  <si>
    <t>NURUL NAZREEN</t>
  </si>
  <si>
    <t>C-T4-U10 FASA 15-12A JALAN P15 PRESINT 15 62050 PUTRAJAYA   Putrajaya  62050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</si>
</sst>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164" fontId="2" fillId="6" borderId="0" xfId="0" applyNumberFormat="1" applyFont="1" applyFill="1"/>
    <xf numFmtId="43" fontId="0" fillId="11" borderId="0" xfId="0" applyNumberFormat="1" applyFill="1"/>
    <xf numFmtId="43" fontId="2" fillId="7" borderId="0" xfId="0" applyNumberFormat="1" applyFont="1" applyFill="1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9C83-621C-4B2B-9D15-0CB94E281B00}">
  <dimension ref="A1:AK407"/>
  <sheetViews>
    <sheetView tabSelected="1" workbookViewId="0">
      <selection sqref="A1:AK405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5">
        <v>1</v>
      </c>
      <c r="Q2" s="12">
        <v>44800.692488425928</v>
      </c>
      <c r="R2" s="13">
        <v>44805</v>
      </c>
      <c r="T2" t="s">
        <v>47</v>
      </c>
      <c r="U2" t="s">
        <v>48</v>
      </c>
      <c r="V2" t="s">
        <v>49</v>
      </c>
      <c r="Y2" t="s">
        <v>50</v>
      </c>
      <c r="Z2">
        <v>88100</v>
      </c>
      <c r="AA2" t="s">
        <v>51</v>
      </c>
      <c r="AB2" t="s">
        <v>52</v>
      </c>
      <c r="AC2" t="s">
        <v>53</v>
      </c>
      <c r="AD2" s="14">
        <f>IF(P2&lt;=1,13,IF(P2&lt;=2,23,IF(P2&lt;=3,35,IF(P2&lt;=4,43,IF(P2&lt;=5,53,IF(P2&lt;=6,63,IF(P2&lt;=7,71,IF(P2&lt;=8,79,IF(P2&lt;=9,87,IF(P2&lt;=10,95,IF(P2&lt;=11,105,IF(P2&lt;=12,114,IF(P2&lt;=13,119,IF(P2&lt;=14,127,IF(P2&lt;=15,135,IF(P2&lt;=16,143,IF(P2&lt;=17,153,IF(P2&lt;=18,163,IF(P2&lt;=19,171,IF(P2&lt;=20,185,IF(P2&lt;=21,193,IF(P2&lt;=22,201,IF(P2&lt;=23,210,IF(P2&lt;=24,220,IF(P2&lt;=25,230,IF(P2&lt;=26,240,IF(P2&lt;=27,250,IF(P2&lt;=28,260,IF(P2&lt;=29,270,IF(P2&lt;=30,280,280))))))))))))))))))))))))))))))</f>
        <v>13</v>
      </c>
      <c r="AE2" s="15">
        <v>0</v>
      </c>
      <c r="AF2" s="15">
        <v>0</v>
      </c>
      <c r="AG2" s="15">
        <v>0</v>
      </c>
      <c r="AH2" s="15">
        <v>0</v>
      </c>
      <c r="AI2" s="15">
        <f t="shared" ref="AI2:AI65" si="0">(AD2+AF2+AH2)*6%</f>
        <v>0.78</v>
      </c>
      <c r="AJ2" s="15">
        <f t="shared" ref="AJ2:AJ65" si="1">AD2+AF2+AH2+AI2</f>
        <v>13.78</v>
      </c>
      <c r="AK2" t="s">
        <v>51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I3" t="s">
        <v>41</v>
      </c>
      <c r="J3" t="s">
        <v>55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5">
        <v>1</v>
      </c>
      <c r="Q3" s="12">
        <v>44803.569398148145</v>
      </c>
      <c r="R3" s="13">
        <v>44805</v>
      </c>
      <c r="T3" t="s">
        <v>47</v>
      </c>
      <c r="U3" t="s">
        <v>48</v>
      </c>
      <c r="V3" t="s">
        <v>56</v>
      </c>
      <c r="Y3" t="s">
        <v>57</v>
      </c>
      <c r="Z3">
        <v>9000</v>
      </c>
      <c r="AA3" t="s">
        <v>47</v>
      </c>
      <c r="AB3" t="s">
        <v>58</v>
      </c>
      <c r="AC3" t="s">
        <v>53</v>
      </c>
      <c r="AD3" s="16">
        <f>IF(P3&lt;=1,7,7+0.8*ROUNDUP(P3-1,0))</f>
        <v>7</v>
      </c>
      <c r="AE3" s="15">
        <v>0</v>
      </c>
      <c r="AF3" s="15">
        <v>0</v>
      </c>
      <c r="AG3" s="15">
        <v>0</v>
      </c>
      <c r="AH3" s="15">
        <v>0</v>
      </c>
      <c r="AI3" s="15">
        <f t="shared" si="0"/>
        <v>0.42</v>
      </c>
      <c r="AJ3" s="15">
        <f t="shared" si="1"/>
        <v>7.42</v>
      </c>
      <c r="AK3" t="s">
        <v>47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59</v>
      </c>
      <c r="I4" t="s">
        <v>41</v>
      </c>
      <c r="J4" t="s">
        <v>60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5">
        <v>1</v>
      </c>
      <c r="Q4" s="12">
        <v>44803.545104166667</v>
      </c>
      <c r="R4" s="13">
        <v>44805</v>
      </c>
      <c r="T4" t="s">
        <v>47</v>
      </c>
      <c r="U4" t="s">
        <v>48</v>
      </c>
      <c r="V4" t="s">
        <v>61</v>
      </c>
      <c r="Y4" t="s">
        <v>62</v>
      </c>
      <c r="Z4">
        <v>14400</v>
      </c>
      <c r="AA4" t="s">
        <v>47</v>
      </c>
      <c r="AB4" t="s">
        <v>58</v>
      </c>
      <c r="AC4" t="s">
        <v>53</v>
      </c>
      <c r="AD4" s="16">
        <f>IF(P4&lt;=1,7,7+0.8*ROUNDUP(P4-1,0))</f>
        <v>7</v>
      </c>
      <c r="AE4" s="15">
        <v>0</v>
      </c>
      <c r="AF4" s="15">
        <v>0</v>
      </c>
      <c r="AG4" s="15">
        <v>0</v>
      </c>
      <c r="AH4" s="15">
        <v>0</v>
      </c>
      <c r="AI4" s="15">
        <f t="shared" si="0"/>
        <v>0.42</v>
      </c>
      <c r="AJ4" s="15">
        <f t="shared" si="1"/>
        <v>7.42</v>
      </c>
      <c r="AK4" t="s">
        <v>47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63</v>
      </c>
      <c r="I5" t="s">
        <v>41</v>
      </c>
      <c r="J5" t="s">
        <v>64</v>
      </c>
      <c r="K5" t="s">
        <v>43</v>
      </c>
      <c r="L5">
        <v>2</v>
      </c>
      <c r="M5" t="s">
        <v>44</v>
      </c>
      <c r="N5" t="s">
        <v>45</v>
      </c>
      <c r="O5" t="s">
        <v>46</v>
      </c>
      <c r="P5" s="5">
        <v>1</v>
      </c>
      <c r="Q5" s="12">
        <v>44803.46806712963</v>
      </c>
      <c r="R5" s="13">
        <v>44805</v>
      </c>
      <c r="T5" t="s">
        <v>47</v>
      </c>
      <c r="U5" t="s">
        <v>48</v>
      </c>
      <c r="V5" t="s">
        <v>65</v>
      </c>
      <c r="Y5" t="s">
        <v>66</v>
      </c>
      <c r="Z5">
        <v>75250</v>
      </c>
      <c r="AA5" t="s">
        <v>47</v>
      </c>
      <c r="AB5" t="s">
        <v>58</v>
      </c>
      <c r="AC5" t="s">
        <v>53</v>
      </c>
      <c r="AD5" s="16">
        <f>IF(P5&lt;=1,7,7+0.8*ROUNDUP(P5-1,0))</f>
        <v>7</v>
      </c>
      <c r="AE5" s="15">
        <v>0</v>
      </c>
      <c r="AF5" s="15">
        <v>0</v>
      </c>
      <c r="AG5" s="15">
        <v>0</v>
      </c>
      <c r="AH5" s="15">
        <v>0</v>
      </c>
      <c r="AI5" s="15">
        <f t="shared" si="0"/>
        <v>0.42</v>
      </c>
      <c r="AJ5" s="15">
        <f t="shared" si="1"/>
        <v>7.42</v>
      </c>
      <c r="AK5" t="s">
        <v>47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67</v>
      </c>
      <c r="I6" t="s">
        <v>41</v>
      </c>
      <c r="J6" t="s">
        <v>68</v>
      </c>
      <c r="K6" t="s">
        <v>43</v>
      </c>
      <c r="L6">
        <v>2</v>
      </c>
      <c r="M6" t="s">
        <v>44</v>
      </c>
      <c r="N6" t="s">
        <v>45</v>
      </c>
      <c r="O6" t="s">
        <v>46</v>
      </c>
      <c r="P6" s="5">
        <v>2</v>
      </c>
      <c r="Q6" s="12">
        <v>44800.710138888891</v>
      </c>
      <c r="R6" s="13">
        <v>44805</v>
      </c>
      <c r="T6" t="s">
        <v>47</v>
      </c>
      <c r="U6" t="s">
        <v>48</v>
      </c>
      <c r="V6" t="s">
        <v>56</v>
      </c>
      <c r="Y6" t="s">
        <v>69</v>
      </c>
      <c r="Z6">
        <v>5200</v>
      </c>
      <c r="AA6" t="s">
        <v>47</v>
      </c>
      <c r="AB6" t="s">
        <v>58</v>
      </c>
      <c r="AC6" t="s">
        <v>53</v>
      </c>
      <c r="AD6" s="16">
        <f>IF(P6&lt;=1,7,7+0.8*ROUNDUP(P6-1,0))</f>
        <v>7.8</v>
      </c>
      <c r="AE6" s="15">
        <v>0</v>
      </c>
      <c r="AF6" s="15">
        <v>0</v>
      </c>
      <c r="AG6" s="15">
        <v>0</v>
      </c>
      <c r="AH6" s="15">
        <v>0</v>
      </c>
      <c r="AI6" s="15">
        <f t="shared" si="0"/>
        <v>0.46799999999999997</v>
      </c>
      <c r="AJ6" s="15">
        <f t="shared" si="1"/>
        <v>8.2680000000000007</v>
      </c>
      <c r="AK6" t="s">
        <v>47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70</v>
      </c>
      <c r="I7" t="s">
        <v>41</v>
      </c>
      <c r="J7" t="s">
        <v>71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5">
        <v>1</v>
      </c>
      <c r="Q7" s="12">
        <v>44801.746967592589</v>
      </c>
      <c r="R7" s="13">
        <v>44805</v>
      </c>
      <c r="T7" t="s">
        <v>47</v>
      </c>
      <c r="U7" t="s">
        <v>48</v>
      </c>
      <c r="V7" t="s">
        <v>72</v>
      </c>
      <c r="Y7" t="s">
        <v>73</v>
      </c>
      <c r="Z7">
        <v>72200</v>
      </c>
      <c r="AA7" t="s">
        <v>47</v>
      </c>
      <c r="AB7" t="s">
        <v>58</v>
      </c>
      <c r="AC7" t="s">
        <v>53</v>
      </c>
      <c r="AD7" s="16">
        <f>IF(P7&lt;=1,7,7+0.8*ROUNDUP(P7-1,0))</f>
        <v>7</v>
      </c>
      <c r="AE7" s="15">
        <v>0</v>
      </c>
      <c r="AF7" s="15">
        <v>0</v>
      </c>
      <c r="AG7" s="15">
        <v>0</v>
      </c>
      <c r="AH7" s="15">
        <v>0</v>
      </c>
      <c r="AI7" s="15">
        <f t="shared" si="0"/>
        <v>0.42</v>
      </c>
      <c r="AJ7" s="15">
        <f t="shared" si="1"/>
        <v>7.42</v>
      </c>
      <c r="AK7" t="s">
        <v>47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74</v>
      </c>
      <c r="I8" t="s">
        <v>41</v>
      </c>
      <c r="J8" t="s">
        <v>75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5">
        <v>1</v>
      </c>
      <c r="Q8" s="12">
        <v>44803.624791666669</v>
      </c>
      <c r="R8" s="13">
        <v>44805</v>
      </c>
      <c r="T8" t="s">
        <v>47</v>
      </c>
      <c r="U8" t="s">
        <v>48</v>
      </c>
      <c r="V8" t="s">
        <v>76</v>
      </c>
      <c r="Y8" t="s">
        <v>77</v>
      </c>
      <c r="Z8">
        <v>15100</v>
      </c>
      <c r="AA8" t="s">
        <v>47</v>
      </c>
      <c r="AB8" t="s">
        <v>78</v>
      </c>
      <c r="AC8" t="s">
        <v>53</v>
      </c>
      <c r="AD8" s="16">
        <f>IF(P8&lt;=1,7,7+0.8*ROUNDUP(P8-1,0))</f>
        <v>7</v>
      </c>
      <c r="AE8" s="15">
        <v>0</v>
      </c>
      <c r="AF8" s="15">
        <v>0</v>
      </c>
      <c r="AG8" s="15">
        <v>0</v>
      </c>
      <c r="AH8" s="15">
        <v>0</v>
      </c>
      <c r="AI8" s="15">
        <f t="shared" si="0"/>
        <v>0.42</v>
      </c>
      <c r="AJ8" s="15">
        <f t="shared" si="1"/>
        <v>7.42</v>
      </c>
      <c r="AK8" t="s">
        <v>47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79</v>
      </c>
      <c r="I9" t="s">
        <v>41</v>
      </c>
      <c r="J9" t="s">
        <v>80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5">
        <v>1</v>
      </c>
      <c r="Q9" s="12">
        <v>44801.713402777779</v>
      </c>
      <c r="R9" s="13">
        <v>44805</v>
      </c>
      <c r="T9" t="s">
        <v>47</v>
      </c>
      <c r="U9" t="s">
        <v>48</v>
      </c>
      <c r="V9" t="s">
        <v>81</v>
      </c>
      <c r="Y9" t="s">
        <v>82</v>
      </c>
      <c r="Z9">
        <v>34700</v>
      </c>
      <c r="AA9" t="s">
        <v>47</v>
      </c>
      <c r="AB9" t="s">
        <v>58</v>
      </c>
      <c r="AC9" t="s">
        <v>53</v>
      </c>
      <c r="AD9" s="16">
        <f>IF(P9&lt;=1,7,7+0.8*ROUNDUP(P9-1,0))</f>
        <v>7</v>
      </c>
      <c r="AE9" s="15">
        <v>0</v>
      </c>
      <c r="AF9" s="15">
        <v>0</v>
      </c>
      <c r="AG9" s="15">
        <v>0</v>
      </c>
      <c r="AH9" s="15">
        <v>0</v>
      </c>
      <c r="AI9" s="15">
        <f t="shared" si="0"/>
        <v>0.42</v>
      </c>
      <c r="AJ9" s="15">
        <f t="shared" si="1"/>
        <v>7.42</v>
      </c>
      <c r="AK9" t="s">
        <v>47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83</v>
      </c>
      <c r="I10" t="s">
        <v>41</v>
      </c>
      <c r="J10" t="s">
        <v>84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5">
        <v>2</v>
      </c>
      <c r="Q10" s="12">
        <v>44801.74015046296</v>
      </c>
      <c r="R10" s="13">
        <v>44805</v>
      </c>
      <c r="T10" t="s">
        <v>47</v>
      </c>
      <c r="U10" t="s">
        <v>48</v>
      </c>
      <c r="V10" t="s">
        <v>85</v>
      </c>
      <c r="Y10" t="s">
        <v>86</v>
      </c>
      <c r="Z10">
        <v>43000</v>
      </c>
      <c r="AA10" t="s">
        <v>47</v>
      </c>
      <c r="AB10" t="s">
        <v>58</v>
      </c>
      <c r="AC10" t="s">
        <v>53</v>
      </c>
      <c r="AD10" s="16">
        <f>IF(P10&lt;=1,7,7+0.8*ROUNDUP(P10-1,0))</f>
        <v>7.8</v>
      </c>
      <c r="AE10" s="15">
        <v>0</v>
      </c>
      <c r="AF10" s="15">
        <v>0</v>
      </c>
      <c r="AG10" s="15">
        <v>0</v>
      </c>
      <c r="AH10" s="15">
        <v>0</v>
      </c>
      <c r="AI10" s="15">
        <f t="shared" si="0"/>
        <v>0.46799999999999997</v>
      </c>
      <c r="AJ10" s="15">
        <f t="shared" si="1"/>
        <v>8.2680000000000007</v>
      </c>
      <c r="AK10" t="s">
        <v>47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87</v>
      </c>
      <c r="I11" t="s">
        <v>41</v>
      </c>
      <c r="J11" t="s">
        <v>88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5">
        <v>1</v>
      </c>
      <c r="Q11" s="12">
        <v>44800.539351851854</v>
      </c>
      <c r="R11" s="13">
        <v>44805</v>
      </c>
      <c r="T11" t="s">
        <v>47</v>
      </c>
      <c r="U11" t="s">
        <v>48</v>
      </c>
      <c r="V11" t="s">
        <v>76</v>
      </c>
      <c r="Y11" t="s">
        <v>89</v>
      </c>
      <c r="Z11">
        <v>16150</v>
      </c>
      <c r="AA11" t="s">
        <v>47</v>
      </c>
      <c r="AB11" t="s">
        <v>90</v>
      </c>
      <c r="AC11" t="s">
        <v>53</v>
      </c>
      <c r="AD11" s="16">
        <f>IF(P11&lt;=1,7,7+0.8*ROUNDUP(P11-1,0))</f>
        <v>7</v>
      </c>
      <c r="AE11" s="15">
        <v>0</v>
      </c>
      <c r="AF11" s="15">
        <v>0</v>
      </c>
      <c r="AG11" s="15">
        <v>0</v>
      </c>
      <c r="AH11" s="15">
        <v>0</v>
      </c>
      <c r="AI11" s="15">
        <f t="shared" si="0"/>
        <v>0.42</v>
      </c>
      <c r="AJ11" s="15">
        <f t="shared" si="1"/>
        <v>7.42</v>
      </c>
      <c r="AK11" t="s">
        <v>47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91</v>
      </c>
      <c r="I12" t="s">
        <v>41</v>
      </c>
      <c r="J12" t="s">
        <v>92</v>
      </c>
      <c r="K12" t="s">
        <v>43</v>
      </c>
      <c r="L12">
        <v>2</v>
      </c>
      <c r="M12" t="s">
        <v>44</v>
      </c>
      <c r="N12" t="s">
        <v>45</v>
      </c>
      <c r="O12" t="s">
        <v>46</v>
      </c>
      <c r="P12" s="5">
        <v>4</v>
      </c>
      <c r="Q12" s="12">
        <v>44802.419328703705</v>
      </c>
      <c r="R12" s="13">
        <v>44805</v>
      </c>
      <c r="T12" t="s">
        <v>47</v>
      </c>
      <c r="U12" t="s">
        <v>48</v>
      </c>
      <c r="V12" t="s">
        <v>93</v>
      </c>
      <c r="Y12" t="s">
        <v>94</v>
      </c>
      <c r="Z12">
        <v>84000</v>
      </c>
      <c r="AA12" t="s">
        <v>47</v>
      </c>
      <c r="AB12" t="s">
        <v>58</v>
      </c>
      <c r="AC12" t="s">
        <v>53</v>
      </c>
      <c r="AD12" s="16">
        <f>IF(P12&lt;=1,7,7+0.8*ROUNDUP(P12-1,0))</f>
        <v>9.4</v>
      </c>
      <c r="AE12" s="15">
        <v>0</v>
      </c>
      <c r="AF12" s="15">
        <v>0</v>
      </c>
      <c r="AG12" s="15">
        <v>0</v>
      </c>
      <c r="AH12" s="15">
        <v>0</v>
      </c>
      <c r="AI12" s="15">
        <f t="shared" si="0"/>
        <v>0.56399999999999995</v>
      </c>
      <c r="AJ12" s="15">
        <f t="shared" si="1"/>
        <v>9.9640000000000004</v>
      </c>
      <c r="AK12" t="s">
        <v>47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95</v>
      </c>
      <c r="I13" t="s">
        <v>41</v>
      </c>
      <c r="J13" t="s">
        <v>96</v>
      </c>
      <c r="K13" t="s">
        <v>43</v>
      </c>
      <c r="L13">
        <v>2</v>
      </c>
      <c r="M13" t="s">
        <v>44</v>
      </c>
      <c r="N13" t="s">
        <v>45</v>
      </c>
      <c r="O13" t="s">
        <v>46</v>
      </c>
      <c r="P13" s="5">
        <v>1</v>
      </c>
      <c r="Q13" s="12">
        <v>44802.590729166666</v>
      </c>
      <c r="R13" s="13">
        <v>44805</v>
      </c>
      <c r="T13" t="s">
        <v>47</v>
      </c>
      <c r="U13" t="s">
        <v>48</v>
      </c>
      <c r="V13" t="s">
        <v>93</v>
      </c>
      <c r="Y13" t="s">
        <v>97</v>
      </c>
      <c r="Z13">
        <v>81850</v>
      </c>
      <c r="AA13" t="s">
        <v>47</v>
      </c>
      <c r="AB13" t="s">
        <v>58</v>
      </c>
      <c r="AC13" t="s">
        <v>53</v>
      </c>
      <c r="AD13" s="16">
        <f>IF(P13&lt;=1,7,7+0.8*ROUNDUP(P13-1,0))</f>
        <v>7</v>
      </c>
      <c r="AE13" s="15">
        <v>0</v>
      </c>
      <c r="AF13" s="15">
        <v>0</v>
      </c>
      <c r="AG13" s="15">
        <v>0</v>
      </c>
      <c r="AH13" s="15">
        <v>0</v>
      </c>
      <c r="AI13" s="15">
        <f t="shared" si="0"/>
        <v>0.42</v>
      </c>
      <c r="AJ13" s="15">
        <f t="shared" si="1"/>
        <v>7.42</v>
      </c>
      <c r="AK13" t="s">
        <v>47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98</v>
      </c>
      <c r="I14" t="s">
        <v>41</v>
      </c>
      <c r="J14" t="s">
        <v>99</v>
      </c>
      <c r="K14" t="s">
        <v>43</v>
      </c>
      <c r="L14">
        <v>2</v>
      </c>
      <c r="M14" t="s">
        <v>44</v>
      </c>
      <c r="N14" t="s">
        <v>45</v>
      </c>
      <c r="O14" t="s">
        <v>46</v>
      </c>
      <c r="P14" s="5">
        <v>1</v>
      </c>
      <c r="Q14" s="12">
        <v>44802.656111111108</v>
      </c>
      <c r="R14" s="13">
        <v>44805</v>
      </c>
      <c r="T14" t="s">
        <v>47</v>
      </c>
      <c r="U14" t="s">
        <v>48</v>
      </c>
      <c r="V14" t="s">
        <v>56</v>
      </c>
      <c r="Y14" t="s">
        <v>100</v>
      </c>
      <c r="Z14">
        <v>8000</v>
      </c>
      <c r="AA14" t="s">
        <v>47</v>
      </c>
      <c r="AB14" t="s">
        <v>58</v>
      </c>
      <c r="AC14" t="s">
        <v>53</v>
      </c>
      <c r="AD14" s="16">
        <f>IF(P14&lt;=1,7,7+0.8*ROUNDUP(P14-1,0))</f>
        <v>7</v>
      </c>
      <c r="AE14" s="15">
        <v>0</v>
      </c>
      <c r="AF14" s="15">
        <v>0</v>
      </c>
      <c r="AG14" s="15">
        <v>0</v>
      </c>
      <c r="AH14" s="15">
        <v>0</v>
      </c>
      <c r="AI14" s="15">
        <f t="shared" si="0"/>
        <v>0.42</v>
      </c>
      <c r="AJ14" s="15">
        <f t="shared" si="1"/>
        <v>7.42</v>
      </c>
      <c r="AK14" t="s">
        <v>47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101</v>
      </c>
      <c r="I15" t="s">
        <v>41</v>
      </c>
      <c r="J15" t="s">
        <v>102</v>
      </c>
      <c r="K15" t="s">
        <v>43</v>
      </c>
      <c r="L15">
        <v>2</v>
      </c>
      <c r="M15" t="s">
        <v>44</v>
      </c>
      <c r="N15" t="s">
        <v>45</v>
      </c>
      <c r="O15" t="s">
        <v>46</v>
      </c>
      <c r="P15" s="5">
        <v>1</v>
      </c>
      <c r="Q15" s="12">
        <v>44803.594594907408</v>
      </c>
      <c r="R15" s="13">
        <v>44805</v>
      </c>
      <c r="T15" t="s">
        <v>47</v>
      </c>
      <c r="U15" t="s">
        <v>48</v>
      </c>
      <c r="V15" t="s">
        <v>85</v>
      </c>
      <c r="Y15" t="s">
        <v>103</v>
      </c>
      <c r="Z15">
        <v>42700</v>
      </c>
      <c r="AA15" t="s">
        <v>47</v>
      </c>
      <c r="AB15" t="s">
        <v>58</v>
      </c>
      <c r="AC15" t="s">
        <v>53</v>
      </c>
      <c r="AD15" s="16">
        <f>IF(P15&lt;=1,7,7+0.8*ROUNDUP(P15-1,0))</f>
        <v>7</v>
      </c>
      <c r="AE15" s="15">
        <v>0</v>
      </c>
      <c r="AF15" s="15">
        <v>0</v>
      </c>
      <c r="AG15" s="15">
        <v>0</v>
      </c>
      <c r="AH15" s="15">
        <v>0</v>
      </c>
      <c r="AI15" s="15">
        <f t="shared" si="0"/>
        <v>0.42</v>
      </c>
      <c r="AJ15" s="15">
        <f t="shared" si="1"/>
        <v>7.42</v>
      </c>
      <c r="AK15" t="s">
        <v>47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104</v>
      </c>
      <c r="I16" t="s">
        <v>41</v>
      </c>
      <c r="J16" t="s">
        <v>105</v>
      </c>
      <c r="K16" t="s">
        <v>43</v>
      </c>
      <c r="L16">
        <v>2</v>
      </c>
      <c r="M16" t="s">
        <v>44</v>
      </c>
      <c r="N16" t="s">
        <v>45</v>
      </c>
      <c r="O16" t="s">
        <v>46</v>
      </c>
      <c r="P16" s="5">
        <v>1</v>
      </c>
      <c r="Q16" s="12">
        <v>44800.765185185184</v>
      </c>
      <c r="R16" s="13">
        <v>44805</v>
      </c>
      <c r="T16" t="s">
        <v>47</v>
      </c>
      <c r="U16" t="s">
        <v>48</v>
      </c>
      <c r="V16" t="s">
        <v>93</v>
      </c>
      <c r="Y16" t="s">
        <v>106</v>
      </c>
      <c r="Z16">
        <v>81400</v>
      </c>
      <c r="AA16" t="s">
        <v>47</v>
      </c>
      <c r="AB16" t="s">
        <v>58</v>
      </c>
      <c r="AC16" t="s">
        <v>53</v>
      </c>
      <c r="AD16" s="16">
        <f>IF(P16&lt;=1,7,7+0.8*ROUNDUP(P16-1,0))</f>
        <v>7</v>
      </c>
      <c r="AE16" s="15">
        <v>0</v>
      </c>
      <c r="AF16" s="15">
        <v>0</v>
      </c>
      <c r="AG16" s="15">
        <v>0</v>
      </c>
      <c r="AH16" s="15">
        <v>0</v>
      </c>
      <c r="AI16" s="15">
        <f t="shared" si="0"/>
        <v>0.42</v>
      </c>
      <c r="AJ16" s="15">
        <f t="shared" si="1"/>
        <v>7.42</v>
      </c>
      <c r="AK16" t="s">
        <v>47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107</v>
      </c>
      <c r="I17" t="s">
        <v>41</v>
      </c>
      <c r="J17" t="s">
        <v>108</v>
      </c>
      <c r="K17" t="s">
        <v>43</v>
      </c>
      <c r="L17">
        <v>2</v>
      </c>
      <c r="M17" t="s">
        <v>44</v>
      </c>
      <c r="N17" t="s">
        <v>45</v>
      </c>
      <c r="O17" t="s">
        <v>46</v>
      </c>
      <c r="P17" s="5">
        <v>1</v>
      </c>
      <c r="Q17" s="12">
        <v>44800.736145833333</v>
      </c>
      <c r="R17" s="13">
        <v>44805</v>
      </c>
      <c r="T17" t="s">
        <v>47</v>
      </c>
      <c r="U17" t="s">
        <v>48</v>
      </c>
      <c r="V17" t="s">
        <v>72</v>
      </c>
      <c r="Y17" t="s">
        <v>109</v>
      </c>
      <c r="Z17">
        <v>71350</v>
      </c>
      <c r="AA17" t="s">
        <v>47</v>
      </c>
      <c r="AB17" t="s">
        <v>58</v>
      </c>
      <c r="AC17" t="s">
        <v>53</v>
      </c>
      <c r="AD17" s="16">
        <f>IF(P17&lt;=1,7,7+0.8*ROUNDUP(P17-1,0))</f>
        <v>7</v>
      </c>
      <c r="AE17" s="15">
        <v>0</v>
      </c>
      <c r="AF17" s="15">
        <v>0</v>
      </c>
      <c r="AG17" s="15">
        <v>0</v>
      </c>
      <c r="AH17" s="15">
        <v>0</v>
      </c>
      <c r="AI17" s="15">
        <f t="shared" si="0"/>
        <v>0.42</v>
      </c>
      <c r="AJ17" s="15">
        <f t="shared" si="1"/>
        <v>7.42</v>
      </c>
      <c r="AK17" t="s">
        <v>47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110</v>
      </c>
      <c r="I18" t="s">
        <v>41</v>
      </c>
      <c r="J18" t="s">
        <v>111</v>
      </c>
      <c r="K18" t="s">
        <v>43</v>
      </c>
      <c r="L18">
        <v>2</v>
      </c>
      <c r="M18" t="s">
        <v>44</v>
      </c>
      <c r="N18" t="s">
        <v>45</v>
      </c>
      <c r="O18" t="s">
        <v>46</v>
      </c>
      <c r="P18" s="5">
        <v>4</v>
      </c>
      <c r="Q18" s="12">
        <v>44802.68891203704</v>
      </c>
      <c r="R18" s="13">
        <v>44805</v>
      </c>
      <c r="T18" t="s">
        <v>47</v>
      </c>
      <c r="U18" t="s">
        <v>48</v>
      </c>
      <c r="V18" t="s">
        <v>85</v>
      </c>
      <c r="Y18" t="s">
        <v>112</v>
      </c>
      <c r="Z18">
        <v>46000</v>
      </c>
      <c r="AA18" t="s">
        <v>47</v>
      </c>
      <c r="AB18" t="s">
        <v>58</v>
      </c>
      <c r="AC18" t="s">
        <v>53</v>
      </c>
      <c r="AD18" s="16">
        <f>IF(P18&lt;=1,7,7+0.8*ROUNDUP(P18-1,0))</f>
        <v>9.4</v>
      </c>
      <c r="AE18" s="15">
        <v>0</v>
      </c>
      <c r="AF18" s="15">
        <v>0</v>
      </c>
      <c r="AG18" s="15">
        <v>0</v>
      </c>
      <c r="AH18" s="15">
        <v>0</v>
      </c>
      <c r="AI18" s="15">
        <f t="shared" si="0"/>
        <v>0.56399999999999995</v>
      </c>
      <c r="AJ18" s="15">
        <f t="shared" si="1"/>
        <v>9.9640000000000004</v>
      </c>
      <c r="AK18" t="s">
        <v>47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113</v>
      </c>
      <c r="I19" t="s">
        <v>41</v>
      </c>
      <c r="J19" t="s">
        <v>114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5">
        <v>1</v>
      </c>
      <c r="Q19" s="12">
        <v>44801.697835648149</v>
      </c>
      <c r="R19" s="13">
        <v>44805</v>
      </c>
      <c r="T19" t="s">
        <v>47</v>
      </c>
      <c r="U19" t="s">
        <v>48</v>
      </c>
      <c r="V19" t="s">
        <v>115</v>
      </c>
      <c r="Y19" t="s">
        <v>116</v>
      </c>
      <c r="Z19">
        <v>2400</v>
      </c>
      <c r="AA19" t="s">
        <v>47</v>
      </c>
      <c r="AB19" t="s">
        <v>58</v>
      </c>
      <c r="AC19" t="s">
        <v>53</v>
      </c>
      <c r="AD19" s="16">
        <f>IF(P19&lt;=1,7,7+0.8*ROUNDUP(P19-1,0))</f>
        <v>7</v>
      </c>
      <c r="AE19" s="15">
        <v>0</v>
      </c>
      <c r="AF19" s="15">
        <v>0</v>
      </c>
      <c r="AG19" s="15">
        <v>0</v>
      </c>
      <c r="AH19" s="15">
        <v>0</v>
      </c>
      <c r="AI19" s="15">
        <f t="shared" si="0"/>
        <v>0.42</v>
      </c>
      <c r="AJ19" s="15">
        <f t="shared" si="1"/>
        <v>7.42</v>
      </c>
      <c r="AK19" t="s">
        <v>47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117</v>
      </c>
      <c r="I20" t="s">
        <v>41</v>
      </c>
      <c r="J20" t="s">
        <v>118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5">
        <v>4</v>
      </c>
      <c r="Q20" s="12">
        <v>44803.746111111112</v>
      </c>
      <c r="R20" s="13">
        <v>44806</v>
      </c>
      <c r="T20" t="s">
        <v>47</v>
      </c>
      <c r="U20" t="s">
        <v>48</v>
      </c>
      <c r="V20" t="s">
        <v>119</v>
      </c>
      <c r="Y20" t="s">
        <v>120</v>
      </c>
      <c r="Z20">
        <v>26600</v>
      </c>
      <c r="AA20" t="s">
        <v>47</v>
      </c>
      <c r="AB20" t="s">
        <v>48</v>
      </c>
      <c r="AC20" t="s">
        <v>53</v>
      </c>
      <c r="AD20" s="16">
        <f>IF(P20&lt;=1,7,7+0.8*ROUNDUP(P20-1,0))</f>
        <v>9.4</v>
      </c>
      <c r="AE20" s="15">
        <v>0</v>
      </c>
      <c r="AF20" s="15">
        <v>0</v>
      </c>
      <c r="AG20" s="15">
        <v>0</v>
      </c>
      <c r="AH20" s="15">
        <v>0</v>
      </c>
      <c r="AI20" s="15">
        <f t="shared" si="0"/>
        <v>0.56399999999999995</v>
      </c>
      <c r="AJ20" s="15">
        <f t="shared" si="1"/>
        <v>9.9640000000000004</v>
      </c>
      <c r="AK20" t="s">
        <v>47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121</v>
      </c>
      <c r="I21" t="s">
        <v>41</v>
      </c>
      <c r="J21" t="s">
        <v>122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5">
        <v>1</v>
      </c>
      <c r="Q21" s="12">
        <v>44805.597118055557</v>
      </c>
      <c r="R21" s="13">
        <v>44806</v>
      </c>
      <c r="T21" t="s">
        <v>47</v>
      </c>
      <c r="U21" t="s">
        <v>48</v>
      </c>
      <c r="V21" t="s">
        <v>76</v>
      </c>
      <c r="Y21" t="s">
        <v>123</v>
      </c>
      <c r="Z21">
        <v>17000</v>
      </c>
      <c r="AA21" t="s">
        <v>47</v>
      </c>
      <c r="AB21" t="s">
        <v>90</v>
      </c>
      <c r="AC21" t="s">
        <v>53</v>
      </c>
      <c r="AD21" s="16">
        <f>IF(P21&lt;=1,7,7+0.8*ROUNDUP(P21-1,0))</f>
        <v>7</v>
      </c>
      <c r="AE21" s="15">
        <v>0</v>
      </c>
      <c r="AF21" s="15">
        <v>0</v>
      </c>
      <c r="AG21" s="15">
        <v>0</v>
      </c>
      <c r="AH21" s="15">
        <v>0</v>
      </c>
      <c r="AI21" s="15">
        <f t="shared" si="0"/>
        <v>0.42</v>
      </c>
      <c r="AJ21" s="15">
        <f t="shared" si="1"/>
        <v>7.42</v>
      </c>
      <c r="AK21" t="s">
        <v>47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124</v>
      </c>
      <c r="I22" t="s">
        <v>41</v>
      </c>
      <c r="J22" t="s">
        <v>125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5">
        <v>2</v>
      </c>
      <c r="Q22" s="12">
        <v>44805.732546296298</v>
      </c>
      <c r="R22" s="13">
        <v>44806</v>
      </c>
      <c r="T22" t="s">
        <v>47</v>
      </c>
      <c r="U22" t="s">
        <v>48</v>
      </c>
      <c r="V22" t="s">
        <v>119</v>
      </c>
      <c r="Y22" t="s">
        <v>126</v>
      </c>
      <c r="Z22">
        <v>28050</v>
      </c>
      <c r="AA22" t="s">
        <v>47</v>
      </c>
      <c r="AB22" t="s">
        <v>127</v>
      </c>
      <c r="AC22" t="s">
        <v>53</v>
      </c>
      <c r="AD22" s="16">
        <f>IF(P22&lt;=1,7,7+0.8*ROUNDUP(P22-1,0))</f>
        <v>7.8</v>
      </c>
      <c r="AE22" s="15">
        <v>0</v>
      </c>
      <c r="AF22" s="15">
        <v>0</v>
      </c>
      <c r="AG22" s="15">
        <v>0</v>
      </c>
      <c r="AH22" s="15">
        <v>0</v>
      </c>
      <c r="AI22" s="15">
        <f t="shared" si="0"/>
        <v>0.46799999999999997</v>
      </c>
      <c r="AJ22" s="15">
        <f t="shared" si="1"/>
        <v>8.2680000000000007</v>
      </c>
      <c r="AK22" t="s">
        <v>47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128</v>
      </c>
      <c r="I23" t="s">
        <v>41</v>
      </c>
      <c r="J23" t="s">
        <v>129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5">
        <v>4</v>
      </c>
      <c r="Q23" s="12">
        <v>44803.754224537035</v>
      </c>
      <c r="R23" s="13">
        <v>44806</v>
      </c>
      <c r="T23" t="s">
        <v>47</v>
      </c>
      <c r="U23" t="s">
        <v>48</v>
      </c>
      <c r="V23" t="s">
        <v>76</v>
      </c>
      <c r="Y23" t="s">
        <v>130</v>
      </c>
      <c r="Z23">
        <v>18500</v>
      </c>
      <c r="AA23" t="s">
        <v>47</v>
      </c>
      <c r="AB23" t="s">
        <v>131</v>
      </c>
      <c r="AC23" t="s">
        <v>53</v>
      </c>
      <c r="AD23" s="16">
        <f>IF(P23&lt;=1,7,7+0.8*ROUNDUP(P23-1,0))</f>
        <v>9.4</v>
      </c>
      <c r="AE23" s="15">
        <v>0</v>
      </c>
      <c r="AF23" s="15">
        <v>0</v>
      </c>
      <c r="AG23" s="15">
        <v>0</v>
      </c>
      <c r="AH23" s="15">
        <v>0</v>
      </c>
      <c r="AI23" s="15">
        <f t="shared" si="0"/>
        <v>0.56399999999999995</v>
      </c>
      <c r="AJ23" s="15">
        <f t="shared" si="1"/>
        <v>9.9640000000000004</v>
      </c>
      <c r="AK23" t="s">
        <v>47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132</v>
      </c>
      <c r="I24" t="s">
        <v>41</v>
      </c>
      <c r="J24" t="s">
        <v>133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5">
        <v>1</v>
      </c>
      <c r="Q24" s="12">
        <v>44795.557534722226</v>
      </c>
      <c r="R24" s="13">
        <v>44806</v>
      </c>
      <c r="T24" t="s">
        <v>47</v>
      </c>
      <c r="U24" t="s">
        <v>48</v>
      </c>
      <c r="V24" t="s">
        <v>134</v>
      </c>
      <c r="Y24" t="s">
        <v>135</v>
      </c>
      <c r="Z24">
        <v>94300</v>
      </c>
      <c r="AA24" t="s">
        <v>51</v>
      </c>
      <c r="AB24" t="s">
        <v>136</v>
      </c>
      <c r="AC24" t="s">
        <v>53</v>
      </c>
      <c r="AD24" s="14">
        <f>IF(P24&lt;=1,13,IF(P24&lt;=2,23,IF(P24&lt;=3,35,IF(P24&lt;=4,43,IF(P24&lt;=5,53,IF(P24&lt;=6,63,IF(P24&lt;=7,71,IF(P24&lt;=8,79,IF(P24&lt;=9,87,IF(P24&lt;=10,95,IF(P24&lt;=11,105,IF(P24&lt;=12,114,IF(P24&lt;=13,119,IF(P24&lt;=14,127,IF(P24&lt;=15,135,IF(P24&lt;=16,143,IF(P24&lt;=17,153,IF(P24&lt;=18,163,IF(P24&lt;=19,171,IF(P24&lt;=20,185,IF(P24&lt;=21,193,IF(P24&lt;=22,201,IF(P24&lt;=23,210,IF(P24&lt;=24,220,IF(P24&lt;=25,230,IF(P24&lt;=26,240,IF(P24&lt;=27,250,IF(P24&lt;=28,260,IF(P24&lt;=29,270,IF(P24&lt;=30,280,280))))))))))))))))))))))))))))))</f>
        <v>13</v>
      </c>
      <c r="AE24" s="15">
        <v>0</v>
      </c>
      <c r="AF24" s="15">
        <v>0</v>
      </c>
      <c r="AG24" s="15">
        <v>0</v>
      </c>
      <c r="AH24" s="15">
        <v>0</v>
      </c>
      <c r="AI24" s="15">
        <f t="shared" si="0"/>
        <v>0.78</v>
      </c>
      <c r="AJ24" s="15">
        <f t="shared" si="1"/>
        <v>13.78</v>
      </c>
      <c r="AK24" t="s">
        <v>51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137</v>
      </c>
      <c r="I25" t="s">
        <v>41</v>
      </c>
      <c r="J25" t="s">
        <v>138</v>
      </c>
      <c r="K25" t="s">
        <v>43</v>
      </c>
      <c r="L25">
        <v>2</v>
      </c>
      <c r="M25" t="s">
        <v>44</v>
      </c>
      <c r="N25" t="s">
        <v>45</v>
      </c>
      <c r="O25" t="s">
        <v>46</v>
      </c>
      <c r="P25" s="5">
        <v>2</v>
      </c>
      <c r="Q25" s="12">
        <v>44805.791550925926</v>
      </c>
      <c r="R25" s="13">
        <v>44807</v>
      </c>
      <c r="T25" t="s">
        <v>47</v>
      </c>
      <c r="U25" t="s">
        <v>90</v>
      </c>
      <c r="V25" t="s">
        <v>85</v>
      </c>
      <c r="Y25" t="s">
        <v>139</v>
      </c>
      <c r="Z25">
        <v>43000</v>
      </c>
      <c r="AA25" t="s">
        <v>47</v>
      </c>
      <c r="AB25" t="s">
        <v>140</v>
      </c>
      <c r="AC25" t="s">
        <v>53</v>
      </c>
      <c r="AD25" s="16">
        <f>IF(P25&lt;=1,7,7+0.8*ROUNDUP(P25-1,0))</f>
        <v>7.8</v>
      </c>
      <c r="AE25" s="15">
        <v>0</v>
      </c>
      <c r="AF25" s="15">
        <v>0</v>
      </c>
      <c r="AG25" s="15">
        <v>0</v>
      </c>
      <c r="AH25" s="15">
        <v>0</v>
      </c>
      <c r="AI25" s="15">
        <f t="shared" si="0"/>
        <v>0.46799999999999997</v>
      </c>
      <c r="AJ25" s="15">
        <f t="shared" si="1"/>
        <v>8.2680000000000007</v>
      </c>
      <c r="AK25" t="s">
        <v>47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141</v>
      </c>
      <c r="I26" t="s">
        <v>41</v>
      </c>
      <c r="J26" t="s">
        <v>142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5">
        <v>2</v>
      </c>
      <c r="Q26" s="12">
        <v>44805.748935185184</v>
      </c>
      <c r="R26" s="13">
        <v>44807</v>
      </c>
      <c r="T26" t="s">
        <v>47</v>
      </c>
      <c r="U26" t="s">
        <v>48</v>
      </c>
      <c r="V26" t="s">
        <v>85</v>
      </c>
      <c r="Y26" t="s">
        <v>143</v>
      </c>
      <c r="Z26">
        <v>47810</v>
      </c>
      <c r="AA26" t="s">
        <v>47</v>
      </c>
      <c r="AB26" t="s">
        <v>58</v>
      </c>
      <c r="AC26" t="s">
        <v>53</v>
      </c>
      <c r="AD26" s="16">
        <f>IF(P26&lt;=1,7,7+0.8*ROUNDUP(P26-1,0))</f>
        <v>7.8</v>
      </c>
      <c r="AE26" s="15">
        <v>0</v>
      </c>
      <c r="AF26" s="15">
        <v>0</v>
      </c>
      <c r="AG26" s="15">
        <v>0</v>
      </c>
      <c r="AH26" s="15">
        <v>0</v>
      </c>
      <c r="AI26" s="15">
        <f t="shared" si="0"/>
        <v>0.46799999999999997</v>
      </c>
      <c r="AJ26" s="15">
        <f t="shared" si="1"/>
        <v>8.2680000000000007</v>
      </c>
      <c r="AK26" t="s">
        <v>47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144</v>
      </c>
      <c r="I27" t="s">
        <v>41</v>
      </c>
      <c r="J27" t="s">
        <v>145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5">
        <v>6</v>
      </c>
      <c r="Q27" s="12">
        <v>44803.744143518517</v>
      </c>
      <c r="R27" s="13">
        <v>44807</v>
      </c>
      <c r="T27" t="s">
        <v>47</v>
      </c>
      <c r="U27" t="s">
        <v>48</v>
      </c>
      <c r="V27" t="s">
        <v>93</v>
      </c>
      <c r="Y27" t="s">
        <v>146</v>
      </c>
      <c r="Z27">
        <v>86400</v>
      </c>
      <c r="AA27" t="s">
        <v>47</v>
      </c>
      <c r="AB27" t="s">
        <v>58</v>
      </c>
      <c r="AC27" t="s">
        <v>53</v>
      </c>
      <c r="AD27" s="16">
        <f>IF(P27&lt;=1,7,7+0.8*ROUNDUP(P27-1,0))</f>
        <v>11</v>
      </c>
      <c r="AE27" s="15">
        <v>0</v>
      </c>
      <c r="AF27" s="15">
        <v>0</v>
      </c>
      <c r="AG27" s="15">
        <v>0</v>
      </c>
      <c r="AH27" s="15">
        <v>0</v>
      </c>
      <c r="AI27" s="15">
        <f t="shared" si="0"/>
        <v>0.65999999999999992</v>
      </c>
      <c r="AJ27" s="15">
        <f t="shared" si="1"/>
        <v>11.66</v>
      </c>
      <c r="AK27" t="s">
        <v>47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147</v>
      </c>
      <c r="I28" t="s">
        <v>41</v>
      </c>
      <c r="J28" t="s">
        <v>148</v>
      </c>
      <c r="K28" t="s">
        <v>43</v>
      </c>
      <c r="L28">
        <v>2</v>
      </c>
      <c r="M28" t="s">
        <v>44</v>
      </c>
      <c r="N28" t="s">
        <v>45</v>
      </c>
      <c r="O28" t="s">
        <v>46</v>
      </c>
      <c r="P28" s="5">
        <v>3</v>
      </c>
      <c r="Q28" s="12">
        <v>44803.755844907406</v>
      </c>
      <c r="R28" s="13">
        <v>44807</v>
      </c>
      <c r="T28" t="s">
        <v>47</v>
      </c>
      <c r="U28" t="s">
        <v>48</v>
      </c>
      <c r="V28" t="s">
        <v>81</v>
      </c>
      <c r="Y28" t="s">
        <v>149</v>
      </c>
      <c r="Z28">
        <v>34300</v>
      </c>
      <c r="AA28" t="s">
        <v>47</v>
      </c>
      <c r="AB28" t="s">
        <v>58</v>
      </c>
      <c r="AC28" t="s">
        <v>53</v>
      </c>
      <c r="AD28" s="16">
        <f>IF(P28&lt;=1,7,7+0.8*ROUNDUP(P28-1,0))</f>
        <v>8.6</v>
      </c>
      <c r="AE28" s="15">
        <v>0</v>
      </c>
      <c r="AF28" s="15">
        <v>0</v>
      </c>
      <c r="AG28" s="15">
        <v>0</v>
      </c>
      <c r="AH28" s="15">
        <v>0</v>
      </c>
      <c r="AI28" s="15">
        <f t="shared" si="0"/>
        <v>0.51600000000000001</v>
      </c>
      <c r="AJ28" s="15">
        <f t="shared" si="1"/>
        <v>9.1159999999999997</v>
      </c>
      <c r="AK28" t="s">
        <v>47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150</v>
      </c>
      <c r="I29" t="s">
        <v>41</v>
      </c>
      <c r="J29" t="s">
        <v>151</v>
      </c>
      <c r="K29" t="s">
        <v>43</v>
      </c>
      <c r="L29">
        <v>2</v>
      </c>
      <c r="M29" t="s">
        <v>44</v>
      </c>
      <c r="N29" t="s">
        <v>45</v>
      </c>
      <c r="O29" t="s">
        <v>46</v>
      </c>
      <c r="P29" s="5">
        <v>1</v>
      </c>
      <c r="Q29" s="12">
        <v>44805.601030092592</v>
      </c>
      <c r="R29" s="13">
        <v>44807</v>
      </c>
      <c r="T29" t="s">
        <v>47</v>
      </c>
      <c r="U29" t="s">
        <v>48</v>
      </c>
      <c r="V29" t="s">
        <v>85</v>
      </c>
      <c r="Y29" t="s">
        <v>152</v>
      </c>
      <c r="Z29">
        <v>45300</v>
      </c>
      <c r="AA29" t="s">
        <v>47</v>
      </c>
      <c r="AB29" t="s">
        <v>58</v>
      </c>
      <c r="AC29" t="s">
        <v>53</v>
      </c>
      <c r="AD29" s="16">
        <f>IF(P29&lt;=1,7,7+0.8*ROUNDUP(P29-1,0))</f>
        <v>7</v>
      </c>
      <c r="AE29" s="15">
        <v>0</v>
      </c>
      <c r="AF29" s="15">
        <v>0</v>
      </c>
      <c r="AG29" s="15">
        <v>0</v>
      </c>
      <c r="AH29" s="15">
        <v>0</v>
      </c>
      <c r="AI29" s="15">
        <f t="shared" si="0"/>
        <v>0.42</v>
      </c>
      <c r="AJ29" s="15">
        <f t="shared" si="1"/>
        <v>7.42</v>
      </c>
      <c r="AK29" t="s">
        <v>47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153</v>
      </c>
      <c r="I30" t="s">
        <v>41</v>
      </c>
      <c r="J30" t="s">
        <v>154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5">
        <v>2</v>
      </c>
      <c r="Q30" s="12">
        <v>44805.7890162037</v>
      </c>
      <c r="R30" s="13">
        <v>44807</v>
      </c>
      <c r="T30" t="s">
        <v>47</v>
      </c>
      <c r="U30" t="s">
        <v>90</v>
      </c>
      <c r="V30" t="s">
        <v>85</v>
      </c>
      <c r="Y30" t="s">
        <v>155</v>
      </c>
      <c r="Z30">
        <v>48050</v>
      </c>
      <c r="AA30" t="s">
        <v>47</v>
      </c>
      <c r="AB30" t="s">
        <v>156</v>
      </c>
      <c r="AC30" t="s">
        <v>53</v>
      </c>
      <c r="AD30" s="16">
        <f>IF(P30&lt;=1,7,7+0.8*ROUNDUP(P30-1,0))</f>
        <v>7.8</v>
      </c>
      <c r="AE30" s="15">
        <v>0</v>
      </c>
      <c r="AF30" s="15">
        <v>0</v>
      </c>
      <c r="AG30" s="15">
        <v>0</v>
      </c>
      <c r="AH30" s="15">
        <v>0</v>
      </c>
      <c r="AI30" s="15">
        <f t="shared" si="0"/>
        <v>0.46799999999999997</v>
      </c>
      <c r="AJ30" s="15">
        <f t="shared" si="1"/>
        <v>8.2680000000000007</v>
      </c>
      <c r="AK30" t="s">
        <v>47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157</v>
      </c>
      <c r="I31" t="s">
        <v>41</v>
      </c>
      <c r="J31" t="s">
        <v>158</v>
      </c>
      <c r="K31" t="s">
        <v>43</v>
      </c>
      <c r="L31">
        <v>2</v>
      </c>
      <c r="M31" t="s">
        <v>44</v>
      </c>
      <c r="N31" t="s">
        <v>45</v>
      </c>
      <c r="O31" t="s">
        <v>46</v>
      </c>
      <c r="P31" s="5">
        <v>1</v>
      </c>
      <c r="Q31" s="12">
        <v>44805.603298611109</v>
      </c>
      <c r="R31" s="13">
        <v>44807</v>
      </c>
      <c r="T31" t="s">
        <v>47</v>
      </c>
      <c r="U31" t="s">
        <v>48</v>
      </c>
      <c r="V31" t="s">
        <v>85</v>
      </c>
      <c r="Y31" t="s">
        <v>159</v>
      </c>
      <c r="Z31">
        <v>45300</v>
      </c>
      <c r="AA31" t="s">
        <v>47</v>
      </c>
      <c r="AB31" t="s">
        <v>58</v>
      </c>
      <c r="AC31" t="s">
        <v>53</v>
      </c>
      <c r="AD31" s="16">
        <f>IF(P31&lt;=1,7,7+0.8*ROUNDUP(P31-1,0))</f>
        <v>7</v>
      </c>
      <c r="AE31" s="15">
        <v>0</v>
      </c>
      <c r="AF31" s="15">
        <v>0</v>
      </c>
      <c r="AG31" s="15">
        <v>0</v>
      </c>
      <c r="AH31" s="15">
        <v>0</v>
      </c>
      <c r="AI31" s="15">
        <f t="shared" si="0"/>
        <v>0.42</v>
      </c>
      <c r="AJ31" s="15">
        <f t="shared" si="1"/>
        <v>7.42</v>
      </c>
      <c r="AK31" t="s">
        <v>47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160</v>
      </c>
      <c r="I32" t="s">
        <v>41</v>
      </c>
      <c r="J32" t="s">
        <v>161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5">
        <v>1</v>
      </c>
      <c r="Q32" s="12">
        <v>44805.781319444446</v>
      </c>
      <c r="R32" s="13">
        <v>44807</v>
      </c>
      <c r="T32" t="s">
        <v>47</v>
      </c>
      <c r="U32" t="s">
        <v>90</v>
      </c>
      <c r="V32" t="s">
        <v>85</v>
      </c>
      <c r="Y32" t="s">
        <v>162</v>
      </c>
      <c r="Z32">
        <v>41200</v>
      </c>
      <c r="AA32" t="s">
        <v>47</v>
      </c>
      <c r="AB32" t="s">
        <v>90</v>
      </c>
      <c r="AC32" t="s">
        <v>53</v>
      </c>
      <c r="AD32" s="16">
        <f>IF(P32&lt;=1,7,7+0.8*ROUNDUP(P32-1,0))</f>
        <v>7</v>
      </c>
      <c r="AE32" s="15">
        <v>0</v>
      </c>
      <c r="AF32" s="15">
        <v>0</v>
      </c>
      <c r="AG32" s="15">
        <v>0</v>
      </c>
      <c r="AH32" s="15">
        <v>0</v>
      </c>
      <c r="AI32" s="15">
        <f t="shared" si="0"/>
        <v>0.42</v>
      </c>
      <c r="AJ32" s="15">
        <f t="shared" si="1"/>
        <v>7.42</v>
      </c>
      <c r="AK32" t="s">
        <v>47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163</v>
      </c>
      <c r="I33" t="s">
        <v>41</v>
      </c>
      <c r="J33" t="s">
        <v>164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5">
        <v>2</v>
      </c>
      <c r="Q33" s="12">
        <v>44805.583101851851</v>
      </c>
      <c r="R33" s="13">
        <v>44807</v>
      </c>
      <c r="T33" t="s">
        <v>47</v>
      </c>
      <c r="U33" t="s">
        <v>48</v>
      </c>
      <c r="V33" t="s">
        <v>85</v>
      </c>
      <c r="Y33" t="s">
        <v>165</v>
      </c>
      <c r="Z33">
        <v>43200</v>
      </c>
      <c r="AA33" t="s">
        <v>47</v>
      </c>
      <c r="AB33" t="s">
        <v>58</v>
      </c>
      <c r="AC33" t="s">
        <v>53</v>
      </c>
      <c r="AD33" s="16">
        <f>IF(P33&lt;=1,7,7+0.8*ROUNDUP(P33-1,0))</f>
        <v>7.8</v>
      </c>
      <c r="AE33" s="15">
        <v>0</v>
      </c>
      <c r="AF33" s="15">
        <v>0</v>
      </c>
      <c r="AG33" s="15">
        <v>0</v>
      </c>
      <c r="AH33" s="15">
        <v>0</v>
      </c>
      <c r="AI33" s="15">
        <f t="shared" si="0"/>
        <v>0.46799999999999997</v>
      </c>
      <c r="AJ33" s="15">
        <f t="shared" si="1"/>
        <v>8.2680000000000007</v>
      </c>
      <c r="AK33" t="s">
        <v>47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166</v>
      </c>
      <c r="I34" t="s">
        <v>41</v>
      </c>
      <c r="J34" t="s">
        <v>167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5">
        <v>3</v>
      </c>
      <c r="Q34" s="12">
        <v>44805.789861111109</v>
      </c>
      <c r="R34" s="13">
        <v>44807</v>
      </c>
      <c r="T34" t="s">
        <v>47</v>
      </c>
      <c r="U34" t="s">
        <v>90</v>
      </c>
      <c r="V34" t="s">
        <v>119</v>
      </c>
      <c r="Y34" t="s">
        <v>168</v>
      </c>
      <c r="Z34">
        <v>28000</v>
      </c>
      <c r="AA34" t="s">
        <v>47</v>
      </c>
      <c r="AB34" t="s">
        <v>169</v>
      </c>
      <c r="AC34" t="s">
        <v>53</v>
      </c>
      <c r="AD34" s="16">
        <f>IF(P34&lt;=1,7,7+0.8*ROUNDUP(P34-1,0))</f>
        <v>8.6</v>
      </c>
      <c r="AE34" s="15">
        <v>0</v>
      </c>
      <c r="AF34" s="15">
        <v>0</v>
      </c>
      <c r="AG34" s="15">
        <v>0</v>
      </c>
      <c r="AH34" s="15">
        <v>0</v>
      </c>
      <c r="AI34" s="15">
        <f t="shared" si="0"/>
        <v>0.51600000000000001</v>
      </c>
      <c r="AJ34" s="15">
        <f t="shared" si="1"/>
        <v>9.1159999999999997</v>
      </c>
      <c r="AK34" t="s">
        <v>47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170</v>
      </c>
      <c r="I35" t="s">
        <v>41</v>
      </c>
      <c r="J35" t="s">
        <v>171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5">
        <v>1</v>
      </c>
      <c r="Q35" s="12">
        <v>44805.376817129632</v>
      </c>
      <c r="R35" s="13">
        <v>44807</v>
      </c>
      <c r="T35" t="s">
        <v>47</v>
      </c>
      <c r="U35" t="s">
        <v>48</v>
      </c>
      <c r="V35" t="s">
        <v>85</v>
      </c>
      <c r="Y35" t="s">
        <v>172</v>
      </c>
      <c r="Z35">
        <v>40170</v>
      </c>
      <c r="AA35" t="s">
        <v>47</v>
      </c>
      <c r="AB35" t="s">
        <v>58</v>
      </c>
      <c r="AC35" t="s">
        <v>53</v>
      </c>
      <c r="AD35" s="16">
        <f>IF(P35&lt;=1,7,7+0.8*ROUNDUP(P35-1,0))</f>
        <v>7</v>
      </c>
      <c r="AE35" s="15">
        <v>0</v>
      </c>
      <c r="AF35" s="15">
        <v>0</v>
      </c>
      <c r="AG35" s="15">
        <v>0</v>
      </c>
      <c r="AH35" s="15">
        <v>0</v>
      </c>
      <c r="AI35" s="15">
        <f t="shared" si="0"/>
        <v>0.42</v>
      </c>
      <c r="AJ35" s="15">
        <f t="shared" si="1"/>
        <v>7.42</v>
      </c>
      <c r="AK35" t="s">
        <v>47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173</v>
      </c>
      <c r="I36" t="s">
        <v>41</v>
      </c>
      <c r="J36" t="s">
        <v>174</v>
      </c>
      <c r="K36" t="s">
        <v>43</v>
      </c>
      <c r="L36">
        <v>2</v>
      </c>
      <c r="M36" t="s">
        <v>44</v>
      </c>
      <c r="N36" t="s">
        <v>45</v>
      </c>
      <c r="O36" t="s">
        <v>46</v>
      </c>
      <c r="P36" s="5">
        <v>3</v>
      </c>
      <c r="Q36" s="12">
        <v>44805.585856481484</v>
      </c>
      <c r="R36" s="13">
        <v>44807</v>
      </c>
      <c r="T36" t="s">
        <v>47</v>
      </c>
      <c r="U36" t="s">
        <v>48</v>
      </c>
      <c r="V36" t="s">
        <v>85</v>
      </c>
      <c r="Y36" t="s">
        <v>175</v>
      </c>
      <c r="Z36">
        <v>47830</v>
      </c>
      <c r="AA36" t="s">
        <v>47</v>
      </c>
      <c r="AB36" t="s">
        <v>58</v>
      </c>
      <c r="AC36" t="s">
        <v>53</v>
      </c>
      <c r="AD36" s="16">
        <f>IF(P36&lt;=1,7,7+0.8*ROUNDUP(P36-1,0))</f>
        <v>8.6</v>
      </c>
      <c r="AE36" s="15">
        <v>0</v>
      </c>
      <c r="AF36" s="15">
        <v>0</v>
      </c>
      <c r="AG36" s="15">
        <v>0</v>
      </c>
      <c r="AH36" s="15">
        <v>0</v>
      </c>
      <c r="AI36" s="15">
        <f t="shared" si="0"/>
        <v>0.51600000000000001</v>
      </c>
      <c r="AJ36" s="15">
        <f t="shared" si="1"/>
        <v>9.1159999999999997</v>
      </c>
      <c r="AK36" t="s">
        <v>47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176</v>
      </c>
      <c r="I37" t="s">
        <v>41</v>
      </c>
      <c r="J37" t="s">
        <v>177</v>
      </c>
      <c r="K37" t="s">
        <v>43</v>
      </c>
      <c r="L37">
        <v>2</v>
      </c>
      <c r="M37" t="s">
        <v>44</v>
      </c>
      <c r="N37" t="s">
        <v>45</v>
      </c>
      <c r="O37" t="s">
        <v>46</v>
      </c>
      <c r="P37" s="5">
        <v>2</v>
      </c>
      <c r="Q37" s="12">
        <v>44805.782627314817</v>
      </c>
      <c r="R37" s="13">
        <v>44807</v>
      </c>
      <c r="T37" t="s">
        <v>47</v>
      </c>
      <c r="U37" t="s">
        <v>90</v>
      </c>
      <c r="V37" t="s">
        <v>85</v>
      </c>
      <c r="Y37" t="s">
        <v>178</v>
      </c>
      <c r="Z37">
        <v>45200</v>
      </c>
      <c r="AA37" t="s">
        <v>47</v>
      </c>
      <c r="AB37" t="s">
        <v>179</v>
      </c>
      <c r="AC37" t="s">
        <v>53</v>
      </c>
      <c r="AD37" s="16">
        <f>IF(P37&lt;=1,7,7+0.8*ROUNDUP(P37-1,0))</f>
        <v>7.8</v>
      </c>
      <c r="AE37" s="15">
        <v>0</v>
      </c>
      <c r="AF37" s="15">
        <v>0</v>
      </c>
      <c r="AG37" s="15">
        <v>0</v>
      </c>
      <c r="AH37" s="15">
        <v>0</v>
      </c>
      <c r="AI37" s="15">
        <f t="shared" si="0"/>
        <v>0.46799999999999997</v>
      </c>
      <c r="AJ37" s="15">
        <f t="shared" si="1"/>
        <v>8.2680000000000007</v>
      </c>
      <c r="AK37" t="s">
        <v>47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180</v>
      </c>
      <c r="I38" t="s">
        <v>41</v>
      </c>
      <c r="J38" t="s">
        <v>181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5">
        <v>3</v>
      </c>
      <c r="Q38" s="12">
        <v>44805.786631944444</v>
      </c>
      <c r="R38" s="13">
        <v>44807</v>
      </c>
      <c r="T38" t="s">
        <v>47</v>
      </c>
      <c r="U38" t="s">
        <v>90</v>
      </c>
      <c r="V38" t="s">
        <v>85</v>
      </c>
      <c r="Y38" t="s">
        <v>182</v>
      </c>
      <c r="Z38">
        <v>43000</v>
      </c>
      <c r="AA38" t="s">
        <v>47</v>
      </c>
      <c r="AB38" t="s">
        <v>183</v>
      </c>
      <c r="AC38" t="s">
        <v>53</v>
      </c>
      <c r="AD38" s="16">
        <f>IF(P38&lt;=1,7,7+0.8*ROUNDUP(P38-1,0))</f>
        <v>8.6</v>
      </c>
      <c r="AE38" s="15">
        <v>0</v>
      </c>
      <c r="AF38" s="15">
        <v>0</v>
      </c>
      <c r="AG38" s="15">
        <v>0</v>
      </c>
      <c r="AH38" s="15">
        <v>0</v>
      </c>
      <c r="AI38" s="15">
        <f t="shared" si="0"/>
        <v>0.51600000000000001</v>
      </c>
      <c r="AJ38" s="15">
        <f t="shared" si="1"/>
        <v>9.1159999999999997</v>
      </c>
      <c r="AK38" t="s">
        <v>47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184</v>
      </c>
      <c r="I39" t="s">
        <v>41</v>
      </c>
      <c r="J39" t="s">
        <v>185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5">
        <v>1</v>
      </c>
      <c r="Q39" s="12">
        <v>44801.696747685186</v>
      </c>
      <c r="R39" s="13">
        <v>44807</v>
      </c>
      <c r="T39" t="s">
        <v>47</v>
      </c>
      <c r="U39" t="s">
        <v>48</v>
      </c>
      <c r="V39" t="s">
        <v>134</v>
      </c>
      <c r="Y39" t="s">
        <v>186</v>
      </c>
      <c r="Z39">
        <v>93250</v>
      </c>
      <c r="AA39" t="s">
        <v>51</v>
      </c>
      <c r="AB39" t="s">
        <v>187</v>
      </c>
      <c r="AC39" t="s">
        <v>53</v>
      </c>
      <c r="AD39" s="14">
        <f>IF(P39&lt;=1,13,IF(P39&lt;=2,23,IF(P39&lt;=3,35,IF(P39&lt;=4,43,IF(P39&lt;=5,53,IF(P39&lt;=6,63,IF(P39&lt;=7,71,IF(P39&lt;=8,79,IF(P39&lt;=9,87,IF(P39&lt;=10,95,IF(P39&lt;=11,105,IF(P39&lt;=12,114,IF(P39&lt;=13,119,IF(P39&lt;=14,127,IF(P39&lt;=15,135,IF(P39&lt;=16,143,IF(P39&lt;=17,153,IF(P39&lt;=18,163,IF(P39&lt;=19,171,IF(P39&lt;=20,185,IF(P39&lt;=21,193,IF(P39&lt;=22,201,IF(P39&lt;=23,210,IF(P39&lt;=24,220,IF(P39&lt;=25,230,IF(P39&lt;=26,240,IF(P39&lt;=27,250,IF(P39&lt;=28,260,IF(P39&lt;=29,270,IF(P39&lt;=30,280,280))))))))))))))))))))))))))))))</f>
        <v>13</v>
      </c>
      <c r="AE39" s="15">
        <v>0</v>
      </c>
      <c r="AF39" s="15">
        <v>0</v>
      </c>
      <c r="AG39" s="15">
        <v>0</v>
      </c>
      <c r="AH39" s="15">
        <v>0</v>
      </c>
      <c r="AI39" s="15">
        <f t="shared" si="0"/>
        <v>0.78</v>
      </c>
      <c r="AJ39" s="15">
        <f t="shared" si="1"/>
        <v>13.78</v>
      </c>
      <c r="AK39" t="s">
        <v>51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188</v>
      </c>
      <c r="I40" t="s">
        <v>41</v>
      </c>
      <c r="J40" t="s">
        <v>189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5">
        <v>2</v>
      </c>
      <c r="Q40" s="12">
        <v>44805.778969907406</v>
      </c>
      <c r="R40" s="13">
        <v>44807</v>
      </c>
      <c r="T40" t="s">
        <v>47</v>
      </c>
      <c r="U40" t="s">
        <v>90</v>
      </c>
      <c r="V40" t="s">
        <v>190</v>
      </c>
      <c r="Y40" t="s">
        <v>191</v>
      </c>
      <c r="Z40">
        <v>51200</v>
      </c>
      <c r="AA40" t="s">
        <v>47</v>
      </c>
      <c r="AB40" t="s">
        <v>192</v>
      </c>
      <c r="AC40" t="s">
        <v>53</v>
      </c>
      <c r="AD40" s="16">
        <f>IF(P40&lt;=1,7,7+0.8*ROUNDUP(P40-1,0))</f>
        <v>7.8</v>
      </c>
      <c r="AE40" s="15">
        <v>0</v>
      </c>
      <c r="AF40" s="15">
        <v>0</v>
      </c>
      <c r="AG40" s="15">
        <v>0</v>
      </c>
      <c r="AH40" s="15">
        <v>0</v>
      </c>
      <c r="AI40" s="15">
        <f t="shared" si="0"/>
        <v>0.46799999999999997</v>
      </c>
      <c r="AJ40" s="15">
        <f t="shared" si="1"/>
        <v>8.2680000000000007</v>
      </c>
      <c r="AK40" t="s">
        <v>47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193</v>
      </c>
      <c r="I41" t="s">
        <v>41</v>
      </c>
      <c r="J41" t="s">
        <v>194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5">
        <v>2</v>
      </c>
      <c r="Q41" s="12">
        <v>44805.776296296295</v>
      </c>
      <c r="R41" s="13">
        <v>44807</v>
      </c>
      <c r="T41" t="s">
        <v>47</v>
      </c>
      <c r="U41" t="s">
        <v>90</v>
      </c>
      <c r="V41" t="s">
        <v>72</v>
      </c>
      <c r="Y41" t="s">
        <v>195</v>
      </c>
      <c r="Z41">
        <v>72300</v>
      </c>
      <c r="AA41" t="s">
        <v>47</v>
      </c>
      <c r="AB41" t="s">
        <v>196</v>
      </c>
      <c r="AC41" t="s">
        <v>53</v>
      </c>
      <c r="AD41" s="16">
        <f>IF(P41&lt;=1,7,7+0.8*ROUNDUP(P41-1,0))</f>
        <v>7.8</v>
      </c>
      <c r="AE41" s="15">
        <v>0</v>
      </c>
      <c r="AF41" s="15">
        <v>0</v>
      </c>
      <c r="AG41" s="15">
        <v>0</v>
      </c>
      <c r="AH41" s="15">
        <v>0</v>
      </c>
      <c r="AI41" s="15">
        <f t="shared" si="0"/>
        <v>0.46799999999999997</v>
      </c>
      <c r="AJ41" s="15">
        <f t="shared" si="1"/>
        <v>8.2680000000000007</v>
      </c>
      <c r="AK41" t="s">
        <v>47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197</v>
      </c>
      <c r="I42" t="s">
        <v>41</v>
      </c>
      <c r="J42" t="s">
        <v>198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5">
        <v>1</v>
      </c>
      <c r="Q42" s="12">
        <v>44805.793344907404</v>
      </c>
      <c r="R42" s="13">
        <v>44807</v>
      </c>
      <c r="T42" t="s">
        <v>47</v>
      </c>
      <c r="U42" t="s">
        <v>90</v>
      </c>
      <c r="V42" t="s">
        <v>85</v>
      </c>
      <c r="Y42" t="s">
        <v>199</v>
      </c>
      <c r="Z42">
        <v>43300</v>
      </c>
      <c r="AA42" t="s">
        <v>47</v>
      </c>
      <c r="AB42" t="s">
        <v>183</v>
      </c>
      <c r="AC42" t="s">
        <v>53</v>
      </c>
      <c r="AD42" s="16">
        <f>IF(P42&lt;=1,7,7+0.8*ROUNDUP(P42-1,0))</f>
        <v>7</v>
      </c>
      <c r="AE42" s="15">
        <v>0</v>
      </c>
      <c r="AF42" s="15">
        <v>0</v>
      </c>
      <c r="AG42" s="15">
        <v>0</v>
      </c>
      <c r="AH42" s="15">
        <v>0</v>
      </c>
      <c r="AI42" s="15">
        <f t="shared" si="0"/>
        <v>0.42</v>
      </c>
      <c r="AJ42" s="15">
        <f t="shared" si="1"/>
        <v>7.42</v>
      </c>
      <c r="AK42" t="s">
        <v>47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200</v>
      </c>
      <c r="I43" t="s">
        <v>41</v>
      </c>
      <c r="J43" t="s">
        <v>201</v>
      </c>
      <c r="K43" t="s">
        <v>43</v>
      </c>
      <c r="L43">
        <v>2</v>
      </c>
      <c r="M43" t="s">
        <v>44</v>
      </c>
      <c r="N43" t="s">
        <v>45</v>
      </c>
      <c r="O43" t="s">
        <v>46</v>
      </c>
      <c r="P43" s="5">
        <v>6</v>
      </c>
      <c r="Q43" s="12">
        <v>44803.759444444448</v>
      </c>
      <c r="R43" s="13">
        <v>44807</v>
      </c>
      <c r="T43" t="s">
        <v>47</v>
      </c>
      <c r="U43" t="s">
        <v>48</v>
      </c>
      <c r="V43" t="s">
        <v>85</v>
      </c>
      <c r="Y43" t="s">
        <v>202</v>
      </c>
      <c r="Z43">
        <v>48050</v>
      </c>
      <c r="AA43" t="s">
        <v>47</v>
      </c>
      <c r="AB43" t="s">
        <v>58</v>
      </c>
      <c r="AC43" t="s">
        <v>53</v>
      </c>
      <c r="AD43" s="16">
        <f>IF(P43&lt;=1,7,7+0.8*ROUNDUP(P43-1,0))</f>
        <v>11</v>
      </c>
      <c r="AE43" s="15">
        <v>0</v>
      </c>
      <c r="AF43" s="15">
        <v>0</v>
      </c>
      <c r="AG43" s="15">
        <v>0</v>
      </c>
      <c r="AH43" s="15">
        <v>0</v>
      </c>
      <c r="AI43" s="15">
        <f t="shared" si="0"/>
        <v>0.65999999999999992</v>
      </c>
      <c r="AJ43" s="15">
        <f t="shared" si="1"/>
        <v>11.66</v>
      </c>
      <c r="AK43" t="s">
        <v>47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203</v>
      </c>
      <c r="I44" t="s">
        <v>41</v>
      </c>
      <c r="J44" t="s">
        <v>204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5">
        <v>1</v>
      </c>
      <c r="Q44" s="12">
        <v>44805.617476851854</v>
      </c>
      <c r="R44" s="13">
        <v>44807</v>
      </c>
      <c r="T44" t="s">
        <v>47</v>
      </c>
      <c r="U44" t="s">
        <v>48</v>
      </c>
      <c r="V44" t="s">
        <v>190</v>
      </c>
      <c r="Y44" t="s">
        <v>205</v>
      </c>
      <c r="Z44">
        <v>56100</v>
      </c>
      <c r="AA44" t="s">
        <v>47</v>
      </c>
      <c r="AB44" t="s">
        <v>58</v>
      </c>
      <c r="AC44" t="s">
        <v>53</v>
      </c>
      <c r="AD44" s="16">
        <f>IF(P44&lt;=1,7,7+0.8*ROUNDUP(P44-1,0))</f>
        <v>7</v>
      </c>
      <c r="AE44" s="15">
        <v>0</v>
      </c>
      <c r="AF44" s="15">
        <v>0</v>
      </c>
      <c r="AG44" s="15">
        <v>0</v>
      </c>
      <c r="AH44" s="15">
        <v>0</v>
      </c>
      <c r="AI44" s="15">
        <f t="shared" si="0"/>
        <v>0.42</v>
      </c>
      <c r="AJ44" s="15">
        <f t="shared" si="1"/>
        <v>7.42</v>
      </c>
      <c r="AK44" t="s">
        <v>47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206</v>
      </c>
      <c r="I45" t="s">
        <v>41</v>
      </c>
      <c r="J45" t="s">
        <v>207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5">
        <v>1</v>
      </c>
      <c r="Q45" s="12">
        <v>44805.740624999999</v>
      </c>
      <c r="R45" s="13">
        <v>44807</v>
      </c>
      <c r="T45" t="s">
        <v>47</v>
      </c>
      <c r="U45" t="s">
        <v>48</v>
      </c>
      <c r="V45" t="s">
        <v>190</v>
      </c>
      <c r="Y45" t="s">
        <v>208</v>
      </c>
      <c r="Z45">
        <v>58100</v>
      </c>
      <c r="AA45" t="s">
        <v>47</v>
      </c>
      <c r="AB45" t="s">
        <v>58</v>
      </c>
      <c r="AC45" t="s">
        <v>53</v>
      </c>
      <c r="AD45" s="16">
        <f>IF(P45&lt;=1,7,7+0.8*ROUNDUP(P45-1,0))</f>
        <v>7</v>
      </c>
      <c r="AE45" s="15">
        <v>0</v>
      </c>
      <c r="AF45" s="15">
        <v>0</v>
      </c>
      <c r="AG45" s="15">
        <v>0</v>
      </c>
      <c r="AH45" s="15">
        <v>0</v>
      </c>
      <c r="AI45" s="15">
        <f t="shared" si="0"/>
        <v>0.42</v>
      </c>
      <c r="AJ45" s="15">
        <f t="shared" si="1"/>
        <v>7.42</v>
      </c>
      <c r="AK45" t="s">
        <v>47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209</v>
      </c>
      <c r="I46" t="s">
        <v>41</v>
      </c>
      <c r="J46" t="s">
        <v>210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5">
        <v>1</v>
      </c>
      <c r="Q46" s="12">
        <v>44805.602141203701</v>
      </c>
      <c r="R46" s="13">
        <v>44807</v>
      </c>
      <c r="T46" t="s">
        <v>47</v>
      </c>
      <c r="U46" t="s">
        <v>48</v>
      </c>
      <c r="V46" t="s">
        <v>72</v>
      </c>
      <c r="Y46" t="s">
        <v>211</v>
      </c>
      <c r="Z46">
        <v>71450</v>
      </c>
      <c r="AA46" t="s">
        <v>47</v>
      </c>
      <c r="AB46" t="s">
        <v>58</v>
      </c>
      <c r="AC46" t="s">
        <v>53</v>
      </c>
      <c r="AD46" s="16">
        <f>IF(P46&lt;=1,7,7+0.8*ROUNDUP(P46-1,0))</f>
        <v>7</v>
      </c>
      <c r="AE46" s="15">
        <v>0</v>
      </c>
      <c r="AF46" s="15">
        <v>0</v>
      </c>
      <c r="AG46" s="15">
        <v>0</v>
      </c>
      <c r="AH46" s="15">
        <v>0</v>
      </c>
      <c r="AI46" s="15">
        <f t="shared" si="0"/>
        <v>0.42</v>
      </c>
      <c r="AJ46" s="15">
        <f t="shared" si="1"/>
        <v>7.42</v>
      </c>
      <c r="AK46" t="s">
        <v>47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212</v>
      </c>
      <c r="I47" t="s">
        <v>41</v>
      </c>
      <c r="J47" t="s">
        <v>213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5">
        <v>1</v>
      </c>
      <c r="Q47" s="12">
        <v>44806.389155092591</v>
      </c>
      <c r="R47" s="13">
        <v>44807</v>
      </c>
      <c r="T47" t="s">
        <v>47</v>
      </c>
      <c r="U47" t="s">
        <v>90</v>
      </c>
      <c r="V47" t="s">
        <v>85</v>
      </c>
      <c r="Y47" t="s">
        <v>214</v>
      </c>
      <c r="Z47">
        <v>68000</v>
      </c>
      <c r="AA47" t="s">
        <v>47</v>
      </c>
      <c r="AB47" t="s">
        <v>58</v>
      </c>
      <c r="AC47" t="s">
        <v>53</v>
      </c>
      <c r="AD47" s="16">
        <f>IF(P47&lt;=1,7,7+0.8*ROUNDUP(P47-1,0))</f>
        <v>7</v>
      </c>
      <c r="AE47" s="15">
        <v>0</v>
      </c>
      <c r="AF47" s="15">
        <v>0</v>
      </c>
      <c r="AG47" s="15">
        <v>0</v>
      </c>
      <c r="AH47" s="15">
        <v>0</v>
      </c>
      <c r="AI47" s="15">
        <f t="shared" si="0"/>
        <v>0.42</v>
      </c>
      <c r="AJ47" s="15">
        <f t="shared" si="1"/>
        <v>7.42</v>
      </c>
      <c r="AK47" t="s">
        <v>47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215</v>
      </c>
      <c r="I48" t="s">
        <v>41</v>
      </c>
      <c r="J48" t="s">
        <v>216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5">
        <v>1</v>
      </c>
      <c r="Q48" s="12">
        <v>44803.757349537038</v>
      </c>
      <c r="R48" s="13">
        <v>44807</v>
      </c>
      <c r="T48" t="s">
        <v>47</v>
      </c>
      <c r="U48" t="s">
        <v>48</v>
      </c>
      <c r="V48" t="s">
        <v>93</v>
      </c>
      <c r="Y48" t="s">
        <v>217</v>
      </c>
      <c r="Z48">
        <v>83000</v>
      </c>
      <c r="AA48" t="s">
        <v>47</v>
      </c>
      <c r="AB48" t="s">
        <v>58</v>
      </c>
      <c r="AC48" t="s">
        <v>53</v>
      </c>
      <c r="AD48" s="16">
        <f>IF(P48&lt;=1,7,7+0.8*ROUNDUP(P48-1,0))</f>
        <v>7</v>
      </c>
      <c r="AE48" s="15">
        <v>0</v>
      </c>
      <c r="AF48" s="15">
        <v>0</v>
      </c>
      <c r="AG48" s="15">
        <v>0</v>
      </c>
      <c r="AH48" s="15">
        <v>0</v>
      </c>
      <c r="AI48" s="15">
        <f t="shared" si="0"/>
        <v>0.42</v>
      </c>
      <c r="AJ48" s="15">
        <f t="shared" si="1"/>
        <v>7.42</v>
      </c>
      <c r="AK48" t="s">
        <v>47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218</v>
      </c>
      <c r="I49" t="s">
        <v>41</v>
      </c>
      <c r="J49" t="s">
        <v>219</v>
      </c>
      <c r="K49" t="s">
        <v>43</v>
      </c>
      <c r="L49">
        <v>2</v>
      </c>
      <c r="M49" t="s">
        <v>44</v>
      </c>
      <c r="N49" t="s">
        <v>45</v>
      </c>
      <c r="O49" t="s">
        <v>46</v>
      </c>
      <c r="P49" s="5">
        <v>2</v>
      </c>
      <c r="Q49" s="12">
        <v>44805.774641203701</v>
      </c>
      <c r="R49" s="13">
        <v>44807</v>
      </c>
      <c r="T49" t="s">
        <v>47</v>
      </c>
      <c r="U49" t="s">
        <v>90</v>
      </c>
      <c r="V49" t="s">
        <v>72</v>
      </c>
      <c r="Y49" t="s">
        <v>220</v>
      </c>
      <c r="Z49">
        <v>71800</v>
      </c>
      <c r="AA49" t="s">
        <v>47</v>
      </c>
      <c r="AB49" t="s">
        <v>221</v>
      </c>
      <c r="AC49" t="s">
        <v>53</v>
      </c>
      <c r="AD49" s="16">
        <f>IF(P49&lt;=1,7,7+0.8*ROUNDUP(P49-1,0))</f>
        <v>7.8</v>
      </c>
      <c r="AE49" s="15">
        <v>0</v>
      </c>
      <c r="AF49" s="15">
        <v>0</v>
      </c>
      <c r="AG49" s="15">
        <v>0</v>
      </c>
      <c r="AH49" s="15">
        <v>0</v>
      </c>
      <c r="AI49" s="15">
        <f t="shared" si="0"/>
        <v>0.46799999999999997</v>
      </c>
      <c r="AJ49" s="15">
        <f t="shared" si="1"/>
        <v>8.2680000000000007</v>
      </c>
      <c r="AK49" t="s">
        <v>47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222</v>
      </c>
      <c r="I50" t="s">
        <v>41</v>
      </c>
      <c r="J50" t="s">
        <v>223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5">
        <v>1</v>
      </c>
      <c r="Q50" s="12">
        <v>44803.748460648145</v>
      </c>
      <c r="R50" s="13">
        <v>44807</v>
      </c>
      <c r="T50" t="s">
        <v>47</v>
      </c>
      <c r="U50" t="s">
        <v>48</v>
      </c>
      <c r="V50" t="s">
        <v>61</v>
      </c>
      <c r="Y50" t="s">
        <v>224</v>
      </c>
      <c r="Z50">
        <v>13100</v>
      </c>
      <c r="AA50" t="s">
        <v>47</v>
      </c>
      <c r="AB50" t="s">
        <v>58</v>
      </c>
      <c r="AC50" t="s">
        <v>53</v>
      </c>
      <c r="AD50" s="16">
        <f>IF(P50&lt;=1,7,7+0.8*ROUNDUP(P50-1,0))</f>
        <v>7</v>
      </c>
      <c r="AE50" s="15">
        <v>0</v>
      </c>
      <c r="AF50" s="15">
        <v>0</v>
      </c>
      <c r="AG50" s="15">
        <v>0</v>
      </c>
      <c r="AH50" s="15">
        <v>0</v>
      </c>
      <c r="AI50" s="15">
        <f t="shared" si="0"/>
        <v>0.42</v>
      </c>
      <c r="AJ50" s="15">
        <f t="shared" si="1"/>
        <v>7.42</v>
      </c>
      <c r="AK50" t="s">
        <v>47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225</v>
      </c>
      <c r="I51" t="s">
        <v>41</v>
      </c>
      <c r="J51" t="s">
        <v>226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5">
        <v>8</v>
      </c>
      <c r="Q51" s="12">
        <v>44805.381620370368</v>
      </c>
      <c r="R51" s="13">
        <v>44807</v>
      </c>
      <c r="T51" t="s">
        <v>47</v>
      </c>
      <c r="U51" t="s">
        <v>48</v>
      </c>
      <c r="V51" t="s">
        <v>76</v>
      </c>
      <c r="Y51" t="s">
        <v>227</v>
      </c>
      <c r="Z51">
        <v>18300</v>
      </c>
      <c r="AA51" t="s">
        <v>47</v>
      </c>
      <c r="AB51" t="s">
        <v>228</v>
      </c>
      <c r="AC51" t="s">
        <v>53</v>
      </c>
      <c r="AD51" s="16">
        <f>IF(P51&lt;=1,7,7+0.8*ROUNDUP(P51-1,0))</f>
        <v>12.600000000000001</v>
      </c>
      <c r="AE51" s="15">
        <v>0</v>
      </c>
      <c r="AF51" s="15">
        <v>0</v>
      </c>
      <c r="AG51" s="15">
        <v>0</v>
      </c>
      <c r="AH51" s="15">
        <v>0</v>
      </c>
      <c r="AI51" s="15">
        <f t="shared" si="0"/>
        <v>0.75600000000000001</v>
      </c>
      <c r="AJ51" s="15">
        <f t="shared" si="1"/>
        <v>13.356000000000002</v>
      </c>
      <c r="AK51" t="s">
        <v>47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229</v>
      </c>
      <c r="I52" t="s">
        <v>41</v>
      </c>
      <c r="J52" t="s">
        <v>230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5">
        <v>3</v>
      </c>
      <c r="Q52" s="12">
        <v>44803.751331018517</v>
      </c>
      <c r="R52" s="13">
        <v>44807</v>
      </c>
      <c r="T52" t="s">
        <v>47</v>
      </c>
      <c r="U52" t="s">
        <v>48</v>
      </c>
      <c r="V52" t="s">
        <v>85</v>
      </c>
      <c r="Y52" t="s">
        <v>231</v>
      </c>
      <c r="Z52">
        <v>43000</v>
      </c>
      <c r="AA52" t="s">
        <v>47</v>
      </c>
      <c r="AB52" t="s">
        <v>58</v>
      </c>
      <c r="AC52" t="s">
        <v>53</v>
      </c>
      <c r="AD52" s="16">
        <f>IF(P52&lt;=1,7,7+0.8*ROUNDUP(P52-1,0))</f>
        <v>8.6</v>
      </c>
      <c r="AE52" s="15">
        <v>0</v>
      </c>
      <c r="AF52" s="15">
        <v>0</v>
      </c>
      <c r="AG52" s="15">
        <v>0</v>
      </c>
      <c r="AH52" s="15">
        <v>0</v>
      </c>
      <c r="AI52" s="15">
        <f t="shared" si="0"/>
        <v>0.51600000000000001</v>
      </c>
      <c r="AJ52" s="15">
        <f t="shared" si="1"/>
        <v>9.1159999999999997</v>
      </c>
      <c r="AK52" t="s">
        <v>47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232</v>
      </c>
      <c r="I53" t="s">
        <v>41</v>
      </c>
      <c r="J53" t="s">
        <v>233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5">
        <v>2</v>
      </c>
      <c r="Q53" s="12">
        <v>44803.749976851854</v>
      </c>
      <c r="R53" s="13">
        <v>44807</v>
      </c>
      <c r="T53" t="s">
        <v>47</v>
      </c>
      <c r="U53" t="s">
        <v>48</v>
      </c>
      <c r="V53" t="s">
        <v>56</v>
      </c>
      <c r="Y53" t="s">
        <v>234</v>
      </c>
      <c r="Z53">
        <v>9000</v>
      </c>
      <c r="AA53" t="s">
        <v>47</v>
      </c>
      <c r="AB53" t="s">
        <v>58</v>
      </c>
      <c r="AC53" t="s">
        <v>53</v>
      </c>
      <c r="AD53" s="16">
        <f>IF(P53&lt;=1,7,7+0.8*ROUNDUP(P53-1,0))</f>
        <v>7.8</v>
      </c>
      <c r="AE53" s="15">
        <v>0</v>
      </c>
      <c r="AF53" s="15">
        <v>0</v>
      </c>
      <c r="AG53" s="15">
        <v>0</v>
      </c>
      <c r="AH53" s="15">
        <v>0</v>
      </c>
      <c r="AI53" s="15">
        <f t="shared" si="0"/>
        <v>0.46799999999999997</v>
      </c>
      <c r="AJ53" s="15">
        <f t="shared" si="1"/>
        <v>8.2680000000000007</v>
      </c>
      <c r="AK53" t="s">
        <v>47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235</v>
      </c>
      <c r="I54" t="s">
        <v>41</v>
      </c>
      <c r="J54" t="s">
        <v>236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5">
        <v>4</v>
      </c>
      <c r="Q54" s="12">
        <v>44805.48400462963</v>
      </c>
      <c r="R54" s="13">
        <v>44807</v>
      </c>
      <c r="T54" t="s">
        <v>47</v>
      </c>
      <c r="U54" t="s">
        <v>48</v>
      </c>
      <c r="V54" t="s">
        <v>85</v>
      </c>
      <c r="Y54" t="s">
        <v>237</v>
      </c>
      <c r="Z54">
        <v>68000</v>
      </c>
      <c r="AA54" t="s">
        <v>47</v>
      </c>
      <c r="AB54" t="s">
        <v>58</v>
      </c>
      <c r="AC54" t="s">
        <v>53</v>
      </c>
      <c r="AD54" s="16">
        <f>IF(P54&lt;=1,7,7+0.8*ROUNDUP(P54-1,0))</f>
        <v>9.4</v>
      </c>
      <c r="AE54" s="15">
        <v>0</v>
      </c>
      <c r="AF54" s="15">
        <v>0</v>
      </c>
      <c r="AG54" s="15">
        <v>0</v>
      </c>
      <c r="AH54" s="15">
        <v>0</v>
      </c>
      <c r="AI54" s="15">
        <f t="shared" si="0"/>
        <v>0.56399999999999995</v>
      </c>
      <c r="AJ54" s="15">
        <f t="shared" si="1"/>
        <v>9.9640000000000004</v>
      </c>
      <c r="AK54" t="s">
        <v>47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238</v>
      </c>
      <c r="I55" t="s">
        <v>41</v>
      </c>
      <c r="J55" t="s">
        <v>239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5">
        <v>3</v>
      </c>
      <c r="Q55" s="12">
        <v>44803.760706018518</v>
      </c>
      <c r="R55" s="13">
        <v>44807</v>
      </c>
      <c r="T55" t="s">
        <v>47</v>
      </c>
      <c r="U55" t="s">
        <v>48</v>
      </c>
      <c r="V55" t="s">
        <v>85</v>
      </c>
      <c r="Y55" t="s">
        <v>240</v>
      </c>
      <c r="Z55">
        <v>40000</v>
      </c>
      <c r="AA55" t="s">
        <v>47</v>
      </c>
      <c r="AB55" t="s">
        <v>58</v>
      </c>
      <c r="AC55" t="s">
        <v>53</v>
      </c>
      <c r="AD55" s="16">
        <f>IF(P55&lt;=1,7,7+0.8*ROUNDUP(P55-1,0))</f>
        <v>8.6</v>
      </c>
      <c r="AE55" s="15">
        <v>0</v>
      </c>
      <c r="AF55" s="15">
        <v>0</v>
      </c>
      <c r="AG55" s="15">
        <v>0</v>
      </c>
      <c r="AH55" s="15">
        <v>0</v>
      </c>
      <c r="AI55" s="15">
        <f t="shared" si="0"/>
        <v>0.51600000000000001</v>
      </c>
      <c r="AJ55" s="15">
        <f t="shared" si="1"/>
        <v>9.1159999999999997</v>
      </c>
      <c r="AK55" t="s">
        <v>47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241</v>
      </c>
      <c r="I56" t="s">
        <v>41</v>
      </c>
      <c r="J56" t="s">
        <v>242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5">
        <v>3</v>
      </c>
      <c r="Q56" s="12">
        <v>44803.752824074072</v>
      </c>
      <c r="R56" s="13">
        <v>44807</v>
      </c>
      <c r="T56" t="s">
        <v>47</v>
      </c>
      <c r="U56" t="s">
        <v>48</v>
      </c>
      <c r="V56" t="s">
        <v>190</v>
      </c>
      <c r="Y56" t="s">
        <v>243</v>
      </c>
      <c r="Z56">
        <v>54000</v>
      </c>
      <c r="AA56" t="s">
        <v>47</v>
      </c>
      <c r="AB56" t="s">
        <v>58</v>
      </c>
      <c r="AC56" t="s">
        <v>53</v>
      </c>
      <c r="AD56" s="16">
        <f>IF(P56&lt;=1,7,7+0.8*ROUNDUP(P56-1,0))</f>
        <v>8.6</v>
      </c>
      <c r="AE56" s="15">
        <v>0</v>
      </c>
      <c r="AF56" s="15">
        <v>0</v>
      </c>
      <c r="AG56" s="15">
        <v>0</v>
      </c>
      <c r="AH56" s="15">
        <v>0</v>
      </c>
      <c r="AI56" s="15">
        <f t="shared" si="0"/>
        <v>0.51600000000000001</v>
      </c>
      <c r="AJ56" s="15">
        <f t="shared" si="1"/>
        <v>9.1159999999999997</v>
      </c>
      <c r="AK56" t="s">
        <v>47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244</v>
      </c>
      <c r="I57" t="s">
        <v>41</v>
      </c>
      <c r="J57" t="s">
        <v>236</v>
      </c>
      <c r="K57" t="s">
        <v>43</v>
      </c>
      <c r="L57">
        <v>2</v>
      </c>
      <c r="M57" t="s">
        <v>44</v>
      </c>
      <c r="N57" t="s">
        <v>45</v>
      </c>
      <c r="O57" t="s">
        <v>46</v>
      </c>
      <c r="P57" s="5">
        <v>3</v>
      </c>
      <c r="Q57" s="12">
        <v>44805.487141203703</v>
      </c>
      <c r="R57" s="13">
        <v>44807</v>
      </c>
      <c r="T57" t="s">
        <v>47</v>
      </c>
      <c r="U57" t="s">
        <v>48</v>
      </c>
      <c r="V57" t="s">
        <v>85</v>
      </c>
      <c r="Y57" t="s">
        <v>237</v>
      </c>
      <c r="Z57">
        <v>68000</v>
      </c>
      <c r="AA57" t="s">
        <v>47</v>
      </c>
      <c r="AB57" t="s">
        <v>245</v>
      </c>
      <c r="AC57" t="s">
        <v>53</v>
      </c>
      <c r="AD57" s="16">
        <f>IF(P57&lt;=1,7,7+0.8*ROUNDUP(P57-1,0))</f>
        <v>8.6</v>
      </c>
      <c r="AE57" s="15">
        <v>0</v>
      </c>
      <c r="AF57" s="15">
        <v>0</v>
      </c>
      <c r="AG57" s="15">
        <v>0</v>
      </c>
      <c r="AH57" s="15">
        <v>0</v>
      </c>
      <c r="AI57" s="15">
        <f t="shared" si="0"/>
        <v>0.51600000000000001</v>
      </c>
      <c r="AJ57" s="15">
        <f t="shared" si="1"/>
        <v>9.1159999999999997</v>
      </c>
      <c r="AK57" t="s">
        <v>47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246</v>
      </c>
      <c r="I58" t="s">
        <v>41</v>
      </c>
      <c r="J58" t="s">
        <v>247</v>
      </c>
      <c r="K58" t="s">
        <v>43</v>
      </c>
      <c r="L58">
        <v>2</v>
      </c>
      <c r="M58" t="s">
        <v>44</v>
      </c>
      <c r="N58" t="s">
        <v>45</v>
      </c>
      <c r="O58" t="s">
        <v>46</v>
      </c>
      <c r="P58" s="5">
        <v>1</v>
      </c>
      <c r="Q58" s="12">
        <v>44807.687638888892</v>
      </c>
      <c r="R58" s="13">
        <v>44808</v>
      </c>
      <c r="T58" t="s">
        <v>47</v>
      </c>
      <c r="U58" t="s">
        <v>48</v>
      </c>
      <c r="V58" t="s">
        <v>85</v>
      </c>
      <c r="Y58" t="s">
        <v>248</v>
      </c>
      <c r="Z58">
        <v>68100</v>
      </c>
      <c r="AA58" t="s">
        <v>47</v>
      </c>
      <c r="AB58" t="s">
        <v>58</v>
      </c>
      <c r="AC58" t="s">
        <v>53</v>
      </c>
      <c r="AD58" s="16">
        <f>IF(P58&lt;=1,7,7+0.8*ROUNDUP(P58-1,0))</f>
        <v>7</v>
      </c>
      <c r="AE58" s="15">
        <v>0</v>
      </c>
      <c r="AF58" s="15">
        <v>0</v>
      </c>
      <c r="AG58" s="15">
        <v>0</v>
      </c>
      <c r="AH58" s="15">
        <v>0</v>
      </c>
      <c r="AI58" s="15">
        <f t="shared" si="0"/>
        <v>0.42</v>
      </c>
      <c r="AJ58" s="15">
        <f t="shared" si="1"/>
        <v>7.42</v>
      </c>
      <c r="AK58" t="s">
        <v>47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249</v>
      </c>
      <c r="I59" t="s">
        <v>41</v>
      </c>
      <c r="J59" t="s">
        <v>250</v>
      </c>
      <c r="K59" t="s">
        <v>43</v>
      </c>
      <c r="L59">
        <v>2</v>
      </c>
      <c r="M59" t="s">
        <v>44</v>
      </c>
      <c r="N59" t="s">
        <v>45</v>
      </c>
      <c r="O59" t="s">
        <v>46</v>
      </c>
      <c r="P59" s="5">
        <v>1</v>
      </c>
      <c r="Q59" s="12">
        <v>44803.747476851851</v>
      </c>
      <c r="R59" s="13">
        <v>44808</v>
      </c>
      <c r="T59" t="s">
        <v>47</v>
      </c>
      <c r="U59" t="s">
        <v>48</v>
      </c>
      <c r="V59" t="s">
        <v>56</v>
      </c>
      <c r="Y59" t="s">
        <v>251</v>
      </c>
      <c r="Z59">
        <v>8100</v>
      </c>
      <c r="AA59" t="s">
        <v>47</v>
      </c>
      <c r="AB59" t="s">
        <v>58</v>
      </c>
      <c r="AC59" t="s">
        <v>53</v>
      </c>
      <c r="AD59" s="16">
        <f>IF(P59&lt;=1,7,7+0.8*ROUNDUP(P59-1,0))</f>
        <v>7</v>
      </c>
      <c r="AE59" s="15">
        <v>0</v>
      </c>
      <c r="AF59" s="15">
        <v>0</v>
      </c>
      <c r="AG59" s="15">
        <v>0</v>
      </c>
      <c r="AH59" s="15">
        <v>0</v>
      </c>
      <c r="AI59" s="15">
        <f t="shared" si="0"/>
        <v>0.42</v>
      </c>
      <c r="AJ59" s="15">
        <f t="shared" si="1"/>
        <v>7.42</v>
      </c>
      <c r="AK59" t="s">
        <v>47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252</v>
      </c>
      <c r="I60" t="s">
        <v>41</v>
      </c>
      <c r="J60" t="s">
        <v>253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5">
        <v>1</v>
      </c>
      <c r="Q60" s="12">
        <v>44807.643958333334</v>
      </c>
      <c r="R60" s="13">
        <v>44808</v>
      </c>
      <c r="T60" t="s">
        <v>47</v>
      </c>
      <c r="U60" t="s">
        <v>48</v>
      </c>
      <c r="V60" t="s">
        <v>119</v>
      </c>
      <c r="Y60" t="s">
        <v>254</v>
      </c>
      <c r="Z60">
        <v>27000</v>
      </c>
      <c r="AA60" t="s">
        <v>47</v>
      </c>
      <c r="AB60" t="s">
        <v>48</v>
      </c>
      <c r="AC60" t="s">
        <v>53</v>
      </c>
      <c r="AD60" s="16">
        <f>IF(P60&lt;=1,7,7+0.8*ROUNDUP(P60-1,0))</f>
        <v>7</v>
      </c>
      <c r="AE60" s="15">
        <v>0</v>
      </c>
      <c r="AF60" s="15">
        <v>0</v>
      </c>
      <c r="AG60" s="15">
        <v>0</v>
      </c>
      <c r="AH60" s="15">
        <v>0</v>
      </c>
      <c r="AI60" s="15">
        <f t="shared" si="0"/>
        <v>0.42</v>
      </c>
      <c r="AJ60" s="15">
        <f t="shared" si="1"/>
        <v>7.42</v>
      </c>
      <c r="AK60" t="s">
        <v>47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255</v>
      </c>
      <c r="I61" t="s">
        <v>41</v>
      </c>
      <c r="J61" t="s">
        <v>256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5">
        <v>1</v>
      </c>
      <c r="Q61" s="12">
        <v>44807.514409722222</v>
      </c>
      <c r="R61" s="13">
        <v>44808</v>
      </c>
      <c r="T61" t="s">
        <v>47</v>
      </c>
      <c r="U61" t="s">
        <v>48</v>
      </c>
      <c r="V61" t="s">
        <v>85</v>
      </c>
      <c r="Y61" t="s">
        <v>257</v>
      </c>
      <c r="Z61">
        <v>42300</v>
      </c>
      <c r="AA61" t="s">
        <v>47</v>
      </c>
      <c r="AB61" t="s">
        <v>58</v>
      </c>
      <c r="AC61" t="s">
        <v>53</v>
      </c>
      <c r="AD61" s="16">
        <f>IF(P61&lt;=1,7,7+0.8*ROUNDUP(P61-1,0))</f>
        <v>7</v>
      </c>
      <c r="AE61" s="15">
        <v>0</v>
      </c>
      <c r="AF61" s="15">
        <v>0</v>
      </c>
      <c r="AG61" s="15">
        <v>0</v>
      </c>
      <c r="AH61" s="15">
        <v>0</v>
      </c>
      <c r="AI61" s="15">
        <f t="shared" si="0"/>
        <v>0.42</v>
      </c>
      <c r="AJ61" s="15">
        <f t="shared" si="1"/>
        <v>7.42</v>
      </c>
      <c r="AK61" t="s">
        <v>47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258</v>
      </c>
      <c r="I62" t="s">
        <v>41</v>
      </c>
      <c r="J62" t="s">
        <v>259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5">
        <v>1</v>
      </c>
      <c r="Q62" s="12">
        <v>44805.78361111111</v>
      </c>
      <c r="R62" s="13">
        <v>44808</v>
      </c>
      <c r="T62" t="s">
        <v>47</v>
      </c>
      <c r="U62" t="s">
        <v>90</v>
      </c>
      <c r="V62" t="s">
        <v>81</v>
      </c>
      <c r="Y62" t="s">
        <v>260</v>
      </c>
      <c r="Z62">
        <v>32040</v>
      </c>
      <c r="AA62" t="s">
        <v>47</v>
      </c>
      <c r="AB62" t="s">
        <v>261</v>
      </c>
      <c r="AC62" t="s">
        <v>53</v>
      </c>
      <c r="AD62" s="16">
        <f>IF(P62&lt;=1,7,7+0.8*ROUNDUP(P62-1,0))</f>
        <v>7</v>
      </c>
      <c r="AE62" s="15">
        <v>0</v>
      </c>
      <c r="AF62" s="15">
        <v>0</v>
      </c>
      <c r="AG62" s="15">
        <v>0</v>
      </c>
      <c r="AH62" s="15">
        <v>0</v>
      </c>
      <c r="AI62" s="15">
        <f t="shared" si="0"/>
        <v>0.42</v>
      </c>
      <c r="AJ62" s="15">
        <f t="shared" si="1"/>
        <v>7.42</v>
      </c>
      <c r="AK62" t="s">
        <v>47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262</v>
      </c>
      <c r="I63" t="s">
        <v>41</v>
      </c>
      <c r="J63" t="s">
        <v>263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5">
        <v>2</v>
      </c>
      <c r="Q63" s="12">
        <v>44807.689768518518</v>
      </c>
      <c r="R63" s="13">
        <v>44808</v>
      </c>
      <c r="T63" t="s">
        <v>47</v>
      </c>
      <c r="U63" t="s">
        <v>48</v>
      </c>
      <c r="V63" t="s">
        <v>119</v>
      </c>
      <c r="Y63" t="s">
        <v>264</v>
      </c>
      <c r="Z63">
        <v>26700</v>
      </c>
      <c r="AA63" t="s">
        <v>47</v>
      </c>
      <c r="AB63" t="s">
        <v>265</v>
      </c>
      <c r="AC63" t="s">
        <v>53</v>
      </c>
      <c r="AD63" s="16">
        <f>IF(P63&lt;=1,7,7+0.8*ROUNDUP(P63-1,0))</f>
        <v>7.8</v>
      </c>
      <c r="AE63" s="15">
        <v>0</v>
      </c>
      <c r="AF63" s="15">
        <v>0</v>
      </c>
      <c r="AG63" s="15">
        <v>0</v>
      </c>
      <c r="AH63" s="15">
        <v>0</v>
      </c>
      <c r="AI63" s="15">
        <f t="shared" si="0"/>
        <v>0.46799999999999997</v>
      </c>
      <c r="AJ63" s="15">
        <f t="shared" si="1"/>
        <v>8.2680000000000007</v>
      </c>
      <c r="AK63" t="s">
        <v>47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266</v>
      </c>
      <c r="I64" t="s">
        <v>41</v>
      </c>
      <c r="J64" t="s">
        <v>267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5">
        <v>2</v>
      </c>
      <c r="Q64" s="12">
        <v>44805.777326388888</v>
      </c>
      <c r="R64" s="13">
        <v>44808</v>
      </c>
      <c r="T64" t="s">
        <v>47</v>
      </c>
      <c r="U64" t="s">
        <v>90</v>
      </c>
      <c r="V64" t="s">
        <v>93</v>
      </c>
      <c r="Y64" t="s">
        <v>268</v>
      </c>
      <c r="Z64">
        <v>84000</v>
      </c>
      <c r="AA64" t="s">
        <v>47</v>
      </c>
      <c r="AB64" t="s">
        <v>58</v>
      </c>
      <c r="AC64" t="s">
        <v>53</v>
      </c>
      <c r="AD64" s="16">
        <f>IF(P64&lt;=1,7,7+0.8*ROUNDUP(P64-1,0))</f>
        <v>7.8</v>
      </c>
      <c r="AE64" s="15">
        <v>0</v>
      </c>
      <c r="AF64" s="15">
        <v>0</v>
      </c>
      <c r="AG64" s="15">
        <v>0</v>
      </c>
      <c r="AH64" s="15">
        <v>0</v>
      </c>
      <c r="AI64" s="15">
        <f t="shared" si="0"/>
        <v>0.46799999999999997</v>
      </c>
      <c r="AJ64" s="15">
        <f t="shared" si="1"/>
        <v>8.2680000000000007</v>
      </c>
      <c r="AK64" t="s">
        <v>47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269</v>
      </c>
      <c r="I65" t="s">
        <v>41</v>
      </c>
      <c r="J65" t="s">
        <v>270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5">
        <v>2</v>
      </c>
      <c r="Q65" s="12">
        <v>44805.785266203704</v>
      </c>
      <c r="R65" s="13">
        <v>44808</v>
      </c>
      <c r="T65" t="s">
        <v>47</v>
      </c>
      <c r="U65" t="s">
        <v>90</v>
      </c>
      <c r="V65" t="s">
        <v>93</v>
      </c>
      <c r="Y65" t="s">
        <v>271</v>
      </c>
      <c r="Z65">
        <v>85000</v>
      </c>
      <c r="AA65" t="s">
        <v>47</v>
      </c>
      <c r="AB65" t="s">
        <v>58</v>
      </c>
      <c r="AC65" t="s">
        <v>53</v>
      </c>
      <c r="AD65" s="16">
        <f>IF(P65&lt;=1,7,7+0.8*ROUNDUP(P65-1,0))</f>
        <v>7.8</v>
      </c>
      <c r="AE65" s="15">
        <v>0</v>
      </c>
      <c r="AF65" s="15">
        <v>0</v>
      </c>
      <c r="AG65" s="15">
        <v>0</v>
      </c>
      <c r="AH65" s="15">
        <v>0</v>
      </c>
      <c r="AI65" s="15">
        <f t="shared" si="0"/>
        <v>0.46799999999999997</v>
      </c>
      <c r="AJ65" s="15">
        <f t="shared" si="1"/>
        <v>8.2680000000000007</v>
      </c>
      <c r="AK65" t="s">
        <v>47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272</v>
      </c>
      <c r="I66" t="s">
        <v>41</v>
      </c>
      <c r="J66" t="s">
        <v>273</v>
      </c>
      <c r="K66" t="s">
        <v>43</v>
      </c>
      <c r="L66">
        <v>2</v>
      </c>
      <c r="M66" t="s">
        <v>44</v>
      </c>
      <c r="N66" t="s">
        <v>45</v>
      </c>
      <c r="O66" t="s">
        <v>46</v>
      </c>
      <c r="P66" s="5">
        <v>2</v>
      </c>
      <c r="Q66" s="12">
        <v>44805.780370370368</v>
      </c>
      <c r="R66" s="13">
        <v>44808</v>
      </c>
      <c r="T66" t="s">
        <v>47</v>
      </c>
      <c r="U66" t="s">
        <v>90</v>
      </c>
      <c r="V66" t="s">
        <v>56</v>
      </c>
      <c r="Y66" t="s">
        <v>274</v>
      </c>
      <c r="Z66">
        <v>9400</v>
      </c>
      <c r="AA66" t="s">
        <v>47</v>
      </c>
      <c r="AB66" t="s">
        <v>58</v>
      </c>
      <c r="AC66" t="s">
        <v>53</v>
      </c>
      <c r="AD66" s="16">
        <f>IF(P66&lt;=1,7,7+0.8*ROUNDUP(P66-1,0))</f>
        <v>7.8</v>
      </c>
      <c r="AE66" s="15">
        <v>0</v>
      </c>
      <c r="AF66" s="15">
        <v>0</v>
      </c>
      <c r="AG66" s="15">
        <v>0</v>
      </c>
      <c r="AH66" s="15">
        <v>0</v>
      </c>
      <c r="AI66" s="15">
        <f t="shared" ref="AI66:AI129" si="2">(AD66+AF66+AH66)*6%</f>
        <v>0.46799999999999997</v>
      </c>
      <c r="AJ66" s="15">
        <f t="shared" ref="AJ66:AJ129" si="3">AD66+AF66+AH66+AI66</f>
        <v>8.2680000000000007</v>
      </c>
      <c r="AK66" t="s">
        <v>47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275</v>
      </c>
      <c r="I67" t="s">
        <v>41</v>
      </c>
      <c r="J67" t="s">
        <v>276</v>
      </c>
      <c r="K67" t="s">
        <v>43</v>
      </c>
      <c r="L67">
        <v>2</v>
      </c>
      <c r="M67" t="s">
        <v>44</v>
      </c>
      <c r="N67" t="s">
        <v>45</v>
      </c>
      <c r="O67" t="s">
        <v>46</v>
      </c>
      <c r="P67" s="5">
        <v>2</v>
      </c>
      <c r="Q67" s="12">
        <v>44805.772800925923</v>
      </c>
      <c r="R67" s="13">
        <v>44808</v>
      </c>
      <c r="T67" t="s">
        <v>47</v>
      </c>
      <c r="U67" t="s">
        <v>90</v>
      </c>
      <c r="V67" t="s">
        <v>81</v>
      </c>
      <c r="Y67" t="s">
        <v>277</v>
      </c>
      <c r="Z67">
        <v>32400</v>
      </c>
      <c r="AA67" t="s">
        <v>47</v>
      </c>
      <c r="AB67" t="s">
        <v>278</v>
      </c>
      <c r="AC67" t="s">
        <v>53</v>
      </c>
      <c r="AD67" s="16">
        <f>IF(P67&lt;=1,7,7+0.8*ROUNDUP(P67-1,0))</f>
        <v>7.8</v>
      </c>
      <c r="AE67" s="15">
        <v>0</v>
      </c>
      <c r="AF67" s="15">
        <v>0</v>
      </c>
      <c r="AG67" s="15">
        <v>0</v>
      </c>
      <c r="AH67" s="15">
        <v>0</v>
      </c>
      <c r="AI67" s="15">
        <f t="shared" si="2"/>
        <v>0.46799999999999997</v>
      </c>
      <c r="AJ67" s="15">
        <f t="shared" si="3"/>
        <v>8.2680000000000007</v>
      </c>
      <c r="AK67" t="s">
        <v>47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279</v>
      </c>
      <c r="I68" t="s">
        <v>41</v>
      </c>
      <c r="J68" t="s">
        <v>280</v>
      </c>
      <c r="K68" t="s">
        <v>43</v>
      </c>
      <c r="L68">
        <v>2</v>
      </c>
      <c r="M68" t="s">
        <v>44</v>
      </c>
      <c r="N68" t="s">
        <v>45</v>
      </c>
      <c r="O68" t="s">
        <v>46</v>
      </c>
      <c r="P68" s="5">
        <v>1</v>
      </c>
      <c r="Q68" s="12">
        <v>44807.639861111114</v>
      </c>
      <c r="R68" s="13">
        <v>44809</v>
      </c>
      <c r="T68" t="s">
        <v>47</v>
      </c>
      <c r="U68" t="s">
        <v>48</v>
      </c>
      <c r="V68" t="s">
        <v>190</v>
      </c>
      <c r="Y68" t="s">
        <v>281</v>
      </c>
      <c r="Z68">
        <v>58100</v>
      </c>
      <c r="AA68" t="s">
        <v>47</v>
      </c>
      <c r="AB68" t="s">
        <v>58</v>
      </c>
      <c r="AC68" t="s">
        <v>53</v>
      </c>
      <c r="AD68" s="16">
        <f>IF(P68&lt;=1,7,7+0.8*ROUNDUP(P68-1,0))</f>
        <v>7</v>
      </c>
      <c r="AE68" s="15">
        <v>0</v>
      </c>
      <c r="AF68" s="15">
        <v>0</v>
      </c>
      <c r="AG68" s="15">
        <v>0</v>
      </c>
      <c r="AH68" s="15">
        <v>0</v>
      </c>
      <c r="AI68" s="15">
        <f t="shared" si="2"/>
        <v>0.42</v>
      </c>
      <c r="AJ68" s="15">
        <f t="shared" si="3"/>
        <v>7.42</v>
      </c>
      <c r="AK68" t="s">
        <v>47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282</v>
      </c>
      <c r="I69" t="s">
        <v>41</v>
      </c>
      <c r="J69" t="s">
        <v>283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5">
        <v>1</v>
      </c>
      <c r="Q69" s="12">
        <v>44805.599988425929</v>
      </c>
      <c r="R69" s="13">
        <v>44809</v>
      </c>
      <c r="T69" t="s">
        <v>47</v>
      </c>
      <c r="U69" t="s">
        <v>48</v>
      </c>
      <c r="V69" t="s">
        <v>65</v>
      </c>
      <c r="Y69" t="s">
        <v>284</v>
      </c>
      <c r="Z69">
        <v>75460</v>
      </c>
      <c r="AA69" t="s">
        <v>47</v>
      </c>
      <c r="AB69" t="s">
        <v>58</v>
      </c>
      <c r="AC69" t="s">
        <v>53</v>
      </c>
      <c r="AD69" s="16">
        <f>IF(P69&lt;=1,7,7+0.8*ROUNDUP(P69-1,0))</f>
        <v>7</v>
      </c>
      <c r="AE69" s="15">
        <v>0</v>
      </c>
      <c r="AF69" s="15">
        <v>0</v>
      </c>
      <c r="AG69" s="15">
        <v>0</v>
      </c>
      <c r="AH69" s="15">
        <v>0</v>
      </c>
      <c r="AI69" s="15">
        <f t="shared" si="2"/>
        <v>0.42</v>
      </c>
      <c r="AJ69" s="15">
        <f t="shared" si="3"/>
        <v>7.42</v>
      </c>
      <c r="AK69" t="s">
        <v>47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285</v>
      </c>
      <c r="I70" t="s">
        <v>41</v>
      </c>
      <c r="J70" t="s">
        <v>286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5">
        <v>2</v>
      </c>
      <c r="Q70" s="12">
        <v>44805.638865740744</v>
      </c>
      <c r="R70" s="13">
        <v>44809</v>
      </c>
      <c r="T70" t="s">
        <v>47</v>
      </c>
      <c r="U70" t="s">
        <v>48</v>
      </c>
      <c r="V70" t="s">
        <v>190</v>
      </c>
      <c r="Y70" t="s">
        <v>287</v>
      </c>
      <c r="Z70">
        <v>58200</v>
      </c>
      <c r="AA70" t="s">
        <v>47</v>
      </c>
      <c r="AB70" t="s">
        <v>58</v>
      </c>
      <c r="AC70" t="s">
        <v>53</v>
      </c>
      <c r="AD70" s="16">
        <f>IF(P70&lt;=1,7,7+0.8*ROUNDUP(P70-1,0))</f>
        <v>7.8</v>
      </c>
      <c r="AE70" s="15">
        <v>0</v>
      </c>
      <c r="AF70" s="15">
        <v>0</v>
      </c>
      <c r="AG70" s="15">
        <v>0</v>
      </c>
      <c r="AH70" s="15">
        <v>0</v>
      </c>
      <c r="AI70" s="15">
        <f t="shared" si="2"/>
        <v>0.46799999999999997</v>
      </c>
      <c r="AJ70" s="15">
        <f t="shared" si="3"/>
        <v>8.2680000000000007</v>
      </c>
      <c r="AK70" t="s">
        <v>47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288</v>
      </c>
      <c r="I71" t="s">
        <v>41</v>
      </c>
      <c r="J71" t="s">
        <v>289</v>
      </c>
      <c r="K71" t="s">
        <v>43</v>
      </c>
      <c r="L71">
        <v>2</v>
      </c>
      <c r="M71" t="s">
        <v>44</v>
      </c>
      <c r="N71" t="s">
        <v>45</v>
      </c>
      <c r="O71" t="s">
        <v>46</v>
      </c>
      <c r="P71" s="5">
        <v>1</v>
      </c>
      <c r="Q71" s="12">
        <v>44808.458981481483</v>
      </c>
      <c r="R71" s="13">
        <v>44809</v>
      </c>
      <c r="T71" t="s">
        <v>47</v>
      </c>
      <c r="U71" t="s">
        <v>48</v>
      </c>
      <c r="V71" t="s">
        <v>85</v>
      </c>
      <c r="Y71" t="s">
        <v>290</v>
      </c>
      <c r="Z71">
        <v>43100</v>
      </c>
      <c r="AA71" t="s">
        <v>47</v>
      </c>
      <c r="AB71" t="s">
        <v>58</v>
      </c>
      <c r="AC71" t="s">
        <v>53</v>
      </c>
      <c r="AD71" s="16">
        <f>IF(P71&lt;=1,7,7+0.8*ROUNDUP(P71-1,0))</f>
        <v>7</v>
      </c>
      <c r="AE71" s="15">
        <v>0</v>
      </c>
      <c r="AF71" s="15">
        <v>0</v>
      </c>
      <c r="AG71" s="15">
        <v>0</v>
      </c>
      <c r="AH71" s="15">
        <v>0</v>
      </c>
      <c r="AI71" s="15">
        <f t="shared" si="2"/>
        <v>0.42</v>
      </c>
      <c r="AJ71" s="15">
        <f t="shared" si="3"/>
        <v>7.42</v>
      </c>
      <c r="AK71" t="s">
        <v>47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291</v>
      </c>
      <c r="I72" t="s">
        <v>41</v>
      </c>
      <c r="J72" t="s">
        <v>292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5">
        <v>1</v>
      </c>
      <c r="Q72" s="12">
        <v>44807.683854166666</v>
      </c>
      <c r="R72" s="13">
        <v>44809</v>
      </c>
      <c r="T72" t="s">
        <v>47</v>
      </c>
      <c r="U72" t="s">
        <v>48</v>
      </c>
      <c r="V72" t="s">
        <v>93</v>
      </c>
      <c r="Y72" t="s">
        <v>293</v>
      </c>
      <c r="Z72">
        <v>81550</v>
      </c>
      <c r="AA72" t="s">
        <v>47</v>
      </c>
      <c r="AB72" t="s">
        <v>294</v>
      </c>
      <c r="AC72" t="s">
        <v>53</v>
      </c>
      <c r="AD72" s="16">
        <f>IF(P72&lt;=1,7,7+0.8*ROUNDUP(P72-1,0))</f>
        <v>7</v>
      </c>
      <c r="AE72" s="15">
        <v>0</v>
      </c>
      <c r="AF72" s="15">
        <v>0</v>
      </c>
      <c r="AG72" s="15">
        <v>0</v>
      </c>
      <c r="AH72" s="15">
        <v>0</v>
      </c>
      <c r="AI72" s="15">
        <f t="shared" si="2"/>
        <v>0.42</v>
      </c>
      <c r="AJ72" s="15">
        <f t="shared" si="3"/>
        <v>7.42</v>
      </c>
      <c r="AK72" t="s">
        <v>47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295</v>
      </c>
      <c r="I73" t="s">
        <v>41</v>
      </c>
      <c r="J73" t="s">
        <v>296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5">
        <v>2</v>
      </c>
      <c r="Q73" s="12">
        <v>44805.771458333336</v>
      </c>
      <c r="R73" s="13">
        <v>44809</v>
      </c>
      <c r="T73" t="s">
        <v>47</v>
      </c>
      <c r="U73" t="s">
        <v>90</v>
      </c>
      <c r="V73" t="s">
        <v>56</v>
      </c>
      <c r="Y73" t="s">
        <v>297</v>
      </c>
      <c r="Z73">
        <v>5050</v>
      </c>
      <c r="AA73" t="s">
        <v>47</v>
      </c>
      <c r="AB73" t="s">
        <v>58</v>
      </c>
      <c r="AC73" t="s">
        <v>53</v>
      </c>
      <c r="AD73" s="16">
        <f>IF(P73&lt;=1,7,7+0.8*ROUNDUP(P73-1,0))</f>
        <v>7.8</v>
      </c>
      <c r="AE73" s="15">
        <v>0</v>
      </c>
      <c r="AF73" s="15">
        <v>0</v>
      </c>
      <c r="AG73" s="15">
        <v>0</v>
      </c>
      <c r="AH73" s="15">
        <v>0</v>
      </c>
      <c r="AI73" s="15">
        <f t="shared" si="2"/>
        <v>0.46799999999999997</v>
      </c>
      <c r="AJ73" s="15">
        <f t="shared" si="3"/>
        <v>8.2680000000000007</v>
      </c>
      <c r="AK73" t="s">
        <v>47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298</v>
      </c>
      <c r="I74" t="s">
        <v>41</v>
      </c>
      <c r="J74" t="s">
        <v>299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5">
        <v>1</v>
      </c>
      <c r="Q74" s="12">
        <v>44808.553356481483</v>
      </c>
      <c r="R74" s="13">
        <v>44809</v>
      </c>
      <c r="T74" t="s">
        <v>47</v>
      </c>
      <c r="U74" t="s">
        <v>48</v>
      </c>
      <c r="V74" t="s">
        <v>300</v>
      </c>
      <c r="Y74" t="s">
        <v>301</v>
      </c>
      <c r="Z74">
        <v>24300</v>
      </c>
      <c r="AA74" t="s">
        <v>47</v>
      </c>
      <c r="AB74" t="s">
        <v>90</v>
      </c>
      <c r="AC74" t="s">
        <v>53</v>
      </c>
      <c r="AD74" s="16">
        <f>IF(P74&lt;=1,7,7+0.8*ROUNDUP(P74-1,0))</f>
        <v>7</v>
      </c>
      <c r="AE74" s="15">
        <v>0</v>
      </c>
      <c r="AF74" s="15">
        <v>0</v>
      </c>
      <c r="AG74" s="15">
        <v>0</v>
      </c>
      <c r="AH74" s="15">
        <v>0</v>
      </c>
      <c r="AI74" s="15">
        <f t="shared" si="2"/>
        <v>0.42</v>
      </c>
      <c r="AJ74" s="15">
        <f t="shared" si="3"/>
        <v>7.42</v>
      </c>
      <c r="AK74" t="s">
        <v>47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302</v>
      </c>
      <c r="I75" t="s">
        <v>41</v>
      </c>
      <c r="J75" t="s">
        <v>303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5">
        <v>1</v>
      </c>
      <c r="Q75" s="12">
        <v>44808.547002314815</v>
      </c>
      <c r="R75" s="13">
        <v>44809</v>
      </c>
      <c r="T75" t="s">
        <v>47</v>
      </c>
      <c r="U75" t="s">
        <v>48</v>
      </c>
      <c r="V75" t="s">
        <v>85</v>
      </c>
      <c r="Y75" t="s">
        <v>304</v>
      </c>
      <c r="Z75">
        <v>68000</v>
      </c>
      <c r="AA75" t="s">
        <v>47</v>
      </c>
      <c r="AB75" t="s">
        <v>58</v>
      </c>
      <c r="AC75" t="s">
        <v>53</v>
      </c>
      <c r="AD75" s="16">
        <f>IF(P75&lt;=1,7,7+0.8*ROUNDUP(P75-1,0))</f>
        <v>7</v>
      </c>
      <c r="AE75" s="15">
        <v>0</v>
      </c>
      <c r="AF75" s="15">
        <v>0</v>
      </c>
      <c r="AG75" s="15">
        <v>0</v>
      </c>
      <c r="AH75" s="15">
        <v>0</v>
      </c>
      <c r="AI75" s="15">
        <f t="shared" si="2"/>
        <v>0.42</v>
      </c>
      <c r="AJ75" s="15">
        <f t="shared" si="3"/>
        <v>7.42</v>
      </c>
      <c r="AK75" t="s">
        <v>47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305</v>
      </c>
      <c r="I76" t="s">
        <v>41</v>
      </c>
      <c r="J76" t="s">
        <v>306</v>
      </c>
      <c r="K76" t="s">
        <v>43</v>
      </c>
      <c r="L76">
        <v>2</v>
      </c>
      <c r="M76" t="s">
        <v>44</v>
      </c>
      <c r="N76" t="s">
        <v>45</v>
      </c>
      <c r="O76" t="s">
        <v>46</v>
      </c>
      <c r="P76" s="5">
        <v>3</v>
      </c>
      <c r="Q76" s="12">
        <v>44808.535405092596</v>
      </c>
      <c r="R76" s="13">
        <v>44809</v>
      </c>
      <c r="T76" t="s">
        <v>47</v>
      </c>
      <c r="U76" t="s">
        <v>48</v>
      </c>
      <c r="V76" t="s">
        <v>119</v>
      </c>
      <c r="Y76" t="s">
        <v>307</v>
      </c>
      <c r="Z76">
        <v>26820</v>
      </c>
      <c r="AA76" t="s">
        <v>47</v>
      </c>
      <c r="AB76" t="s">
        <v>90</v>
      </c>
      <c r="AC76" t="s">
        <v>53</v>
      </c>
      <c r="AD76" s="16">
        <f>IF(P76&lt;=1,7,7+0.8*ROUNDUP(P76-1,0))</f>
        <v>8.6</v>
      </c>
      <c r="AE76" s="15">
        <v>0</v>
      </c>
      <c r="AF76" s="15">
        <v>0</v>
      </c>
      <c r="AG76" s="15">
        <v>0</v>
      </c>
      <c r="AH76" s="15">
        <v>0</v>
      </c>
      <c r="AI76" s="15">
        <f t="shared" si="2"/>
        <v>0.51600000000000001</v>
      </c>
      <c r="AJ76" s="15">
        <f t="shared" si="3"/>
        <v>9.1159999999999997</v>
      </c>
      <c r="AK76" t="s">
        <v>47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308</v>
      </c>
      <c r="I77" t="s">
        <v>41</v>
      </c>
      <c r="J77" t="s">
        <v>309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5">
        <v>1</v>
      </c>
      <c r="Q77" s="12">
        <v>44806.433541666665</v>
      </c>
      <c r="R77" s="13">
        <v>44809</v>
      </c>
      <c r="T77" t="s">
        <v>47</v>
      </c>
      <c r="U77" t="s">
        <v>90</v>
      </c>
      <c r="V77" t="s">
        <v>56</v>
      </c>
      <c r="Y77" t="s">
        <v>310</v>
      </c>
      <c r="Z77">
        <v>6000</v>
      </c>
      <c r="AA77" t="s">
        <v>47</v>
      </c>
      <c r="AB77" t="s">
        <v>58</v>
      </c>
      <c r="AC77" t="s">
        <v>53</v>
      </c>
      <c r="AD77" s="16">
        <f>IF(P77&lt;=1,7,7+0.8*ROUNDUP(P77-1,0))</f>
        <v>7</v>
      </c>
      <c r="AE77" s="15">
        <v>0</v>
      </c>
      <c r="AF77" s="15">
        <v>0</v>
      </c>
      <c r="AG77" s="15">
        <v>0</v>
      </c>
      <c r="AH77" s="15">
        <v>0</v>
      </c>
      <c r="AI77" s="15">
        <f t="shared" si="2"/>
        <v>0.42</v>
      </c>
      <c r="AJ77" s="15">
        <f t="shared" si="3"/>
        <v>7.42</v>
      </c>
      <c r="AK77" t="s">
        <v>47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311</v>
      </c>
      <c r="I78" t="s">
        <v>41</v>
      </c>
      <c r="J78" t="s">
        <v>312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5">
        <v>1</v>
      </c>
      <c r="Q78" s="12">
        <v>44805.465567129628</v>
      </c>
      <c r="R78" s="13">
        <v>44809</v>
      </c>
      <c r="T78" t="s">
        <v>47</v>
      </c>
      <c r="U78" t="s">
        <v>48</v>
      </c>
      <c r="V78" t="s">
        <v>190</v>
      </c>
      <c r="Y78" t="s">
        <v>313</v>
      </c>
      <c r="Z78">
        <v>59000</v>
      </c>
      <c r="AA78" t="s">
        <v>47</v>
      </c>
      <c r="AB78" t="s">
        <v>58</v>
      </c>
      <c r="AC78" t="s">
        <v>53</v>
      </c>
      <c r="AD78" s="16">
        <f>IF(P78&lt;=1,7,7+0.8*ROUNDUP(P78-1,0))</f>
        <v>7</v>
      </c>
      <c r="AE78" s="15">
        <v>0</v>
      </c>
      <c r="AF78" s="15">
        <v>0</v>
      </c>
      <c r="AG78" s="15">
        <v>0</v>
      </c>
      <c r="AH78" s="15">
        <v>0</v>
      </c>
      <c r="AI78" s="15">
        <f t="shared" si="2"/>
        <v>0.42</v>
      </c>
      <c r="AJ78" s="15">
        <f t="shared" si="3"/>
        <v>7.42</v>
      </c>
      <c r="AK78" t="s">
        <v>47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314</v>
      </c>
      <c r="I79" t="s">
        <v>41</v>
      </c>
      <c r="J79" t="s">
        <v>315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5">
        <v>1</v>
      </c>
      <c r="Q79" s="12">
        <v>44808.408460648148</v>
      </c>
      <c r="R79" s="13">
        <v>44809</v>
      </c>
      <c r="T79" t="s">
        <v>47</v>
      </c>
      <c r="U79" t="s">
        <v>48</v>
      </c>
      <c r="V79" t="s">
        <v>190</v>
      </c>
      <c r="Y79" t="s">
        <v>316</v>
      </c>
      <c r="Z79">
        <v>51100</v>
      </c>
      <c r="AA79" t="s">
        <v>47</v>
      </c>
      <c r="AB79" t="s">
        <v>58</v>
      </c>
      <c r="AC79" t="s">
        <v>53</v>
      </c>
      <c r="AD79" s="16">
        <f>IF(P79&lt;=1,7,7+0.8*ROUNDUP(P79-1,0))</f>
        <v>7</v>
      </c>
      <c r="AE79" s="15">
        <v>0</v>
      </c>
      <c r="AF79" s="15">
        <v>0</v>
      </c>
      <c r="AG79" s="15">
        <v>0</v>
      </c>
      <c r="AH79" s="15">
        <v>0</v>
      </c>
      <c r="AI79" s="15">
        <f t="shared" si="2"/>
        <v>0.42</v>
      </c>
      <c r="AJ79" s="15">
        <f t="shared" si="3"/>
        <v>7.42</v>
      </c>
      <c r="AK79" t="s">
        <v>47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317</v>
      </c>
      <c r="I80" t="s">
        <v>41</v>
      </c>
      <c r="J80" t="s">
        <v>318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5">
        <v>1</v>
      </c>
      <c r="Q80" s="12">
        <v>44806.726030092592</v>
      </c>
      <c r="R80" s="13">
        <v>44809</v>
      </c>
      <c r="T80" t="s">
        <v>47</v>
      </c>
      <c r="U80" t="s">
        <v>48</v>
      </c>
      <c r="V80" t="s">
        <v>61</v>
      </c>
      <c r="Y80" t="s">
        <v>319</v>
      </c>
      <c r="Z80">
        <v>11900</v>
      </c>
      <c r="AA80" t="s">
        <v>47</v>
      </c>
      <c r="AB80" t="s">
        <v>58</v>
      </c>
      <c r="AC80" t="s">
        <v>53</v>
      </c>
      <c r="AD80" s="16">
        <f>IF(P80&lt;=1,7,7+0.8*ROUNDUP(P80-1,0))</f>
        <v>7</v>
      </c>
      <c r="AE80" s="15">
        <v>0</v>
      </c>
      <c r="AF80" s="15">
        <v>0</v>
      </c>
      <c r="AG80" s="15">
        <v>0</v>
      </c>
      <c r="AH80" s="15">
        <v>0</v>
      </c>
      <c r="AI80" s="15">
        <f t="shared" si="2"/>
        <v>0.42</v>
      </c>
      <c r="AJ80" s="15">
        <f t="shared" si="3"/>
        <v>7.42</v>
      </c>
      <c r="AK80" t="s">
        <v>47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320</v>
      </c>
      <c r="I81" t="s">
        <v>41</v>
      </c>
      <c r="J81" t="s">
        <v>321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5">
        <v>6</v>
      </c>
      <c r="Q81" s="12">
        <v>44808.538206018522</v>
      </c>
      <c r="R81" s="13">
        <v>44809</v>
      </c>
      <c r="T81" t="s">
        <v>47</v>
      </c>
      <c r="U81" t="s">
        <v>48</v>
      </c>
      <c r="V81" t="s">
        <v>300</v>
      </c>
      <c r="Y81" t="s">
        <v>322</v>
      </c>
      <c r="Z81">
        <v>21100</v>
      </c>
      <c r="AA81" t="s">
        <v>47</v>
      </c>
      <c r="AB81" t="s">
        <v>323</v>
      </c>
      <c r="AC81" t="s">
        <v>53</v>
      </c>
      <c r="AD81" s="16">
        <f>IF(P81&lt;=1,7,7+0.8*ROUNDUP(P81-1,0))</f>
        <v>11</v>
      </c>
      <c r="AE81" s="15">
        <v>0</v>
      </c>
      <c r="AF81" s="15">
        <v>0</v>
      </c>
      <c r="AG81" s="15">
        <v>0</v>
      </c>
      <c r="AH81" s="15">
        <v>0</v>
      </c>
      <c r="AI81" s="15">
        <f t="shared" si="2"/>
        <v>0.65999999999999992</v>
      </c>
      <c r="AJ81" s="15">
        <f t="shared" si="3"/>
        <v>11.66</v>
      </c>
      <c r="AK81" t="s">
        <v>47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324</v>
      </c>
      <c r="I82" t="s">
        <v>41</v>
      </c>
      <c r="J82" t="s">
        <v>325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5">
        <v>1</v>
      </c>
      <c r="Q82" s="12">
        <v>44807.685578703706</v>
      </c>
      <c r="R82" s="13">
        <v>44809</v>
      </c>
      <c r="T82" t="s">
        <v>47</v>
      </c>
      <c r="U82" t="s">
        <v>48</v>
      </c>
      <c r="V82" t="s">
        <v>190</v>
      </c>
      <c r="Y82" t="s">
        <v>326</v>
      </c>
      <c r="Z82">
        <v>56000</v>
      </c>
      <c r="AA82" t="s">
        <v>47</v>
      </c>
      <c r="AB82" t="s">
        <v>327</v>
      </c>
      <c r="AC82" t="s">
        <v>53</v>
      </c>
      <c r="AD82" s="16">
        <f>IF(P82&lt;=1,7,7+0.8*ROUNDUP(P82-1,0))</f>
        <v>7</v>
      </c>
      <c r="AE82" s="15">
        <v>0</v>
      </c>
      <c r="AF82" s="15">
        <v>0</v>
      </c>
      <c r="AG82" s="15">
        <v>0</v>
      </c>
      <c r="AH82" s="15">
        <v>0</v>
      </c>
      <c r="AI82" s="15">
        <f t="shared" si="2"/>
        <v>0.42</v>
      </c>
      <c r="AJ82" s="15">
        <f t="shared" si="3"/>
        <v>7.42</v>
      </c>
      <c r="AK82" t="s">
        <v>47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328</v>
      </c>
      <c r="I83" t="s">
        <v>41</v>
      </c>
      <c r="J83" t="s">
        <v>329</v>
      </c>
      <c r="K83" t="s">
        <v>43</v>
      </c>
      <c r="L83">
        <v>2</v>
      </c>
      <c r="M83" t="s">
        <v>44</v>
      </c>
      <c r="N83" t="s">
        <v>45</v>
      </c>
      <c r="O83" t="s">
        <v>46</v>
      </c>
      <c r="P83" s="5">
        <v>2</v>
      </c>
      <c r="Q83" s="12">
        <v>44807.681238425925</v>
      </c>
      <c r="R83" s="13">
        <v>44809</v>
      </c>
      <c r="T83" t="s">
        <v>47</v>
      </c>
      <c r="U83" t="s">
        <v>48</v>
      </c>
      <c r="V83" t="s">
        <v>93</v>
      </c>
      <c r="Y83" t="s">
        <v>330</v>
      </c>
      <c r="Z83">
        <v>84000</v>
      </c>
      <c r="AA83" t="s">
        <v>47</v>
      </c>
      <c r="AB83" t="s">
        <v>331</v>
      </c>
      <c r="AC83" t="s">
        <v>53</v>
      </c>
      <c r="AD83" s="16">
        <f>IF(P83&lt;=1,7,7+0.8*ROUNDUP(P83-1,0))</f>
        <v>7.8</v>
      </c>
      <c r="AE83" s="15">
        <v>0</v>
      </c>
      <c r="AF83" s="15">
        <v>0</v>
      </c>
      <c r="AG83" s="15">
        <v>0</v>
      </c>
      <c r="AH83" s="15">
        <v>0</v>
      </c>
      <c r="AI83" s="15">
        <f t="shared" si="2"/>
        <v>0.46799999999999997</v>
      </c>
      <c r="AJ83" s="15">
        <f t="shared" si="3"/>
        <v>8.2680000000000007</v>
      </c>
      <c r="AK83" t="s">
        <v>47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332</v>
      </c>
      <c r="I84" t="s">
        <v>41</v>
      </c>
      <c r="J84" t="s">
        <v>333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5">
        <v>1</v>
      </c>
      <c r="Q84" s="12">
        <v>44807.647372685184</v>
      </c>
      <c r="R84" s="13">
        <v>44809</v>
      </c>
      <c r="T84" t="s">
        <v>47</v>
      </c>
      <c r="U84" t="s">
        <v>48</v>
      </c>
      <c r="V84" t="s">
        <v>85</v>
      </c>
      <c r="Y84" t="s">
        <v>334</v>
      </c>
      <c r="Z84">
        <v>45800</v>
      </c>
      <c r="AA84" t="s">
        <v>47</v>
      </c>
      <c r="AB84" t="s">
        <v>58</v>
      </c>
      <c r="AC84" t="s">
        <v>53</v>
      </c>
      <c r="AD84" s="16">
        <f>IF(P84&lt;=1,7,7+0.8*ROUNDUP(P84-1,0))</f>
        <v>7</v>
      </c>
      <c r="AE84" s="15">
        <v>0</v>
      </c>
      <c r="AF84" s="15">
        <v>0</v>
      </c>
      <c r="AG84" s="15">
        <v>0</v>
      </c>
      <c r="AH84" s="15">
        <v>0</v>
      </c>
      <c r="AI84" s="15">
        <f t="shared" si="2"/>
        <v>0.42</v>
      </c>
      <c r="AJ84" s="15">
        <f t="shared" si="3"/>
        <v>7.42</v>
      </c>
      <c r="AK84" t="s">
        <v>47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335</v>
      </c>
      <c r="I85" t="s">
        <v>41</v>
      </c>
      <c r="J85" t="s">
        <v>336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5">
        <v>1</v>
      </c>
      <c r="Q85" s="12">
        <v>44806.729050925926</v>
      </c>
      <c r="R85" s="13">
        <v>44809</v>
      </c>
      <c r="T85" t="s">
        <v>47</v>
      </c>
      <c r="U85" t="s">
        <v>48</v>
      </c>
      <c r="V85" t="s">
        <v>76</v>
      </c>
      <c r="Y85" t="s">
        <v>337</v>
      </c>
      <c r="Z85">
        <v>17600</v>
      </c>
      <c r="AA85" t="s">
        <v>47</v>
      </c>
      <c r="AB85" t="s">
        <v>58</v>
      </c>
      <c r="AC85" t="s">
        <v>53</v>
      </c>
      <c r="AD85" s="16">
        <f>IF(P85&lt;=1,7,7+0.8*ROUNDUP(P85-1,0))</f>
        <v>7</v>
      </c>
      <c r="AE85" s="15">
        <v>0</v>
      </c>
      <c r="AF85" s="15">
        <v>0</v>
      </c>
      <c r="AG85" s="15">
        <v>0</v>
      </c>
      <c r="AH85" s="15">
        <v>0</v>
      </c>
      <c r="AI85" s="15">
        <f t="shared" si="2"/>
        <v>0.42</v>
      </c>
      <c r="AJ85" s="15">
        <f t="shared" si="3"/>
        <v>7.42</v>
      </c>
      <c r="AK85" t="s">
        <v>47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338</v>
      </c>
      <c r="I86" t="s">
        <v>41</v>
      </c>
      <c r="J86" t="s">
        <v>339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5">
        <v>1</v>
      </c>
      <c r="Q86" s="12">
        <v>44807.642314814817</v>
      </c>
      <c r="R86" s="13">
        <v>44809</v>
      </c>
      <c r="T86" t="s">
        <v>47</v>
      </c>
      <c r="U86" t="s">
        <v>48</v>
      </c>
      <c r="V86" t="s">
        <v>81</v>
      </c>
      <c r="Y86" t="s">
        <v>340</v>
      </c>
      <c r="Z86">
        <v>31200</v>
      </c>
      <c r="AA86" t="s">
        <v>47</v>
      </c>
      <c r="AB86" t="s">
        <v>58</v>
      </c>
      <c r="AC86" t="s">
        <v>53</v>
      </c>
      <c r="AD86" s="16">
        <f>IF(P86&lt;=1,7,7+0.8*ROUNDUP(P86-1,0))</f>
        <v>7</v>
      </c>
      <c r="AE86" s="15">
        <v>0</v>
      </c>
      <c r="AF86" s="15">
        <v>0</v>
      </c>
      <c r="AG86" s="15">
        <v>0</v>
      </c>
      <c r="AH86" s="15">
        <v>0</v>
      </c>
      <c r="AI86" s="15">
        <f t="shared" si="2"/>
        <v>0.42</v>
      </c>
      <c r="AJ86" s="15">
        <f t="shared" si="3"/>
        <v>7.42</v>
      </c>
      <c r="AK86" t="s">
        <v>47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341</v>
      </c>
      <c r="I87" t="s">
        <v>41</v>
      </c>
      <c r="J87" t="s">
        <v>342</v>
      </c>
      <c r="K87" t="s">
        <v>43</v>
      </c>
      <c r="L87">
        <v>2</v>
      </c>
      <c r="M87" t="s">
        <v>44</v>
      </c>
      <c r="N87" t="s">
        <v>45</v>
      </c>
      <c r="O87" t="s">
        <v>46</v>
      </c>
      <c r="P87" s="5">
        <v>1</v>
      </c>
      <c r="Q87" s="12">
        <v>44807.518240740741</v>
      </c>
      <c r="R87" s="13">
        <v>44809</v>
      </c>
      <c r="T87" t="s">
        <v>47</v>
      </c>
      <c r="U87" t="s">
        <v>48</v>
      </c>
      <c r="V87" t="s">
        <v>81</v>
      </c>
      <c r="Y87" t="s">
        <v>343</v>
      </c>
      <c r="Z87">
        <v>34900</v>
      </c>
      <c r="AA87" t="s">
        <v>47</v>
      </c>
      <c r="AB87" t="s">
        <v>58</v>
      </c>
      <c r="AC87" t="s">
        <v>53</v>
      </c>
      <c r="AD87" s="16">
        <f>IF(P87&lt;=1,7,7+0.8*ROUNDUP(P87-1,0))</f>
        <v>7</v>
      </c>
      <c r="AE87" s="15">
        <v>0</v>
      </c>
      <c r="AF87" s="15">
        <v>0</v>
      </c>
      <c r="AG87" s="15">
        <v>0</v>
      </c>
      <c r="AH87" s="15">
        <v>0</v>
      </c>
      <c r="AI87" s="15">
        <f t="shared" si="2"/>
        <v>0.42</v>
      </c>
      <c r="AJ87" s="15">
        <f t="shared" si="3"/>
        <v>7.42</v>
      </c>
      <c r="AK87" t="s">
        <v>47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344</v>
      </c>
      <c r="I88" t="s">
        <v>41</v>
      </c>
      <c r="J88" t="s">
        <v>345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5">
        <v>2</v>
      </c>
      <c r="Q88" s="12">
        <v>44805.787708333337</v>
      </c>
      <c r="R88" s="13">
        <v>44810</v>
      </c>
      <c r="T88" t="s">
        <v>47</v>
      </c>
      <c r="U88" t="s">
        <v>90</v>
      </c>
      <c r="V88" t="s">
        <v>134</v>
      </c>
      <c r="Y88" t="s">
        <v>346</v>
      </c>
      <c r="Z88">
        <v>95000</v>
      </c>
      <c r="AA88" t="s">
        <v>51</v>
      </c>
      <c r="AB88" t="s">
        <v>347</v>
      </c>
      <c r="AC88" t="s">
        <v>53</v>
      </c>
      <c r="AD88" s="14">
        <f>IF(P88&lt;=1,13,IF(P88&lt;=2,23,IF(P88&lt;=3,35,IF(P88&lt;=4,43,IF(P88&lt;=5,53,IF(P88&lt;=6,63,IF(P88&lt;=7,71,IF(P88&lt;=8,79,IF(P88&lt;=9,87,IF(P88&lt;=10,95,IF(P88&lt;=11,105,IF(P88&lt;=12,114,IF(P88&lt;=13,119,IF(P88&lt;=14,127,IF(P88&lt;=15,135,IF(P88&lt;=16,143,IF(P88&lt;=17,153,IF(P88&lt;=18,163,IF(P88&lt;=19,171,IF(P88&lt;=20,185,IF(P88&lt;=21,193,IF(P88&lt;=22,201,IF(P88&lt;=23,210,IF(P88&lt;=24,220,IF(P88&lt;=25,230,IF(P88&lt;=26,240,IF(P88&lt;=27,250,IF(P88&lt;=28,260,IF(P88&lt;=29,270,IF(P88&lt;=30,280,280))))))))))))))))))))))))))))))</f>
        <v>23</v>
      </c>
      <c r="AE88" s="15">
        <v>0</v>
      </c>
      <c r="AF88" s="15">
        <v>0</v>
      </c>
      <c r="AG88" s="15">
        <v>0</v>
      </c>
      <c r="AH88" s="15">
        <v>0</v>
      </c>
      <c r="AI88" s="15">
        <f t="shared" si="2"/>
        <v>1.38</v>
      </c>
      <c r="AJ88" s="15">
        <f t="shared" si="3"/>
        <v>24.38</v>
      </c>
      <c r="AK88" t="s">
        <v>51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348</v>
      </c>
      <c r="I89" t="s">
        <v>41</v>
      </c>
      <c r="J89" t="s">
        <v>349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5">
        <v>1</v>
      </c>
      <c r="Q89" s="12">
        <v>44808.653391203705</v>
      </c>
      <c r="R89" s="13">
        <v>44810</v>
      </c>
      <c r="T89" t="s">
        <v>47</v>
      </c>
      <c r="U89" t="s">
        <v>48</v>
      </c>
      <c r="V89" t="s">
        <v>65</v>
      </c>
      <c r="Y89" t="s">
        <v>350</v>
      </c>
      <c r="Z89">
        <v>76400</v>
      </c>
      <c r="AA89" t="s">
        <v>47</v>
      </c>
      <c r="AB89" t="s">
        <v>58</v>
      </c>
      <c r="AC89" t="s">
        <v>53</v>
      </c>
      <c r="AD89" s="16">
        <f>IF(P89&lt;=1,7,7+0.8*ROUNDUP(P89-1,0))</f>
        <v>7</v>
      </c>
      <c r="AE89" s="15">
        <v>0</v>
      </c>
      <c r="AF89" s="15">
        <v>0</v>
      </c>
      <c r="AG89" s="15">
        <v>0</v>
      </c>
      <c r="AH89" s="15">
        <v>0</v>
      </c>
      <c r="AI89" s="15">
        <f t="shared" si="2"/>
        <v>0.42</v>
      </c>
      <c r="AJ89" s="15">
        <f t="shared" si="3"/>
        <v>7.42</v>
      </c>
      <c r="AK89" t="s">
        <v>47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351</v>
      </c>
      <c r="I90" t="s">
        <v>41</v>
      </c>
      <c r="J90" t="s">
        <v>352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5">
        <v>1</v>
      </c>
      <c r="Q90" s="12">
        <v>44809.588356481479</v>
      </c>
      <c r="R90" s="13">
        <v>44810</v>
      </c>
      <c r="T90" t="s">
        <v>47</v>
      </c>
      <c r="U90" t="s">
        <v>48</v>
      </c>
      <c r="V90" t="s">
        <v>300</v>
      </c>
      <c r="Y90" t="s">
        <v>353</v>
      </c>
      <c r="Z90">
        <v>20300</v>
      </c>
      <c r="AA90" t="s">
        <v>47</v>
      </c>
      <c r="AB90" t="s">
        <v>48</v>
      </c>
      <c r="AC90" t="s">
        <v>53</v>
      </c>
      <c r="AD90" s="16">
        <f>IF(P90&lt;=1,7,7+0.8*ROUNDUP(P90-1,0))</f>
        <v>7</v>
      </c>
      <c r="AE90" s="15">
        <v>0</v>
      </c>
      <c r="AF90" s="15">
        <v>0</v>
      </c>
      <c r="AG90" s="15">
        <v>0</v>
      </c>
      <c r="AH90" s="15">
        <v>0</v>
      </c>
      <c r="AI90" s="15">
        <f t="shared" si="2"/>
        <v>0.42</v>
      </c>
      <c r="AJ90" s="15">
        <f t="shared" si="3"/>
        <v>7.42</v>
      </c>
      <c r="AK90" t="s">
        <v>47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354</v>
      </c>
      <c r="I91" t="s">
        <v>41</v>
      </c>
      <c r="J91" t="s">
        <v>355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5">
        <v>1</v>
      </c>
      <c r="Q91" s="12">
        <v>44808.712800925925</v>
      </c>
      <c r="R91" s="13">
        <v>44810</v>
      </c>
      <c r="T91" t="s">
        <v>47</v>
      </c>
      <c r="U91" t="s">
        <v>48</v>
      </c>
      <c r="V91" t="s">
        <v>85</v>
      </c>
      <c r="Y91" t="s">
        <v>356</v>
      </c>
      <c r="Z91">
        <v>42300</v>
      </c>
      <c r="AA91" t="s">
        <v>47</v>
      </c>
      <c r="AB91" t="s">
        <v>58</v>
      </c>
      <c r="AC91" t="s">
        <v>53</v>
      </c>
      <c r="AD91" s="16">
        <f>IF(P91&lt;=1,7,7+0.8*ROUNDUP(P91-1,0))</f>
        <v>7</v>
      </c>
      <c r="AE91" s="15">
        <v>0</v>
      </c>
      <c r="AF91" s="15">
        <v>0</v>
      </c>
      <c r="AG91" s="15">
        <v>0</v>
      </c>
      <c r="AH91" s="15">
        <v>0</v>
      </c>
      <c r="AI91" s="15">
        <f t="shared" si="2"/>
        <v>0.42</v>
      </c>
      <c r="AJ91" s="15">
        <f t="shared" si="3"/>
        <v>7.42</v>
      </c>
      <c r="AK91" t="s">
        <v>47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357</v>
      </c>
      <c r="I92" t="s">
        <v>41</v>
      </c>
      <c r="J92" t="s">
        <v>358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5">
        <v>1</v>
      </c>
      <c r="Q92" s="12">
        <v>44808.766342592593</v>
      </c>
      <c r="R92" s="13">
        <v>44810</v>
      </c>
      <c r="T92" t="s">
        <v>47</v>
      </c>
      <c r="U92" t="s">
        <v>48</v>
      </c>
      <c r="V92" t="s">
        <v>76</v>
      </c>
      <c r="Y92" t="s">
        <v>359</v>
      </c>
      <c r="Z92">
        <v>17200</v>
      </c>
      <c r="AA92" t="s">
        <v>47</v>
      </c>
      <c r="AB92" t="s">
        <v>90</v>
      </c>
      <c r="AC92" t="s">
        <v>53</v>
      </c>
      <c r="AD92" s="16">
        <f>IF(P92&lt;=1,7,7+0.8*ROUNDUP(P92-1,0))</f>
        <v>7</v>
      </c>
      <c r="AE92" s="15">
        <v>0</v>
      </c>
      <c r="AF92" s="15">
        <v>0</v>
      </c>
      <c r="AG92" s="15">
        <v>0</v>
      </c>
      <c r="AH92" s="15">
        <v>0</v>
      </c>
      <c r="AI92" s="15">
        <f t="shared" si="2"/>
        <v>0.42</v>
      </c>
      <c r="AJ92" s="15">
        <f t="shared" si="3"/>
        <v>7.42</v>
      </c>
      <c r="AK92" t="s">
        <v>47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360</v>
      </c>
      <c r="I93" t="s">
        <v>41</v>
      </c>
      <c r="J93" t="s">
        <v>361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5">
        <v>1</v>
      </c>
      <c r="Q93" s="12">
        <v>44808.71570601852</v>
      </c>
      <c r="R93" s="13">
        <v>44810</v>
      </c>
      <c r="T93" t="s">
        <v>47</v>
      </c>
      <c r="U93" t="s">
        <v>48</v>
      </c>
      <c r="V93" t="s">
        <v>300</v>
      </c>
      <c r="Y93" t="s">
        <v>362</v>
      </c>
      <c r="Z93">
        <v>20000</v>
      </c>
      <c r="AA93" t="s">
        <v>47</v>
      </c>
      <c r="AB93" t="s">
        <v>48</v>
      </c>
      <c r="AC93" t="s">
        <v>53</v>
      </c>
      <c r="AD93" s="16">
        <f>IF(P93&lt;=1,7,7+0.8*ROUNDUP(P93-1,0))</f>
        <v>7</v>
      </c>
      <c r="AE93" s="15">
        <v>0</v>
      </c>
      <c r="AF93" s="15">
        <v>0</v>
      </c>
      <c r="AG93" s="15">
        <v>0</v>
      </c>
      <c r="AH93" s="15">
        <v>0</v>
      </c>
      <c r="AI93" s="15">
        <f t="shared" si="2"/>
        <v>0.42</v>
      </c>
      <c r="AJ93" s="15">
        <f t="shared" si="3"/>
        <v>7.42</v>
      </c>
      <c r="AK93" t="s">
        <v>47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363</v>
      </c>
      <c r="I94" t="s">
        <v>41</v>
      </c>
      <c r="J94" t="s">
        <v>364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5">
        <v>1</v>
      </c>
      <c r="Q94" s="12">
        <v>44809.657638888886</v>
      </c>
      <c r="R94" s="13">
        <v>44810</v>
      </c>
      <c r="T94" t="s">
        <v>47</v>
      </c>
      <c r="U94" t="s">
        <v>48</v>
      </c>
      <c r="V94" t="s">
        <v>85</v>
      </c>
      <c r="Y94" t="s">
        <v>365</v>
      </c>
      <c r="Z94">
        <v>55100</v>
      </c>
      <c r="AA94" t="s">
        <v>47</v>
      </c>
      <c r="AB94" t="s">
        <v>58</v>
      </c>
      <c r="AC94" t="s">
        <v>53</v>
      </c>
      <c r="AD94" s="16">
        <f>IF(P94&lt;=1,7,7+0.8*ROUNDUP(P94-1,0))</f>
        <v>7</v>
      </c>
      <c r="AE94" s="15">
        <v>0</v>
      </c>
      <c r="AF94" s="15">
        <v>0</v>
      </c>
      <c r="AG94" s="15">
        <v>0</v>
      </c>
      <c r="AH94" s="15">
        <v>0</v>
      </c>
      <c r="AI94" s="15">
        <f t="shared" si="2"/>
        <v>0.42</v>
      </c>
      <c r="AJ94" s="15">
        <f t="shared" si="3"/>
        <v>7.42</v>
      </c>
      <c r="AK94" t="s">
        <v>47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366</v>
      </c>
      <c r="I95" t="s">
        <v>41</v>
      </c>
      <c r="J95" t="s">
        <v>367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5">
        <v>1</v>
      </c>
      <c r="Q95" s="12">
        <v>44808.548611111109</v>
      </c>
      <c r="R95" s="13">
        <v>44810</v>
      </c>
      <c r="T95" t="s">
        <v>47</v>
      </c>
      <c r="U95" t="s">
        <v>48</v>
      </c>
      <c r="V95" t="s">
        <v>93</v>
      </c>
      <c r="Y95" t="s">
        <v>368</v>
      </c>
      <c r="Z95">
        <v>81400</v>
      </c>
      <c r="AA95" t="s">
        <v>47</v>
      </c>
      <c r="AB95" t="s">
        <v>58</v>
      </c>
      <c r="AC95" t="s">
        <v>53</v>
      </c>
      <c r="AD95" s="16">
        <f>IF(P95&lt;=1,7,7+0.8*ROUNDUP(P95-1,0))</f>
        <v>7</v>
      </c>
      <c r="AE95" s="15">
        <v>0</v>
      </c>
      <c r="AF95" s="15">
        <v>0</v>
      </c>
      <c r="AG95" s="15">
        <v>0</v>
      </c>
      <c r="AH95" s="15">
        <v>0</v>
      </c>
      <c r="AI95" s="15">
        <f t="shared" si="2"/>
        <v>0.42</v>
      </c>
      <c r="AJ95" s="15">
        <f t="shared" si="3"/>
        <v>7.42</v>
      </c>
      <c r="AK95" t="s">
        <v>47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369</v>
      </c>
      <c r="I96" t="s">
        <v>41</v>
      </c>
      <c r="J96" t="s">
        <v>370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5">
        <v>5</v>
      </c>
      <c r="Q96" s="12">
        <v>44803.762499999997</v>
      </c>
      <c r="R96" s="13">
        <v>44810</v>
      </c>
      <c r="T96" t="s">
        <v>47</v>
      </c>
      <c r="U96" t="s">
        <v>48</v>
      </c>
      <c r="V96" t="s">
        <v>93</v>
      </c>
      <c r="Y96" t="s">
        <v>371</v>
      </c>
      <c r="Z96">
        <v>81700</v>
      </c>
      <c r="AA96" t="s">
        <v>47</v>
      </c>
      <c r="AB96" t="s">
        <v>58</v>
      </c>
      <c r="AC96" t="s">
        <v>53</v>
      </c>
      <c r="AD96" s="16">
        <f>IF(P96&lt;=1,7,7+0.8*ROUNDUP(P96-1,0))</f>
        <v>10.199999999999999</v>
      </c>
      <c r="AE96" s="15">
        <v>0</v>
      </c>
      <c r="AF96" s="15">
        <v>0</v>
      </c>
      <c r="AG96" s="15">
        <v>0</v>
      </c>
      <c r="AH96" s="15">
        <v>0</v>
      </c>
      <c r="AI96" s="15">
        <f t="shared" si="2"/>
        <v>0.61199999999999999</v>
      </c>
      <c r="AJ96" s="15">
        <f t="shared" si="3"/>
        <v>10.811999999999999</v>
      </c>
      <c r="AK96" t="s">
        <v>47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372</v>
      </c>
      <c r="I97" t="s">
        <v>41</v>
      </c>
      <c r="J97" t="s">
        <v>373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5">
        <v>1</v>
      </c>
      <c r="Q97" s="12">
        <v>44808.459722222222</v>
      </c>
      <c r="R97" s="13">
        <v>44810</v>
      </c>
      <c r="T97" t="s">
        <v>47</v>
      </c>
      <c r="U97" t="s">
        <v>48</v>
      </c>
      <c r="V97" t="s">
        <v>93</v>
      </c>
      <c r="Y97" t="s">
        <v>374</v>
      </c>
      <c r="Z97">
        <v>86400</v>
      </c>
      <c r="AA97" t="s">
        <v>47</v>
      </c>
      <c r="AB97" t="s">
        <v>58</v>
      </c>
      <c r="AC97" t="s">
        <v>53</v>
      </c>
      <c r="AD97" s="16">
        <f>IF(P97&lt;=1,7,7+0.8*ROUNDUP(P97-1,0))</f>
        <v>7</v>
      </c>
      <c r="AE97" s="15">
        <v>0</v>
      </c>
      <c r="AF97" s="15">
        <v>0</v>
      </c>
      <c r="AG97" s="15">
        <v>0</v>
      </c>
      <c r="AH97" s="15">
        <v>0</v>
      </c>
      <c r="AI97" s="15">
        <f t="shared" si="2"/>
        <v>0.42</v>
      </c>
      <c r="AJ97" s="15">
        <f t="shared" si="3"/>
        <v>7.42</v>
      </c>
      <c r="AK97" t="s">
        <v>47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375</v>
      </c>
      <c r="I98" t="s">
        <v>41</v>
      </c>
      <c r="J98" t="s">
        <v>376</v>
      </c>
      <c r="K98" t="s">
        <v>43</v>
      </c>
      <c r="L98">
        <v>2</v>
      </c>
      <c r="M98" t="s">
        <v>44</v>
      </c>
      <c r="N98" t="s">
        <v>45</v>
      </c>
      <c r="O98" t="s">
        <v>46</v>
      </c>
      <c r="P98" s="5">
        <v>1</v>
      </c>
      <c r="Q98" s="12">
        <v>44808.55</v>
      </c>
      <c r="R98" s="13">
        <v>44810</v>
      </c>
      <c r="T98" t="s">
        <v>47</v>
      </c>
      <c r="U98" t="s">
        <v>48</v>
      </c>
      <c r="V98" t="s">
        <v>81</v>
      </c>
      <c r="Y98" t="s">
        <v>377</v>
      </c>
      <c r="Z98">
        <v>32100</v>
      </c>
      <c r="AA98" t="s">
        <v>47</v>
      </c>
      <c r="AB98" t="s">
        <v>58</v>
      </c>
      <c r="AC98" t="s">
        <v>53</v>
      </c>
      <c r="AD98" s="16">
        <f>IF(P98&lt;=1,7,7+0.8*ROUNDUP(P98-1,0))</f>
        <v>7</v>
      </c>
      <c r="AE98" s="15">
        <v>0</v>
      </c>
      <c r="AF98" s="15">
        <v>0</v>
      </c>
      <c r="AG98" s="15">
        <v>0</v>
      </c>
      <c r="AH98" s="15">
        <v>0</v>
      </c>
      <c r="AI98" s="15">
        <f t="shared" si="2"/>
        <v>0.42</v>
      </c>
      <c r="AJ98" s="15">
        <f t="shared" si="3"/>
        <v>7.42</v>
      </c>
      <c r="AK98" t="s">
        <v>47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378</v>
      </c>
      <c r="I99" t="s">
        <v>41</v>
      </c>
      <c r="J99" t="s">
        <v>379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5">
        <v>1</v>
      </c>
      <c r="Q99" s="12">
        <v>44808.597222222219</v>
      </c>
      <c r="R99" s="13">
        <v>44810</v>
      </c>
      <c r="T99" t="s">
        <v>47</v>
      </c>
      <c r="U99" t="s">
        <v>48</v>
      </c>
      <c r="V99" t="s">
        <v>61</v>
      </c>
      <c r="Y99" t="s">
        <v>380</v>
      </c>
      <c r="Z99">
        <v>11700</v>
      </c>
      <c r="AA99" t="s">
        <v>47</v>
      </c>
      <c r="AB99" t="s">
        <v>58</v>
      </c>
      <c r="AC99" t="s">
        <v>53</v>
      </c>
      <c r="AD99" s="16">
        <f>IF(P99&lt;=1,7,7+0.8*ROUNDUP(P99-1,0))</f>
        <v>7</v>
      </c>
      <c r="AE99" s="15">
        <v>0</v>
      </c>
      <c r="AF99" s="15">
        <v>0</v>
      </c>
      <c r="AG99" s="15">
        <v>0</v>
      </c>
      <c r="AH99" s="15">
        <v>0</v>
      </c>
      <c r="AI99" s="15">
        <f t="shared" si="2"/>
        <v>0.42</v>
      </c>
      <c r="AJ99" s="15">
        <f t="shared" si="3"/>
        <v>7.42</v>
      </c>
      <c r="AK99" t="s">
        <v>47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381</v>
      </c>
      <c r="I100" t="s">
        <v>41</v>
      </c>
      <c r="J100" t="s">
        <v>382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5">
        <v>1</v>
      </c>
      <c r="Q100" s="12">
        <v>44809.783333333333</v>
      </c>
      <c r="R100" s="13">
        <v>44811</v>
      </c>
      <c r="T100" t="s">
        <v>47</v>
      </c>
      <c r="U100" t="s">
        <v>48</v>
      </c>
      <c r="V100" t="s">
        <v>85</v>
      </c>
      <c r="Y100" t="s">
        <v>383</v>
      </c>
      <c r="Z100">
        <v>47000</v>
      </c>
      <c r="AA100" t="s">
        <v>47</v>
      </c>
      <c r="AB100" t="s">
        <v>156</v>
      </c>
      <c r="AC100" t="s">
        <v>53</v>
      </c>
      <c r="AD100" s="16">
        <f>IF(P100&lt;=1,7,7+0.8*ROUNDUP(P100-1,0))</f>
        <v>7</v>
      </c>
      <c r="AE100" s="15">
        <v>0</v>
      </c>
      <c r="AF100" s="15">
        <v>0</v>
      </c>
      <c r="AG100" s="15">
        <v>0</v>
      </c>
      <c r="AH100" s="15">
        <v>0</v>
      </c>
      <c r="AI100" s="15">
        <f t="shared" si="2"/>
        <v>0.42</v>
      </c>
      <c r="AJ100" s="15">
        <f t="shared" si="3"/>
        <v>7.42</v>
      </c>
      <c r="AK100" t="s">
        <v>47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384</v>
      </c>
      <c r="I101" t="s">
        <v>41</v>
      </c>
      <c r="J101" t="s">
        <v>385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5">
        <v>2</v>
      </c>
      <c r="Q101" s="12">
        <v>44809.671527777777</v>
      </c>
      <c r="R101" s="13">
        <v>44811</v>
      </c>
      <c r="T101" t="s">
        <v>47</v>
      </c>
      <c r="U101" t="s">
        <v>58</v>
      </c>
      <c r="V101" t="s">
        <v>93</v>
      </c>
      <c r="Y101" t="s">
        <v>386</v>
      </c>
      <c r="Z101">
        <v>81700</v>
      </c>
      <c r="AA101" t="s">
        <v>47</v>
      </c>
      <c r="AB101" t="s">
        <v>58</v>
      </c>
      <c r="AC101" t="s">
        <v>53</v>
      </c>
      <c r="AD101" s="16">
        <f>IF(P101&lt;=1,7,7+0.8*ROUNDUP(P101-1,0))</f>
        <v>7.8</v>
      </c>
      <c r="AE101" s="15">
        <v>0</v>
      </c>
      <c r="AF101" s="15">
        <v>0</v>
      </c>
      <c r="AG101" s="15">
        <v>0</v>
      </c>
      <c r="AH101" s="15">
        <v>0</v>
      </c>
      <c r="AI101" s="15">
        <f t="shared" si="2"/>
        <v>0.46799999999999997</v>
      </c>
      <c r="AJ101" s="15">
        <f t="shared" si="3"/>
        <v>8.2680000000000007</v>
      </c>
      <c r="AK101" t="s">
        <v>47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387</v>
      </c>
      <c r="I102" t="s">
        <v>41</v>
      </c>
      <c r="J102" t="s">
        <v>388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5">
        <v>1</v>
      </c>
      <c r="Q102" s="12">
        <v>44809.793055555558</v>
      </c>
      <c r="R102" s="13">
        <v>44811</v>
      </c>
      <c r="T102" t="s">
        <v>47</v>
      </c>
      <c r="U102" t="s">
        <v>48</v>
      </c>
      <c r="V102" t="s">
        <v>85</v>
      </c>
      <c r="Y102" t="s">
        <v>389</v>
      </c>
      <c r="Z102">
        <v>52200</v>
      </c>
      <c r="AA102" t="s">
        <v>47</v>
      </c>
      <c r="AB102" t="s">
        <v>390</v>
      </c>
      <c r="AC102" t="s">
        <v>53</v>
      </c>
      <c r="AD102" s="16">
        <f>IF(P102&lt;=1,7,7+0.8*ROUNDUP(P102-1,0))</f>
        <v>7</v>
      </c>
      <c r="AE102" s="15">
        <v>0</v>
      </c>
      <c r="AF102" s="15">
        <v>0</v>
      </c>
      <c r="AG102" s="15">
        <v>0</v>
      </c>
      <c r="AH102" s="15">
        <v>0</v>
      </c>
      <c r="AI102" s="15">
        <f t="shared" si="2"/>
        <v>0.42</v>
      </c>
      <c r="AJ102" s="15">
        <f t="shared" si="3"/>
        <v>7.42</v>
      </c>
      <c r="AK102" t="s">
        <v>47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391</v>
      </c>
      <c r="I103" t="s">
        <v>41</v>
      </c>
      <c r="J103" t="s">
        <v>392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5">
        <v>1</v>
      </c>
      <c r="Q103" s="12">
        <v>44810.536805555559</v>
      </c>
      <c r="R103" s="13">
        <v>44811</v>
      </c>
      <c r="T103" t="s">
        <v>47</v>
      </c>
      <c r="U103" t="s">
        <v>48</v>
      </c>
      <c r="V103" t="s">
        <v>85</v>
      </c>
      <c r="Y103" t="s">
        <v>393</v>
      </c>
      <c r="Z103">
        <v>47810</v>
      </c>
      <c r="AA103" t="s">
        <v>47</v>
      </c>
      <c r="AB103" t="s">
        <v>58</v>
      </c>
      <c r="AC103" t="s">
        <v>53</v>
      </c>
      <c r="AD103" s="16">
        <f>IF(P103&lt;=1,7,7+0.8*ROUNDUP(P103-1,0))</f>
        <v>7</v>
      </c>
      <c r="AE103" s="15">
        <v>0</v>
      </c>
      <c r="AF103" s="15">
        <v>0</v>
      </c>
      <c r="AG103" s="15">
        <v>0</v>
      </c>
      <c r="AH103" s="15">
        <v>0</v>
      </c>
      <c r="AI103" s="15">
        <f t="shared" si="2"/>
        <v>0.42</v>
      </c>
      <c r="AJ103" s="15">
        <f t="shared" si="3"/>
        <v>7.42</v>
      </c>
      <c r="AK103" t="s">
        <v>47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394</v>
      </c>
      <c r="I104" t="s">
        <v>41</v>
      </c>
      <c r="J104" t="s">
        <v>395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5">
        <v>1</v>
      </c>
      <c r="Q104" s="12">
        <v>44810.535416666666</v>
      </c>
      <c r="R104" s="13">
        <v>44811</v>
      </c>
      <c r="T104" t="s">
        <v>47</v>
      </c>
      <c r="U104" t="s">
        <v>48</v>
      </c>
      <c r="V104" t="s">
        <v>85</v>
      </c>
      <c r="Y104" t="s">
        <v>396</v>
      </c>
      <c r="Z104">
        <v>43650</v>
      </c>
      <c r="AA104" t="s">
        <v>47</v>
      </c>
      <c r="AB104" t="s">
        <v>58</v>
      </c>
      <c r="AC104" t="s">
        <v>53</v>
      </c>
      <c r="AD104" s="16">
        <f>IF(P104&lt;=1,7,7+0.8*ROUNDUP(P104-1,0))</f>
        <v>7</v>
      </c>
      <c r="AE104" s="15">
        <v>0</v>
      </c>
      <c r="AF104" s="15">
        <v>0</v>
      </c>
      <c r="AG104" s="15">
        <v>0</v>
      </c>
      <c r="AH104" s="15">
        <v>0</v>
      </c>
      <c r="AI104" s="15">
        <f t="shared" si="2"/>
        <v>0.42</v>
      </c>
      <c r="AJ104" s="15">
        <f t="shared" si="3"/>
        <v>7.42</v>
      </c>
      <c r="AK104" t="s">
        <v>47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397</v>
      </c>
      <c r="I105" t="s">
        <v>41</v>
      </c>
      <c r="J105" t="s">
        <v>398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5">
        <v>3</v>
      </c>
      <c r="Q105" s="12">
        <v>44808.709027777775</v>
      </c>
      <c r="R105" s="13">
        <v>44811</v>
      </c>
      <c r="T105" t="s">
        <v>47</v>
      </c>
      <c r="U105" t="s">
        <v>58</v>
      </c>
      <c r="V105" t="s">
        <v>61</v>
      </c>
      <c r="Y105" t="s">
        <v>399</v>
      </c>
      <c r="Z105">
        <v>14000</v>
      </c>
      <c r="AA105" t="s">
        <v>47</v>
      </c>
      <c r="AB105" t="s">
        <v>58</v>
      </c>
      <c r="AC105" t="s">
        <v>53</v>
      </c>
      <c r="AD105" s="16">
        <f>IF(P105&lt;=1,7,7+0.8*ROUNDUP(P105-1,0))</f>
        <v>8.6</v>
      </c>
      <c r="AE105" s="15">
        <v>0</v>
      </c>
      <c r="AF105" s="15">
        <v>0</v>
      </c>
      <c r="AG105" s="15">
        <v>0</v>
      </c>
      <c r="AH105" s="15">
        <v>0</v>
      </c>
      <c r="AI105" s="15">
        <f t="shared" si="2"/>
        <v>0.51600000000000001</v>
      </c>
      <c r="AJ105" s="15">
        <f t="shared" si="3"/>
        <v>9.1159999999999997</v>
      </c>
      <c r="AK105" t="s">
        <v>47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400</v>
      </c>
      <c r="I106" t="s">
        <v>41</v>
      </c>
      <c r="J106" t="s">
        <v>401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5">
        <v>14</v>
      </c>
      <c r="Q106" s="12">
        <v>44810.63958333333</v>
      </c>
      <c r="R106" s="13">
        <v>44811</v>
      </c>
      <c r="T106" t="s">
        <v>47</v>
      </c>
      <c r="U106" t="s">
        <v>48</v>
      </c>
      <c r="V106" t="s">
        <v>85</v>
      </c>
      <c r="Y106" t="s">
        <v>402</v>
      </c>
      <c r="Z106">
        <v>47500</v>
      </c>
      <c r="AA106" t="s">
        <v>47</v>
      </c>
      <c r="AB106" t="s">
        <v>403</v>
      </c>
      <c r="AC106" t="s">
        <v>53</v>
      </c>
      <c r="AD106" s="16">
        <f>IF(P106&lt;=1,7,7+0.8*ROUNDUP(P106-1,0))</f>
        <v>17.399999999999999</v>
      </c>
      <c r="AE106" s="15">
        <v>0</v>
      </c>
      <c r="AF106" s="15">
        <v>0</v>
      </c>
      <c r="AG106" s="15">
        <v>0</v>
      </c>
      <c r="AH106" s="15">
        <v>0</v>
      </c>
      <c r="AI106" s="15">
        <f t="shared" si="2"/>
        <v>1.0439999999999998</v>
      </c>
      <c r="AJ106" s="15">
        <f t="shared" si="3"/>
        <v>18.443999999999999</v>
      </c>
      <c r="AK106" t="s">
        <v>47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404</v>
      </c>
      <c r="I107" t="s">
        <v>41</v>
      </c>
      <c r="J107" t="s">
        <v>405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5">
        <v>1</v>
      </c>
      <c r="Q107" s="12">
        <v>44810.534722222219</v>
      </c>
      <c r="R107" s="13">
        <v>44811</v>
      </c>
      <c r="T107" t="s">
        <v>47</v>
      </c>
      <c r="U107" t="s">
        <v>48</v>
      </c>
      <c r="V107" t="s">
        <v>300</v>
      </c>
      <c r="Y107" t="s">
        <v>406</v>
      </c>
      <c r="Z107">
        <v>24000</v>
      </c>
      <c r="AA107" t="s">
        <v>47</v>
      </c>
      <c r="AB107" t="s">
        <v>90</v>
      </c>
      <c r="AC107" t="s">
        <v>53</v>
      </c>
      <c r="AD107" s="16">
        <f>IF(P107&lt;=1,7,7+0.8*ROUNDUP(P107-1,0))</f>
        <v>7</v>
      </c>
      <c r="AE107" s="15">
        <v>0</v>
      </c>
      <c r="AF107" s="15">
        <v>0</v>
      </c>
      <c r="AG107" s="15">
        <v>0</v>
      </c>
      <c r="AH107" s="15">
        <v>0</v>
      </c>
      <c r="AI107" s="15">
        <f t="shared" si="2"/>
        <v>0.42</v>
      </c>
      <c r="AJ107" s="15">
        <f t="shared" si="3"/>
        <v>7.42</v>
      </c>
      <c r="AK107" t="s">
        <v>47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407</v>
      </c>
      <c r="I108" t="s">
        <v>41</v>
      </c>
      <c r="J108" t="s">
        <v>408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5">
        <v>1</v>
      </c>
      <c r="Q108" s="12">
        <v>44808.76666666667</v>
      </c>
      <c r="R108" s="13">
        <v>44811</v>
      </c>
      <c r="T108" t="s">
        <v>47</v>
      </c>
      <c r="U108" t="s">
        <v>48</v>
      </c>
      <c r="V108" t="s">
        <v>76</v>
      </c>
      <c r="Y108" t="s">
        <v>409</v>
      </c>
      <c r="Z108">
        <v>18300</v>
      </c>
      <c r="AA108" t="s">
        <v>47</v>
      </c>
      <c r="AB108" t="s">
        <v>90</v>
      </c>
      <c r="AC108" t="s">
        <v>53</v>
      </c>
      <c r="AD108" s="16">
        <f>IF(P108&lt;=1,7,7+0.8*ROUNDUP(P108-1,0))</f>
        <v>7</v>
      </c>
      <c r="AE108" s="15">
        <v>0</v>
      </c>
      <c r="AF108" s="15">
        <v>0</v>
      </c>
      <c r="AG108" s="15">
        <v>0</v>
      </c>
      <c r="AH108" s="15">
        <v>0</v>
      </c>
      <c r="AI108" s="15">
        <f t="shared" si="2"/>
        <v>0.42</v>
      </c>
      <c r="AJ108" s="15">
        <f t="shared" si="3"/>
        <v>7.42</v>
      </c>
      <c r="AK108" t="s">
        <v>47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410</v>
      </c>
      <c r="I109" t="s">
        <v>41</v>
      </c>
      <c r="J109" t="s">
        <v>411</v>
      </c>
      <c r="K109" t="s">
        <v>43</v>
      </c>
      <c r="L109">
        <v>2</v>
      </c>
      <c r="M109" t="s">
        <v>44</v>
      </c>
      <c r="N109" t="s">
        <v>45</v>
      </c>
      <c r="O109" t="s">
        <v>46</v>
      </c>
      <c r="P109" s="5">
        <v>3</v>
      </c>
      <c r="Q109" s="12">
        <v>44809.786111111112</v>
      </c>
      <c r="R109" s="13">
        <v>44811</v>
      </c>
      <c r="T109" t="s">
        <v>47</v>
      </c>
      <c r="U109" t="s">
        <v>48</v>
      </c>
      <c r="V109" t="s">
        <v>119</v>
      </c>
      <c r="Y109" t="s">
        <v>412</v>
      </c>
      <c r="Z109">
        <v>26080</v>
      </c>
      <c r="AA109" t="s">
        <v>47</v>
      </c>
      <c r="AB109" t="s">
        <v>413</v>
      </c>
      <c r="AC109" t="s">
        <v>53</v>
      </c>
      <c r="AD109" s="16">
        <f>IF(P109&lt;=1,7,7+0.8*ROUNDUP(P109-1,0))</f>
        <v>8.6</v>
      </c>
      <c r="AE109" s="15">
        <v>0</v>
      </c>
      <c r="AF109" s="15">
        <v>0</v>
      </c>
      <c r="AG109" s="15">
        <v>0</v>
      </c>
      <c r="AH109" s="15">
        <v>0</v>
      </c>
      <c r="AI109" s="15">
        <f t="shared" si="2"/>
        <v>0.51600000000000001</v>
      </c>
      <c r="AJ109" s="15">
        <f t="shared" si="3"/>
        <v>9.1159999999999997</v>
      </c>
      <c r="AK109" t="s">
        <v>47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414</v>
      </c>
      <c r="I110" t="s">
        <v>41</v>
      </c>
      <c r="J110" t="s">
        <v>415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5">
        <v>2</v>
      </c>
      <c r="Q110" s="12">
        <v>44809.77847222222</v>
      </c>
      <c r="R110" s="13">
        <v>44811</v>
      </c>
      <c r="T110" t="s">
        <v>47</v>
      </c>
      <c r="U110" t="s">
        <v>48</v>
      </c>
      <c r="V110" t="s">
        <v>85</v>
      </c>
      <c r="Y110" t="s">
        <v>416</v>
      </c>
      <c r="Z110">
        <v>47100</v>
      </c>
      <c r="AA110" t="s">
        <v>47</v>
      </c>
      <c r="AB110" t="s">
        <v>417</v>
      </c>
      <c r="AC110" t="s">
        <v>53</v>
      </c>
      <c r="AD110" s="16">
        <f>IF(P110&lt;=1,7,7+0.8*ROUNDUP(P110-1,0))</f>
        <v>7.8</v>
      </c>
      <c r="AE110" s="15">
        <v>0</v>
      </c>
      <c r="AF110" s="15">
        <v>0</v>
      </c>
      <c r="AG110" s="15">
        <v>0</v>
      </c>
      <c r="AH110" s="15">
        <v>0</v>
      </c>
      <c r="AI110" s="15">
        <f t="shared" si="2"/>
        <v>0.46799999999999997</v>
      </c>
      <c r="AJ110" s="15">
        <f t="shared" si="3"/>
        <v>8.2680000000000007</v>
      </c>
      <c r="AK110" t="s">
        <v>47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418</v>
      </c>
      <c r="I111" t="s">
        <v>41</v>
      </c>
      <c r="J111" t="s">
        <v>419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5">
        <v>1</v>
      </c>
      <c r="Q111" s="12">
        <v>44809.701388888891</v>
      </c>
      <c r="R111" s="13">
        <v>44811</v>
      </c>
      <c r="T111" t="s">
        <v>47</v>
      </c>
      <c r="U111" t="s">
        <v>58</v>
      </c>
      <c r="V111" t="s">
        <v>85</v>
      </c>
      <c r="Y111" t="s">
        <v>420</v>
      </c>
      <c r="Z111">
        <v>62100</v>
      </c>
      <c r="AA111" t="s">
        <v>47</v>
      </c>
      <c r="AB111" t="s">
        <v>58</v>
      </c>
      <c r="AC111" t="s">
        <v>53</v>
      </c>
      <c r="AD111" s="16">
        <f>IF(P111&lt;=1,7,7+0.8*ROUNDUP(P111-1,0))</f>
        <v>7</v>
      </c>
      <c r="AE111" s="15">
        <v>0</v>
      </c>
      <c r="AF111" s="15">
        <v>0</v>
      </c>
      <c r="AG111" s="15">
        <v>0</v>
      </c>
      <c r="AH111" s="15">
        <v>0</v>
      </c>
      <c r="AI111" s="15">
        <f t="shared" si="2"/>
        <v>0.42</v>
      </c>
      <c r="AJ111" s="15">
        <f t="shared" si="3"/>
        <v>7.42</v>
      </c>
      <c r="AK111" t="s">
        <v>47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421</v>
      </c>
      <c r="I112" t="s">
        <v>41</v>
      </c>
      <c r="J112" t="s">
        <v>422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5">
        <v>1</v>
      </c>
      <c r="Q112" s="12">
        <v>44809.768750000003</v>
      </c>
      <c r="R112" s="13">
        <v>44811</v>
      </c>
      <c r="T112" t="s">
        <v>47</v>
      </c>
      <c r="U112" t="s">
        <v>48</v>
      </c>
      <c r="V112" t="s">
        <v>190</v>
      </c>
      <c r="Y112" t="s">
        <v>423</v>
      </c>
      <c r="Z112">
        <v>58000</v>
      </c>
      <c r="AA112" t="s">
        <v>47</v>
      </c>
      <c r="AB112" t="s">
        <v>403</v>
      </c>
      <c r="AC112" t="s">
        <v>53</v>
      </c>
      <c r="AD112" s="16">
        <f>IF(P112&lt;=1,7,7+0.8*ROUNDUP(P112-1,0))</f>
        <v>7</v>
      </c>
      <c r="AE112" s="15">
        <v>0</v>
      </c>
      <c r="AF112" s="15">
        <v>0</v>
      </c>
      <c r="AG112" s="15">
        <v>0</v>
      </c>
      <c r="AH112" s="15">
        <v>0</v>
      </c>
      <c r="AI112" s="15">
        <f t="shared" si="2"/>
        <v>0.42</v>
      </c>
      <c r="AJ112" s="15">
        <f t="shared" si="3"/>
        <v>7.42</v>
      </c>
      <c r="AK112" t="s">
        <v>47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424</v>
      </c>
      <c r="I113" t="s">
        <v>41</v>
      </c>
      <c r="J113" t="s">
        <v>425</v>
      </c>
      <c r="K113" t="s">
        <v>43</v>
      </c>
      <c r="L113">
        <v>2</v>
      </c>
      <c r="M113" t="s">
        <v>44</v>
      </c>
      <c r="N113" t="s">
        <v>45</v>
      </c>
      <c r="O113" t="s">
        <v>46</v>
      </c>
      <c r="P113" s="5">
        <v>2</v>
      </c>
      <c r="Q113" s="12">
        <v>44809.772916666669</v>
      </c>
      <c r="R113" s="13">
        <v>44811</v>
      </c>
      <c r="T113" t="s">
        <v>47</v>
      </c>
      <c r="U113" t="s">
        <v>48</v>
      </c>
      <c r="V113" t="s">
        <v>85</v>
      </c>
      <c r="Y113" t="s">
        <v>426</v>
      </c>
      <c r="Z113">
        <v>43300</v>
      </c>
      <c r="AA113" t="s">
        <v>47</v>
      </c>
      <c r="AB113" t="s">
        <v>427</v>
      </c>
      <c r="AC113" t="s">
        <v>53</v>
      </c>
      <c r="AD113" s="16">
        <f>IF(P113&lt;=1,7,7+0.8*ROUNDUP(P113-1,0))</f>
        <v>7.8</v>
      </c>
      <c r="AE113" s="15">
        <v>0</v>
      </c>
      <c r="AF113" s="15">
        <v>0</v>
      </c>
      <c r="AG113" s="15">
        <v>0</v>
      </c>
      <c r="AH113" s="15">
        <v>0</v>
      </c>
      <c r="AI113" s="15">
        <f t="shared" si="2"/>
        <v>0.46799999999999997</v>
      </c>
      <c r="AJ113" s="15">
        <f t="shared" si="3"/>
        <v>8.2680000000000007</v>
      </c>
      <c r="AK113" t="s">
        <v>47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428</v>
      </c>
      <c r="I114" t="s">
        <v>41</v>
      </c>
      <c r="J114" t="s">
        <v>429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5">
        <v>1</v>
      </c>
      <c r="Q114" s="12">
        <v>44809.776388888888</v>
      </c>
      <c r="R114" s="13">
        <v>44811</v>
      </c>
      <c r="T114" t="s">
        <v>47</v>
      </c>
      <c r="U114" t="s">
        <v>48</v>
      </c>
      <c r="V114" t="s">
        <v>119</v>
      </c>
      <c r="Y114" t="s">
        <v>430</v>
      </c>
      <c r="Z114">
        <v>26700</v>
      </c>
      <c r="AA114" t="s">
        <v>47</v>
      </c>
      <c r="AB114" t="s">
        <v>265</v>
      </c>
      <c r="AC114" t="s">
        <v>53</v>
      </c>
      <c r="AD114" s="16">
        <f>IF(P114&lt;=1,7,7+0.8*ROUNDUP(P114-1,0))</f>
        <v>7</v>
      </c>
      <c r="AE114" s="15">
        <v>0</v>
      </c>
      <c r="AF114" s="15">
        <v>0</v>
      </c>
      <c r="AG114" s="15">
        <v>0</v>
      </c>
      <c r="AH114" s="15">
        <v>0</v>
      </c>
      <c r="AI114" s="15">
        <f t="shared" si="2"/>
        <v>0.42</v>
      </c>
      <c r="AJ114" s="15">
        <f t="shared" si="3"/>
        <v>7.42</v>
      </c>
      <c r="AK114" t="s">
        <v>47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431</v>
      </c>
      <c r="I115" t="s">
        <v>41</v>
      </c>
      <c r="J115" t="s">
        <v>432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5">
        <v>3</v>
      </c>
      <c r="Q115" s="12">
        <v>44809.795138888891</v>
      </c>
      <c r="R115" s="13">
        <v>44811</v>
      </c>
      <c r="T115" t="s">
        <v>47</v>
      </c>
      <c r="U115" t="s">
        <v>48</v>
      </c>
      <c r="V115" t="s">
        <v>119</v>
      </c>
      <c r="Y115" t="s">
        <v>433</v>
      </c>
      <c r="Z115">
        <v>25200</v>
      </c>
      <c r="AA115" t="s">
        <v>47</v>
      </c>
      <c r="AB115" t="s">
        <v>434</v>
      </c>
      <c r="AC115" t="s">
        <v>53</v>
      </c>
      <c r="AD115" s="16">
        <f>IF(P115&lt;=1,7,7+0.8*ROUNDUP(P115-1,0))</f>
        <v>8.6</v>
      </c>
      <c r="AE115" s="15">
        <v>0</v>
      </c>
      <c r="AF115" s="15">
        <v>0</v>
      </c>
      <c r="AG115" s="15">
        <v>0</v>
      </c>
      <c r="AH115" s="15">
        <v>0</v>
      </c>
      <c r="AI115" s="15">
        <f t="shared" si="2"/>
        <v>0.51600000000000001</v>
      </c>
      <c r="AJ115" s="15">
        <f t="shared" si="3"/>
        <v>9.1159999999999997</v>
      </c>
      <c r="AK115" t="s">
        <v>47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435</v>
      </c>
      <c r="I116" t="s">
        <v>41</v>
      </c>
      <c r="J116" t="s">
        <v>436</v>
      </c>
      <c r="K116" t="s">
        <v>43</v>
      </c>
      <c r="L116">
        <v>2</v>
      </c>
      <c r="M116" t="s">
        <v>44</v>
      </c>
      <c r="N116" t="s">
        <v>45</v>
      </c>
      <c r="O116" t="s">
        <v>46</v>
      </c>
      <c r="P116" s="5">
        <v>1</v>
      </c>
      <c r="Q116" s="12">
        <v>44809.646527777775</v>
      </c>
      <c r="R116" s="13">
        <v>44811</v>
      </c>
      <c r="T116" t="s">
        <v>47</v>
      </c>
      <c r="U116" t="s">
        <v>48</v>
      </c>
      <c r="V116" t="s">
        <v>81</v>
      </c>
      <c r="Y116" t="s">
        <v>437</v>
      </c>
      <c r="Z116">
        <v>31050</v>
      </c>
      <c r="AA116" t="s">
        <v>47</v>
      </c>
      <c r="AB116" t="s">
        <v>58</v>
      </c>
      <c r="AC116" t="s">
        <v>53</v>
      </c>
      <c r="AD116" s="16">
        <f>IF(P116&lt;=1,7,7+0.8*ROUNDUP(P116-1,0))</f>
        <v>7</v>
      </c>
      <c r="AE116" s="15">
        <v>0</v>
      </c>
      <c r="AF116" s="15">
        <v>0</v>
      </c>
      <c r="AG116" s="15">
        <v>0</v>
      </c>
      <c r="AH116" s="15">
        <v>0</v>
      </c>
      <c r="AI116" s="15">
        <f t="shared" si="2"/>
        <v>0.42</v>
      </c>
      <c r="AJ116" s="15">
        <f t="shared" si="3"/>
        <v>7.42</v>
      </c>
      <c r="AK116" t="s">
        <v>47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438</v>
      </c>
      <c r="I117" t="s">
        <v>41</v>
      </c>
      <c r="J117" t="s">
        <v>439</v>
      </c>
      <c r="K117" t="s">
        <v>43</v>
      </c>
      <c r="L117">
        <v>2</v>
      </c>
      <c r="M117" t="s">
        <v>44</v>
      </c>
      <c r="N117" t="s">
        <v>45</v>
      </c>
      <c r="O117" t="s">
        <v>46</v>
      </c>
      <c r="P117" s="5">
        <v>1</v>
      </c>
      <c r="Q117" s="12">
        <v>44809.76458333333</v>
      </c>
      <c r="R117" s="13">
        <v>44811</v>
      </c>
      <c r="T117" t="s">
        <v>47</v>
      </c>
      <c r="U117" t="s">
        <v>48</v>
      </c>
      <c r="V117" t="s">
        <v>190</v>
      </c>
      <c r="Y117" t="s">
        <v>440</v>
      </c>
      <c r="Z117">
        <v>60000</v>
      </c>
      <c r="AA117" t="s">
        <v>47</v>
      </c>
      <c r="AB117" t="s">
        <v>441</v>
      </c>
      <c r="AC117" t="s">
        <v>53</v>
      </c>
      <c r="AD117" s="16">
        <f>IF(P117&lt;=1,7,7+0.8*ROUNDUP(P117-1,0))</f>
        <v>7</v>
      </c>
      <c r="AE117" s="15">
        <v>0</v>
      </c>
      <c r="AF117" s="15">
        <v>0</v>
      </c>
      <c r="AG117" s="15">
        <v>0</v>
      </c>
      <c r="AH117" s="15">
        <v>0</v>
      </c>
      <c r="AI117" s="15">
        <f t="shared" si="2"/>
        <v>0.42</v>
      </c>
      <c r="AJ117" s="15">
        <f t="shared" si="3"/>
        <v>7.42</v>
      </c>
      <c r="AK117" t="s">
        <v>47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442</v>
      </c>
      <c r="I118" t="s">
        <v>41</v>
      </c>
      <c r="J118" t="s">
        <v>443</v>
      </c>
      <c r="K118" t="s">
        <v>43</v>
      </c>
      <c r="L118">
        <v>2</v>
      </c>
      <c r="M118" t="s">
        <v>44</v>
      </c>
      <c r="N118" t="s">
        <v>45</v>
      </c>
      <c r="O118" t="s">
        <v>46</v>
      </c>
      <c r="P118" s="5">
        <v>1</v>
      </c>
      <c r="Q118" s="12">
        <v>44808.713194444441</v>
      </c>
      <c r="R118" s="13">
        <v>44811</v>
      </c>
      <c r="T118" t="s">
        <v>47</v>
      </c>
      <c r="U118" t="s">
        <v>48</v>
      </c>
      <c r="V118" t="s">
        <v>76</v>
      </c>
      <c r="Y118" t="s">
        <v>444</v>
      </c>
      <c r="Z118">
        <v>16250</v>
      </c>
      <c r="AA118" t="s">
        <v>47</v>
      </c>
      <c r="AB118" t="s">
        <v>90</v>
      </c>
      <c r="AC118" t="s">
        <v>53</v>
      </c>
      <c r="AD118" s="16">
        <f>IF(P118&lt;=1,7,7+0.8*ROUNDUP(P118-1,0))</f>
        <v>7</v>
      </c>
      <c r="AE118" s="15">
        <v>0</v>
      </c>
      <c r="AF118" s="15">
        <v>0</v>
      </c>
      <c r="AG118" s="15">
        <v>0</v>
      </c>
      <c r="AH118" s="15">
        <v>0</v>
      </c>
      <c r="AI118" s="15">
        <f t="shared" si="2"/>
        <v>0.42</v>
      </c>
      <c r="AJ118" s="15">
        <f t="shared" si="3"/>
        <v>7.42</v>
      </c>
      <c r="AK118" t="s">
        <v>47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445</v>
      </c>
      <c r="I119" t="s">
        <v>41</v>
      </c>
      <c r="J119" t="s">
        <v>446</v>
      </c>
      <c r="K119" t="s">
        <v>43</v>
      </c>
      <c r="L119">
        <v>2</v>
      </c>
      <c r="M119" t="s">
        <v>44</v>
      </c>
      <c r="N119" t="s">
        <v>45</v>
      </c>
      <c r="O119" t="s">
        <v>46</v>
      </c>
      <c r="P119" s="5">
        <v>1</v>
      </c>
      <c r="Q119" s="12">
        <v>44809.752083333333</v>
      </c>
      <c r="R119" s="13">
        <v>44811</v>
      </c>
      <c r="T119" t="s">
        <v>47</v>
      </c>
      <c r="U119" t="s">
        <v>48</v>
      </c>
      <c r="V119" t="s">
        <v>85</v>
      </c>
      <c r="Y119" t="s">
        <v>447</v>
      </c>
      <c r="Z119">
        <v>42700</v>
      </c>
      <c r="AA119" t="s">
        <v>47</v>
      </c>
      <c r="AB119" t="s">
        <v>58</v>
      </c>
      <c r="AC119" t="s">
        <v>53</v>
      </c>
      <c r="AD119" s="16">
        <f>IF(P119&lt;=1,7,7+0.8*ROUNDUP(P119-1,0))</f>
        <v>7</v>
      </c>
      <c r="AE119" s="15">
        <v>0</v>
      </c>
      <c r="AF119" s="15">
        <v>0</v>
      </c>
      <c r="AG119" s="15">
        <v>0</v>
      </c>
      <c r="AH119" s="15">
        <v>0</v>
      </c>
      <c r="AI119" s="15">
        <f t="shared" si="2"/>
        <v>0.42</v>
      </c>
      <c r="AJ119" s="15">
        <f t="shared" si="3"/>
        <v>7.42</v>
      </c>
      <c r="AK119" t="s">
        <v>47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448</v>
      </c>
      <c r="I120" t="s">
        <v>41</v>
      </c>
      <c r="J120" t="s">
        <v>449</v>
      </c>
      <c r="K120" t="s">
        <v>43</v>
      </c>
      <c r="L120">
        <v>2</v>
      </c>
      <c r="M120" t="s">
        <v>44</v>
      </c>
      <c r="N120" t="s">
        <v>45</v>
      </c>
      <c r="O120" t="s">
        <v>46</v>
      </c>
      <c r="P120" s="5">
        <v>1</v>
      </c>
      <c r="Q120" s="12">
        <v>44809.740277777775</v>
      </c>
      <c r="R120" s="13">
        <v>44811</v>
      </c>
      <c r="T120" t="s">
        <v>47</v>
      </c>
      <c r="U120" t="s">
        <v>48</v>
      </c>
      <c r="V120" t="s">
        <v>119</v>
      </c>
      <c r="Y120" t="s">
        <v>450</v>
      </c>
      <c r="Z120">
        <v>27100</v>
      </c>
      <c r="AA120" t="s">
        <v>47</v>
      </c>
      <c r="AB120" t="s">
        <v>90</v>
      </c>
      <c r="AC120" t="s">
        <v>53</v>
      </c>
      <c r="AD120" s="16">
        <f>IF(P120&lt;=1,7,7+0.8*ROUNDUP(P120-1,0))</f>
        <v>7</v>
      </c>
      <c r="AE120" s="15">
        <v>0</v>
      </c>
      <c r="AF120" s="15">
        <v>0</v>
      </c>
      <c r="AG120" s="15">
        <v>0</v>
      </c>
      <c r="AH120" s="15">
        <v>0</v>
      </c>
      <c r="AI120" s="15">
        <f t="shared" si="2"/>
        <v>0.42</v>
      </c>
      <c r="AJ120" s="15">
        <f t="shared" si="3"/>
        <v>7.42</v>
      </c>
      <c r="AK120" t="s">
        <v>47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451</v>
      </c>
      <c r="I121" t="s">
        <v>41</v>
      </c>
      <c r="J121" t="s">
        <v>452</v>
      </c>
      <c r="K121" t="s">
        <v>43</v>
      </c>
      <c r="L121">
        <v>2</v>
      </c>
      <c r="M121" t="s">
        <v>44</v>
      </c>
      <c r="N121" t="s">
        <v>45</v>
      </c>
      <c r="O121" t="s">
        <v>46</v>
      </c>
      <c r="P121" s="5">
        <v>1</v>
      </c>
      <c r="Q121" s="12">
        <v>44809.779861111114</v>
      </c>
      <c r="R121" s="13">
        <v>44811</v>
      </c>
      <c r="T121" t="s">
        <v>47</v>
      </c>
      <c r="U121" t="s">
        <v>48</v>
      </c>
      <c r="V121" t="s">
        <v>85</v>
      </c>
      <c r="Y121" t="s">
        <v>453</v>
      </c>
      <c r="Z121">
        <v>47000</v>
      </c>
      <c r="AA121" t="s">
        <v>47</v>
      </c>
      <c r="AB121" t="s">
        <v>454</v>
      </c>
      <c r="AC121" t="s">
        <v>53</v>
      </c>
      <c r="AD121" s="16">
        <f>IF(P121&lt;=1,7,7+0.8*ROUNDUP(P121-1,0))</f>
        <v>7</v>
      </c>
      <c r="AE121" s="15">
        <v>0</v>
      </c>
      <c r="AF121" s="15">
        <v>0</v>
      </c>
      <c r="AG121" s="15">
        <v>0</v>
      </c>
      <c r="AH121" s="15">
        <v>0</v>
      </c>
      <c r="AI121" s="15">
        <f t="shared" si="2"/>
        <v>0.42</v>
      </c>
      <c r="AJ121" s="15">
        <f t="shared" si="3"/>
        <v>7.42</v>
      </c>
      <c r="AK121" t="s">
        <v>47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455</v>
      </c>
      <c r="I122" t="s">
        <v>41</v>
      </c>
      <c r="J122" t="s">
        <v>456</v>
      </c>
      <c r="K122" t="s">
        <v>43</v>
      </c>
      <c r="L122">
        <v>2</v>
      </c>
      <c r="M122" t="s">
        <v>44</v>
      </c>
      <c r="N122" t="s">
        <v>45</v>
      </c>
      <c r="O122" t="s">
        <v>46</v>
      </c>
      <c r="P122" s="5">
        <v>3</v>
      </c>
      <c r="Q122" s="12">
        <v>44809.775000000001</v>
      </c>
      <c r="R122" s="13">
        <v>44811</v>
      </c>
      <c r="T122" t="s">
        <v>47</v>
      </c>
      <c r="U122" t="s">
        <v>48</v>
      </c>
      <c r="V122" t="s">
        <v>65</v>
      </c>
      <c r="Y122" t="s">
        <v>457</v>
      </c>
      <c r="Z122">
        <v>76300</v>
      </c>
      <c r="AA122" t="s">
        <v>47</v>
      </c>
      <c r="AB122" t="s">
        <v>458</v>
      </c>
      <c r="AC122" t="s">
        <v>53</v>
      </c>
      <c r="AD122" s="16">
        <f>IF(P122&lt;=1,7,7+0.8*ROUNDUP(P122-1,0))</f>
        <v>8.6</v>
      </c>
      <c r="AE122" s="15">
        <v>0</v>
      </c>
      <c r="AF122" s="15">
        <v>0</v>
      </c>
      <c r="AG122" s="15">
        <v>0</v>
      </c>
      <c r="AH122" s="15">
        <v>0</v>
      </c>
      <c r="AI122" s="15">
        <f t="shared" si="2"/>
        <v>0.51600000000000001</v>
      </c>
      <c r="AJ122" s="15">
        <f t="shared" si="3"/>
        <v>9.1159999999999997</v>
      </c>
      <c r="AK122" t="s">
        <v>47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459</v>
      </c>
      <c r="I123" t="s">
        <v>41</v>
      </c>
      <c r="J123" t="s">
        <v>460</v>
      </c>
      <c r="K123" t="s">
        <v>43</v>
      </c>
      <c r="L123">
        <v>2</v>
      </c>
      <c r="M123" t="s">
        <v>44</v>
      </c>
      <c r="N123" t="s">
        <v>45</v>
      </c>
      <c r="O123" t="s">
        <v>46</v>
      </c>
      <c r="P123" s="5">
        <v>1</v>
      </c>
      <c r="Q123" s="12">
        <v>44808.713888888888</v>
      </c>
      <c r="R123" s="13">
        <v>44811</v>
      </c>
      <c r="T123" t="s">
        <v>47</v>
      </c>
      <c r="U123" t="s">
        <v>48</v>
      </c>
      <c r="V123" t="s">
        <v>56</v>
      </c>
      <c r="Y123" t="s">
        <v>461</v>
      </c>
      <c r="Z123">
        <v>9000</v>
      </c>
      <c r="AA123" t="s">
        <v>47</v>
      </c>
      <c r="AB123" t="s">
        <v>90</v>
      </c>
      <c r="AC123" t="s">
        <v>53</v>
      </c>
      <c r="AD123" s="16">
        <f>IF(P123&lt;=1,7,7+0.8*ROUNDUP(P123-1,0))</f>
        <v>7</v>
      </c>
      <c r="AE123" s="15">
        <v>0</v>
      </c>
      <c r="AF123" s="15">
        <v>0</v>
      </c>
      <c r="AG123" s="15">
        <v>0</v>
      </c>
      <c r="AH123" s="15">
        <v>0</v>
      </c>
      <c r="AI123" s="15">
        <f t="shared" si="2"/>
        <v>0.42</v>
      </c>
      <c r="AJ123" s="15">
        <f t="shared" si="3"/>
        <v>7.42</v>
      </c>
      <c r="AK123" t="s">
        <v>47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462</v>
      </c>
      <c r="I124" t="s">
        <v>41</v>
      </c>
      <c r="J124" t="s">
        <v>463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5">
        <v>1</v>
      </c>
      <c r="Q124" s="12">
        <v>44810.533333333333</v>
      </c>
      <c r="R124" s="13">
        <v>44811</v>
      </c>
      <c r="T124" t="s">
        <v>47</v>
      </c>
      <c r="U124" t="s">
        <v>48</v>
      </c>
      <c r="V124" t="s">
        <v>85</v>
      </c>
      <c r="Y124" t="s">
        <v>464</v>
      </c>
      <c r="Z124">
        <v>48300</v>
      </c>
      <c r="AA124" t="s">
        <v>47</v>
      </c>
      <c r="AB124" t="s">
        <v>58</v>
      </c>
      <c r="AC124" t="s">
        <v>53</v>
      </c>
      <c r="AD124" s="16">
        <f>IF(P124&lt;=1,7,7+0.8*ROUNDUP(P124-1,0))</f>
        <v>7</v>
      </c>
      <c r="AE124" s="15">
        <v>0</v>
      </c>
      <c r="AF124" s="15">
        <v>0</v>
      </c>
      <c r="AG124" s="15">
        <v>0</v>
      </c>
      <c r="AH124" s="15">
        <v>0</v>
      </c>
      <c r="AI124" s="15">
        <f t="shared" si="2"/>
        <v>0.42</v>
      </c>
      <c r="AJ124" s="15">
        <f t="shared" si="3"/>
        <v>7.42</v>
      </c>
      <c r="AK124" t="s">
        <v>47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465</v>
      </c>
      <c r="I125" t="s">
        <v>41</v>
      </c>
      <c r="J125" t="s">
        <v>466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5">
        <v>1</v>
      </c>
      <c r="Q125" s="12">
        <v>44809.765972222223</v>
      </c>
      <c r="R125" s="13">
        <v>44811</v>
      </c>
      <c r="T125" t="s">
        <v>47</v>
      </c>
      <c r="U125" t="s">
        <v>48</v>
      </c>
      <c r="V125" t="s">
        <v>85</v>
      </c>
      <c r="Y125" t="s">
        <v>467</v>
      </c>
      <c r="Z125">
        <v>42000</v>
      </c>
      <c r="AA125" t="s">
        <v>47</v>
      </c>
      <c r="AB125" t="s">
        <v>58</v>
      </c>
      <c r="AC125" t="s">
        <v>53</v>
      </c>
      <c r="AD125" s="16">
        <f>IF(P125&lt;=1,7,7+0.8*ROUNDUP(P125-1,0))</f>
        <v>7</v>
      </c>
      <c r="AE125" s="15">
        <v>0</v>
      </c>
      <c r="AF125" s="15">
        <v>0</v>
      </c>
      <c r="AG125" s="15">
        <v>0</v>
      </c>
      <c r="AH125" s="15">
        <v>0</v>
      </c>
      <c r="AI125" s="15">
        <f t="shared" si="2"/>
        <v>0.42</v>
      </c>
      <c r="AJ125" s="15">
        <f t="shared" si="3"/>
        <v>7.42</v>
      </c>
      <c r="AK125" t="s">
        <v>47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468</v>
      </c>
      <c r="I126" t="s">
        <v>41</v>
      </c>
      <c r="J126" t="s">
        <v>469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5">
        <v>2</v>
      </c>
      <c r="Q126" s="12">
        <v>44809.788888888892</v>
      </c>
      <c r="R126" s="13">
        <v>44811</v>
      </c>
      <c r="T126" t="s">
        <v>47</v>
      </c>
      <c r="U126" t="s">
        <v>48</v>
      </c>
      <c r="V126" t="s">
        <v>85</v>
      </c>
      <c r="Y126" t="s">
        <v>470</v>
      </c>
      <c r="Z126">
        <v>68100</v>
      </c>
      <c r="AA126" t="s">
        <v>47</v>
      </c>
      <c r="AB126" t="s">
        <v>471</v>
      </c>
      <c r="AC126" t="s">
        <v>53</v>
      </c>
      <c r="AD126" s="16">
        <f>IF(P126&lt;=1,7,7+0.8*ROUNDUP(P126-1,0))</f>
        <v>7.8</v>
      </c>
      <c r="AE126" s="15">
        <v>0</v>
      </c>
      <c r="AF126" s="15">
        <v>0</v>
      </c>
      <c r="AG126" s="15">
        <v>0</v>
      </c>
      <c r="AH126" s="15">
        <v>0</v>
      </c>
      <c r="AI126" s="15">
        <f t="shared" si="2"/>
        <v>0.46799999999999997</v>
      </c>
      <c r="AJ126" s="15">
        <f t="shared" si="3"/>
        <v>8.2680000000000007</v>
      </c>
      <c r="AK126" t="s">
        <v>47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472</v>
      </c>
      <c r="I127" t="s">
        <v>41</v>
      </c>
      <c r="J127" t="s">
        <v>473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5">
        <v>2</v>
      </c>
      <c r="Q127" s="12">
        <v>44809.672222222223</v>
      </c>
      <c r="R127" s="13">
        <v>44811</v>
      </c>
      <c r="T127" t="s">
        <v>47</v>
      </c>
      <c r="U127" t="s">
        <v>48</v>
      </c>
      <c r="V127" t="s">
        <v>93</v>
      </c>
      <c r="Y127" t="s">
        <v>474</v>
      </c>
      <c r="Z127">
        <v>81100</v>
      </c>
      <c r="AA127" t="s">
        <v>47</v>
      </c>
      <c r="AB127" t="s">
        <v>475</v>
      </c>
      <c r="AC127" t="s">
        <v>53</v>
      </c>
      <c r="AD127" s="16">
        <f>IF(P127&lt;=1,7,7+0.8*ROUNDUP(P127-1,0))</f>
        <v>7.8</v>
      </c>
      <c r="AE127" s="15">
        <v>0</v>
      </c>
      <c r="AF127" s="15">
        <v>0</v>
      </c>
      <c r="AG127" s="15">
        <v>0</v>
      </c>
      <c r="AH127" s="15">
        <v>0</v>
      </c>
      <c r="AI127" s="15">
        <f t="shared" si="2"/>
        <v>0.46799999999999997</v>
      </c>
      <c r="AJ127" s="15">
        <f t="shared" si="3"/>
        <v>8.2680000000000007</v>
      </c>
      <c r="AK127" t="s">
        <v>47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476</v>
      </c>
      <c r="I128" t="s">
        <v>41</v>
      </c>
      <c r="J128" t="s">
        <v>477</v>
      </c>
      <c r="K128" t="s">
        <v>43</v>
      </c>
      <c r="L128">
        <v>2</v>
      </c>
      <c r="M128" t="s">
        <v>44</v>
      </c>
      <c r="N128" t="s">
        <v>45</v>
      </c>
      <c r="O128" t="s">
        <v>46</v>
      </c>
      <c r="P128" s="5">
        <v>1</v>
      </c>
      <c r="Q128" s="12">
        <v>44811.604166666664</v>
      </c>
      <c r="R128" s="13">
        <v>44812</v>
      </c>
      <c r="T128" t="s">
        <v>47</v>
      </c>
      <c r="U128" t="s">
        <v>48</v>
      </c>
      <c r="V128" t="s">
        <v>85</v>
      </c>
      <c r="Y128" t="s">
        <v>478</v>
      </c>
      <c r="Z128">
        <v>40400</v>
      </c>
      <c r="AA128" t="s">
        <v>47</v>
      </c>
      <c r="AB128" t="s">
        <v>58</v>
      </c>
      <c r="AC128" t="s">
        <v>53</v>
      </c>
      <c r="AD128" s="16">
        <f>IF(P128&lt;=1,7,7+0.8*ROUNDUP(P128-1,0))</f>
        <v>7</v>
      </c>
      <c r="AE128" s="15">
        <v>0</v>
      </c>
      <c r="AF128" s="15">
        <v>0</v>
      </c>
      <c r="AG128" s="15">
        <v>0</v>
      </c>
      <c r="AH128" s="15">
        <v>0</v>
      </c>
      <c r="AI128" s="15">
        <f t="shared" si="2"/>
        <v>0.42</v>
      </c>
      <c r="AJ128" s="15">
        <f t="shared" si="3"/>
        <v>7.42</v>
      </c>
      <c r="AK128" t="s">
        <v>47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479</v>
      </c>
      <c r="I129" t="s">
        <v>41</v>
      </c>
      <c r="J129" t="s">
        <v>480</v>
      </c>
      <c r="K129" t="s">
        <v>43</v>
      </c>
      <c r="L129">
        <v>2</v>
      </c>
      <c r="M129" t="s">
        <v>44</v>
      </c>
      <c r="N129" t="s">
        <v>45</v>
      </c>
      <c r="O129" t="s">
        <v>46</v>
      </c>
      <c r="P129" s="5">
        <v>1</v>
      </c>
      <c r="Q129" s="12">
        <v>44808.781944444447</v>
      </c>
      <c r="R129" s="13">
        <v>44812</v>
      </c>
      <c r="T129" t="s">
        <v>47</v>
      </c>
      <c r="U129" t="s">
        <v>48</v>
      </c>
      <c r="V129" t="s">
        <v>190</v>
      </c>
      <c r="Y129" t="s">
        <v>481</v>
      </c>
      <c r="Z129">
        <v>52100</v>
      </c>
      <c r="AA129" t="s">
        <v>47</v>
      </c>
      <c r="AB129" t="s">
        <v>58</v>
      </c>
      <c r="AC129" t="s">
        <v>53</v>
      </c>
      <c r="AD129" s="16">
        <f>IF(P129&lt;=1,7,7+0.8*ROUNDUP(P129-1,0))</f>
        <v>7</v>
      </c>
      <c r="AE129" s="15">
        <v>0</v>
      </c>
      <c r="AF129" s="15">
        <v>0</v>
      </c>
      <c r="AG129" s="15">
        <v>0</v>
      </c>
      <c r="AH129" s="15">
        <v>0</v>
      </c>
      <c r="AI129" s="15">
        <f t="shared" si="2"/>
        <v>0.42</v>
      </c>
      <c r="AJ129" s="15">
        <f t="shared" si="3"/>
        <v>7.42</v>
      </c>
      <c r="AK129" t="s">
        <v>47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482</v>
      </c>
      <c r="I130" t="s">
        <v>41</v>
      </c>
      <c r="J130" t="s">
        <v>483</v>
      </c>
      <c r="K130" t="s">
        <v>43</v>
      </c>
      <c r="L130">
        <v>2</v>
      </c>
      <c r="M130" t="s">
        <v>44</v>
      </c>
      <c r="N130" t="s">
        <v>45</v>
      </c>
      <c r="O130" t="s">
        <v>46</v>
      </c>
      <c r="P130" s="5">
        <v>1</v>
      </c>
      <c r="Q130" s="12">
        <v>44809.786805555559</v>
      </c>
      <c r="R130" s="13">
        <v>44812</v>
      </c>
      <c r="T130" t="s">
        <v>47</v>
      </c>
      <c r="U130" t="s">
        <v>48</v>
      </c>
      <c r="V130" t="s">
        <v>72</v>
      </c>
      <c r="Y130" t="s">
        <v>484</v>
      </c>
      <c r="Z130">
        <v>71950</v>
      </c>
      <c r="AA130" t="s">
        <v>47</v>
      </c>
      <c r="AB130" t="s">
        <v>485</v>
      </c>
      <c r="AC130" t="s">
        <v>53</v>
      </c>
      <c r="AD130" s="16">
        <f>IF(P130&lt;=1,7,7+0.8*ROUNDUP(P130-1,0))</f>
        <v>7</v>
      </c>
      <c r="AE130" s="15">
        <v>0</v>
      </c>
      <c r="AF130" s="15">
        <v>0</v>
      </c>
      <c r="AG130" s="15">
        <v>0</v>
      </c>
      <c r="AH130" s="15">
        <v>0</v>
      </c>
      <c r="AI130" s="15">
        <f t="shared" ref="AI130:AI193" si="4">(AD130+AF130+AH130)*6%</f>
        <v>0.42</v>
      </c>
      <c r="AJ130" s="15">
        <f t="shared" ref="AJ130:AJ193" si="5">AD130+AF130+AH130+AI130</f>
        <v>7.42</v>
      </c>
      <c r="AK130" t="s">
        <v>47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486</v>
      </c>
      <c r="I131" t="s">
        <v>41</v>
      </c>
      <c r="J131" t="s">
        <v>487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5">
        <v>2</v>
      </c>
      <c r="Q131" s="12">
        <v>44809.756944444445</v>
      </c>
      <c r="R131" s="13">
        <v>44812</v>
      </c>
      <c r="T131" t="s">
        <v>47</v>
      </c>
      <c r="U131" t="s">
        <v>48</v>
      </c>
      <c r="V131" t="s">
        <v>93</v>
      </c>
      <c r="Y131" t="s">
        <v>488</v>
      </c>
      <c r="Z131">
        <v>81100</v>
      </c>
      <c r="AA131" t="s">
        <v>47</v>
      </c>
      <c r="AB131" t="s">
        <v>489</v>
      </c>
      <c r="AC131" t="s">
        <v>53</v>
      </c>
      <c r="AD131" s="16">
        <f>IF(P131&lt;=1,7,7+0.8*ROUNDUP(P131-1,0))</f>
        <v>7.8</v>
      </c>
      <c r="AE131" s="15">
        <v>0</v>
      </c>
      <c r="AF131" s="15">
        <v>0</v>
      </c>
      <c r="AG131" s="15">
        <v>0</v>
      </c>
      <c r="AH131" s="15">
        <v>0</v>
      </c>
      <c r="AI131" s="15">
        <f t="shared" si="4"/>
        <v>0.46799999999999997</v>
      </c>
      <c r="AJ131" s="15">
        <f t="shared" si="5"/>
        <v>8.2680000000000007</v>
      </c>
      <c r="AK131" t="s">
        <v>47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490</v>
      </c>
      <c r="I132" t="s">
        <v>41</v>
      </c>
      <c r="J132" t="s">
        <v>491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5">
        <v>1</v>
      </c>
      <c r="Q132" s="12">
        <v>44811.519444444442</v>
      </c>
      <c r="R132" s="13">
        <v>44812</v>
      </c>
      <c r="T132" t="s">
        <v>47</v>
      </c>
      <c r="U132" t="s">
        <v>48</v>
      </c>
      <c r="V132" t="s">
        <v>85</v>
      </c>
      <c r="Y132" t="s">
        <v>492</v>
      </c>
      <c r="Z132">
        <v>47650</v>
      </c>
      <c r="AA132" t="s">
        <v>47</v>
      </c>
      <c r="AB132" t="s">
        <v>58</v>
      </c>
      <c r="AC132" t="s">
        <v>53</v>
      </c>
      <c r="AD132" s="16">
        <f>IF(P132&lt;=1,7,7+0.8*ROUNDUP(P132-1,0))</f>
        <v>7</v>
      </c>
      <c r="AE132" s="15">
        <v>0</v>
      </c>
      <c r="AF132" s="15">
        <v>0</v>
      </c>
      <c r="AG132" s="15">
        <v>0</v>
      </c>
      <c r="AH132" s="15">
        <v>0</v>
      </c>
      <c r="AI132" s="15">
        <f t="shared" si="4"/>
        <v>0.42</v>
      </c>
      <c r="AJ132" s="15">
        <f t="shared" si="5"/>
        <v>7.42</v>
      </c>
      <c r="AK132" t="s">
        <v>47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493</v>
      </c>
      <c r="I133" t="s">
        <v>41</v>
      </c>
      <c r="J133" t="s">
        <v>494</v>
      </c>
      <c r="K133" t="s">
        <v>43</v>
      </c>
      <c r="L133">
        <v>2</v>
      </c>
      <c r="M133" t="s">
        <v>44</v>
      </c>
      <c r="N133" t="s">
        <v>45</v>
      </c>
      <c r="O133" t="s">
        <v>46</v>
      </c>
      <c r="P133" s="5">
        <v>1</v>
      </c>
      <c r="Q133" s="12">
        <v>44810.495138888888</v>
      </c>
      <c r="R133" s="13">
        <v>44812</v>
      </c>
      <c r="T133" t="s">
        <v>47</v>
      </c>
      <c r="U133" t="s">
        <v>48</v>
      </c>
      <c r="V133" t="s">
        <v>65</v>
      </c>
      <c r="Y133" t="s">
        <v>495</v>
      </c>
      <c r="Z133">
        <v>75250</v>
      </c>
      <c r="AA133" t="s">
        <v>47</v>
      </c>
      <c r="AB133" t="s">
        <v>48</v>
      </c>
      <c r="AC133" t="s">
        <v>53</v>
      </c>
      <c r="AD133" s="16">
        <f>IF(P133&lt;=1,7,7+0.8*ROUNDUP(P133-1,0))</f>
        <v>7</v>
      </c>
      <c r="AE133" s="15">
        <v>0</v>
      </c>
      <c r="AF133" s="15">
        <v>0</v>
      </c>
      <c r="AG133" s="15">
        <v>0</v>
      </c>
      <c r="AH133" s="15">
        <v>0</v>
      </c>
      <c r="AI133" s="15">
        <f t="shared" si="4"/>
        <v>0.42</v>
      </c>
      <c r="AJ133" s="15">
        <f t="shared" si="5"/>
        <v>7.42</v>
      </c>
      <c r="AK133" t="s">
        <v>47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496</v>
      </c>
      <c r="I134" t="s">
        <v>41</v>
      </c>
      <c r="J134" t="s">
        <v>497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5">
        <v>6</v>
      </c>
      <c r="Q134" s="12">
        <v>44810.425694444442</v>
      </c>
      <c r="R134" s="13">
        <v>44812</v>
      </c>
      <c r="T134" t="s">
        <v>47</v>
      </c>
      <c r="U134" t="s">
        <v>48</v>
      </c>
      <c r="V134" t="s">
        <v>81</v>
      </c>
      <c r="Y134" t="s">
        <v>498</v>
      </c>
      <c r="Z134">
        <v>31650</v>
      </c>
      <c r="AA134" t="s">
        <v>47</v>
      </c>
      <c r="AB134" t="s">
        <v>499</v>
      </c>
      <c r="AC134" t="s">
        <v>53</v>
      </c>
      <c r="AD134" s="16">
        <f>IF(P134&lt;=1,7,7+0.8*ROUNDUP(P134-1,0))</f>
        <v>11</v>
      </c>
      <c r="AE134" s="15">
        <v>0</v>
      </c>
      <c r="AF134" s="15">
        <v>0</v>
      </c>
      <c r="AG134" s="15">
        <v>0</v>
      </c>
      <c r="AH134" s="15">
        <v>0</v>
      </c>
      <c r="AI134" s="15">
        <f t="shared" si="4"/>
        <v>0.65999999999999992</v>
      </c>
      <c r="AJ134" s="15">
        <f t="shared" si="5"/>
        <v>11.66</v>
      </c>
      <c r="AK134" t="s">
        <v>47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500</v>
      </c>
      <c r="I135" t="s">
        <v>41</v>
      </c>
      <c r="J135" t="s">
        <v>501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5">
        <v>3</v>
      </c>
      <c r="Q135" s="12">
        <v>44811.506944444445</v>
      </c>
      <c r="R135" s="13">
        <v>44812</v>
      </c>
      <c r="T135" t="s">
        <v>47</v>
      </c>
      <c r="U135" t="s">
        <v>48</v>
      </c>
      <c r="V135" t="s">
        <v>85</v>
      </c>
      <c r="Y135" t="s">
        <v>502</v>
      </c>
      <c r="Z135">
        <v>45200</v>
      </c>
      <c r="AA135" t="s">
        <v>47</v>
      </c>
      <c r="AB135" t="s">
        <v>179</v>
      </c>
      <c r="AC135" t="s">
        <v>53</v>
      </c>
      <c r="AD135" s="16">
        <f>IF(P135&lt;=1,7,7+0.8*ROUNDUP(P135-1,0))</f>
        <v>8.6</v>
      </c>
      <c r="AE135" s="15">
        <v>0</v>
      </c>
      <c r="AF135" s="15">
        <v>0</v>
      </c>
      <c r="AG135" s="15">
        <v>0</v>
      </c>
      <c r="AH135" s="15">
        <v>0</v>
      </c>
      <c r="AI135" s="15">
        <f t="shared" si="4"/>
        <v>0.51600000000000001</v>
      </c>
      <c r="AJ135" s="15">
        <f t="shared" si="5"/>
        <v>9.1159999999999997</v>
      </c>
      <c r="AK135" t="s">
        <v>47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503</v>
      </c>
      <c r="I136" t="s">
        <v>41</v>
      </c>
      <c r="J136" t="s">
        <v>504</v>
      </c>
      <c r="K136" t="s">
        <v>43</v>
      </c>
      <c r="L136">
        <v>2</v>
      </c>
      <c r="M136" t="s">
        <v>44</v>
      </c>
      <c r="N136" t="s">
        <v>45</v>
      </c>
      <c r="O136" t="s">
        <v>46</v>
      </c>
      <c r="P136" s="5">
        <v>3</v>
      </c>
      <c r="Q136" s="12">
        <v>44811.504166666666</v>
      </c>
      <c r="R136" s="13">
        <v>44812</v>
      </c>
      <c r="T136" t="s">
        <v>47</v>
      </c>
      <c r="U136" t="s">
        <v>48</v>
      </c>
      <c r="V136" t="s">
        <v>85</v>
      </c>
      <c r="Y136" t="s">
        <v>505</v>
      </c>
      <c r="Z136">
        <v>47000</v>
      </c>
      <c r="AA136" t="s">
        <v>47</v>
      </c>
      <c r="AB136" t="s">
        <v>156</v>
      </c>
      <c r="AC136" t="s">
        <v>53</v>
      </c>
      <c r="AD136" s="16">
        <f>IF(P136&lt;=1,7,7+0.8*ROUNDUP(P136-1,0))</f>
        <v>8.6</v>
      </c>
      <c r="AE136" s="15">
        <v>0</v>
      </c>
      <c r="AF136" s="15">
        <v>0</v>
      </c>
      <c r="AG136" s="15">
        <v>0</v>
      </c>
      <c r="AH136" s="15">
        <v>0</v>
      </c>
      <c r="AI136" s="15">
        <f t="shared" si="4"/>
        <v>0.51600000000000001</v>
      </c>
      <c r="AJ136" s="15">
        <f t="shared" si="5"/>
        <v>9.1159999999999997</v>
      </c>
      <c r="AK136" t="s">
        <v>47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506</v>
      </c>
      <c r="I137" t="s">
        <v>41</v>
      </c>
      <c r="J137" t="s">
        <v>507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5">
        <v>2</v>
      </c>
      <c r="Q137" s="12">
        <v>44809.748611111114</v>
      </c>
      <c r="R137" s="13">
        <v>44812</v>
      </c>
      <c r="T137" t="s">
        <v>47</v>
      </c>
      <c r="U137" t="s">
        <v>48</v>
      </c>
      <c r="V137" t="s">
        <v>56</v>
      </c>
      <c r="Y137" t="s">
        <v>508</v>
      </c>
      <c r="Z137">
        <v>9000</v>
      </c>
      <c r="AA137" t="s">
        <v>47</v>
      </c>
      <c r="AB137" t="s">
        <v>509</v>
      </c>
      <c r="AC137" t="s">
        <v>53</v>
      </c>
      <c r="AD137" s="16">
        <f>IF(P137&lt;=1,7,7+0.8*ROUNDUP(P137-1,0))</f>
        <v>7.8</v>
      </c>
      <c r="AE137" s="15">
        <v>0</v>
      </c>
      <c r="AF137" s="15">
        <v>0</v>
      </c>
      <c r="AG137" s="15">
        <v>0</v>
      </c>
      <c r="AH137" s="15">
        <v>0</v>
      </c>
      <c r="AI137" s="15">
        <f t="shared" si="4"/>
        <v>0.46799999999999997</v>
      </c>
      <c r="AJ137" s="15">
        <f t="shared" si="5"/>
        <v>8.2680000000000007</v>
      </c>
      <c r="AK137" t="s">
        <v>47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510</v>
      </c>
      <c r="I138" t="s">
        <v>41</v>
      </c>
      <c r="J138" t="s">
        <v>511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5">
        <v>5</v>
      </c>
      <c r="Q138" s="12">
        <v>44811.51666666667</v>
      </c>
      <c r="R138" s="13">
        <v>44812</v>
      </c>
      <c r="T138" t="s">
        <v>47</v>
      </c>
      <c r="U138" t="s">
        <v>48</v>
      </c>
      <c r="V138" t="s">
        <v>119</v>
      </c>
      <c r="Y138" t="s">
        <v>512</v>
      </c>
      <c r="Z138">
        <v>28700</v>
      </c>
      <c r="AA138" t="s">
        <v>47</v>
      </c>
      <c r="AB138" t="s">
        <v>513</v>
      </c>
      <c r="AC138" t="s">
        <v>53</v>
      </c>
      <c r="AD138" s="16">
        <f>IF(P138&lt;=1,7,7+0.8*ROUNDUP(P138-1,0))</f>
        <v>10.199999999999999</v>
      </c>
      <c r="AE138" s="15">
        <v>0</v>
      </c>
      <c r="AF138" s="15">
        <v>0</v>
      </c>
      <c r="AG138" s="15">
        <v>0</v>
      </c>
      <c r="AH138" s="15">
        <v>0</v>
      </c>
      <c r="AI138" s="15">
        <f t="shared" si="4"/>
        <v>0.61199999999999999</v>
      </c>
      <c r="AJ138" s="15">
        <f t="shared" si="5"/>
        <v>10.811999999999999</v>
      </c>
      <c r="AK138" t="s">
        <v>47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514</v>
      </c>
      <c r="I139" t="s">
        <v>41</v>
      </c>
      <c r="J139" t="s">
        <v>515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5">
        <v>1</v>
      </c>
      <c r="Q139" s="12">
        <v>44811.594444444447</v>
      </c>
      <c r="R139" s="13">
        <v>44812</v>
      </c>
      <c r="T139" t="s">
        <v>47</v>
      </c>
      <c r="U139" t="s">
        <v>48</v>
      </c>
      <c r="V139" t="s">
        <v>85</v>
      </c>
      <c r="Y139" t="s">
        <v>516</v>
      </c>
      <c r="Z139">
        <v>47301</v>
      </c>
      <c r="AA139" t="s">
        <v>47</v>
      </c>
      <c r="AB139" t="s">
        <v>58</v>
      </c>
      <c r="AC139" t="s">
        <v>53</v>
      </c>
      <c r="AD139" s="16">
        <f>IF(P139&lt;=1,7,7+0.8*ROUNDUP(P139-1,0))</f>
        <v>7</v>
      </c>
      <c r="AE139" s="15">
        <v>0</v>
      </c>
      <c r="AF139" s="15">
        <v>0</v>
      </c>
      <c r="AG139" s="15">
        <v>0</v>
      </c>
      <c r="AH139" s="15">
        <v>0</v>
      </c>
      <c r="AI139" s="15">
        <f t="shared" si="4"/>
        <v>0.42</v>
      </c>
      <c r="AJ139" s="15">
        <f t="shared" si="5"/>
        <v>7.42</v>
      </c>
      <c r="AK139" t="s">
        <v>47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517</v>
      </c>
      <c r="I140" t="s">
        <v>41</v>
      </c>
      <c r="J140" t="s">
        <v>111</v>
      </c>
      <c r="K140" t="s">
        <v>43</v>
      </c>
      <c r="L140">
        <v>2</v>
      </c>
      <c r="M140" t="s">
        <v>44</v>
      </c>
      <c r="N140" t="s">
        <v>45</v>
      </c>
      <c r="O140" t="s">
        <v>46</v>
      </c>
      <c r="P140" s="5">
        <v>1</v>
      </c>
      <c r="Q140" s="12">
        <v>44811.703472222223</v>
      </c>
      <c r="R140" s="13">
        <v>44812</v>
      </c>
      <c r="T140" t="s">
        <v>47</v>
      </c>
      <c r="U140" t="s">
        <v>48</v>
      </c>
      <c r="V140" t="s">
        <v>85</v>
      </c>
      <c r="Y140" t="s">
        <v>518</v>
      </c>
      <c r="Z140">
        <v>46000</v>
      </c>
      <c r="AA140" t="s">
        <v>47</v>
      </c>
      <c r="AB140" t="s">
        <v>58</v>
      </c>
      <c r="AC140" t="s">
        <v>53</v>
      </c>
      <c r="AD140" s="16">
        <f>IF(P140&lt;=1,7,7+0.8*ROUNDUP(P140-1,0))</f>
        <v>7</v>
      </c>
      <c r="AE140" s="15">
        <v>0</v>
      </c>
      <c r="AF140" s="15">
        <v>0</v>
      </c>
      <c r="AG140" s="15">
        <v>0</v>
      </c>
      <c r="AH140" s="15">
        <v>0</v>
      </c>
      <c r="AI140" s="15">
        <f t="shared" si="4"/>
        <v>0.42</v>
      </c>
      <c r="AJ140" s="15">
        <f t="shared" si="5"/>
        <v>7.42</v>
      </c>
      <c r="AK140" t="s">
        <v>47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519</v>
      </c>
      <c r="I141" t="s">
        <v>41</v>
      </c>
      <c r="J141" t="s">
        <v>111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5">
        <v>5</v>
      </c>
      <c r="Q141" s="12">
        <v>44811.70208333333</v>
      </c>
      <c r="R141" s="13">
        <v>44812</v>
      </c>
      <c r="T141" t="s">
        <v>47</v>
      </c>
      <c r="U141" t="s">
        <v>48</v>
      </c>
      <c r="V141" t="s">
        <v>85</v>
      </c>
      <c r="Y141" t="s">
        <v>520</v>
      </c>
      <c r="Z141">
        <v>46000</v>
      </c>
      <c r="AA141" t="s">
        <v>47</v>
      </c>
      <c r="AB141" t="s">
        <v>403</v>
      </c>
      <c r="AC141" t="s">
        <v>53</v>
      </c>
      <c r="AD141" s="16">
        <f>IF(P141&lt;=1,7,7+0.8*ROUNDUP(P141-1,0))</f>
        <v>10.199999999999999</v>
      </c>
      <c r="AE141" s="15">
        <v>0</v>
      </c>
      <c r="AF141" s="15">
        <v>0</v>
      </c>
      <c r="AG141" s="15">
        <v>0</v>
      </c>
      <c r="AH141" s="15">
        <v>0</v>
      </c>
      <c r="AI141" s="15">
        <f t="shared" si="4"/>
        <v>0.61199999999999999</v>
      </c>
      <c r="AJ141" s="15">
        <f t="shared" si="5"/>
        <v>10.811999999999999</v>
      </c>
      <c r="AK141" t="s">
        <v>47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521</v>
      </c>
      <c r="I142" t="s">
        <v>41</v>
      </c>
      <c r="J142" t="s">
        <v>522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5">
        <v>2</v>
      </c>
      <c r="Q142" s="12">
        <v>44810.589583333334</v>
      </c>
      <c r="R142" s="13">
        <v>44812</v>
      </c>
      <c r="T142" t="s">
        <v>47</v>
      </c>
      <c r="U142" t="s">
        <v>48</v>
      </c>
      <c r="V142" t="s">
        <v>76</v>
      </c>
      <c r="Y142" t="s">
        <v>523</v>
      </c>
      <c r="Z142">
        <v>17500</v>
      </c>
      <c r="AA142" t="s">
        <v>47</v>
      </c>
      <c r="AB142" t="s">
        <v>131</v>
      </c>
      <c r="AC142" t="s">
        <v>53</v>
      </c>
      <c r="AD142" s="16">
        <f>IF(P142&lt;=1,7,7+0.8*ROUNDUP(P142-1,0))</f>
        <v>7.8</v>
      </c>
      <c r="AE142" s="15">
        <v>0</v>
      </c>
      <c r="AF142" s="15">
        <v>0</v>
      </c>
      <c r="AG142" s="15">
        <v>0</v>
      </c>
      <c r="AH142" s="15">
        <v>0</v>
      </c>
      <c r="AI142" s="15">
        <f t="shared" si="4"/>
        <v>0.46799999999999997</v>
      </c>
      <c r="AJ142" s="15">
        <f t="shared" si="5"/>
        <v>8.2680000000000007</v>
      </c>
      <c r="AK142" t="s">
        <v>47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524</v>
      </c>
      <c r="I143" t="s">
        <v>41</v>
      </c>
      <c r="J143" t="s">
        <v>525</v>
      </c>
      <c r="K143" t="s">
        <v>43</v>
      </c>
      <c r="L143">
        <v>2</v>
      </c>
      <c r="M143" t="s">
        <v>44</v>
      </c>
      <c r="N143" t="s">
        <v>45</v>
      </c>
      <c r="O143" t="s">
        <v>46</v>
      </c>
      <c r="P143" s="5">
        <v>4</v>
      </c>
      <c r="Q143" s="12">
        <v>44811.511805555558</v>
      </c>
      <c r="R143" s="13">
        <v>44812</v>
      </c>
      <c r="T143" t="s">
        <v>47</v>
      </c>
      <c r="U143" t="s">
        <v>48</v>
      </c>
      <c r="V143" t="s">
        <v>85</v>
      </c>
      <c r="Y143" t="s">
        <v>526</v>
      </c>
      <c r="Z143">
        <v>42610</v>
      </c>
      <c r="AA143" t="s">
        <v>47</v>
      </c>
      <c r="AB143" t="s">
        <v>527</v>
      </c>
      <c r="AC143" t="s">
        <v>53</v>
      </c>
      <c r="AD143" s="16">
        <f>IF(P143&lt;=1,7,7+0.8*ROUNDUP(P143-1,0))</f>
        <v>9.4</v>
      </c>
      <c r="AE143" s="15">
        <v>0</v>
      </c>
      <c r="AF143" s="15">
        <v>0</v>
      </c>
      <c r="AG143" s="15">
        <v>0</v>
      </c>
      <c r="AH143" s="15">
        <v>0</v>
      </c>
      <c r="AI143" s="15">
        <f t="shared" si="4"/>
        <v>0.56399999999999995</v>
      </c>
      <c r="AJ143" s="15">
        <f t="shared" si="5"/>
        <v>9.9640000000000004</v>
      </c>
      <c r="AK143" t="s">
        <v>47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528</v>
      </c>
      <c r="I144" t="s">
        <v>41</v>
      </c>
      <c r="J144" t="s">
        <v>529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5">
        <v>2</v>
      </c>
      <c r="Q144" s="12">
        <v>44810.588194444441</v>
      </c>
      <c r="R144" s="13">
        <v>44812</v>
      </c>
      <c r="T144" t="s">
        <v>47</v>
      </c>
      <c r="U144" t="s">
        <v>48</v>
      </c>
      <c r="V144" t="s">
        <v>61</v>
      </c>
      <c r="Y144" t="s">
        <v>530</v>
      </c>
      <c r="Z144">
        <v>14200</v>
      </c>
      <c r="AA144" t="s">
        <v>47</v>
      </c>
      <c r="AB144" t="s">
        <v>58</v>
      </c>
      <c r="AC144" t="s">
        <v>53</v>
      </c>
      <c r="AD144" s="16">
        <f>IF(P144&lt;=1,7,7+0.8*ROUNDUP(P144-1,0))</f>
        <v>7.8</v>
      </c>
      <c r="AE144" s="15">
        <v>0</v>
      </c>
      <c r="AF144" s="15">
        <v>0</v>
      </c>
      <c r="AG144" s="15">
        <v>0</v>
      </c>
      <c r="AH144" s="15">
        <v>0</v>
      </c>
      <c r="AI144" s="15">
        <f t="shared" si="4"/>
        <v>0.46799999999999997</v>
      </c>
      <c r="AJ144" s="15">
        <f t="shared" si="5"/>
        <v>8.2680000000000007</v>
      </c>
      <c r="AK144" t="s">
        <v>47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531</v>
      </c>
      <c r="I145" t="s">
        <v>41</v>
      </c>
      <c r="J145" t="s">
        <v>532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5">
        <v>3</v>
      </c>
      <c r="Q145" s="12">
        <v>44811.510416666664</v>
      </c>
      <c r="R145" s="13">
        <v>44812</v>
      </c>
      <c r="T145" t="s">
        <v>47</v>
      </c>
      <c r="U145" t="s">
        <v>48</v>
      </c>
      <c r="V145" t="s">
        <v>85</v>
      </c>
      <c r="Y145" t="s">
        <v>533</v>
      </c>
      <c r="Z145">
        <v>62100</v>
      </c>
      <c r="AA145" t="s">
        <v>47</v>
      </c>
      <c r="AB145" t="s">
        <v>534</v>
      </c>
      <c r="AC145" t="s">
        <v>53</v>
      </c>
      <c r="AD145" s="16">
        <f>IF(P145&lt;=1,7,7+0.8*ROUNDUP(P145-1,0))</f>
        <v>8.6</v>
      </c>
      <c r="AE145" s="15">
        <v>0</v>
      </c>
      <c r="AF145" s="15">
        <v>0</v>
      </c>
      <c r="AG145" s="15">
        <v>0</v>
      </c>
      <c r="AH145" s="15">
        <v>0</v>
      </c>
      <c r="AI145" s="15">
        <f t="shared" si="4"/>
        <v>0.51600000000000001</v>
      </c>
      <c r="AJ145" s="15">
        <f t="shared" si="5"/>
        <v>9.1159999999999997</v>
      </c>
      <c r="AK145" t="s">
        <v>47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535</v>
      </c>
      <c r="I146" t="s">
        <v>41</v>
      </c>
      <c r="J146" t="s">
        <v>536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5">
        <v>2</v>
      </c>
      <c r="Q146" s="12">
        <v>44809.797222222223</v>
      </c>
      <c r="R146" s="13">
        <v>44812</v>
      </c>
      <c r="T146" t="s">
        <v>47</v>
      </c>
      <c r="U146" t="s">
        <v>48</v>
      </c>
      <c r="V146" t="s">
        <v>61</v>
      </c>
      <c r="Y146" t="s">
        <v>537</v>
      </c>
      <c r="Z146">
        <v>11700</v>
      </c>
      <c r="AA146" t="s">
        <v>47</v>
      </c>
      <c r="AB146" t="s">
        <v>538</v>
      </c>
      <c r="AC146" t="s">
        <v>53</v>
      </c>
      <c r="AD146" s="16">
        <f>IF(P146&lt;=1,7,7+0.8*ROUNDUP(P146-1,0))</f>
        <v>7.8</v>
      </c>
      <c r="AE146" s="15">
        <v>0</v>
      </c>
      <c r="AF146" s="15">
        <v>0</v>
      </c>
      <c r="AG146" s="15">
        <v>0</v>
      </c>
      <c r="AH146" s="15">
        <v>0</v>
      </c>
      <c r="AI146" s="15">
        <f t="shared" si="4"/>
        <v>0.46799999999999997</v>
      </c>
      <c r="AJ146" s="15">
        <f t="shared" si="5"/>
        <v>8.2680000000000007</v>
      </c>
      <c r="AK146" t="s">
        <v>47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539</v>
      </c>
      <c r="I147" t="s">
        <v>41</v>
      </c>
      <c r="J147" t="s">
        <v>540</v>
      </c>
      <c r="K147" t="s">
        <v>43</v>
      </c>
      <c r="L147">
        <v>2</v>
      </c>
      <c r="M147" t="s">
        <v>44</v>
      </c>
      <c r="N147" t="s">
        <v>45</v>
      </c>
      <c r="O147" t="s">
        <v>46</v>
      </c>
      <c r="P147" s="5">
        <v>2</v>
      </c>
      <c r="Q147" s="12">
        <v>44811.515972222223</v>
      </c>
      <c r="R147" s="13">
        <v>44812</v>
      </c>
      <c r="T147" t="s">
        <v>47</v>
      </c>
      <c r="U147" t="s">
        <v>48</v>
      </c>
      <c r="V147" t="s">
        <v>300</v>
      </c>
      <c r="Y147" t="s">
        <v>541</v>
      </c>
      <c r="Z147">
        <v>22100</v>
      </c>
      <c r="AA147" t="s">
        <v>47</v>
      </c>
      <c r="AB147" t="s">
        <v>48</v>
      </c>
      <c r="AC147" t="s">
        <v>53</v>
      </c>
      <c r="AD147" s="16">
        <f>IF(P147&lt;=1,7,7+0.8*ROUNDUP(P147-1,0))</f>
        <v>7.8</v>
      </c>
      <c r="AE147" s="15">
        <v>0</v>
      </c>
      <c r="AF147" s="15">
        <v>0</v>
      </c>
      <c r="AG147" s="15">
        <v>0</v>
      </c>
      <c r="AH147" s="15">
        <v>0</v>
      </c>
      <c r="AI147" s="15">
        <f t="shared" si="4"/>
        <v>0.46799999999999997</v>
      </c>
      <c r="AJ147" s="15">
        <f t="shared" si="5"/>
        <v>8.2680000000000007</v>
      </c>
      <c r="AK147" t="s">
        <v>47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542</v>
      </c>
      <c r="I148" t="s">
        <v>41</v>
      </c>
      <c r="J148" t="s">
        <v>543</v>
      </c>
      <c r="K148" t="s">
        <v>43</v>
      </c>
      <c r="L148">
        <v>2</v>
      </c>
      <c r="M148" t="s">
        <v>44</v>
      </c>
      <c r="N148" t="s">
        <v>45</v>
      </c>
      <c r="O148" t="s">
        <v>46</v>
      </c>
      <c r="P148" s="5">
        <v>1</v>
      </c>
      <c r="Q148" s="12">
        <v>44809.798611111109</v>
      </c>
      <c r="R148" s="13">
        <v>44812</v>
      </c>
      <c r="T148" t="s">
        <v>47</v>
      </c>
      <c r="U148" t="s">
        <v>48</v>
      </c>
      <c r="V148" t="s">
        <v>61</v>
      </c>
      <c r="Y148" t="s">
        <v>544</v>
      </c>
      <c r="Z148">
        <v>14000</v>
      </c>
      <c r="AA148" t="s">
        <v>47</v>
      </c>
      <c r="AB148" t="s">
        <v>58</v>
      </c>
      <c r="AC148" t="s">
        <v>53</v>
      </c>
      <c r="AD148" s="16">
        <f>IF(P148&lt;=1,7,7+0.8*ROUNDUP(P148-1,0))</f>
        <v>7</v>
      </c>
      <c r="AE148" s="15">
        <v>0</v>
      </c>
      <c r="AF148" s="15">
        <v>0</v>
      </c>
      <c r="AG148" s="15">
        <v>0</v>
      </c>
      <c r="AH148" s="15">
        <v>0</v>
      </c>
      <c r="AI148" s="15">
        <f t="shared" si="4"/>
        <v>0.42</v>
      </c>
      <c r="AJ148" s="15">
        <f t="shared" si="5"/>
        <v>7.42</v>
      </c>
      <c r="AK148" t="s">
        <v>47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545</v>
      </c>
      <c r="I149" t="s">
        <v>41</v>
      </c>
      <c r="J149" t="s">
        <v>546</v>
      </c>
      <c r="K149" t="s">
        <v>43</v>
      </c>
      <c r="L149">
        <v>2</v>
      </c>
      <c r="M149" t="s">
        <v>44</v>
      </c>
      <c r="N149" t="s">
        <v>45</v>
      </c>
      <c r="O149" t="s">
        <v>46</v>
      </c>
      <c r="P149" s="5">
        <v>5</v>
      </c>
      <c r="Q149" s="12">
        <v>44811.509027777778</v>
      </c>
      <c r="R149" s="13">
        <v>44812</v>
      </c>
      <c r="T149" t="s">
        <v>47</v>
      </c>
      <c r="U149" t="s">
        <v>48</v>
      </c>
      <c r="V149" t="s">
        <v>72</v>
      </c>
      <c r="Y149" t="s">
        <v>547</v>
      </c>
      <c r="Z149">
        <v>70450</v>
      </c>
      <c r="AA149" t="s">
        <v>47</v>
      </c>
      <c r="AB149" t="s">
        <v>548</v>
      </c>
      <c r="AC149" t="s">
        <v>53</v>
      </c>
      <c r="AD149" s="16">
        <f>IF(P149&lt;=1,7,7+0.8*ROUNDUP(P149-1,0))</f>
        <v>10.199999999999999</v>
      </c>
      <c r="AE149" s="15">
        <v>0</v>
      </c>
      <c r="AF149" s="15">
        <v>0</v>
      </c>
      <c r="AG149" s="15">
        <v>0</v>
      </c>
      <c r="AH149" s="15">
        <v>0</v>
      </c>
      <c r="AI149" s="15">
        <f t="shared" si="4"/>
        <v>0.61199999999999999</v>
      </c>
      <c r="AJ149" s="15">
        <f t="shared" si="5"/>
        <v>10.811999999999999</v>
      </c>
      <c r="AK149" t="s">
        <v>47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549</v>
      </c>
      <c r="I150" t="s">
        <v>41</v>
      </c>
      <c r="J150" t="s">
        <v>550</v>
      </c>
      <c r="K150" t="s">
        <v>43</v>
      </c>
      <c r="L150">
        <v>2</v>
      </c>
      <c r="M150" t="s">
        <v>44</v>
      </c>
      <c r="N150" t="s">
        <v>45</v>
      </c>
      <c r="O150" t="s">
        <v>46</v>
      </c>
      <c r="P150" s="5">
        <v>2</v>
      </c>
      <c r="Q150" s="12">
        <v>44809.770833333336</v>
      </c>
      <c r="R150" s="13">
        <v>44812</v>
      </c>
      <c r="T150" t="s">
        <v>47</v>
      </c>
      <c r="U150" t="s">
        <v>48</v>
      </c>
      <c r="V150" t="s">
        <v>81</v>
      </c>
      <c r="Y150" t="s">
        <v>551</v>
      </c>
      <c r="Z150">
        <v>34400</v>
      </c>
      <c r="AA150" t="s">
        <v>47</v>
      </c>
      <c r="AB150" t="s">
        <v>552</v>
      </c>
      <c r="AC150" t="s">
        <v>53</v>
      </c>
      <c r="AD150" s="16">
        <f>IF(P150&lt;=1,7,7+0.8*ROUNDUP(P150-1,0))</f>
        <v>7.8</v>
      </c>
      <c r="AE150" s="15">
        <v>0</v>
      </c>
      <c r="AF150" s="15">
        <v>0</v>
      </c>
      <c r="AG150" s="15">
        <v>0</v>
      </c>
      <c r="AH150" s="15">
        <v>0</v>
      </c>
      <c r="AI150" s="15">
        <f t="shared" si="4"/>
        <v>0.46799999999999997</v>
      </c>
      <c r="AJ150" s="15">
        <f t="shared" si="5"/>
        <v>8.2680000000000007</v>
      </c>
      <c r="AK150" t="s">
        <v>47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553</v>
      </c>
      <c r="I151" t="s">
        <v>41</v>
      </c>
      <c r="J151" t="s">
        <v>554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5">
        <v>2</v>
      </c>
      <c r="Q151" s="12">
        <v>44809.745138888888</v>
      </c>
      <c r="R151" s="13">
        <v>44812</v>
      </c>
      <c r="T151" t="s">
        <v>47</v>
      </c>
      <c r="U151" t="s">
        <v>48</v>
      </c>
      <c r="V151" t="s">
        <v>56</v>
      </c>
      <c r="Y151" t="s">
        <v>555</v>
      </c>
      <c r="Z151">
        <v>8300</v>
      </c>
      <c r="AA151" t="s">
        <v>47</v>
      </c>
      <c r="AB151" t="s">
        <v>556</v>
      </c>
      <c r="AC151" t="s">
        <v>53</v>
      </c>
      <c r="AD151" s="16">
        <f>IF(P151&lt;=1,7,7+0.8*ROUNDUP(P151-1,0))</f>
        <v>7.8</v>
      </c>
      <c r="AE151" s="15">
        <v>0</v>
      </c>
      <c r="AF151" s="15">
        <v>0</v>
      </c>
      <c r="AG151" s="15">
        <v>0</v>
      </c>
      <c r="AH151" s="15">
        <v>0</v>
      </c>
      <c r="AI151" s="15">
        <f t="shared" si="4"/>
        <v>0.46799999999999997</v>
      </c>
      <c r="AJ151" s="15">
        <f t="shared" si="5"/>
        <v>8.2680000000000007</v>
      </c>
      <c r="AK151" t="s">
        <v>47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557</v>
      </c>
      <c r="I152" t="s">
        <v>41</v>
      </c>
      <c r="J152" t="s">
        <v>558</v>
      </c>
      <c r="K152" t="s">
        <v>43</v>
      </c>
      <c r="L152">
        <v>2</v>
      </c>
      <c r="M152" t="s">
        <v>44</v>
      </c>
      <c r="N152" t="s">
        <v>45</v>
      </c>
      <c r="O152" t="s">
        <v>46</v>
      </c>
      <c r="P152" s="5">
        <v>1</v>
      </c>
      <c r="Q152" s="12">
        <v>44809.720138888886</v>
      </c>
      <c r="R152" s="13">
        <v>44812</v>
      </c>
      <c r="T152" t="s">
        <v>47</v>
      </c>
      <c r="U152" t="s">
        <v>48</v>
      </c>
      <c r="V152" t="s">
        <v>93</v>
      </c>
      <c r="Y152" t="s">
        <v>559</v>
      </c>
      <c r="Z152">
        <v>81200</v>
      </c>
      <c r="AA152" t="s">
        <v>47</v>
      </c>
      <c r="AB152" t="s">
        <v>58</v>
      </c>
      <c r="AC152" t="s">
        <v>53</v>
      </c>
      <c r="AD152" s="16">
        <f>IF(P152&lt;=1,7,7+0.8*ROUNDUP(P152-1,0))</f>
        <v>7</v>
      </c>
      <c r="AE152" s="15">
        <v>0</v>
      </c>
      <c r="AF152" s="15">
        <v>0</v>
      </c>
      <c r="AG152" s="15">
        <v>0</v>
      </c>
      <c r="AH152" s="15">
        <v>0</v>
      </c>
      <c r="AI152" s="15">
        <f t="shared" si="4"/>
        <v>0.42</v>
      </c>
      <c r="AJ152" s="15">
        <f t="shared" si="5"/>
        <v>7.42</v>
      </c>
      <c r="AK152" t="s">
        <v>47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560</v>
      </c>
      <c r="I153" t="s">
        <v>41</v>
      </c>
      <c r="J153" t="s">
        <v>561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5">
        <v>1</v>
      </c>
      <c r="Q153" s="12">
        <v>44809.781944444447</v>
      </c>
      <c r="R153" s="13">
        <v>44813</v>
      </c>
      <c r="T153" t="s">
        <v>47</v>
      </c>
      <c r="U153" t="s">
        <v>48</v>
      </c>
      <c r="V153" t="s">
        <v>49</v>
      </c>
      <c r="Y153" t="s">
        <v>562</v>
      </c>
      <c r="Z153">
        <v>90000</v>
      </c>
      <c r="AA153" t="s">
        <v>51</v>
      </c>
      <c r="AB153" t="s">
        <v>58</v>
      </c>
      <c r="AC153" t="s">
        <v>53</v>
      </c>
      <c r="AD153" s="14">
        <f>IF(P153&lt;=1,13,IF(P153&lt;=2,23,IF(P153&lt;=3,35,IF(P153&lt;=4,43,IF(P153&lt;=5,53,IF(P153&lt;=6,63,IF(P153&lt;=7,71,IF(P153&lt;=8,79,IF(P153&lt;=9,87,IF(P153&lt;=10,95,IF(P153&lt;=11,105,IF(P153&lt;=12,114,IF(P153&lt;=13,119,IF(P153&lt;=14,127,IF(P153&lt;=15,135,IF(P153&lt;=16,143,IF(P153&lt;=17,153,IF(P153&lt;=18,163,IF(P153&lt;=19,171,IF(P153&lt;=20,185,IF(P153&lt;=21,193,IF(P153&lt;=22,201,IF(P153&lt;=23,210,IF(P153&lt;=24,220,IF(P153&lt;=25,230,IF(P153&lt;=26,240,IF(P153&lt;=27,250,IF(P153&lt;=28,260,IF(P153&lt;=29,270,IF(P153&lt;=30,280,280))))))))))))))))))))))))))))))</f>
        <v>13</v>
      </c>
      <c r="AE153" s="15">
        <v>0</v>
      </c>
      <c r="AF153" s="15">
        <v>0</v>
      </c>
      <c r="AG153" s="15">
        <v>0</v>
      </c>
      <c r="AH153" s="15">
        <v>0</v>
      </c>
      <c r="AI153" s="15">
        <f t="shared" si="4"/>
        <v>0.78</v>
      </c>
      <c r="AJ153" s="15">
        <f t="shared" si="5"/>
        <v>13.78</v>
      </c>
      <c r="AK153" t="s">
        <v>51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563</v>
      </c>
      <c r="I154" t="s">
        <v>41</v>
      </c>
      <c r="J154" t="s">
        <v>564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5">
        <v>1</v>
      </c>
      <c r="Q154" s="12">
        <v>44811.711111111108</v>
      </c>
      <c r="R154" s="13">
        <v>44813</v>
      </c>
      <c r="T154" t="s">
        <v>47</v>
      </c>
      <c r="U154" t="s">
        <v>48</v>
      </c>
      <c r="V154" t="s">
        <v>85</v>
      </c>
      <c r="Y154" t="s">
        <v>565</v>
      </c>
      <c r="Z154">
        <v>41200</v>
      </c>
      <c r="AA154" t="s">
        <v>47</v>
      </c>
      <c r="AB154" t="s">
        <v>58</v>
      </c>
      <c r="AC154" t="s">
        <v>53</v>
      </c>
      <c r="AD154" s="16">
        <f>IF(P154&lt;=1,7,7+0.8*ROUNDUP(P154-1,0))</f>
        <v>7</v>
      </c>
      <c r="AE154" s="15">
        <v>0</v>
      </c>
      <c r="AF154" s="15">
        <v>0</v>
      </c>
      <c r="AG154" s="15">
        <v>0</v>
      </c>
      <c r="AH154" s="15">
        <v>0</v>
      </c>
      <c r="AI154" s="15">
        <f t="shared" si="4"/>
        <v>0.42</v>
      </c>
      <c r="AJ154" s="15">
        <f t="shared" si="5"/>
        <v>7.42</v>
      </c>
      <c r="AK154" t="s">
        <v>47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566</v>
      </c>
      <c r="I155" t="s">
        <v>41</v>
      </c>
      <c r="J155" t="s">
        <v>567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5">
        <v>1</v>
      </c>
      <c r="Q155" s="12">
        <v>44811.547222222223</v>
      </c>
      <c r="R155" s="13">
        <v>44813</v>
      </c>
      <c r="T155" t="s">
        <v>47</v>
      </c>
      <c r="U155" t="s">
        <v>48</v>
      </c>
      <c r="V155" t="s">
        <v>61</v>
      </c>
      <c r="Y155" t="s">
        <v>568</v>
      </c>
      <c r="Z155">
        <v>14000</v>
      </c>
      <c r="AA155" t="s">
        <v>47</v>
      </c>
      <c r="AB155" t="s">
        <v>58</v>
      </c>
      <c r="AC155" t="s">
        <v>53</v>
      </c>
      <c r="AD155" s="16">
        <f>IF(P155&lt;=1,7,7+0.8*ROUNDUP(P155-1,0))</f>
        <v>7</v>
      </c>
      <c r="AE155" s="15">
        <v>0</v>
      </c>
      <c r="AF155" s="15">
        <v>0</v>
      </c>
      <c r="AG155" s="15">
        <v>0</v>
      </c>
      <c r="AH155" s="15">
        <v>0</v>
      </c>
      <c r="AI155" s="15">
        <f t="shared" si="4"/>
        <v>0.42</v>
      </c>
      <c r="AJ155" s="15">
        <f t="shared" si="5"/>
        <v>7.42</v>
      </c>
      <c r="AK155" t="s">
        <v>47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569</v>
      </c>
      <c r="I156" t="s">
        <v>41</v>
      </c>
      <c r="J156" t="s">
        <v>570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5">
        <v>1</v>
      </c>
      <c r="Q156" s="12">
        <v>44810.711805555555</v>
      </c>
      <c r="R156" s="13">
        <v>44813</v>
      </c>
      <c r="T156" t="s">
        <v>47</v>
      </c>
      <c r="U156" t="s">
        <v>48</v>
      </c>
      <c r="V156" t="s">
        <v>115</v>
      </c>
      <c r="Y156" t="s">
        <v>571</v>
      </c>
      <c r="Z156">
        <v>2000</v>
      </c>
      <c r="AA156" t="s">
        <v>47</v>
      </c>
      <c r="AB156" t="s">
        <v>58</v>
      </c>
      <c r="AC156" t="s">
        <v>53</v>
      </c>
      <c r="AD156" s="16">
        <f>IF(P156&lt;=1,7,7+0.8*ROUNDUP(P156-1,0))</f>
        <v>7</v>
      </c>
      <c r="AE156" s="15">
        <v>0</v>
      </c>
      <c r="AF156" s="15">
        <v>0</v>
      </c>
      <c r="AG156" s="15">
        <v>0</v>
      </c>
      <c r="AH156" s="15">
        <v>0</v>
      </c>
      <c r="AI156" s="15">
        <f t="shared" si="4"/>
        <v>0.42</v>
      </c>
      <c r="AJ156" s="15">
        <f t="shared" si="5"/>
        <v>7.42</v>
      </c>
      <c r="AK156" t="s">
        <v>47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572</v>
      </c>
      <c r="I157" t="s">
        <v>41</v>
      </c>
      <c r="J157" t="s">
        <v>573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5">
        <v>1</v>
      </c>
      <c r="Q157" s="12">
        <v>44809.793749999997</v>
      </c>
      <c r="R157" s="13">
        <v>44813</v>
      </c>
      <c r="T157" t="s">
        <v>47</v>
      </c>
      <c r="U157" t="s">
        <v>48</v>
      </c>
      <c r="V157" t="s">
        <v>119</v>
      </c>
      <c r="Y157" t="s">
        <v>574</v>
      </c>
      <c r="Z157">
        <v>28600</v>
      </c>
      <c r="AA157" t="s">
        <v>47</v>
      </c>
      <c r="AB157" t="s">
        <v>58</v>
      </c>
      <c r="AC157" t="s">
        <v>53</v>
      </c>
      <c r="AD157" s="16">
        <f>IF(P157&lt;=1,7,7+0.8*ROUNDUP(P157-1,0))</f>
        <v>7</v>
      </c>
      <c r="AE157" s="15">
        <v>0</v>
      </c>
      <c r="AF157" s="15">
        <v>0</v>
      </c>
      <c r="AG157" s="15">
        <v>0</v>
      </c>
      <c r="AH157" s="15">
        <v>0</v>
      </c>
      <c r="AI157" s="15">
        <f t="shared" si="4"/>
        <v>0.42</v>
      </c>
      <c r="AJ157" s="15">
        <f t="shared" si="5"/>
        <v>7.42</v>
      </c>
      <c r="AK157" t="s">
        <v>47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575</v>
      </c>
      <c r="I158" t="s">
        <v>41</v>
      </c>
      <c r="J158" t="s">
        <v>111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5">
        <v>12</v>
      </c>
      <c r="Q158" s="12">
        <v>44812.715277777781</v>
      </c>
      <c r="R158" s="13">
        <v>44813</v>
      </c>
      <c r="T158" t="s">
        <v>47</v>
      </c>
      <c r="U158" t="s">
        <v>48</v>
      </c>
      <c r="V158" t="s">
        <v>85</v>
      </c>
      <c r="Y158" t="s">
        <v>112</v>
      </c>
      <c r="Z158">
        <v>46000</v>
      </c>
      <c r="AA158" t="s">
        <v>47</v>
      </c>
      <c r="AB158" t="s">
        <v>403</v>
      </c>
      <c r="AC158" t="s">
        <v>53</v>
      </c>
      <c r="AD158" s="16">
        <f>IF(P158&lt;=1,7,7+0.8*ROUNDUP(P158-1,0))</f>
        <v>15.8</v>
      </c>
      <c r="AE158" s="15">
        <v>0</v>
      </c>
      <c r="AF158" s="15">
        <v>0</v>
      </c>
      <c r="AG158" s="15">
        <v>0</v>
      </c>
      <c r="AH158" s="15">
        <v>0</v>
      </c>
      <c r="AI158" s="15">
        <f t="shared" si="4"/>
        <v>0.94799999999999995</v>
      </c>
      <c r="AJ158" s="15">
        <f t="shared" si="5"/>
        <v>16.748000000000001</v>
      </c>
      <c r="AK158" t="s">
        <v>47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576</v>
      </c>
      <c r="I159" t="s">
        <v>41</v>
      </c>
      <c r="J159" t="s">
        <v>577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5">
        <v>1</v>
      </c>
      <c r="Q159" s="12">
        <v>44806.727083333331</v>
      </c>
      <c r="R159" s="13">
        <v>44813</v>
      </c>
      <c r="T159" t="s">
        <v>47</v>
      </c>
      <c r="U159" t="s">
        <v>48</v>
      </c>
      <c r="V159" t="s">
        <v>49</v>
      </c>
      <c r="Y159" t="s">
        <v>578</v>
      </c>
      <c r="Z159">
        <v>91150</v>
      </c>
      <c r="AA159" t="s">
        <v>51</v>
      </c>
      <c r="AB159" t="s">
        <v>579</v>
      </c>
      <c r="AC159" t="s">
        <v>53</v>
      </c>
      <c r="AD159" s="14">
        <f>IF(P159&lt;=1,13,IF(P159&lt;=2,23,IF(P159&lt;=3,35,IF(P159&lt;=4,43,IF(P159&lt;=5,53,IF(P159&lt;=6,63,IF(P159&lt;=7,71,IF(P159&lt;=8,79,IF(P159&lt;=9,87,IF(P159&lt;=10,95,IF(P159&lt;=11,105,IF(P159&lt;=12,114,IF(P159&lt;=13,119,IF(P159&lt;=14,127,IF(P159&lt;=15,135,IF(P159&lt;=16,143,IF(P159&lt;=17,153,IF(P159&lt;=18,163,IF(P159&lt;=19,171,IF(P159&lt;=20,185,IF(P159&lt;=21,193,IF(P159&lt;=22,201,IF(P159&lt;=23,210,IF(P159&lt;=24,220,IF(P159&lt;=25,230,IF(P159&lt;=26,240,IF(P159&lt;=27,250,IF(P159&lt;=28,260,IF(P159&lt;=29,270,IF(P159&lt;=30,280,280))))))))))))))))))))))))))))))</f>
        <v>13</v>
      </c>
      <c r="AE159" s="15">
        <v>0</v>
      </c>
      <c r="AF159" s="15">
        <v>0</v>
      </c>
      <c r="AG159" s="15">
        <v>0</v>
      </c>
      <c r="AH159" s="15">
        <v>0</v>
      </c>
      <c r="AI159" s="15">
        <f t="shared" si="4"/>
        <v>0.78</v>
      </c>
      <c r="AJ159" s="15">
        <f t="shared" si="5"/>
        <v>13.78</v>
      </c>
      <c r="AK159" t="s">
        <v>51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580</v>
      </c>
      <c r="I160" t="s">
        <v>41</v>
      </c>
      <c r="J160" t="s">
        <v>581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5">
        <v>9</v>
      </c>
      <c r="Q160" s="12">
        <v>44812.709027777775</v>
      </c>
      <c r="R160" s="13">
        <v>44813</v>
      </c>
      <c r="T160" t="s">
        <v>47</v>
      </c>
      <c r="U160" t="s">
        <v>48</v>
      </c>
      <c r="V160" t="s">
        <v>85</v>
      </c>
      <c r="Y160" t="s">
        <v>582</v>
      </c>
      <c r="Z160">
        <v>42700</v>
      </c>
      <c r="AA160" t="s">
        <v>47</v>
      </c>
      <c r="AB160" t="s">
        <v>583</v>
      </c>
      <c r="AC160" t="s">
        <v>53</v>
      </c>
      <c r="AD160" s="16">
        <f>IF(P160&lt;=1,7,7+0.8*ROUNDUP(P160-1,0))</f>
        <v>13.4</v>
      </c>
      <c r="AE160" s="15">
        <v>0</v>
      </c>
      <c r="AF160" s="15">
        <v>0</v>
      </c>
      <c r="AG160" s="15">
        <v>0</v>
      </c>
      <c r="AH160" s="15">
        <v>0</v>
      </c>
      <c r="AI160" s="15">
        <f t="shared" si="4"/>
        <v>0.80399999999999994</v>
      </c>
      <c r="AJ160" s="15">
        <f t="shared" si="5"/>
        <v>14.204000000000001</v>
      </c>
      <c r="AK160" t="s">
        <v>47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584</v>
      </c>
      <c r="I161" t="s">
        <v>41</v>
      </c>
      <c r="J161" t="s">
        <v>581</v>
      </c>
      <c r="K161" t="s">
        <v>43</v>
      </c>
      <c r="L161">
        <v>2</v>
      </c>
      <c r="M161" t="s">
        <v>44</v>
      </c>
      <c r="N161" t="s">
        <v>45</v>
      </c>
      <c r="O161" t="s">
        <v>46</v>
      </c>
      <c r="P161" s="5">
        <v>9</v>
      </c>
      <c r="Q161" s="12">
        <v>44812.711805555555</v>
      </c>
      <c r="R161" s="13">
        <v>44813</v>
      </c>
      <c r="T161" t="s">
        <v>47</v>
      </c>
      <c r="U161" t="s">
        <v>48</v>
      </c>
      <c r="V161" t="s">
        <v>85</v>
      </c>
      <c r="Y161" t="s">
        <v>582</v>
      </c>
      <c r="Z161">
        <v>42700</v>
      </c>
      <c r="AA161" t="s">
        <v>47</v>
      </c>
      <c r="AB161" t="s">
        <v>583</v>
      </c>
      <c r="AC161" t="s">
        <v>53</v>
      </c>
      <c r="AD161" s="16">
        <f>IF(P161&lt;=1,7,7+0.8*ROUNDUP(P161-1,0))</f>
        <v>13.4</v>
      </c>
      <c r="AE161" s="15">
        <v>0</v>
      </c>
      <c r="AF161" s="15">
        <v>0</v>
      </c>
      <c r="AG161" s="15">
        <v>0</v>
      </c>
      <c r="AH161" s="15">
        <v>0</v>
      </c>
      <c r="AI161" s="15">
        <f t="shared" si="4"/>
        <v>0.80399999999999994</v>
      </c>
      <c r="AJ161" s="15">
        <f t="shared" si="5"/>
        <v>14.204000000000001</v>
      </c>
      <c r="AK161" t="s">
        <v>47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585</v>
      </c>
      <c r="I162" t="s">
        <v>41</v>
      </c>
      <c r="J162" t="s">
        <v>581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5">
        <v>9</v>
      </c>
      <c r="Q162" s="12">
        <v>44812.709027777775</v>
      </c>
      <c r="R162" s="13">
        <v>44813</v>
      </c>
      <c r="T162" t="s">
        <v>47</v>
      </c>
      <c r="U162" t="s">
        <v>48</v>
      </c>
      <c r="V162" t="s">
        <v>85</v>
      </c>
      <c r="Y162" t="s">
        <v>582</v>
      </c>
      <c r="Z162">
        <v>42700</v>
      </c>
      <c r="AA162" t="s">
        <v>47</v>
      </c>
      <c r="AB162" t="s">
        <v>583</v>
      </c>
      <c r="AC162" t="s">
        <v>53</v>
      </c>
      <c r="AD162" s="16">
        <f>IF(P162&lt;=1,7,7+0.8*ROUNDUP(P162-1,0))</f>
        <v>13.4</v>
      </c>
      <c r="AE162" s="15">
        <v>0</v>
      </c>
      <c r="AF162" s="15">
        <v>0</v>
      </c>
      <c r="AG162" s="15">
        <v>0</v>
      </c>
      <c r="AH162" s="15">
        <v>0</v>
      </c>
      <c r="AI162" s="15">
        <f t="shared" si="4"/>
        <v>0.80399999999999994</v>
      </c>
      <c r="AJ162" s="15">
        <f t="shared" si="5"/>
        <v>14.204000000000001</v>
      </c>
      <c r="AK162" t="s">
        <v>47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586</v>
      </c>
      <c r="I163" t="s">
        <v>41</v>
      </c>
      <c r="J163" t="s">
        <v>587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5">
        <v>3</v>
      </c>
      <c r="Q163" s="12">
        <v>44811.51458333333</v>
      </c>
      <c r="R163" s="13">
        <v>44813</v>
      </c>
      <c r="T163" t="s">
        <v>47</v>
      </c>
      <c r="U163" t="s">
        <v>48</v>
      </c>
      <c r="V163" t="s">
        <v>81</v>
      </c>
      <c r="Y163" t="s">
        <v>588</v>
      </c>
      <c r="Z163">
        <v>36400</v>
      </c>
      <c r="AA163" t="s">
        <v>47</v>
      </c>
      <c r="AB163" t="s">
        <v>48</v>
      </c>
      <c r="AC163" t="s">
        <v>53</v>
      </c>
      <c r="AD163" s="16">
        <f>IF(P163&lt;=1,7,7+0.8*ROUNDUP(P163-1,0))</f>
        <v>8.6</v>
      </c>
      <c r="AE163" s="15">
        <v>0</v>
      </c>
      <c r="AF163" s="15">
        <v>0</v>
      </c>
      <c r="AG163" s="15">
        <v>0</v>
      </c>
      <c r="AH163" s="15">
        <v>0</v>
      </c>
      <c r="AI163" s="15">
        <f t="shared" si="4"/>
        <v>0.51600000000000001</v>
      </c>
      <c r="AJ163" s="15">
        <f t="shared" si="5"/>
        <v>9.1159999999999997</v>
      </c>
      <c r="AK163" t="s">
        <v>47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589</v>
      </c>
      <c r="I164" t="s">
        <v>41</v>
      </c>
      <c r="J164" t="s">
        <v>581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5">
        <v>9</v>
      </c>
      <c r="Q164" s="12">
        <v>44812.711805555555</v>
      </c>
      <c r="R164" s="13">
        <v>44813</v>
      </c>
      <c r="T164" t="s">
        <v>47</v>
      </c>
      <c r="U164" t="s">
        <v>48</v>
      </c>
      <c r="V164" t="s">
        <v>85</v>
      </c>
      <c r="Y164" t="s">
        <v>582</v>
      </c>
      <c r="Z164">
        <v>42700</v>
      </c>
      <c r="AA164" t="s">
        <v>47</v>
      </c>
      <c r="AB164" t="s">
        <v>583</v>
      </c>
      <c r="AC164" t="s">
        <v>53</v>
      </c>
      <c r="AD164" s="16">
        <f>IF(P164&lt;=1,7,7+0.8*ROUNDUP(P164-1,0))</f>
        <v>13.4</v>
      </c>
      <c r="AE164" s="15">
        <v>0</v>
      </c>
      <c r="AF164" s="15">
        <v>0</v>
      </c>
      <c r="AG164" s="15">
        <v>0</v>
      </c>
      <c r="AH164" s="15">
        <v>0</v>
      </c>
      <c r="AI164" s="15">
        <f t="shared" si="4"/>
        <v>0.80399999999999994</v>
      </c>
      <c r="AJ164" s="15">
        <f t="shared" si="5"/>
        <v>14.204000000000001</v>
      </c>
      <c r="AK164" t="s">
        <v>47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590</v>
      </c>
      <c r="I165" t="s">
        <v>41</v>
      </c>
      <c r="J165" t="s">
        <v>581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5">
        <v>9</v>
      </c>
      <c r="Q165" s="12">
        <v>44812.711805555555</v>
      </c>
      <c r="R165" s="13">
        <v>44813</v>
      </c>
      <c r="T165" t="s">
        <v>47</v>
      </c>
      <c r="U165" t="s">
        <v>48</v>
      </c>
      <c r="V165" t="s">
        <v>85</v>
      </c>
      <c r="Y165" t="s">
        <v>582</v>
      </c>
      <c r="Z165">
        <v>42700</v>
      </c>
      <c r="AA165" t="s">
        <v>47</v>
      </c>
      <c r="AB165" t="s">
        <v>583</v>
      </c>
      <c r="AC165" t="s">
        <v>53</v>
      </c>
      <c r="AD165" s="16">
        <f>IF(P165&lt;=1,7,7+0.8*ROUNDUP(P165-1,0))</f>
        <v>13.4</v>
      </c>
      <c r="AE165" s="15">
        <v>0</v>
      </c>
      <c r="AF165" s="15">
        <v>0</v>
      </c>
      <c r="AG165" s="15">
        <v>0</v>
      </c>
      <c r="AH165" s="15">
        <v>0</v>
      </c>
      <c r="AI165" s="15">
        <f t="shared" si="4"/>
        <v>0.80399999999999994</v>
      </c>
      <c r="AJ165" s="15">
        <f t="shared" si="5"/>
        <v>14.204000000000001</v>
      </c>
      <c r="AK165" t="s">
        <v>47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591</v>
      </c>
      <c r="I166" t="s">
        <v>41</v>
      </c>
      <c r="J166" t="s">
        <v>592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5">
        <v>2</v>
      </c>
      <c r="Q166" s="12">
        <v>44811.513194444444</v>
      </c>
      <c r="R166" s="13">
        <v>44813</v>
      </c>
      <c r="T166" t="s">
        <v>47</v>
      </c>
      <c r="U166" t="s">
        <v>48</v>
      </c>
      <c r="V166" t="s">
        <v>56</v>
      </c>
      <c r="Y166" t="s">
        <v>593</v>
      </c>
      <c r="Z166">
        <v>6000</v>
      </c>
      <c r="AA166" t="s">
        <v>47</v>
      </c>
      <c r="AB166" t="s">
        <v>58</v>
      </c>
      <c r="AC166" t="s">
        <v>53</v>
      </c>
      <c r="AD166" s="16">
        <f>IF(P166&lt;=1,7,7+0.8*ROUNDUP(P166-1,0))</f>
        <v>7.8</v>
      </c>
      <c r="AE166" s="15">
        <v>0</v>
      </c>
      <c r="AF166" s="15">
        <v>0</v>
      </c>
      <c r="AG166" s="15">
        <v>0</v>
      </c>
      <c r="AH166" s="15">
        <v>0</v>
      </c>
      <c r="AI166" s="15">
        <f t="shared" si="4"/>
        <v>0.46799999999999997</v>
      </c>
      <c r="AJ166" s="15">
        <f t="shared" si="5"/>
        <v>8.2680000000000007</v>
      </c>
      <c r="AK166" t="s">
        <v>47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594</v>
      </c>
      <c r="I167" t="s">
        <v>41</v>
      </c>
      <c r="J167" t="s">
        <v>595</v>
      </c>
      <c r="K167" t="s">
        <v>43</v>
      </c>
      <c r="L167">
        <v>2</v>
      </c>
      <c r="M167" t="s">
        <v>44</v>
      </c>
      <c r="N167" t="s">
        <v>45</v>
      </c>
      <c r="O167" t="s">
        <v>46</v>
      </c>
      <c r="P167" s="5">
        <v>3</v>
      </c>
      <c r="Q167" s="12">
        <v>44812.662499999999</v>
      </c>
      <c r="R167" s="13">
        <v>44813</v>
      </c>
      <c r="T167" t="s">
        <v>47</v>
      </c>
      <c r="U167" t="s">
        <v>48</v>
      </c>
      <c r="V167" t="s">
        <v>85</v>
      </c>
      <c r="Y167" t="s">
        <v>596</v>
      </c>
      <c r="Z167">
        <v>43300</v>
      </c>
      <c r="AA167" t="s">
        <v>47</v>
      </c>
      <c r="AB167" t="s">
        <v>427</v>
      </c>
      <c r="AC167" t="s">
        <v>53</v>
      </c>
      <c r="AD167" s="16">
        <f>IF(P167&lt;=1,7,7+0.8*ROUNDUP(P167-1,0))</f>
        <v>8.6</v>
      </c>
      <c r="AE167" s="15">
        <v>0</v>
      </c>
      <c r="AF167" s="15">
        <v>0</v>
      </c>
      <c r="AG167" s="15">
        <v>0</v>
      </c>
      <c r="AH167" s="15">
        <v>0</v>
      </c>
      <c r="AI167" s="15">
        <f t="shared" si="4"/>
        <v>0.51600000000000001</v>
      </c>
      <c r="AJ167" s="15">
        <f t="shared" si="5"/>
        <v>9.1159999999999997</v>
      </c>
      <c r="AK167" t="s">
        <v>47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597</v>
      </c>
      <c r="I168" t="s">
        <v>41</v>
      </c>
      <c r="J168" t="s">
        <v>598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5">
        <v>1</v>
      </c>
      <c r="Q168" s="12">
        <v>44811.707638888889</v>
      </c>
      <c r="R168" s="13">
        <v>44813</v>
      </c>
      <c r="T168" t="s">
        <v>47</v>
      </c>
      <c r="U168" t="s">
        <v>48</v>
      </c>
      <c r="V168" t="s">
        <v>85</v>
      </c>
      <c r="Y168" t="s">
        <v>599</v>
      </c>
      <c r="Z168">
        <v>45600</v>
      </c>
      <c r="AA168" t="s">
        <v>47</v>
      </c>
      <c r="AB168" t="s">
        <v>600</v>
      </c>
      <c r="AC168" t="s">
        <v>53</v>
      </c>
      <c r="AD168" s="16">
        <f>IF(P168&lt;=1,7,7+0.8*ROUNDUP(P168-1,0))</f>
        <v>7</v>
      </c>
      <c r="AE168" s="15">
        <v>0</v>
      </c>
      <c r="AF168" s="15">
        <v>0</v>
      </c>
      <c r="AG168" s="15">
        <v>0</v>
      </c>
      <c r="AH168" s="15">
        <v>0</v>
      </c>
      <c r="AI168" s="15">
        <f t="shared" si="4"/>
        <v>0.42</v>
      </c>
      <c r="AJ168" s="15">
        <f t="shared" si="5"/>
        <v>7.42</v>
      </c>
      <c r="AK168" t="s">
        <v>47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601</v>
      </c>
      <c r="I169" t="s">
        <v>41</v>
      </c>
      <c r="J169" t="s">
        <v>602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5">
        <v>1</v>
      </c>
      <c r="Q169" s="12">
        <v>44809.78402777778</v>
      </c>
      <c r="R169" s="13">
        <v>44813</v>
      </c>
      <c r="T169" t="s">
        <v>47</v>
      </c>
      <c r="U169" t="s">
        <v>48</v>
      </c>
      <c r="V169" t="s">
        <v>61</v>
      </c>
      <c r="Y169" t="s">
        <v>603</v>
      </c>
      <c r="Z169">
        <v>13100</v>
      </c>
      <c r="AA169" t="s">
        <v>47</v>
      </c>
      <c r="AB169" t="s">
        <v>604</v>
      </c>
      <c r="AC169" t="s">
        <v>53</v>
      </c>
      <c r="AD169" s="16">
        <f>IF(P169&lt;=1,7,7+0.8*ROUNDUP(P169-1,0))</f>
        <v>7</v>
      </c>
      <c r="AE169" s="15">
        <v>0</v>
      </c>
      <c r="AF169" s="15">
        <v>0</v>
      </c>
      <c r="AG169" s="15">
        <v>0</v>
      </c>
      <c r="AH169" s="15">
        <v>0</v>
      </c>
      <c r="AI169" s="15">
        <f t="shared" si="4"/>
        <v>0.42</v>
      </c>
      <c r="AJ169" s="15">
        <f t="shared" si="5"/>
        <v>7.42</v>
      </c>
      <c r="AK169" t="s">
        <v>47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605</v>
      </c>
      <c r="I170" t="s">
        <v>41</v>
      </c>
      <c r="J170" t="s">
        <v>606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5">
        <v>1</v>
      </c>
      <c r="Q170" s="12">
        <v>44812.630555555559</v>
      </c>
      <c r="R170" s="13">
        <v>44813</v>
      </c>
      <c r="T170" t="s">
        <v>47</v>
      </c>
      <c r="U170" t="s">
        <v>48</v>
      </c>
      <c r="V170" t="s">
        <v>119</v>
      </c>
      <c r="Y170" t="s">
        <v>607</v>
      </c>
      <c r="Z170">
        <v>26600</v>
      </c>
      <c r="AA170" t="s">
        <v>47</v>
      </c>
      <c r="AB170" t="s">
        <v>48</v>
      </c>
      <c r="AC170" t="s">
        <v>53</v>
      </c>
      <c r="AD170" s="16">
        <f>IF(P170&lt;=1,7,7+0.8*ROUNDUP(P170-1,0))</f>
        <v>7</v>
      </c>
      <c r="AE170" s="15">
        <v>0</v>
      </c>
      <c r="AF170" s="15">
        <v>0</v>
      </c>
      <c r="AG170" s="15">
        <v>0</v>
      </c>
      <c r="AH170" s="15">
        <v>0</v>
      </c>
      <c r="AI170" s="15">
        <f t="shared" si="4"/>
        <v>0.42</v>
      </c>
      <c r="AJ170" s="15">
        <f t="shared" si="5"/>
        <v>7.42</v>
      </c>
      <c r="AK170" t="s">
        <v>47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608</v>
      </c>
      <c r="I171" t="s">
        <v>41</v>
      </c>
      <c r="J171" t="s">
        <v>609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5">
        <v>3</v>
      </c>
      <c r="Q171" s="12">
        <v>44809.8</v>
      </c>
      <c r="R171" s="13">
        <v>44813</v>
      </c>
      <c r="T171" t="s">
        <v>47</v>
      </c>
      <c r="U171" t="s">
        <v>48</v>
      </c>
      <c r="V171" t="s">
        <v>49</v>
      </c>
      <c r="Y171" t="s">
        <v>610</v>
      </c>
      <c r="Z171">
        <v>91007</v>
      </c>
      <c r="AA171" t="s">
        <v>51</v>
      </c>
      <c r="AB171" t="s">
        <v>58</v>
      </c>
      <c r="AC171" t="s">
        <v>53</v>
      </c>
      <c r="AD171" s="14">
        <f>IF(P171&lt;=1,13,IF(P171&lt;=2,23,IF(P171&lt;=3,35,IF(P171&lt;=4,43,IF(P171&lt;=5,53,IF(P171&lt;=6,63,IF(P171&lt;=7,71,IF(P171&lt;=8,79,IF(P171&lt;=9,87,IF(P171&lt;=10,95,IF(P171&lt;=11,105,IF(P171&lt;=12,114,IF(P171&lt;=13,119,IF(P171&lt;=14,127,IF(P171&lt;=15,135,IF(P171&lt;=16,143,IF(P171&lt;=17,153,IF(P171&lt;=18,163,IF(P171&lt;=19,171,IF(P171&lt;=20,185,IF(P171&lt;=21,193,IF(P171&lt;=22,201,IF(P171&lt;=23,210,IF(P171&lt;=24,220,IF(P171&lt;=25,230,IF(P171&lt;=26,240,IF(P171&lt;=27,250,IF(P171&lt;=28,260,IF(P171&lt;=29,270,IF(P171&lt;=30,280,280))))))))))))))))))))))))))))))</f>
        <v>35</v>
      </c>
      <c r="AE171" s="15">
        <v>0</v>
      </c>
      <c r="AF171" s="15">
        <v>0</v>
      </c>
      <c r="AG171" s="15">
        <v>0</v>
      </c>
      <c r="AH171" s="15">
        <v>0</v>
      </c>
      <c r="AI171" s="15">
        <f t="shared" si="4"/>
        <v>2.1</v>
      </c>
      <c r="AJ171" s="15">
        <f t="shared" si="5"/>
        <v>37.1</v>
      </c>
      <c r="AK171" t="s">
        <v>51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611</v>
      </c>
      <c r="I172" t="s">
        <v>41</v>
      </c>
      <c r="J172" t="s">
        <v>612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5">
        <v>2</v>
      </c>
      <c r="Q172" s="12">
        <v>44811.45208333333</v>
      </c>
      <c r="R172" s="13">
        <v>44813</v>
      </c>
      <c r="T172" t="s">
        <v>47</v>
      </c>
      <c r="U172" t="s">
        <v>48</v>
      </c>
      <c r="V172" t="s">
        <v>56</v>
      </c>
      <c r="Y172" t="s">
        <v>613</v>
      </c>
      <c r="Z172">
        <v>8100</v>
      </c>
      <c r="AA172" t="s">
        <v>47</v>
      </c>
      <c r="AB172" t="s">
        <v>556</v>
      </c>
      <c r="AC172" t="s">
        <v>53</v>
      </c>
      <c r="AD172" s="16">
        <f>IF(P172&lt;=1,7,7+0.8*ROUNDUP(P172-1,0))</f>
        <v>7.8</v>
      </c>
      <c r="AE172" s="15">
        <v>0</v>
      </c>
      <c r="AF172" s="15">
        <v>0</v>
      </c>
      <c r="AG172" s="15">
        <v>0</v>
      </c>
      <c r="AH172" s="15">
        <v>0</v>
      </c>
      <c r="AI172" s="15">
        <f t="shared" si="4"/>
        <v>0.46799999999999997</v>
      </c>
      <c r="AJ172" s="15">
        <f t="shared" si="5"/>
        <v>8.2680000000000007</v>
      </c>
      <c r="AK172" t="s">
        <v>47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614</v>
      </c>
      <c r="I173" t="s">
        <v>41</v>
      </c>
      <c r="J173" t="s">
        <v>615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5">
        <v>1</v>
      </c>
      <c r="Q173" s="12">
        <v>44812.657638888886</v>
      </c>
      <c r="R173" s="13">
        <v>44814</v>
      </c>
      <c r="T173" t="s">
        <v>47</v>
      </c>
      <c r="U173" t="s">
        <v>48</v>
      </c>
      <c r="V173" t="s">
        <v>93</v>
      </c>
      <c r="Y173" t="s">
        <v>616</v>
      </c>
      <c r="Z173">
        <v>86000</v>
      </c>
      <c r="AA173" t="s">
        <v>47</v>
      </c>
      <c r="AB173" t="s">
        <v>58</v>
      </c>
      <c r="AC173" t="s">
        <v>53</v>
      </c>
      <c r="AD173" s="16">
        <f>IF(P173&lt;=1,7,7+0.8*ROUNDUP(P173-1,0))</f>
        <v>7</v>
      </c>
      <c r="AE173" s="15">
        <v>0</v>
      </c>
      <c r="AF173" s="15">
        <v>0</v>
      </c>
      <c r="AG173" s="15">
        <v>0</v>
      </c>
      <c r="AH173" s="15">
        <v>0</v>
      </c>
      <c r="AI173" s="15">
        <f t="shared" si="4"/>
        <v>0.42</v>
      </c>
      <c r="AJ173" s="15">
        <f t="shared" si="5"/>
        <v>7.42</v>
      </c>
      <c r="AK173" t="s">
        <v>47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617</v>
      </c>
      <c r="I174" t="s">
        <v>41</v>
      </c>
      <c r="J174" t="s">
        <v>618</v>
      </c>
      <c r="K174" t="s">
        <v>43</v>
      </c>
      <c r="L174">
        <v>2</v>
      </c>
      <c r="M174" t="s">
        <v>44</v>
      </c>
      <c r="N174" t="s">
        <v>45</v>
      </c>
      <c r="O174" t="s">
        <v>46</v>
      </c>
      <c r="P174" s="5">
        <v>4</v>
      </c>
      <c r="Q174" s="12">
        <v>44813.379861111112</v>
      </c>
      <c r="R174" s="13">
        <v>44814</v>
      </c>
      <c r="T174" t="s">
        <v>47</v>
      </c>
      <c r="U174" t="s">
        <v>90</v>
      </c>
      <c r="V174" t="s">
        <v>119</v>
      </c>
      <c r="Y174" t="s">
        <v>619</v>
      </c>
      <c r="Z174">
        <v>26100</v>
      </c>
      <c r="AA174" t="s">
        <v>47</v>
      </c>
      <c r="AB174" t="s">
        <v>413</v>
      </c>
      <c r="AC174" t="s">
        <v>53</v>
      </c>
      <c r="AD174" s="16">
        <f>IF(P174&lt;=1,7,7+0.8*ROUNDUP(P174-1,0))</f>
        <v>9.4</v>
      </c>
      <c r="AE174" s="15">
        <v>0</v>
      </c>
      <c r="AF174" s="15">
        <v>0</v>
      </c>
      <c r="AG174" s="15">
        <v>0</v>
      </c>
      <c r="AH174" s="15">
        <v>0</v>
      </c>
      <c r="AI174" s="15">
        <f t="shared" si="4"/>
        <v>0.56399999999999995</v>
      </c>
      <c r="AJ174" s="15">
        <f t="shared" si="5"/>
        <v>9.9640000000000004</v>
      </c>
      <c r="AK174" t="s">
        <v>47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620</v>
      </c>
      <c r="I175" t="s">
        <v>41</v>
      </c>
      <c r="J175" t="s">
        <v>621</v>
      </c>
      <c r="K175" t="s">
        <v>43</v>
      </c>
      <c r="L175">
        <v>2</v>
      </c>
      <c r="M175" t="s">
        <v>44</v>
      </c>
      <c r="N175" t="s">
        <v>45</v>
      </c>
      <c r="O175" t="s">
        <v>46</v>
      </c>
      <c r="P175" s="5">
        <v>1</v>
      </c>
      <c r="Q175" s="12">
        <v>44812.61041666667</v>
      </c>
      <c r="R175" s="13">
        <v>44814</v>
      </c>
      <c r="T175" t="s">
        <v>47</v>
      </c>
      <c r="U175" t="s">
        <v>48</v>
      </c>
      <c r="V175" t="s">
        <v>81</v>
      </c>
      <c r="Y175" t="s">
        <v>622</v>
      </c>
      <c r="Z175">
        <v>32040</v>
      </c>
      <c r="AA175" t="s">
        <v>47</v>
      </c>
      <c r="AB175" t="s">
        <v>58</v>
      </c>
      <c r="AC175" t="s">
        <v>53</v>
      </c>
      <c r="AD175" s="16">
        <f>IF(P175&lt;=1,7,7+0.8*ROUNDUP(P175-1,0))</f>
        <v>7</v>
      </c>
      <c r="AE175" s="15">
        <v>0</v>
      </c>
      <c r="AF175" s="15">
        <v>0</v>
      </c>
      <c r="AG175" s="15">
        <v>0</v>
      </c>
      <c r="AH175" s="15">
        <v>0</v>
      </c>
      <c r="AI175" s="15">
        <f t="shared" si="4"/>
        <v>0.42</v>
      </c>
      <c r="AJ175" s="15">
        <f t="shared" si="5"/>
        <v>7.42</v>
      </c>
      <c r="AK175" t="s">
        <v>47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623</v>
      </c>
      <c r="I176" t="s">
        <v>41</v>
      </c>
      <c r="J176" t="s">
        <v>624</v>
      </c>
      <c r="K176" t="s">
        <v>43</v>
      </c>
      <c r="L176">
        <v>2</v>
      </c>
      <c r="M176" t="s">
        <v>44</v>
      </c>
      <c r="N176" t="s">
        <v>45</v>
      </c>
      <c r="O176" t="s">
        <v>46</v>
      </c>
      <c r="P176" s="5">
        <v>1</v>
      </c>
      <c r="Q176" s="12">
        <v>44810.59097222222</v>
      </c>
      <c r="R176" s="13">
        <v>44814</v>
      </c>
      <c r="T176" t="s">
        <v>47</v>
      </c>
      <c r="U176" t="s">
        <v>48</v>
      </c>
      <c r="V176" t="s">
        <v>61</v>
      </c>
      <c r="Y176" t="s">
        <v>625</v>
      </c>
      <c r="Z176">
        <v>14000</v>
      </c>
      <c r="AA176" t="s">
        <v>47</v>
      </c>
      <c r="AB176" t="s">
        <v>58</v>
      </c>
      <c r="AC176" t="s">
        <v>53</v>
      </c>
      <c r="AD176" s="16">
        <f>IF(P176&lt;=1,7,7+0.8*ROUNDUP(P176-1,0))</f>
        <v>7</v>
      </c>
      <c r="AE176" s="15">
        <v>0</v>
      </c>
      <c r="AF176" s="15">
        <v>0</v>
      </c>
      <c r="AG176" s="15">
        <v>0</v>
      </c>
      <c r="AH176" s="15">
        <v>0</v>
      </c>
      <c r="AI176" s="15">
        <f t="shared" si="4"/>
        <v>0.42</v>
      </c>
      <c r="AJ176" s="15">
        <f t="shared" si="5"/>
        <v>7.42</v>
      </c>
      <c r="AK176" t="s">
        <v>47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626</v>
      </c>
      <c r="I177" t="s">
        <v>41</v>
      </c>
      <c r="J177" t="s">
        <v>627</v>
      </c>
      <c r="K177" t="s">
        <v>43</v>
      </c>
      <c r="L177">
        <v>2</v>
      </c>
      <c r="M177" t="s">
        <v>44</v>
      </c>
      <c r="N177" t="s">
        <v>45</v>
      </c>
      <c r="O177" t="s">
        <v>46</v>
      </c>
      <c r="P177" s="5">
        <v>1</v>
      </c>
      <c r="Q177" s="12">
        <v>44812.658333333333</v>
      </c>
      <c r="R177" s="13">
        <v>44814</v>
      </c>
      <c r="T177" t="s">
        <v>47</v>
      </c>
      <c r="U177" t="s">
        <v>48</v>
      </c>
      <c r="V177" t="s">
        <v>81</v>
      </c>
      <c r="Y177" t="s">
        <v>628</v>
      </c>
      <c r="Z177">
        <v>31800</v>
      </c>
      <c r="AA177" t="s">
        <v>47</v>
      </c>
      <c r="AB177" t="s">
        <v>629</v>
      </c>
      <c r="AC177" t="s">
        <v>53</v>
      </c>
      <c r="AD177" s="16">
        <f>IF(P177&lt;=1,7,7+0.8*ROUNDUP(P177-1,0))</f>
        <v>7</v>
      </c>
      <c r="AE177" s="15">
        <v>0</v>
      </c>
      <c r="AF177" s="15">
        <v>0</v>
      </c>
      <c r="AG177" s="15">
        <v>0</v>
      </c>
      <c r="AH177" s="15">
        <v>0</v>
      </c>
      <c r="AI177" s="15">
        <f t="shared" si="4"/>
        <v>0.42</v>
      </c>
      <c r="AJ177" s="15">
        <f t="shared" si="5"/>
        <v>7.42</v>
      </c>
      <c r="AK177" t="s">
        <v>47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630</v>
      </c>
      <c r="I178" t="s">
        <v>41</v>
      </c>
      <c r="J178" t="s">
        <v>631</v>
      </c>
      <c r="K178" t="s">
        <v>43</v>
      </c>
      <c r="L178">
        <v>2</v>
      </c>
      <c r="M178" t="s">
        <v>44</v>
      </c>
      <c r="N178" t="s">
        <v>45</v>
      </c>
      <c r="O178" t="s">
        <v>46</v>
      </c>
      <c r="P178" s="5">
        <v>1</v>
      </c>
      <c r="Q178" s="12">
        <v>44811.711805555555</v>
      </c>
      <c r="R178" s="13">
        <v>44814</v>
      </c>
      <c r="T178" t="s">
        <v>47</v>
      </c>
      <c r="U178" t="s">
        <v>48</v>
      </c>
      <c r="V178" t="s">
        <v>93</v>
      </c>
      <c r="Y178" t="s">
        <v>632</v>
      </c>
      <c r="Z178">
        <v>81550</v>
      </c>
      <c r="AA178" t="s">
        <v>47</v>
      </c>
      <c r="AB178" t="s">
        <v>58</v>
      </c>
      <c r="AC178" t="s">
        <v>53</v>
      </c>
      <c r="AD178" s="16">
        <f>IF(P178&lt;=1,7,7+0.8*ROUNDUP(P178-1,0))</f>
        <v>7</v>
      </c>
      <c r="AE178" s="15">
        <v>0</v>
      </c>
      <c r="AF178" s="15">
        <v>0</v>
      </c>
      <c r="AG178" s="15">
        <v>0</v>
      </c>
      <c r="AH178" s="15">
        <v>0</v>
      </c>
      <c r="AI178" s="15">
        <f t="shared" si="4"/>
        <v>0.42</v>
      </c>
      <c r="AJ178" s="15">
        <f t="shared" si="5"/>
        <v>7.42</v>
      </c>
      <c r="AK178" t="s">
        <v>47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633</v>
      </c>
      <c r="I179" t="s">
        <v>41</v>
      </c>
      <c r="J179" t="s">
        <v>634</v>
      </c>
      <c r="K179" t="s">
        <v>43</v>
      </c>
      <c r="L179">
        <v>2</v>
      </c>
      <c r="M179" t="s">
        <v>44</v>
      </c>
      <c r="N179" t="s">
        <v>45</v>
      </c>
      <c r="O179" t="s">
        <v>46</v>
      </c>
      <c r="P179" s="5">
        <v>1</v>
      </c>
      <c r="Q179" s="12">
        <v>44811.713194444441</v>
      </c>
      <c r="R179" s="13">
        <v>44814</v>
      </c>
      <c r="T179" t="s">
        <v>47</v>
      </c>
      <c r="U179" t="s">
        <v>48</v>
      </c>
      <c r="V179" t="s">
        <v>72</v>
      </c>
      <c r="Y179" t="s">
        <v>635</v>
      </c>
      <c r="Z179">
        <v>71800</v>
      </c>
      <c r="AA179" t="s">
        <v>47</v>
      </c>
      <c r="AB179" t="s">
        <v>221</v>
      </c>
      <c r="AC179" t="s">
        <v>53</v>
      </c>
      <c r="AD179" s="16">
        <f>IF(P179&lt;=1,7,7+0.8*ROUNDUP(P179-1,0))</f>
        <v>7</v>
      </c>
      <c r="AE179" s="15">
        <v>0</v>
      </c>
      <c r="AF179" s="15">
        <v>0</v>
      </c>
      <c r="AG179" s="15">
        <v>0</v>
      </c>
      <c r="AH179" s="15">
        <v>0</v>
      </c>
      <c r="AI179" s="15">
        <f t="shared" si="4"/>
        <v>0.42</v>
      </c>
      <c r="AJ179" s="15">
        <f t="shared" si="5"/>
        <v>7.42</v>
      </c>
      <c r="AK179" t="s">
        <v>47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636</v>
      </c>
      <c r="I180" t="s">
        <v>41</v>
      </c>
      <c r="J180" t="s">
        <v>637</v>
      </c>
      <c r="K180" t="s">
        <v>43</v>
      </c>
      <c r="L180">
        <v>2</v>
      </c>
      <c r="M180" t="s">
        <v>44</v>
      </c>
      <c r="N180" t="s">
        <v>45</v>
      </c>
      <c r="O180" t="s">
        <v>46</v>
      </c>
      <c r="P180" s="5">
        <v>5</v>
      </c>
      <c r="Q180" s="12">
        <v>44811.736805555556</v>
      </c>
      <c r="R180" s="13">
        <v>44814</v>
      </c>
      <c r="T180" t="s">
        <v>47</v>
      </c>
      <c r="U180" t="s">
        <v>48</v>
      </c>
      <c r="V180" t="s">
        <v>93</v>
      </c>
      <c r="Y180" t="s">
        <v>638</v>
      </c>
      <c r="Z180">
        <v>82000</v>
      </c>
      <c r="AA180" t="s">
        <v>47</v>
      </c>
      <c r="AB180" t="s">
        <v>58</v>
      </c>
      <c r="AC180" t="s">
        <v>53</v>
      </c>
      <c r="AD180" s="16">
        <f>IF(P180&lt;=1,7,7+0.8*ROUNDUP(P180-1,0))</f>
        <v>10.199999999999999</v>
      </c>
      <c r="AE180" s="15">
        <v>0</v>
      </c>
      <c r="AF180" s="15">
        <v>0</v>
      </c>
      <c r="AG180" s="15">
        <v>0</v>
      </c>
      <c r="AH180" s="15">
        <v>0</v>
      </c>
      <c r="AI180" s="15">
        <f t="shared" si="4"/>
        <v>0.61199999999999999</v>
      </c>
      <c r="AJ180" s="15">
        <f t="shared" si="5"/>
        <v>10.811999999999999</v>
      </c>
      <c r="AK180" t="s">
        <v>47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639</v>
      </c>
      <c r="I181" t="s">
        <v>41</v>
      </c>
      <c r="J181" t="s">
        <v>640</v>
      </c>
      <c r="K181" t="s">
        <v>43</v>
      </c>
      <c r="L181">
        <v>2</v>
      </c>
      <c r="M181" t="s">
        <v>44</v>
      </c>
      <c r="N181" t="s">
        <v>45</v>
      </c>
      <c r="O181" t="s">
        <v>46</v>
      </c>
      <c r="P181" s="5">
        <v>1</v>
      </c>
      <c r="Q181" s="12">
        <v>44812.611805555556</v>
      </c>
      <c r="R181" s="13">
        <v>44814</v>
      </c>
      <c r="T181" t="s">
        <v>47</v>
      </c>
      <c r="U181" t="s">
        <v>48</v>
      </c>
      <c r="V181" t="s">
        <v>56</v>
      </c>
      <c r="Y181" t="s">
        <v>641</v>
      </c>
      <c r="Z181">
        <v>8000</v>
      </c>
      <c r="AA181" t="s">
        <v>47</v>
      </c>
      <c r="AB181" t="s">
        <v>58</v>
      </c>
      <c r="AC181" t="s">
        <v>53</v>
      </c>
      <c r="AD181" s="16">
        <f>IF(P181&lt;=1,7,7+0.8*ROUNDUP(P181-1,0))</f>
        <v>7</v>
      </c>
      <c r="AE181" s="15">
        <v>0</v>
      </c>
      <c r="AF181" s="15">
        <v>0</v>
      </c>
      <c r="AG181" s="15">
        <v>0</v>
      </c>
      <c r="AH181" s="15">
        <v>0</v>
      </c>
      <c r="AI181" s="15">
        <f t="shared" si="4"/>
        <v>0.42</v>
      </c>
      <c r="AJ181" s="15">
        <f t="shared" si="5"/>
        <v>7.42</v>
      </c>
      <c r="AK181" t="s">
        <v>47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642</v>
      </c>
      <c r="I182" t="s">
        <v>41</v>
      </c>
      <c r="J182" t="s">
        <v>273</v>
      </c>
      <c r="K182" t="s">
        <v>43</v>
      </c>
      <c r="L182">
        <v>2</v>
      </c>
      <c r="M182" t="s">
        <v>44</v>
      </c>
      <c r="N182" t="s">
        <v>45</v>
      </c>
      <c r="O182" t="s">
        <v>46</v>
      </c>
      <c r="P182" s="5">
        <v>1</v>
      </c>
      <c r="Q182" s="12">
        <v>44811.709722222222</v>
      </c>
      <c r="R182" s="13">
        <v>44814</v>
      </c>
      <c r="T182" t="s">
        <v>47</v>
      </c>
      <c r="U182" t="s">
        <v>48</v>
      </c>
      <c r="V182" t="s">
        <v>56</v>
      </c>
      <c r="Y182" t="s">
        <v>274</v>
      </c>
      <c r="Z182">
        <v>9400</v>
      </c>
      <c r="AA182" t="s">
        <v>47</v>
      </c>
      <c r="AB182" t="s">
        <v>58</v>
      </c>
      <c r="AC182" t="s">
        <v>53</v>
      </c>
      <c r="AD182" s="16">
        <f>IF(P182&lt;=1,7,7+0.8*ROUNDUP(P182-1,0))</f>
        <v>7</v>
      </c>
      <c r="AE182" s="15">
        <v>0</v>
      </c>
      <c r="AF182" s="15">
        <v>0</v>
      </c>
      <c r="AG182" s="15">
        <v>0</v>
      </c>
      <c r="AH182" s="15">
        <v>0</v>
      </c>
      <c r="AI182" s="15">
        <f t="shared" si="4"/>
        <v>0.42</v>
      </c>
      <c r="AJ182" s="15">
        <f t="shared" si="5"/>
        <v>7.42</v>
      </c>
      <c r="AK182" t="s">
        <v>47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643</v>
      </c>
      <c r="I183" t="s">
        <v>41</v>
      </c>
      <c r="J183" t="s">
        <v>644</v>
      </c>
      <c r="K183" t="s">
        <v>43</v>
      </c>
      <c r="L183">
        <v>2</v>
      </c>
      <c r="M183" t="s">
        <v>44</v>
      </c>
      <c r="N183" t="s">
        <v>45</v>
      </c>
      <c r="O183" t="s">
        <v>46</v>
      </c>
      <c r="P183" s="5">
        <v>1</v>
      </c>
      <c r="Q183" s="12">
        <v>44813.399305555555</v>
      </c>
      <c r="R183" s="13">
        <v>44814</v>
      </c>
      <c r="T183" t="s">
        <v>47</v>
      </c>
      <c r="U183" t="s">
        <v>90</v>
      </c>
      <c r="V183" t="s">
        <v>93</v>
      </c>
      <c r="Y183" t="s">
        <v>645</v>
      </c>
      <c r="Z183">
        <v>81700</v>
      </c>
      <c r="AA183" t="s">
        <v>47</v>
      </c>
      <c r="AB183" t="s">
        <v>58</v>
      </c>
      <c r="AC183" t="s">
        <v>53</v>
      </c>
      <c r="AD183" s="16">
        <f>IF(P183&lt;=1,7,7+0.8*ROUNDUP(P183-1,0))</f>
        <v>7</v>
      </c>
      <c r="AE183" s="15">
        <v>0</v>
      </c>
      <c r="AF183" s="15">
        <v>0</v>
      </c>
      <c r="AG183" s="15">
        <v>0</v>
      </c>
      <c r="AH183" s="15">
        <v>0</v>
      </c>
      <c r="AI183" s="15">
        <f t="shared" si="4"/>
        <v>0.42</v>
      </c>
      <c r="AJ183" s="15">
        <f t="shared" si="5"/>
        <v>7.42</v>
      </c>
      <c r="AK183" t="s">
        <v>47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646</v>
      </c>
      <c r="I184" t="s">
        <v>41</v>
      </c>
      <c r="J184" t="s">
        <v>647</v>
      </c>
      <c r="K184" t="s">
        <v>43</v>
      </c>
      <c r="L184">
        <v>2</v>
      </c>
      <c r="M184" t="s">
        <v>44</v>
      </c>
      <c r="N184" t="s">
        <v>45</v>
      </c>
      <c r="O184" t="s">
        <v>46</v>
      </c>
      <c r="P184" s="5">
        <v>2</v>
      </c>
      <c r="Q184" s="12">
        <v>44812.754861111112</v>
      </c>
      <c r="R184" s="13">
        <v>44815</v>
      </c>
      <c r="T184" t="s">
        <v>47</v>
      </c>
      <c r="U184" t="s">
        <v>90</v>
      </c>
      <c r="V184" t="s">
        <v>61</v>
      </c>
      <c r="Y184" t="s">
        <v>648</v>
      </c>
      <c r="Z184">
        <v>13200</v>
      </c>
      <c r="AA184" t="s">
        <v>47</v>
      </c>
      <c r="AB184" t="s">
        <v>58</v>
      </c>
      <c r="AC184" t="s">
        <v>53</v>
      </c>
      <c r="AD184" s="16">
        <f>IF(P184&lt;=1,7,7+0.8*ROUNDUP(P184-1,0))</f>
        <v>7.8</v>
      </c>
      <c r="AE184" s="15">
        <v>0</v>
      </c>
      <c r="AF184" s="15">
        <v>0</v>
      </c>
      <c r="AG184" s="15">
        <v>0</v>
      </c>
      <c r="AH184" s="15">
        <v>0</v>
      </c>
      <c r="AI184" s="15">
        <f t="shared" si="4"/>
        <v>0.46799999999999997</v>
      </c>
      <c r="AJ184" s="15">
        <f t="shared" si="5"/>
        <v>8.2680000000000007</v>
      </c>
      <c r="AK184" t="s">
        <v>47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649</v>
      </c>
      <c r="I185" t="s">
        <v>41</v>
      </c>
      <c r="J185" t="s">
        <v>650</v>
      </c>
      <c r="K185" t="s">
        <v>43</v>
      </c>
      <c r="L185">
        <v>2</v>
      </c>
      <c r="M185" t="s">
        <v>44</v>
      </c>
      <c r="N185" t="s">
        <v>45</v>
      </c>
      <c r="O185" t="s">
        <v>46</v>
      </c>
      <c r="P185" s="5">
        <v>1</v>
      </c>
      <c r="Q185" s="12">
        <v>44814.6875</v>
      </c>
      <c r="R185" s="13">
        <v>44815</v>
      </c>
      <c r="T185" t="s">
        <v>47</v>
      </c>
      <c r="U185" t="s">
        <v>48</v>
      </c>
      <c r="V185" t="s">
        <v>85</v>
      </c>
      <c r="Y185" t="s">
        <v>651</v>
      </c>
      <c r="Z185">
        <v>40170</v>
      </c>
      <c r="AA185" t="s">
        <v>47</v>
      </c>
      <c r="AB185" t="s">
        <v>652</v>
      </c>
      <c r="AC185" t="s">
        <v>53</v>
      </c>
      <c r="AD185" s="16">
        <f>IF(P185&lt;=1,7,7+0.8*ROUNDUP(P185-1,0))</f>
        <v>7</v>
      </c>
      <c r="AE185" s="15">
        <v>0</v>
      </c>
      <c r="AF185" s="15">
        <v>0</v>
      </c>
      <c r="AG185" s="15">
        <v>0</v>
      </c>
      <c r="AH185" s="15">
        <v>0</v>
      </c>
      <c r="AI185" s="15">
        <f t="shared" si="4"/>
        <v>0.42</v>
      </c>
      <c r="AJ185" s="15">
        <f t="shared" si="5"/>
        <v>7.42</v>
      </c>
      <c r="AK185" t="s">
        <v>47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653</v>
      </c>
      <c r="I186" t="s">
        <v>41</v>
      </c>
      <c r="J186" t="s">
        <v>654</v>
      </c>
      <c r="K186" t="s">
        <v>43</v>
      </c>
      <c r="L186">
        <v>2</v>
      </c>
      <c r="M186" t="s">
        <v>44</v>
      </c>
      <c r="N186" t="s">
        <v>45</v>
      </c>
      <c r="O186" t="s">
        <v>46</v>
      </c>
      <c r="P186" s="5">
        <v>1</v>
      </c>
      <c r="Q186" s="12">
        <v>44814.711805555555</v>
      </c>
      <c r="R186" s="13">
        <v>44815</v>
      </c>
      <c r="T186" t="s">
        <v>47</v>
      </c>
      <c r="U186" t="s">
        <v>48</v>
      </c>
      <c r="V186" t="s">
        <v>300</v>
      </c>
      <c r="Y186" t="s">
        <v>655</v>
      </c>
      <c r="Z186">
        <v>21400</v>
      </c>
      <c r="AA186" t="s">
        <v>47</v>
      </c>
      <c r="AB186" t="s">
        <v>323</v>
      </c>
      <c r="AC186" t="s">
        <v>53</v>
      </c>
      <c r="AD186" s="16">
        <f>IF(P186&lt;=1,7,7+0.8*ROUNDUP(P186-1,0))</f>
        <v>7</v>
      </c>
      <c r="AE186" s="15">
        <v>0</v>
      </c>
      <c r="AF186" s="15">
        <v>0</v>
      </c>
      <c r="AG186" s="15">
        <v>0</v>
      </c>
      <c r="AH186" s="15">
        <v>0</v>
      </c>
      <c r="AI186" s="15">
        <f t="shared" si="4"/>
        <v>0.42</v>
      </c>
      <c r="AJ186" s="15">
        <f t="shared" si="5"/>
        <v>7.42</v>
      </c>
      <c r="AK186" t="s">
        <v>47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656</v>
      </c>
      <c r="I187" t="s">
        <v>41</v>
      </c>
      <c r="J187" t="s">
        <v>657</v>
      </c>
      <c r="K187" t="s">
        <v>43</v>
      </c>
      <c r="L187">
        <v>2</v>
      </c>
      <c r="M187" t="s">
        <v>44</v>
      </c>
      <c r="N187" t="s">
        <v>45</v>
      </c>
      <c r="O187" t="s">
        <v>46</v>
      </c>
      <c r="P187" s="5">
        <v>1</v>
      </c>
      <c r="Q187" s="12">
        <v>44814.709027777775</v>
      </c>
      <c r="R187" s="13">
        <v>44815</v>
      </c>
      <c r="T187" t="s">
        <v>47</v>
      </c>
      <c r="U187" t="s">
        <v>48</v>
      </c>
      <c r="V187" t="s">
        <v>119</v>
      </c>
      <c r="Y187" t="s">
        <v>658</v>
      </c>
      <c r="Z187">
        <v>26050</v>
      </c>
      <c r="AA187" t="s">
        <v>47</v>
      </c>
      <c r="AB187" t="s">
        <v>434</v>
      </c>
      <c r="AC187" t="s">
        <v>53</v>
      </c>
      <c r="AD187" s="16">
        <f>IF(P187&lt;=1,7,7+0.8*ROUNDUP(P187-1,0))</f>
        <v>7</v>
      </c>
      <c r="AE187" s="15">
        <v>0</v>
      </c>
      <c r="AF187" s="15">
        <v>0</v>
      </c>
      <c r="AG187" s="15">
        <v>0</v>
      </c>
      <c r="AH187" s="15">
        <v>0</v>
      </c>
      <c r="AI187" s="15">
        <f t="shared" si="4"/>
        <v>0.42</v>
      </c>
      <c r="AJ187" s="15">
        <f t="shared" si="5"/>
        <v>7.42</v>
      </c>
      <c r="AK187" t="s">
        <v>47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659</v>
      </c>
      <c r="I188" t="s">
        <v>41</v>
      </c>
      <c r="J188" t="s">
        <v>660</v>
      </c>
      <c r="K188" t="s">
        <v>43</v>
      </c>
      <c r="L188">
        <v>2</v>
      </c>
      <c r="M188" t="s">
        <v>44</v>
      </c>
      <c r="N188" t="s">
        <v>45</v>
      </c>
      <c r="O188" t="s">
        <v>46</v>
      </c>
      <c r="P188" s="5">
        <v>1</v>
      </c>
      <c r="Q188" s="12">
        <v>44811.714583333334</v>
      </c>
      <c r="R188" s="13">
        <v>44815</v>
      </c>
      <c r="T188" t="s">
        <v>47</v>
      </c>
      <c r="U188" t="s">
        <v>48</v>
      </c>
      <c r="V188" t="s">
        <v>56</v>
      </c>
      <c r="Y188" t="s">
        <v>661</v>
      </c>
      <c r="Z188">
        <v>7100</v>
      </c>
      <c r="AA188" t="s">
        <v>47</v>
      </c>
      <c r="AB188" t="s">
        <v>58</v>
      </c>
      <c r="AC188" t="s">
        <v>53</v>
      </c>
      <c r="AD188" s="16">
        <f>IF(P188&lt;=1,7,7+0.8*ROUNDUP(P188-1,0))</f>
        <v>7</v>
      </c>
      <c r="AE188" s="15">
        <v>0</v>
      </c>
      <c r="AF188" s="15">
        <v>0</v>
      </c>
      <c r="AG188" s="15">
        <v>0</v>
      </c>
      <c r="AH188" s="15">
        <v>0</v>
      </c>
      <c r="AI188" s="15">
        <f t="shared" si="4"/>
        <v>0.42</v>
      </c>
      <c r="AJ188" s="15">
        <f t="shared" si="5"/>
        <v>7.42</v>
      </c>
      <c r="AK188" t="s">
        <v>47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662</v>
      </c>
      <c r="I189" t="s">
        <v>41</v>
      </c>
      <c r="J189" t="s">
        <v>663</v>
      </c>
      <c r="K189" t="s">
        <v>43</v>
      </c>
      <c r="L189">
        <v>2</v>
      </c>
      <c r="M189" t="s">
        <v>44</v>
      </c>
      <c r="N189" t="s">
        <v>45</v>
      </c>
      <c r="O189" t="s">
        <v>46</v>
      </c>
      <c r="P189" s="5">
        <v>2</v>
      </c>
      <c r="Q189" s="12">
        <v>44814.689583333333</v>
      </c>
      <c r="R189" s="13">
        <v>44815</v>
      </c>
      <c r="T189" t="s">
        <v>47</v>
      </c>
      <c r="U189" t="s">
        <v>48</v>
      </c>
      <c r="V189" t="s">
        <v>119</v>
      </c>
      <c r="Y189" t="s">
        <v>664</v>
      </c>
      <c r="Z189">
        <v>27310</v>
      </c>
      <c r="AA189" t="s">
        <v>47</v>
      </c>
      <c r="AB189" t="s">
        <v>665</v>
      </c>
      <c r="AC189" t="s">
        <v>53</v>
      </c>
      <c r="AD189" s="16">
        <f>IF(P189&lt;=1,7,7+0.8*ROUNDUP(P189-1,0))</f>
        <v>7.8</v>
      </c>
      <c r="AE189" s="15">
        <v>0</v>
      </c>
      <c r="AF189" s="15">
        <v>0</v>
      </c>
      <c r="AG189" s="15">
        <v>0</v>
      </c>
      <c r="AH189" s="15">
        <v>0</v>
      </c>
      <c r="AI189" s="15">
        <f t="shared" si="4"/>
        <v>0.46799999999999997</v>
      </c>
      <c r="AJ189" s="15">
        <f t="shared" si="5"/>
        <v>8.2680000000000007</v>
      </c>
      <c r="AK189" t="s">
        <v>47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666</v>
      </c>
      <c r="I190" t="s">
        <v>41</v>
      </c>
      <c r="J190" t="s">
        <v>667</v>
      </c>
      <c r="K190" t="s">
        <v>43</v>
      </c>
      <c r="L190">
        <v>2</v>
      </c>
      <c r="M190" t="s">
        <v>44</v>
      </c>
      <c r="N190" t="s">
        <v>45</v>
      </c>
      <c r="O190" t="s">
        <v>46</v>
      </c>
      <c r="P190" s="5">
        <v>1</v>
      </c>
      <c r="Q190" s="12">
        <v>44814.538194444445</v>
      </c>
      <c r="R190" s="13">
        <v>44815</v>
      </c>
      <c r="T190" t="s">
        <v>47</v>
      </c>
      <c r="U190" t="s">
        <v>48</v>
      </c>
      <c r="V190" t="s">
        <v>300</v>
      </c>
      <c r="Y190" t="s">
        <v>668</v>
      </c>
      <c r="Z190">
        <v>22000</v>
      </c>
      <c r="AA190" t="s">
        <v>47</v>
      </c>
      <c r="AB190" t="s">
        <v>90</v>
      </c>
      <c r="AC190" t="s">
        <v>53</v>
      </c>
      <c r="AD190" s="16">
        <f>IF(P190&lt;=1,7,7+0.8*ROUNDUP(P190-1,0))</f>
        <v>7</v>
      </c>
      <c r="AE190" s="15">
        <v>0</v>
      </c>
      <c r="AF190" s="15">
        <v>0</v>
      </c>
      <c r="AG190" s="15">
        <v>0</v>
      </c>
      <c r="AH190" s="15">
        <v>0</v>
      </c>
      <c r="AI190" s="15">
        <f t="shared" si="4"/>
        <v>0.42</v>
      </c>
      <c r="AJ190" s="15">
        <f t="shared" si="5"/>
        <v>7.42</v>
      </c>
      <c r="AK190" t="s">
        <v>47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669</v>
      </c>
      <c r="I191" t="s">
        <v>41</v>
      </c>
      <c r="J191" t="s">
        <v>670</v>
      </c>
      <c r="K191" t="s">
        <v>43</v>
      </c>
      <c r="L191">
        <v>2</v>
      </c>
      <c r="M191" t="s">
        <v>44</v>
      </c>
      <c r="N191" t="s">
        <v>45</v>
      </c>
      <c r="O191" t="s">
        <v>46</v>
      </c>
      <c r="P191" s="5">
        <v>4</v>
      </c>
      <c r="Q191" s="12">
        <v>44814.382638888892</v>
      </c>
      <c r="R191" s="13">
        <v>44816</v>
      </c>
      <c r="T191" t="s">
        <v>47</v>
      </c>
      <c r="U191" t="s">
        <v>48</v>
      </c>
      <c r="V191" t="s">
        <v>85</v>
      </c>
      <c r="Y191" t="s">
        <v>671</v>
      </c>
      <c r="Z191">
        <v>40170</v>
      </c>
      <c r="AA191" t="s">
        <v>47</v>
      </c>
      <c r="AB191" t="s">
        <v>672</v>
      </c>
      <c r="AC191" t="s">
        <v>53</v>
      </c>
      <c r="AD191" s="16">
        <f>IF(P191&lt;=1,7,7+0.8*ROUNDUP(P191-1,0))</f>
        <v>9.4</v>
      </c>
      <c r="AE191" s="15">
        <v>0</v>
      </c>
      <c r="AF191" s="15">
        <v>0</v>
      </c>
      <c r="AG191" s="15">
        <v>0</v>
      </c>
      <c r="AH191" s="15">
        <v>0</v>
      </c>
      <c r="AI191" s="15">
        <f t="shared" si="4"/>
        <v>0.56399999999999995</v>
      </c>
      <c r="AJ191" s="15">
        <f t="shared" si="5"/>
        <v>9.9640000000000004</v>
      </c>
      <c r="AK191" t="s">
        <v>47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673</v>
      </c>
      <c r="I192" t="s">
        <v>41</v>
      </c>
      <c r="J192" t="s">
        <v>674</v>
      </c>
      <c r="K192" t="s">
        <v>43</v>
      </c>
      <c r="L192">
        <v>2</v>
      </c>
      <c r="M192" t="s">
        <v>44</v>
      </c>
      <c r="N192" t="s">
        <v>45</v>
      </c>
      <c r="O192" t="s">
        <v>46</v>
      </c>
      <c r="P192" s="5">
        <v>1</v>
      </c>
      <c r="Q192" s="12">
        <v>44814.704861111109</v>
      </c>
      <c r="R192" s="13">
        <v>44816</v>
      </c>
      <c r="T192" t="s">
        <v>47</v>
      </c>
      <c r="U192" t="s">
        <v>48</v>
      </c>
      <c r="V192" t="s">
        <v>93</v>
      </c>
      <c r="Y192" t="s">
        <v>675</v>
      </c>
      <c r="Z192">
        <v>83020</v>
      </c>
      <c r="AA192" t="s">
        <v>47</v>
      </c>
      <c r="AB192" t="s">
        <v>58</v>
      </c>
      <c r="AC192" t="s">
        <v>53</v>
      </c>
      <c r="AD192" s="16">
        <f>IF(P192&lt;=1,7,7+0.8*ROUNDUP(P192-1,0))</f>
        <v>7</v>
      </c>
      <c r="AE192" s="15">
        <v>0</v>
      </c>
      <c r="AF192" s="15">
        <v>0</v>
      </c>
      <c r="AG192" s="15">
        <v>0</v>
      </c>
      <c r="AH192" s="15">
        <v>0</v>
      </c>
      <c r="AI192" s="15">
        <f t="shared" si="4"/>
        <v>0.42</v>
      </c>
      <c r="AJ192" s="15">
        <f t="shared" si="5"/>
        <v>7.42</v>
      </c>
      <c r="AK192" t="s">
        <v>47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676</v>
      </c>
      <c r="I193" t="s">
        <v>41</v>
      </c>
      <c r="J193" t="s">
        <v>677</v>
      </c>
      <c r="K193" t="s">
        <v>43</v>
      </c>
      <c r="L193">
        <v>2</v>
      </c>
      <c r="M193" t="s">
        <v>44</v>
      </c>
      <c r="N193" t="s">
        <v>45</v>
      </c>
      <c r="O193" t="s">
        <v>46</v>
      </c>
      <c r="P193" s="5">
        <v>7</v>
      </c>
      <c r="Q193" s="12">
        <v>44813.692361111112</v>
      </c>
      <c r="R193" s="13">
        <v>44816</v>
      </c>
      <c r="T193" t="s">
        <v>47</v>
      </c>
      <c r="U193" t="s">
        <v>48</v>
      </c>
      <c r="V193" t="s">
        <v>81</v>
      </c>
      <c r="Y193" t="s">
        <v>678</v>
      </c>
      <c r="Z193">
        <v>30020</v>
      </c>
      <c r="AA193" t="s">
        <v>47</v>
      </c>
      <c r="AB193" t="s">
        <v>679</v>
      </c>
      <c r="AC193" t="s">
        <v>53</v>
      </c>
      <c r="AD193" s="16">
        <f>IF(P193&lt;=1,7,7+0.8*ROUNDUP(P193-1,0))</f>
        <v>11.8</v>
      </c>
      <c r="AE193" s="15">
        <v>0</v>
      </c>
      <c r="AF193" s="15">
        <v>0</v>
      </c>
      <c r="AG193" s="15">
        <v>0</v>
      </c>
      <c r="AH193" s="15">
        <v>0</v>
      </c>
      <c r="AI193" s="15">
        <f t="shared" si="4"/>
        <v>0.70799999999999996</v>
      </c>
      <c r="AJ193" s="15">
        <f t="shared" si="5"/>
        <v>12.508000000000001</v>
      </c>
      <c r="AK193" t="s">
        <v>47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680</v>
      </c>
      <c r="I194" t="s">
        <v>41</v>
      </c>
      <c r="J194" t="s">
        <v>681</v>
      </c>
      <c r="K194" t="s">
        <v>43</v>
      </c>
      <c r="L194">
        <v>2</v>
      </c>
      <c r="M194" t="s">
        <v>44</v>
      </c>
      <c r="N194" t="s">
        <v>45</v>
      </c>
      <c r="O194" t="s">
        <v>46</v>
      </c>
      <c r="P194" s="5">
        <v>1</v>
      </c>
      <c r="Q194" s="12">
        <v>44814.62222222222</v>
      </c>
      <c r="R194" s="13">
        <v>44816</v>
      </c>
      <c r="T194" t="s">
        <v>47</v>
      </c>
      <c r="U194" t="s">
        <v>48</v>
      </c>
      <c r="V194" t="s">
        <v>93</v>
      </c>
      <c r="Y194" t="s">
        <v>682</v>
      </c>
      <c r="Z194">
        <v>83200</v>
      </c>
      <c r="AA194" t="s">
        <v>47</v>
      </c>
      <c r="AB194" t="s">
        <v>58</v>
      </c>
      <c r="AC194" t="s">
        <v>53</v>
      </c>
      <c r="AD194" s="16">
        <f>IF(P194&lt;=1,7,7+0.8*ROUNDUP(P194-1,0))</f>
        <v>7</v>
      </c>
      <c r="AE194" s="15">
        <v>0</v>
      </c>
      <c r="AF194" s="15">
        <v>0</v>
      </c>
      <c r="AG194" s="15">
        <v>0</v>
      </c>
      <c r="AH194" s="15">
        <v>0</v>
      </c>
      <c r="AI194" s="15">
        <f t="shared" ref="AI194:AI257" si="6">(AD194+AF194+AH194)*6%</f>
        <v>0.42</v>
      </c>
      <c r="AJ194" s="15">
        <f t="shared" ref="AJ194:AJ257" si="7">AD194+AF194+AH194+AI194</f>
        <v>7.42</v>
      </c>
      <c r="AK194" t="s">
        <v>47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683</v>
      </c>
      <c r="I195" t="s">
        <v>41</v>
      </c>
      <c r="J195" t="s">
        <v>684</v>
      </c>
      <c r="K195" t="s">
        <v>43</v>
      </c>
      <c r="L195">
        <v>2</v>
      </c>
      <c r="M195" t="s">
        <v>44</v>
      </c>
      <c r="N195" t="s">
        <v>45</v>
      </c>
      <c r="O195" t="s">
        <v>46</v>
      </c>
      <c r="P195" s="5">
        <v>1</v>
      </c>
      <c r="Q195" s="12">
        <v>44815.594444444447</v>
      </c>
      <c r="R195" s="13">
        <v>44816</v>
      </c>
      <c r="T195" t="s">
        <v>47</v>
      </c>
      <c r="U195" t="s">
        <v>48</v>
      </c>
      <c r="V195" t="s">
        <v>85</v>
      </c>
      <c r="Y195" t="s">
        <v>685</v>
      </c>
      <c r="Z195">
        <v>43100</v>
      </c>
      <c r="AA195" t="s">
        <v>47</v>
      </c>
      <c r="AB195" t="s">
        <v>58</v>
      </c>
      <c r="AC195" t="s">
        <v>53</v>
      </c>
      <c r="AD195" s="16">
        <f>IF(P195&lt;=1,7,7+0.8*ROUNDUP(P195-1,0))</f>
        <v>7</v>
      </c>
      <c r="AE195" s="15">
        <v>0</v>
      </c>
      <c r="AF195" s="15">
        <v>0</v>
      </c>
      <c r="AG195" s="15">
        <v>0</v>
      </c>
      <c r="AH195" s="15">
        <v>0</v>
      </c>
      <c r="AI195" s="15">
        <f t="shared" si="6"/>
        <v>0.42</v>
      </c>
      <c r="AJ195" s="15">
        <f t="shared" si="7"/>
        <v>7.42</v>
      </c>
      <c r="AK195" t="s">
        <v>47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686</v>
      </c>
      <c r="I196" t="s">
        <v>41</v>
      </c>
      <c r="J196" t="s">
        <v>687</v>
      </c>
      <c r="K196" t="s">
        <v>43</v>
      </c>
      <c r="L196">
        <v>2</v>
      </c>
      <c r="M196" t="s">
        <v>44</v>
      </c>
      <c r="N196" t="s">
        <v>45</v>
      </c>
      <c r="O196" t="s">
        <v>46</v>
      </c>
      <c r="P196" s="5">
        <v>1</v>
      </c>
      <c r="Q196" s="12">
        <v>44815.595833333333</v>
      </c>
      <c r="R196" s="13">
        <v>44816</v>
      </c>
      <c r="T196" t="s">
        <v>47</v>
      </c>
      <c r="U196" t="s">
        <v>48</v>
      </c>
      <c r="V196" t="s">
        <v>85</v>
      </c>
      <c r="Y196" t="s">
        <v>688</v>
      </c>
      <c r="Z196">
        <v>47830</v>
      </c>
      <c r="AA196" t="s">
        <v>47</v>
      </c>
      <c r="AB196" t="s">
        <v>58</v>
      </c>
      <c r="AC196" t="s">
        <v>53</v>
      </c>
      <c r="AD196" s="16">
        <f>IF(P196&lt;=1,7,7+0.8*ROUNDUP(P196-1,0))</f>
        <v>7</v>
      </c>
      <c r="AE196" s="15">
        <v>0</v>
      </c>
      <c r="AF196" s="15">
        <v>0</v>
      </c>
      <c r="AG196" s="15">
        <v>0</v>
      </c>
      <c r="AH196" s="15">
        <v>0</v>
      </c>
      <c r="AI196" s="15">
        <f t="shared" si="6"/>
        <v>0.42</v>
      </c>
      <c r="AJ196" s="15">
        <f t="shared" si="7"/>
        <v>7.42</v>
      </c>
      <c r="AK196" t="s">
        <v>47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689</v>
      </c>
      <c r="I197" t="s">
        <v>41</v>
      </c>
      <c r="J197" t="s">
        <v>690</v>
      </c>
      <c r="K197" t="s">
        <v>43</v>
      </c>
      <c r="L197">
        <v>2</v>
      </c>
      <c r="M197" t="s">
        <v>44</v>
      </c>
      <c r="N197" t="s">
        <v>45</v>
      </c>
      <c r="O197" t="s">
        <v>46</v>
      </c>
      <c r="P197" s="5">
        <v>1</v>
      </c>
      <c r="Q197" s="12">
        <v>44815.597916666666</v>
      </c>
      <c r="R197" s="13">
        <v>44816</v>
      </c>
      <c r="T197" t="s">
        <v>47</v>
      </c>
      <c r="U197" t="s">
        <v>48</v>
      </c>
      <c r="V197" t="s">
        <v>190</v>
      </c>
      <c r="Y197" t="s">
        <v>691</v>
      </c>
      <c r="Z197">
        <v>50490</v>
      </c>
      <c r="AA197" t="s">
        <v>47</v>
      </c>
      <c r="AB197" t="s">
        <v>58</v>
      </c>
      <c r="AC197" t="s">
        <v>53</v>
      </c>
      <c r="AD197" s="16">
        <f>IF(P197&lt;=1,7,7+0.8*ROUNDUP(P197-1,0))</f>
        <v>7</v>
      </c>
      <c r="AE197" s="15">
        <v>0</v>
      </c>
      <c r="AF197" s="15">
        <v>0</v>
      </c>
      <c r="AG197" s="15">
        <v>0</v>
      </c>
      <c r="AH197" s="15">
        <v>0</v>
      </c>
      <c r="AI197" s="15">
        <f t="shared" si="6"/>
        <v>0.42</v>
      </c>
      <c r="AJ197" s="15">
        <f t="shared" si="7"/>
        <v>7.42</v>
      </c>
      <c r="AK197" t="s">
        <v>47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692</v>
      </c>
      <c r="I198" t="s">
        <v>41</v>
      </c>
      <c r="J198" t="s">
        <v>693</v>
      </c>
      <c r="K198" t="s">
        <v>43</v>
      </c>
      <c r="L198">
        <v>2</v>
      </c>
      <c r="M198" t="s">
        <v>44</v>
      </c>
      <c r="N198" t="s">
        <v>45</v>
      </c>
      <c r="O198" t="s">
        <v>46</v>
      </c>
      <c r="P198" s="5">
        <v>1</v>
      </c>
      <c r="Q198" s="12">
        <v>44814.693749999999</v>
      </c>
      <c r="R198" s="13">
        <v>44816</v>
      </c>
      <c r="T198" t="s">
        <v>47</v>
      </c>
      <c r="U198" t="s">
        <v>48</v>
      </c>
      <c r="V198" t="s">
        <v>85</v>
      </c>
      <c r="Y198" t="s">
        <v>694</v>
      </c>
      <c r="Z198">
        <v>48050</v>
      </c>
      <c r="AA198" t="s">
        <v>47</v>
      </c>
      <c r="AB198" t="s">
        <v>156</v>
      </c>
      <c r="AC198" t="s">
        <v>53</v>
      </c>
      <c r="AD198" s="16">
        <f>IF(P198&lt;=1,7,7+0.8*ROUNDUP(P198-1,0))</f>
        <v>7</v>
      </c>
      <c r="AE198" s="15">
        <v>0</v>
      </c>
      <c r="AF198" s="15">
        <v>0</v>
      </c>
      <c r="AG198" s="15">
        <v>0</v>
      </c>
      <c r="AH198" s="15">
        <v>0</v>
      </c>
      <c r="AI198" s="15">
        <f t="shared" si="6"/>
        <v>0.42</v>
      </c>
      <c r="AJ198" s="15">
        <f t="shared" si="7"/>
        <v>7.42</v>
      </c>
      <c r="AK198" t="s">
        <v>47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695</v>
      </c>
      <c r="I199" t="s">
        <v>41</v>
      </c>
      <c r="J199" t="s">
        <v>696</v>
      </c>
      <c r="K199" t="s">
        <v>43</v>
      </c>
      <c r="L199">
        <v>2</v>
      </c>
      <c r="M199" t="s">
        <v>44</v>
      </c>
      <c r="N199" t="s">
        <v>45</v>
      </c>
      <c r="O199" t="s">
        <v>46</v>
      </c>
      <c r="P199" s="5">
        <v>1</v>
      </c>
      <c r="Q199" s="12">
        <v>44814.702777777777</v>
      </c>
      <c r="R199" s="13">
        <v>44816</v>
      </c>
      <c r="T199" t="s">
        <v>47</v>
      </c>
      <c r="U199" t="s">
        <v>48</v>
      </c>
      <c r="V199" t="s">
        <v>72</v>
      </c>
      <c r="Y199" t="s">
        <v>697</v>
      </c>
      <c r="Z199">
        <v>71800</v>
      </c>
      <c r="AA199" t="s">
        <v>47</v>
      </c>
      <c r="AB199" t="s">
        <v>221</v>
      </c>
      <c r="AC199" t="s">
        <v>53</v>
      </c>
      <c r="AD199" s="16">
        <f>IF(P199&lt;=1,7,7+0.8*ROUNDUP(P199-1,0))</f>
        <v>7</v>
      </c>
      <c r="AE199" s="15">
        <v>0</v>
      </c>
      <c r="AF199" s="15">
        <v>0</v>
      </c>
      <c r="AG199" s="15">
        <v>0</v>
      </c>
      <c r="AH199" s="15">
        <v>0</v>
      </c>
      <c r="AI199" s="15">
        <f t="shared" si="6"/>
        <v>0.42</v>
      </c>
      <c r="AJ199" s="15">
        <f t="shared" si="7"/>
        <v>7.42</v>
      </c>
      <c r="AK199" t="s">
        <v>47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698</v>
      </c>
      <c r="I200" t="s">
        <v>41</v>
      </c>
      <c r="J200" t="s">
        <v>699</v>
      </c>
      <c r="K200" t="s">
        <v>43</v>
      </c>
      <c r="L200">
        <v>2</v>
      </c>
      <c r="M200" t="s">
        <v>44</v>
      </c>
      <c r="N200" t="s">
        <v>45</v>
      </c>
      <c r="O200" t="s">
        <v>46</v>
      </c>
      <c r="P200" s="5">
        <v>1</v>
      </c>
      <c r="Q200" s="12">
        <v>44814.539583333331</v>
      </c>
      <c r="R200" s="13">
        <v>44816</v>
      </c>
      <c r="T200" t="s">
        <v>47</v>
      </c>
      <c r="U200" t="s">
        <v>48</v>
      </c>
      <c r="V200" t="s">
        <v>85</v>
      </c>
      <c r="Y200" t="s">
        <v>700</v>
      </c>
      <c r="Z200">
        <v>62200</v>
      </c>
      <c r="AA200" t="s">
        <v>47</v>
      </c>
      <c r="AB200" t="s">
        <v>58</v>
      </c>
      <c r="AC200" t="s">
        <v>53</v>
      </c>
      <c r="AD200" s="16">
        <f>IF(P200&lt;=1,7,7+0.8*ROUNDUP(P200-1,0))</f>
        <v>7</v>
      </c>
      <c r="AE200" s="15">
        <v>0</v>
      </c>
      <c r="AF200" s="15">
        <v>0</v>
      </c>
      <c r="AG200" s="15">
        <v>0</v>
      </c>
      <c r="AH200" s="15">
        <v>0</v>
      </c>
      <c r="AI200" s="15">
        <f t="shared" si="6"/>
        <v>0.42</v>
      </c>
      <c r="AJ200" s="15">
        <f t="shared" si="7"/>
        <v>7.42</v>
      </c>
      <c r="AK200" t="s">
        <v>47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701</v>
      </c>
      <c r="I201" t="s">
        <v>41</v>
      </c>
      <c r="J201" t="s">
        <v>702</v>
      </c>
      <c r="K201" t="s">
        <v>43</v>
      </c>
      <c r="L201">
        <v>2</v>
      </c>
      <c r="M201" t="s">
        <v>44</v>
      </c>
      <c r="N201" t="s">
        <v>45</v>
      </c>
      <c r="O201" t="s">
        <v>46</v>
      </c>
      <c r="P201" s="5">
        <v>1</v>
      </c>
      <c r="Q201" s="12">
        <v>44814.63958333333</v>
      </c>
      <c r="R201" s="13">
        <v>44816</v>
      </c>
      <c r="T201" t="s">
        <v>47</v>
      </c>
      <c r="U201" t="s">
        <v>48</v>
      </c>
      <c r="V201" t="s">
        <v>85</v>
      </c>
      <c r="Y201" t="s">
        <v>703</v>
      </c>
      <c r="Z201">
        <v>44200</v>
      </c>
      <c r="AA201" t="s">
        <v>47</v>
      </c>
      <c r="AB201" t="s">
        <v>58</v>
      </c>
      <c r="AC201" t="s">
        <v>53</v>
      </c>
      <c r="AD201" s="16">
        <f>IF(P201&lt;=1,7,7+0.8*ROUNDUP(P201-1,0))</f>
        <v>7</v>
      </c>
      <c r="AE201" s="15">
        <v>0</v>
      </c>
      <c r="AF201" s="15">
        <v>0</v>
      </c>
      <c r="AG201" s="15">
        <v>0</v>
      </c>
      <c r="AH201" s="15">
        <v>0</v>
      </c>
      <c r="AI201" s="15">
        <f t="shared" si="6"/>
        <v>0.42</v>
      </c>
      <c r="AJ201" s="15">
        <f t="shared" si="7"/>
        <v>7.42</v>
      </c>
      <c r="AK201" t="s">
        <v>47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704</v>
      </c>
      <c r="I202" t="s">
        <v>41</v>
      </c>
      <c r="J202" t="s">
        <v>705</v>
      </c>
      <c r="K202" t="s">
        <v>43</v>
      </c>
      <c r="L202">
        <v>2</v>
      </c>
      <c r="M202" t="s">
        <v>44</v>
      </c>
      <c r="N202" t="s">
        <v>45</v>
      </c>
      <c r="O202" t="s">
        <v>46</v>
      </c>
      <c r="P202" s="5">
        <v>1</v>
      </c>
      <c r="Q202" s="12">
        <v>44814.640972222223</v>
      </c>
      <c r="R202" s="13">
        <v>44816</v>
      </c>
      <c r="T202" t="s">
        <v>47</v>
      </c>
      <c r="U202" t="s">
        <v>48</v>
      </c>
      <c r="V202" t="s">
        <v>72</v>
      </c>
      <c r="Y202" t="s">
        <v>706</v>
      </c>
      <c r="Z202">
        <v>72120</v>
      </c>
      <c r="AA202" t="s">
        <v>47</v>
      </c>
      <c r="AB202" t="s">
        <v>58</v>
      </c>
      <c r="AC202" t="s">
        <v>53</v>
      </c>
      <c r="AD202" s="16">
        <f>IF(P202&lt;=1,7,7+0.8*ROUNDUP(P202-1,0))</f>
        <v>7</v>
      </c>
      <c r="AE202" s="15">
        <v>0</v>
      </c>
      <c r="AF202" s="15">
        <v>0</v>
      </c>
      <c r="AG202" s="15">
        <v>0</v>
      </c>
      <c r="AH202" s="15">
        <v>0</v>
      </c>
      <c r="AI202" s="15">
        <f t="shared" si="6"/>
        <v>0.42</v>
      </c>
      <c r="AJ202" s="15">
        <f t="shared" si="7"/>
        <v>7.42</v>
      </c>
      <c r="AK202" t="s">
        <v>47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707</v>
      </c>
      <c r="I203" t="s">
        <v>41</v>
      </c>
      <c r="J203" t="s">
        <v>708</v>
      </c>
      <c r="K203" t="s">
        <v>43</v>
      </c>
      <c r="L203">
        <v>2</v>
      </c>
      <c r="M203" t="s">
        <v>44</v>
      </c>
      <c r="N203" t="s">
        <v>45</v>
      </c>
      <c r="O203" t="s">
        <v>46</v>
      </c>
      <c r="P203" s="5">
        <v>1</v>
      </c>
      <c r="Q203" s="12">
        <v>44814.684027777781</v>
      </c>
      <c r="R203" s="13">
        <v>44816</v>
      </c>
      <c r="T203" t="s">
        <v>47</v>
      </c>
      <c r="U203" t="s">
        <v>48</v>
      </c>
      <c r="V203" t="s">
        <v>85</v>
      </c>
      <c r="Y203" t="s">
        <v>709</v>
      </c>
      <c r="Z203">
        <v>43100</v>
      </c>
      <c r="AA203" t="s">
        <v>47</v>
      </c>
      <c r="AB203" t="s">
        <v>710</v>
      </c>
      <c r="AC203" t="s">
        <v>53</v>
      </c>
      <c r="AD203" s="16">
        <f>IF(P203&lt;=1,7,7+0.8*ROUNDUP(P203-1,0))</f>
        <v>7</v>
      </c>
      <c r="AE203" s="15">
        <v>0</v>
      </c>
      <c r="AF203" s="15">
        <v>0</v>
      </c>
      <c r="AG203" s="15">
        <v>0</v>
      </c>
      <c r="AH203" s="15">
        <v>0</v>
      </c>
      <c r="AI203" s="15">
        <f t="shared" si="6"/>
        <v>0.42</v>
      </c>
      <c r="AJ203" s="15">
        <f t="shared" si="7"/>
        <v>7.42</v>
      </c>
      <c r="AK203" t="s">
        <v>47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711</v>
      </c>
      <c r="I204" t="s">
        <v>41</v>
      </c>
      <c r="J204" t="s">
        <v>712</v>
      </c>
      <c r="K204" t="s">
        <v>43</v>
      </c>
      <c r="L204">
        <v>2</v>
      </c>
      <c r="M204" t="s">
        <v>44</v>
      </c>
      <c r="N204" t="s">
        <v>45</v>
      </c>
      <c r="O204" t="s">
        <v>46</v>
      </c>
      <c r="P204" s="5">
        <v>1</v>
      </c>
      <c r="Q204" s="12">
        <v>44814.707638888889</v>
      </c>
      <c r="R204" s="13">
        <v>44816</v>
      </c>
      <c r="T204" t="s">
        <v>47</v>
      </c>
      <c r="U204" t="s">
        <v>48</v>
      </c>
      <c r="V204" t="s">
        <v>56</v>
      </c>
      <c r="Y204" t="s">
        <v>713</v>
      </c>
      <c r="Z204">
        <v>34950</v>
      </c>
      <c r="AA204" t="s">
        <v>47</v>
      </c>
      <c r="AB204" t="s">
        <v>48</v>
      </c>
      <c r="AC204" t="s">
        <v>53</v>
      </c>
      <c r="AD204" s="16">
        <f>IF(P204&lt;=1,7,7+0.8*ROUNDUP(P204-1,0))</f>
        <v>7</v>
      </c>
      <c r="AE204" s="15">
        <v>0</v>
      </c>
      <c r="AF204" s="15">
        <v>0</v>
      </c>
      <c r="AG204" s="15">
        <v>0</v>
      </c>
      <c r="AH204" s="15">
        <v>0</v>
      </c>
      <c r="AI204" s="15">
        <f t="shared" si="6"/>
        <v>0.42</v>
      </c>
      <c r="AJ204" s="15">
        <f t="shared" si="7"/>
        <v>7.42</v>
      </c>
      <c r="AK204" t="s">
        <v>47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714</v>
      </c>
      <c r="I205" t="s">
        <v>41</v>
      </c>
      <c r="J205" t="s">
        <v>715</v>
      </c>
      <c r="K205" t="s">
        <v>43</v>
      </c>
      <c r="L205">
        <v>2</v>
      </c>
      <c r="M205" t="s">
        <v>44</v>
      </c>
      <c r="N205" t="s">
        <v>45</v>
      </c>
      <c r="O205" t="s">
        <v>46</v>
      </c>
      <c r="P205" s="5">
        <v>2</v>
      </c>
      <c r="Q205" s="12">
        <v>44814.696527777778</v>
      </c>
      <c r="R205" s="13">
        <v>44816</v>
      </c>
      <c r="T205" t="s">
        <v>47</v>
      </c>
      <c r="U205" t="s">
        <v>48</v>
      </c>
      <c r="V205" t="s">
        <v>72</v>
      </c>
      <c r="Y205" t="s">
        <v>716</v>
      </c>
      <c r="Z205">
        <v>71050</v>
      </c>
      <c r="AA205" t="s">
        <v>47</v>
      </c>
      <c r="AB205" t="s">
        <v>717</v>
      </c>
      <c r="AC205" t="s">
        <v>53</v>
      </c>
      <c r="AD205" s="16">
        <f>IF(P205&lt;=1,7,7+0.8*ROUNDUP(P205-1,0))</f>
        <v>7.8</v>
      </c>
      <c r="AE205" s="15">
        <v>0</v>
      </c>
      <c r="AF205" s="15">
        <v>0</v>
      </c>
      <c r="AG205" s="15">
        <v>0</v>
      </c>
      <c r="AH205" s="15">
        <v>0</v>
      </c>
      <c r="AI205" s="15">
        <f t="shared" si="6"/>
        <v>0.46799999999999997</v>
      </c>
      <c r="AJ205" s="15">
        <f t="shared" si="7"/>
        <v>8.2680000000000007</v>
      </c>
      <c r="AK205" t="s">
        <v>47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718</v>
      </c>
      <c r="I206" t="s">
        <v>41</v>
      </c>
      <c r="J206" t="s">
        <v>719</v>
      </c>
      <c r="K206" t="s">
        <v>43</v>
      </c>
      <c r="L206">
        <v>2</v>
      </c>
      <c r="M206" t="s">
        <v>44</v>
      </c>
      <c r="N206" t="s">
        <v>45</v>
      </c>
      <c r="O206" t="s">
        <v>46</v>
      </c>
      <c r="P206" s="5">
        <v>1</v>
      </c>
      <c r="Q206" s="12">
        <v>44815.482638888891</v>
      </c>
      <c r="R206" s="13">
        <v>44816</v>
      </c>
      <c r="T206" t="s">
        <v>47</v>
      </c>
      <c r="U206" t="s">
        <v>48</v>
      </c>
      <c r="V206" t="s">
        <v>85</v>
      </c>
      <c r="Y206" t="s">
        <v>720</v>
      </c>
      <c r="Z206">
        <v>40400</v>
      </c>
      <c r="AA206" t="s">
        <v>47</v>
      </c>
      <c r="AB206" t="s">
        <v>721</v>
      </c>
      <c r="AC206" t="s">
        <v>53</v>
      </c>
      <c r="AD206" s="16">
        <f>IF(P206&lt;=1,7,7+0.8*ROUNDUP(P206-1,0))</f>
        <v>7</v>
      </c>
      <c r="AE206" s="15">
        <v>0</v>
      </c>
      <c r="AF206" s="15">
        <v>0</v>
      </c>
      <c r="AG206" s="15">
        <v>0</v>
      </c>
      <c r="AH206" s="15">
        <v>0</v>
      </c>
      <c r="AI206" s="15">
        <f t="shared" si="6"/>
        <v>0.42</v>
      </c>
      <c r="AJ206" s="15">
        <f t="shared" si="7"/>
        <v>7.42</v>
      </c>
      <c r="AK206" t="s">
        <v>47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722</v>
      </c>
      <c r="I207" t="s">
        <v>41</v>
      </c>
      <c r="J207" t="s">
        <v>723</v>
      </c>
      <c r="K207" t="s">
        <v>43</v>
      </c>
      <c r="L207">
        <v>2</v>
      </c>
      <c r="M207" t="s">
        <v>44</v>
      </c>
      <c r="N207" t="s">
        <v>45</v>
      </c>
      <c r="O207" t="s">
        <v>46</v>
      </c>
      <c r="P207" s="5">
        <v>2</v>
      </c>
      <c r="Q207" s="12">
        <v>44814.690972222219</v>
      </c>
      <c r="R207" s="13">
        <v>44816</v>
      </c>
      <c r="T207" t="s">
        <v>47</v>
      </c>
      <c r="U207" t="s">
        <v>48</v>
      </c>
      <c r="V207" t="s">
        <v>93</v>
      </c>
      <c r="Y207" t="s">
        <v>724</v>
      </c>
      <c r="Z207">
        <v>83500</v>
      </c>
      <c r="AA207" t="s">
        <v>47</v>
      </c>
      <c r="AB207" t="s">
        <v>725</v>
      </c>
      <c r="AC207" t="s">
        <v>53</v>
      </c>
      <c r="AD207" s="16">
        <f>IF(P207&lt;=1,7,7+0.8*ROUNDUP(P207-1,0))</f>
        <v>7.8</v>
      </c>
      <c r="AE207" s="15">
        <v>0</v>
      </c>
      <c r="AF207" s="15">
        <v>0</v>
      </c>
      <c r="AG207" s="15">
        <v>0</v>
      </c>
      <c r="AH207" s="15">
        <v>0</v>
      </c>
      <c r="AI207" s="15">
        <f t="shared" si="6"/>
        <v>0.46799999999999997</v>
      </c>
      <c r="AJ207" s="15">
        <f t="shared" si="7"/>
        <v>8.2680000000000007</v>
      </c>
      <c r="AK207" t="s">
        <v>47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726</v>
      </c>
      <c r="I208" t="s">
        <v>41</v>
      </c>
      <c r="J208" t="s">
        <v>727</v>
      </c>
      <c r="K208" t="s">
        <v>43</v>
      </c>
      <c r="L208">
        <v>2</v>
      </c>
      <c r="M208" t="s">
        <v>44</v>
      </c>
      <c r="N208" t="s">
        <v>45</v>
      </c>
      <c r="O208" t="s">
        <v>46</v>
      </c>
      <c r="P208" s="5">
        <v>2</v>
      </c>
      <c r="Q208" s="12">
        <v>44813.62222222222</v>
      </c>
      <c r="R208" s="13">
        <v>44816</v>
      </c>
      <c r="T208" t="s">
        <v>47</v>
      </c>
      <c r="U208" t="s">
        <v>48</v>
      </c>
      <c r="V208" t="s">
        <v>85</v>
      </c>
      <c r="Y208" t="s">
        <v>728</v>
      </c>
      <c r="Z208">
        <v>42500</v>
      </c>
      <c r="AA208" t="s">
        <v>47</v>
      </c>
      <c r="AB208" t="s">
        <v>527</v>
      </c>
      <c r="AC208" t="s">
        <v>53</v>
      </c>
      <c r="AD208" s="16">
        <f>IF(P208&lt;=1,7,7+0.8*ROUNDUP(P208-1,0))</f>
        <v>7.8</v>
      </c>
      <c r="AE208" s="15">
        <v>0</v>
      </c>
      <c r="AF208" s="15">
        <v>0</v>
      </c>
      <c r="AG208" s="15">
        <v>0</v>
      </c>
      <c r="AH208" s="15">
        <v>0</v>
      </c>
      <c r="AI208" s="15">
        <f t="shared" si="6"/>
        <v>0.46799999999999997</v>
      </c>
      <c r="AJ208" s="15">
        <f t="shared" si="7"/>
        <v>8.2680000000000007</v>
      </c>
      <c r="AK208" t="s">
        <v>47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729</v>
      </c>
      <c r="I209" t="s">
        <v>41</v>
      </c>
      <c r="J209" t="s">
        <v>730</v>
      </c>
      <c r="K209" t="s">
        <v>43</v>
      </c>
      <c r="L209">
        <v>2</v>
      </c>
      <c r="M209" t="s">
        <v>44</v>
      </c>
      <c r="N209" t="s">
        <v>45</v>
      </c>
      <c r="O209" t="s">
        <v>46</v>
      </c>
      <c r="P209" s="5">
        <v>1</v>
      </c>
      <c r="Q209" s="12">
        <v>44814.521527777775</v>
      </c>
      <c r="R209" s="13">
        <v>44816</v>
      </c>
      <c r="T209" t="s">
        <v>47</v>
      </c>
      <c r="U209" t="s">
        <v>48</v>
      </c>
      <c r="V209" t="s">
        <v>76</v>
      </c>
      <c r="Y209" t="s">
        <v>731</v>
      </c>
      <c r="Z209">
        <v>18300</v>
      </c>
      <c r="AA209" t="s">
        <v>47</v>
      </c>
      <c r="AB209" t="s">
        <v>90</v>
      </c>
      <c r="AC209" t="s">
        <v>53</v>
      </c>
      <c r="AD209" s="16">
        <f>IF(P209&lt;=1,7,7+0.8*ROUNDUP(P209-1,0))</f>
        <v>7</v>
      </c>
      <c r="AE209" s="15">
        <v>0</v>
      </c>
      <c r="AF209" s="15">
        <v>0</v>
      </c>
      <c r="AG209" s="15">
        <v>0</v>
      </c>
      <c r="AH209" s="15">
        <v>0</v>
      </c>
      <c r="AI209" s="15">
        <f t="shared" si="6"/>
        <v>0.42</v>
      </c>
      <c r="AJ209" s="15">
        <f t="shared" si="7"/>
        <v>7.42</v>
      </c>
      <c r="AK209" t="s">
        <v>47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732</v>
      </c>
      <c r="I210" t="s">
        <v>41</v>
      </c>
      <c r="J210" t="s">
        <v>733</v>
      </c>
      <c r="K210" t="s">
        <v>43</v>
      </c>
      <c r="L210">
        <v>2</v>
      </c>
      <c r="M210" t="s">
        <v>44</v>
      </c>
      <c r="N210" t="s">
        <v>45</v>
      </c>
      <c r="O210" t="s">
        <v>46</v>
      </c>
      <c r="P210" s="5">
        <v>1</v>
      </c>
      <c r="Q210" s="12">
        <v>44815.597222222219</v>
      </c>
      <c r="R210" s="13">
        <v>44816</v>
      </c>
      <c r="T210" t="s">
        <v>47</v>
      </c>
      <c r="U210" t="s">
        <v>48</v>
      </c>
      <c r="V210" t="s">
        <v>190</v>
      </c>
      <c r="Y210" t="s">
        <v>734</v>
      </c>
      <c r="Z210">
        <v>50470</v>
      </c>
      <c r="AA210" t="s">
        <v>47</v>
      </c>
      <c r="AB210" t="s">
        <v>58</v>
      </c>
      <c r="AC210" t="s">
        <v>53</v>
      </c>
      <c r="AD210" s="16">
        <f>IF(P210&lt;=1,7,7+0.8*ROUNDUP(P210-1,0))</f>
        <v>7</v>
      </c>
      <c r="AE210" s="15">
        <v>0</v>
      </c>
      <c r="AF210" s="15">
        <v>0</v>
      </c>
      <c r="AG210" s="15">
        <v>0</v>
      </c>
      <c r="AH210" s="15">
        <v>0</v>
      </c>
      <c r="AI210" s="15">
        <f t="shared" si="6"/>
        <v>0.42</v>
      </c>
      <c r="AJ210" s="15">
        <f t="shared" si="7"/>
        <v>7.42</v>
      </c>
      <c r="AK210" t="s">
        <v>47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735</v>
      </c>
      <c r="I211" t="s">
        <v>41</v>
      </c>
      <c r="J211" t="s">
        <v>736</v>
      </c>
      <c r="K211" t="s">
        <v>43</v>
      </c>
      <c r="L211">
        <v>2</v>
      </c>
      <c r="M211" t="s">
        <v>44</v>
      </c>
      <c r="N211" t="s">
        <v>45</v>
      </c>
      <c r="O211" t="s">
        <v>46</v>
      </c>
      <c r="P211" s="5">
        <v>2</v>
      </c>
      <c r="Q211" s="12">
        <v>44814.768055555556</v>
      </c>
      <c r="R211" s="13">
        <v>44816</v>
      </c>
      <c r="T211" t="s">
        <v>47</v>
      </c>
      <c r="U211" t="s">
        <v>48</v>
      </c>
      <c r="V211" t="s">
        <v>85</v>
      </c>
      <c r="Y211" t="s">
        <v>737</v>
      </c>
      <c r="Z211">
        <v>40150</v>
      </c>
      <c r="AA211" t="s">
        <v>47</v>
      </c>
      <c r="AB211" t="s">
        <v>58</v>
      </c>
      <c r="AC211" t="s">
        <v>53</v>
      </c>
      <c r="AD211" s="16">
        <f>IF(P211&lt;=1,7,7+0.8*ROUNDUP(P211-1,0))</f>
        <v>7.8</v>
      </c>
      <c r="AE211" s="15">
        <v>0</v>
      </c>
      <c r="AF211" s="15">
        <v>0</v>
      </c>
      <c r="AG211" s="15">
        <v>0</v>
      </c>
      <c r="AH211" s="15">
        <v>0</v>
      </c>
      <c r="AI211" s="15">
        <f t="shared" si="6"/>
        <v>0.46799999999999997</v>
      </c>
      <c r="AJ211" s="15">
        <f t="shared" si="7"/>
        <v>8.2680000000000007</v>
      </c>
      <c r="AK211" t="s">
        <v>47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738</v>
      </c>
      <c r="I212" t="s">
        <v>41</v>
      </c>
      <c r="J212" t="s">
        <v>739</v>
      </c>
      <c r="K212" t="s">
        <v>43</v>
      </c>
      <c r="L212">
        <v>2</v>
      </c>
      <c r="M212" t="s">
        <v>44</v>
      </c>
      <c r="N212" t="s">
        <v>45</v>
      </c>
      <c r="O212" t="s">
        <v>46</v>
      </c>
      <c r="P212" s="5">
        <v>8</v>
      </c>
      <c r="Q212" s="12">
        <v>44815.445138888892</v>
      </c>
      <c r="R212" s="13">
        <v>44816</v>
      </c>
      <c r="T212" t="s">
        <v>47</v>
      </c>
      <c r="U212" t="s">
        <v>48</v>
      </c>
      <c r="V212" t="s">
        <v>119</v>
      </c>
      <c r="Y212" t="s">
        <v>740</v>
      </c>
      <c r="Z212">
        <v>25350</v>
      </c>
      <c r="AA212" t="s">
        <v>47</v>
      </c>
      <c r="AB212" t="s">
        <v>434</v>
      </c>
      <c r="AC212" t="s">
        <v>53</v>
      </c>
      <c r="AD212" s="16">
        <f>IF(P212&lt;=1,7,7+0.8*ROUNDUP(P212-1,0))</f>
        <v>12.600000000000001</v>
      </c>
      <c r="AE212" s="15">
        <v>0</v>
      </c>
      <c r="AF212" s="15">
        <v>0</v>
      </c>
      <c r="AG212" s="15">
        <v>0</v>
      </c>
      <c r="AH212" s="15">
        <v>0</v>
      </c>
      <c r="AI212" s="15">
        <f t="shared" si="6"/>
        <v>0.75600000000000001</v>
      </c>
      <c r="AJ212" s="15">
        <f t="shared" si="7"/>
        <v>13.356000000000002</v>
      </c>
      <c r="AK212" t="s">
        <v>47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741</v>
      </c>
      <c r="I213" t="s">
        <v>41</v>
      </c>
      <c r="J213" t="s">
        <v>739</v>
      </c>
      <c r="K213" t="s">
        <v>43</v>
      </c>
      <c r="L213">
        <v>2</v>
      </c>
      <c r="M213" t="s">
        <v>44</v>
      </c>
      <c r="N213" t="s">
        <v>45</v>
      </c>
      <c r="O213" t="s">
        <v>46</v>
      </c>
      <c r="P213" s="5">
        <v>4</v>
      </c>
      <c r="Q213" s="12">
        <v>44815.446527777778</v>
      </c>
      <c r="R213" s="13">
        <v>44816</v>
      </c>
      <c r="T213" t="s">
        <v>47</v>
      </c>
      <c r="U213" t="s">
        <v>48</v>
      </c>
      <c r="V213" t="s">
        <v>119</v>
      </c>
      <c r="Y213" t="s">
        <v>740</v>
      </c>
      <c r="Z213">
        <v>25350</v>
      </c>
      <c r="AA213" t="s">
        <v>47</v>
      </c>
      <c r="AB213" t="s">
        <v>434</v>
      </c>
      <c r="AC213" t="s">
        <v>53</v>
      </c>
      <c r="AD213" s="16">
        <f>IF(P213&lt;=1,7,7+0.8*ROUNDUP(P213-1,0))</f>
        <v>9.4</v>
      </c>
      <c r="AE213" s="15">
        <v>0</v>
      </c>
      <c r="AF213" s="15">
        <v>0</v>
      </c>
      <c r="AG213" s="15">
        <v>0</v>
      </c>
      <c r="AH213" s="15">
        <v>0</v>
      </c>
      <c r="AI213" s="15">
        <f t="shared" si="6"/>
        <v>0.56399999999999995</v>
      </c>
      <c r="AJ213" s="15">
        <f t="shared" si="7"/>
        <v>9.9640000000000004</v>
      </c>
      <c r="AK213" t="s">
        <v>47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742</v>
      </c>
      <c r="I214" t="s">
        <v>41</v>
      </c>
      <c r="J214" t="s">
        <v>743</v>
      </c>
      <c r="K214" t="s">
        <v>43</v>
      </c>
      <c r="L214">
        <v>2</v>
      </c>
      <c r="M214" t="s">
        <v>44</v>
      </c>
      <c r="N214" t="s">
        <v>45</v>
      </c>
      <c r="O214" t="s">
        <v>46</v>
      </c>
      <c r="P214" s="5">
        <v>1</v>
      </c>
      <c r="Q214" s="12">
        <v>44816.595833333333</v>
      </c>
      <c r="R214" s="13">
        <v>44817</v>
      </c>
      <c r="T214" t="s">
        <v>47</v>
      </c>
      <c r="U214" t="s">
        <v>48</v>
      </c>
      <c r="V214" t="s">
        <v>119</v>
      </c>
      <c r="Y214" t="s">
        <v>744</v>
      </c>
      <c r="Z214">
        <v>26400</v>
      </c>
      <c r="AA214" t="s">
        <v>47</v>
      </c>
      <c r="AB214" t="s">
        <v>90</v>
      </c>
      <c r="AC214" t="s">
        <v>53</v>
      </c>
      <c r="AD214" s="16">
        <f>IF(P214&lt;=1,7,7+0.8*ROUNDUP(P214-1,0))</f>
        <v>7</v>
      </c>
      <c r="AE214" s="15">
        <v>0</v>
      </c>
      <c r="AF214" s="15">
        <v>0</v>
      </c>
      <c r="AG214" s="15">
        <v>0</v>
      </c>
      <c r="AH214" s="15">
        <v>0</v>
      </c>
      <c r="AI214" s="15">
        <f t="shared" si="6"/>
        <v>0.42</v>
      </c>
      <c r="AJ214" s="15">
        <f t="shared" si="7"/>
        <v>7.42</v>
      </c>
      <c r="AK214" t="s">
        <v>47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745</v>
      </c>
      <c r="I215" t="s">
        <v>41</v>
      </c>
      <c r="J215" t="s">
        <v>283</v>
      </c>
      <c r="K215" t="s">
        <v>43</v>
      </c>
      <c r="L215">
        <v>2</v>
      </c>
      <c r="M215" t="s">
        <v>44</v>
      </c>
      <c r="N215" t="s">
        <v>45</v>
      </c>
      <c r="O215" t="s">
        <v>46</v>
      </c>
      <c r="P215" s="5">
        <v>1</v>
      </c>
      <c r="Q215" s="12">
        <v>44816.6</v>
      </c>
      <c r="R215" s="13">
        <v>44817</v>
      </c>
      <c r="T215" t="s">
        <v>47</v>
      </c>
      <c r="U215" t="s">
        <v>48</v>
      </c>
      <c r="V215" t="s">
        <v>65</v>
      </c>
      <c r="Y215" t="s">
        <v>746</v>
      </c>
      <c r="Z215">
        <v>75460</v>
      </c>
      <c r="AA215" t="s">
        <v>47</v>
      </c>
      <c r="AB215" t="s">
        <v>48</v>
      </c>
      <c r="AC215" t="s">
        <v>53</v>
      </c>
      <c r="AD215" s="16">
        <f>IF(P215&lt;=1,7,7+0.8*ROUNDUP(P215-1,0))</f>
        <v>7</v>
      </c>
      <c r="AE215" s="15">
        <v>0</v>
      </c>
      <c r="AF215" s="15">
        <v>0</v>
      </c>
      <c r="AG215" s="15">
        <v>0</v>
      </c>
      <c r="AH215" s="15">
        <v>0</v>
      </c>
      <c r="AI215" s="15">
        <f t="shared" si="6"/>
        <v>0.42</v>
      </c>
      <c r="AJ215" s="15">
        <f t="shared" si="7"/>
        <v>7.42</v>
      </c>
      <c r="AK215" t="s">
        <v>47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747</v>
      </c>
      <c r="I216" t="s">
        <v>41</v>
      </c>
      <c r="J216" t="s">
        <v>748</v>
      </c>
      <c r="K216" t="s">
        <v>43</v>
      </c>
      <c r="L216">
        <v>2</v>
      </c>
      <c r="M216" t="s">
        <v>44</v>
      </c>
      <c r="N216" t="s">
        <v>45</v>
      </c>
      <c r="O216" t="s">
        <v>46</v>
      </c>
      <c r="P216" s="5">
        <v>1</v>
      </c>
      <c r="Q216" s="12">
        <v>44814.695138888892</v>
      </c>
      <c r="R216" s="13">
        <v>44817</v>
      </c>
      <c r="T216" t="s">
        <v>47</v>
      </c>
      <c r="U216" t="s">
        <v>48</v>
      </c>
      <c r="V216" t="s">
        <v>56</v>
      </c>
      <c r="Y216" t="s">
        <v>749</v>
      </c>
      <c r="Z216">
        <v>7000</v>
      </c>
      <c r="AA216" t="s">
        <v>47</v>
      </c>
      <c r="AB216" t="s">
        <v>750</v>
      </c>
      <c r="AC216" t="s">
        <v>53</v>
      </c>
      <c r="AD216" s="16">
        <f>IF(P216&lt;=1,7,7+0.8*ROUNDUP(P216-1,0))</f>
        <v>7</v>
      </c>
      <c r="AE216" s="15">
        <v>0</v>
      </c>
      <c r="AF216" s="15">
        <v>0</v>
      </c>
      <c r="AG216" s="15">
        <v>0</v>
      </c>
      <c r="AH216" s="15">
        <v>0</v>
      </c>
      <c r="AI216" s="15">
        <f t="shared" si="6"/>
        <v>0.42</v>
      </c>
      <c r="AJ216" s="15">
        <f t="shared" si="7"/>
        <v>7.42</v>
      </c>
      <c r="AK216" t="s">
        <v>47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751</v>
      </c>
      <c r="I217" t="s">
        <v>41</v>
      </c>
      <c r="J217" t="s">
        <v>752</v>
      </c>
      <c r="K217" t="s">
        <v>43</v>
      </c>
      <c r="L217">
        <v>2</v>
      </c>
      <c r="M217" t="s">
        <v>44</v>
      </c>
      <c r="N217" t="s">
        <v>45</v>
      </c>
      <c r="O217" t="s">
        <v>46</v>
      </c>
      <c r="P217" s="5">
        <v>1</v>
      </c>
      <c r="Q217" s="12">
        <v>44816.592361111114</v>
      </c>
      <c r="R217" s="13">
        <v>44817</v>
      </c>
      <c r="T217" t="s">
        <v>47</v>
      </c>
      <c r="U217" t="s">
        <v>48</v>
      </c>
      <c r="V217" t="s">
        <v>76</v>
      </c>
      <c r="Y217" t="s">
        <v>753</v>
      </c>
      <c r="Z217">
        <v>18000</v>
      </c>
      <c r="AA217" t="s">
        <v>47</v>
      </c>
      <c r="AB217" t="s">
        <v>90</v>
      </c>
      <c r="AC217" t="s">
        <v>53</v>
      </c>
      <c r="AD217" s="16">
        <f>IF(P217&lt;=1,7,7+0.8*ROUNDUP(P217-1,0))</f>
        <v>7</v>
      </c>
      <c r="AE217" s="15">
        <v>0</v>
      </c>
      <c r="AF217" s="15">
        <v>0</v>
      </c>
      <c r="AG217" s="15">
        <v>0</v>
      </c>
      <c r="AH217" s="15">
        <v>0</v>
      </c>
      <c r="AI217" s="15">
        <f t="shared" si="6"/>
        <v>0.42</v>
      </c>
      <c r="AJ217" s="15">
        <f t="shared" si="7"/>
        <v>7.42</v>
      </c>
      <c r="AK217" t="s">
        <v>47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754</v>
      </c>
      <c r="I218" t="s">
        <v>41</v>
      </c>
      <c r="J218" t="s">
        <v>755</v>
      </c>
      <c r="K218" t="s">
        <v>43</v>
      </c>
      <c r="L218">
        <v>2</v>
      </c>
      <c r="M218" t="s">
        <v>44</v>
      </c>
      <c r="N218" t="s">
        <v>45</v>
      </c>
      <c r="O218" t="s">
        <v>46</v>
      </c>
      <c r="P218" s="5">
        <v>1</v>
      </c>
      <c r="Q218" s="12">
        <v>44814.709722222222</v>
      </c>
      <c r="R218" s="13">
        <v>44817</v>
      </c>
      <c r="T218" t="s">
        <v>47</v>
      </c>
      <c r="U218" t="s">
        <v>48</v>
      </c>
      <c r="V218" t="s">
        <v>85</v>
      </c>
      <c r="Y218" t="s">
        <v>756</v>
      </c>
      <c r="Z218">
        <v>52200</v>
      </c>
      <c r="AA218" t="s">
        <v>47</v>
      </c>
      <c r="AB218" t="s">
        <v>58</v>
      </c>
      <c r="AC218" t="s">
        <v>53</v>
      </c>
      <c r="AD218" s="16">
        <f>IF(P218&lt;=1,7,7+0.8*ROUNDUP(P218-1,0))</f>
        <v>7</v>
      </c>
      <c r="AE218" s="15">
        <v>0</v>
      </c>
      <c r="AF218" s="15">
        <v>0</v>
      </c>
      <c r="AG218" s="15">
        <v>0</v>
      </c>
      <c r="AH218" s="15">
        <v>0</v>
      </c>
      <c r="AI218" s="15">
        <f t="shared" si="6"/>
        <v>0.42</v>
      </c>
      <c r="AJ218" s="15">
        <f t="shared" si="7"/>
        <v>7.42</v>
      </c>
      <c r="AK218" t="s">
        <v>47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757</v>
      </c>
      <c r="I219" t="s">
        <v>41</v>
      </c>
      <c r="J219" t="s">
        <v>758</v>
      </c>
      <c r="K219" t="s">
        <v>43</v>
      </c>
      <c r="L219">
        <v>2</v>
      </c>
      <c r="M219" t="s">
        <v>44</v>
      </c>
      <c r="N219" t="s">
        <v>45</v>
      </c>
      <c r="O219" t="s">
        <v>46</v>
      </c>
      <c r="P219" s="5">
        <v>1</v>
      </c>
      <c r="Q219" s="12">
        <v>44816.597222222219</v>
      </c>
      <c r="R219" s="13">
        <v>44817</v>
      </c>
      <c r="T219" t="s">
        <v>47</v>
      </c>
      <c r="U219" t="s">
        <v>48</v>
      </c>
      <c r="V219" t="s">
        <v>85</v>
      </c>
      <c r="Y219" t="s">
        <v>759</v>
      </c>
      <c r="Z219">
        <v>40170</v>
      </c>
      <c r="AA219" t="s">
        <v>47</v>
      </c>
      <c r="AB219" t="s">
        <v>58</v>
      </c>
      <c r="AC219" t="s">
        <v>53</v>
      </c>
      <c r="AD219" s="16">
        <f>IF(P219&lt;=1,7,7+0.8*ROUNDUP(P219-1,0))</f>
        <v>7</v>
      </c>
      <c r="AE219" s="15">
        <v>0</v>
      </c>
      <c r="AF219" s="15">
        <v>0</v>
      </c>
      <c r="AG219" s="15">
        <v>0</v>
      </c>
      <c r="AH219" s="15">
        <v>0</v>
      </c>
      <c r="AI219" s="15">
        <f t="shared" si="6"/>
        <v>0.42</v>
      </c>
      <c r="AJ219" s="15">
        <f t="shared" si="7"/>
        <v>7.42</v>
      </c>
      <c r="AK219" t="s">
        <v>47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760</v>
      </c>
      <c r="I220" t="s">
        <v>41</v>
      </c>
      <c r="J220" t="s">
        <v>761</v>
      </c>
      <c r="K220" t="s">
        <v>43</v>
      </c>
      <c r="L220">
        <v>2</v>
      </c>
      <c r="M220" t="s">
        <v>44</v>
      </c>
      <c r="N220" t="s">
        <v>45</v>
      </c>
      <c r="O220" t="s">
        <v>46</v>
      </c>
      <c r="P220" s="5">
        <v>1</v>
      </c>
      <c r="Q220" s="12">
        <v>44816.603472222225</v>
      </c>
      <c r="R220" s="13">
        <v>44817</v>
      </c>
      <c r="T220" t="s">
        <v>47</v>
      </c>
      <c r="U220" t="s">
        <v>48</v>
      </c>
      <c r="V220" t="s">
        <v>85</v>
      </c>
      <c r="Y220" t="s">
        <v>762</v>
      </c>
      <c r="Z220">
        <v>68100</v>
      </c>
      <c r="AA220" t="s">
        <v>47</v>
      </c>
      <c r="AB220" t="s">
        <v>58</v>
      </c>
      <c r="AC220" t="s">
        <v>53</v>
      </c>
      <c r="AD220" s="16">
        <f>IF(P220&lt;=1,7,7+0.8*ROUNDUP(P220-1,0))</f>
        <v>7</v>
      </c>
      <c r="AE220" s="15">
        <v>0</v>
      </c>
      <c r="AF220" s="15">
        <v>0</v>
      </c>
      <c r="AG220" s="15">
        <v>0</v>
      </c>
      <c r="AH220" s="15">
        <v>0</v>
      </c>
      <c r="AI220" s="15">
        <f t="shared" si="6"/>
        <v>0.42</v>
      </c>
      <c r="AJ220" s="15">
        <f t="shared" si="7"/>
        <v>7.42</v>
      </c>
      <c r="AK220" t="s">
        <v>47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763</v>
      </c>
      <c r="I221" t="s">
        <v>41</v>
      </c>
      <c r="J221" t="s">
        <v>764</v>
      </c>
      <c r="K221" t="s">
        <v>43</v>
      </c>
      <c r="L221">
        <v>2</v>
      </c>
      <c r="M221" t="s">
        <v>44</v>
      </c>
      <c r="N221" t="s">
        <v>45</v>
      </c>
      <c r="O221" t="s">
        <v>46</v>
      </c>
      <c r="P221" s="5">
        <v>5.0999999999999996</v>
      </c>
      <c r="Q221" s="12">
        <v>44813.677777777775</v>
      </c>
      <c r="R221" s="13">
        <v>44817</v>
      </c>
      <c r="T221" t="s">
        <v>47</v>
      </c>
      <c r="U221" t="s">
        <v>48</v>
      </c>
      <c r="V221" t="s">
        <v>134</v>
      </c>
      <c r="Y221" t="s">
        <v>765</v>
      </c>
      <c r="Z221">
        <v>94300</v>
      </c>
      <c r="AA221" t="s">
        <v>51</v>
      </c>
      <c r="AB221" t="s">
        <v>58</v>
      </c>
      <c r="AC221" t="s">
        <v>53</v>
      </c>
      <c r="AD221" s="14">
        <f>IF(P221&lt;=1,13,IF(P221&lt;=2,23,IF(P221&lt;=3,35,IF(P221&lt;=4,43,IF(P221&lt;=5,53,IF(P221&lt;=6,63,IF(P221&lt;=7,71,IF(P221&lt;=8,79,IF(P221&lt;=9,87,IF(P221&lt;=10,95,IF(P221&lt;=11,105,IF(P221&lt;=12,114,IF(P221&lt;=13,119,IF(P221&lt;=14,127,IF(P221&lt;=15,135,IF(P221&lt;=16,143,IF(P221&lt;=17,153,IF(P221&lt;=18,163,IF(P221&lt;=19,171,IF(P221&lt;=20,185,IF(P221&lt;=21,193,IF(P221&lt;=22,201,IF(P221&lt;=23,210,IF(P221&lt;=24,220,IF(P221&lt;=25,230,IF(P221&lt;=26,240,IF(P221&lt;=27,250,IF(P221&lt;=28,260,IF(P221&lt;=29,270,IF(P221&lt;=30,280,280))))))))))))))))))))))))))))))</f>
        <v>63</v>
      </c>
      <c r="AE221" s="15">
        <v>0</v>
      </c>
      <c r="AF221" s="15">
        <v>0</v>
      </c>
      <c r="AG221" s="15">
        <v>0</v>
      </c>
      <c r="AH221" s="15">
        <v>0</v>
      </c>
      <c r="AI221" s="15">
        <f t="shared" si="6"/>
        <v>3.78</v>
      </c>
      <c r="AJ221" s="15">
        <f t="shared" si="7"/>
        <v>66.78</v>
      </c>
      <c r="AK221" t="s">
        <v>51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766</v>
      </c>
      <c r="I222" t="s">
        <v>41</v>
      </c>
      <c r="J222" t="s">
        <v>767</v>
      </c>
      <c r="K222" t="s">
        <v>43</v>
      </c>
      <c r="L222">
        <v>2</v>
      </c>
      <c r="M222" t="s">
        <v>44</v>
      </c>
      <c r="N222" t="s">
        <v>45</v>
      </c>
      <c r="O222" t="s">
        <v>46</v>
      </c>
      <c r="P222" s="5">
        <v>1</v>
      </c>
      <c r="Q222" s="12">
        <v>44816.701388888891</v>
      </c>
      <c r="R222" s="13">
        <v>44817</v>
      </c>
      <c r="T222" t="s">
        <v>47</v>
      </c>
      <c r="U222" t="s">
        <v>48</v>
      </c>
      <c r="V222" t="s">
        <v>85</v>
      </c>
      <c r="Y222" t="s">
        <v>768</v>
      </c>
      <c r="Z222">
        <v>54200</v>
      </c>
      <c r="AA222" t="s">
        <v>47</v>
      </c>
      <c r="AB222" t="s">
        <v>58</v>
      </c>
      <c r="AC222" t="s">
        <v>53</v>
      </c>
      <c r="AD222" s="16">
        <f>IF(P222&lt;=1,7,7+0.8*ROUNDUP(P222-1,0))</f>
        <v>7</v>
      </c>
      <c r="AE222" s="15">
        <v>0</v>
      </c>
      <c r="AF222" s="15">
        <v>0</v>
      </c>
      <c r="AG222" s="15">
        <v>0</v>
      </c>
      <c r="AH222" s="15">
        <v>0</v>
      </c>
      <c r="AI222" s="15">
        <f t="shared" si="6"/>
        <v>0.42</v>
      </c>
      <c r="AJ222" s="15">
        <f t="shared" si="7"/>
        <v>7.42</v>
      </c>
      <c r="AK222" t="s">
        <v>47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769</v>
      </c>
      <c r="I223" t="s">
        <v>41</v>
      </c>
      <c r="J223" t="s">
        <v>770</v>
      </c>
      <c r="K223" t="s">
        <v>43</v>
      </c>
      <c r="L223">
        <v>2</v>
      </c>
      <c r="M223" t="s">
        <v>44</v>
      </c>
      <c r="N223" t="s">
        <v>45</v>
      </c>
      <c r="O223" t="s">
        <v>46</v>
      </c>
      <c r="P223" s="5">
        <v>1</v>
      </c>
      <c r="Q223" s="12">
        <v>44816.59375</v>
      </c>
      <c r="R223" s="13">
        <v>44817</v>
      </c>
      <c r="T223" t="s">
        <v>47</v>
      </c>
      <c r="U223" t="s">
        <v>48</v>
      </c>
      <c r="V223" t="s">
        <v>85</v>
      </c>
      <c r="Y223" t="s">
        <v>771</v>
      </c>
      <c r="Z223">
        <v>53100</v>
      </c>
      <c r="AA223" t="s">
        <v>47</v>
      </c>
      <c r="AB223" t="s">
        <v>58</v>
      </c>
      <c r="AC223" t="s">
        <v>53</v>
      </c>
      <c r="AD223" s="16">
        <f>IF(P223&lt;=1,7,7+0.8*ROUNDUP(P223-1,0))</f>
        <v>7</v>
      </c>
      <c r="AE223" s="15">
        <v>0</v>
      </c>
      <c r="AF223" s="15">
        <v>0</v>
      </c>
      <c r="AG223" s="15">
        <v>0</v>
      </c>
      <c r="AH223" s="15">
        <v>0</v>
      </c>
      <c r="AI223" s="15">
        <f t="shared" si="6"/>
        <v>0.42</v>
      </c>
      <c r="AJ223" s="15">
        <f t="shared" si="7"/>
        <v>7.42</v>
      </c>
      <c r="AK223" t="s">
        <v>47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772</v>
      </c>
      <c r="I224" t="s">
        <v>41</v>
      </c>
      <c r="J224" t="s">
        <v>773</v>
      </c>
      <c r="K224" t="s">
        <v>43</v>
      </c>
      <c r="L224">
        <v>2</v>
      </c>
      <c r="M224" t="s">
        <v>44</v>
      </c>
      <c r="N224" t="s">
        <v>45</v>
      </c>
      <c r="O224" t="s">
        <v>46</v>
      </c>
      <c r="P224" s="5">
        <v>1</v>
      </c>
      <c r="Q224" s="12">
        <v>44815.663194444445</v>
      </c>
      <c r="R224" s="13">
        <v>44817</v>
      </c>
      <c r="T224" t="s">
        <v>47</v>
      </c>
      <c r="U224" t="s">
        <v>48</v>
      </c>
      <c r="V224" t="s">
        <v>93</v>
      </c>
      <c r="Y224" t="s">
        <v>774</v>
      </c>
      <c r="Z224">
        <v>81200</v>
      </c>
      <c r="AA224" t="s">
        <v>47</v>
      </c>
      <c r="AB224" t="s">
        <v>58</v>
      </c>
      <c r="AC224" t="s">
        <v>53</v>
      </c>
      <c r="AD224" s="16">
        <f>IF(P224&lt;=1,7,7+0.8*ROUNDUP(P224-1,0))</f>
        <v>7</v>
      </c>
      <c r="AE224" s="15">
        <v>0</v>
      </c>
      <c r="AF224" s="15">
        <v>0</v>
      </c>
      <c r="AG224" s="15">
        <v>0</v>
      </c>
      <c r="AH224" s="15">
        <v>0</v>
      </c>
      <c r="AI224" s="15">
        <f t="shared" si="6"/>
        <v>0.42</v>
      </c>
      <c r="AJ224" s="15">
        <f t="shared" si="7"/>
        <v>7.42</v>
      </c>
      <c r="AK224" t="s">
        <v>47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775</v>
      </c>
      <c r="I225" t="s">
        <v>41</v>
      </c>
      <c r="J225" t="s">
        <v>776</v>
      </c>
      <c r="K225" t="s">
        <v>43</v>
      </c>
      <c r="L225">
        <v>2</v>
      </c>
      <c r="M225" t="s">
        <v>44</v>
      </c>
      <c r="N225" t="s">
        <v>45</v>
      </c>
      <c r="O225" t="s">
        <v>46</v>
      </c>
      <c r="P225" s="5">
        <v>1</v>
      </c>
      <c r="Q225" s="12">
        <v>44816.711111111108</v>
      </c>
      <c r="R225" s="13">
        <v>44818</v>
      </c>
      <c r="T225" t="s">
        <v>47</v>
      </c>
      <c r="U225" t="s">
        <v>48</v>
      </c>
      <c r="V225" t="s">
        <v>76</v>
      </c>
      <c r="Y225" t="s">
        <v>777</v>
      </c>
      <c r="Z225">
        <v>18300</v>
      </c>
      <c r="AA225" t="s">
        <v>47</v>
      </c>
      <c r="AB225" t="s">
        <v>90</v>
      </c>
      <c r="AC225" t="s">
        <v>53</v>
      </c>
      <c r="AD225" s="16">
        <f>IF(P225&lt;=1,7,7+0.8*ROUNDUP(P225-1,0))</f>
        <v>7</v>
      </c>
      <c r="AE225" s="15">
        <v>0</v>
      </c>
      <c r="AF225" s="15">
        <v>0</v>
      </c>
      <c r="AG225" s="15">
        <v>0</v>
      </c>
      <c r="AH225" s="15">
        <v>0</v>
      </c>
      <c r="AI225" s="15">
        <f t="shared" si="6"/>
        <v>0.42</v>
      </c>
      <c r="AJ225" s="15">
        <f t="shared" si="7"/>
        <v>7.42</v>
      </c>
      <c r="AK225" t="s">
        <v>47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778</v>
      </c>
      <c r="I226" t="s">
        <v>41</v>
      </c>
      <c r="J226" t="s">
        <v>779</v>
      </c>
      <c r="K226" t="s">
        <v>43</v>
      </c>
      <c r="L226">
        <v>2</v>
      </c>
      <c r="M226" t="s">
        <v>44</v>
      </c>
      <c r="N226" t="s">
        <v>45</v>
      </c>
      <c r="O226" t="s">
        <v>46</v>
      </c>
      <c r="P226" s="5">
        <v>1</v>
      </c>
      <c r="Q226" s="12">
        <v>44817.606944444444</v>
      </c>
      <c r="R226" s="13">
        <v>44818</v>
      </c>
      <c r="T226" t="s">
        <v>47</v>
      </c>
      <c r="U226" t="s">
        <v>48</v>
      </c>
      <c r="V226" t="s">
        <v>85</v>
      </c>
      <c r="Y226" t="s">
        <v>780</v>
      </c>
      <c r="Z226">
        <v>47170</v>
      </c>
      <c r="AA226" t="s">
        <v>47</v>
      </c>
      <c r="AB226" t="s">
        <v>58</v>
      </c>
      <c r="AC226" t="s">
        <v>53</v>
      </c>
      <c r="AD226" s="16">
        <f>IF(P226&lt;=1,7,7+0.8*ROUNDUP(P226-1,0))</f>
        <v>7</v>
      </c>
      <c r="AE226" s="15">
        <v>0</v>
      </c>
      <c r="AF226" s="15">
        <v>0</v>
      </c>
      <c r="AG226" s="15">
        <v>0</v>
      </c>
      <c r="AH226" s="15">
        <v>0</v>
      </c>
      <c r="AI226" s="15">
        <f t="shared" si="6"/>
        <v>0.42</v>
      </c>
      <c r="AJ226" s="15">
        <f t="shared" si="7"/>
        <v>7.42</v>
      </c>
      <c r="AK226" t="s">
        <v>47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781</v>
      </c>
      <c r="I227" t="s">
        <v>41</v>
      </c>
      <c r="J227" t="s">
        <v>782</v>
      </c>
      <c r="K227" t="s">
        <v>43</v>
      </c>
      <c r="L227">
        <v>2</v>
      </c>
      <c r="M227" t="s">
        <v>44</v>
      </c>
      <c r="N227" t="s">
        <v>45</v>
      </c>
      <c r="O227" t="s">
        <v>46</v>
      </c>
      <c r="P227" s="5">
        <v>1</v>
      </c>
      <c r="Q227" s="12">
        <v>44817.627083333333</v>
      </c>
      <c r="R227" s="13">
        <v>44818</v>
      </c>
      <c r="T227" t="s">
        <v>47</v>
      </c>
      <c r="U227" t="s">
        <v>48</v>
      </c>
      <c r="V227" t="s">
        <v>85</v>
      </c>
      <c r="Y227" t="s">
        <v>783</v>
      </c>
      <c r="Z227">
        <v>40170</v>
      </c>
      <c r="AA227" t="s">
        <v>47</v>
      </c>
      <c r="AB227" t="s">
        <v>58</v>
      </c>
      <c r="AC227" t="s">
        <v>53</v>
      </c>
      <c r="AD227" s="16">
        <f>IF(P227&lt;=1,7,7+0.8*ROUNDUP(P227-1,0))</f>
        <v>7</v>
      </c>
      <c r="AE227" s="15">
        <v>0</v>
      </c>
      <c r="AF227" s="15">
        <v>0</v>
      </c>
      <c r="AG227" s="15">
        <v>0</v>
      </c>
      <c r="AH227" s="15">
        <v>0</v>
      </c>
      <c r="AI227" s="15">
        <f t="shared" si="6"/>
        <v>0.42</v>
      </c>
      <c r="AJ227" s="15">
        <f t="shared" si="7"/>
        <v>7.42</v>
      </c>
      <c r="AK227" t="s">
        <v>47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784</v>
      </c>
      <c r="I228" t="s">
        <v>41</v>
      </c>
      <c r="J228" t="s">
        <v>785</v>
      </c>
      <c r="K228" t="s">
        <v>43</v>
      </c>
      <c r="L228">
        <v>2</v>
      </c>
      <c r="M228" t="s">
        <v>44</v>
      </c>
      <c r="N228" t="s">
        <v>45</v>
      </c>
      <c r="O228" t="s">
        <v>46</v>
      </c>
      <c r="P228" s="5">
        <v>1</v>
      </c>
      <c r="Q228" s="12">
        <v>44817.599999999999</v>
      </c>
      <c r="R228" s="13">
        <v>44818</v>
      </c>
      <c r="T228" t="s">
        <v>47</v>
      </c>
      <c r="U228" t="s">
        <v>48</v>
      </c>
      <c r="V228" t="s">
        <v>190</v>
      </c>
      <c r="Y228" t="s">
        <v>786</v>
      </c>
      <c r="Z228">
        <v>47180</v>
      </c>
      <c r="AA228" t="s">
        <v>47</v>
      </c>
      <c r="AB228" t="s">
        <v>58</v>
      </c>
      <c r="AC228" t="s">
        <v>53</v>
      </c>
      <c r="AD228" s="16">
        <f>IF(P228&lt;=1,7,7+0.8*ROUNDUP(P228-1,0))</f>
        <v>7</v>
      </c>
      <c r="AE228" s="15">
        <v>0</v>
      </c>
      <c r="AF228" s="15">
        <v>0</v>
      </c>
      <c r="AG228" s="15">
        <v>0</v>
      </c>
      <c r="AH228" s="15">
        <v>0</v>
      </c>
      <c r="AI228" s="15">
        <f t="shared" si="6"/>
        <v>0.42</v>
      </c>
      <c r="AJ228" s="15">
        <f t="shared" si="7"/>
        <v>7.42</v>
      </c>
      <c r="AK228" t="s">
        <v>47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787</v>
      </c>
      <c r="I229" t="s">
        <v>41</v>
      </c>
      <c r="J229" t="s">
        <v>788</v>
      </c>
      <c r="K229" t="s">
        <v>43</v>
      </c>
      <c r="L229">
        <v>2</v>
      </c>
      <c r="M229" t="s">
        <v>44</v>
      </c>
      <c r="N229" t="s">
        <v>45</v>
      </c>
      <c r="O229" t="s">
        <v>46</v>
      </c>
      <c r="P229" s="5">
        <v>1</v>
      </c>
      <c r="Q229" s="12">
        <v>44817.601388888892</v>
      </c>
      <c r="R229" s="13">
        <v>44818</v>
      </c>
      <c r="T229" t="s">
        <v>47</v>
      </c>
      <c r="U229" t="s">
        <v>48</v>
      </c>
      <c r="V229" t="s">
        <v>76</v>
      </c>
      <c r="Y229" t="s">
        <v>789</v>
      </c>
      <c r="Z229">
        <v>16150</v>
      </c>
      <c r="AA229" t="s">
        <v>47</v>
      </c>
      <c r="AB229" t="s">
        <v>90</v>
      </c>
      <c r="AC229" t="s">
        <v>53</v>
      </c>
      <c r="AD229" s="16">
        <f>IF(P229&lt;=1,7,7+0.8*ROUNDUP(P229-1,0))</f>
        <v>7</v>
      </c>
      <c r="AE229" s="15">
        <v>0</v>
      </c>
      <c r="AF229" s="15">
        <v>0</v>
      </c>
      <c r="AG229" s="15">
        <v>0</v>
      </c>
      <c r="AH229" s="15">
        <v>0</v>
      </c>
      <c r="AI229" s="15">
        <f t="shared" si="6"/>
        <v>0.42</v>
      </c>
      <c r="AJ229" s="15">
        <f t="shared" si="7"/>
        <v>7.42</v>
      </c>
      <c r="AK229" t="s">
        <v>47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790</v>
      </c>
      <c r="I230" t="s">
        <v>41</v>
      </c>
      <c r="J230" t="s">
        <v>791</v>
      </c>
      <c r="K230" t="s">
        <v>43</v>
      </c>
      <c r="L230">
        <v>2</v>
      </c>
      <c r="M230" t="s">
        <v>44</v>
      </c>
      <c r="N230" t="s">
        <v>45</v>
      </c>
      <c r="O230" t="s">
        <v>46</v>
      </c>
      <c r="P230" s="5">
        <v>1</v>
      </c>
      <c r="Q230" s="12">
        <v>44816.635416666664</v>
      </c>
      <c r="R230" s="13">
        <v>44818</v>
      </c>
      <c r="T230" t="s">
        <v>47</v>
      </c>
      <c r="U230" t="s">
        <v>48</v>
      </c>
      <c r="V230" t="s">
        <v>85</v>
      </c>
      <c r="Y230" t="s">
        <v>792</v>
      </c>
      <c r="Z230">
        <v>41300</v>
      </c>
      <c r="AA230" t="s">
        <v>47</v>
      </c>
      <c r="AB230" t="s">
        <v>58</v>
      </c>
      <c r="AC230" t="s">
        <v>53</v>
      </c>
      <c r="AD230" s="16">
        <f>IF(P230&lt;=1,7,7+0.8*ROUNDUP(P230-1,0))</f>
        <v>7</v>
      </c>
      <c r="AE230" s="15">
        <v>0</v>
      </c>
      <c r="AF230" s="15">
        <v>0</v>
      </c>
      <c r="AG230" s="15">
        <v>0</v>
      </c>
      <c r="AH230" s="15">
        <v>0</v>
      </c>
      <c r="AI230" s="15">
        <f t="shared" si="6"/>
        <v>0.42</v>
      </c>
      <c r="AJ230" s="15">
        <f t="shared" si="7"/>
        <v>7.42</v>
      </c>
      <c r="AK230" t="s">
        <v>47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793</v>
      </c>
      <c r="I231" t="s">
        <v>41</v>
      </c>
      <c r="J231" t="s">
        <v>681</v>
      </c>
      <c r="K231" t="s">
        <v>43</v>
      </c>
      <c r="L231">
        <v>2</v>
      </c>
      <c r="M231" t="s">
        <v>44</v>
      </c>
      <c r="N231" t="s">
        <v>45</v>
      </c>
      <c r="O231" t="s">
        <v>46</v>
      </c>
      <c r="P231" s="5">
        <v>1</v>
      </c>
      <c r="Q231" s="12">
        <v>44816.598611111112</v>
      </c>
      <c r="R231" s="13">
        <v>44818</v>
      </c>
      <c r="T231" t="s">
        <v>47</v>
      </c>
      <c r="U231" t="s">
        <v>48</v>
      </c>
      <c r="V231" t="s">
        <v>61</v>
      </c>
      <c r="Y231" t="s">
        <v>794</v>
      </c>
      <c r="Z231">
        <v>11920</v>
      </c>
      <c r="AA231" t="s">
        <v>47</v>
      </c>
      <c r="AB231" t="s">
        <v>58</v>
      </c>
      <c r="AC231" t="s">
        <v>53</v>
      </c>
      <c r="AD231" s="16">
        <f>IF(P231&lt;=1,7,7+0.8*ROUNDUP(P231-1,0))</f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f t="shared" si="6"/>
        <v>0.42</v>
      </c>
      <c r="AJ231" s="15">
        <f t="shared" si="7"/>
        <v>7.42</v>
      </c>
      <c r="AK231" t="s">
        <v>47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795</v>
      </c>
      <c r="I232" t="s">
        <v>41</v>
      </c>
      <c r="J232" t="s">
        <v>796</v>
      </c>
      <c r="K232" t="s">
        <v>43</v>
      </c>
      <c r="L232">
        <v>2</v>
      </c>
      <c r="M232" t="s">
        <v>44</v>
      </c>
      <c r="N232" t="s">
        <v>45</v>
      </c>
      <c r="O232" t="s">
        <v>46</v>
      </c>
      <c r="P232" s="5">
        <v>1</v>
      </c>
      <c r="Q232" s="12">
        <v>44816.751388888886</v>
      </c>
      <c r="R232" s="13">
        <v>44818</v>
      </c>
      <c r="T232" t="s">
        <v>47</v>
      </c>
      <c r="U232" t="s">
        <v>48</v>
      </c>
      <c r="V232" t="s">
        <v>190</v>
      </c>
      <c r="Y232" t="s">
        <v>797</v>
      </c>
      <c r="Z232">
        <v>53300</v>
      </c>
      <c r="AA232" t="s">
        <v>47</v>
      </c>
      <c r="AB232" t="s">
        <v>58</v>
      </c>
      <c r="AC232" t="s">
        <v>53</v>
      </c>
      <c r="AD232" s="16">
        <f>IF(P232&lt;=1,7,7+0.8*ROUNDUP(P232-1,0))</f>
        <v>7</v>
      </c>
      <c r="AE232" s="15">
        <v>0</v>
      </c>
      <c r="AF232" s="15">
        <v>0</v>
      </c>
      <c r="AG232" s="15">
        <v>0</v>
      </c>
      <c r="AH232" s="15">
        <v>0</v>
      </c>
      <c r="AI232" s="15">
        <f t="shared" si="6"/>
        <v>0.42</v>
      </c>
      <c r="AJ232" s="15">
        <f t="shared" si="7"/>
        <v>7.42</v>
      </c>
      <c r="AK232" t="s">
        <v>47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798</v>
      </c>
      <c r="I233" t="s">
        <v>41</v>
      </c>
      <c r="J233" t="s">
        <v>799</v>
      </c>
      <c r="K233" t="s">
        <v>43</v>
      </c>
      <c r="L233">
        <v>2</v>
      </c>
      <c r="M233" t="s">
        <v>44</v>
      </c>
      <c r="N233" t="s">
        <v>45</v>
      </c>
      <c r="O233" t="s">
        <v>46</v>
      </c>
      <c r="P233" s="5">
        <v>2</v>
      </c>
      <c r="Q233" s="12">
        <v>44816.623611111114</v>
      </c>
      <c r="R233" s="13">
        <v>44818</v>
      </c>
      <c r="T233" t="s">
        <v>47</v>
      </c>
      <c r="U233" t="s">
        <v>48</v>
      </c>
      <c r="V233" t="s">
        <v>93</v>
      </c>
      <c r="Y233" t="s">
        <v>800</v>
      </c>
      <c r="Z233">
        <v>83000</v>
      </c>
      <c r="AA233" t="s">
        <v>47</v>
      </c>
      <c r="AB233" t="s">
        <v>58</v>
      </c>
      <c r="AC233" t="s">
        <v>53</v>
      </c>
      <c r="AD233" s="16">
        <f>IF(P233&lt;=1,7,7+0.8*ROUNDUP(P233-1,0))</f>
        <v>7.8</v>
      </c>
      <c r="AE233" s="15">
        <v>0</v>
      </c>
      <c r="AF233" s="15">
        <v>0</v>
      </c>
      <c r="AG233" s="15">
        <v>0</v>
      </c>
      <c r="AH233" s="15">
        <v>0</v>
      </c>
      <c r="AI233" s="15">
        <f t="shared" si="6"/>
        <v>0.46799999999999997</v>
      </c>
      <c r="AJ233" s="15">
        <f t="shared" si="7"/>
        <v>8.2680000000000007</v>
      </c>
      <c r="AK233" t="s">
        <v>47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801</v>
      </c>
      <c r="I234" t="s">
        <v>41</v>
      </c>
      <c r="J234" t="s">
        <v>802</v>
      </c>
      <c r="K234" t="s">
        <v>43</v>
      </c>
      <c r="L234">
        <v>2</v>
      </c>
      <c r="M234" t="s">
        <v>44</v>
      </c>
      <c r="N234" t="s">
        <v>45</v>
      </c>
      <c r="O234" t="s">
        <v>46</v>
      </c>
      <c r="P234" s="5">
        <v>1</v>
      </c>
      <c r="Q234" s="12">
        <v>44817.602777777778</v>
      </c>
      <c r="R234" s="13">
        <v>44818</v>
      </c>
      <c r="T234" t="s">
        <v>47</v>
      </c>
      <c r="U234" t="s">
        <v>48</v>
      </c>
      <c r="V234" t="s">
        <v>190</v>
      </c>
      <c r="Y234" t="s">
        <v>803</v>
      </c>
      <c r="Z234">
        <v>55300</v>
      </c>
      <c r="AA234" t="s">
        <v>47</v>
      </c>
      <c r="AB234" t="s">
        <v>58</v>
      </c>
      <c r="AC234" t="s">
        <v>53</v>
      </c>
      <c r="AD234" s="16">
        <f>IF(P234&lt;=1,7,7+0.8*ROUNDUP(P234-1,0))</f>
        <v>7</v>
      </c>
      <c r="AE234" s="15">
        <v>0</v>
      </c>
      <c r="AF234" s="15">
        <v>0</v>
      </c>
      <c r="AG234" s="15">
        <v>0</v>
      </c>
      <c r="AH234" s="15">
        <v>0</v>
      </c>
      <c r="AI234" s="15">
        <f t="shared" si="6"/>
        <v>0.42</v>
      </c>
      <c r="AJ234" s="15">
        <f t="shared" si="7"/>
        <v>7.42</v>
      </c>
      <c r="AK234" t="s">
        <v>47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804</v>
      </c>
      <c r="I235" t="s">
        <v>41</v>
      </c>
      <c r="J235" t="s">
        <v>805</v>
      </c>
      <c r="K235" t="s">
        <v>43</v>
      </c>
      <c r="L235">
        <v>2</v>
      </c>
      <c r="M235" t="s">
        <v>44</v>
      </c>
      <c r="N235" t="s">
        <v>45</v>
      </c>
      <c r="O235" t="s">
        <v>46</v>
      </c>
      <c r="P235" s="5">
        <v>1</v>
      </c>
      <c r="Q235" s="12">
        <v>44817.609722222223</v>
      </c>
      <c r="R235" s="13">
        <v>44818</v>
      </c>
      <c r="T235" t="s">
        <v>47</v>
      </c>
      <c r="U235" t="s">
        <v>48</v>
      </c>
      <c r="V235" t="s">
        <v>190</v>
      </c>
      <c r="Y235" t="s">
        <v>806</v>
      </c>
      <c r="Z235">
        <v>51200</v>
      </c>
      <c r="AA235" t="s">
        <v>47</v>
      </c>
      <c r="AB235" t="s">
        <v>58</v>
      </c>
      <c r="AC235" t="s">
        <v>53</v>
      </c>
      <c r="AD235" s="16">
        <f>IF(P235&lt;=1,7,7+0.8*ROUNDUP(P235-1,0))</f>
        <v>7</v>
      </c>
      <c r="AE235" s="15">
        <v>0</v>
      </c>
      <c r="AF235" s="15">
        <v>0</v>
      </c>
      <c r="AG235" s="15">
        <v>0</v>
      </c>
      <c r="AH235" s="15">
        <v>0</v>
      </c>
      <c r="AI235" s="15">
        <f t="shared" si="6"/>
        <v>0.42</v>
      </c>
      <c r="AJ235" s="15">
        <f t="shared" si="7"/>
        <v>7.42</v>
      </c>
      <c r="AK235" t="s">
        <v>47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807</v>
      </c>
      <c r="I236" t="s">
        <v>41</v>
      </c>
      <c r="J236" t="s">
        <v>138</v>
      </c>
      <c r="K236" t="s">
        <v>43</v>
      </c>
      <c r="L236">
        <v>2</v>
      </c>
      <c r="M236" t="s">
        <v>44</v>
      </c>
      <c r="N236" t="s">
        <v>45</v>
      </c>
      <c r="O236" t="s">
        <v>46</v>
      </c>
      <c r="P236" s="5">
        <v>2</v>
      </c>
      <c r="Q236" s="12">
        <v>44818.585231481484</v>
      </c>
      <c r="R236" s="13">
        <v>44819</v>
      </c>
      <c r="T236" t="s">
        <v>47</v>
      </c>
      <c r="U236" t="s">
        <v>48</v>
      </c>
      <c r="V236" t="s">
        <v>85</v>
      </c>
      <c r="Y236" t="s">
        <v>139</v>
      </c>
      <c r="Z236">
        <v>43000</v>
      </c>
      <c r="AA236" t="s">
        <v>47</v>
      </c>
      <c r="AB236" t="s">
        <v>140</v>
      </c>
      <c r="AC236" t="s">
        <v>53</v>
      </c>
      <c r="AD236" s="16">
        <f>IF(P236&lt;=1,7,7+0.8*ROUNDUP(P236-1,0))</f>
        <v>7.8</v>
      </c>
      <c r="AE236" s="15">
        <v>0</v>
      </c>
      <c r="AF236" s="15">
        <v>0</v>
      </c>
      <c r="AG236" s="15">
        <v>0</v>
      </c>
      <c r="AH236" s="15">
        <v>0</v>
      </c>
      <c r="AI236" s="15">
        <f t="shared" si="6"/>
        <v>0.46799999999999997</v>
      </c>
      <c r="AJ236" s="15">
        <f t="shared" si="7"/>
        <v>8.2680000000000007</v>
      </c>
      <c r="AK236" t="s">
        <v>47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808</v>
      </c>
      <c r="I237" t="s">
        <v>41</v>
      </c>
      <c r="J237" t="s">
        <v>809</v>
      </c>
      <c r="K237" t="s">
        <v>43</v>
      </c>
      <c r="L237">
        <v>2</v>
      </c>
      <c r="M237" t="s">
        <v>44</v>
      </c>
      <c r="N237" t="s">
        <v>45</v>
      </c>
      <c r="O237" t="s">
        <v>46</v>
      </c>
      <c r="P237" s="5">
        <v>2</v>
      </c>
      <c r="Q237" s="12">
        <v>44818.602893518517</v>
      </c>
      <c r="R237" s="13">
        <v>44819</v>
      </c>
      <c r="T237" t="s">
        <v>47</v>
      </c>
      <c r="U237" t="s">
        <v>48</v>
      </c>
      <c r="V237" t="s">
        <v>190</v>
      </c>
      <c r="Y237" t="s">
        <v>810</v>
      </c>
      <c r="Z237">
        <v>52100</v>
      </c>
      <c r="AA237" t="s">
        <v>47</v>
      </c>
      <c r="AB237" t="s">
        <v>390</v>
      </c>
      <c r="AC237" t="s">
        <v>53</v>
      </c>
      <c r="AD237" s="16">
        <f>IF(P237&lt;=1,7,7+0.8*ROUNDUP(P237-1,0))</f>
        <v>7.8</v>
      </c>
      <c r="AE237" s="15">
        <v>0</v>
      </c>
      <c r="AF237" s="15">
        <v>0</v>
      </c>
      <c r="AG237" s="15">
        <v>0</v>
      </c>
      <c r="AH237" s="15">
        <v>0</v>
      </c>
      <c r="AI237" s="15">
        <f t="shared" si="6"/>
        <v>0.46799999999999997</v>
      </c>
      <c r="AJ237" s="15">
        <f t="shared" si="7"/>
        <v>8.2680000000000007</v>
      </c>
      <c r="AK237" t="s">
        <v>47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811</v>
      </c>
      <c r="I238" t="s">
        <v>41</v>
      </c>
      <c r="J238" t="s">
        <v>812</v>
      </c>
      <c r="K238" t="s">
        <v>43</v>
      </c>
      <c r="L238">
        <v>2</v>
      </c>
      <c r="M238" t="s">
        <v>44</v>
      </c>
      <c r="N238" t="s">
        <v>45</v>
      </c>
      <c r="O238" t="s">
        <v>46</v>
      </c>
      <c r="P238" s="5">
        <v>1</v>
      </c>
      <c r="Q238" s="12">
        <v>44816.60125</v>
      </c>
      <c r="R238" s="13">
        <v>44819</v>
      </c>
      <c r="T238" t="s">
        <v>47</v>
      </c>
      <c r="U238" t="s">
        <v>48</v>
      </c>
      <c r="V238" t="s">
        <v>813</v>
      </c>
      <c r="Y238" t="s">
        <v>814</v>
      </c>
      <c r="Z238">
        <v>87022</v>
      </c>
      <c r="AA238" t="s">
        <v>51</v>
      </c>
      <c r="AB238" t="s">
        <v>815</v>
      </c>
      <c r="AC238" t="s">
        <v>53</v>
      </c>
      <c r="AD238" s="14">
        <f>IF(P238&lt;=1,13,IF(P238&lt;=2,23,IF(P238&lt;=3,35,IF(P238&lt;=4,43,IF(P238&lt;=5,53,IF(P238&lt;=6,63,IF(P238&lt;=7,71,IF(P238&lt;=8,79,IF(P238&lt;=9,87,IF(P238&lt;=10,95,IF(P238&lt;=11,105,IF(P238&lt;=12,114,IF(P238&lt;=13,119,IF(P238&lt;=14,127,IF(P238&lt;=15,135,IF(P238&lt;=16,143,IF(P238&lt;=17,153,IF(P238&lt;=18,163,IF(P238&lt;=19,171,IF(P238&lt;=20,185,IF(P238&lt;=21,193,IF(P238&lt;=22,201,IF(P238&lt;=23,210,IF(P238&lt;=24,220,IF(P238&lt;=25,230,IF(P238&lt;=26,240,IF(P238&lt;=27,250,IF(P238&lt;=28,260,IF(P238&lt;=29,270,IF(P238&lt;=30,280,280))))))))))))))))))))))))))))))</f>
        <v>13</v>
      </c>
      <c r="AE238" s="15">
        <v>0</v>
      </c>
      <c r="AF238" s="15">
        <v>0</v>
      </c>
      <c r="AG238" s="15">
        <v>0</v>
      </c>
      <c r="AH238" s="15">
        <v>0</v>
      </c>
      <c r="AI238" s="15">
        <f t="shared" si="6"/>
        <v>0.78</v>
      </c>
      <c r="AJ238" s="15">
        <f t="shared" si="7"/>
        <v>13.78</v>
      </c>
      <c r="AK238" t="s">
        <v>51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816</v>
      </c>
      <c r="I239" t="s">
        <v>41</v>
      </c>
      <c r="J239" t="s">
        <v>817</v>
      </c>
      <c r="K239" t="s">
        <v>43</v>
      </c>
      <c r="L239">
        <v>2</v>
      </c>
      <c r="M239" t="s">
        <v>44</v>
      </c>
      <c r="N239" t="s">
        <v>45</v>
      </c>
      <c r="O239" t="s">
        <v>46</v>
      </c>
      <c r="P239" s="5">
        <v>1</v>
      </c>
      <c r="Q239" s="12">
        <v>44817.602233796293</v>
      </c>
      <c r="R239" s="13">
        <v>44819</v>
      </c>
      <c r="T239" t="s">
        <v>47</v>
      </c>
      <c r="U239" t="s">
        <v>48</v>
      </c>
      <c r="V239" t="s">
        <v>72</v>
      </c>
      <c r="Y239" t="s">
        <v>818</v>
      </c>
      <c r="Z239">
        <v>71150</v>
      </c>
      <c r="AA239" t="s">
        <v>47</v>
      </c>
      <c r="AB239" t="s">
        <v>58</v>
      </c>
      <c r="AC239" t="s">
        <v>53</v>
      </c>
      <c r="AD239" s="16">
        <f>IF(P239&lt;=1,7,7+0.8*ROUNDUP(P239-1,0))</f>
        <v>7</v>
      </c>
      <c r="AE239" s="15">
        <v>0</v>
      </c>
      <c r="AF239" s="15">
        <v>0</v>
      </c>
      <c r="AG239" s="15">
        <v>0</v>
      </c>
      <c r="AH239" s="15">
        <v>0</v>
      </c>
      <c r="AI239" s="15">
        <f t="shared" si="6"/>
        <v>0.42</v>
      </c>
      <c r="AJ239" s="15">
        <f t="shared" si="7"/>
        <v>7.42</v>
      </c>
      <c r="AK239" t="s">
        <v>47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819</v>
      </c>
      <c r="I240" t="s">
        <v>41</v>
      </c>
      <c r="J240" t="s">
        <v>820</v>
      </c>
      <c r="K240" t="s">
        <v>43</v>
      </c>
      <c r="L240">
        <v>2</v>
      </c>
      <c r="M240" t="s">
        <v>44</v>
      </c>
      <c r="N240" t="s">
        <v>45</v>
      </c>
      <c r="O240" t="s">
        <v>46</v>
      </c>
      <c r="P240" s="5">
        <v>1</v>
      </c>
      <c r="Q240" s="12">
        <v>44818.692083333335</v>
      </c>
      <c r="R240" s="13">
        <v>44819</v>
      </c>
      <c r="T240" t="s">
        <v>47</v>
      </c>
      <c r="U240" t="s">
        <v>48</v>
      </c>
      <c r="V240" t="s">
        <v>119</v>
      </c>
      <c r="Y240" t="s">
        <v>821</v>
      </c>
      <c r="Z240">
        <v>25050</v>
      </c>
      <c r="AA240" t="s">
        <v>47</v>
      </c>
      <c r="AB240" t="s">
        <v>48</v>
      </c>
      <c r="AC240" t="s">
        <v>53</v>
      </c>
      <c r="AD240" s="16">
        <f>IF(P240&lt;=1,7,7+0.8*ROUNDUP(P240-1,0))</f>
        <v>7</v>
      </c>
      <c r="AE240" s="15">
        <v>0</v>
      </c>
      <c r="AF240" s="15">
        <v>0</v>
      </c>
      <c r="AG240" s="15">
        <v>0</v>
      </c>
      <c r="AH240" s="15">
        <v>0</v>
      </c>
      <c r="AI240" s="15">
        <f t="shared" si="6"/>
        <v>0.42</v>
      </c>
      <c r="AJ240" s="15">
        <f t="shared" si="7"/>
        <v>7.42</v>
      </c>
      <c r="AK240" t="s">
        <v>47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822</v>
      </c>
      <c r="I241" t="s">
        <v>41</v>
      </c>
      <c r="J241" t="s">
        <v>823</v>
      </c>
      <c r="K241" t="s">
        <v>43</v>
      </c>
      <c r="L241">
        <v>2</v>
      </c>
      <c r="M241" t="s">
        <v>44</v>
      </c>
      <c r="N241" t="s">
        <v>45</v>
      </c>
      <c r="O241" t="s">
        <v>46</v>
      </c>
      <c r="P241" s="5">
        <v>1</v>
      </c>
      <c r="Q241" s="12">
        <v>44818.580648148149</v>
      </c>
      <c r="R241" s="13">
        <v>44819</v>
      </c>
      <c r="T241" t="s">
        <v>47</v>
      </c>
      <c r="U241" t="s">
        <v>48</v>
      </c>
      <c r="V241" t="s">
        <v>81</v>
      </c>
      <c r="Y241" t="s">
        <v>824</v>
      </c>
      <c r="Z241">
        <v>31600</v>
      </c>
      <c r="AA241" t="s">
        <v>47</v>
      </c>
      <c r="AB241" t="s">
        <v>629</v>
      </c>
      <c r="AC241" t="s">
        <v>53</v>
      </c>
      <c r="AD241" s="16">
        <f>IF(P241&lt;=1,7,7+0.8*ROUNDUP(P241-1,0))</f>
        <v>7</v>
      </c>
      <c r="AE241" s="15">
        <v>0</v>
      </c>
      <c r="AF241" s="15">
        <v>0</v>
      </c>
      <c r="AG241" s="15">
        <v>0</v>
      </c>
      <c r="AH241" s="15">
        <v>0</v>
      </c>
      <c r="AI241" s="15">
        <f t="shared" si="6"/>
        <v>0.42</v>
      </c>
      <c r="AJ241" s="15">
        <f t="shared" si="7"/>
        <v>7.42</v>
      </c>
      <c r="AK241" t="s">
        <v>47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825</v>
      </c>
      <c r="I242" t="s">
        <v>41</v>
      </c>
      <c r="J242" t="s">
        <v>696</v>
      </c>
      <c r="K242" t="s">
        <v>43</v>
      </c>
      <c r="L242">
        <v>2</v>
      </c>
      <c r="M242" t="s">
        <v>44</v>
      </c>
      <c r="N242" t="s">
        <v>45</v>
      </c>
      <c r="O242" t="s">
        <v>46</v>
      </c>
      <c r="P242" s="5">
        <v>1</v>
      </c>
      <c r="Q242" s="12">
        <v>44818.594976851855</v>
      </c>
      <c r="R242" s="13">
        <v>44819</v>
      </c>
      <c r="T242" t="s">
        <v>47</v>
      </c>
      <c r="U242" t="s">
        <v>48</v>
      </c>
      <c r="V242" t="s">
        <v>72</v>
      </c>
      <c r="Y242" t="s">
        <v>826</v>
      </c>
      <c r="Z242">
        <v>71800</v>
      </c>
      <c r="AA242" t="s">
        <v>47</v>
      </c>
      <c r="AB242" t="s">
        <v>221</v>
      </c>
      <c r="AC242" t="s">
        <v>53</v>
      </c>
      <c r="AD242" s="16">
        <f>IF(P242&lt;=1,7,7+0.8*ROUNDUP(P242-1,0))</f>
        <v>7</v>
      </c>
      <c r="AE242" s="15">
        <v>0</v>
      </c>
      <c r="AF242" s="15">
        <v>0</v>
      </c>
      <c r="AG242" s="15">
        <v>0</v>
      </c>
      <c r="AH242" s="15">
        <v>0</v>
      </c>
      <c r="AI242" s="15">
        <f t="shared" si="6"/>
        <v>0.42</v>
      </c>
      <c r="AJ242" s="15">
        <f t="shared" si="7"/>
        <v>7.42</v>
      </c>
      <c r="AK242" t="s">
        <v>47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827</v>
      </c>
      <c r="I243" t="s">
        <v>41</v>
      </c>
      <c r="J243" t="s">
        <v>213</v>
      </c>
      <c r="K243" t="s">
        <v>43</v>
      </c>
      <c r="L243">
        <v>2</v>
      </c>
      <c r="M243" t="s">
        <v>44</v>
      </c>
      <c r="N243" t="s">
        <v>45</v>
      </c>
      <c r="O243" t="s">
        <v>46</v>
      </c>
      <c r="P243" s="5">
        <v>1</v>
      </c>
      <c r="Q243" s="12">
        <v>44818.647627314815</v>
      </c>
      <c r="R243" s="13">
        <v>44819</v>
      </c>
      <c r="T243" t="s">
        <v>47</v>
      </c>
      <c r="U243" t="s">
        <v>48</v>
      </c>
      <c r="V243" t="s">
        <v>85</v>
      </c>
      <c r="Y243" t="s">
        <v>828</v>
      </c>
      <c r="Z243">
        <v>68000</v>
      </c>
      <c r="AA243" t="s">
        <v>47</v>
      </c>
      <c r="AB243" t="s">
        <v>58</v>
      </c>
      <c r="AC243" t="s">
        <v>53</v>
      </c>
      <c r="AD243" s="16">
        <f>IF(P243&lt;=1,7,7+0.8*ROUNDUP(P243-1,0))</f>
        <v>7</v>
      </c>
      <c r="AE243" s="15">
        <v>0</v>
      </c>
      <c r="AF243" s="15">
        <v>0</v>
      </c>
      <c r="AG243" s="15">
        <v>0</v>
      </c>
      <c r="AH243" s="15">
        <v>0</v>
      </c>
      <c r="AI243" s="15">
        <f t="shared" si="6"/>
        <v>0.42</v>
      </c>
      <c r="AJ243" s="15">
        <f t="shared" si="7"/>
        <v>7.42</v>
      </c>
      <c r="AK243" t="s">
        <v>47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829</v>
      </c>
      <c r="I244" t="s">
        <v>41</v>
      </c>
      <c r="J244" t="s">
        <v>830</v>
      </c>
      <c r="K244" t="s">
        <v>43</v>
      </c>
      <c r="L244">
        <v>2</v>
      </c>
      <c r="M244" t="s">
        <v>44</v>
      </c>
      <c r="N244" t="s">
        <v>45</v>
      </c>
      <c r="O244" t="s">
        <v>46</v>
      </c>
      <c r="P244" s="5">
        <v>1</v>
      </c>
      <c r="Q244" s="12">
        <v>44818.690763888888</v>
      </c>
      <c r="R244" s="13">
        <v>44819</v>
      </c>
      <c r="T244" t="s">
        <v>47</v>
      </c>
      <c r="U244" t="s">
        <v>48</v>
      </c>
      <c r="V244" t="s">
        <v>85</v>
      </c>
      <c r="Y244" t="s">
        <v>831</v>
      </c>
      <c r="Z244">
        <v>53100</v>
      </c>
      <c r="AA244" t="s">
        <v>47</v>
      </c>
      <c r="AB244" t="s">
        <v>58</v>
      </c>
      <c r="AC244" t="s">
        <v>53</v>
      </c>
      <c r="AD244" s="16">
        <f>IF(P244&lt;=1,7,7+0.8*ROUNDUP(P244-1,0))</f>
        <v>7</v>
      </c>
      <c r="AE244" s="15">
        <v>0</v>
      </c>
      <c r="AF244" s="15">
        <v>0</v>
      </c>
      <c r="AG244" s="15">
        <v>0</v>
      </c>
      <c r="AH244" s="15">
        <v>0</v>
      </c>
      <c r="AI244" s="15">
        <f t="shared" si="6"/>
        <v>0.42</v>
      </c>
      <c r="AJ244" s="15">
        <f t="shared" si="7"/>
        <v>7.42</v>
      </c>
      <c r="AK244" t="s">
        <v>47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832</v>
      </c>
      <c r="I245" t="s">
        <v>41</v>
      </c>
      <c r="J245" t="s">
        <v>833</v>
      </c>
      <c r="K245" t="s">
        <v>43</v>
      </c>
      <c r="L245">
        <v>2</v>
      </c>
      <c r="M245" t="s">
        <v>44</v>
      </c>
      <c r="N245" t="s">
        <v>45</v>
      </c>
      <c r="O245" t="s">
        <v>46</v>
      </c>
      <c r="P245" s="5">
        <v>1</v>
      </c>
      <c r="Q245" s="12">
        <v>44817.611527777779</v>
      </c>
      <c r="R245" s="13">
        <v>44819</v>
      </c>
      <c r="T245" t="s">
        <v>47</v>
      </c>
      <c r="U245" t="s">
        <v>48</v>
      </c>
      <c r="V245" t="s">
        <v>93</v>
      </c>
      <c r="Y245" t="s">
        <v>834</v>
      </c>
      <c r="Z245">
        <v>86200</v>
      </c>
      <c r="AA245" t="s">
        <v>47</v>
      </c>
      <c r="AB245" t="s">
        <v>58</v>
      </c>
      <c r="AC245" t="s">
        <v>53</v>
      </c>
      <c r="AD245" s="16">
        <f>IF(P245&lt;=1,7,7+0.8*ROUNDUP(P245-1,0))</f>
        <v>7</v>
      </c>
      <c r="AE245" s="15">
        <v>0</v>
      </c>
      <c r="AF245" s="15">
        <v>0</v>
      </c>
      <c r="AG245" s="15">
        <v>0</v>
      </c>
      <c r="AH245" s="15">
        <v>0</v>
      </c>
      <c r="AI245" s="15">
        <f t="shared" si="6"/>
        <v>0.42</v>
      </c>
      <c r="AJ245" s="15">
        <f t="shared" si="7"/>
        <v>7.42</v>
      </c>
      <c r="AK245" t="s">
        <v>47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835</v>
      </c>
      <c r="I246" t="s">
        <v>41</v>
      </c>
      <c r="J246" t="s">
        <v>836</v>
      </c>
      <c r="K246" t="s">
        <v>43</v>
      </c>
      <c r="L246">
        <v>2</v>
      </c>
      <c r="M246" t="s">
        <v>44</v>
      </c>
      <c r="N246" t="s">
        <v>45</v>
      </c>
      <c r="O246" t="s">
        <v>46</v>
      </c>
      <c r="P246" s="5">
        <v>1</v>
      </c>
      <c r="Q246" s="12">
        <v>44817.595219907409</v>
      </c>
      <c r="R246" s="13">
        <v>44819</v>
      </c>
      <c r="T246" t="s">
        <v>47</v>
      </c>
      <c r="U246" t="s">
        <v>48</v>
      </c>
      <c r="V246" t="s">
        <v>93</v>
      </c>
      <c r="Y246" t="s">
        <v>837</v>
      </c>
      <c r="Z246">
        <v>81100</v>
      </c>
      <c r="AA246" t="s">
        <v>47</v>
      </c>
      <c r="AB246" t="s">
        <v>58</v>
      </c>
      <c r="AC246" t="s">
        <v>53</v>
      </c>
      <c r="AD246" s="16">
        <f>IF(P246&lt;=1,7,7+0.8*ROUNDUP(P246-1,0))</f>
        <v>7</v>
      </c>
      <c r="AE246" s="15">
        <v>0</v>
      </c>
      <c r="AF246" s="15">
        <v>0</v>
      </c>
      <c r="AG246" s="15">
        <v>0</v>
      </c>
      <c r="AH246" s="15">
        <v>0</v>
      </c>
      <c r="AI246" s="15">
        <f t="shared" si="6"/>
        <v>0.42</v>
      </c>
      <c r="AJ246" s="15">
        <f t="shared" si="7"/>
        <v>7.42</v>
      </c>
      <c r="AK246" t="s">
        <v>47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838</v>
      </c>
      <c r="I247" t="s">
        <v>41</v>
      </c>
      <c r="J247" t="s">
        <v>839</v>
      </c>
      <c r="K247" t="s">
        <v>43</v>
      </c>
      <c r="L247">
        <v>2</v>
      </c>
      <c r="M247" t="s">
        <v>44</v>
      </c>
      <c r="N247" t="s">
        <v>45</v>
      </c>
      <c r="O247" t="s">
        <v>46</v>
      </c>
      <c r="P247" s="5">
        <v>1</v>
      </c>
      <c r="Q247" s="12">
        <v>44818.688449074078</v>
      </c>
      <c r="R247" s="13">
        <v>44819</v>
      </c>
      <c r="T247" t="s">
        <v>47</v>
      </c>
      <c r="U247" t="s">
        <v>48</v>
      </c>
      <c r="V247" t="s">
        <v>300</v>
      </c>
      <c r="Y247" t="s">
        <v>840</v>
      </c>
      <c r="Z247">
        <v>21200</v>
      </c>
      <c r="AA247" t="s">
        <v>47</v>
      </c>
      <c r="AB247" t="s">
        <v>48</v>
      </c>
      <c r="AC247" t="s">
        <v>53</v>
      </c>
      <c r="AD247" s="16">
        <f>IF(P247&lt;=1,7,7+0.8*ROUNDUP(P247-1,0))</f>
        <v>7</v>
      </c>
      <c r="AE247" s="15">
        <v>0</v>
      </c>
      <c r="AF247" s="15">
        <v>0</v>
      </c>
      <c r="AG247" s="15">
        <v>0</v>
      </c>
      <c r="AH247" s="15">
        <v>0</v>
      </c>
      <c r="AI247" s="15">
        <f t="shared" si="6"/>
        <v>0.42</v>
      </c>
      <c r="AJ247" s="15">
        <f t="shared" si="7"/>
        <v>7.42</v>
      </c>
      <c r="AK247" t="s">
        <v>47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841</v>
      </c>
      <c r="I248" t="s">
        <v>41</v>
      </c>
      <c r="J248" t="s">
        <v>842</v>
      </c>
      <c r="K248" t="s">
        <v>43</v>
      </c>
      <c r="L248">
        <v>2</v>
      </c>
      <c r="M248" t="s">
        <v>44</v>
      </c>
      <c r="N248" t="s">
        <v>45</v>
      </c>
      <c r="O248" t="s">
        <v>46</v>
      </c>
      <c r="P248" s="5">
        <v>1</v>
      </c>
      <c r="Q248" s="12">
        <v>44818.687314814815</v>
      </c>
      <c r="R248" s="13">
        <v>44819</v>
      </c>
      <c r="T248" t="s">
        <v>47</v>
      </c>
      <c r="U248" t="s">
        <v>48</v>
      </c>
      <c r="V248" t="s">
        <v>72</v>
      </c>
      <c r="Y248" t="s">
        <v>843</v>
      </c>
      <c r="Z248">
        <v>71800</v>
      </c>
      <c r="AA248" t="s">
        <v>47</v>
      </c>
      <c r="AB248" t="s">
        <v>58</v>
      </c>
      <c r="AC248" t="s">
        <v>53</v>
      </c>
      <c r="AD248" s="16">
        <f>IF(P248&lt;=1,7,7+0.8*ROUNDUP(P248-1,0))</f>
        <v>7</v>
      </c>
      <c r="AE248" s="15">
        <v>0</v>
      </c>
      <c r="AF248" s="15">
        <v>0</v>
      </c>
      <c r="AG248" s="15">
        <v>0</v>
      </c>
      <c r="AH248" s="15">
        <v>0</v>
      </c>
      <c r="AI248" s="15">
        <f t="shared" si="6"/>
        <v>0.42</v>
      </c>
      <c r="AJ248" s="15">
        <f t="shared" si="7"/>
        <v>7.42</v>
      </c>
      <c r="AK248" t="s">
        <v>47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844</v>
      </c>
      <c r="I249" t="s">
        <v>41</v>
      </c>
      <c r="J249" t="s">
        <v>845</v>
      </c>
      <c r="K249" t="s">
        <v>43</v>
      </c>
      <c r="L249">
        <v>2</v>
      </c>
      <c r="M249" t="s">
        <v>44</v>
      </c>
      <c r="N249" t="s">
        <v>45</v>
      </c>
      <c r="O249" t="s">
        <v>46</v>
      </c>
      <c r="P249" s="5">
        <v>1</v>
      </c>
      <c r="Q249" s="12">
        <v>44817.598020833335</v>
      </c>
      <c r="R249" s="13">
        <v>44819</v>
      </c>
      <c r="T249" t="s">
        <v>47</v>
      </c>
      <c r="U249" t="s">
        <v>48</v>
      </c>
      <c r="V249" t="s">
        <v>93</v>
      </c>
      <c r="Y249" t="s">
        <v>846</v>
      </c>
      <c r="Z249">
        <v>86600</v>
      </c>
      <c r="AA249" t="s">
        <v>47</v>
      </c>
      <c r="AB249" t="s">
        <v>58</v>
      </c>
      <c r="AC249" t="s">
        <v>53</v>
      </c>
      <c r="AD249" s="16">
        <f>IF(P249&lt;=1,7,7+0.8*ROUNDUP(P249-1,0))</f>
        <v>7</v>
      </c>
      <c r="AE249" s="15">
        <v>0</v>
      </c>
      <c r="AF249" s="15">
        <v>0</v>
      </c>
      <c r="AG249" s="15">
        <v>0</v>
      </c>
      <c r="AH249" s="15">
        <v>0</v>
      </c>
      <c r="AI249" s="15">
        <f t="shared" si="6"/>
        <v>0.42</v>
      </c>
      <c r="AJ249" s="15">
        <f t="shared" si="7"/>
        <v>7.42</v>
      </c>
      <c r="AK249" t="s">
        <v>47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847</v>
      </c>
      <c r="I250" t="s">
        <v>41</v>
      </c>
      <c r="J250" t="s">
        <v>848</v>
      </c>
      <c r="K250" t="s">
        <v>43</v>
      </c>
      <c r="L250">
        <v>2</v>
      </c>
      <c r="M250" t="s">
        <v>44</v>
      </c>
      <c r="N250" t="s">
        <v>45</v>
      </c>
      <c r="O250" t="s">
        <v>46</v>
      </c>
      <c r="P250" s="5">
        <v>1</v>
      </c>
      <c r="Q250" s="12">
        <v>44818.600023148145</v>
      </c>
      <c r="R250" s="13">
        <v>44819</v>
      </c>
      <c r="T250" t="s">
        <v>47</v>
      </c>
      <c r="U250" t="s">
        <v>48</v>
      </c>
      <c r="V250" t="s">
        <v>85</v>
      </c>
      <c r="Y250" t="s">
        <v>849</v>
      </c>
      <c r="Z250">
        <v>41400</v>
      </c>
      <c r="AA250" t="s">
        <v>47</v>
      </c>
      <c r="AB250" t="s">
        <v>850</v>
      </c>
      <c r="AC250" t="s">
        <v>53</v>
      </c>
      <c r="AD250" s="16">
        <f>IF(P250&lt;=1,7,7+0.8*ROUNDUP(P250-1,0))</f>
        <v>7</v>
      </c>
      <c r="AE250" s="15">
        <v>0</v>
      </c>
      <c r="AF250" s="15">
        <v>0</v>
      </c>
      <c r="AG250" s="15">
        <v>0</v>
      </c>
      <c r="AH250" s="15">
        <v>0</v>
      </c>
      <c r="AI250" s="15">
        <f t="shared" si="6"/>
        <v>0.42</v>
      </c>
      <c r="AJ250" s="15">
        <f t="shared" si="7"/>
        <v>7.42</v>
      </c>
      <c r="AK250" t="s">
        <v>47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851</v>
      </c>
      <c r="I251" t="s">
        <v>41</v>
      </c>
      <c r="J251" t="s">
        <v>852</v>
      </c>
      <c r="K251" t="s">
        <v>43</v>
      </c>
      <c r="L251">
        <v>2</v>
      </c>
      <c r="M251" t="s">
        <v>44</v>
      </c>
      <c r="N251" t="s">
        <v>45</v>
      </c>
      <c r="O251" t="s">
        <v>46</v>
      </c>
      <c r="P251" s="5">
        <v>1</v>
      </c>
      <c r="Q251" s="12">
        <v>44817.605520833335</v>
      </c>
      <c r="R251" s="13">
        <v>44819</v>
      </c>
      <c r="T251" t="s">
        <v>47</v>
      </c>
      <c r="U251" t="s">
        <v>48</v>
      </c>
      <c r="V251" t="s">
        <v>61</v>
      </c>
      <c r="Y251" t="s">
        <v>853</v>
      </c>
      <c r="Z251">
        <v>10470</v>
      </c>
      <c r="AA251" t="s">
        <v>47</v>
      </c>
      <c r="AB251" t="s">
        <v>58</v>
      </c>
      <c r="AC251" t="s">
        <v>53</v>
      </c>
      <c r="AD251" s="16">
        <f>IF(P251&lt;=1,7,7+0.8*ROUNDUP(P251-1,0))</f>
        <v>7</v>
      </c>
      <c r="AE251" s="15">
        <v>0</v>
      </c>
      <c r="AF251" s="15">
        <v>0</v>
      </c>
      <c r="AG251" s="15">
        <v>0</v>
      </c>
      <c r="AH251" s="15">
        <v>0</v>
      </c>
      <c r="AI251" s="15">
        <f t="shared" si="6"/>
        <v>0.42</v>
      </c>
      <c r="AJ251" s="15">
        <f t="shared" si="7"/>
        <v>7.42</v>
      </c>
      <c r="AK251" t="s">
        <v>47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854</v>
      </c>
      <c r="I252" t="s">
        <v>41</v>
      </c>
      <c r="J252" t="s">
        <v>855</v>
      </c>
      <c r="K252" t="s">
        <v>43</v>
      </c>
      <c r="L252">
        <v>2</v>
      </c>
      <c r="M252" t="s">
        <v>44</v>
      </c>
      <c r="N252" t="s">
        <v>45</v>
      </c>
      <c r="O252" t="s">
        <v>46</v>
      </c>
      <c r="P252" s="5">
        <v>1</v>
      </c>
      <c r="Q252" s="12">
        <v>44817.604733796295</v>
      </c>
      <c r="R252" s="13">
        <v>44819</v>
      </c>
      <c r="T252" t="s">
        <v>47</v>
      </c>
      <c r="U252" t="s">
        <v>48</v>
      </c>
      <c r="V252" t="s">
        <v>81</v>
      </c>
      <c r="Y252" t="s">
        <v>856</v>
      </c>
      <c r="Z252">
        <v>33010</v>
      </c>
      <c r="AA252" t="s">
        <v>47</v>
      </c>
      <c r="AB252" t="s">
        <v>48</v>
      </c>
      <c r="AC252" t="s">
        <v>53</v>
      </c>
      <c r="AD252" s="16">
        <f>IF(P252&lt;=1,7,7+0.8*ROUNDUP(P252-1,0))</f>
        <v>7</v>
      </c>
      <c r="AE252" s="15">
        <v>0</v>
      </c>
      <c r="AF252" s="15">
        <v>0</v>
      </c>
      <c r="AG252" s="15">
        <v>0</v>
      </c>
      <c r="AH252" s="15">
        <v>0</v>
      </c>
      <c r="AI252" s="15">
        <f t="shared" si="6"/>
        <v>0.42</v>
      </c>
      <c r="AJ252" s="15">
        <f t="shared" si="7"/>
        <v>7.42</v>
      </c>
      <c r="AK252" t="s">
        <v>47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857</v>
      </c>
      <c r="I253" t="s">
        <v>41</v>
      </c>
      <c r="J253" t="s">
        <v>858</v>
      </c>
      <c r="K253" t="s">
        <v>43</v>
      </c>
      <c r="L253">
        <v>2</v>
      </c>
      <c r="M253" t="s">
        <v>44</v>
      </c>
      <c r="N253" t="s">
        <v>45</v>
      </c>
      <c r="O253" t="s">
        <v>46</v>
      </c>
      <c r="P253" s="5">
        <v>1</v>
      </c>
      <c r="Q253" s="12">
        <v>44819.602500000001</v>
      </c>
      <c r="R253" s="13">
        <v>44821</v>
      </c>
      <c r="T253" t="s">
        <v>47</v>
      </c>
      <c r="U253" t="s">
        <v>48</v>
      </c>
      <c r="V253" t="s">
        <v>93</v>
      </c>
      <c r="Y253" t="s">
        <v>859</v>
      </c>
      <c r="Z253">
        <v>86900</v>
      </c>
      <c r="AA253" t="s">
        <v>47</v>
      </c>
      <c r="AB253" t="s">
        <v>58</v>
      </c>
      <c r="AC253" t="s">
        <v>53</v>
      </c>
      <c r="AD253" s="16">
        <f>IF(P253&lt;=1,7,7+0.8*ROUNDUP(P253-1,0))</f>
        <v>7</v>
      </c>
      <c r="AE253" s="15">
        <v>0</v>
      </c>
      <c r="AF253" s="15">
        <v>0</v>
      </c>
      <c r="AG253" s="15">
        <v>0</v>
      </c>
      <c r="AH253" s="15">
        <v>0</v>
      </c>
      <c r="AI253" s="15">
        <f t="shared" si="6"/>
        <v>0.42</v>
      </c>
      <c r="AJ253" s="15">
        <f t="shared" si="7"/>
        <v>7.42</v>
      </c>
      <c r="AK253" t="s">
        <v>47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860</v>
      </c>
      <c r="I254" t="s">
        <v>41</v>
      </c>
      <c r="J254" t="s">
        <v>861</v>
      </c>
      <c r="K254" t="s">
        <v>43</v>
      </c>
      <c r="L254">
        <v>2</v>
      </c>
      <c r="M254" t="s">
        <v>44</v>
      </c>
      <c r="N254" t="s">
        <v>45</v>
      </c>
      <c r="O254" t="s">
        <v>46</v>
      </c>
      <c r="P254" s="5">
        <v>2</v>
      </c>
      <c r="Q254" s="12">
        <v>44818.591435185182</v>
      </c>
      <c r="R254" s="13">
        <v>44821</v>
      </c>
      <c r="T254" t="s">
        <v>47</v>
      </c>
      <c r="U254" t="s">
        <v>48</v>
      </c>
      <c r="V254" t="s">
        <v>93</v>
      </c>
      <c r="Y254" t="s">
        <v>862</v>
      </c>
      <c r="Z254">
        <v>81700</v>
      </c>
      <c r="AA254" t="s">
        <v>47</v>
      </c>
      <c r="AB254" t="s">
        <v>863</v>
      </c>
      <c r="AC254" t="s">
        <v>53</v>
      </c>
      <c r="AD254" s="16">
        <f>IF(P254&lt;=1,7,7+0.8*ROUNDUP(P254-1,0))</f>
        <v>7.8</v>
      </c>
      <c r="AE254" s="15">
        <v>0</v>
      </c>
      <c r="AF254" s="15">
        <v>0</v>
      </c>
      <c r="AG254" s="15">
        <v>0</v>
      </c>
      <c r="AH254" s="15">
        <v>0</v>
      </c>
      <c r="AI254" s="15">
        <f t="shared" si="6"/>
        <v>0.46799999999999997</v>
      </c>
      <c r="AJ254" s="15">
        <f t="shared" si="7"/>
        <v>8.2680000000000007</v>
      </c>
      <c r="AK254" t="s">
        <v>47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864</v>
      </c>
      <c r="I255" t="s">
        <v>41</v>
      </c>
      <c r="J255" t="s">
        <v>865</v>
      </c>
      <c r="K255" t="s">
        <v>43</v>
      </c>
      <c r="L255">
        <v>2</v>
      </c>
      <c r="M255" t="s">
        <v>44</v>
      </c>
      <c r="N255" t="s">
        <v>45</v>
      </c>
      <c r="O255" t="s">
        <v>46</v>
      </c>
      <c r="P255" s="5">
        <v>1</v>
      </c>
      <c r="Q255" s="12">
        <v>44818.57885416667</v>
      </c>
      <c r="R255" s="13">
        <v>44821</v>
      </c>
      <c r="T255" t="s">
        <v>47</v>
      </c>
      <c r="U255" t="s">
        <v>48</v>
      </c>
      <c r="V255" t="s">
        <v>93</v>
      </c>
      <c r="Y255" t="s">
        <v>866</v>
      </c>
      <c r="Z255">
        <v>86400</v>
      </c>
      <c r="AA255" t="s">
        <v>47</v>
      </c>
      <c r="AB255" t="s">
        <v>867</v>
      </c>
      <c r="AC255" t="s">
        <v>53</v>
      </c>
      <c r="AD255" s="16">
        <f>IF(P255&lt;=1,7,7+0.8*ROUNDUP(P255-1,0))</f>
        <v>7</v>
      </c>
      <c r="AE255" s="15">
        <v>0</v>
      </c>
      <c r="AF255" s="15">
        <v>0</v>
      </c>
      <c r="AG255" s="15">
        <v>0</v>
      </c>
      <c r="AH255" s="15">
        <v>0</v>
      </c>
      <c r="AI255" s="15">
        <f t="shared" si="6"/>
        <v>0.42</v>
      </c>
      <c r="AJ255" s="15">
        <f t="shared" si="7"/>
        <v>7.42</v>
      </c>
      <c r="AK255" t="s">
        <v>47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868</v>
      </c>
      <c r="I256" t="s">
        <v>41</v>
      </c>
      <c r="J256" t="s">
        <v>869</v>
      </c>
      <c r="K256" t="s">
        <v>43</v>
      </c>
      <c r="L256">
        <v>2</v>
      </c>
      <c r="M256" t="s">
        <v>44</v>
      </c>
      <c r="N256" t="s">
        <v>45</v>
      </c>
      <c r="O256" t="s">
        <v>46</v>
      </c>
      <c r="P256" s="5">
        <v>17</v>
      </c>
      <c r="Q256" s="12">
        <v>44818.664814814816</v>
      </c>
      <c r="R256" s="13">
        <v>44821</v>
      </c>
      <c r="T256" t="s">
        <v>47</v>
      </c>
      <c r="U256" t="s">
        <v>48</v>
      </c>
      <c r="V256" t="s">
        <v>93</v>
      </c>
      <c r="Y256" t="s">
        <v>870</v>
      </c>
      <c r="Z256">
        <v>81620</v>
      </c>
      <c r="AA256" t="s">
        <v>47</v>
      </c>
      <c r="AB256" t="s">
        <v>871</v>
      </c>
      <c r="AC256" t="s">
        <v>53</v>
      </c>
      <c r="AD256" s="16">
        <f>IF(P256&lt;=1,7,7+0.8*ROUNDUP(P256-1,0))</f>
        <v>19.8</v>
      </c>
      <c r="AE256" s="15">
        <v>0</v>
      </c>
      <c r="AF256" s="15">
        <v>0</v>
      </c>
      <c r="AG256" s="15">
        <v>0</v>
      </c>
      <c r="AH256" s="15">
        <v>0</v>
      </c>
      <c r="AI256" s="15">
        <f t="shared" si="6"/>
        <v>1.1879999999999999</v>
      </c>
      <c r="AJ256" s="15">
        <f t="shared" si="7"/>
        <v>20.988</v>
      </c>
      <c r="AK256" t="s">
        <v>47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872</v>
      </c>
      <c r="I257" t="s">
        <v>41</v>
      </c>
      <c r="J257" t="s">
        <v>873</v>
      </c>
      <c r="K257" t="s">
        <v>43</v>
      </c>
      <c r="L257">
        <v>2</v>
      </c>
      <c r="M257" t="s">
        <v>44</v>
      </c>
      <c r="N257" t="s">
        <v>45</v>
      </c>
      <c r="O257" t="s">
        <v>46</v>
      </c>
      <c r="P257" s="5">
        <v>1</v>
      </c>
      <c r="Q257" s="12">
        <v>44818.574618055558</v>
      </c>
      <c r="R257" s="13">
        <v>44821</v>
      </c>
      <c r="T257" t="s">
        <v>47</v>
      </c>
      <c r="U257" t="s">
        <v>48</v>
      </c>
      <c r="V257" t="s">
        <v>81</v>
      </c>
      <c r="Y257" t="s">
        <v>874</v>
      </c>
      <c r="Z257">
        <v>35900</v>
      </c>
      <c r="AA257" t="s">
        <v>47</v>
      </c>
      <c r="AB257" t="s">
        <v>875</v>
      </c>
      <c r="AC257" t="s">
        <v>53</v>
      </c>
      <c r="AD257" s="16">
        <f>IF(P257&lt;=1,7,7+0.8*ROUNDUP(P257-1,0))</f>
        <v>7</v>
      </c>
      <c r="AE257" s="15">
        <v>0</v>
      </c>
      <c r="AF257" s="15">
        <v>0</v>
      </c>
      <c r="AG257" s="15">
        <v>0</v>
      </c>
      <c r="AH257" s="15">
        <v>0</v>
      </c>
      <c r="AI257" s="15">
        <f t="shared" si="6"/>
        <v>0.42</v>
      </c>
      <c r="AJ257" s="15">
        <f t="shared" si="7"/>
        <v>7.42</v>
      </c>
      <c r="AK257" t="s">
        <v>47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876</v>
      </c>
      <c r="I258" t="s">
        <v>41</v>
      </c>
      <c r="J258" t="s">
        <v>877</v>
      </c>
      <c r="K258" t="s">
        <v>43</v>
      </c>
      <c r="L258">
        <v>2</v>
      </c>
      <c r="M258" t="s">
        <v>44</v>
      </c>
      <c r="N258" t="s">
        <v>45</v>
      </c>
      <c r="O258" t="s">
        <v>46</v>
      </c>
      <c r="P258" s="5">
        <v>1</v>
      </c>
      <c r="Q258" s="12">
        <v>44819.66510416667</v>
      </c>
      <c r="R258" s="13">
        <v>44821</v>
      </c>
      <c r="T258" t="s">
        <v>47</v>
      </c>
      <c r="U258" t="s">
        <v>48</v>
      </c>
      <c r="V258" t="s">
        <v>76</v>
      </c>
      <c r="Y258" t="s">
        <v>878</v>
      </c>
      <c r="Z258">
        <v>16040</v>
      </c>
      <c r="AA258" t="s">
        <v>47</v>
      </c>
      <c r="AB258" t="s">
        <v>90</v>
      </c>
      <c r="AC258" t="s">
        <v>53</v>
      </c>
      <c r="AD258" s="16">
        <f>IF(P258&lt;=1,7,7+0.8*ROUNDUP(P258-1,0))</f>
        <v>7</v>
      </c>
      <c r="AE258" s="15">
        <v>0</v>
      </c>
      <c r="AF258" s="15">
        <v>0</v>
      </c>
      <c r="AG258" s="15">
        <v>0</v>
      </c>
      <c r="AH258" s="15">
        <v>0</v>
      </c>
      <c r="AI258" s="15">
        <f t="shared" ref="AI258:AI321" si="8">(AD258+AF258+AH258)*6%</f>
        <v>0.42</v>
      </c>
      <c r="AJ258" s="15">
        <f t="shared" ref="AJ258:AJ321" si="9">AD258+AF258+AH258+AI258</f>
        <v>7.42</v>
      </c>
      <c r="AK258" t="s">
        <v>47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879</v>
      </c>
      <c r="I259" t="s">
        <v>41</v>
      </c>
      <c r="J259" t="s">
        <v>880</v>
      </c>
      <c r="K259" t="s">
        <v>43</v>
      </c>
      <c r="L259">
        <v>2</v>
      </c>
      <c r="M259" t="s">
        <v>44</v>
      </c>
      <c r="N259" t="s">
        <v>45</v>
      </c>
      <c r="O259" t="s">
        <v>46</v>
      </c>
      <c r="P259" s="5">
        <v>1</v>
      </c>
      <c r="Q259" s="12">
        <v>44819.405949074076</v>
      </c>
      <c r="R259" s="13">
        <v>44821</v>
      </c>
      <c r="T259" t="s">
        <v>47</v>
      </c>
      <c r="U259" t="s">
        <v>48</v>
      </c>
      <c r="V259" t="s">
        <v>76</v>
      </c>
      <c r="Y259" t="s">
        <v>881</v>
      </c>
      <c r="Z259">
        <v>17000</v>
      </c>
      <c r="AA259" t="s">
        <v>47</v>
      </c>
      <c r="AB259" t="s">
        <v>90</v>
      </c>
      <c r="AC259" t="s">
        <v>53</v>
      </c>
      <c r="AD259" s="16">
        <f>IF(P259&lt;=1,7,7+0.8*ROUNDUP(P259-1,0))</f>
        <v>7</v>
      </c>
      <c r="AE259" s="15">
        <v>0</v>
      </c>
      <c r="AF259" s="15">
        <v>0</v>
      </c>
      <c r="AG259" s="15">
        <v>0</v>
      </c>
      <c r="AH259" s="15">
        <v>0</v>
      </c>
      <c r="AI259" s="15">
        <f t="shared" si="8"/>
        <v>0.42</v>
      </c>
      <c r="AJ259" s="15">
        <f t="shared" si="9"/>
        <v>7.42</v>
      </c>
      <c r="AK259" t="s">
        <v>47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882</v>
      </c>
      <c r="I260" t="s">
        <v>41</v>
      </c>
      <c r="J260" t="s">
        <v>883</v>
      </c>
      <c r="K260" t="s">
        <v>43</v>
      </c>
      <c r="L260">
        <v>2</v>
      </c>
      <c r="M260" t="s">
        <v>44</v>
      </c>
      <c r="N260" t="s">
        <v>45</v>
      </c>
      <c r="O260" t="s">
        <v>46</v>
      </c>
      <c r="P260" s="5">
        <v>22</v>
      </c>
      <c r="Q260" s="12">
        <v>44818.514953703707</v>
      </c>
      <c r="R260" s="13">
        <v>44821</v>
      </c>
      <c r="T260" t="s">
        <v>47</v>
      </c>
      <c r="U260" t="s">
        <v>48</v>
      </c>
      <c r="V260" t="s">
        <v>93</v>
      </c>
      <c r="Y260" t="s">
        <v>884</v>
      </c>
      <c r="Z260">
        <v>81100</v>
      </c>
      <c r="AA260" t="s">
        <v>47</v>
      </c>
      <c r="AB260" t="s">
        <v>489</v>
      </c>
      <c r="AC260" t="s">
        <v>53</v>
      </c>
      <c r="AD260" s="16">
        <f>IF(P260&lt;=1,7,7+0.8*ROUNDUP(P260-1,0))</f>
        <v>23.8</v>
      </c>
      <c r="AE260" s="15">
        <v>0</v>
      </c>
      <c r="AF260" s="15">
        <v>0</v>
      </c>
      <c r="AG260" s="15">
        <v>0</v>
      </c>
      <c r="AH260" s="15">
        <v>0</v>
      </c>
      <c r="AI260" s="15">
        <f t="shared" si="8"/>
        <v>1.4279999999999999</v>
      </c>
      <c r="AJ260" s="15">
        <f t="shared" si="9"/>
        <v>25.228000000000002</v>
      </c>
      <c r="AK260" t="s">
        <v>47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885</v>
      </c>
      <c r="I261" t="s">
        <v>41</v>
      </c>
      <c r="J261" t="s">
        <v>883</v>
      </c>
      <c r="K261" t="s">
        <v>43</v>
      </c>
      <c r="L261">
        <v>2</v>
      </c>
      <c r="M261" t="s">
        <v>44</v>
      </c>
      <c r="N261" t="s">
        <v>45</v>
      </c>
      <c r="O261" t="s">
        <v>46</v>
      </c>
      <c r="P261" s="5">
        <v>22</v>
      </c>
      <c r="Q261" s="12">
        <v>44818.515914351854</v>
      </c>
      <c r="R261" s="13">
        <v>44821</v>
      </c>
      <c r="T261" t="s">
        <v>47</v>
      </c>
      <c r="U261" t="s">
        <v>48</v>
      </c>
      <c r="V261" t="s">
        <v>93</v>
      </c>
      <c r="Y261" t="s">
        <v>886</v>
      </c>
      <c r="Z261">
        <v>81100</v>
      </c>
      <c r="AA261" t="s">
        <v>47</v>
      </c>
      <c r="AB261" t="s">
        <v>489</v>
      </c>
      <c r="AC261" t="s">
        <v>53</v>
      </c>
      <c r="AD261" s="16">
        <f>IF(P261&lt;=1,7,7+0.8*ROUNDUP(P261-1,0))</f>
        <v>23.8</v>
      </c>
      <c r="AE261" s="15">
        <v>0</v>
      </c>
      <c r="AF261" s="15">
        <v>0</v>
      </c>
      <c r="AG261" s="15">
        <v>0</v>
      </c>
      <c r="AH261" s="15">
        <v>0</v>
      </c>
      <c r="AI261" s="15">
        <f t="shared" si="8"/>
        <v>1.4279999999999999</v>
      </c>
      <c r="AJ261" s="15">
        <f t="shared" si="9"/>
        <v>25.228000000000002</v>
      </c>
      <c r="AK261" t="s">
        <v>47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887</v>
      </c>
      <c r="I262" t="s">
        <v>41</v>
      </c>
      <c r="J262" t="s">
        <v>888</v>
      </c>
      <c r="K262" t="s">
        <v>43</v>
      </c>
      <c r="L262">
        <v>2</v>
      </c>
      <c r="M262" t="s">
        <v>44</v>
      </c>
      <c r="N262" t="s">
        <v>45</v>
      </c>
      <c r="O262" t="s">
        <v>46</v>
      </c>
      <c r="P262" s="5">
        <v>1</v>
      </c>
      <c r="Q262" s="12">
        <v>44818.588206018518</v>
      </c>
      <c r="R262" s="13">
        <v>44821</v>
      </c>
      <c r="T262" t="s">
        <v>47</v>
      </c>
      <c r="U262" t="s">
        <v>48</v>
      </c>
      <c r="V262" t="s">
        <v>93</v>
      </c>
      <c r="Y262" t="s">
        <v>889</v>
      </c>
      <c r="Z262">
        <v>80150</v>
      </c>
      <c r="AA262" t="s">
        <v>47</v>
      </c>
      <c r="AB262" t="s">
        <v>58</v>
      </c>
      <c r="AC262" t="s">
        <v>53</v>
      </c>
      <c r="AD262" s="16">
        <f>IF(P262&lt;=1,7,7+0.8*ROUNDUP(P262-1,0))</f>
        <v>7</v>
      </c>
      <c r="AE262" s="15">
        <v>0</v>
      </c>
      <c r="AF262" s="15">
        <v>0</v>
      </c>
      <c r="AG262" s="15">
        <v>0</v>
      </c>
      <c r="AH262" s="15">
        <v>0</v>
      </c>
      <c r="AI262" s="15">
        <f t="shared" si="8"/>
        <v>0.42</v>
      </c>
      <c r="AJ262" s="15">
        <f t="shared" si="9"/>
        <v>7.42</v>
      </c>
      <c r="AK262" t="s">
        <v>47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890</v>
      </c>
      <c r="I263" t="s">
        <v>41</v>
      </c>
      <c r="J263" t="s">
        <v>891</v>
      </c>
      <c r="K263" t="s">
        <v>43</v>
      </c>
      <c r="L263">
        <v>2</v>
      </c>
      <c r="M263" t="s">
        <v>44</v>
      </c>
      <c r="N263" t="s">
        <v>45</v>
      </c>
      <c r="O263" t="s">
        <v>46</v>
      </c>
      <c r="P263" s="5">
        <v>1</v>
      </c>
      <c r="Q263" s="12">
        <v>44818.689606481479</v>
      </c>
      <c r="R263" s="13">
        <v>44821</v>
      </c>
      <c r="T263" t="s">
        <v>47</v>
      </c>
      <c r="U263" t="s">
        <v>48</v>
      </c>
      <c r="V263" t="s">
        <v>93</v>
      </c>
      <c r="Y263" t="s">
        <v>892</v>
      </c>
      <c r="Z263">
        <v>81620</v>
      </c>
      <c r="AA263" t="s">
        <v>47</v>
      </c>
      <c r="AB263" t="s">
        <v>58</v>
      </c>
      <c r="AC263" t="s">
        <v>53</v>
      </c>
      <c r="AD263" s="16">
        <f>IF(P263&lt;=1,7,7+0.8*ROUNDUP(P263-1,0))</f>
        <v>7</v>
      </c>
      <c r="AE263" s="15">
        <v>0</v>
      </c>
      <c r="AF263" s="15">
        <v>0</v>
      </c>
      <c r="AG263" s="15">
        <v>0</v>
      </c>
      <c r="AH263" s="15">
        <v>0</v>
      </c>
      <c r="AI263" s="15">
        <f t="shared" si="8"/>
        <v>0.42</v>
      </c>
      <c r="AJ263" s="15">
        <f t="shared" si="9"/>
        <v>7.42</v>
      </c>
      <c r="AK263" t="s">
        <v>47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893</v>
      </c>
      <c r="I264" t="s">
        <v>41</v>
      </c>
      <c r="J264" t="s">
        <v>894</v>
      </c>
      <c r="K264" t="s">
        <v>43</v>
      </c>
      <c r="L264">
        <v>2</v>
      </c>
      <c r="M264" t="s">
        <v>44</v>
      </c>
      <c r="N264" t="s">
        <v>45</v>
      </c>
      <c r="O264" t="s">
        <v>46</v>
      </c>
      <c r="P264" s="5">
        <v>1</v>
      </c>
      <c r="Q264" s="12">
        <v>44818.605358796296</v>
      </c>
      <c r="R264" s="13">
        <v>44821</v>
      </c>
      <c r="T264" t="s">
        <v>47</v>
      </c>
      <c r="U264" t="s">
        <v>48</v>
      </c>
      <c r="V264" t="s">
        <v>72</v>
      </c>
      <c r="Y264" t="s">
        <v>895</v>
      </c>
      <c r="Z264">
        <v>70400</v>
      </c>
      <c r="AA264" t="s">
        <v>47</v>
      </c>
      <c r="AB264" t="s">
        <v>548</v>
      </c>
      <c r="AC264" t="s">
        <v>53</v>
      </c>
      <c r="AD264" s="16">
        <f>IF(P264&lt;=1,7,7+0.8*ROUNDUP(P264-1,0))</f>
        <v>7</v>
      </c>
      <c r="AE264" s="15">
        <v>0</v>
      </c>
      <c r="AF264" s="15">
        <v>0</v>
      </c>
      <c r="AG264" s="15">
        <v>0</v>
      </c>
      <c r="AH264" s="15">
        <v>0</v>
      </c>
      <c r="AI264" s="15">
        <f t="shared" si="8"/>
        <v>0.42</v>
      </c>
      <c r="AJ264" s="15">
        <f t="shared" si="9"/>
        <v>7.42</v>
      </c>
      <c r="AK264" t="s">
        <v>47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896</v>
      </c>
      <c r="I265" t="s">
        <v>41</v>
      </c>
      <c r="J265" t="s">
        <v>897</v>
      </c>
      <c r="K265" t="s">
        <v>43</v>
      </c>
      <c r="L265">
        <v>2</v>
      </c>
      <c r="M265" t="s">
        <v>44</v>
      </c>
      <c r="N265" t="s">
        <v>45</v>
      </c>
      <c r="O265" t="s">
        <v>46</v>
      </c>
      <c r="P265" s="5">
        <v>2</v>
      </c>
      <c r="Q265" s="12">
        <v>44821.443009259259</v>
      </c>
      <c r="R265" s="13">
        <v>44822</v>
      </c>
      <c r="T265" t="s">
        <v>47</v>
      </c>
      <c r="U265" t="s">
        <v>48</v>
      </c>
      <c r="V265" t="s">
        <v>300</v>
      </c>
      <c r="Y265" t="s">
        <v>898</v>
      </c>
      <c r="Z265">
        <v>24000</v>
      </c>
      <c r="AA265" t="s">
        <v>47</v>
      </c>
      <c r="AB265" t="s">
        <v>899</v>
      </c>
      <c r="AC265" t="s">
        <v>53</v>
      </c>
      <c r="AD265" s="16">
        <f>IF(P265&lt;=1,7,7+0.8*ROUNDUP(P265-1,0))</f>
        <v>7.8</v>
      </c>
      <c r="AE265" s="15">
        <v>0</v>
      </c>
      <c r="AF265" s="15">
        <v>0</v>
      </c>
      <c r="AG265" s="15">
        <v>0</v>
      </c>
      <c r="AH265" s="15">
        <v>0</v>
      </c>
      <c r="AI265" s="15">
        <f t="shared" si="8"/>
        <v>0.46799999999999997</v>
      </c>
      <c r="AJ265" s="15">
        <f t="shared" si="9"/>
        <v>8.2680000000000007</v>
      </c>
      <c r="AK265" t="s">
        <v>47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900</v>
      </c>
      <c r="I266" t="s">
        <v>41</v>
      </c>
      <c r="J266" t="s">
        <v>901</v>
      </c>
      <c r="K266" t="s">
        <v>43</v>
      </c>
      <c r="L266">
        <v>2</v>
      </c>
      <c r="M266" t="s">
        <v>44</v>
      </c>
      <c r="N266" t="s">
        <v>45</v>
      </c>
      <c r="O266" t="s">
        <v>46</v>
      </c>
      <c r="P266" s="5">
        <v>1</v>
      </c>
      <c r="Q266" s="12">
        <v>44821.666030092594</v>
      </c>
      <c r="R266" s="13">
        <v>44822</v>
      </c>
      <c r="T266" t="s">
        <v>47</v>
      </c>
      <c r="U266" t="s">
        <v>48</v>
      </c>
      <c r="V266" t="s">
        <v>300</v>
      </c>
      <c r="Y266" t="s">
        <v>902</v>
      </c>
      <c r="Z266">
        <v>21030</v>
      </c>
      <c r="AA266" t="s">
        <v>47</v>
      </c>
      <c r="AB266" t="s">
        <v>48</v>
      </c>
      <c r="AC266" t="s">
        <v>53</v>
      </c>
      <c r="AD266" s="16">
        <f>IF(P266&lt;=1,7,7+0.8*ROUNDUP(P266-1,0))</f>
        <v>7</v>
      </c>
      <c r="AE266" s="15">
        <v>0</v>
      </c>
      <c r="AF266" s="15">
        <v>0</v>
      </c>
      <c r="AG266" s="15">
        <v>0</v>
      </c>
      <c r="AH266" s="15">
        <v>0</v>
      </c>
      <c r="AI266" s="15">
        <f t="shared" si="8"/>
        <v>0.42</v>
      </c>
      <c r="AJ266" s="15">
        <f t="shared" si="9"/>
        <v>7.42</v>
      </c>
      <c r="AK266" t="s">
        <v>47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903</v>
      </c>
      <c r="I267" t="s">
        <v>41</v>
      </c>
      <c r="J267" t="s">
        <v>904</v>
      </c>
      <c r="K267" t="s">
        <v>43</v>
      </c>
      <c r="L267">
        <v>2</v>
      </c>
      <c r="M267" t="s">
        <v>44</v>
      </c>
      <c r="N267" t="s">
        <v>45</v>
      </c>
      <c r="O267" t="s">
        <v>46</v>
      </c>
      <c r="P267" s="5">
        <v>1</v>
      </c>
      <c r="Q267" s="12">
        <v>44818.59783564815</v>
      </c>
      <c r="R267" s="13">
        <v>44822</v>
      </c>
      <c r="T267" t="s">
        <v>47</v>
      </c>
      <c r="U267" t="s">
        <v>48</v>
      </c>
      <c r="V267" t="s">
        <v>119</v>
      </c>
      <c r="Y267" t="s">
        <v>905</v>
      </c>
      <c r="Z267">
        <v>25150</v>
      </c>
      <c r="AA267" t="s">
        <v>47</v>
      </c>
      <c r="AB267" t="s">
        <v>899</v>
      </c>
      <c r="AC267" t="s">
        <v>53</v>
      </c>
      <c r="AD267" s="16">
        <f>IF(P267&lt;=1,7,7+0.8*ROUNDUP(P267-1,0))</f>
        <v>7</v>
      </c>
      <c r="AE267" s="15">
        <v>0</v>
      </c>
      <c r="AF267" s="15">
        <v>0</v>
      </c>
      <c r="AG267" s="15">
        <v>0</v>
      </c>
      <c r="AH267" s="15">
        <v>0</v>
      </c>
      <c r="AI267" s="15">
        <f t="shared" si="8"/>
        <v>0.42</v>
      </c>
      <c r="AJ267" s="15">
        <f t="shared" si="9"/>
        <v>7.42</v>
      </c>
      <c r="AK267" t="s">
        <v>47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906</v>
      </c>
      <c r="I268" t="s">
        <v>41</v>
      </c>
      <c r="J268" t="s">
        <v>907</v>
      </c>
      <c r="K268" t="s">
        <v>43</v>
      </c>
      <c r="L268">
        <v>2</v>
      </c>
      <c r="M268" t="s">
        <v>44</v>
      </c>
      <c r="N268" t="s">
        <v>45</v>
      </c>
      <c r="O268" t="s">
        <v>46</v>
      </c>
      <c r="P268" s="5">
        <v>1</v>
      </c>
      <c r="Q268" s="12">
        <v>44821.660729166666</v>
      </c>
      <c r="R268" s="13">
        <v>44822</v>
      </c>
      <c r="T268" t="s">
        <v>47</v>
      </c>
      <c r="U268" t="s">
        <v>48</v>
      </c>
      <c r="V268" t="s">
        <v>76</v>
      </c>
      <c r="Y268" t="s">
        <v>908</v>
      </c>
      <c r="Z268">
        <v>16150</v>
      </c>
      <c r="AA268" t="s">
        <v>47</v>
      </c>
      <c r="AB268" t="s">
        <v>909</v>
      </c>
      <c r="AC268" t="s">
        <v>53</v>
      </c>
      <c r="AD268" s="16">
        <f>IF(P268&lt;=1,7,7+0.8*ROUNDUP(P268-1,0))</f>
        <v>7</v>
      </c>
      <c r="AE268" s="15">
        <v>0</v>
      </c>
      <c r="AF268" s="15">
        <v>0</v>
      </c>
      <c r="AG268" s="15">
        <v>0</v>
      </c>
      <c r="AH268" s="15">
        <v>0</v>
      </c>
      <c r="AI268" s="15">
        <f t="shared" si="8"/>
        <v>0.42</v>
      </c>
      <c r="AJ268" s="15">
        <f t="shared" si="9"/>
        <v>7.42</v>
      </c>
      <c r="AK268" t="s">
        <v>47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910</v>
      </c>
      <c r="I269" t="s">
        <v>41</v>
      </c>
      <c r="J269" t="s">
        <v>911</v>
      </c>
      <c r="K269" t="s">
        <v>43</v>
      </c>
      <c r="L269">
        <v>2</v>
      </c>
      <c r="M269" t="s">
        <v>44</v>
      </c>
      <c r="N269" t="s">
        <v>45</v>
      </c>
      <c r="O269" t="s">
        <v>46</v>
      </c>
      <c r="P269" s="5">
        <v>1</v>
      </c>
      <c r="Q269" s="12">
        <v>44821.662268518521</v>
      </c>
      <c r="R269" s="13">
        <v>44823</v>
      </c>
      <c r="T269" t="s">
        <v>47</v>
      </c>
      <c r="U269" t="s">
        <v>48</v>
      </c>
      <c r="V269" t="s">
        <v>85</v>
      </c>
      <c r="Y269" t="s">
        <v>912</v>
      </c>
      <c r="Z269">
        <v>40170</v>
      </c>
      <c r="AA269" t="s">
        <v>47</v>
      </c>
      <c r="AB269" t="s">
        <v>58</v>
      </c>
      <c r="AC269" t="s">
        <v>53</v>
      </c>
      <c r="AD269" s="16">
        <f>IF(P269&lt;=1,7,7+0.8*ROUNDUP(P269-1,0))</f>
        <v>7</v>
      </c>
      <c r="AE269" s="15">
        <v>0</v>
      </c>
      <c r="AF269" s="15">
        <v>0</v>
      </c>
      <c r="AG269" s="15">
        <v>0</v>
      </c>
      <c r="AH269" s="15">
        <v>0</v>
      </c>
      <c r="AI269" s="15">
        <f t="shared" si="8"/>
        <v>0.42</v>
      </c>
      <c r="AJ269" s="15">
        <f t="shared" si="9"/>
        <v>7.42</v>
      </c>
      <c r="AK269" t="s">
        <v>47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913</v>
      </c>
      <c r="I270" t="s">
        <v>41</v>
      </c>
      <c r="J270" t="s">
        <v>914</v>
      </c>
      <c r="K270" t="s">
        <v>43</v>
      </c>
      <c r="L270">
        <v>2</v>
      </c>
      <c r="M270" t="s">
        <v>44</v>
      </c>
      <c r="N270" t="s">
        <v>45</v>
      </c>
      <c r="O270" t="s">
        <v>46</v>
      </c>
      <c r="P270" s="5">
        <v>2</v>
      </c>
      <c r="Q270" s="12">
        <v>44821.658634259256</v>
      </c>
      <c r="R270" s="13">
        <v>44823</v>
      </c>
      <c r="T270" t="s">
        <v>47</v>
      </c>
      <c r="U270" t="s">
        <v>48</v>
      </c>
      <c r="V270" t="s">
        <v>61</v>
      </c>
      <c r="Y270" t="s">
        <v>915</v>
      </c>
      <c r="Z270">
        <v>11700</v>
      </c>
      <c r="AA270" t="s">
        <v>47</v>
      </c>
      <c r="AB270" t="s">
        <v>538</v>
      </c>
      <c r="AC270" t="s">
        <v>53</v>
      </c>
      <c r="AD270" s="16">
        <f>IF(P270&lt;=1,7,7+0.8*ROUNDUP(P270-1,0))</f>
        <v>7.8</v>
      </c>
      <c r="AE270" s="15">
        <v>0</v>
      </c>
      <c r="AF270" s="15">
        <v>0</v>
      </c>
      <c r="AG270" s="15">
        <v>0</v>
      </c>
      <c r="AH270" s="15">
        <v>0</v>
      </c>
      <c r="AI270" s="15">
        <f t="shared" si="8"/>
        <v>0.46799999999999997</v>
      </c>
      <c r="AJ270" s="15">
        <f t="shared" si="9"/>
        <v>8.2680000000000007</v>
      </c>
      <c r="AK270" t="s">
        <v>47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916</v>
      </c>
      <c r="I271" t="s">
        <v>41</v>
      </c>
      <c r="J271" t="s">
        <v>917</v>
      </c>
      <c r="K271" t="s">
        <v>43</v>
      </c>
      <c r="L271">
        <v>2</v>
      </c>
      <c r="M271" t="s">
        <v>44</v>
      </c>
      <c r="N271" t="s">
        <v>45</v>
      </c>
      <c r="O271" t="s">
        <v>46</v>
      </c>
      <c r="P271" s="5">
        <v>1</v>
      </c>
      <c r="Q271" s="12">
        <v>44822.529560185183</v>
      </c>
      <c r="R271" s="13">
        <v>44823</v>
      </c>
      <c r="T271" t="s">
        <v>47</v>
      </c>
      <c r="U271" t="s">
        <v>48</v>
      </c>
      <c r="V271" t="s">
        <v>300</v>
      </c>
      <c r="Y271" t="s">
        <v>918</v>
      </c>
      <c r="Z271">
        <v>21030</v>
      </c>
      <c r="AA271" t="s">
        <v>47</v>
      </c>
      <c r="AB271" t="s">
        <v>48</v>
      </c>
      <c r="AC271" t="s">
        <v>53</v>
      </c>
      <c r="AD271" s="16">
        <f>IF(P271&lt;=1,7,7+0.8*ROUNDUP(P271-1,0))</f>
        <v>7</v>
      </c>
      <c r="AE271" s="15">
        <v>0</v>
      </c>
      <c r="AF271" s="15">
        <v>0</v>
      </c>
      <c r="AG271" s="15">
        <v>0</v>
      </c>
      <c r="AH271" s="15">
        <v>0</v>
      </c>
      <c r="AI271" s="15">
        <f t="shared" si="8"/>
        <v>0.42</v>
      </c>
      <c r="AJ271" s="15">
        <f t="shared" si="9"/>
        <v>7.42</v>
      </c>
      <c r="AK271" t="s">
        <v>47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919</v>
      </c>
      <c r="I272" t="s">
        <v>41</v>
      </c>
      <c r="J272" t="s">
        <v>920</v>
      </c>
      <c r="K272" t="s">
        <v>43</v>
      </c>
      <c r="L272">
        <v>2</v>
      </c>
      <c r="M272" t="s">
        <v>44</v>
      </c>
      <c r="N272" t="s">
        <v>45</v>
      </c>
      <c r="O272" t="s">
        <v>46</v>
      </c>
      <c r="P272" s="5">
        <v>1</v>
      </c>
      <c r="Q272" s="12">
        <v>44822.530381944445</v>
      </c>
      <c r="R272" s="13">
        <v>44823</v>
      </c>
      <c r="T272" t="s">
        <v>47</v>
      </c>
      <c r="U272" t="s">
        <v>48</v>
      </c>
      <c r="V272" t="s">
        <v>190</v>
      </c>
      <c r="Y272" t="s">
        <v>921</v>
      </c>
      <c r="Z272">
        <v>53000</v>
      </c>
      <c r="AA272" t="s">
        <v>47</v>
      </c>
      <c r="AB272" t="s">
        <v>58</v>
      </c>
      <c r="AC272" t="s">
        <v>53</v>
      </c>
      <c r="AD272" s="16">
        <f>IF(P272&lt;=1,7,7+0.8*ROUNDUP(P272-1,0))</f>
        <v>7</v>
      </c>
      <c r="AE272" s="15">
        <v>0</v>
      </c>
      <c r="AF272" s="15">
        <v>0</v>
      </c>
      <c r="AG272" s="15">
        <v>0</v>
      </c>
      <c r="AH272" s="15">
        <v>0</v>
      </c>
      <c r="AI272" s="15">
        <f t="shared" si="8"/>
        <v>0.42</v>
      </c>
      <c r="AJ272" s="15">
        <f t="shared" si="9"/>
        <v>7.42</v>
      </c>
      <c r="AK272" t="s">
        <v>47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922</v>
      </c>
      <c r="I273" t="s">
        <v>41</v>
      </c>
      <c r="J273" t="s">
        <v>923</v>
      </c>
      <c r="K273" t="s">
        <v>43</v>
      </c>
      <c r="L273">
        <v>2</v>
      </c>
      <c r="M273" t="s">
        <v>44</v>
      </c>
      <c r="N273" t="s">
        <v>45</v>
      </c>
      <c r="O273" t="s">
        <v>46</v>
      </c>
      <c r="P273" s="5">
        <v>4</v>
      </c>
      <c r="Q273" s="12">
        <v>44822.421331018515</v>
      </c>
      <c r="R273" s="13">
        <v>44823</v>
      </c>
      <c r="T273" t="s">
        <v>47</v>
      </c>
      <c r="U273" t="s">
        <v>48</v>
      </c>
      <c r="V273" t="s">
        <v>190</v>
      </c>
      <c r="Y273" t="s">
        <v>924</v>
      </c>
      <c r="Z273">
        <v>55100</v>
      </c>
      <c r="AA273" t="s">
        <v>47</v>
      </c>
      <c r="AB273" t="s">
        <v>925</v>
      </c>
      <c r="AC273" t="s">
        <v>53</v>
      </c>
      <c r="AD273" s="16">
        <f>IF(P273&lt;=1,7,7+0.8*ROUNDUP(P273-1,0))</f>
        <v>9.4</v>
      </c>
      <c r="AE273" s="15">
        <v>0</v>
      </c>
      <c r="AF273" s="15">
        <v>0</v>
      </c>
      <c r="AG273" s="15">
        <v>0</v>
      </c>
      <c r="AH273" s="15">
        <v>0</v>
      </c>
      <c r="AI273" s="15">
        <f t="shared" si="8"/>
        <v>0.56399999999999995</v>
      </c>
      <c r="AJ273" s="15">
        <f t="shared" si="9"/>
        <v>9.9640000000000004</v>
      </c>
      <c r="AK273" t="s">
        <v>47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926</v>
      </c>
      <c r="I274" t="s">
        <v>41</v>
      </c>
      <c r="J274" t="s">
        <v>927</v>
      </c>
      <c r="K274" t="s">
        <v>43</v>
      </c>
      <c r="L274">
        <v>2</v>
      </c>
      <c r="M274" t="s">
        <v>44</v>
      </c>
      <c r="N274" t="s">
        <v>45</v>
      </c>
      <c r="O274" t="s">
        <v>46</v>
      </c>
      <c r="P274" s="5">
        <v>1</v>
      </c>
      <c r="Q274" s="12">
        <v>44819.694467592592</v>
      </c>
      <c r="R274" s="13">
        <v>44823</v>
      </c>
      <c r="T274" t="s">
        <v>47</v>
      </c>
      <c r="U274" t="s">
        <v>48</v>
      </c>
      <c r="V274" t="s">
        <v>85</v>
      </c>
      <c r="Y274" t="s">
        <v>928</v>
      </c>
      <c r="Z274">
        <v>45000</v>
      </c>
      <c r="AA274" t="s">
        <v>47</v>
      </c>
      <c r="AB274" t="s">
        <v>58</v>
      </c>
      <c r="AC274" t="s">
        <v>53</v>
      </c>
      <c r="AD274" s="16">
        <f>IF(P274&lt;=1,7,7+0.8*ROUNDUP(P274-1,0))</f>
        <v>7</v>
      </c>
      <c r="AE274" s="15">
        <v>0</v>
      </c>
      <c r="AF274" s="15">
        <v>0</v>
      </c>
      <c r="AG274" s="15">
        <v>0</v>
      </c>
      <c r="AH274" s="15">
        <v>0</v>
      </c>
      <c r="AI274" s="15">
        <f t="shared" si="8"/>
        <v>0.42</v>
      </c>
      <c r="AJ274" s="15">
        <f t="shared" si="9"/>
        <v>7.42</v>
      </c>
      <c r="AK274" t="s">
        <v>47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929</v>
      </c>
      <c r="I275" t="s">
        <v>41</v>
      </c>
      <c r="J275" t="s">
        <v>930</v>
      </c>
      <c r="K275" t="s">
        <v>43</v>
      </c>
      <c r="L275">
        <v>2</v>
      </c>
      <c r="M275" t="s">
        <v>44</v>
      </c>
      <c r="N275" t="s">
        <v>45</v>
      </c>
      <c r="O275" t="s">
        <v>46</v>
      </c>
      <c r="P275" s="5">
        <v>1</v>
      </c>
      <c r="Q275" s="12">
        <v>44820.713969907411</v>
      </c>
      <c r="R275" s="13">
        <v>44823</v>
      </c>
      <c r="T275" t="s">
        <v>47</v>
      </c>
      <c r="U275" t="s">
        <v>48</v>
      </c>
      <c r="V275" t="s">
        <v>56</v>
      </c>
      <c r="Y275" t="s">
        <v>931</v>
      </c>
      <c r="Z275">
        <v>5400</v>
      </c>
      <c r="AA275" t="s">
        <v>47</v>
      </c>
      <c r="AB275" t="s">
        <v>58</v>
      </c>
      <c r="AC275" t="s">
        <v>53</v>
      </c>
      <c r="AD275" s="16">
        <f>IF(P275&lt;=1,7,7+0.8*ROUNDUP(P275-1,0))</f>
        <v>7</v>
      </c>
      <c r="AE275" s="15">
        <v>0</v>
      </c>
      <c r="AF275" s="15">
        <v>0</v>
      </c>
      <c r="AG275" s="15">
        <v>0</v>
      </c>
      <c r="AH275" s="15">
        <v>0</v>
      </c>
      <c r="AI275" s="15">
        <f t="shared" si="8"/>
        <v>0.42</v>
      </c>
      <c r="AJ275" s="15">
        <f t="shared" si="9"/>
        <v>7.42</v>
      </c>
      <c r="AK275" t="s">
        <v>47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932</v>
      </c>
      <c r="I276" t="s">
        <v>41</v>
      </c>
      <c r="J276" t="s">
        <v>624</v>
      </c>
      <c r="K276" t="s">
        <v>43</v>
      </c>
      <c r="L276">
        <v>2</v>
      </c>
      <c r="M276" t="s">
        <v>44</v>
      </c>
      <c r="N276" t="s">
        <v>45</v>
      </c>
      <c r="O276" t="s">
        <v>46</v>
      </c>
      <c r="P276" s="5">
        <v>1</v>
      </c>
      <c r="Q276" s="12">
        <v>44818.568483796298</v>
      </c>
      <c r="R276" s="13">
        <v>44823</v>
      </c>
      <c r="T276" t="s">
        <v>47</v>
      </c>
      <c r="U276" t="s">
        <v>48</v>
      </c>
      <c r="V276" t="s">
        <v>61</v>
      </c>
      <c r="Y276" t="s">
        <v>625</v>
      </c>
      <c r="Z276">
        <v>14000</v>
      </c>
      <c r="AA276" t="s">
        <v>47</v>
      </c>
      <c r="AB276" t="s">
        <v>58</v>
      </c>
      <c r="AC276" t="s">
        <v>53</v>
      </c>
      <c r="AD276" s="16">
        <f>IF(P276&lt;=1,7,7+0.8*ROUNDUP(P276-1,0))</f>
        <v>7</v>
      </c>
      <c r="AE276" s="15">
        <v>0</v>
      </c>
      <c r="AF276" s="15">
        <v>0</v>
      </c>
      <c r="AG276" s="15">
        <v>0</v>
      </c>
      <c r="AH276" s="15">
        <v>0</v>
      </c>
      <c r="AI276" s="15">
        <f t="shared" si="8"/>
        <v>0.42</v>
      </c>
      <c r="AJ276" s="15">
        <f t="shared" si="9"/>
        <v>7.42</v>
      </c>
      <c r="AK276" t="s">
        <v>47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933</v>
      </c>
      <c r="I277" t="s">
        <v>41</v>
      </c>
      <c r="J277" t="s">
        <v>934</v>
      </c>
      <c r="K277" t="s">
        <v>43</v>
      </c>
      <c r="L277">
        <v>2</v>
      </c>
      <c r="M277" t="s">
        <v>44</v>
      </c>
      <c r="N277" t="s">
        <v>45</v>
      </c>
      <c r="O277" t="s">
        <v>46</v>
      </c>
      <c r="P277" s="5">
        <v>1</v>
      </c>
      <c r="Q277" s="12">
        <v>44819.736504629633</v>
      </c>
      <c r="R277" s="13">
        <v>44823</v>
      </c>
      <c r="T277" t="s">
        <v>47</v>
      </c>
      <c r="U277" t="s">
        <v>48</v>
      </c>
      <c r="V277" t="s">
        <v>85</v>
      </c>
      <c r="Y277" t="s">
        <v>935</v>
      </c>
      <c r="Z277">
        <v>45600</v>
      </c>
      <c r="AA277" t="s">
        <v>47</v>
      </c>
      <c r="AB277" t="s">
        <v>58</v>
      </c>
      <c r="AC277" t="s">
        <v>53</v>
      </c>
      <c r="AD277" s="16">
        <f>IF(P277&lt;=1,7,7+0.8*ROUNDUP(P277-1,0))</f>
        <v>7</v>
      </c>
      <c r="AE277" s="15">
        <v>0</v>
      </c>
      <c r="AF277" s="15">
        <v>0</v>
      </c>
      <c r="AG277" s="15">
        <v>0</v>
      </c>
      <c r="AH277" s="15">
        <v>0</v>
      </c>
      <c r="AI277" s="15">
        <f t="shared" si="8"/>
        <v>0.42</v>
      </c>
      <c r="AJ277" s="15">
        <f t="shared" si="9"/>
        <v>7.42</v>
      </c>
      <c r="AK277" t="s">
        <v>47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936</v>
      </c>
      <c r="I278" t="s">
        <v>41</v>
      </c>
      <c r="J278" t="s">
        <v>937</v>
      </c>
      <c r="K278" t="s">
        <v>43</v>
      </c>
      <c r="L278">
        <v>2</v>
      </c>
      <c r="M278" t="s">
        <v>44</v>
      </c>
      <c r="N278" t="s">
        <v>45</v>
      </c>
      <c r="O278" t="s">
        <v>46</v>
      </c>
      <c r="P278" s="5">
        <v>1</v>
      </c>
      <c r="Q278" s="12">
        <v>44821.664178240739</v>
      </c>
      <c r="R278" s="13">
        <v>44823</v>
      </c>
      <c r="T278" t="s">
        <v>47</v>
      </c>
      <c r="U278" t="s">
        <v>48</v>
      </c>
      <c r="V278" t="s">
        <v>61</v>
      </c>
      <c r="Y278" t="s">
        <v>938</v>
      </c>
      <c r="Z278">
        <v>14020</v>
      </c>
      <c r="AA278" t="s">
        <v>47</v>
      </c>
      <c r="AB278" t="s">
        <v>939</v>
      </c>
      <c r="AC278" t="s">
        <v>53</v>
      </c>
      <c r="AD278" s="16">
        <f>IF(P278&lt;=1,7,7+0.8*ROUNDUP(P278-1,0))</f>
        <v>7</v>
      </c>
      <c r="AE278" s="15">
        <v>0</v>
      </c>
      <c r="AF278" s="15">
        <v>0</v>
      </c>
      <c r="AG278" s="15">
        <v>0</v>
      </c>
      <c r="AH278" s="15">
        <v>0</v>
      </c>
      <c r="AI278" s="15">
        <f t="shared" si="8"/>
        <v>0.42</v>
      </c>
      <c r="AJ278" s="15">
        <f t="shared" si="9"/>
        <v>7.42</v>
      </c>
      <c r="AK278" t="s">
        <v>47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940</v>
      </c>
      <c r="I279" t="s">
        <v>41</v>
      </c>
      <c r="J279" t="s">
        <v>941</v>
      </c>
      <c r="K279" t="s">
        <v>43</v>
      </c>
      <c r="L279">
        <v>2</v>
      </c>
      <c r="M279" t="s">
        <v>44</v>
      </c>
      <c r="N279" t="s">
        <v>45</v>
      </c>
      <c r="O279" t="s">
        <v>46</v>
      </c>
      <c r="P279" s="5">
        <v>4</v>
      </c>
      <c r="Q279" s="12">
        <v>44822.766574074078</v>
      </c>
      <c r="R279" s="13">
        <v>44824</v>
      </c>
      <c r="T279" t="s">
        <v>47</v>
      </c>
      <c r="U279" t="s">
        <v>48</v>
      </c>
      <c r="V279" t="s">
        <v>76</v>
      </c>
      <c r="Y279" t="s">
        <v>942</v>
      </c>
      <c r="Z279">
        <v>17000</v>
      </c>
      <c r="AA279" t="s">
        <v>47</v>
      </c>
      <c r="AB279" t="s">
        <v>943</v>
      </c>
      <c r="AC279" t="s">
        <v>53</v>
      </c>
      <c r="AD279" s="16">
        <f>IF(P279&lt;=1,7,7+0.8*ROUNDUP(P279-1,0))</f>
        <v>9.4</v>
      </c>
      <c r="AE279" s="15">
        <v>0</v>
      </c>
      <c r="AF279" s="15">
        <v>0</v>
      </c>
      <c r="AG279" s="15">
        <v>0</v>
      </c>
      <c r="AH279" s="15">
        <v>0</v>
      </c>
      <c r="AI279" s="15">
        <f t="shared" si="8"/>
        <v>0.56399999999999995</v>
      </c>
      <c r="AJ279" s="15">
        <f t="shared" si="9"/>
        <v>9.9640000000000004</v>
      </c>
      <c r="AK279" t="s">
        <v>47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944</v>
      </c>
      <c r="I280" t="s">
        <v>41</v>
      </c>
      <c r="J280" t="s">
        <v>945</v>
      </c>
      <c r="K280" t="s">
        <v>43</v>
      </c>
      <c r="L280">
        <v>2</v>
      </c>
      <c r="M280" t="s">
        <v>44</v>
      </c>
      <c r="N280" t="s">
        <v>45</v>
      </c>
      <c r="O280" t="s">
        <v>46</v>
      </c>
      <c r="P280" s="5">
        <v>1</v>
      </c>
      <c r="Q280" s="12">
        <v>44822.735000000001</v>
      </c>
      <c r="R280" s="13">
        <v>44824</v>
      </c>
      <c r="T280" t="s">
        <v>47</v>
      </c>
      <c r="U280" t="s">
        <v>48</v>
      </c>
      <c r="V280" t="s">
        <v>76</v>
      </c>
      <c r="Y280" t="s">
        <v>946</v>
      </c>
      <c r="Z280">
        <v>16450</v>
      </c>
      <c r="AA280" t="s">
        <v>47</v>
      </c>
      <c r="AB280" t="s">
        <v>90</v>
      </c>
      <c r="AC280" t="s">
        <v>53</v>
      </c>
      <c r="AD280" s="16">
        <f>IF(P280&lt;=1,7,7+0.8*ROUNDUP(P280-1,0))</f>
        <v>7</v>
      </c>
      <c r="AE280" s="15">
        <v>0</v>
      </c>
      <c r="AF280" s="15">
        <v>0</v>
      </c>
      <c r="AG280" s="15">
        <v>0</v>
      </c>
      <c r="AH280" s="15">
        <v>0</v>
      </c>
      <c r="AI280" s="15">
        <f t="shared" si="8"/>
        <v>0.42</v>
      </c>
      <c r="AJ280" s="15">
        <f t="shared" si="9"/>
        <v>7.42</v>
      </c>
      <c r="AK280" t="s">
        <v>47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947</v>
      </c>
      <c r="I281" t="s">
        <v>41</v>
      </c>
      <c r="J281" t="s">
        <v>948</v>
      </c>
      <c r="K281" t="s">
        <v>43</v>
      </c>
      <c r="L281">
        <v>2</v>
      </c>
      <c r="M281" t="s">
        <v>44</v>
      </c>
      <c r="N281" t="s">
        <v>45</v>
      </c>
      <c r="O281" t="s">
        <v>46</v>
      </c>
      <c r="P281" s="5">
        <v>1</v>
      </c>
      <c r="Q281" s="12">
        <v>44823.420532407406</v>
      </c>
      <c r="R281" s="13">
        <v>44824</v>
      </c>
      <c r="T281" t="s">
        <v>47</v>
      </c>
      <c r="U281" t="s">
        <v>48</v>
      </c>
      <c r="V281" t="s">
        <v>119</v>
      </c>
      <c r="Y281" t="s">
        <v>949</v>
      </c>
      <c r="Z281">
        <v>25050</v>
      </c>
      <c r="AA281" t="s">
        <v>47</v>
      </c>
      <c r="AB281" t="s">
        <v>48</v>
      </c>
      <c r="AC281" t="s">
        <v>53</v>
      </c>
      <c r="AD281" s="16">
        <f>IF(P281&lt;=1,7,7+0.8*ROUNDUP(P281-1,0))</f>
        <v>7</v>
      </c>
      <c r="AE281" s="15">
        <v>0</v>
      </c>
      <c r="AF281" s="15">
        <v>0</v>
      </c>
      <c r="AG281" s="15">
        <v>0</v>
      </c>
      <c r="AH281" s="15">
        <v>0</v>
      </c>
      <c r="AI281" s="15">
        <f t="shared" si="8"/>
        <v>0.42</v>
      </c>
      <c r="AJ281" s="15">
        <f t="shared" si="9"/>
        <v>7.42</v>
      </c>
      <c r="AK281" t="s">
        <v>47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950</v>
      </c>
      <c r="I282" t="s">
        <v>41</v>
      </c>
      <c r="J282" t="s">
        <v>951</v>
      </c>
      <c r="K282" t="s">
        <v>43</v>
      </c>
      <c r="L282">
        <v>2</v>
      </c>
      <c r="M282" t="s">
        <v>44</v>
      </c>
      <c r="N282" t="s">
        <v>45</v>
      </c>
      <c r="O282" t="s">
        <v>46</v>
      </c>
      <c r="P282" s="5">
        <v>1</v>
      </c>
      <c r="Q282" s="12">
        <v>44823.632615740738</v>
      </c>
      <c r="R282" s="13">
        <v>44824</v>
      </c>
      <c r="T282" t="s">
        <v>47</v>
      </c>
      <c r="U282" t="s">
        <v>48</v>
      </c>
      <c r="V282" t="s">
        <v>81</v>
      </c>
      <c r="Y282" t="s">
        <v>952</v>
      </c>
      <c r="Z282">
        <v>31350</v>
      </c>
      <c r="AA282" t="s">
        <v>47</v>
      </c>
      <c r="AB282" t="s">
        <v>48</v>
      </c>
      <c r="AC282" t="s">
        <v>53</v>
      </c>
      <c r="AD282" s="16">
        <f>IF(P282&lt;=1,7,7+0.8*ROUNDUP(P282-1,0))</f>
        <v>7</v>
      </c>
      <c r="AE282" s="15">
        <v>0</v>
      </c>
      <c r="AF282" s="15">
        <v>0</v>
      </c>
      <c r="AG282" s="15">
        <v>0</v>
      </c>
      <c r="AH282" s="15">
        <v>0</v>
      </c>
      <c r="AI282" s="15">
        <f t="shared" si="8"/>
        <v>0.42</v>
      </c>
      <c r="AJ282" s="15">
        <f t="shared" si="9"/>
        <v>7.42</v>
      </c>
      <c r="AK282" t="s">
        <v>47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953</v>
      </c>
      <c r="I283" t="s">
        <v>41</v>
      </c>
      <c r="J283" t="s">
        <v>954</v>
      </c>
      <c r="K283" t="s">
        <v>43</v>
      </c>
      <c r="L283">
        <v>2</v>
      </c>
      <c r="M283" t="s">
        <v>44</v>
      </c>
      <c r="N283" t="s">
        <v>45</v>
      </c>
      <c r="O283" t="s">
        <v>46</v>
      </c>
      <c r="P283" s="5">
        <v>1</v>
      </c>
      <c r="Q283" s="12">
        <v>44822.739479166667</v>
      </c>
      <c r="R283" s="13">
        <v>44824</v>
      </c>
      <c r="T283" t="s">
        <v>47</v>
      </c>
      <c r="U283" t="s">
        <v>48</v>
      </c>
      <c r="V283" t="s">
        <v>119</v>
      </c>
      <c r="Y283" t="s">
        <v>955</v>
      </c>
      <c r="Z283">
        <v>27100</v>
      </c>
      <c r="AA283" t="s">
        <v>47</v>
      </c>
      <c r="AB283" t="s">
        <v>899</v>
      </c>
      <c r="AC283" t="s">
        <v>53</v>
      </c>
      <c r="AD283" s="16">
        <f>IF(P283&lt;=1,7,7+0.8*ROUNDUP(P283-1,0))</f>
        <v>7</v>
      </c>
      <c r="AE283" s="15">
        <v>0</v>
      </c>
      <c r="AF283" s="15">
        <v>0</v>
      </c>
      <c r="AG283" s="15">
        <v>0</v>
      </c>
      <c r="AH283" s="15">
        <v>0</v>
      </c>
      <c r="AI283" s="15">
        <f t="shared" si="8"/>
        <v>0.42</v>
      </c>
      <c r="AJ283" s="15">
        <f t="shared" si="9"/>
        <v>7.42</v>
      </c>
      <c r="AK283" t="s">
        <v>47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956</v>
      </c>
      <c r="I284" t="s">
        <v>41</v>
      </c>
      <c r="J284" t="s">
        <v>957</v>
      </c>
      <c r="K284" t="s">
        <v>43</v>
      </c>
      <c r="L284">
        <v>2</v>
      </c>
      <c r="M284" t="s">
        <v>44</v>
      </c>
      <c r="N284" t="s">
        <v>45</v>
      </c>
      <c r="O284" t="s">
        <v>46</v>
      </c>
      <c r="P284" s="5">
        <v>1</v>
      </c>
      <c r="Q284" s="12">
        <v>44823.592048611114</v>
      </c>
      <c r="R284" s="13">
        <v>44824</v>
      </c>
      <c r="T284" t="s">
        <v>47</v>
      </c>
      <c r="U284" t="s">
        <v>48</v>
      </c>
      <c r="V284" t="s">
        <v>119</v>
      </c>
      <c r="Y284" t="s">
        <v>958</v>
      </c>
      <c r="Z284">
        <v>27000</v>
      </c>
      <c r="AA284" t="s">
        <v>47</v>
      </c>
      <c r="AB284" t="s">
        <v>48</v>
      </c>
      <c r="AC284" t="s">
        <v>53</v>
      </c>
      <c r="AD284" s="16">
        <f>IF(P284&lt;=1,7,7+0.8*ROUNDUP(P284-1,0))</f>
        <v>7</v>
      </c>
      <c r="AE284" s="15">
        <v>0</v>
      </c>
      <c r="AF284" s="15">
        <v>0</v>
      </c>
      <c r="AG284" s="15">
        <v>0</v>
      </c>
      <c r="AH284" s="15">
        <v>0</v>
      </c>
      <c r="AI284" s="15">
        <f t="shared" si="8"/>
        <v>0.42</v>
      </c>
      <c r="AJ284" s="15">
        <f t="shared" si="9"/>
        <v>7.42</v>
      </c>
      <c r="AK284" t="s">
        <v>47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959</v>
      </c>
      <c r="I285" t="s">
        <v>41</v>
      </c>
      <c r="J285" t="s">
        <v>960</v>
      </c>
      <c r="K285" t="s">
        <v>43</v>
      </c>
      <c r="L285">
        <v>2</v>
      </c>
      <c r="M285" t="s">
        <v>44</v>
      </c>
      <c r="N285" t="s">
        <v>45</v>
      </c>
      <c r="O285" t="s">
        <v>46</v>
      </c>
      <c r="P285" s="5">
        <v>1</v>
      </c>
      <c r="Q285" s="12">
        <v>44823.631076388891</v>
      </c>
      <c r="R285" s="13">
        <v>44824</v>
      </c>
      <c r="T285" t="s">
        <v>47</v>
      </c>
      <c r="U285" t="s">
        <v>48</v>
      </c>
      <c r="V285" t="s">
        <v>119</v>
      </c>
      <c r="Y285" t="s">
        <v>961</v>
      </c>
      <c r="Z285">
        <v>28100</v>
      </c>
      <c r="AA285" t="s">
        <v>47</v>
      </c>
      <c r="AB285" t="s">
        <v>48</v>
      </c>
      <c r="AC285" t="s">
        <v>53</v>
      </c>
      <c r="AD285" s="16">
        <f>IF(P285&lt;=1,7,7+0.8*ROUNDUP(P285-1,0))</f>
        <v>7</v>
      </c>
      <c r="AE285" s="15">
        <v>0</v>
      </c>
      <c r="AF285" s="15">
        <v>0</v>
      </c>
      <c r="AG285" s="15">
        <v>0</v>
      </c>
      <c r="AH285" s="15">
        <v>0</v>
      </c>
      <c r="AI285" s="15">
        <f t="shared" si="8"/>
        <v>0.42</v>
      </c>
      <c r="AJ285" s="15">
        <f t="shared" si="9"/>
        <v>7.42</v>
      </c>
      <c r="AK285" t="s">
        <v>47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962</v>
      </c>
      <c r="I286" t="s">
        <v>41</v>
      </c>
      <c r="J286" t="s">
        <v>963</v>
      </c>
      <c r="K286" t="s">
        <v>43</v>
      </c>
      <c r="L286">
        <v>2</v>
      </c>
      <c r="M286" t="s">
        <v>44</v>
      </c>
      <c r="N286" t="s">
        <v>45</v>
      </c>
      <c r="O286" t="s">
        <v>46</v>
      </c>
      <c r="P286" s="5">
        <v>1</v>
      </c>
      <c r="Q286" s="12">
        <v>44822.551469907405</v>
      </c>
      <c r="R286" s="13">
        <v>44824</v>
      </c>
      <c r="T286" t="s">
        <v>47</v>
      </c>
      <c r="U286" t="s">
        <v>48</v>
      </c>
      <c r="V286" t="s">
        <v>93</v>
      </c>
      <c r="Y286" t="s">
        <v>964</v>
      </c>
      <c r="Z286">
        <v>81750</v>
      </c>
      <c r="AA286" t="s">
        <v>47</v>
      </c>
      <c r="AB286" t="s">
        <v>58</v>
      </c>
      <c r="AC286" t="s">
        <v>53</v>
      </c>
      <c r="AD286" s="16">
        <f>IF(P286&lt;=1,7,7+0.8*ROUNDUP(P286-1,0))</f>
        <v>7</v>
      </c>
      <c r="AE286" s="15">
        <v>0</v>
      </c>
      <c r="AF286" s="15">
        <v>0</v>
      </c>
      <c r="AG286" s="15">
        <v>0</v>
      </c>
      <c r="AH286" s="15">
        <v>0</v>
      </c>
      <c r="AI286" s="15">
        <f t="shared" si="8"/>
        <v>0.42</v>
      </c>
      <c r="AJ286" s="15">
        <f t="shared" si="9"/>
        <v>7.42</v>
      </c>
      <c r="AK286" t="s">
        <v>47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965</v>
      </c>
      <c r="I287" t="s">
        <v>41</v>
      </c>
      <c r="J287" t="s">
        <v>966</v>
      </c>
      <c r="K287" t="s">
        <v>43</v>
      </c>
      <c r="L287">
        <v>2</v>
      </c>
      <c r="M287" t="s">
        <v>44</v>
      </c>
      <c r="N287" t="s">
        <v>45</v>
      </c>
      <c r="O287" t="s">
        <v>46</v>
      </c>
      <c r="P287" s="5">
        <v>3</v>
      </c>
      <c r="Q287" s="12">
        <v>44824.516331018516</v>
      </c>
      <c r="R287" s="13">
        <v>44825</v>
      </c>
      <c r="T287" t="s">
        <v>47</v>
      </c>
      <c r="U287" t="s">
        <v>48</v>
      </c>
      <c r="V287" t="s">
        <v>85</v>
      </c>
      <c r="Y287" t="s">
        <v>967</v>
      </c>
      <c r="Z287">
        <v>40460</v>
      </c>
      <c r="AA287" t="s">
        <v>47</v>
      </c>
      <c r="AB287" t="s">
        <v>968</v>
      </c>
      <c r="AC287" t="s">
        <v>53</v>
      </c>
      <c r="AD287" s="16">
        <f>IF(P287&lt;=1,7,7+0.8*ROUNDUP(P287-1,0))</f>
        <v>8.6</v>
      </c>
      <c r="AE287" s="15">
        <v>0</v>
      </c>
      <c r="AF287" s="15">
        <v>0</v>
      </c>
      <c r="AG287" s="15">
        <v>0</v>
      </c>
      <c r="AH287" s="15">
        <v>0</v>
      </c>
      <c r="AI287" s="15">
        <f t="shared" si="8"/>
        <v>0.51600000000000001</v>
      </c>
      <c r="AJ287" s="15">
        <f t="shared" si="9"/>
        <v>9.1159999999999997</v>
      </c>
      <c r="AK287" t="s">
        <v>47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969</v>
      </c>
      <c r="I288" t="s">
        <v>41</v>
      </c>
      <c r="J288" t="s">
        <v>970</v>
      </c>
      <c r="K288" t="s">
        <v>43</v>
      </c>
      <c r="L288">
        <v>2</v>
      </c>
      <c r="M288" t="s">
        <v>44</v>
      </c>
      <c r="N288" t="s">
        <v>45</v>
      </c>
      <c r="O288" t="s">
        <v>46</v>
      </c>
      <c r="P288" s="5">
        <v>2</v>
      </c>
      <c r="Q288" s="12">
        <v>44823.403067129628</v>
      </c>
      <c r="R288" s="13">
        <v>44825</v>
      </c>
      <c r="T288" t="s">
        <v>47</v>
      </c>
      <c r="U288" t="s">
        <v>48</v>
      </c>
      <c r="V288" t="s">
        <v>115</v>
      </c>
      <c r="Y288" t="s">
        <v>971</v>
      </c>
      <c r="Z288">
        <v>1000</v>
      </c>
      <c r="AA288" t="s">
        <v>47</v>
      </c>
      <c r="AB288" t="s">
        <v>58</v>
      </c>
      <c r="AC288" t="s">
        <v>53</v>
      </c>
      <c r="AD288" s="16">
        <f>IF(P288&lt;=1,7,7+0.8*ROUNDUP(P288-1,0))</f>
        <v>7.8</v>
      </c>
      <c r="AE288" s="15">
        <v>0</v>
      </c>
      <c r="AF288" s="15">
        <v>0</v>
      </c>
      <c r="AG288" s="15">
        <v>0</v>
      </c>
      <c r="AH288" s="15">
        <v>0</v>
      </c>
      <c r="AI288" s="15">
        <f t="shared" si="8"/>
        <v>0.46799999999999997</v>
      </c>
      <c r="AJ288" s="15">
        <f t="shared" si="9"/>
        <v>8.2680000000000007</v>
      </c>
      <c r="AK288" t="s">
        <v>47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972</v>
      </c>
      <c r="I289" t="s">
        <v>41</v>
      </c>
      <c r="J289" t="s">
        <v>973</v>
      </c>
      <c r="K289" t="s">
        <v>43</v>
      </c>
      <c r="L289">
        <v>2</v>
      </c>
      <c r="M289" t="s">
        <v>44</v>
      </c>
      <c r="N289" t="s">
        <v>45</v>
      </c>
      <c r="O289" t="s">
        <v>46</v>
      </c>
      <c r="P289" s="5">
        <v>1</v>
      </c>
      <c r="Q289" s="12">
        <v>44823.632025462961</v>
      </c>
      <c r="R289" s="13">
        <v>44825</v>
      </c>
      <c r="T289" t="s">
        <v>47</v>
      </c>
      <c r="U289" t="s">
        <v>48</v>
      </c>
      <c r="V289" t="s">
        <v>56</v>
      </c>
      <c r="Y289" t="s">
        <v>974</v>
      </c>
      <c r="Z289">
        <v>8000</v>
      </c>
      <c r="AA289" t="s">
        <v>47</v>
      </c>
      <c r="AB289" t="s">
        <v>58</v>
      </c>
      <c r="AC289" t="s">
        <v>53</v>
      </c>
      <c r="AD289" s="16">
        <f>IF(P289&lt;=1,7,7+0.8*ROUNDUP(P289-1,0))</f>
        <v>7</v>
      </c>
      <c r="AE289" s="15">
        <v>0</v>
      </c>
      <c r="AF289" s="15">
        <v>0</v>
      </c>
      <c r="AG289" s="15">
        <v>0</v>
      </c>
      <c r="AH289" s="15">
        <v>0</v>
      </c>
      <c r="AI289" s="15">
        <f t="shared" si="8"/>
        <v>0.42</v>
      </c>
      <c r="AJ289" s="15">
        <f t="shared" si="9"/>
        <v>7.42</v>
      </c>
      <c r="AK289" t="s">
        <v>47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975</v>
      </c>
      <c r="I290" t="s">
        <v>41</v>
      </c>
      <c r="J290" t="s">
        <v>976</v>
      </c>
      <c r="K290" t="s">
        <v>43</v>
      </c>
      <c r="L290">
        <v>2</v>
      </c>
      <c r="M290" t="s">
        <v>44</v>
      </c>
      <c r="N290" t="s">
        <v>45</v>
      </c>
      <c r="O290" t="s">
        <v>46</v>
      </c>
      <c r="P290" s="5">
        <v>2</v>
      </c>
      <c r="Q290" s="12">
        <v>44825.542407407411</v>
      </c>
      <c r="R290" s="13">
        <v>44826</v>
      </c>
      <c r="T290" t="s">
        <v>47</v>
      </c>
      <c r="U290" t="s">
        <v>48</v>
      </c>
      <c r="V290" t="s">
        <v>76</v>
      </c>
      <c r="Y290" t="s">
        <v>977</v>
      </c>
      <c r="Z290">
        <v>18000</v>
      </c>
      <c r="AA290" t="s">
        <v>47</v>
      </c>
      <c r="AB290" t="s">
        <v>978</v>
      </c>
      <c r="AC290" t="s">
        <v>53</v>
      </c>
      <c r="AD290" s="16">
        <f>IF(P290&lt;=1,7,7+0.8*ROUNDUP(P290-1,0))</f>
        <v>7.8</v>
      </c>
      <c r="AE290" s="15">
        <v>0</v>
      </c>
      <c r="AF290" s="15">
        <v>0</v>
      </c>
      <c r="AG290" s="15">
        <v>0</v>
      </c>
      <c r="AH290" s="15">
        <v>0</v>
      </c>
      <c r="AI290" s="15">
        <f t="shared" si="8"/>
        <v>0.46799999999999997</v>
      </c>
      <c r="AJ290" s="15">
        <f t="shared" si="9"/>
        <v>8.2680000000000007</v>
      </c>
      <c r="AK290" t="s">
        <v>47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979</v>
      </c>
      <c r="I291" t="s">
        <v>41</v>
      </c>
      <c r="J291" t="s">
        <v>980</v>
      </c>
      <c r="K291" t="s">
        <v>43</v>
      </c>
      <c r="L291">
        <v>2</v>
      </c>
      <c r="M291" t="s">
        <v>44</v>
      </c>
      <c r="N291" t="s">
        <v>45</v>
      </c>
      <c r="O291" t="s">
        <v>46</v>
      </c>
      <c r="P291" s="5">
        <v>1</v>
      </c>
      <c r="Q291" s="12">
        <v>44825.569108796299</v>
      </c>
      <c r="R291" s="13">
        <v>44826</v>
      </c>
      <c r="T291" t="s">
        <v>47</v>
      </c>
      <c r="U291" t="s">
        <v>48</v>
      </c>
      <c r="V291" t="s">
        <v>85</v>
      </c>
      <c r="Y291" t="s">
        <v>981</v>
      </c>
      <c r="Z291">
        <v>40450</v>
      </c>
      <c r="AA291" t="s">
        <v>47</v>
      </c>
      <c r="AB291" t="s">
        <v>58</v>
      </c>
      <c r="AC291" t="s">
        <v>53</v>
      </c>
      <c r="AD291" s="16">
        <f>IF(P291&lt;=1,7,7+0.8*ROUNDUP(P291-1,0))</f>
        <v>7</v>
      </c>
      <c r="AE291" s="15">
        <v>0</v>
      </c>
      <c r="AF291" s="15">
        <v>0</v>
      </c>
      <c r="AG291" s="15">
        <v>0</v>
      </c>
      <c r="AH291" s="15">
        <v>0</v>
      </c>
      <c r="AI291" s="15">
        <f t="shared" si="8"/>
        <v>0.42</v>
      </c>
      <c r="AJ291" s="15">
        <f t="shared" si="9"/>
        <v>7.42</v>
      </c>
      <c r="AK291" t="s">
        <v>47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982</v>
      </c>
      <c r="I292" t="s">
        <v>41</v>
      </c>
      <c r="J292" t="s">
        <v>983</v>
      </c>
      <c r="K292" t="s">
        <v>43</v>
      </c>
      <c r="L292">
        <v>2</v>
      </c>
      <c r="M292" t="s">
        <v>44</v>
      </c>
      <c r="N292" t="s">
        <v>45</v>
      </c>
      <c r="O292" t="s">
        <v>46</v>
      </c>
      <c r="P292" s="5">
        <v>17</v>
      </c>
      <c r="Q292" s="12">
        <v>44823.588310185187</v>
      </c>
      <c r="R292" s="13">
        <v>44826</v>
      </c>
      <c r="T292" t="s">
        <v>47</v>
      </c>
      <c r="U292" t="s">
        <v>48</v>
      </c>
      <c r="V292" t="s">
        <v>134</v>
      </c>
      <c r="Y292" t="s">
        <v>984</v>
      </c>
      <c r="Z292">
        <v>95400</v>
      </c>
      <c r="AA292" t="s">
        <v>51</v>
      </c>
      <c r="AB292" t="s">
        <v>58</v>
      </c>
      <c r="AC292" t="s">
        <v>53</v>
      </c>
      <c r="AD292" s="14">
        <f>IF(P292&lt;=1,13,IF(P292&lt;=2,23,IF(P292&lt;=3,35,IF(P292&lt;=4,43,IF(P292&lt;=5,53,IF(P292&lt;=6,63,IF(P292&lt;=7,71,IF(P292&lt;=8,79,IF(P292&lt;=9,87,IF(P292&lt;=10,95,IF(P292&lt;=11,105,IF(P292&lt;=12,114,IF(P292&lt;=13,119,IF(P292&lt;=14,127,IF(P292&lt;=15,135,IF(P292&lt;=16,143,IF(P292&lt;=17,153,IF(P292&lt;=18,163,IF(P292&lt;=19,171,IF(P292&lt;=20,185,IF(P292&lt;=21,193,IF(P292&lt;=22,201,IF(P292&lt;=23,210,IF(P292&lt;=24,220,IF(P292&lt;=25,230,IF(P292&lt;=26,240,IF(P292&lt;=27,250,IF(P292&lt;=28,260,IF(P292&lt;=29,270,IF(P292&lt;=30,280,280))))))))))))))))))))))))))))))</f>
        <v>153</v>
      </c>
      <c r="AE292" s="15">
        <v>0</v>
      </c>
      <c r="AF292" s="15">
        <v>0</v>
      </c>
      <c r="AG292" s="15">
        <v>0</v>
      </c>
      <c r="AH292" s="15">
        <v>0</v>
      </c>
      <c r="AI292" s="15">
        <f t="shared" si="8"/>
        <v>9.18</v>
      </c>
      <c r="AJ292" s="15">
        <f t="shared" si="9"/>
        <v>162.18</v>
      </c>
      <c r="AK292" t="s">
        <v>51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985</v>
      </c>
      <c r="I293" t="s">
        <v>41</v>
      </c>
      <c r="J293" t="s">
        <v>986</v>
      </c>
      <c r="K293" t="s">
        <v>43</v>
      </c>
      <c r="L293">
        <v>2</v>
      </c>
      <c r="M293" t="s">
        <v>44</v>
      </c>
      <c r="N293" t="s">
        <v>45</v>
      </c>
      <c r="O293" t="s">
        <v>46</v>
      </c>
      <c r="P293" s="5">
        <v>1</v>
      </c>
      <c r="Q293" s="12">
        <v>44825.544537037036</v>
      </c>
      <c r="R293" s="13">
        <v>44826</v>
      </c>
      <c r="T293" t="s">
        <v>47</v>
      </c>
      <c r="U293" t="s">
        <v>48</v>
      </c>
      <c r="V293" t="s">
        <v>300</v>
      </c>
      <c r="Y293" t="s">
        <v>987</v>
      </c>
      <c r="Z293">
        <v>21700</v>
      </c>
      <c r="AA293" t="s">
        <v>47</v>
      </c>
      <c r="AB293" t="s">
        <v>48</v>
      </c>
      <c r="AC293" t="s">
        <v>53</v>
      </c>
      <c r="AD293" s="16">
        <f>IF(P293&lt;=1,7,7+0.8*ROUNDUP(P293-1,0))</f>
        <v>7</v>
      </c>
      <c r="AE293" s="15">
        <v>0</v>
      </c>
      <c r="AF293" s="15">
        <v>0</v>
      </c>
      <c r="AG293" s="15">
        <v>0</v>
      </c>
      <c r="AH293" s="15">
        <v>0</v>
      </c>
      <c r="AI293" s="15">
        <f t="shared" si="8"/>
        <v>0.42</v>
      </c>
      <c r="AJ293" s="15">
        <f t="shared" si="9"/>
        <v>7.42</v>
      </c>
      <c r="AK293" t="s">
        <v>47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988</v>
      </c>
      <c r="I294" t="s">
        <v>41</v>
      </c>
      <c r="J294" t="s">
        <v>989</v>
      </c>
      <c r="K294" t="s">
        <v>43</v>
      </c>
      <c r="L294">
        <v>2</v>
      </c>
      <c r="M294" t="s">
        <v>44</v>
      </c>
      <c r="N294" t="s">
        <v>45</v>
      </c>
      <c r="O294" t="s">
        <v>46</v>
      </c>
      <c r="P294" s="5">
        <v>2</v>
      </c>
      <c r="Q294" s="12">
        <v>44825.540983796294</v>
      </c>
      <c r="R294" s="13">
        <v>44826</v>
      </c>
      <c r="T294" t="s">
        <v>47</v>
      </c>
      <c r="U294" t="s">
        <v>48</v>
      </c>
      <c r="V294" t="s">
        <v>190</v>
      </c>
      <c r="Y294" t="s">
        <v>990</v>
      </c>
      <c r="Z294">
        <v>57100</v>
      </c>
      <c r="AA294" t="s">
        <v>47</v>
      </c>
      <c r="AB294" t="s">
        <v>925</v>
      </c>
      <c r="AC294" t="s">
        <v>53</v>
      </c>
      <c r="AD294" s="16">
        <f>IF(P294&lt;=1,7,7+0.8*ROUNDUP(P294-1,0))</f>
        <v>7.8</v>
      </c>
      <c r="AE294" s="15">
        <v>0</v>
      </c>
      <c r="AF294" s="15">
        <v>0</v>
      </c>
      <c r="AG294" s="15">
        <v>0</v>
      </c>
      <c r="AH294" s="15">
        <v>0</v>
      </c>
      <c r="AI294" s="15">
        <f t="shared" si="8"/>
        <v>0.46799999999999997</v>
      </c>
      <c r="AJ294" s="15">
        <f t="shared" si="9"/>
        <v>8.2680000000000007</v>
      </c>
      <c r="AK294" t="s">
        <v>47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991</v>
      </c>
      <c r="I295" t="s">
        <v>41</v>
      </c>
      <c r="J295" t="s">
        <v>992</v>
      </c>
      <c r="K295" t="s">
        <v>43</v>
      </c>
      <c r="L295">
        <v>2</v>
      </c>
      <c r="M295" t="s">
        <v>44</v>
      </c>
      <c r="N295" t="s">
        <v>45</v>
      </c>
      <c r="O295" t="s">
        <v>46</v>
      </c>
      <c r="P295" s="5">
        <v>1</v>
      </c>
      <c r="Q295" s="12">
        <v>44826.65289351852</v>
      </c>
      <c r="R295" s="13">
        <v>44827</v>
      </c>
      <c r="T295" t="s">
        <v>47</v>
      </c>
      <c r="U295" t="s">
        <v>48</v>
      </c>
      <c r="V295" t="s">
        <v>85</v>
      </c>
      <c r="Y295" t="s">
        <v>993</v>
      </c>
      <c r="Z295">
        <v>43700</v>
      </c>
      <c r="AA295" t="s">
        <v>47</v>
      </c>
      <c r="AB295" t="s">
        <v>994</v>
      </c>
      <c r="AC295" t="s">
        <v>53</v>
      </c>
      <c r="AD295" s="16">
        <f>IF(P295&lt;=1,7,7+0.8*ROUNDUP(P295-1,0))</f>
        <v>7</v>
      </c>
      <c r="AE295" s="15">
        <v>0</v>
      </c>
      <c r="AF295" s="15">
        <v>0</v>
      </c>
      <c r="AG295" s="15">
        <v>0</v>
      </c>
      <c r="AH295" s="15">
        <v>0</v>
      </c>
      <c r="AI295" s="15">
        <f t="shared" si="8"/>
        <v>0.42</v>
      </c>
      <c r="AJ295" s="15">
        <f t="shared" si="9"/>
        <v>7.42</v>
      </c>
      <c r="AK295" t="s">
        <v>47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995</v>
      </c>
      <c r="I296" t="s">
        <v>41</v>
      </c>
      <c r="J296" t="s">
        <v>996</v>
      </c>
      <c r="K296" t="s">
        <v>43</v>
      </c>
      <c r="L296">
        <v>2</v>
      </c>
      <c r="M296" t="s">
        <v>44</v>
      </c>
      <c r="N296" t="s">
        <v>45</v>
      </c>
      <c r="O296" t="s">
        <v>46</v>
      </c>
      <c r="P296" s="5">
        <v>1</v>
      </c>
      <c r="Q296" s="12">
        <v>44825.748148148145</v>
      </c>
      <c r="R296" s="13">
        <v>44827</v>
      </c>
      <c r="T296" t="s">
        <v>47</v>
      </c>
      <c r="U296" t="s">
        <v>48</v>
      </c>
      <c r="V296" t="s">
        <v>76</v>
      </c>
      <c r="Y296" t="s">
        <v>997</v>
      </c>
      <c r="Z296">
        <v>15100</v>
      </c>
      <c r="AA296" t="s">
        <v>47</v>
      </c>
      <c r="AB296" t="s">
        <v>90</v>
      </c>
      <c r="AC296" t="s">
        <v>53</v>
      </c>
      <c r="AD296" s="16">
        <f>IF(P296&lt;=1,7,7+0.8*ROUNDUP(P296-1,0))</f>
        <v>7</v>
      </c>
      <c r="AE296" s="15">
        <v>0</v>
      </c>
      <c r="AF296" s="15">
        <v>0</v>
      </c>
      <c r="AG296" s="15">
        <v>0</v>
      </c>
      <c r="AH296" s="15">
        <v>0</v>
      </c>
      <c r="AI296" s="15">
        <f t="shared" si="8"/>
        <v>0.42</v>
      </c>
      <c r="AJ296" s="15">
        <f t="shared" si="9"/>
        <v>7.42</v>
      </c>
      <c r="AK296" t="s">
        <v>47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998</v>
      </c>
      <c r="I297" t="s">
        <v>41</v>
      </c>
      <c r="J297" t="s">
        <v>999</v>
      </c>
      <c r="K297" t="s">
        <v>43</v>
      </c>
      <c r="L297">
        <v>2</v>
      </c>
      <c r="M297" t="s">
        <v>44</v>
      </c>
      <c r="N297" t="s">
        <v>45</v>
      </c>
      <c r="O297" t="s">
        <v>46</v>
      </c>
      <c r="P297" s="5">
        <v>1</v>
      </c>
      <c r="Q297" s="12">
        <v>44826.396643518521</v>
      </c>
      <c r="R297" s="13">
        <v>44827</v>
      </c>
      <c r="T297" t="s">
        <v>47</v>
      </c>
      <c r="U297" t="s">
        <v>48</v>
      </c>
      <c r="V297" t="s">
        <v>85</v>
      </c>
      <c r="Y297" t="s">
        <v>1000</v>
      </c>
      <c r="Z297">
        <v>54200</v>
      </c>
      <c r="AA297" t="s">
        <v>47</v>
      </c>
      <c r="AB297" t="s">
        <v>58</v>
      </c>
      <c r="AC297" t="s">
        <v>53</v>
      </c>
      <c r="AD297" s="16">
        <f>IF(P297&lt;=1,7,7+0.8*ROUNDUP(P297-1,0))</f>
        <v>7</v>
      </c>
      <c r="AE297" s="15">
        <v>0</v>
      </c>
      <c r="AF297" s="15">
        <v>0</v>
      </c>
      <c r="AG297" s="15">
        <v>0</v>
      </c>
      <c r="AH297" s="15">
        <v>0</v>
      </c>
      <c r="AI297" s="15">
        <f t="shared" si="8"/>
        <v>0.42</v>
      </c>
      <c r="AJ297" s="15">
        <f t="shared" si="9"/>
        <v>7.42</v>
      </c>
      <c r="AK297" t="s">
        <v>47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1001</v>
      </c>
      <c r="I298" t="s">
        <v>41</v>
      </c>
      <c r="J298" t="s">
        <v>1002</v>
      </c>
      <c r="K298" t="s">
        <v>43</v>
      </c>
      <c r="L298">
        <v>2</v>
      </c>
      <c r="M298" t="s">
        <v>44</v>
      </c>
      <c r="N298" t="s">
        <v>45</v>
      </c>
      <c r="O298" t="s">
        <v>46</v>
      </c>
      <c r="P298" s="5">
        <v>1</v>
      </c>
      <c r="Q298" s="12">
        <v>44826.659270833334</v>
      </c>
      <c r="R298" s="13">
        <v>44827</v>
      </c>
      <c r="T298" t="s">
        <v>47</v>
      </c>
      <c r="U298" t="s">
        <v>48</v>
      </c>
      <c r="V298" t="s">
        <v>119</v>
      </c>
      <c r="Y298" t="s">
        <v>1003</v>
      </c>
      <c r="Z298">
        <v>26600</v>
      </c>
      <c r="AA298" t="s">
        <v>47</v>
      </c>
      <c r="AB298" t="s">
        <v>899</v>
      </c>
      <c r="AC298" t="s">
        <v>53</v>
      </c>
      <c r="AD298" s="16">
        <f>IF(P298&lt;=1,7,7+0.8*ROUNDUP(P298-1,0))</f>
        <v>7</v>
      </c>
      <c r="AE298" s="15">
        <v>0</v>
      </c>
      <c r="AF298" s="15">
        <v>0</v>
      </c>
      <c r="AG298" s="15">
        <v>0</v>
      </c>
      <c r="AH298" s="15">
        <v>0</v>
      </c>
      <c r="AI298" s="15">
        <f t="shared" si="8"/>
        <v>0.42</v>
      </c>
      <c r="AJ298" s="15">
        <f t="shared" si="9"/>
        <v>7.42</v>
      </c>
      <c r="AK298" t="s">
        <v>47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1004</v>
      </c>
      <c r="I299" t="s">
        <v>41</v>
      </c>
      <c r="J299" t="s">
        <v>1005</v>
      </c>
      <c r="K299" t="s">
        <v>43</v>
      </c>
      <c r="L299">
        <v>2</v>
      </c>
      <c r="M299" t="s">
        <v>44</v>
      </c>
      <c r="N299" t="s">
        <v>45</v>
      </c>
      <c r="O299" t="s">
        <v>46</v>
      </c>
      <c r="P299" s="5">
        <v>1</v>
      </c>
      <c r="Q299" s="12">
        <v>44826.592361111114</v>
      </c>
      <c r="R299" s="13">
        <v>44827</v>
      </c>
      <c r="T299" t="s">
        <v>47</v>
      </c>
      <c r="U299" t="s">
        <v>48</v>
      </c>
      <c r="V299" t="s">
        <v>85</v>
      </c>
      <c r="Y299" t="s">
        <v>1006</v>
      </c>
      <c r="Z299">
        <v>43000</v>
      </c>
      <c r="AA299" t="s">
        <v>47</v>
      </c>
      <c r="AB299" t="s">
        <v>58</v>
      </c>
      <c r="AC299" t="s">
        <v>53</v>
      </c>
      <c r="AD299" s="16">
        <f>IF(P299&lt;=1,7,7+0.8*ROUNDUP(P299-1,0))</f>
        <v>7</v>
      </c>
      <c r="AE299" s="15">
        <v>0</v>
      </c>
      <c r="AF299" s="15">
        <v>0</v>
      </c>
      <c r="AG299" s="15">
        <v>0</v>
      </c>
      <c r="AH299" s="15">
        <v>0</v>
      </c>
      <c r="AI299" s="15">
        <f t="shared" si="8"/>
        <v>0.42</v>
      </c>
      <c r="AJ299" s="15">
        <f t="shared" si="9"/>
        <v>7.42</v>
      </c>
      <c r="AK299" t="s">
        <v>47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1007</v>
      </c>
      <c r="I300" t="s">
        <v>41</v>
      </c>
      <c r="J300" t="s">
        <v>1008</v>
      </c>
      <c r="K300" t="s">
        <v>43</v>
      </c>
      <c r="L300">
        <v>2</v>
      </c>
      <c r="M300" t="s">
        <v>44</v>
      </c>
      <c r="N300" t="s">
        <v>45</v>
      </c>
      <c r="O300" t="s">
        <v>46</v>
      </c>
      <c r="P300" s="5">
        <v>6</v>
      </c>
      <c r="Q300" s="12">
        <v>44826.616666666669</v>
      </c>
      <c r="R300" s="13">
        <v>44827</v>
      </c>
      <c r="T300" t="s">
        <v>47</v>
      </c>
      <c r="U300" t="s">
        <v>48</v>
      </c>
      <c r="V300" t="s">
        <v>300</v>
      </c>
      <c r="Y300" t="s">
        <v>1009</v>
      </c>
      <c r="Z300">
        <v>21300</v>
      </c>
      <c r="AA300" t="s">
        <v>47</v>
      </c>
      <c r="AB300" t="s">
        <v>1010</v>
      </c>
      <c r="AC300" t="s">
        <v>53</v>
      </c>
      <c r="AD300" s="16">
        <f>IF(P300&lt;=1,7,7+0.8*ROUNDUP(P300-1,0))</f>
        <v>11</v>
      </c>
      <c r="AE300" s="15">
        <v>0</v>
      </c>
      <c r="AF300" s="15">
        <v>0</v>
      </c>
      <c r="AG300" s="15">
        <v>0</v>
      </c>
      <c r="AH300" s="15">
        <v>0</v>
      </c>
      <c r="AI300" s="15">
        <f t="shared" si="8"/>
        <v>0.65999999999999992</v>
      </c>
      <c r="AJ300" s="15">
        <f t="shared" si="9"/>
        <v>11.66</v>
      </c>
      <c r="AK300" t="s">
        <v>47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1011</v>
      </c>
      <c r="I301" t="s">
        <v>41</v>
      </c>
      <c r="J301" t="s">
        <v>1012</v>
      </c>
      <c r="K301" t="s">
        <v>43</v>
      </c>
      <c r="L301">
        <v>2</v>
      </c>
      <c r="M301" t="s">
        <v>44</v>
      </c>
      <c r="N301" t="s">
        <v>45</v>
      </c>
      <c r="O301" t="s">
        <v>46</v>
      </c>
      <c r="P301" s="5">
        <v>1</v>
      </c>
      <c r="Q301" s="12">
        <v>44826.594444444447</v>
      </c>
      <c r="R301" s="13">
        <v>44827</v>
      </c>
      <c r="T301" t="s">
        <v>47</v>
      </c>
      <c r="U301" t="s">
        <v>48</v>
      </c>
      <c r="V301" t="s">
        <v>300</v>
      </c>
      <c r="Y301" t="s">
        <v>1013</v>
      </c>
      <c r="Z301">
        <v>23000</v>
      </c>
      <c r="AA301" t="s">
        <v>47</v>
      </c>
      <c r="AB301" t="s">
        <v>48</v>
      </c>
      <c r="AC301" t="s">
        <v>53</v>
      </c>
      <c r="AD301" s="16">
        <f>IF(P301&lt;=1,7,7+0.8*ROUNDUP(P301-1,0))</f>
        <v>7</v>
      </c>
      <c r="AE301" s="15">
        <v>0</v>
      </c>
      <c r="AF301" s="15">
        <v>0</v>
      </c>
      <c r="AG301" s="15">
        <v>0</v>
      </c>
      <c r="AH301" s="15">
        <v>0</v>
      </c>
      <c r="AI301" s="15">
        <f t="shared" si="8"/>
        <v>0.42</v>
      </c>
      <c r="AJ301" s="15">
        <f t="shared" si="9"/>
        <v>7.42</v>
      </c>
      <c r="AK301" t="s">
        <v>47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F302" s="11"/>
      <c r="G302" t="s">
        <v>1014</v>
      </c>
      <c r="I302" t="s">
        <v>41</v>
      </c>
      <c r="J302" t="s">
        <v>1015</v>
      </c>
      <c r="K302" t="s">
        <v>43</v>
      </c>
      <c r="L302">
        <v>2</v>
      </c>
      <c r="M302" t="s">
        <v>44</v>
      </c>
      <c r="N302" t="s">
        <v>45</v>
      </c>
      <c r="O302" t="s">
        <v>46</v>
      </c>
      <c r="P302" s="5">
        <v>1</v>
      </c>
      <c r="Q302" s="12">
        <v>44825.567361111112</v>
      </c>
      <c r="R302" s="13">
        <v>44827</v>
      </c>
      <c r="T302" t="s">
        <v>47</v>
      </c>
      <c r="U302" t="s">
        <v>48</v>
      </c>
      <c r="V302" t="s">
        <v>56</v>
      </c>
      <c r="Y302" t="s">
        <v>1016</v>
      </c>
      <c r="Z302">
        <v>8000</v>
      </c>
      <c r="AA302" t="s">
        <v>47</v>
      </c>
      <c r="AB302" t="s">
        <v>58</v>
      </c>
      <c r="AC302" t="s">
        <v>53</v>
      </c>
      <c r="AD302" s="16">
        <f>IF(P302&lt;=1,7,7+0.8*ROUNDUP(P302-1,0))</f>
        <v>7</v>
      </c>
      <c r="AE302" s="15">
        <v>0</v>
      </c>
      <c r="AF302" s="15">
        <v>0</v>
      </c>
      <c r="AG302" s="15">
        <v>0</v>
      </c>
      <c r="AH302" s="15">
        <v>0</v>
      </c>
      <c r="AI302" s="15">
        <f t="shared" si="8"/>
        <v>0.42</v>
      </c>
      <c r="AJ302" s="15">
        <f t="shared" si="9"/>
        <v>7.42</v>
      </c>
      <c r="AK302" t="s">
        <v>47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F303" s="11"/>
      <c r="G303" t="s">
        <v>1017</v>
      </c>
      <c r="I303" t="s">
        <v>41</v>
      </c>
      <c r="J303" t="s">
        <v>1018</v>
      </c>
      <c r="K303" t="s">
        <v>43</v>
      </c>
      <c r="L303">
        <v>2</v>
      </c>
      <c r="M303" t="s">
        <v>44</v>
      </c>
      <c r="N303" t="s">
        <v>45</v>
      </c>
      <c r="O303" t="s">
        <v>46</v>
      </c>
      <c r="P303" s="5">
        <v>1</v>
      </c>
      <c r="Q303" s="12">
        <v>44826.645833333336</v>
      </c>
      <c r="R303" s="13">
        <v>44827</v>
      </c>
      <c r="T303" t="s">
        <v>47</v>
      </c>
      <c r="U303" t="s">
        <v>48</v>
      </c>
      <c r="V303" t="s">
        <v>72</v>
      </c>
      <c r="Y303" t="s">
        <v>1019</v>
      </c>
      <c r="Z303">
        <v>71800</v>
      </c>
      <c r="AA303" t="s">
        <v>47</v>
      </c>
      <c r="AB303" t="s">
        <v>221</v>
      </c>
      <c r="AC303" t="s">
        <v>53</v>
      </c>
      <c r="AD303" s="16">
        <f>IF(P303&lt;=1,7,7+0.8*ROUNDUP(P303-1,0))</f>
        <v>7</v>
      </c>
      <c r="AE303" s="15">
        <v>0</v>
      </c>
      <c r="AF303" s="15">
        <v>0</v>
      </c>
      <c r="AG303" s="15">
        <v>0</v>
      </c>
      <c r="AH303" s="15">
        <v>0</v>
      </c>
      <c r="AI303" s="15">
        <f t="shared" si="8"/>
        <v>0.42</v>
      </c>
      <c r="AJ303" s="15">
        <f t="shared" si="9"/>
        <v>7.42</v>
      </c>
      <c r="AK303" t="s">
        <v>47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F304" s="11"/>
      <c r="G304" t="s">
        <v>1020</v>
      </c>
      <c r="I304" t="s">
        <v>41</v>
      </c>
      <c r="J304" t="s">
        <v>1021</v>
      </c>
      <c r="K304" t="s">
        <v>43</v>
      </c>
      <c r="L304">
        <v>2</v>
      </c>
      <c r="M304" t="s">
        <v>44</v>
      </c>
      <c r="N304" t="s">
        <v>45</v>
      </c>
      <c r="O304" t="s">
        <v>46</v>
      </c>
      <c r="P304" s="5">
        <v>1</v>
      </c>
      <c r="Q304" s="12">
        <v>44826.645833333336</v>
      </c>
      <c r="R304" s="13">
        <v>44827</v>
      </c>
      <c r="T304" t="s">
        <v>47</v>
      </c>
      <c r="U304" t="s">
        <v>48</v>
      </c>
      <c r="V304" t="s">
        <v>300</v>
      </c>
      <c r="Y304" t="s">
        <v>1022</v>
      </c>
      <c r="Z304">
        <v>23100</v>
      </c>
      <c r="AA304" t="s">
        <v>47</v>
      </c>
      <c r="AB304" t="s">
        <v>1023</v>
      </c>
      <c r="AC304" t="s">
        <v>53</v>
      </c>
      <c r="AD304" s="16">
        <f>IF(P304&lt;=1,7,7+0.8*ROUNDUP(P304-1,0))</f>
        <v>7</v>
      </c>
      <c r="AE304" s="15">
        <v>0</v>
      </c>
      <c r="AF304" s="15">
        <v>0</v>
      </c>
      <c r="AG304" s="15">
        <v>0</v>
      </c>
      <c r="AH304" s="15">
        <v>0</v>
      </c>
      <c r="AI304" s="15">
        <f t="shared" si="8"/>
        <v>0.42</v>
      </c>
      <c r="AJ304" s="15">
        <f t="shared" si="9"/>
        <v>7.42</v>
      </c>
      <c r="AK304" t="s">
        <v>47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F305" s="11"/>
      <c r="G305" t="s">
        <v>1024</v>
      </c>
      <c r="I305" t="s">
        <v>41</v>
      </c>
      <c r="J305" t="s">
        <v>1025</v>
      </c>
      <c r="K305" t="s">
        <v>43</v>
      </c>
      <c r="L305">
        <v>2</v>
      </c>
      <c r="M305" t="s">
        <v>44</v>
      </c>
      <c r="N305" t="s">
        <v>45</v>
      </c>
      <c r="O305" t="s">
        <v>46</v>
      </c>
      <c r="P305" s="5">
        <v>1</v>
      </c>
      <c r="Q305" s="12">
        <v>44826.65902777778</v>
      </c>
      <c r="R305" s="13">
        <v>44827</v>
      </c>
      <c r="T305" t="s">
        <v>47</v>
      </c>
      <c r="U305" t="s">
        <v>48</v>
      </c>
      <c r="V305" t="s">
        <v>85</v>
      </c>
      <c r="Y305" t="s">
        <v>1026</v>
      </c>
      <c r="Z305">
        <v>41050</v>
      </c>
      <c r="AA305" t="s">
        <v>47</v>
      </c>
      <c r="AB305" t="s">
        <v>1027</v>
      </c>
      <c r="AC305" t="s">
        <v>53</v>
      </c>
      <c r="AD305" s="16">
        <f>IF(P305&lt;=1,7,7+0.8*ROUNDUP(P305-1,0))</f>
        <v>7</v>
      </c>
      <c r="AE305" s="15">
        <v>0</v>
      </c>
      <c r="AF305" s="15">
        <v>0</v>
      </c>
      <c r="AG305" s="15">
        <v>0</v>
      </c>
      <c r="AH305" s="15">
        <v>0</v>
      </c>
      <c r="AI305" s="15">
        <f t="shared" si="8"/>
        <v>0.42</v>
      </c>
      <c r="AJ305" s="15">
        <f t="shared" si="9"/>
        <v>7.42</v>
      </c>
      <c r="AK305" t="s">
        <v>47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F306" s="11"/>
      <c r="G306" t="s">
        <v>1028</v>
      </c>
      <c r="I306" t="s">
        <v>41</v>
      </c>
      <c r="J306" t="s">
        <v>1029</v>
      </c>
      <c r="K306" t="s">
        <v>43</v>
      </c>
      <c r="L306">
        <v>2</v>
      </c>
      <c r="M306" t="s">
        <v>44</v>
      </c>
      <c r="N306" t="s">
        <v>45</v>
      </c>
      <c r="O306" t="s">
        <v>46</v>
      </c>
      <c r="P306" s="5">
        <v>2</v>
      </c>
      <c r="Q306" s="12">
        <v>44826.652777777781</v>
      </c>
      <c r="R306" s="13">
        <v>44827</v>
      </c>
      <c r="T306" t="s">
        <v>47</v>
      </c>
      <c r="U306" t="s">
        <v>48</v>
      </c>
      <c r="V306" t="s">
        <v>81</v>
      </c>
      <c r="Y306" t="s">
        <v>1030</v>
      </c>
      <c r="Z306">
        <v>35350</v>
      </c>
      <c r="AA306" t="s">
        <v>47</v>
      </c>
      <c r="AB306" t="s">
        <v>1031</v>
      </c>
      <c r="AC306" t="s">
        <v>53</v>
      </c>
      <c r="AD306" s="16">
        <f>IF(P306&lt;=1,7,7+0.8*ROUNDUP(P306-1,0))</f>
        <v>7.8</v>
      </c>
      <c r="AE306" s="15">
        <v>0</v>
      </c>
      <c r="AF306" s="15">
        <v>0</v>
      </c>
      <c r="AG306" s="15">
        <v>0</v>
      </c>
      <c r="AH306" s="15">
        <v>0</v>
      </c>
      <c r="AI306" s="15">
        <f t="shared" si="8"/>
        <v>0.46799999999999997</v>
      </c>
      <c r="AJ306" s="15">
        <f t="shared" si="9"/>
        <v>8.2680000000000007</v>
      </c>
      <c r="AK306" t="s">
        <v>47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F307" s="11"/>
      <c r="G307" t="s">
        <v>1032</v>
      </c>
      <c r="I307" t="s">
        <v>41</v>
      </c>
      <c r="J307" t="s">
        <v>1033</v>
      </c>
      <c r="K307" t="s">
        <v>43</v>
      </c>
      <c r="L307">
        <v>2</v>
      </c>
      <c r="M307" t="s">
        <v>44</v>
      </c>
      <c r="N307" t="s">
        <v>45</v>
      </c>
      <c r="O307" t="s">
        <v>46</v>
      </c>
      <c r="P307" s="5">
        <v>1</v>
      </c>
      <c r="Q307" s="12">
        <v>44825.746527777781</v>
      </c>
      <c r="R307" s="13">
        <v>44827</v>
      </c>
      <c r="T307" t="s">
        <v>47</v>
      </c>
      <c r="U307" t="s">
        <v>48</v>
      </c>
      <c r="V307" t="s">
        <v>85</v>
      </c>
      <c r="Y307" t="s">
        <v>1034</v>
      </c>
      <c r="Z307">
        <v>40300</v>
      </c>
      <c r="AA307" t="s">
        <v>47</v>
      </c>
      <c r="AB307" t="s">
        <v>58</v>
      </c>
      <c r="AC307" t="s">
        <v>53</v>
      </c>
      <c r="AD307" s="16">
        <f>IF(P307&lt;=1,7,7+0.8*ROUNDUP(P307-1,0))</f>
        <v>7</v>
      </c>
      <c r="AE307" s="15">
        <v>0</v>
      </c>
      <c r="AF307" s="15">
        <v>0</v>
      </c>
      <c r="AG307" s="15">
        <v>0</v>
      </c>
      <c r="AH307" s="15">
        <v>0</v>
      </c>
      <c r="AI307" s="15">
        <f t="shared" si="8"/>
        <v>0.42</v>
      </c>
      <c r="AJ307" s="15">
        <f t="shared" si="9"/>
        <v>7.42</v>
      </c>
      <c r="AK307" t="s">
        <v>47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F308" s="11"/>
      <c r="G308" t="s">
        <v>1035</v>
      </c>
      <c r="I308" t="s">
        <v>41</v>
      </c>
      <c r="J308" t="s">
        <v>1036</v>
      </c>
      <c r="K308" t="s">
        <v>43</v>
      </c>
      <c r="L308">
        <v>2</v>
      </c>
      <c r="M308" t="s">
        <v>44</v>
      </c>
      <c r="N308" t="s">
        <v>45</v>
      </c>
      <c r="O308" t="s">
        <v>46</v>
      </c>
      <c r="P308" s="5">
        <v>1</v>
      </c>
      <c r="Q308" s="12">
        <v>44826.65902777778</v>
      </c>
      <c r="R308" s="13">
        <v>44827</v>
      </c>
      <c r="T308" t="s">
        <v>47</v>
      </c>
      <c r="U308" t="s">
        <v>48</v>
      </c>
      <c r="V308" t="s">
        <v>81</v>
      </c>
      <c r="Y308" t="s">
        <v>1037</v>
      </c>
      <c r="Z308">
        <v>36200</v>
      </c>
      <c r="AA308" t="s">
        <v>47</v>
      </c>
      <c r="AB308" t="s">
        <v>48</v>
      </c>
      <c r="AC308" t="s">
        <v>53</v>
      </c>
      <c r="AD308" s="16">
        <f>IF(P308&lt;=1,7,7+0.8*ROUNDUP(P308-1,0))</f>
        <v>7</v>
      </c>
      <c r="AE308" s="15">
        <v>0</v>
      </c>
      <c r="AF308" s="15">
        <v>0</v>
      </c>
      <c r="AG308" s="15">
        <v>0</v>
      </c>
      <c r="AH308" s="15">
        <v>0</v>
      </c>
      <c r="AI308" s="15">
        <f t="shared" si="8"/>
        <v>0.42</v>
      </c>
      <c r="AJ308" s="15">
        <f t="shared" si="9"/>
        <v>7.42</v>
      </c>
      <c r="AK308" t="s">
        <v>47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F309" s="11"/>
      <c r="G309" t="s">
        <v>1038</v>
      </c>
      <c r="I309" t="s">
        <v>41</v>
      </c>
      <c r="J309" t="s">
        <v>1039</v>
      </c>
      <c r="K309" t="s">
        <v>43</v>
      </c>
      <c r="L309">
        <v>2</v>
      </c>
      <c r="M309" t="s">
        <v>44</v>
      </c>
      <c r="N309" t="s">
        <v>45</v>
      </c>
      <c r="O309" t="s">
        <v>46</v>
      </c>
      <c r="P309" s="5">
        <v>16</v>
      </c>
      <c r="Q309" s="12">
        <v>44823.724305555559</v>
      </c>
      <c r="R309" s="13">
        <v>44827</v>
      </c>
      <c r="T309" t="s">
        <v>47</v>
      </c>
      <c r="U309" t="s">
        <v>48</v>
      </c>
      <c r="V309" t="s">
        <v>61</v>
      </c>
      <c r="Y309" t="s">
        <v>1040</v>
      </c>
      <c r="Z309">
        <v>14120</v>
      </c>
      <c r="AA309" t="s">
        <v>47</v>
      </c>
      <c r="AB309" t="s">
        <v>58</v>
      </c>
      <c r="AC309" t="s">
        <v>53</v>
      </c>
      <c r="AD309" s="16">
        <f>IF(P309&lt;=1,7,7+0.8*ROUNDUP(P309-1,0))</f>
        <v>19</v>
      </c>
      <c r="AE309" s="15">
        <v>0</v>
      </c>
      <c r="AF309" s="15">
        <v>0</v>
      </c>
      <c r="AG309" s="15">
        <v>0</v>
      </c>
      <c r="AH309" s="15">
        <v>0</v>
      </c>
      <c r="AI309" s="15">
        <f t="shared" si="8"/>
        <v>1.1399999999999999</v>
      </c>
      <c r="AJ309" s="15">
        <f t="shared" si="9"/>
        <v>20.14</v>
      </c>
      <c r="AK309" t="s">
        <v>47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F310" s="11"/>
      <c r="G310" t="s">
        <v>1041</v>
      </c>
      <c r="I310" t="s">
        <v>41</v>
      </c>
      <c r="J310" t="s">
        <v>1039</v>
      </c>
      <c r="K310" t="s">
        <v>43</v>
      </c>
      <c r="L310">
        <v>2</v>
      </c>
      <c r="M310" t="s">
        <v>44</v>
      </c>
      <c r="N310" t="s">
        <v>45</v>
      </c>
      <c r="O310" t="s">
        <v>46</v>
      </c>
      <c r="P310" s="5">
        <v>17</v>
      </c>
      <c r="Q310" s="12">
        <v>44823.722916666666</v>
      </c>
      <c r="R310" s="13">
        <v>44827</v>
      </c>
      <c r="T310" t="s">
        <v>47</v>
      </c>
      <c r="U310" t="s">
        <v>48</v>
      </c>
      <c r="V310" t="s">
        <v>61</v>
      </c>
      <c r="Y310" t="s">
        <v>1042</v>
      </c>
      <c r="Z310">
        <v>14120</v>
      </c>
      <c r="AA310" t="s">
        <v>47</v>
      </c>
      <c r="AB310" t="s">
        <v>58</v>
      </c>
      <c r="AC310" t="s">
        <v>53</v>
      </c>
      <c r="AD310" s="16">
        <f>IF(P310&lt;=1,7,7+0.8*ROUNDUP(P310-1,0))</f>
        <v>19.8</v>
      </c>
      <c r="AE310" s="15">
        <v>0</v>
      </c>
      <c r="AF310" s="15">
        <v>0</v>
      </c>
      <c r="AG310" s="15">
        <v>0</v>
      </c>
      <c r="AH310" s="15">
        <v>0</v>
      </c>
      <c r="AI310" s="15">
        <f t="shared" si="8"/>
        <v>1.1879999999999999</v>
      </c>
      <c r="AJ310" s="15">
        <f t="shared" si="9"/>
        <v>20.988</v>
      </c>
      <c r="AK310" t="s">
        <v>47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F311" s="11"/>
      <c r="G311" t="s">
        <v>1043</v>
      </c>
      <c r="I311" t="s">
        <v>41</v>
      </c>
      <c r="J311" t="s">
        <v>1044</v>
      </c>
      <c r="K311" t="s">
        <v>43</v>
      </c>
      <c r="L311">
        <v>2</v>
      </c>
      <c r="M311" t="s">
        <v>44</v>
      </c>
      <c r="N311" t="s">
        <v>45</v>
      </c>
      <c r="O311" t="s">
        <v>46</v>
      </c>
      <c r="P311" s="5">
        <v>1</v>
      </c>
      <c r="Q311" s="12">
        <v>44826.611111111109</v>
      </c>
      <c r="R311" s="13">
        <v>44827</v>
      </c>
      <c r="T311" t="s">
        <v>47</v>
      </c>
      <c r="U311" t="s">
        <v>48</v>
      </c>
      <c r="V311" t="s">
        <v>190</v>
      </c>
      <c r="Y311" t="s">
        <v>1045</v>
      </c>
      <c r="Z311">
        <v>56000</v>
      </c>
      <c r="AA311" t="s">
        <v>47</v>
      </c>
      <c r="AB311" t="s">
        <v>58</v>
      </c>
      <c r="AC311" t="s">
        <v>53</v>
      </c>
      <c r="AD311" s="16">
        <f>IF(P311&lt;=1,7,7+0.8*ROUNDUP(P311-1,0))</f>
        <v>7</v>
      </c>
      <c r="AE311" s="15">
        <v>0</v>
      </c>
      <c r="AF311" s="15">
        <v>0</v>
      </c>
      <c r="AG311" s="15">
        <v>0</v>
      </c>
      <c r="AH311" s="15">
        <v>0</v>
      </c>
      <c r="AI311" s="15">
        <f t="shared" si="8"/>
        <v>0.42</v>
      </c>
      <c r="AJ311" s="15">
        <f t="shared" si="9"/>
        <v>7.42</v>
      </c>
      <c r="AK311" t="s">
        <v>47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F312" s="11"/>
      <c r="G312" t="s">
        <v>1046</v>
      </c>
      <c r="I312" t="s">
        <v>41</v>
      </c>
      <c r="J312" t="s">
        <v>1047</v>
      </c>
      <c r="K312" t="s">
        <v>43</v>
      </c>
      <c r="L312">
        <v>2</v>
      </c>
      <c r="M312" t="s">
        <v>44</v>
      </c>
      <c r="N312" t="s">
        <v>45</v>
      </c>
      <c r="O312" t="s">
        <v>46</v>
      </c>
      <c r="P312" s="5">
        <v>1</v>
      </c>
      <c r="Q312" s="12">
        <v>44826.567361111112</v>
      </c>
      <c r="R312" s="13">
        <v>44827</v>
      </c>
      <c r="T312" t="s">
        <v>47</v>
      </c>
      <c r="U312" t="s">
        <v>48</v>
      </c>
      <c r="V312" t="s">
        <v>76</v>
      </c>
      <c r="Y312" t="s">
        <v>1048</v>
      </c>
      <c r="Z312">
        <v>16150</v>
      </c>
      <c r="AA312" t="s">
        <v>47</v>
      </c>
      <c r="AB312" t="s">
        <v>90</v>
      </c>
      <c r="AC312" t="s">
        <v>53</v>
      </c>
      <c r="AD312" s="16">
        <f>IF(P312&lt;=1,7,7+0.8*ROUNDUP(P312-1,0))</f>
        <v>7</v>
      </c>
      <c r="AE312" s="15">
        <v>0</v>
      </c>
      <c r="AF312" s="15">
        <v>0</v>
      </c>
      <c r="AG312" s="15">
        <v>0</v>
      </c>
      <c r="AH312" s="15">
        <v>0</v>
      </c>
      <c r="AI312" s="15">
        <f t="shared" si="8"/>
        <v>0.42</v>
      </c>
      <c r="AJ312" s="15">
        <f t="shared" si="9"/>
        <v>7.42</v>
      </c>
      <c r="AK312" t="s">
        <v>47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F313" s="11"/>
      <c r="G313" t="s">
        <v>1049</v>
      </c>
      <c r="I313" t="s">
        <v>41</v>
      </c>
      <c r="J313" t="s">
        <v>1050</v>
      </c>
      <c r="K313" t="s">
        <v>43</v>
      </c>
      <c r="L313">
        <v>2</v>
      </c>
      <c r="M313" t="s">
        <v>44</v>
      </c>
      <c r="N313" t="s">
        <v>45</v>
      </c>
      <c r="O313" t="s">
        <v>46</v>
      </c>
      <c r="P313" s="5">
        <v>1</v>
      </c>
      <c r="Q313" s="12">
        <v>44826.609722222223</v>
      </c>
      <c r="R313" s="13">
        <v>44828</v>
      </c>
      <c r="T313" t="s">
        <v>47</v>
      </c>
      <c r="U313" t="s">
        <v>48</v>
      </c>
      <c r="V313" t="s">
        <v>93</v>
      </c>
      <c r="Y313" t="s">
        <v>1051</v>
      </c>
      <c r="Z313">
        <v>86400</v>
      </c>
      <c r="AA313" t="s">
        <v>47</v>
      </c>
      <c r="AB313" t="s">
        <v>58</v>
      </c>
      <c r="AC313" t="s">
        <v>53</v>
      </c>
      <c r="AD313" s="16">
        <f>IF(P313&lt;=1,7,7+0.8*ROUNDUP(P313-1,0))</f>
        <v>7</v>
      </c>
      <c r="AE313" s="15">
        <v>0</v>
      </c>
      <c r="AF313" s="15">
        <v>0</v>
      </c>
      <c r="AG313" s="15">
        <v>0</v>
      </c>
      <c r="AH313" s="15">
        <v>0</v>
      </c>
      <c r="AI313" s="15">
        <f t="shared" si="8"/>
        <v>0.42</v>
      </c>
      <c r="AJ313" s="15">
        <f t="shared" si="9"/>
        <v>7.42</v>
      </c>
      <c r="AK313" t="s">
        <v>47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F314" s="11"/>
      <c r="G314" t="s">
        <v>1052</v>
      </c>
      <c r="I314" t="s">
        <v>41</v>
      </c>
      <c r="J314" t="s">
        <v>1053</v>
      </c>
      <c r="K314" t="s">
        <v>43</v>
      </c>
      <c r="L314">
        <v>2</v>
      </c>
      <c r="M314" t="s">
        <v>44</v>
      </c>
      <c r="N314" t="s">
        <v>45</v>
      </c>
      <c r="O314" t="s">
        <v>46</v>
      </c>
      <c r="P314" s="5">
        <v>1</v>
      </c>
      <c r="Q314" s="12">
        <v>44825.736111111109</v>
      </c>
      <c r="R314" s="13">
        <v>44828</v>
      </c>
      <c r="T314" t="s">
        <v>47</v>
      </c>
      <c r="U314" t="s">
        <v>48</v>
      </c>
      <c r="V314" t="s">
        <v>56</v>
      </c>
      <c r="Y314" t="s">
        <v>1054</v>
      </c>
      <c r="Z314">
        <v>5100</v>
      </c>
      <c r="AA314" t="s">
        <v>47</v>
      </c>
      <c r="AB314" t="s">
        <v>58</v>
      </c>
      <c r="AC314" t="s">
        <v>53</v>
      </c>
      <c r="AD314" s="16">
        <f>IF(P314&lt;=1,7,7+0.8*ROUNDUP(P314-1,0))</f>
        <v>7</v>
      </c>
      <c r="AE314" s="15">
        <v>0</v>
      </c>
      <c r="AF314" s="15">
        <v>0</v>
      </c>
      <c r="AG314" s="15">
        <v>0</v>
      </c>
      <c r="AH314" s="15">
        <v>0</v>
      </c>
      <c r="AI314" s="15">
        <f t="shared" si="8"/>
        <v>0.42</v>
      </c>
      <c r="AJ314" s="15">
        <f t="shared" si="9"/>
        <v>7.42</v>
      </c>
      <c r="AK314" t="s">
        <v>47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F315" s="11"/>
      <c r="G315" t="s">
        <v>1055</v>
      </c>
      <c r="I315" t="s">
        <v>41</v>
      </c>
      <c r="J315" t="s">
        <v>1056</v>
      </c>
      <c r="K315" t="s">
        <v>43</v>
      </c>
      <c r="L315">
        <v>2</v>
      </c>
      <c r="M315" t="s">
        <v>44</v>
      </c>
      <c r="N315" t="s">
        <v>45</v>
      </c>
      <c r="O315" t="s">
        <v>46</v>
      </c>
      <c r="P315" s="5">
        <v>1</v>
      </c>
      <c r="Q315" s="12">
        <v>44827.420138888891</v>
      </c>
      <c r="R315" s="13">
        <v>44828</v>
      </c>
      <c r="T315" t="s">
        <v>47</v>
      </c>
      <c r="U315" t="s">
        <v>90</v>
      </c>
      <c r="V315" t="s">
        <v>300</v>
      </c>
      <c r="Y315" t="s">
        <v>1057</v>
      </c>
      <c r="Z315">
        <v>24000</v>
      </c>
      <c r="AA315" t="s">
        <v>47</v>
      </c>
      <c r="AB315" t="s">
        <v>1058</v>
      </c>
      <c r="AC315" t="s">
        <v>53</v>
      </c>
      <c r="AD315" s="16">
        <f>IF(P315&lt;=1,7,7+0.8*ROUNDUP(P315-1,0))</f>
        <v>7</v>
      </c>
      <c r="AE315" s="15">
        <v>0</v>
      </c>
      <c r="AF315" s="15">
        <v>0</v>
      </c>
      <c r="AG315" s="15">
        <v>0</v>
      </c>
      <c r="AH315" s="15">
        <v>0</v>
      </c>
      <c r="AI315" s="15">
        <f t="shared" si="8"/>
        <v>0.42</v>
      </c>
      <c r="AJ315" s="15">
        <f t="shared" si="9"/>
        <v>7.42</v>
      </c>
      <c r="AK315" t="s">
        <v>47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F316" s="11"/>
      <c r="G316" t="s">
        <v>1059</v>
      </c>
      <c r="I316" t="s">
        <v>41</v>
      </c>
      <c r="J316" t="s">
        <v>1060</v>
      </c>
      <c r="K316" t="s">
        <v>43</v>
      </c>
      <c r="L316">
        <v>2</v>
      </c>
      <c r="M316" t="s">
        <v>44</v>
      </c>
      <c r="N316" t="s">
        <v>45</v>
      </c>
      <c r="O316" t="s">
        <v>46</v>
      </c>
      <c r="P316" s="5">
        <v>1</v>
      </c>
      <c r="Q316" s="12">
        <v>44825.570138888892</v>
      </c>
      <c r="R316" s="13">
        <v>44828</v>
      </c>
      <c r="T316" t="s">
        <v>47</v>
      </c>
      <c r="U316" t="s">
        <v>48</v>
      </c>
      <c r="V316" t="s">
        <v>56</v>
      </c>
      <c r="Y316" t="s">
        <v>1061</v>
      </c>
      <c r="Z316">
        <v>6300</v>
      </c>
      <c r="AA316" t="s">
        <v>47</v>
      </c>
      <c r="AB316" t="s">
        <v>58</v>
      </c>
      <c r="AC316" t="s">
        <v>53</v>
      </c>
      <c r="AD316" s="16">
        <f>IF(P316&lt;=1,7,7+0.8*ROUNDUP(P316-1,0))</f>
        <v>7</v>
      </c>
      <c r="AE316" s="15">
        <v>0</v>
      </c>
      <c r="AF316" s="15">
        <v>0</v>
      </c>
      <c r="AG316" s="15">
        <v>0</v>
      </c>
      <c r="AH316" s="15">
        <v>0</v>
      </c>
      <c r="AI316" s="15">
        <f t="shared" si="8"/>
        <v>0.42</v>
      </c>
      <c r="AJ316" s="15">
        <f t="shared" si="9"/>
        <v>7.42</v>
      </c>
      <c r="AK316" t="s">
        <v>47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F317" s="11"/>
      <c r="G317" t="s">
        <v>1062</v>
      </c>
      <c r="I317" t="s">
        <v>41</v>
      </c>
      <c r="J317" t="s">
        <v>1063</v>
      </c>
      <c r="K317" t="s">
        <v>43</v>
      </c>
      <c r="L317">
        <v>2</v>
      </c>
      <c r="M317" t="s">
        <v>44</v>
      </c>
      <c r="N317" t="s">
        <v>45</v>
      </c>
      <c r="O317" t="s">
        <v>46</v>
      </c>
      <c r="P317" s="5">
        <v>1</v>
      </c>
      <c r="Q317" s="12">
        <v>44826.652777777781</v>
      </c>
      <c r="R317" s="13">
        <v>44828</v>
      </c>
      <c r="T317" t="s">
        <v>47</v>
      </c>
      <c r="U317" t="s">
        <v>48</v>
      </c>
      <c r="V317" t="s">
        <v>56</v>
      </c>
      <c r="Y317" t="s">
        <v>1064</v>
      </c>
      <c r="Z317">
        <v>8010</v>
      </c>
      <c r="AA317" t="s">
        <v>47</v>
      </c>
      <c r="AB317" t="s">
        <v>1065</v>
      </c>
      <c r="AC317" t="s">
        <v>53</v>
      </c>
      <c r="AD317" s="16">
        <f>IF(P317&lt;=1,7,7+0.8*ROUNDUP(P317-1,0))</f>
        <v>7</v>
      </c>
      <c r="AE317" s="15">
        <v>0</v>
      </c>
      <c r="AF317" s="15">
        <v>0</v>
      </c>
      <c r="AG317" s="15">
        <v>0</v>
      </c>
      <c r="AH317" s="15">
        <v>0</v>
      </c>
      <c r="AI317" s="15">
        <f t="shared" si="8"/>
        <v>0.42</v>
      </c>
      <c r="AJ317" s="15">
        <f t="shared" si="9"/>
        <v>7.42</v>
      </c>
      <c r="AK317" t="s">
        <v>47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F318" s="11"/>
      <c r="G318" t="s">
        <v>1066</v>
      </c>
      <c r="I318" t="s">
        <v>41</v>
      </c>
      <c r="J318" t="s">
        <v>1067</v>
      </c>
      <c r="K318" t="s">
        <v>43</v>
      </c>
      <c r="L318">
        <v>2</v>
      </c>
      <c r="M318" t="s">
        <v>44</v>
      </c>
      <c r="N318" t="s">
        <v>45</v>
      </c>
      <c r="O318" t="s">
        <v>46</v>
      </c>
      <c r="P318" s="5">
        <v>1</v>
      </c>
      <c r="Q318" s="12">
        <v>44826.652777777781</v>
      </c>
      <c r="R318" s="13">
        <v>44828</v>
      </c>
      <c r="T318" t="s">
        <v>47</v>
      </c>
      <c r="U318" t="s">
        <v>48</v>
      </c>
      <c r="V318" t="s">
        <v>93</v>
      </c>
      <c r="Y318" t="s">
        <v>1068</v>
      </c>
      <c r="Z318">
        <v>81400</v>
      </c>
      <c r="AA318" t="s">
        <v>47</v>
      </c>
      <c r="AB318" t="s">
        <v>1069</v>
      </c>
      <c r="AC318" t="s">
        <v>53</v>
      </c>
      <c r="AD318" s="16">
        <f>IF(P318&lt;=1,7,7+0.8*ROUNDUP(P318-1,0))</f>
        <v>7</v>
      </c>
      <c r="AE318" s="15">
        <v>0</v>
      </c>
      <c r="AF318" s="15">
        <v>0</v>
      </c>
      <c r="AG318" s="15">
        <v>0</v>
      </c>
      <c r="AH318" s="15">
        <v>0</v>
      </c>
      <c r="AI318" s="15">
        <f t="shared" si="8"/>
        <v>0.42</v>
      </c>
      <c r="AJ318" s="15">
        <f t="shared" si="9"/>
        <v>7.42</v>
      </c>
      <c r="AK318" t="s">
        <v>47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F319" s="11"/>
      <c r="G319" t="s">
        <v>1070</v>
      </c>
      <c r="I319" t="s">
        <v>41</v>
      </c>
      <c r="J319" t="s">
        <v>1071</v>
      </c>
      <c r="K319" t="s">
        <v>43</v>
      </c>
      <c r="L319">
        <v>2</v>
      </c>
      <c r="M319" t="s">
        <v>44</v>
      </c>
      <c r="N319" t="s">
        <v>45</v>
      </c>
      <c r="O319" t="s">
        <v>46</v>
      </c>
      <c r="P319" s="5">
        <v>1</v>
      </c>
      <c r="Q319" s="12">
        <v>44827.427777777775</v>
      </c>
      <c r="R319" s="13">
        <v>44828</v>
      </c>
      <c r="T319" t="s">
        <v>47</v>
      </c>
      <c r="U319" t="s">
        <v>90</v>
      </c>
      <c r="V319" t="s">
        <v>300</v>
      </c>
      <c r="Y319" t="s">
        <v>1072</v>
      </c>
      <c r="Z319">
        <v>21300</v>
      </c>
      <c r="AA319" t="s">
        <v>47</v>
      </c>
      <c r="AB319" t="s">
        <v>90</v>
      </c>
      <c r="AC319" t="s">
        <v>53</v>
      </c>
      <c r="AD319" s="16">
        <f>IF(P319&lt;=1,7,7+0.8*ROUNDUP(P319-1,0))</f>
        <v>7</v>
      </c>
      <c r="AE319" s="15">
        <v>0</v>
      </c>
      <c r="AF319" s="15">
        <v>0</v>
      </c>
      <c r="AG319" s="15">
        <v>0</v>
      </c>
      <c r="AH319" s="15">
        <v>0</v>
      </c>
      <c r="AI319" s="15">
        <f t="shared" si="8"/>
        <v>0.42</v>
      </c>
      <c r="AJ319" s="15">
        <f t="shared" si="9"/>
        <v>7.42</v>
      </c>
      <c r="AK319" t="s">
        <v>47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F320" s="11"/>
      <c r="G320" t="s">
        <v>1073</v>
      </c>
      <c r="I320" t="s">
        <v>41</v>
      </c>
      <c r="J320" t="s">
        <v>631</v>
      </c>
      <c r="K320" t="s">
        <v>43</v>
      </c>
      <c r="L320">
        <v>2</v>
      </c>
      <c r="M320" t="s">
        <v>44</v>
      </c>
      <c r="N320" t="s">
        <v>45</v>
      </c>
      <c r="O320" t="s">
        <v>46</v>
      </c>
      <c r="P320" s="5">
        <v>1</v>
      </c>
      <c r="Q320" s="12">
        <v>44826.65902777778</v>
      </c>
      <c r="R320" s="13">
        <v>44828</v>
      </c>
      <c r="T320" t="s">
        <v>47</v>
      </c>
      <c r="U320" t="s">
        <v>48</v>
      </c>
      <c r="V320" t="s">
        <v>93</v>
      </c>
      <c r="Y320" t="s">
        <v>1074</v>
      </c>
      <c r="Z320">
        <v>81110</v>
      </c>
      <c r="AA320" t="s">
        <v>47</v>
      </c>
      <c r="AB320" t="s">
        <v>294</v>
      </c>
      <c r="AC320" t="s">
        <v>53</v>
      </c>
      <c r="AD320" s="16">
        <f>IF(P320&lt;=1,7,7+0.8*ROUNDUP(P320-1,0))</f>
        <v>7</v>
      </c>
      <c r="AE320" s="15">
        <v>0</v>
      </c>
      <c r="AF320" s="15">
        <v>0</v>
      </c>
      <c r="AG320" s="15">
        <v>0</v>
      </c>
      <c r="AH320" s="15">
        <v>0</v>
      </c>
      <c r="AI320" s="15">
        <f t="shared" si="8"/>
        <v>0.42</v>
      </c>
      <c r="AJ320" s="15">
        <f t="shared" si="9"/>
        <v>7.42</v>
      </c>
      <c r="AK320" t="s">
        <v>47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F321" s="11"/>
      <c r="G321" t="s">
        <v>1075</v>
      </c>
      <c r="I321" t="s">
        <v>41</v>
      </c>
      <c r="J321" t="s">
        <v>1076</v>
      </c>
      <c r="K321" t="s">
        <v>43</v>
      </c>
      <c r="L321">
        <v>2</v>
      </c>
      <c r="M321" t="s">
        <v>44</v>
      </c>
      <c r="N321" t="s">
        <v>45</v>
      </c>
      <c r="O321" t="s">
        <v>46</v>
      </c>
      <c r="P321" s="5">
        <v>1</v>
      </c>
      <c r="Q321" s="12">
        <v>44825.748611111114</v>
      </c>
      <c r="R321" s="13">
        <v>44828</v>
      </c>
      <c r="T321" t="s">
        <v>47</v>
      </c>
      <c r="U321" t="s">
        <v>48</v>
      </c>
      <c r="V321" t="s">
        <v>93</v>
      </c>
      <c r="Y321" t="s">
        <v>1077</v>
      </c>
      <c r="Z321">
        <v>81200</v>
      </c>
      <c r="AA321" t="s">
        <v>47</v>
      </c>
      <c r="AB321" t="s">
        <v>58</v>
      </c>
      <c r="AC321" t="s">
        <v>53</v>
      </c>
      <c r="AD321" s="16">
        <f>IF(P321&lt;=1,7,7+0.8*ROUNDUP(P321-1,0))</f>
        <v>7</v>
      </c>
      <c r="AE321" s="15">
        <v>0</v>
      </c>
      <c r="AF321" s="15">
        <v>0</v>
      </c>
      <c r="AG321" s="15">
        <v>0</v>
      </c>
      <c r="AH321" s="15">
        <v>0</v>
      </c>
      <c r="AI321" s="15">
        <f t="shared" si="8"/>
        <v>0.42</v>
      </c>
      <c r="AJ321" s="15">
        <f t="shared" si="9"/>
        <v>7.42</v>
      </c>
      <c r="AK321" t="s">
        <v>47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F322" s="11"/>
      <c r="G322" t="s">
        <v>1078</v>
      </c>
      <c r="I322" t="s">
        <v>41</v>
      </c>
      <c r="J322" t="s">
        <v>1079</v>
      </c>
      <c r="K322" t="s">
        <v>43</v>
      </c>
      <c r="L322">
        <v>2</v>
      </c>
      <c r="M322" t="s">
        <v>44</v>
      </c>
      <c r="N322" t="s">
        <v>45</v>
      </c>
      <c r="O322" t="s">
        <v>46</v>
      </c>
      <c r="P322" s="5">
        <v>1</v>
      </c>
      <c r="Q322" s="12">
        <v>44826.652777777781</v>
      </c>
      <c r="R322" s="13">
        <v>44828</v>
      </c>
      <c r="T322" t="s">
        <v>47</v>
      </c>
      <c r="U322" t="s">
        <v>48</v>
      </c>
      <c r="V322" t="s">
        <v>93</v>
      </c>
      <c r="Y322" t="s">
        <v>1080</v>
      </c>
      <c r="Z322">
        <v>81700</v>
      </c>
      <c r="AA322" t="s">
        <v>47</v>
      </c>
      <c r="AB322" t="s">
        <v>1081</v>
      </c>
      <c r="AC322" t="s">
        <v>53</v>
      </c>
      <c r="AD322" s="16">
        <f>IF(P322&lt;=1,7,7+0.8*ROUNDUP(P322-1,0))</f>
        <v>7</v>
      </c>
      <c r="AE322" s="15">
        <v>0</v>
      </c>
      <c r="AF322" s="15">
        <v>0</v>
      </c>
      <c r="AG322" s="15">
        <v>0</v>
      </c>
      <c r="AH322" s="15">
        <v>0</v>
      </c>
      <c r="AI322" s="15">
        <f t="shared" ref="AI322:AI385" si="10">(AD322+AF322+AH322)*6%</f>
        <v>0.42</v>
      </c>
      <c r="AJ322" s="15">
        <f t="shared" ref="AJ322:AJ385" si="11">AD322+AF322+AH322+AI322</f>
        <v>7.42</v>
      </c>
      <c r="AK322" t="s">
        <v>47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F323" s="11"/>
      <c r="G323" t="s">
        <v>1082</v>
      </c>
      <c r="I323" t="s">
        <v>41</v>
      </c>
      <c r="J323" t="s">
        <v>1083</v>
      </c>
      <c r="K323" t="s">
        <v>43</v>
      </c>
      <c r="L323">
        <v>2</v>
      </c>
      <c r="M323" t="s">
        <v>44</v>
      </c>
      <c r="N323" t="s">
        <v>45</v>
      </c>
      <c r="O323" t="s">
        <v>46</v>
      </c>
      <c r="P323" s="5">
        <v>1</v>
      </c>
      <c r="Q323" s="12">
        <v>44826.642361111109</v>
      </c>
      <c r="R323" s="13">
        <v>44828</v>
      </c>
      <c r="T323" t="s">
        <v>47</v>
      </c>
      <c r="U323" t="s">
        <v>48</v>
      </c>
      <c r="V323" t="s">
        <v>61</v>
      </c>
      <c r="Y323" t="s">
        <v>1084</v>
      </c>
      <c r="Z323">
        <v>11060</v>
      </c>
      <c r="AA323" t="s">
        <v>47</v>
      </c>
      <c r="AB323" t="s">
        <v>538</v>
      </c>
      <c r="AC323" t="s">
        <v>53</v>
      </c>
      <c r="AD323" s="16">
        <f>IF(P323&lt;=1,7,7+0.8*ROUNDUP(P323-1,0))</f>
        <v>7</v>
      </c>
      <c r="AE323" s="15">
        <v>0</v>
      </c>
      <c r="AF323" s="15">
        <v>0</v>
      </c>
      <c r="AG323" s="15">
        <v>0</v>
      </c>
      <c r="AH323" s="15">
        <v>0</v>
      </c>
      <c r="AI323" s="15">
        <f t="shared" si="10"/>
        <v>0.42</v>
      </c>
      <c r="AJ323" s="15">
        <f t="shared" si="11"/>
        <v>7.42</v>
      </c>
      <c r="AK323" t="s">
        <v>47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F324" s="11"/>
      <c r="G324" t="s">
        <v>1085</v>
      </c>
      <c r="I324" t="s">
        <v>41</v>
      </c>
      <c r="J324" t="s">
        <v>1086</v>
      </c>
      <c r="K324" t="s">
        <v>43</v>
      </c>
      <c r="L324">
        <v>2</v>
      </c>
      <c r="M324" t="s">
        <v>44</v>
      </c>
      <c r="N324" t="s">
        <v>45</v>
      </c>
      <c r="O324" t="s">
        <v>46</v>
      </c>
      <c r="P324" s="5">
        <v>5</v>
      </c>
      <c r="Q324" s="12">
        <v>44827.405555555553</v>
      </c>
      <c r="R324" s="13">
        <v>44829</v>
      </c>
      <c r="T324" t="s">
        <v>47</v>
      </c>
      <c r="U324" t="s">
        <v>90</v>
      </c>
      <c r="V324" t="s">
        <v>56</v>
      </c>
      <c r="Y324" t="s">
        <v>1087</v>
      </c>
      <c r="Z324">
        <v>6300</v>
      </c>
      <c r="AA324" t="s">
        <v>47</v>
      </c>
      <c r="AB324" t="s">
        <v>1088</v>
      </c>
      <c r="AC324" t="s">
        <v>53</v>
      </c>
      <c r="AD324" s="16">
        <f>IF(P324&lt;=1,7,7+0.8*ROUNDUP(P324-1,0))</f>
        <v>10.199999999999999</v>
      </c>
      <c r="AE324" s="15">
        <v>0</v>
      </c>
      <c r="AF324" s="15">
        <v>0</v>
      </c>
      <c r="AG324" s="15">
        <v>0</v>
      </c>
      <c r="AH324" s="15">
        <v>0</v>
      </c>
      <c r="AI324" s="15">
        <f t="shared" si="10"/>
        <v>0.61199999999999999</v>
      </c>
      <c r="AJ324" s="15">
        <f t="shared" si="11"/>
        <v>10.811999999999999</v>
      </c>
      <c r="AK324" t="s">
        <v>47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F325" s="11"/>
      <c r="G325" t="s">
        <v>1089</v>
      </c>
      <c r="I325" t="s">
        <v>41</v>
      </c>
      <c r="J325" t="s">
        <v>1086</v>
      </c>
      <c r="K325" t="s">
        <v>43</v>
      </c>
      <c r="L325">
        <v>2</v>
      </c>
      <c r="M325" t="s">
        <v>44</v>
      </c>
      <c r="N325" t="s">
        <v>45</v>
      </c>
      <c r="O325" t="s">
        <v>46</v>
      </c>
      <c r="P325" s="5">
        <v>3</v>
      </c>
      <c r="Q325" s="12">
        <v>44827.405555555553</v>
      </c>
      <c r="R325" s="13">
        <v>44829</v>
      </c>
      <c r="T325" t="s">
        <v>47</v>
      </c>
      <c r="U325" t="s">
        <v>90</v>
      </c>
      <c r="V325" t="s">
        <v>56</v>
      </c>
      <c r="Y325" t="s">
        <v>1087</v>
      </c>
      <c r="Z325">
        <v>6300</v>
      </c>
      <c r="AA325" t="s">
        <v>47</v>
      </c>
      <c r="AB325" t="s">
        <v>1088</v>
      </c>
      <c r="AC325" t="s">
        <v>53</v>
      </c>
      <c r="AD325" s="16">
        <f>IF(P325&lt;=1,7,7+0.8*ROUNDUP(P325-1,0))</f>
        <v>8.6</v>
      </c>
      <c r="AE325" s="15">
        <v>0</v>
      </c>
      <c r="AF325" s="15">
        <v>0</v>
      </c>
      <c r="AG325" s="15">
        <v>0</v>
      </c>
      <c r="AH325" s="15">
        <v>0</v>
      </c>
      <c r="AI325" s="15">
        <f t="shared" si="10"/>
        <v>0.51600000000000001</v>
      </c>
      <c r="AJ325" s="15">
        <f t="shared" si="11"/>
        <v>9.1159999999999997</v>
      </c>
      <c r="AK325" t="s">
        <v>47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F326" s="11"/>
      <c r="G326" t="s">
        <v>1090</v>
      </c>
      <c r="I326" t="s">
        <v>41</v>
      </c>
      <c r="J326" t="s">
        <v>1086</v>
      </c>
      <c r="K326" t="s">
        <v>43</v>
      </c>
      <c r="L326">
        <v>2</v>
      </c>
      <c r="M326" t="s">
        <v>44</v>
      </c>
      <c r="N326" t="s">
        <v>45</v>
      </c>
      <c r="O326" t="s">
        <v>46</v>
      </c>
      <c r="P326" s="5">
        <v>4</v>
      </c>
      <c r="Q326" s="12">
        <v>44827.405555555553</v>
      </c>
      <c r="R326" s="13">
        <v>44829</v>
      </c>
      <c r="T326" t="s">
        <v>47</v>
      </c>
      <c r="U326" t="s">
        <v>90</v>
      </c>
      <c r="V326" t="s">
        <v>56</v>
      </c>
      <c r="Y326" t="s">
        <v>1087</v>
      </c>
      <c r="Z326">
        <v>6300</v>
      </c>
      <c r="AA326" t="s">
        <v>47</v>
      </c>
      <c r="AB326" t="s">
        <v>1088</v>
      </c>
      <c r="AC326" t="s">
        <v>53</v>
      </c>
      <c r="AD326" s="16">
        <f>IF(P326&lt;=1,7,7+0.8*ROUNDUP(P326-1,0))</f>
        <v>9.4</v>
      </c>
      <c r="AE326" s="15">
        <v>0</v>
      </c>
      <c r="AF326" s="15">
        <v>0</v>
      </c>
      <c r="AG326" s="15">
        <v>0</v>
      </c>
      <c r="AH326" s="15">
        <v>0</v>
      </c>
      <c r="AI326" s="15">
        <f t="shared" si="10"/>
        <v>0.56399999999999995</v>
      </c>
      <c r="AJ326" s="15">
        <f t="shared" si="11"/>
        <v>9.9640000000000004</v>
      </c>
      <c r="AK326" t="s">
        <v>47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F327" s="11"/>
      <c r="G327" t="s">
        <v>1091</v>
      </c>
      <c r="I327" t="s">
        <v>41</v>
      </c>
      <c r="J327" t="s">
        <v>1086</v>
      </c>
      <c r="K327" t="s">
        <v>43</v>
      </c>
      <c r="L327">
        <v>2</v>
      </c>
      <c r="M327" t="s">
        <v>44</v>
      </c>
      <c r="N327" t="s">
        <v>45</v>
      </c>
      <c r="O327" t="s">
        <v>46</v>
      </c>
      <c r="P327" s="5">
        <v>4</v>
      </c>
      <c r="Q327" s="12">
        <v>44827.405555555553</v>
      </c>
      <c r="R327" s="13">
        <v>44829</v>
      </c>
      <c r="T327" t="s">
        <v>47</v>
      </c>
      <c r="U327" t="s">
        <v>90</v>
      </c>
      <c r="V327" t="s">
        <v>56</v>
      </c>
      <c r="Y327" t="s">
        <v>1087</v>
      </c>
      <c r="Z327">
        <v>6300</v>
      </c>
      <c r="AA327" t="s">
        <v>47</v>
      </c>
      <c r="AB327" t="s">
        <v>1088</v>
      </c>
      <c r="AC327" t="s">
        <v>53</v>
      </c>
      <c r="AD327" s="16">
        <f>IF(P327&lt;=1,7,7+0.8*ROUNDUP(P327-1,0))</f>
        <v>9.4</v>
      </c>
      <c r="AE327" s="15">
        <v>0</v>
      </c>
      <c r="AF327" s="15">
        <v>0</v>
      </c>
      <c r="AG327" s="15">
        <v>0</v>
      </c>
      <c r="AH327" s="15">
        <v>0</v>
      </c>
      <c r="AI327" s="15">
        <f t="shared" si="10"/>
        <v>0.56399999999999995</v>
      </c>
      <c r="AJ327" s="15">
        <f t="shared" si="11"/>
        <v>9.9640000000000004</v>
      </c>
      <c r="AK327" t="s">
        <v>47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F328" s="11"/>
      <c r="G328" t="s">
        <v>1092</v>
      </c>
      <c r="I328" t="s">
        <v>41</v>
      </c>
      <c r="J328" t="s">
        <v>1093</v>
      </c>
      <c r="K328" t="s">
        <v>43</v>
      </c>
      <c r="L328">
        <v>2</v>
      </c>
      <c r="M328" t="s">
        <v>44</v>
      </c>
      <c r="N328" t="s">
        <v>45</v>
      </c>
      <c r="O328" t="s">
        <v>46</v>
      </c>
      <c r="P328" s="5">
        <v>2</v>
      </c>
      <c r="Q328" s="12">
        <v>44828.602777777778</v>
      </c>
      <c r="R328" s="13">
        <v>44829</v>
      </c>
      <c r="T328" t="s">
        <v>47</v>
      </c>
      <c r="U328" t="s">
        <v>48</v>
      </c>
      <c r="V328" t="s">
        <v>76</v>
      </c>
      <c r="Y328" t="s">
        <v>1094</v>
      </c>
      <c r="Z328">
        <v>16800</v>
      </c>
      <c r="AA328" t="s">
        <v>47</v>
      </c>
      <c r="AB328" t="s">
        <v>1095</v>
      </c>
      <c r="AC328" t="s">
        <v>53</v>
      </c>
      <c r="AD328" s="16">
        <f>IF(P328&lt;=1,7,7+0.8*ROUNDUP(P328-1,0))</f>
        <v>7.8</v>
      </c>
      <c r="AE328" s="15">
        <v>0</v>
      </c>
      <c r="AF328" s="15">
        <v>0</v>
      </c>
      <c r="AG328" s="15">
        <v>0</v>
      </c>
      <c r="AH328" s="15">
        <v>0</v>
      </c>
      <c r="AI328" s="15">
        <f t="shared" si="10"/>
        <v>0.46799999999999997</v>
      </c>
      <c r="AJ328" s="15">
        <f t="shared" si="11"/>
        <v>8.2680000000000007</v>
      </c>
      <c r="AK328" t="s">
        <v>47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F329" s="11"/>
      <c r="G329" t="s">
        <v>1096</v>
      </c>
      <c r="I329" t="s">
        <v>41</v>
      </c>
      <c r="J329" t="s">
        <v>1086</v>
      </c>
      <c r="K329" t="s">
        <v>43</v>
      </c>
      <c r="L329">
        <v>2</v>
      </c>
      <c r="M329" t="s">
        <v>44</v>
      </c>
      <c r="N329" t="s">
        <v>45</v>
      </c>
      <c r="O329" t="s">
        <v>46</v>
      </c>
      <c r="P329" s="5">
        <v>4</v>
      </c>
      <c r="Q329" s="12">
        <v>44827.405555555553</v>
      </c>
      <c r="R329" s="13">
        <v>44829</v>
      </c>
      <c r="T329" t="s">
        <v>47</v>
      </c>
      <c r="U329" t="s">
        <v>90</v>
      </c>
      <c r="V329" t="s">
        <v>56</v>
      </c>
      <c r="Y329" t="s">
        <v>1087</v>
      </c>
      <c r="Z329">
        <v>6300</v>
      </c>
      <c r="AA329" t="s">
        <v>47</v>
      </c>
      <c r="AB329" t="s">
        <v>1088</v>
      </c>
      <c r="AC329" t="s">
        <v>53</v>
      </c>
      <c r="AD329" s="16">
        <f>IF(P329&lt;=1,7,7+0.8*ROUNDUP(P329-1,0))</f>
        <v>9.4</v>
      </c>
      <c r="AE329" s="15">
        <v>0</v>
      </c>
      <c r="AF329" s="15">
        <v>0</v>
      </c>
      <c r="AG329" s="15">
        <v>0</v>
      </c>
      <c r="AH329" s="15">
        <v>0</v>
      </c>
      <c r="AI329" s="15">
        <f t="shared" si="10"/>
        <v>0.56399999999999995</v>
      </c>
      <c r="AJ329" s="15">
        <f t="shared" si="11"/>
        <v>9.9640000000000004</v>
      </c>
      <c r="AK329" t="s">
        <v>47</v>
      </c>
    </row>
    <row r="330" spans="1:37" ht="15" customHeight="1" x14ac:dyDescent="0.35">
      <c r="A330">
        <v>690929</v>
      </c>
      <c r="B330" t="s">
        <v>37</v>
      </c>
      <c r="C330" t="s">
        <v>38</v>
      </c>
      <c r="D330" s="9" t="s">
        <v>39</v>
      </c>
      <c r="E330" s="10" t="s">
        <v>37</v>
      </c>
      <c r="F330" s="11"/>
      <c r="G330" t="s">
        <v>1097</v>
      </c>
      <c r="I330" t="s">
        <v>41</v>
      </c>
      <c r="J330" t="s">
        <v>1086</v>
      </c>
      <c r="K330" t="s">
        <v>43</v>
      </c>
      <c r="L330">
        <v>2</v>
      </c>
      <c r="M330" t="s">
        <v>44</v>
      </c>
      <c r="N330" t="s">
        <v>45</v>
      </c>
      <c r="O330" t="s">
        <v>46</v>
      </c>
      <c r="P330" s="5">
        <v>3</v>
      </c>
      <c r="Q330" s="12">
        <v>44827.405555555553</v>
      </c>
      <c r="R330" s="13">
        <v>44829</v>
      </c>
      <c r="T330" t="s">
        <v>47</v>
      </c>
      <c r="U330" t="s">
        <v>90</v>
      </c>
      <c r="V330" t="s">
        <v>56</v>
      </c>
      <c r="Y330" t="s">
        <v>1087</v>
      </c>
      <c r="Z330">
        <v>6300</v>
      </c>
      <c r="AA330" t="s">
        <v>47</v>
      </c>
      <c r="AB330" t="s">
        <v>1088</v>
      </c>
      <c r="AC330" t="s">
        <v>53</v>
      </c>
      <c r="AD330" s="16">
        <f>IF(P330&lt;=1,7,7+0.8*ROUNDUP(P330-1,0))</f>
        <v>8.6</v>
      </c>
      <c r="AE330" s="15">
        <v>0</v>
      </c>
      <c r="AF330" s="15">
        <v>0</v>
      </c>
      <c r="AG330" s="15">
        <v>0</v>
      </c>
      <c r="AH330" s="15">
        <v>0</v>
      </c>
      <c r="AI330" s="15">
        <f t="shared" si="10"/>
        <v>0.51600000000000001</v>
      </c>
      <c r="AJ330" s="15">
        <f t="shared" si="11"/>
        <v>9.1159999999999997</v>
      </c>
      <c r="AK330" t="s">
        <v>47</v>
      </c>
    </row>
    <row r="331" spans="1:37" ht="15" customHeight="1" x14ac:dyDescent="0.35">
      <c r="A331">
        <v>690929</v>
      </c>
      <c r="B331" t="s">
        <v>37</v>
      </c>
      <c r="C331" t="s">
        <v>38</v>
      </c>
      <c r="D331" s="9" t="s">
        <v>39</v>
      </c>
      <c r="E331" s="10" t="s">
        <v>37</v>
      </c>
      <c r="F331" s="11"/>
      <c r="G331" t="s">
        <v>1098</v>
      </c>
      <c r="I331" t="s">
        <v>41</v>
      </c>
      <c r="J331" t="s">
        <v>1086</v>
      </c>
      <c r="K331" t="s">
        <v>43</v>
      </c>
      <c r="L331">
        <v>2</v>
      </c>
      <c r="M331" t="s">
        <v>44</v>
      </c>
      <c r="N331" t="s">
        <v>45</v>
      </c>
      <c r="O331" t="s">
        <v>46</v>
      </c>
      <c r="P331" s="5">
        <v>4</v>
      </c>
      <c r="Q331" s="12">
        <v>44827.405555555553</v>
      </c>
      <c r="R331" s="13">
        <v>44829</v>
      </c>
      <c r="T331" t="s">
        <v>47</v>
      </c>
      <c r="U331" t="s">
        <v>90</v>
      </c>
      <c r="V331" t="s">
        <v>56</v>
      </c>
      <c r="Y331" t="s">
        <v>1087</v>
      </c>
      <c r="Z331">
        <v>6300</v>
      </c>
      <c r="AA331" t="s">
        <v>47</v>
      </c>
      <c r="AB331" t="s">
        <v>1088</v>
      </c>
      <c r="AC331" t="s">
        <v>53</v>
      </c>
      <c r="AD331" s="16">
        <f>IF(P331&lt;=1,7,7+0.8*ROUNDUP(P331-1,0))</f>
        <v>9.4</v>
      </c>
      <c r="AE331" s="15">
        <v>0</v>
      </c>
      <c r="AF331" s="15">
        <v>0</v>
      </c>
      <c r="AG331" s="15">
        <v>0</v>
      </c>
      <c r="AH331" s="15">
        <v>0</v>
      </c>
      <c r="AI331" s="15">
        <f t="shared" si="10"/>
        <v>0.56399999999999995</v>
      </c>
      <c r="AJ331" s="15">
        <f t="shared" si="11"/>
        <v>9.9640000000000004</v>
      </c>
      <c r="AK331" t="s">
        <v>47</v>
      </c>
    </row>
    <row r="332" spans="1:37" ht="15" customHeight="1" x14ac:dyDescent="0.35">
      <c r="A332">
        <v>690929</v>
      </c>
      <c r="B332" t="s">
        <v>37</v>
      </c>
      <c r="C332" t="s">
        <v>38</v>
      </c>
      <c r="D332" s="9" t="s">
        <v>39</v>
      </c>
      <c r="E332" s="10" t="s">
        <v>37</v>
      </c>
      <c r="F332" s="11"/>
      <c r="G332" t="s">
        <v>1099</v>
      </c>
      <c r="I332" t="s">
        <v>41</v>
      </c>
      <c r="J332" t="s">
        <v>1100</v>
      </c>
      <c r="K332" t="s">
        <v>43</v>
      </c>
      <c r="L332">
        <v>2</v>
      </c>
      <c r="M332" t="s">
        <v>44</v>
      </c>
      <c r="N332" t="s">
        <v>45</v>
      </c>
      <c r="O332" t="s">
        <v>46</v>
      </c>
      <c r="P332" s="5">
        <v>1</v>
      </c>
      <c r="Q332" s="12">
        <v>44826.59375</v>
      </c>
      <c r="R332" s="13">
        <v>44829</v>
      </c>
      <c r="T332" t="s">
        <v>47</v>
      </c>
      <c r="U332" t="s">
        <v>48</v>
      </c>
      <c r="V332" t="s">
        <v>134</v>
      </c>
      <c r="Y332" t="s">
        <v>1101</v>
      </c>
      <c r="Z332">
        <v>93050</v>
      </c>
      <c r="AA332" t="s">
        <v>51</v>
      </c>
      <c r="AB332" t="s">
        <v>1102</v>
      </c>
      <c r="AC332" t="s">
        <v>53</v>
      </c>
      <c r="AD332" s="14">
        <f>IF(P332&lt;=1,13,IF(P332&lt;=2,23,IF(P332&lt;=3,35,IF(P332&lt;=4,43,IF(P332&lt;=5,53,IF(P332&lt;=6,63,IF(P332&lt;=7,71,IF(P332&lt;=8,79,IF(P332&lt;=9,87,IF(P332&lt;=10,95,IF(P332&lt;=11,105,IF(P332&lt;=12,114,IF(P332&lt;=13,119,IF(P332&lt;=14,127,IF(P332&lt;=15,135,IF(P332&lt;=16,143,IF(P332&lt;=17,153,IF(P332&lt;=18,163,IF(P332&lt;=19,171,IF(P332&lt;=20,185,IF(P332&lt;=21,193,IF(P332&lt;=22,201,IF(P332&lt;=23,210,IF(P332&lt;=24,220,IF(P332&lt;=25,230,IF(P332&lt;=26,240,IF(P332&lt;=27,250,IF(P332&lt;=28,260,IF(P332&lt;=29,270,IF(P332&lt;=30,280,280))))))))))))))))))))))))))))))</f>
        <v>13</v>
      </c>
      <c r="AE332" s="15">
        <v>0</v>
      </c>
      <c r="AF332" s="15">
        <v>0</v>
      </c>
      <c r="AG332" s="15">
        <v>0</v>
      </c>
      <c r="AH332" s="15">
        <v>0</v>
      </c>
      <c r="AI332" s="15">
        <f t="shared" si="10"/>
        <v>0.78</v>
      </c>
      <c r="AJ332" s="15">
        <f t="shared" si="11"/>
        <v>13.78</v>
      </c>
      <c r="AK332" t="s">
        <v>51</v>
      </c>
    </row>
    <row r="333" spans="1:37" ht="15" customHeight="1" x14ac:dyDescent="0.35">
      <c r="A333">
        <v>690929</v>
      </c>
      <c r="B333" t="s">
        <v>37</v>
      </c>
      <c r="C333" t="s">
        <v>38</v>
      </c>
      <c r="D333" s="9" t="s">
        <v>39</v>
      </c>
      <c r="E333" s="10" t="s">
        <v>37</v>
      </c>
      <c r="F333" s="11"/>
      <c r="G333" t="s">
        <v>1103</v>
      </c>
      <c r="I333" t="s">
        <v>41</v>
      </c>
      <c r="J333" t="s">
        <v>1104</v>
      </c>
      <c r="K333" t="s">
        <v>43</v>
      </c>
      <c r="L333">
        <v>2</v>
      </c>
      <c r="M333" t="s">
        <v>44</v>
      </c>
      <c r="N333" t="s">
        <v>45</v>
      </c>
      <c r="O333" t="s">
        <v>46</v>
      </c>
      <c r="P333" s="5">
        <v>1</v>
      </c>
      <c r="Q333" s="12">
        <v>44828.456944444442</v>
      </c>
      <c r="R333" s="13">
        <v>44829</v>
      </c>
      <c r="T333" t="s">
        <v>47</v>
      </c>
      <c r="U333" t="s">
        <v>48</v>
      </c>
      <c r="V333" t="s">
        <v>81</v>
      </c>
      <c r="Y333" t="s">
        <v>1105</v>
      </c>
      <c r="Z333">
        <v>33100</v>
      </c>
      <c r="AA333" t="s">
        <v>47</v>
      </c>
      <c r="AB333" t="s">
        <v>48</v>
      </c>
      <c r="AC333" t="s">
        <v>53</v>
      </c>
      <c r="AD333" s="16">
        <f>IF(P333&lt;=1,7,7+0.8*ROUNDUP(P333-1,0))</f>
        <v>7</v>
      </c>
      <c r="AE333" s="15">
        <v>0</v>
      </c>
      <c r="AF333" s="15">
        <v>0</v>
      </c>
      <c r="AG333" s="15">
        <v>0</v>
      </c>
      <c r="AH333" s="15">
        <v>0</v>
      </c>
      <c r="AI333" s="15">
        <f t="shared" si="10"/>
        <v>0.42</v>
      </c>
      <c r="AJ333" s="15">
        <f t="shared" si="11"/>
        <v>7.42</v>
      </c>
      <c r="AK333" t="s">
        <v>47</v>
      </c>
    </row>
    <row r="334" spans="1:37" ht="15" customHeight="1" x14ac:dyDescent="0.35">
      <c r="A334">
        <v>690929</v>
      </c>
      <c r="B334" t="s">
        <v>37</v>
      </c>
      <c r="C334" t="s">
        <v>38</v>
      </c>
      <c r="D334" s="9" t="s">
        <v>39</v>
      </c>
      <c r="E334" s="10" t="s">
        <v>37</v>
      </c>
      <c r="F334" s="11"/>
      <c r="G334" t="s">
        <v>1106</v>
      </c>
      <c r="I334" t="s">
        <v>41</v>
      </c>
      <c r="J334" t="s">
        <v>1107</v>
      </c>
      <c r="K334" t="s">
        <v>43</v>
      </c>
      <c r="L334">
        <v>2</v>
      </c>
      <c r="M334" t="s">
        <v>44</v>
      </c>
      <c r="N334" t="s">
        <v>45</v>
      </c>
      <c r="O334" t="s">
        <v>46</v>
      </c>
      <c r="P334" s="5">
        <v>1</v>
      </c>
      <c r="Q334" s="12">
        <v>44828.427777777775</v>
      </c>
      <c r="R334" s="13">
        <v>44829</v>
      </c>
      <c r="T334" t="s">
        <v>47</v>
      </c>
      <c r="U334" t="s">
        <v>48</v>
      </c>
      <c r="V334" t="s">
        <v>81</v>
      </c>
      <c r="Y334" t="s">
        <v>1108</v>
      </c>
      <c r="Z334">
        <v>31400</v>
      </c>
      <c r="AA334" t="s">
        <v>47</v>
      </c>
      <c r="AB334" t="s">
        <v>48</v>
      </c>
      <c r="AC334" t="s">
        <v>53</v>
      </c>
      <c r="AD334" s="16">
        <f>IF(P334&lt;=1,7,7+0.8*ROUNDUP(P334-1,0))</f>
        <v>7</v>
      </c>
      <c r="AE334" s="15">
        <v>0</v>
      </c>
      <c r="AF334" s="15">
        <v>0</v>
      </c>
      <c r="AG334" s="15">
        <v>0</v>
      </c>
      <c r="AH334" s="15">
        <v>0</v>
      </c>
      <c r="AI334" s="15">
        <f t="shared" si="10"/>
        <v>0.42</v>
      </c>
      <c r="AJ334" s="15">
        <f t="shared" si="11"/>
        <v>7.42</v>
      </c>
      <c r="AK334" t="s">
        <v>47</v>
      </c>
    </row>
    <row r="335" spans="1:37" ht="15" customHeight="1" x14ac:dyDescent="0.35">
      <c r="A335">
        <v>690929</v>
      </c>
      <c r="B335" t="s">
        <v>37</v>
      </c>
      <c r="C335" t="s">
        <v>38</v>
      </c>
      <c r="D335" s="9" t="s">
        <v>39</v>
      </c>
      <c r="E335" s="10" t="s">
        <v>37</v>
      </c>
      <c r="F335" s="11"/>
      <c r="G335" t="s">
        <v>1109</v>
      </c>
      <c r="I335" t="s">
        <v>41</v>
      </c>
      <c r="J335" t="s">
        <v>1086</v>
      </c>
      <c r="K335" t="s">
        <v>43</v>
      </c>
      <c r="L335">
        <v>2</v>
      </c>
      <c r="M335" t="s">
        <v>44</v>
      </c>
      <c r="N335" t="s">
        <v>45</v>
      </c>
      <c r="O335" t="s">
        <v>46</v>
      </c>
      <c r="P335" s="5">
        <v>12</v>
      </c>
      <c r="Q335" s="12">
        <v>44827.405555555553</v>
      </c>
      <c r="R335" s="13">
        <v>44829</v>
      </c>
      <c r="T335" t="s">
        <v>47</v>
      </c>
      <c r="U335" t="s">
        <v>90</v>
      </c>
      <c r="V335" t="s">
        <v>56</v>
      </c>
      <c r="Y335" t="s">
        <v>1087</v>
      </c>
      <c r="Z335">
        <v>6300</v>
      </c>
      <c r="AA335" t="s">
        <v>47</v>
      </c>
      <c r="AB335" t="s">
        <v>1088</v>
      </c>
      <c r="AC335" t="s">
        <v>53</v>
      </c>
      <c r="AD335" s="16">
        <f>IF(P335&lt;=1,7,7+0.8*ROUNDUP(P335-1,0))</f>
        <v>15.8</v>
      </c>
      <c r="AE335" s="15">
        <v>0</v>
      </c>
      <c r="AF335" s="15">
        <v>0</v>
      </c>
      <c r="AG335" s="15">
        <v>0</v>
      </c>
      <c r="AH335" s="15">
        <v>0</v>
      </c>
      <c r="AI335" s="15">
        <f t="shared" si="10"/>
        <v>0.94799999999999995</v>
      </c>
      <c r="AJ335" s="15">
        <f t="shared" si="11"/>
        <v>16.748000000000001</v>
      </c>
      <c r="AK335" t="s">
        <v>47</v>
      </c>
    </row>
    <row r="336" spans="1:37" ht="15" customHeight="1" x14ac:dyDescent="0.35">
      <c r="A336">
        <v>690929</v>
      </c>
      <c r="B336" t="s">
        <v>37</v>
      </c>
      <c r="C336" t="s">
        <v>38</v>
      </c>
      <c r="D336" s="9" t="s">
        <v>39</v>
      </c>
      <c r="E336" s="10" t="s">
        <v>37</v>
      </c>
      <c r="F336" s="11"/>
      <c r="G336" t="s">
        <v>1110</v>
      </c>
      <c r="I336" t="s">
        <v>41</v>
      </c>
      <c r="J336" t="s">
        <v>1086</v>
      </c>
      <c r="K336" t="s">
        <v>43</v>
      </c>
      <c r="L336">
        <v>2</v>
      </c>
      <c r="M336" t="s">
        <v>44</v>
      </c>
      <c r="N336" t="s">
        <v>45</v>
      </c>
      <c r="O336" t="s">
        <v>46</v>
      </c>
      <c r="P336" s="5">
        <v>5</v>
      </c>
      <c r="Q336" s="12">
        <v>44827.405555555553</v>
      </c>
      <c r="R336" s="13">
        <v>44829</v>
      </c>
      <c r="T336" t="s">
        <v>47</v>
      </c>
      <c r="U336" t="s">
        <v>90</v>
      </c>
      <c r="V336" t="s">
        <v>56</v>
      </c>
      <c r="Y336" t="s">
        <v>1087</v>
      </c>
      <c r="Z336">
        <v>6300</v>
      </c>
      <c r="AA336" t="s">
        <v>47</v>
      </c>
      <c r="AB336" t="s">
        <v>1088</v>
      </c>
      <c r="AC336" t="s">
        <v>53</v>
      </c>
      <c r="AD336" s="16">
        <f>IF(P336&lt;=1,7,7+0.8*ROUNDUP(P336-1,0))</f>
        <v>10.199999999999999</v>
      </c>
      <c r="AE336" s="15">
        <v>0</v>
      </c>
      <c r="AF336" s="15">
        <v>0</v>
      </c>
      <c r="AG336" s="15">
        <v>0</v>
      </c>
      <c r="AH336" s="15">
        <v>0</v>
      </c>
      <c r="AI336" s="15">
        <f t="shared" si="10"/>
        <v>0.61199999999999999</v>
      </c>
      <c r="AJ336" s="15">
        <f t="shared" si="11"/>
        <v>10.811999999999999</v>
      </c>
      <c r="AK336" t="s">
        <v>47</v>
      </c>
    </row>
    <row r="337" spans="1:37" ht="15" customHeight="1" x14ac:dyDescent="0.35">
      <c r="A337">
        <v>690929</v>
      </c>
      <c r="B337" t="s">
        <v>37</v>
      </c>
      <c r="C337" t="s">
        <v>38</v>
      </c>
      <c r="D337" s="9" t="s">
        <v>39</v>
      </c>
      <c r="E337" s="10" t="s">
        <v>37</v>
      </c>
      <c r="F337" s="11"/>
      <c r="G337" t="s">
        <v>1111</v>
      </c>
      <c r="I337" t="s">
        <v>41</v>
      </c>
      <c r="J337" t="s">
        <v>1086</v>
      </c>
      <c r="K337" t="s">
        <v>43</v>
      </c>
      <c r="L337">
        <v>2</v>
      </c>
      <c r="M337" t="s">
        <v>44</v>
      </c>
      <c r="N337" t="s">
        <v>45</v>
      </c>
      <c r="O337" t="s">
        <v>46</v>
      </c>
      <c r="P337" s="5">
        <v>8</v>
      </c>
      <c r="Q337" s="12">
        <v>44827.405555555553</v>
      </c>
      <c r="R337" s="13">
        <v>44829</v>
      </c>
      <c r="T337" t="s">
        <v>47</v>
      </c>
      <c r="U337" t="s">
        <v>90</v>
      </c>
      <c r="V337" t="s">
        <v>56</v>
      </c>
      <c r="Y337" t="s">
        <v>1087</v>
      </c>
      <c r="Z337">
        <v>6300</v>
      </c>
      <c r="AA337" t="s">
        <v>47</v>
      </c>
      <c r="AB337" t="s">
        <v>1088</v>
      </c>
      <c r="AC337" t="s">
        <v>53</v>
      </c>
      <c r="AD337" s="16">
        <f>IF(P337&lt;=1,7,7+0.8*ROUNDUP(P337-1,0))</f>
        <v>12.600000000000001</v>
      </c>
      <c r="AE337" s="15">
        <v>0</v>
      </c>
      <c r="AF337" s="15">
        <v>0</v>
      </c>
      <c r="AG337" s="15">
        <v>0</v>
      </c>
      <c r="AH337" s="15">
        <v>0</v>
      </c>
      <c r="AI337" s="15">
        <f t="shared" si="10"/>
        <v>0.75600000000000001</v>
      </c>
      <c r="AJ337" s="15">
        <f t="shared" si="11"/>
        <v>13.356000000000002</v>
      </c>
      <c r="AK337" t="s">
        <v>47</v>
      </c>
    </row>
    <row r="338" spans="1:37" ht="15" customHeight="1" x14ac:dyDescent="0.35">
      <c r="A338">
        <v>690929</v>
      </c>
      <c r="B338" t="s">
        <v>37</v>
      </c>
      <c r="C338" t="s">
        <v>38</v>
      </c>
      <c r="D338" s="9" t="s">
        <v>39</v>
      </c>
      <c r="E338" s="10" t="s">
        <v>37</v>
      </c>
      <c r="F338" s="11"/>
      <c r="G338" t="s">
        <v>1112</v>
      </c>
      <c r="I338" t="s">
        <v>41</v>
      </c>
      <c r="J338" t="s">
        <v>1086</v>
      </c>
      <c r="K338" t="s">
        <v>43</v>
      </c>
      <c r="L338">
        <v>2</v>
      </c>
      <c r="M338" t="s">
        <v>44</v>
      </c>
      <c r="N338" t="s">
        <v>45</v>
      </c>
      <c r="O338" t="s">
        <v>46</v>
      </c>
      <c r="P338" s="5">
        <v>8</v>
      </c>
      <c r="Q338" s="12">
        <v>44827.405555555553</v>
      </c>
      <c r="R338" s="13">
        <v>44829</v>
      </c>
      <c r="T338" t="s">
        <v>47</v>
      </c>
      <c r="U338" t="s">
        <v>90</v>
      </c>
      <c r="V338" t="s">
        <v>56</v>
      </c>
      <c r="Y338" t="s">
        <v>1087</v>
      </c>
      <c r="Z338">
        <v>6300</v>
      </c>
      <c r="AA338" t="s">
        <v>47</v>
      </c>
      <c r="AB338" t="s">
        <v>1088</v>
      </c>
      <c r="AC338" t="s">
        <v>53</v>
      </c>
      <c r="AD338" s="16">
        <f>IF(P338&lt;=1,7,7+0.8*ROUNDUP(P338-1,0))</f>
        <v>12.600000000000001</v>
      </c>
      <c r="AE338" s="15">
        <v>0</v>
      </c>
      <c r="AF338" s="15">
        <v>0</v>
      </c>
      <c r="AG338" s="15">
        <v>0</v>
      </c>
      <c r="AH338" s="15">
        <v>0</v>
      </c>
      <c r="AI338" s="15">
        <f t="shared" si="10"/>
        <v>0.75600000000000001</v>
      </c>
      <c r="AJ338" s="15">
        <f t="shared" si="11"/>
        <v>13.356000000000002</v>
      </c>
      <c r="AK338" t="s">
        <v>47</v>
      </c>
    </row>
    <row r="339" spans="1:37" ht="15" customHeight="1" x14ac:dyDescent="0.35">
      <c r="A339">
        <v>690929</v>
      </c>
      <c r="B339" t="s">
        <v>37</v>
      </c>
      <c r="C339" t="s">
        <v>38</v>
      </c>
      <c r="D339" s="9" t="s">
        <v>39</v>
      </c>
      <c r="E339" s="10" t="s">
        <v>37</v>
      </c>
      <c r="F339" s="11"/>
      <c r="G339" t="s">
        <v>1113</v>
      </c>
      <c r="I339" t="s">
        <v>41</v>
      </c>
      <c r="J339" t="s">
        <v>1086</v>
      </c>
      <c r="K339" t="s">
        <v>43</v>
      </c>
      <c r="L339">
        <v>2</v>
      </c>
      <c r="M339" t="s">
        <v>44</v>
      </c>
      <c r="N339" t="s">
        <v>45</v>
      </c>
      <c r="O339" t="s">
        <v>46</v>
      </c>
      <c r="P339" s="5">
        <v>8</v>
      </c>
      <c r="Q339" s="12">
        <v>44827.396527777775</v>
      </c>
      <c r="R339" s="13">
        <v>44829</v>
      </c>
      <c r="T339" t="s">
        <v>47</v>
      </c>
      <c r="U339" t="s">
        <v>90</v>
      </c>
      <c r="V339" t="s">
        <v>56</v>
      </c>
      <c r="Y339" t="s">
        <v>1087</v>
      </c>
      <c r="Z339">
        <v>6300</v>
      </c>
      <c r="AA339" t="s">
        <v>47</v>
      </c>
      <c r="AB339" t="s">
        <v>1088</v>
      </c>
      <c r="AC339" t="s">
        <v>53</v>
      </c>
      <c r="AD339" s="16">
        <f>IF(P339&lt;=1,7,7+0.8*ROUNDUP(P339-1,0))</f>
        <v>12.600000000000001</v>
      </c>
      <c r="AE339" s="15">
        <v>0</v>
      </c>
      <c r="AF339" s="15">
        <v>0</v>
      </c>
      <c r="AG339" s="15">
        <v>0</v>
      </c>
      <c r="AH339" s="15">
        <v>0</v>
      </c>
      <c r="AI339" s="15">
        <f t="shared" si="10"/>
        <v>0.75600000000000001</v>
      </c>
      <c r="AJ339" s="15">
        <f t="shared" si="11"/>
        <v>13.356000000000002</v>
      </c>
      <c r="AK339" t="s">
        <v>47</v>
      </c>
    </row>
    <row r="340" spans="1:37" ht="15" customHeight="1" x14ac:dyDescent="0.35">
      <c r="A340">
        <v>690929</v>
      </c>
      <c r="B340" t="s">
        <v>37</v>
      </c>
      <c r="C340" t="s">
        <v>38</v>
      </c>
      <c r="D340" s="9" t="s">
        <v>39</v>
      </c>
      <c r="E340" s="10" t="s">
        <v>37</v>
      </c>
      <c r="F340" s="11"/>
      <c r="G340" t="s">
        <v>1114</v>
      </c>
      <c r="I340" t="s">
        <v>41</v>
      </c>
      <c r="J340" t="s">
        <v>1086</v>
      </c>
      <c r="K340" t="s">
        <v>43</v>
      </c>
      <c r="L340">
        <v>2</v>
      </c>
      <c r="M340" t="s">
        <v>44</v>
      </c>
      <c r="N340" t="s">
        <v>45</v>
      </c>
      <c r="O340" t="s">
        <v>46</v>
      </c>
      <c r="P340" s="5">
        <v>8</v>
      </c>
      <c r="Q340" s="12">
        <v>44827.405555555553</v>
      </c>
      <c r="R340" s="13">
        <v>44829</v>
      </c>
      <c r="T340" t="s">
        <v>47</v>
      </c>
      <c r="U340" t="s">
        <v>90</v>
      </c>
      <c r="V340" t="s">
        <v>56</v>
      </c>
      <c r="Y340" t="s">
        <v>1087</v>
      </c>
      <c r="Z340">
        <v>6300</v>
      </c>
      <c r="AA340" t="s">
        <v>47</v>
      </c>
      <c r="AB340" t="s">
        <v>1088</v>
      </c>
      <c r="AC340" t="s">
        <v>53</v>
      </c>
      <c r="AD340" s="16">
        <f>IF(P340&lt;=1,7,7+0.8*ROUNDUP(P340-1,0))</f>
        <v>12.600000000000001</v>
      </c>
      <c r="AE340" s="15">
        <v>0</v>
      </c>
      <c r="AF340" s="15">
        <v>0</v>
      </c>
      <c r="AG340" s="15">
        <v>0</v>
      </c>
      <c r="AH340" s="15">
        <v>0</v>
      </c>
      <c r="AI340" s="15">
        <f t="shared" si="10"/>
        <v>0.75600000000000001</v>
      </c>
      <c r="AJ340" s="15">
        <f t="shared" si="11"/>
        <v>13.356000000000002</v>
      </c>
      <c r="AK340" t="s">
        <v>47</v>
      </c>
    </row>
    <row r="341" spans="1:37" ht="15" customHeight="1" x14ac:dyDescent="0.35">
      <c r="A341">
        <v>690929</v>
      </c>
      <c r="B341" t="s">
        <v>37</v>
      </c>
      <c r="C341" t="s">
        <v>38</v>
      </c>
      <c r="D341" s="9" t="s">
        <v>39</v>
      </c>
      <c r="E341" s="10" t="s">
        <v>37</v>
      </c>
      <c r="F341" s="11"/>
      <c r="G341" t="s">
        <v>1115</v>
      </c>
      <c r="I341" t="s">
        <v>41</v>
      </c>
      <c r="J341" t="s">
        <v>1116</v>
      </c>
      <c r="K341" t="s">
        <v>43</v>
      </c>
      <c r="L341">
        <v>2</v>
      </c>
      <c r="M341" t="s">
        <v>44</v>
      </c>
      <c r="N341" t="s">
        <v>45</v>
      </c>
      <c r="O341" t="s">
        <v>46</v>
      </c>
      <c r="P341" s="5">
        <v>2</v>
      </c>
      <c r="Q341" s="12">
        <v>44828.459722222222</v>
      </c>
      <c r="R341" s="13">
        <v>44830</v>
      </c>
      <c r="T341" t="s">
        <v>47</v>
      </c>
      <c r="U341" t="s">
        <v>48</v>
      </c>
      <c r="V341" t="s">
        <v>81</v>
      </c>
      <c r="Y341" t="s">
        <v>1117</v>
      </c>
      <c r="Z341">
        <v>30020</v>
      </c>
      <c r="AA341" t="s">
        <v>47</v>
      </c>
      <c r="AB341" t="s">
        <v>679</v>
      </c>
      <c r="AC341" t="s">
        <v>53</v>
      </c>
      <c r="AD341" s="16">
        <f>IF(P341&lt;=1,7,7+0.8*ROUNDUP(P341-1,0))</f>
        <v>7.8</v>
      </c>
      <c r="AE341" s="15">
        <v>0</v>
      </c>
      <c r="AF341" s="15">
        <v>0</v>
      </c>
      <c r="AG341" s="15">
        <v>0</v>
      </c>
      <c r="AH341" s="15">
        <v>0</v>
      </c>
      <c r="AI341" s="15">
        <f t="shared" si="10"/>
        <v>0.46799999999999997</v>
      </c>
      <c r="AJ341" s="15">
        <f t="shared" si="11"/>
        <v>8.2680000000000007</v>
      </c>
      <c r="AK341" t="s">
        <v>47</v>
      </c>
    </row>
    <row r="342" spans="1:37" ht="15" customHeight="1" x14ac:dyDescent="0.35">
      <c r="A342">
        <v>690929</v>
      </c>
      <c r="B342" t="s">
        <v>37</v>
      </c>
      <c r="C342" t="s">
        <v>38</v>
      </c>
      <c r="D342" s="9" t="s">
        <v>39</v>
      </c>
      <c r="E342" s="10" t="s">
        <v>37</v>
      </c>
      <c r="F342" s="11"/>
      <c r="G342" t="s">
        <v>1118</v>
      </c>
      <c r="I342" t="s">
        <v>41</v>
      </c>
      <c r="J342" t="s">
        <v>567</v>
      </c>
      <c r="K342" t="s">
        <v>43</v>
      </c>
      <c r="L342">
        <v>2</v>
      </c>
      <c r="M342" t="s">
        <v>44</v>
      </c>
      <c r="N342" t="s">
        <v>45</v>
      </c>
      <c r="O342" t="s">
        <v>46</v>
      </c>
      <c r="P342" s="5">
        <v>1</v>
      </c>
      <c r="Q342" s="12">
        <v>44828.594444444447</v>
      </c>
      <c r="R342" s="13">
        <v>44830</v>
      </c>
      <c r="T342" t="s">
        <v>47</v>
      </c>
      <c r="U342" t="s">
        <v>48</v>
      </c>
      <c r="V342" t="s">
        <v>61</v>
      </c>
      <c r="Y342" t="s">
        <v>1119</v>
      </c>
      <c r="Z342">
        <v>14000</v>
      </c>
      <c r="AA342" t="s">
        <v>47</v>
      </c>
      <c r="AB342" t="s">
        <v>58</v>
      </c>
      <c r="AC342" t="s">
        <v>53</v>
      </c>
      <c r="AD342" s="16">
        <f>IF(P342&lt;=1,7,7+0.8*ROUNDUP(P342-1,0))</f>
        <v>7</v>
      </c>
      <c r="AE342" s="15">
        <v>0</v>
      </c>
      <c r="AF342" s="15">
        <v>0</v>
      </c>
      <c r="AG342" s="15">
        <v>0</v>
      </c>
      <c r="AH342" s="15">
        <v>0</v>
      </c>
      <c r="AI342" s="15">
        <f t="shared" si="10"/>
        <v>0.42</v>
      </c>
      <c r="AJ342" s="15">
        <f t="shared" si="11"/>
        <v>7.42</v>
      </c>
      <c r="AK342" t="s">
        <v>47</v>
      </c>
    </row>
    <row r="343" spans="1:37" ht="15" customHeight="1" x14ac:dyDescent="0.35">
      <c r="A343">
        <v>690929</v>
      </c>
      <c r="B343" t="s">
        <v>37</v>
      </c>
      <c r="C343" t="s">
        <v>38</v>
      </c>
      <c r="D343" s="9" t="s">
        <v>39</v>
      </c>
      <c r="E343" s="10" t="s">
        <v>37</v>
      </c>
      <c r="F343" s="11"/>
      <c r="G343" t="s">
        <v>1120</v>
      </c>
      <c r="I343" t="s">
        <v>41</v>
      </c>
      <c r="J343" t="s">
        <v>1121</v>
      </c>
      <c r="K343" t="s">
        <v>43</v>
      </c>
      <c r="L343">
        <v>2</v>
      </c>
      <c r="M343" t="s">
        <v>44</v>
      </c>
      <c r="N343" t="s">
        <v>45</v>
      </c>
      <c r="O343" t="s">
        <v>46</v>
      </c>
      <c r="P343" s="5">
        <v>1</v>
      </c>
      <c r="Q343" s="12">
        <v>44829.592361111114</v>
      </c>
      <c r="R343" s="13">
        <v>44830</v>
      </c>
      <c r="T343" t="s">
        <v>47</v>
      </c>
      <c r="U343" t="s">
        <v>48</v>
      </c>
      <c r="V343" t="s">
        <v>119</v>
      </c>
      <c r="Y343" t="s">
        <v>1122</v>
      </c>
      <c r="Z343">
        <v>27200</v>
      </c>
      <c r="AA343" t="s">
        <v>47</v>
      </c>
      <c r="AB343" t="s">
        <v>48</v>
      </c>
      <c r="AC343" t="s">
        <v>53</v>
      </c>
      <c r="AD343" s="16">
        <f>IF(P343&lt;=1,7,7+0.8*ROUNDUP(P343-1,0))</f>
        <v>7</v>
      </c>
      <c r="AE343" s="15">
        <v>0</v>
      </c>
      <c r="AF343" s="15">
        <v>0</v>
      </c>
      <c r="AG343" s="15">
        <v>0</v>
      </c>
      <c r="AH343" s="15">
        <v>0</v>
      </c>
      <c r="AI343" s="15">
        <f t="shared" si="10"/>
        <v>0.42</v>
      </c>
      <c r="AJ343" s="15">
        <f t="shared" si="11"/>
        <v>7.42</v>
      </c>
      <c r="AK343" t="s">
        <v>47</v>
      </c>
    </row>
    <row r="344" spans="1:37" ht="15" customHeight="1" x14ac:dyDescent="0.35">
      <c r="A344">
        <v>690929</v>
      </c>
      <c r="B344" t="s">
        <v>37</v>
      </c>
      <c r="C344" t="s">
        <v>38</v>
      </c>
      <c r="D344" s="9" t="s">
        <v>39</v>
      </c>
      <c r="E344" s="10" t="s">
        <v>37</v>
      </c>
      <c r="F344" s="11"/>
      <c r="G344" t="s">
        <v>1123</v>
      </c>
      <c r="I344" t="s">
        <v>41</v>
      </c>
      <c r="J344" t="s">
        <v>1124</v>
      </c>
      <c r="K344" t="s">
        <v>43</v>
      </c>
      <c r="L344">
        <v>2</v>
      </c>
      <c r="M344" t="s">
        <v>44</v>
      </c>
      <c r="N344" t="s">
        <v>45</v>
      </c>
      <c r="O344" t="s">
        <v>46</v>
      </c>
      <c r="P344" s="5">
        <v>1</v>
      </c>
      <c r="Q344" s="12">
        <v>44828.686805555553</v>
      </c>
      <c r="R344" s="13">
        <v>44830</v>
      </c>
      <c r="T344" t="s">
        <v>47</v>
      </c>
      <c r="U344" t="s">
        <v>48</v>
      </c>
      <c r="V344" t="s">
        <v>119</v>
      </c>
      <c r="Y344" t="s">
        <v>1125</v>
      </c>
      <c r="Z344">
        <v>26300</v>
      </c>
      <c r="AA344" t="s">
        <v>47</v>
      </c>
      <c r="AB344" t="s">
        <v>48</v>
      </c>
      <c r="AC344" t="s">
        <v>53</v>
      </c>
      <c r="AD344" s="16">
        <f>IF(P344&lt;=1,7,7+0.8*ROUNDUP(P344-1,0))</f>
        <v>7</v>
      </c>
      <c r="AE344" s="15">
        <v>0</v>
      </c>
      <c r="AF344" s="15">
        <v>0</v>
      </c>
      <c r="AG344" s="15">
        <v>0</v>
      </c>
      <c r="AH344" s="15">
        <v>0</v>
      </c>
      <c r="AI344" s="15">
        <f t="shared" si="10"/>
        <v>0.42</v>
      </c>
      <c r="AJ344" s="15">
        <f t="shared" si="11"/>
        <v>7.42</v>
      </c>
      <c r="AK344" t="s">
        <v>47</v>
      </c>
    </row>
    <row r="345" spans="1:37" ht="15" customHeight="1" x14ac:dyDescent="0.35">
      <c r="A345">
        <v>690929</v>
      </c>
      <c r="B345" t="s">
        <v>37</v>
      </c>
      <c r="C345" t="s">
        <v>38</v>
      </c>
      <c r="D345" s="9" t="s">
        <v>39</v>
      </c>
      <c r="E345" s="10" t="s">
        <v>37</v>
      </c>
      <c r="F345" s="11"/>
      <c r="G345" t="s">
        <v>1126</v>
      </c>
      <c r="I345" t="s">
        <v>41</v>
      </c>
      <c r="J345" t="s">
        <v>1127</v>
      </c>
      <c r="K345" t="s">
        <v>43</v>
      </c>
      <c r="L345">
        <v>2</v>
      </c>
      <c r="M345" t="s">
        <v>44</v>
      </c>
      <c r="N345" t="s">
        <v>45</v>
      </c>
      <c r="O345" t="s">
        <v>46</v>
      </c>
      <c r="P345" s="5">
        <v>1</v>
      </c>
      <c r="Q345" s="12">
        <v>44829.588194444441</v>
      </c>
      <c r="R345" s="13">
        <v>44830</v>
      </c>
      <c r="T345" t="s">
        <v>47</v>
      </c>
      <c r="U345" t="s">
        <v>48</v>
      </c>
      <c r="V345" t="s">
        <v>119</v>
      </c>
      <c r="Y345" t="s">
        <v>1128</v>
      </c>
      <c r="Z345">
        <v>28200</v>
      </c>
      <c r="AA345" t="s">
        <v>47</v>
      </c>
      <c r="AB345" t="s">
        <v>48</v>
      </c>
      <c r="AC345" t="s">
        <v>53</v>
      </c>
      <c r="AD345" s="16">
        <f>IF(P345&lt;=1,7,7+0.8*ROUNDUP(P345-1,0))</f>
        <v>7</v>
      </c>
      <c r="AE345" s="15">
        <v>0</v>
      </c>
      <c r="AF345" s="15">
        <v>0</v>
      </c>
      <c r="AG345" s="15">
        <v>0</v>
      </c>
      <c r="AH345" s="15">
        <v>0</v>
      </c>
      <c r="AI345" s="15">
        <f t="shared" si="10"/>
        <v>0.42</v>
      </c>
      <c r="AJ345" s="15">
        <f t="shared" si="11"/>
        <v>7.42</v>
      </c>
      <c r="AK345" t="s">
        <v>47</v>
      </c>
    </row>
    <row r="346" spans="1:37" ht="15" customHeight="1" x14ac:dyDescent="0.35">
      <c r="A346">
        <v>690929</v>
      </c>
      <c r="B346" t="s">
        <v>37</v>
      </c>
      <c r="C346" t="s">
        <v>38</v>
      </c>
      <c r="D346" s="9" t="s">
        <v>39</v>
      </c>
      <c r="E346" s="10" t="s">
        <v>37</v>
      </c>
      <c r="F346" s="11"/>
      <c r="G346" t="s">
        <v>1129</v>
      </c>
      <c r="I346" t="s">
        <v>41</v>
      </c>
      <c r="J346" t="s">
        <v>1130</v>
      </c>
      <c r="K346" t="s">
        <v>43</v>
      </c>
      <c r="L346">
        <v>2</v>
      </c>
      <c r="M346" t="s">
        <v>44</v>
      </c>
      <c r="N346" t="s">
        <v>45</v>
      </c>
      <c r="O346" t="s">
        <v>46</v>
      </c>
      <c r="P346" s="5">
        <v>2</v>
      </c>
      <c r="Q346" s="12">
        <v>44828.438888888886</v>
      </c>
      <c r="R346" s="13">
        <v>44830</v>
      </c>
      <c r="T346" t="s">
        <v>47</v>
      </c>
      <c r="U346" t="s">
        <v>48</v>
      </c>
      <c r="V346" t="s">
        <v>85</v>
      </c>
      <c r="Y346" t="s">
        <v>1131</v>
      </c>
      <c r="Z346">
        <v>42300</v>
      </c>
      <c r="AA346" t="s">
        <v>47</v>
      </c>
      <c r="AB346" t="s">
        <v>58</v>
      </c>
      <c r="AC346" t="s">
        <v>53</v>
      </c>
      <c r="AD346" s="16">
        <f>IF(P346&lt;=1,7,7+0.8*ROUNDUP(P346-1,0))</f>
        <v>7.8</v>
      </c>
      <c r="AE346" s="15">
        <v>0</v>
      </c>
      <c r="AF346" s="15">
        <v>0</v>
      </c>
      <c r="AG346" s="15">
        <v>0</v>
      </c>
      <c r="AH346" s="15">
        <v>0</v>
      </c>
      <c r="AI346" s="15">
        <f t="shared" si="10"/>
        <v>0.46799999999999997</v>
      </c>
      <c r="AJ346" s="15">
        <f t="shared" si="11"/>
        <v>8.2680000000000007</v>
      </c>
      <c r="AK346" t="s">
        <v>47</v>
      </c>
    </row>
    <row r="347" spans="1:37" ht="15" customHeight="1" x14ac:dyDescent="0.35">
      <c r="A347">
        <v>690929</v>
      </c>
      <c r="B347" t="s">
        <v>37</v>
      </c>
      <c r="C347" t="s">
        <v>38</v>
      </c>
      <c r="D347" s="9" t="s">
        <v>39</v>
      </c>
      <c r="E347" s="10" t="s">
        <v>37</v>
      </c>
      <c r="F347" s="11"/>
      <c r="G347" t="s">
        <v>1132</v>
      </c>
      <c r="I347" t="s">
        <v>41</v>
      </c>
      <c r="J347" t="s">
        <v>1133</v>
      </c>
      <c r="K347" t="s">
        <v>43</v>
      </c>
      <c r="L347">
        <v>2</v>
      </c>
      <c r="M347" t="s">
        <v>44</v>
      </c>
      <c r="N347" t="s">
        <v>45</v>
      </c>
      <c r="O347" t="s">
        <v>46</v>
      </c>
      <c r="P347" s="5">
        <v>1</v>
      </c>
      <c r="Q347" s="12">
        <v>44829.589583333334</v>
      </c>
      <c r="R347" s="13">
        <v>44830</v>
      </c>
      <c r="T347" t="s">
        <v>47</v>
      </c>
      <c r="U347" t="s">
        <v>48</v>
      </c>
      <c r="V347" t="s">
        <v>85</v>
      </c>
      <c r="Y347" t="s">
        <v>1134</v>
      </c>
      <c r="Z347">
        <v>43000</v>
      </c>
      <c r="AA347" t="s">
        <v>47</v>
      </c>
      <c r="AB347" t="s">
        <v>58</v>
      </c>
      <c r="AC347" t="s">
        <v>53</v>
      </c>
      <c r="AD347" s="16">
        <f>IF(P347&lt;=1,7,7+0.8*ROUNDUP(P347-1,0))</f>
        <v>7</v>
      </c>
      <c r="AE347" s="15">
        <v>0</v>
      </c>
      <c r="AF347" s="15">
        <v>0</v>
      </c>
      <c r="AG347" s="15">
        <v>0</v>
      </c>
      <c r="AH347" s="15">
        <v>0</v>
      </c>
      <c r="AI347" s="15">
        <f t="shared" si="10"/>
        <v>0.42</v>
      </c>
      <c r="AJ347" s="15">
        <f t="shared" si="11"/>
        <v>7.42</v>
      </c>
      <c r="AK347" t="s">
        <v>47</v>
      </c>
    </row>
    <row r="348" spans="1:37" ht="15" customHeight="1" x14ac:dyDescent="0.35">
      <c r="A348">
        <v>690929</v>
      </c>
      <c r="B348" t="s">
        <v>37</v>
      </c>
      <c r="C348" t="s">
        <v>38</v>
      </c>
      <c r="D348" s="9" t="s">
        <v>39</v>
      </c>
      <c r="E348" s="10" t="s">
        <v>37</v>
      </c>
      <c r="F348" s="11"/>
      <c r="G348" t="s">
        <v>1135</v>
      </c>
      <c r="I348" t="s">
        <v>41</v>
      </c>
      <c r="J348" t="s">
        <v>1136</v>
      </c>
      <c r="K348" t="s">
        <v>43</v>
      </c>
      <c r="L348">
        <v>2</v>
      </c>
      <c r="M348" t="s">
        <v>44</v>
      </c>
      <c r="N348" t="s">
        <v>45</v>
      </c>
      <c r="O348" t="s">
        <v>46</v>
      </c>
      <c r="P348" s="5">
        <v>1</v>
      </c>
      <c r="Q348" s="12">
        <v>44828.442361111112</v>
      </c>
      <c r="R348" s="13">
        <v>44830</v>
      </c>
      <c r="T348" t="s">
        <v>47</v>
      </c>
      <c r="U348" t="s">
        <v>48</v>
      </c>
      <c r="V348" t="s">
        <v>61</v>
      </c>
      <c r="Y348" t="s">
        <v>1137</v>
      </c>
      <c r="Z348">
        <v>10910</v>
      </c>
      <c r="AA348" t="s">
        <v>47</v>
      </c>
      <c r="AB348" t="s">
        <v>58</v>
      </c>
      <c r="AC348" t="s">
        <v>53</v>
      </c>
      <c r="AD348" s="16">
        <f>IF(P348&lt;=1,7,7+0.8*ROUNDUP(P348-1,0))</f>
        <v>7</v>
      </c>
      <c r="AE348" s="15">
        <v>0</v>
      </c>
      <c r="AF348" s="15">
        <v>0</v>
      </c>
      <c r="AG348" s="15">
        <v>0</v>
      </c>
      <c r="AH348" s="15">
        <v>0</v>
      </c>
      <c r="AI348" s="15">
        <f t="shared" si="10"/>
        <v>0.42</v>
      </c>
      <c r="AJ348" s="15">
        <f t="shared" si="11"/>
        <v>7.42</v>
      </c>
      <c r="AK348" t="s">
        <v>47</v>
      </c>
    </row>
    <row r="349" spans="1:37" ht="15" customHeight="1" x14ac:dyDescent="0.35">
      <c r="A349">
        <v>690929</v>
      </c>
      <c r="B349" t="s">
        <v>37</v>
      </c>
      <c r="C349" t="s">
        <v>38</v>
      </c>
      <c r="D349" s="9" t="s">
        <v>39</v>
      </c>
      <c r="E349" s="10" t="s">
        <v>37</v>
      </c>
      <c r="F349" s="11"/>
      <c r="G349" t="s">
        <v>1138</v>
      </c>
      <c r="I349" t="s">
        <v>41</v>
      </c>
      <c r="J349" t="s">
        <v>1139</v>
      </c>
      <c r="K349" t="s">
        <v>43</v>
      </c>
      <c r="L349">
        <v>2</v>
      </c>
      <c r="M349" t="s">
        <v>44</v>
      </c>
      <c r="N349" t="s">
        <v>45</v>
      </c>
      <c r="O349" t="s">
        <v>46</v>
      </c>
      <c r="P349" s="5">
        <v>1</v>
      </c>
      <c r="Q349" s="12">
        <v>44829.599305555559</v>
      </c>
      <c r="R349" s="13">
        <v>44830</v>
      </c>
      <c r="T349" t="s">
        <v>47</v>
      </c>
      <c r="U349" t="s">
        <v>48</v>
      </c>
      <c r="V349" t="s">
        <v>119</v>
      </c>
      <c r="Y349" t="s">
        <v>1140</v>
      </c>
      <c r="Z349">
        <v>26300</v>
      </c>
      <c r="AA349" t="s">
        <v>47</v>
      </c>
      <c r="AB349" t="s">
        <v>48</v>
      </c>
      <c r="AC349" t="s">
        <v>53</v>
      </c>
      <c r="AD349" s="16">
        <f>IF(P349&lt;=1,7,7+0.8*ROUNDUP(P349-1,0))</f>
        <v>7</v>
      </c>
      <c r="AE349" s="15">
        <v>0</v>
      </c>
      <c r="AF349" s="15">
        <v>0</v>
      </c>
      <c r="AG349" s="15">
        <v>0</v>
      </c>
      <c r="AH349" s="15">
        <v>0</v>
      </c>
      <c r="AI349" s="15">
        <f t="shared" si="10"/>
        <v>0.42</v>
      </c>
      <c r="AJ349" s="15">
        <f t="shared" si="11"/>
        <v>7.42</v>
      </c>
      <c r="AK349" t="s">
        <v>47</v>
      </c>
    </row>
    <row r="350" spans="1:37" ht="15" customHeight="1" x14ac:dyDescent="0.35">
      <c r="A350">
        <v>690929</v>
      </c>
      <c r="B350" t="s">
        <v>37</v>
      </c>
      <c r="C350" t="s">
        <v>38</v>
      </c>
      <c r="D350" s="9" t="s">
        <v>39</v>
      </c>
      <c r="E350" s="10" t="s">
        <v>37</v>
      </c>
      <c r="F350" s="11"/>
      <c r="G350" t="s">
        <v>1141</v>
      </c>
      <c r="I350" t="s">
        <v>41</v>
      </c>
      <c r="J350" t="s">
        <v>1142</v>
      </c>
      <c r="K350" t="s">
        <v>43</v>
      </c>
      <c r="L350">
        <v>2</v>
      </c>
      <c r="M350" t="s">
        <v>44</v>
      </c>
      <c r="N350" t="s">
        <v>45</v>
      </c>
      <c r="O350" t="s">
        <v>46</v>
      </c>
      <c r="P350" s="5">
        <v>1</v>
      </c>
      <c r="Q350" s="12">
        <v>44828.595833333333</v>
      </c>
      <c r="R350" s="13">
        <v>44830</v>
      </c>
      <c r="T350" t="s">
        <v>47</v>
      </c>
      <c r="U350" t="s">
        <v>48</v>
      </c>
      <c r="V350" t="s">
        <v>119</v>
      </c>
      <c r="Y350" t="s">
        <v>1143</v>
      </c>
      <c r="Z350">
        <v>27200</v>
      </c>
      <c r="AA350" t="s">
        <v>47</v>
      </c>
      <c r="AB350" t="s">
        <v>48</v>
      </c>
      <c r="AC350" t="s">
        <v>53</v>
      </c>
      <c r="AD350" s="16">
        <f>IF(P350&lt;=1,7,7+0.8*ROUNDUP(P350-1,0))</f>
        <v>7</v>
      </c>
      <c r="AE350" s="15">
        <v>0</v>
      </c>
      <c r="AF350" s="15">
        <v>0</v>
      </c>
      <c r="AG350" s="15">
        <v>0</v>
      </c>
      <c r="AH350" s="15">
        <v>0</v>
      </c>
      <c r="AI350" s="15">
        <f t="shared" si="10"/>
        <v>0.42</v>
      </c>
      <c r="AJ350" s="15">
        <f t="shared" si="11"/>
        <v>7.42</v>
      </c>
      <c r="AK350" t="s">
        <v>47</v>
      </c>
    </row>
    <row r="351" spans="1:37" ht="15" customHeight="1" x14ac:dyDescent="0.35">
      <c r="A351">
        <v>690929</v>
      </c>
      <c r="B351" t="s">
        <v>37</v>
      </c>
      <c r="C351" t="s">
        <v>38</v>
      </c>
      <c r="D351" s="9" t="s">
        <v>39</v>
      </c>
      <c r="E351" s="10" t="s">
        <v>37</v>
      </c>
      <c r="F351" s="11"/>
      <c r="G351" t="s">
        <v>1144</v>
      </c>
      <c r="I351" t="s">
        <v>41</v>
      </c>
      <c r="J351" t="s">
        <v>1145</v>
      </c>
      <c r="K351" t="s">
        <v>43</v>
      </c>
      <c r="L351">
        <v>2</v>
      </c>
      <c r="M351" t="s">
        <v>44</v>
      </c>
      <c r="N351" t="s">
        <v>45</v>
      </c>
      <c r="O351" t="s">
        <v>46</v>
      </c>
      <c r="P351" s="5">
        <v>1</v>
      </c>
      <c r="Q351" s="12">
        <v>44829.586111111108</v>
      </c>
      <c r="R351" s="13">
        <v>44830</v>
      </c>
      <c r="T351" t="s">
        <v>47</v>
      </c>
      <c r="U351" t="s">
        <v>48</v>
      </c>
      <c r="V351" t="s">
        <v>119</v>
      </c>
      <c r="Y351" t="s">
        <v>1146</v>
      </c>
      <c r="Z351">
        <v>28000</v>
      </c>
      <c r="AA351" t="s">
        <v>47</v>
      </c>
      <c r="AB351" t="s">
        <v>48</v>
      </c>
      <c r="AC351" t="s">
        <v>53</v>
      </c>
      <c r="AD351" s="16">
        <f>IF(P351&lt;=1,7,7+0.8*ROUNDUP(P351-1,0))</f>
        <v>7</v>
      </c>
      <c r="AE351" s="15">
        <v>0</v>
      </c>
      <c r="AF351" s="15">
        <v>0</v>
      </c>
      <c r="AG351" s="15">
        <v>0</v>
      </c>
      <c r="AH351" s="15">
        <v>0</v>
      </c>
      <c r="AI351" s="15">
        <f t="shared" si="10"/>
        <v>0.42</v>
      </c>
      <c r="AJ351" s="15">
        <f t="shared" si="11"/>
        <v>7.42</v>
      </c>
      <c r="AK351" t="s">
        <v>47</v>
      </c>
    </row>
    <row r="352" spans="1:37" ht="15" customHeight="1" x14ac:dyDescent="0.35">
      <c r="A352">
        <v>690929</v>
      </c>
      <c r="B352" t="s">
        <v>37</v>
      </c>
      <c r="C352" t="s">
        <v>38</v>
      </c>
      <c r="D352" s="9" t="s">
        <v>39</v>
      </c>
      <c r="E352" s="10" t="s">
        <v>37</v>
      </c>
      <c r="F352" s="11"/>
      <c r="G352" t="s">
        <v>1147</v>
      </c>
      <c r="I352" t="s">
        <v>41</v>
      </c>
      <c r="J352" t="s">
        <v>1148</v>
      </c>
      <c r="K352" t="s">
        <v>43</v>
      </c>
      <c r="L352">
        <v>2</v>
      </c>
      <c r="M352" t="s">
        <v>44</v>
      </c>
      <c r="N352" t="s">
        <v>45</v>
      </c>
      <c r="O352" t="s">
        <v>46</v>
      </c>
      <c r="P352" s="5">
        <v>1</v>
      </c>
      <c r="Q352" s="12">
        <v>44830.618055555555</v>
      </c>
      <c r="R352" s="13">
        <v>44831</v>
      </c>
      <c r="T352" t="s">
        <v>47</v>
      </c>
      <c r="U352" t="s">
        <v>48</v>
      </c>
      <c r="V352" t="s">
        <v>85</v>
      </c>
      <c r="Y352" t="s">
        <v>1149</v>
      </c>
      <c r="Z352">
        <v>40000</v>
      </c>
      <c r="AA352" t="s">
        <v>47</v>
      </c>
      <c r="AB352" t="s">
        <v>58</v>
      </c>
      <c r="AC352" t="s">
        <v>53</v>
      </c>
      <c r="AD352" s="16">
        <f>IF(P352&lt;=1,7,7+0.8*ROUNDUP(P352-1,0))</f>
        <v>7</v>
      </c>
      <c r="AE352" s="15">
        <v>0</v>
      </c>
      <c r="AF352" s="15">
        <v>0</v>
      </c>
      <c r="AG352" s="15">
        <v>0</v>
      </c>
      <c r="AH352" s="15">
        <v>0</v>
      </c>
      <c r="AI352" s="15">
        <f t="shared" si="10"/>
        <v>0.42</v>
      </c>
      <c r="AJ352" s="15">
        <f t="shared" si="11"/>
        <v>7.42</v>
      </c>
      <c r="AK352" t="s">
        <v>47</v>
      </c>
    </row>
    <row r="353" spans="1:37" ht="15" customHeight="1" x14ac:dyDescent="0.35">
      <c r="A353">
        <v>690929</v>
      </c>
      <c r="B353" t="s">
        <v>37</v>
      </c>
      <c r="C353" t="s">
        <v>38</v>
      </c>
      <c r="D353" s="9" t="s">
        <v>39</v>
      </c>
      <c r="E353" s="10" t="s">
        <v>37</v>
      </c>
      <c r="F353" s="11"/>
      <c r="G353" t="s">
        <v>1150</v>
      </c>
      <c r="I353" t="s">
        <v>41</v>
      </c>
      <c r="J353" t="s">
        <v>1151</v>
      </c>
      <c r="K353" t="s">
        <v>43</v>
      </c>
      <c r="L353">
        <v>2</v>
      </c>
      <c r="M353" t="s">
        <v>44</v>
      </c>
      <c r="N353" t="s">
        <v>45</v>
      </c>
      <c r="O353" t="s">
        <v>46</v>
      </c>
      <c r="P353" s="5">
        <v>1</v>
      </c>
      <c r="Q353" s="12">
        <v>44829.740277777775</v>
      </c>
      <c r="R353" s="13">
        <v>44831</v>
      </c>
      <c r="T353" t="s">
        <v>47</v>
      </c>
      <c r="U353" t="s">
        <v>48</v>
      </c>
      <c r="V353" t="s">
        <v>72</v>
      </c>
      <c r="Y353" t="s">
        <v>1152</v>
      </c>
      <c r="Z353">
        <v>70300</v>
      </c>
      <c r="AA353" t="s">
        <v>47</v>
      </c>
      <c r="AB353" t="s">
        <v>58</v>
      </c>
      <c r="AC353" t="s">
        <v>53</v>
      </c>
      <c r="AD353" s="16">
        <f>IF(P353&lt;=1,7,7+0.8*ROUNDUP(P353-1,0))</f>
        <v>7</v>
      </c>
      <c r="AE353" s="15">
        <v>0</v>
      </c>
      <c r="AF353" s="15">
        <v>0</v>
      </c>
      <c r="AG353" s="15">
        <v>0</v>
      </c>
      <c r="AH353" s="15">
        <v>0</v>
      </c>
      <c r="AI353" s="15">
        <f t="shared" si="10"/>
        <v>0.42</v>
      </c>
      <c r="AJ353" s="15">
        <f t="shared" si="11"/>
        <v>7.42</v>
      </c>
      <c r="AK353" t="s">
        <v>47</v>
      </c>
    </row>
    <row r="354" spans="1:37" ht="15" customHeight="1" x14ac:dyDescent="0.35">
      <c r="A354">
        <v>690929</v>
      </c>
      <c r="B354" t="s">
        <v>37</v>
      </c>
      <c r="C354" t="s">
        <v>38</v>
      </c>
      <c r="D354" s="9" t="s">
        <v>39</v>
      </c>
      <c r="E354" s="10" t="s">
        <v>37</v>
      </c>
      <c r="F354" s="11"/>
      <c r="G354" t="s">
        <v>1153</v>
      </c>
      <c r="I354" t="s">
        <v>41</v>
      </c>
      <c r="J354" t="s">
        <v>1154</v>
      </c>
      <c r="K354" t="s">
        <v>43</v>
      </c>
      <c r="L354">
        <v>2</v>
      </c>
      <c r="M354" t="s">
        <v>44</v>
      </c>
      <c r="N354" t="s">
        <v>45</v>
      </c>
      <c r="O354" t="s">
        <v>46</v>
      </c>
      <c r="P354" s="5">
        <v>1</v>
      </c>
      <c r="Q354" s="12">
        <v>44829.593055555553</v>
      </c>
      <c r="R354" s="13">
        <v>44831</v>
      </c>
      <c r="T354" t="s">
        <v>47</v>
      </c>
      <c r="U354" t="s">
        <v>48</v>
      </c>
      <c r="V354" t="s">
        <v>93</v>
      </c>
      <c r="Y354" t="s">
        <v>1155</v>
      </c>
      <c r="Z354">
        <v>85300</v>
      </c>
      <c r="AA354" t="s">
        <v>47</v>
      </c>
      <c r="AB354" t="s">
        <v>58</v>
      </c>
      <c r="AC354" t="s">
        <v>53</v>
      </c>
      <c r="AD354" s="16">
        <f>IF(P354&lt;=1,7,7+0.8*ROUNDUP(P354-1,0))</f>
        <v>7</v>
      </c>
      <c r="AE354" s="15">
        <v>0</v>
      </c>
      <c r="AF354" s="15">
        <v>0</v>
      </c>
      <c r="AG354" s="15">
        <v>0</v>
      </c>
      <c r="AH354" s="15">
        <v>0</v>
      </c>
      <c r="AI354" s="15">
        <f t="shared" si="10"/>
        <v>0.42</v>
      </c>
      <c r="AJ354" s="15">
        <f t="shared" si="11"/>
        <v>7.42</v>
      </c>
      <c r="AK354" t="s">
        <v>47</v>
      </c>
    </row>
    <row r="355" spans="1:37" ht="15" customHeight="1" x14ac:dyDescent="0.35">
      <c r="A355">
        <v>690929</v>
      </c>
      <c r="B355" t="s">
        <v>37</v>
      </c>
      <c r="C355" t="s">
        <v>38</v>
      </c>
      <c r="D355" s="9" t="s">
        <v>39</v>
      </c>
      <c r="E355" s="10" t="s">
        <v>37</v>
      </c>
      <c r="F355" s="11"/>
      <c r="G355" t="s">
        <v>1156</v>
      </c>
      <c r="I355" t="s">
        <v>41</v>
      </c>
      <c r="J355" t="s">
        <v>1157</v>
      </c>
      <c r="K355" t="s">
        <v>43</v>
      </c>
      <c r="L355">
        <v>2</v>
      </c>
      <c r="M355" t="s">
        <v>44</v>
      </c>
      <c r="N355" t="s">
        <v>45</v>
      </c>
      <c r="O355" t="s">
        <v>46</v>
      </c>
      <c r="P355" s="5">
        <v>1</v>
      </c>
      <c r="Q355" s="12">
        <v>44830.51458333333</v>
      </c>
      <c r="R355" s="13">
        <v>44831</v>
      </c>
      <c r="T355" t="s">
        <v>47</v>
      </c>
      <c r="U355" t="s">
        <v>48</v>
      </c>
      <c r="V355" t="s">
        <v>300</v>
      </c>
      <c r="Y355" t="s">
        <v>1158</v>
      </c>
      <c r="Z355">
        <v>24000</v>
      </c>
      <c r="AA355" t="s">
        <v>47</v>
      </c>
      <c r="AB355" t="s">
        <v>48</v>
      </c>
      <c r="AC355" t="s">
        <v>53</v>
      </c>
      <c r="AD355" s="16">
        <f>IF(P355&lt;=1,7,7+0.8*ROUNDUP(P355-1,0))</f>
        <v>7</v>
      </c>
      <c r="AE355" s="15">
        <v>0</v>
      </c>
      <c r="AF355" s="15">
        <v>0</v>
      </c>
      <c r="AG355" s="15">
        <v>0</v>
      </c>
      <c r="AH355" s="15">
        <v>0</v>
      </c>
      <c r="AI355" s="15">
        <f t="shared" si="10"/>
        <v>0.42</v>
      </c>
      <c r="AJ355" s="15">
        <f t="shared" si="11"/>
        <v>7.42</v>
      </c>
      <c r="AK355" t="s">
        <v>47</v>
      </c>
    </row>
    <row r="356" spans="1:37" ht="15" customHeight="1" x14ac:dyDescent="0.35">
      <c r="A356">
        <v>690929</v>
      </c>
      <c r="B356" t="s">
        <v>37</v>
      </c>
      <c r="C356" t="s">
        <v>38</v>
      </c>
      <c r="D356" s="9" t="s">
        <v>39</v>
      </c>
      <c r="E356" s="10" t="s">
        <v>37</v>
      </c>
      <c r="F356" s="11"/>
      <c r="G356" t="s">
        <v>1159</v>
      </c>
      <c r="I356" t="s">
        <v>41</v>
      </c>
      <c r="J356" t="s">
        <v>1160</v>
      </c>
      <c r="K356" t="s">
        <v>43</v>
      </c>
      <c r="L356">
        <v>2</v>
      </c>
      <c r="M356" t="s">
        <v>44</v>
      </c>
      <c r="N356" t="s">
        <v>45</v>
      </c>
      <c r="O356" t="s">
        <v>46</v>
      </c>
      <c r="P356" s="5">
        <v>1</v>
      </c>
      <c r="Q356" s="12">
        <v>44829.40347222222</v>
      </c>
      <c r="R356" s="13">
        <v>44831</v>
      </c>
      <c r="T356" t="s">
        <v>47</v>
      </c>
      <c r="U356" t="s">
        <v>48</v>
      </c>
      <c r="V356" t="s">
        <v>61</v>
      </c>
      <c r="Y356" t="s">
        <v>1161</v>
      </c>
      <c r="Z356">
        <v>13300</v>
      </c>
      <c r="AA356" t="s">
        <v>47</v>
      </c>
      <c r="AB356" t="s">
        <v>604</v>
      </c>
      <c r="AC356" t="s">
        <v>53</v>
      </c>
      <c r="AD356" s="16">
        <f>IF(P356&lt;=1,7,7+0.8*ROUNDUP(P356-1,0))</f>
        <v>7</v>
      </c>
      <c r="AE356" s="15">
        <v>0</v>
      </c>
      <c r="AF356" s="15">
        <v>0</v>
      </c>
      <c r="AG356" s="15">
        <v>0</v>
      </c>
      <c r="AH356" s="15">
        <v>0</v>
      </c>
      <c r="AI356" s="15">
        <f t="shared" si="10"/>
        <v>0.42</v>
      </c>
      <c r="AJ356" s="15">
        <f t="shared" si="11"/>
        <v>7.42</v>
      </c>
      <c r="AK356" t="s">
        <v>47</v>
      </c>
    </row>
    <row r="357" spans="1:37" ht="15" customHeight="1" x14ac:dyDescent="0.35">
      <c r="A357">
        <v>690929</v>
      </c>
      <c r="B357" t="s">
        <v>37</v>
      </c>
      <c r="C357" t="s">
        <v>38</v>
      </c>
      <c r="D357" s="9" t="s">
        <v>39</v>
      </c>
      <c r="E357" s="10" t="s">
        <v>37</v>
      </c>
      <c r="F357" s="11"/>
      <c r="G357" t="s">
        <v>1162</v>
      </c>
      <c r="I357" t="s">
        <v>41</v>
      </c>
      <c r="J357" t="s">
        <v>1163</v>
      </c>
      <c r="K357" t="s">
        <v>43</v>
      </c>
      <c r="L357">
        <v>2</v>
      </c>
      <c r="M357" t="s">
        <v>44</v>
      </c>
      <c r="N357" t="s">
        <v>45</v>
      </c>
      <c r="O357" t="s">
        <v>46</v>
      </c>
      <c r="P357" s="5">
        <v>1</v>
      </c>
      <c r="Q357" s="12">
        <v>44829.734027777777</v>
      </c>
      <c r="R357" s="13">
        <v>44831</v>
      </c>
      <c r="T357" t="s">
        <v>47</v>
      </c>
      <c r="U357" t="s">
        <v>48</v>
      </c>
      <c r="V357" t="s">
        <v>85</v>
      </c>
      <c r="Y357" t="s">
        <v>1164</v>
      </c>
      <c r="Z357">
        <v>44000</v>
      </c>
      <c r="AA357" t="s">
        <v>47</v>
      </c>
      <c r="AB357" t="s">
        <v>58</v>
      </c>
      <c r="AC357" t="s">
        <v>53</v>
      </c>
      <c r="AD357" s="16">
        <f>IF(P357&lt;=1,7,7+0.8*ROUNDUP(P357-1,0))</f>
        <v>7</v>
      </c>
      <c r="AE357" s="15">
        <v>0</v>
      </c>
      <c r="AF357" s="15">
        <v>0</v>
      </c>
      <c r="AG357" s="15">
        <v>0</v>
      </c>
      <c r="AH357" s="15">
        <v>0</v>
      </c>
      <c r="AI357" s="15">
        <f t="shared" si="10"/>
        <v>0.42</v>
      </c>
      <c r="AJ357" s="15">
        <f t="shared" si="11"/>
        <v>7.42</v>
      </c>
      <c r="AK357" t="s">
        <v>47</v>
      </c>
    </row>
    <row r="358" spans="1:37" ht="15" customHeight="1" x14ac:dyDescent="0.35">
      <c r="A358">
        <v>690929</v>
      </c>
      <c r="B358" t="s">
        <v>37</v>
      </c>
      <c r="C358" t="s">
        <v>38</v>
      </c>
      <c r="D358" s="9" t="s">
        <v>39</v>
      </c>
      <c r="E358" s="10" t="s">
        <v>37</v>
      </c>
      <c r="F358" s="11"/>
      <c r="G358" t="s">
        <v>1165</v>
      </c>
      <c r="I358" t="s">
        <v>41</v>
      </c>
      <c r="J358" t="s">
        <v>1166</v>
      </c>
      <c r="K358" t="s">
        <v>43</v>
      </c>
      <c r="L358">
        <v>2</v>
      </c>
      <c r="M358" t="s">
        <v>44</v>
      </c>
      <c r="N358" t="s">
        <v>45</v>
      </c>
      <c r="O358" t="s">
        <v>46</v>
      </c>
      <c r="P358" s="5">
        <v>14</v>
      </c>
      <c r="Q358" s="12">
        <v>44830.638194444444</v>
      </c>
      <c r="R358" s="13">
        <v>44831</v>
      </c>
      <c r="T358" t="s">
        <v>47</v>
      </c>
      <c r="U358" t="s">
        <v>48</v>
      </c>
      <c r="V358" t="s">
        <v>119</v>
      </c>
      <c r="Y358" t="s">
        <v>1167</v>
      </c>
      <c r="Z358">
        <v>25000</v>
      </c>
      <c r="AA358" t="s">
        <v>47</v>
      </c>
      <c r="AB358" t="s">
        <v>899</v>
      </c>
      <c r="AC358" t="s">
        <v>53</v>
      </c>
      <c r="AD358" s="16">
        <f>IF(P358&lt;=1,7,7+0.8*ROUNDUP(P358-1,0))</f>
        <v>17.399999999999999</v>
      </c>
      <c r="AE358" s="15">
        <v>0</v>
      </c>
      <c r="AF358" s="15">
        <v>0</v>
      </c>
      <c r="AG358" s="15">
        <v>0</v>
      </c>
      <c r="AH358" s="15">
        <v>0</v>
      </c>
      <c r="AI358" s="15">
        <f t="shared" si="10"/>
        <v>1.0439999999999998</v>
      </c>
      <c r="AJ358" s="15">
        <f t="shared" si="11"/>
        <v>18.443999999999999</v>
      </c>
      <c r="AK358" t="s">
        <v>47</v>
      </c>
    </row>
    <row r="359" spans="1:37" ht="15" customHeight="1" x14ac:dyDescent="0.35">
      <c r="A359">
        <v>690929</v>
      </c>
      <c r="B359" t="s">
        <v>37</v>
      </c>
      <c r="C359" t="s">
        <v>38</v>
      </c>
      <c r="D359" s="9" t="s">
        <v>39</v>
      </c>
      <c r="E359" s="10" t="s">
        <v>37</v>
      </c>
      <c r="F359" s="11"/>
      <c r="G359" t="s">
        <v>1168</v>
      </c>
      <c r="I359" t="s">
        <v>41</v>
      </c>
      <c r="J359" t="s">
        <v>1169</v>
      </c>
      <c r="K359" t="s">
        <v>43</v>
      </c>
      <c r="L359">
        <v>2</v>
      </c>
      <c r="M359" t="s">
        <v>44</v>
      </c>
      <c r="N359" t="s">
        <v>45</v>
      </c>
      <c r="O359" t="s">
        <v>46</v>
      </c>
      <c r="P359" s="5">
        <v>1</v>
      </c>
      <c r="Q359" s="12">
        <v>44829.738888888889</v>
      </c>
      <c r="R359" s="13">
        <v>44831</v>
      </c>
      <c r="T359" t="s">
        <v>47</v>
      </c>
      <c r="U359" t="s">
        <v>48</v>
      </c>
      <c r="V359" t="s">
        <v>76</v>
      </c>
      <c r="Y359" t="s">
        <v>1170</v>
      </c>
      <c r="Z359">
        <v>17500</v>
      </c>
      <c r="AA359" t="s">
        <v>47</v>
      </c>
      <c r="AB359" t="s">
        <v>90</v>
      </c>
      <c r="AC359" t="s">
        <v>53</v>
      </c>
      <c r="AD359" s="16">
        <f>IF(P359&lt;=1,7,7+0.8*ROUNDUP(P359-1,0))</f>
        <v>7</v>
      </c>
      <c r="AE359" s="15">
        <v>0</v>
      </c>
      <c r="AF359" s="15">
        <v>0</v>
      </c>
      <c r="AG359" s="15">
        <v>0</v>
      </c>
      <c r="AH359" s="15">
        <v>0</v>
      </c>
      <c r="AI359" s="15">
        <f t="shared" si="10"/>
        <v>0.42</v>
      </c>
      <c r="AJ359" s="15">
        <f t="shared" si="11"/>
        <v>7.42</v>
      </c>
      <c r="AK359" t="s">
        <v>47</v>
      </c>
    </row>
    <row r="360" spans="1:37" ht="15" customHeight="1" x14ac:dyDescent="0.35">
      <c r="A360">
        <v>690929</v>
      </c>
      <c r="B360" t="s">
        <v>37</v>
      </c>
      <c r="C360" t="s">
        <v>38</v>
      </c>
      <c r="D360" s="9" t="s">
        <v>39</v>
      </c>
      <c r="E360" s="10" t="s">
        <v>37</v>
      </c>
      <c r="F360" s="11"/>
      <c r="G360" t="s">
        <v>1171</v>
      </c>
      <c r="I360" t="s">
        <v>41</v>
      </c>
      <c r="J360" t="s">
        <v>1172</v>
      </c>
      <c r="K360" t="s">
        <v>43</v>
      </c>
      <c r="L360">
        <v>2</v>
      </c>
      <c r="M360" t="s">
        <v>44</v>
      </c>
      <c r="N360" t="s">
        <v>45</v>
      </c>
      <c r="O360" t="s">
        <v>46</v>
      </c>
      <c r="P360" s="5">
        <v>1</v>
      </c>
      <c r="Q360" s="12">
        <v>44829.599999999999</v>
      </c>
      <c r="R360" s="13">
        <v>44831</v>
      </c>
      <c r="T360" t="s">
        <v>47</v>
      </c>
      <c r="U360" t="s">
        <v>48</v>
      </c>
      <c r="V360" t="s">
        <v>93</v>
      </c>
      <c r="Y360" t="s">
        <v>1173</v>
      </c>
      <c r="Z360">
        <v>81200</v>
      </c>
      <c r="AA360" t="s">
        <v>47</v>
      </c>
      <c r="AB360" t="s">
        <v>58</v>
      </c>
      <c r="AC360" t="s">
        <v>53</v>
      </c>
      <c r="AD360" s="16">
        <f>IF(P360&lt;=1,7,7+0.8*ROUNDUP(P360-1,0))</f>
        <v>7</v>
      </c>
      <c r="AE360" s="15">
        <v>0</v>
      </c>
      <c r="AF360" s="15">
        <v>0</v>
      </c>
      <c r="AG360" s="15">
        <v>0</v>
      </c>
      <c r="AH360" s="15">
        <v>0</v>
      </c>
      <c r="AI360" s="15">
        <f t="shared" si="10"/>
        <v>0.42</v>
      </c>
      <c r="AJ360" s="15">
        <f t="shared" si="11"/>
        <v>7.42</v>
      </c>
      <c r="AK360" t="s">
        <v>47</v>
      </c>
    </row>
    <row r="361" spans="1:37" ht="15" customHeight="1" x14ac:dyDescent="0.35">
      <c r="A361">
        <v>690929</v>
      </c>
      <c r="B361" t="s">
        <v>37</v>
      </c>
      <c r="C361" t="s">
        <v>38</v>
      </c>
      <c r="D361" s="9" t="s">
        <v>39</v>
      </c>
      <c r="E361" s="10" t="s">
        <v>37</v>
      </c>
      <c r="F361" s="11"/>
      <c r="G361" t="s">
        <v>1174</v>
      </c>
      <c r="I361" t="s">
        <v>41</v>
      </c>
      <c r="J361" t="s">
        <v>1175</v>
      </c>
      <c r="K361" t="s">
        <v>43</v>
      </c>
      <c r="L361">
        <v>2</v>
      </c>
      <c r="M361" t="s">
        <v>44</v>
      </c>
      <c r="N361" t="s">
        <v>45</v>
      </c>
      <c r="O361" t="s">
        <v>46</v>
      </c>
      <c r="P361" s="5">
        <v>1</v>
      </c>
      <c r="Q361" s="12">
        <v>44830.618750000001</v>
      </c>
      <c r="R361" s="13">
        <v>44831</v>
      </c>
      <c r="T361" t="s">
        <v>47</v>
      </c>
      <c r="U361" t="s">
        <v>48</v>
      </c>
      <c r="V361" t="s">
        <v>85</v>
      </c>
      <c r="Y361" t="s">
        <v>1176</v>
      </c>
      <c r="Z361">
        <v>55100</v>
      </c>
      <c r="AA361" t="s">
        <v>47</v>
      </c>
      <c r="AB361" t="s">
        <v>58</v>
      </c>
      <c r="AC361" t="s">
        <v>53</v>
      </c>
      <c r="AD361" s="16">
        <f>IF(P361&lt;=1,7,7+0.8*ROUNDUP(P361-1,0))</f>
        <v>7</v>
      </c>
      <c r="AE361" s="15">
        <v>0</v>
      </c>
      <c r="AF361" s="15">
        <v>0</v>
      </c>
      <c r="AG361" s="15">
        <v>0</v>
      </c>
      <c r="AH361" s="15">
        <v>0</v>
      </c>
      <c r="AI361" s="15">
        <f t="shared" si="10"/>
        <v>0.42</v>
      </c>
      <c r="AJ361" s="15">
        <f t="shared" si="11"/>
        <v>7.42</v>
      </c>
      <c r="AK361" t="s">
        <v>47</v>
      </c>
    </row>
    <row r="362" spans="1:37" ht="15" customHeight="1" x14ac:dyDescent="0.35">
      <c r="A362">
        <v>690929</v>
      </c>
      <c r="B362" t="s">
        <v>37</v>
      </c>
      <c r="C362" t="s">
        <v>38</v>
      </c>
      <c r="D362" s="9" t="s">
        <v>39</v>
      </c>
      <c r="E362" s="10" t="s">
        <v>37</v>
      </c>
      <c r="F362" s="11"/>
      <c r="G362" t="s">
        <v>1177</v>
      </c>
      <c r="I362" t="s">
        <v>41</v>
      </c>
      <c r="J362" t="s">
        <v>1178</v>
      </c>
      <c r="K362" t="s">
        <v>43</v>
      </c>
      <c r="L362">
        <v>2</v>
      </c>
      <c r="M362" t="s">
        <v>44</v>
      </c>
      <c r="N362" t="s">
        <v>45</v>
      </c>
      <c r="O362" t="s">
        <v>46</v>
      </c>
      <c r="P362" s="5">
        <v>1</v>
      </c>
      <c r="Q362" s="12">
        <v>44829.73541666667</v>
      </c>
      <c r="R362" s="13">
        <v>44831</v>
      </c>
      <c r="T362" t="s">
        <v>47</v>
      </c>
      <c r="U362" t="s">
        <v>48</v>
      </c>
      <c r="V362" t="s">
        <v>190</v>
      </c>
      <c r="Y362" t="s">
        <v>1179</v>
      </c>
      <c r="Z362">
        <v>50450</v>
      </c>
      <c r="AA362" t="s">
        <v>47</v>
      </c>
      <c r="AB362" t="s">
        <v>58</v>
      </c>
      <c r="AC362" t="s">
        <v>53</v>
      </c>
      <c r="AD362" s="16">
        <f>IF(P362&lt;=1,7,7+0.8*ROUNDUP(P362-1,0))</f>
        <v>7</v>
      </c>
      <c r="AE362" s="15">
        <v>0</v>
      </c>
      <c r="AF362" s="15">
        <v>0</v>
      </c>
      <c r="AG362" s="15">
        <v>0</v>
      </c>
      <c r="AH362" s="15">
        <v>0</v>
      </c>
      <c r="AI362" s="15">
        <f t="shared" si="10"/>
        <v>0.42</v>
      </c>
      <c r="AJ362" s="15">
        <f t="shared" si="11"/>
        <v>7.42</v>
      </c>
      <c r="AK362" t="s">
        <v>47</v>
      </c>
    </row>
    <row r="363" spans="1:37" ht="15" customHeight="1" x14ac:dyDescent="0.35">
      <c r="A363">
        <v>690929</v>
      </c>
      <c r="B363" t="s">
        <v>37</v>
      </c>
      <c r="C363" t="s">
        <v>38</v>
      </c>
      <c r="D363" s="9" t="s">
        <v>39</v>
      </c>
      <c r="E363" s="10" t="s">
        <v>37</v>
      </c>
      <c r="F363" s="11"/>
      <c r="G363" t="s">
        <v>1180</v>
      </c>
      <c r="I363" t="s">
        <v>41</v>
      </c>
      <c r="J363" t="s">
        <v>1181</v>
      </c>
      <c r="K363" t="s">
        <v>43</v>
      </c>
      <c r="L363">
        <v>2</v>
      </c>
      <c r="M363" t="s">
        <v>44</v>
      </c>
      <c r="N363" t="s">
        <v>45</v>
      </c>
      <c r="O363" t="s">
        <v>46</v>
      </c>
      <c r="P363" s="5">
        <v>1</v>
      </c>
      <c r="Q363" s="12">
        <v>44829.59097222222</v>
      </c>
      <c r="R363" s="13">
        <v>44831</v>
      </c>
      <c r="T363" t="s">
        <v>47</v>
      </c>
      <c r="U363" t="s">
        <v>48</v>
      </c>
      <c r="V363" t="s">
        <v>119</v>
      </c>
      <c r="Y363" t="s">
        <v>1182</v>
      </c>
      <c r="Z363">
        <v>28600</v>
      </c>
      <c r="AA363" t="s">
        <v>47</v>
      </c>
      <c r="AB363" t="s">
        <v>513</v>
      </c>
      <c r="AC363" t="s">
        <v>53</v>
      </c>
      <c r="AD363" s="16">
        <f>IF(P363&lt;=1,7,7+0.8*ROUNDUP(P363-1,0))</f>
        <v>7</v>
      </c>
      <c r="AE363" s="15">
        <v>0</v>
      </c>
      <c r="AF363" s="15">
        <v>0</v>
      </c>
      <c r="AG363" s="15">
        <v>0</v>
      </c>
      <c r="AH363" s="15">
        <v>0</v>
      </c>
      <c r="AI363" s="15">
        <f t="shared" si="10"/>
        <v>0.42</v>
      </c>
      <c r="AJ363" s="15">
        <f t="shared" si="11"/>
        <v>7.42</v>
      </c>
      <c r="AK363" t="s">
        <v>47</v>
      </c>
    </row>
    <row r="364" spans="1:37" ht="15" customHeight="1" x14ac:dyDescent="0.35">
      <c r="A364">
        <v>690929</v>
      </c>
      <c r="B364" t="s">
        <v>37</v>
      </c>
      <c r="C364" t="s">
        <v>38</v>
      </c>
      <c r="D364" s="9" t="s">
        <v>39</v>
      </c>
      <c r="E364" s="10" t="s">
        <v>37</v>
      </c>
      <c r="F364" s="11"/>
      <c r="G364" t="s">
        <v>1183</v>
      </c>
      <c r="I364" t="s">
        <v>41</v>
      </c>
      <c r="J364" t="s">
        <v>1184</v>
      </c>
      <c r="K364" t="s">
        <v>43</v>
      </c>
      <c r="L364">
        <v>2</v>
      </c>
      <c r="M364" t="s">
        <v>44</v>
      </c>
      <c r="N364" t="s">
        <v>45</v>
      </c>
      <c r="O364" t="s">
        <v>46</v>
      </c>
      <c r="P364" s="5">
        <v>1</v>
      </c>
      <c r="Q364" s="12">
        <v>44830.515972222223</v>
      </c>
      <c r="R364" s="13">
        <v>44832</v>
      </c>
      <c r="T364" t="s">
        <v>47</v>
      </c>
      <c r="U364" t="s">
        <v>48</v>
      </c>
      <c r="V364" t="s">
        <v>93</v>
      </c>
      <c r="Y364" t="s">
        <v>1185</v>
      </c>
      <c r="Z364">
        <v>84200</v>
      </c>
      <c r="AA364" t="s">
        <v>47</v>
      </c>
      <c r="AB364" t="s">
        <v>58</v>
      </c>
      <c r="AC364" t="s">
        <v>53</v>
      </c>
      <c r="AD364" s="16">
        <f>IF(P364&lt;=1,7,7+0.8*ROUNDUP(P364-1,0))</f>
        <v>7</v>
      </c>
      <c r="AE364" s="15">
        <v>0</v>
      </c>
      <c r="AF364" s="15">
        <v>0</v>
      </c>
      <c r="AG364" s="15">
        <v>0</v>
      </c>
      <c r="AH364" s="15">
        <v>0</v>
      </c>
      <c r="AI364" s="15">
        <f t="shared" si="10"/>
        <v>0.42</v>
      </c>
      <c r="AJ364" s="15">
        <f t="shared" si="11"/>
        <v>7.42</v>
      </c>
      <c r="AK364" t="s">
        <v>47</v>
      </c>
    </row>
    <row r="365" spans="1:37" ht="15" customHeight="1" x14ac:dyDescent="0.35">
      <c r="A365">
        <v>690929</v>
      </c>
      <c r="B365" t="s">
        <v>37</v>
      </c>
      <c r="C365" t="s">
        <v>38</v>
      </c>
      <c r="D365" s="9" t="s">
        <v>39</v>
      </c>
      <c r="E365" s="10" t="s">
        <v>37</v>
      </c>
      <c r="F365" s="11"/>
      <c r="G365" t="s">
        <v>1186</v>
      </c>
      <c r="I365" t="s">
        <v>41</v>
      </c>
      <c r="J365" t="s">
        <v>1187</v>
      </c>
      <c r="K365" t="s">
        <v>43</v>
      </c>
      <c r="L365">
        <v>2</v>
      </c>
      <c r="M365" t="s">
        <v>44</v>
      </c>
      <c r="N365" t="s">
        <v>45</v>
      </c>
      <c r="O365" t="s">
        <v>46</v>
      </c>
      <c r="P365" s="5">
        <v>1</v>
      </c>
      <c r="Q365" s="12">
        <v>44830.696527777778</v>
      </c>
      <c r="R365" s="13">
        <v>44832</v>
      </c>
      <c r="T365" t="s">
        <v>47</v>
      </c>
      <c r="U365" t="s">
        <v>48</v>
      </c>
      <c r="V365" t="s">
        <v>190</v>
      </c>
      <c r="Y365" t="s">
        <v>1188</v>
      </c>
      <c r="Z365">
        <v>57100</v>
      </c>
      <c r="AA365" t="s">
        <v>47</v>
      </c>
      <c r="AB365" t="s">
        <v>327</v>
      </c>
      <c r="AC365" t="s">
        <v>53</v>
      </c>
      <c r="AD365" s="16">
        <f>IF(P365&lt;=1,7,7+0.8*ROUNDUP(P365-1,0))</f>
        <v>7</v>
      </c>
      <c r="AE365" s="15">
        <v>0</v>
      </c>
      <c r="AF365" s="15">
        <v>0</v>
      </c>
      <c r="AG365" s="15">
        <v>0</v>
      </c>
      <c r="AH365" s="15">
        <v>0</v>
      </c>
      <c r="AI365" s="15">
        <f t="shared" si="10"/>
        <v>0.42</v>
      </c>
      <c r="AJ365" s="15">
        <f t="shared" si="11"/>
        <v>7.42</v>
      </c>
      <c r="AK365" t="s">
        <v>47</v>
      </c>
    </row>
    <row r="366" spans="1:37" ht="15" customHeight="1" x14ac:dyDescent="0.35">
      <c r="A366">
        <v>690929</v>
      </c>
      <c r="B366" t="s">
        <v>37</v>
      </c>
      <c r="C366" t="s">
        <v>38</v>
      </c>
      <c r="D366" s="9" t="s">
        <v>39</v>
      </c>
      <c r="E366" s="10" t="s">
        <v>37</v>
      </c>
      <c r="F366" s="11"/>
      <c r="G366" t="s">
        <v>1189</v>
      </c>
      <c r="I366" t="s">
        <v>41</v>
      </c>
      <c r="J366" t="s">
        <v>1190</v>
      </c>
      <c r="K366" t="s">
        <v>43</v>
      </c>
      <c r="L366">
        <v>2</v>
      </c>
      <c r="M366" t="s">
        <v>44</v>
      </c>
      <c r="N366" t="s">
        <v>45</v>
      </c>
      <c r="O366" t="s">
        <v>46</v>
      </c>
      <c r="P366" s="5">
        <v>1</v>
      </c>
      <c r="Q366" s="12">
        <v>44831.599305555559</v>
      </c>
      <c r="R366" s="13">
        <v>44832</v>
      </c>
      <c r="T366" t="s">
        <v>47</v>
      </c>
      <c r="U366" t="s">
        <v>48</v>
      </c>
      <c r="V366" t="s">
        <v>85</v>
      </c>
      <c r="Y366" t="s">
        <v>1191</v>
      </c>
      <c r="Z366">
        <v>45200</v>
      </c>
      <c r="AA366" t="s">
        <v>47</v>
      </c>
      <c r="AB366" t="s">
        <v>58</v>
      </c>
      <c r="AC366" t="s">
        <v>53</v>
      </c>
      <c r="AD366" s="16">
        <f>IF(P366&lt;=1,7,7+0.8*ROUNDUP(P366-1,0))</f>
        <v>7</v>
      </c>
      <c r="AE366" s="15">
        <v>0</v>
      </c>
      <c r="AF366" s="15">
        <v>0</v>
      </c>
      <c r="AG366" s="15">
        <v>0</v>
      </c>
      <c r="AH366" s="15">
        <v>0</v>
      </c>
      <c r="AI366" s="15">
        <f t="shared" si="10"/>
        <v>0.42</v>
      </c>
      <c r="AJ366" s="15">
        <f t="shared" si="11"/>
        <v>7.42</v>
      </c>
      <c r="AK366" t="s">
        <v>47</v>
      </c>
    </row>
    <row r="367" spans="1:37" ht="15" customHeight="1" x14ac:dyDescent="0.35">
      <c r="A367">
        <v>690929</v>
      </c>
      <c r="B367" t="s">
        <v>37</v>
      </c>
      <c r="C367" t="s">
        <v>38</v>
      </c>
      <c r="D367" s="9" t="s">
        <v>39</v>
      </c>
      <c r="E367" s="10" t="s">
        <v>37</v>
      </c>
      <c r="F367" s="11"/>
      <c r="G367" t="s">
        <v>1192</v>
      </c>
      <c r="I367" t="s">
        <v>41</v>
      </c>
      <c r="J367" t="s">
        <v>1193</v>
      </c>
      <c r="K367" t="s">
        <v>43</v>
      </c>
      <c r="L367">
        <v>2</v>
      </c>
      <c r="M367" t="s">
        <v>44</v>
      </c>
      <c r="N367" t="s">
        <v>45</v>
      </c>
      <c r="O367" t="s">
        <v>46</v>
      </c>
      <c r="P367" s="5">
        <v>1</v>
      </c>
      <c r="Q367" s="12">
        <v>44829.741666666669</v>
      </c>
      <c r="R367" s="13">
        <v>44832</v>
      </c>
      <c r="T367" t="s">
        <v>47</v>
      </c>
      <c r="U367" t="s">
        <v>48</v>
      </c>
      <c r="V367" t="s">
        <v>61</v>
      </c>
      <c r="Y367" t="s">
        <v>1194</v>
      </c>
      <c r="Z367">
        <v>13300</v>
      </c>
      <c r="AA367" t="s">
        <v>47</v>
      </c>
      <c r="AB367" t="s">
        <v>58</v>
      </c>
      <c r="AC367" t="s">
        <v>53</v>
      </c>
      <c r="AD367" s="16">
        <f>IF(P367&lt;=1,7,7+0.8*ROUNDUP(P367-1,0))</f>
        <v>7</v>
      </c>
      <c r="AE367" s="15">
        <v>0</v>
      </c>
      <c r="AF367" s="15">
        <v>0</v>
      </c>
      <c r="AG367" s="15">
        <v>0</v>
      </c>
      <c r="AH367" s="15">
        <v>0</v>
      </c>
      <c r="AI367" s="15">
        <f t="shared" si="10"/>
        <v>0.42</v>
      </c>
      <c r="AJ367" s="15">
        <f t="shared" si="11"/>
        <v>7.42</v>
      </c>
      <c r="AK367" t="s">
        <v>47</v>
      </c>
    </row>
    <row r="368" spans="1:37" ht="15" customHeight="1" x14ac:dyDescent="0.35">
      <c r="A368">
        <v>690929</v>
      </c>
      <c r="B368" t="s">
        <v>37</v>
      </c>
      <c r="C368" t="s">
        <v>38</v>
      </c>
      <c r="D368" s="9" t="s">
        <v>39</v>
      </c>
      <c r="E368" s="10" t="s">
        <v>37</v>
      </c>
      <c r="F368" s="11"/>
      <c r="G368" t="s">
        <v>1195</v>
      </c>
      <c r="I368" t="s">
        <v>41</v>
      </c>
      <c r="J368" t="s">
        <v>1196</v>
      </c>
      <c r="K368" t="s">
        <v>43</v>
      </c>
      <c r="L368">
        <v>2</v>
      </c>
      <c r="M368" t="s">
        <v>44</v>
      </c>
      <c r="N368" t="s">
        <v>45</v>
      </c>
      <c r="O368" t="s">
        <v>46</v>
      </c>
      <c r="P368" s="5">
        <v>1</v>
      </c>
      <c r="Q368" s="12">
        <v>44831.598611111112</v>
      </c>
      <c r="R368" s="13">
        <v>44832</v>
      </c>
      <c r="T368" t="s">
        <v>47</v>
      </c>
      <c r="U368" t="s">
        <v>48</v>
      </c>
      <c r="V368" t="s">
        <v>81</v>
      </c>
      <c r="Y368" t="s">
        <v>1197</v>
      </c>
      <c r="Z368">
        <v>31200</v>
      </c>
      <c r="AA368" t="s">
        <v>47</v>
      </c>
      <c r="AB368" t="s">
        <v>48</v>
      </c>
      <c r="AC368" t="s">
        <v>53</v>
      </c>
      <c r="AD368" s="16">
        <f>IF(P368&lt;=1,7,7+0.8*ROUNDUP(P368-1,0))</f>
        <v>7</v>
      </c>
      <c r="AE368" s="15">
        <v>0</v>
      </c>
      <c r="AF368" s="15">
        <v>0</v>
      </c>
      <c r="AG368" s="15">
        <v>0</v>
      </c>
      <c r="AH368" s="15">
        <v>0</v>
      </c>
      <c r="AI368" s="15">
        <f t="shared" si="10"/>
        <v>0.42</v>
      </c>
      <c r="AJ368" s="15">
        <f t="shared" si="11"/>
        <v>7.42</v>
      </c>
      <c r="AK368" t="s">
        <v>47</v>
      </c>
    </row>
    <row r="369" spans="1:37" ht="15" customHeight="1" x14ac:dyDescent="0.35">
      <c r="A369">
        <v>690929</v>
      </c>
      <c r="B369" t="s">
        <v>37</v>
      </c>
      <c r="C369" t="s">
        <v>38</v>
      </c>
      <c r="D369" s="9" t="s">
        <v>39</v>
      </c>
      <c r="E369" s="10" t="s">
        <v>37</v>
      </c>
      <c r="F369" s="11"/>
      <c r="G369" t="s">
        <v>1198</v>
      </c>
      <c r="I369" t="s">
        <v>41</v>
      </c>
      <c r="J369" t="s">
        <v>1199</v>
      </c>
      <c r="K369" t="s">
        <v>43</v>
      </c>
      <c r="L369">
        <v>2</v>
      </c>
      <c r="M369" t="s">
        <v>44</v>
      </c>
      <c r="N369" t="s">
        <v>45</v>
      </c>
      <c r="O369" t="s">
        <v>46</v>
      </c>
      <c r="P369" s="5">
        <v>1</v>
      </c>
      <c r="Q369" s="12">
        <v>44830.743055555555</v>
      </c>
      <c r="R369" s="13">
        <v>44832</v>
      </c>
      <c r="T369" t="s">
        <v>47</v>
      </c>
      <c r="U369" t="s">
        <v>48</v>
      </c>
      <c r="V369" t="s">
        <v>85</v>
      </c>
      <c r="Y369" t="s">
        <v>1200</v>
      </c>
      <c r="Z369">
        <v>40000</v>
      </c>
      <c r="AA369" t="s">
        <v>47</v>
      </c>
      <c r="AB369" t="s">
        <v>58</v>
      </c>
      <c r="AC369" t="s">
        <v>53</v>
      </c>
      <c r="AD369" s="16">
        <f>IF(P369&lt;=1,7,7+0.8*ROUNDUP(P369-1,0))</f>
        <v>7</v>
      </c>
      <c r="AE369" s="15">
        <v>0</v>
      </c>
      <c r="AF369" s="15">
        <v>0</v>
      </c>
      <c r="AG369" s="15">
        <v>0</v>
      </c>
      <c r="AH369" s="15">
        <v>0</v>
      </c>
      <c r="AI369" s="15">
        <f t="shared" si="10"/>
        <v>0.42</v>
      </c>
      <c r="AJ369" s="15">
        <f t="shared" si="11"/>
        <v>7.42</v>
      </c>
      <c r="AK369" t="s">
        <v>47</v>
      </c>
    </row>
    <row r="370" spans="1:37" ht="15" customHeight="1" x14ac:dyDescent="0.35">
      <c r="A370">
        <v>690929</v>
      </c>
      <c r="B370" t="s">
        <v>37</v>
      </c>
      <c r="C370" t="s">
        <v>38</v>
      </c>
      <c r="D370" s="9" t="s">
        <v>39</v>
      </c>
      <c r="E370" s="10" t="s">
        <v>37</v>
      </c>
      <c r="F370" s="11"/>
      <c r="G370" t="s">
        <v>1201</v>
      </c>
      <c r="I370" t="s">
        <v>41</v>
      </c>
      <c r="J370" t="s">
        <v>1202</v>
      </c>
      <c r="K370" t="s">
        <v>43</v>
      </c>
      <c r="L370">
        <v>2</v>
      </c>
      <c r="M370" t="s">
        <v>44</v>
      </c>
      <c r="N370" t="s">
        <v>45</v>
      </c>
      <c r="O370" t="s">
        <v>46</v>
      </c>
      <c r="P370" s="5">
        <v>1</v>
      </c>
      <c r="Q370" s="12">
        <v>44830.703472222223</v>
      </c>
      <c r="R370" s="13">
        <v>44832</v>
      </c>
      <c r="T370" t="s">
        <v>47</v>
      </c>
      <c r="U370" t="s">
        <v>48</v>
      </c>
      <c r="V370" t="s">
        <v>300</v>
      </c>
      <c r="Y370" t="s">
        <v>1203</v>
      </c>
      <c r="Z370">
        <v>24100</v>
      </c>
      <c r="AA370" t="s">
        <v>47</v>
      </c>
      <c r="AB370" t="s">
        <v>899</v>
      </c>
      <c r="AC370" t="s">
        <v>53</v>
      </c>
      <c r="AD370" s="16">
        <f>IF(P370&lt;=1,7,7+0.8*ROUNDUP(P370-1,0))</f>
        <v>7</v>
      </c>
      <c r="AE370" s="15">
        <v>0</v>
      </c>
      <c r="AF370" s="15">
        <v>0</v>
      </c>
      <c r="AG370" s="15">
        <v>0</v>
      </c>
      <c r="AH370" s="15">
        <v>0</v>
      </c>
      <c r="AI370" s="15">
        <f t="shared" si="10"/>
        <v>0.42</v>
      </c>
      <c r="AJ370" s="15">
        <f t="shared" si="11"/>
        <v>7.42</v>
      </c>
      <c r="AK370" t="s">
        <v>47</v>
      </c>
    </row>
    <row r="371" spans="1:37" ht="15" customHeight="1" x14ac:dyDescent="0.35">
      <c r="A371">
        <v>690929</v>
      </c>
      <c r="B371" t="s">
        <v>37</v>
      </c>
      <c r="C371" t="s">
        <v>38</v>
      </c>
      <c r="D371" s="9" t="s">
        <v>39</v>
      </c>
      <c r="E371" s="10" t="s">
        <v>37</v>
      </c>
      <c r="F371" s="11"/>
      <c r="G371" t="s">
        <v>1204</v>
      </c>
      <c r="I371" t="s">
        <v>41</v>
      </c>
      <c r="J371" t="s">
        <v>1205</v>
      </c>
      <c r="K371" t="s">
        <v>43</v>
      </c>
      <c r="L371">
        <v>2</v>
      </c>
      <c r="M371" t="s">
        <v>44</v>
      </c>
      <c r="N371" t="s">
        <v>45</v>
      </c>
      <c r="O371" t="s">
        <v>46</v>
      </c>
      <c r="P371" s="5">
        <v>1</v>
      </c>
      <c r="Q371" s="12">
        <v>44830.702777777777</v>
      </c>
      <c r="R371" s="13">
        <v>44832</v>
      </c>
      <c r="T371" t="s">
        <v>47</v>
      </c>
      <c r="U371" t="s">
        <v>48</v>
      </c>
      <c r="V371" t="s">
        <v>76</v>
      </c>
      <c r="Y371" t="s">
        <v>1206</v>
      </c>
      <c r="Z371">
        <v>16450</v>
      </c>
      <c r="AA371" t="s">
        <v>47</v>
      </c>
      <c r="AB371" t="s">
        <v>78</v>
      </c>
      <c r="AC371" t="s">
        <v>53</v>
      </c>
      <c r="AD371" s="16">
        <f>IF(P371&lt;=1,7,7+0.8*ROUNDUP(P371-1,0))</f>
        <v>7</v>
      </c>
      <c r="AE371" s="15">
        <v>0</v>
      </c>
      <c r="AF371" s="15">
        <v>0</v>
      </c>
      <c r="AG371" s="15">
        <v>0</v>
      </c>
      <c r="AH371" s="15">
        <v>0</v>
      </c>
      <c r="AI371" s="15">
        <f t="shared" si="10"/>
        <v>0.42</v>
      </c>
      <c r="AJ371" s="15">
        <f t="shared" si="11"/>
        <v>7.42</v>
      </c>
      <c r="AK371" t="s">
        <v>47</v>
      </c>
    </row>
    <row r="372" spans="1:37" ht="15" customHeight="1" x14ac:dyDescent="0.35">
      <c r="A372">
        <v>690929</v>
      </c>
      <c r="B372" t="s">
        <v>37</v>
      </c>
      <c r="C372" t="s">
        <v>38</v>
      </c>
      <c r="D372" s="9" t="s">
        <v>39</v>
      </c>
      <c r="E372" s="10" t="s">
        <v>37</v>
      </c>
      <c r="F372" s="11"/>
      <c r="G372" t="s">
        <v>1207</v>
      </c>
      <c r="I372" t="s">
        <v>41</v>
      </c>
      <c r="J372" t="s">
        <v>1208</v>
      </c>
      <c r="K372" t="s">
        <v>43</v>
      </c>
      <c r="L372">
        <v>2</v>
      </c>
      <c r="M372" t="s">
        <v>44</v>
      </c>
      <c r="N372" t="s">
        <v>45</v>
      </c>
      <c r="O372" t="s">
        <v>46</v>
      </c>
      <c r="P372" s="5">
        <v>1</v>
      </c>
      <c r="Q372" s="12">
        <v>44830.62222222222</v>
      </c>
      <c r="R372" s="13">
        <v>44832</v>
      </c>
      <c r="T372" t="s">
        <v>47</v>
      </c>
      <c r="U372" t="s">
        <v>48</v>
      </c>
      <c r="V372" t="s">
        <v>61</v>
      </c>
      <c r="Y372" t="s">
        <v>1209</v>
      </c>
      <c r="Z372">
        <v>14400</v>
      </c>
      <c r="AA372" t="s">
        <v>47</v>
      </c>
      <c r="AB372" t="s">
        <v>58</v>
      </c>
      <c r="AC372" t="s">
        <v>53</v>
      </c>
      <c r="AD372" s="16">
        <f>IF(P372&lt;=1,7,7+0.8*ROUNDUP(P372-1,0))</f>
        <v>7</v>
      </c>
      <c r="AE372" s="15">
        <v>0</v>
      </c>
      <c r="AF372" s="15">
        <v>0</v>
      </c>
      <c r="AG372" s="15">
        <v>0</v>
      </c>
      <c r="AH372" s="15">
        <v>0</v>
      </c>
      <c r="AI372" s="15">
        <f t="shared" si="10"/>
        <v>0.42</v>
      </c>
      <c r="AJ372" s="15">
        <f t="shared" si="11"/>
        <v>7.42</v>
      </c>
      <c r="AK372" t="s">
        <v>47</v>
      </c>
    </row>
    <row r="373" spans="1:37" ht="15" customHeight="1" x14ac:dyDescent="0.35">
      <c r="A373">
        <v>690929</v>
      </c>
      <c r="B373" t="s">
        <v>37</v>
      </c>
      <c r="C373" t="s">
        <v>38</v>
      </c>
      <c r="D373" s="9" t="s">
        <v>39</v>
      </c>
      <c r="E373" s="10" t="s">
        <v>37</v>
      </c>
      <c r="F373" s="11"/>
      <c r="G373" t="s">
        <v>1210</v>
      </c>
      <c r="I373" t="s">
        <v>41</v>
      </c>
      <c r="J373" t="s">
        <v>473</v>
      </c>
      <c r="K373" t="s">
        <v>43</v>
      </c>
      <c r="L373">
        <v>2</v>
      </c>
      <c r="M373" t="s">
        <v>44</v>
      </c>
      <c r="N373" t="s">
        <v>45</v>
      </c>
      <c r="O373" t="s">
        <v>46</v>
      </c>
      <c r="P373" s="5">
        <v>3</v>
      </c>
      <c r="Q373" s="12">
        <v>44830.628472222219</v>
      </c>
      <c r="R373" s="13">
        <v>44832</v>
      </c>
      <c r="T373" t="s">
        <v>47</v>
      </c>
      <c r="U373" t="s">
        <v>48</v>
      </c>
      <c r="V373" t="s">
        <v>93</v>
      </c>
      <c r="Y373" t="s">
        <v>1211</v>
      </c>
      <c r="Z373">
        <v>81100</v>
      </c>
      <c r="AA373" t="s">
        <v>47</v>
      </c>
      <c r="AB373" t="s">
        <v>475</v>
      </c>
      <c r="AC373" t="s">
        <v>53</v>
      </c>
      <c r="AD373" s="16">
        <f>IF(P373&lt;=1,7,7+0.8*ROUNDUP(P373-1,0))</f>
        <v>8.6</v>
      </c>
      <c r="AE373" s="15">
        <v>0</v>
      </c>
      <c r="AF373" s="15">
        <v>0</v>
      </c>
      <c r="AG373" s="15">
        <v>0</v>
      </c>
      <c r="AH373" s="15">
        <v>0</v>
      </c>
      <c r="AI373" s="15">
        <f t="shared" si="10"/>
        <v>0.51600000000000001</v>
      </c>
      <c r="AJ373" s="15">
        <f t="shared" si="11"/>
        <v>9.1159999999999997</v>
      </c>
      <c r="AK373" t="s">
        <v>47</v>
      </c>
    </row>
    <row r="374" spans="1:37" ht="15" customHeight="1" x14ac:dyDescent="0.35">
      <c r="A374">
        <v>690929</v>
      </c>
      <c r="B374" t="s">
        <v>37</v>
      </c>
      <c r="C374" t="s">
        <v>38</v>
      </c>
      <c r="D374" s="9" t="s">
        <v>39</v>
      </c>
      <c r="E374" s="10" t="s">
        <v>37</v>
      </c>
      <c r="F374" s="11"/>
      <c r="G374" t="s">
        <v>1212</v>
      </c>
      <c r="I374" t="s">
        <v>41</v>
      </c>
      <c r="J374" t="s">
        <v>1213</v>
      </c>
      <c r="K374" t="s">
        <v>43</v>
      </c>
      <c r="L374">
        <v>2</v>
      </c>
      <c r="M374" t="s">
        <v>44</v>
      </c>
      <c r="N374" t="s">
        <v>45</v>
      </c>
      <c r="O374" t="s">
        <v>46</v>
      </c>
      <c r="P374" s="5">
        <v>1</v>
      </c>
      <c r="Q374" s="12">
        <v>44826.640972222223</v>
      </c>
      <c r="R374" s="13">
        <v>44833</v>
      </c>
      <c r="T374" t="s">
        <v>47</v>
      </c>
      <c r="U374" t="s">
        <v>48</v>
      </c>
      <c r="V374" t="s">
        <v>49</v>
      </c>
      <c r="Y374" t="s">
        <v>1214</v>
      </c>
      <c r="Z374">
        <v>89208</v>
      </c>
      <c r="AA374" t="s">
        <v>51</v>
      </c>
      <c r="AB374" t="s">
        <v>1215</v>
      </c>
      <c r="AC374" t="s">
        <v>53</v>
      </c>
      <c r="AD374" s="14">
        <f>IF(P374&lt;=1,13,IF(P374&lt;=2,23,IF(P374&lt;=3,35,IF(P374&lt;=4,43,IF(P374&lt;=5,53,IF(P374&lt;=6,63,IF(P374&lt;=7,71,IF(P374&lt;=8,79,IF(P374&lt;=9,87,IF(P374&lt;=10,95,IF(P374&lt;=11,105,IF(P374&lt;=12,114,IF(P374&lt;=13,119,IF(P374&lt;=14,127,IF(P374&lt;=15,135,IF(P374&lt;=16,143,IF(P374&lt;=17,153,IF(P374&lt;=18,163,IF(P374&lt;=19,171,IF(P374&lt;=20,185,IF(P374&lt;=21,193,IF(P374&lt;=22,201,IF(P374&lt;=23,210,IF(P374&lt;=24,220,IF(P374&lt;=25,230,IF(P374&lt;=26,240,IF(P374&lt;=27,250,IF(P374&lt;=28,260,IF(P374&lt;=29,270,IF(P374&lt;=30,280,280))))))))))))))))))))))))))))))</f>
        <v>13</v>
      </c>
      <c r="AE374" s="15">
        <v>0</v>
      </c>
      <c r="AF374" s="15">
        <v>0</v>
      </c>
      <c r="AG374" s="15">
        <v>0</v>
      </c>
      <c r="AH374" s="15">
        <v>0</v>
      </c>
      <c r="AI374" s="15">
        <f t="shared" si="10"/>
        <v>0.78</v>
      </c>
      <c r="AJ374" s="15">
        <f t="shared" si="11"/>
        <v>13.78</v>
      </c>
      <c r="AK374" t="s">
        <v>51</v>
      </c>
    </row>
    <row r="375" spans="1:37" ht="15" customHeight="1" x14ac:dyDescent="0.35">
      <c r="A375">
        <v>690929</v>
      </c>
      <c r="B375" t="s">
        <v>37</v>
      </c>
      <c r="C375" t="s">
        <v>38</v>
      </c>
      <c r="D375" s="9" t="s">
        <v>39</v>
      </c>
      <c r="E375" s="10" t="s">
        <v>37</v>
      </c>
      <c r="F375" s="11"/>
      <c r="G375" t="s">
        <v>1216</v>
      </c>
      <c r="I375" t="s">
        <v>41</v>
      </c>
      <c r="J375" t="s">
        <v>1217</v>
      </c>
      <c r="K375" t="s">
        <v>43</v>
      </c>
      <c r="L375">
        <v>2</v>
      </c>
      <c r="M375" t="s">
        <v>44</v>
      </c>
      <c r="N375" t="s">
        <v>45</v>
      </c>
      <c r="O375" t="s">
        <v>46</v>
      </c>
      <c r="P375" s="5">
        <v>1</v>
      </c>
      <c r="Q375" s="12">
        <v>44831.597916666666</v>
      </c>
      <c r="R375" s="13">
        <v>44833</v>
      </c>
      <c r="T375" t="s">
        <v>47</v>
      </c>
      <c r="U375" t="s">
        <v>48</v>
      </c>
      <c r="V375" t="s">
        <v>61</v>
      </c>
      <c r="Y375" t="s">
        <v>1218</v>
      </c>
      <c r="Z375">
        <v>11900</v>
      </c>
      <c r="AA375" t="s">
        <v>47</v>
      </c>
      <c r="AB375" t="s">
        <v>58</v>
      </c>
      <c r="AC375" t="s">
        <v>53</v>
      </c>
      <c r="AD375" s="16">
        <f>IF(P375&lt;=1,7,7+0.8*ROUNDUP(P375-1,0))</f>
        <v>7</v>
      </c>
      <c r="AE375" s="15">
        <v>0</v>
      </c>
      <c r="AF375" s="15">
        <v>0</v>
      </c>
      <c r="AG375" s="15">
        <v>0</v>
      </c>
      <c r="AH375" s="15">
        <v>0</v>
      </c>
      <c r="AI375" s="15">
        <f t="shared" si="10"/>
        <v>0.42</v>
      </c>
      <c r="AJ375" s="15">
        <f t="shared" si="11"/>
        <v>7.42</v>
      </c>
      <c r="AK375" t="s">
        <v>47</v>
      </c>
    </row>
    <row r="376" spans="1:37" ht="15" customHeight="1" x14ac:dyDescent="0.35">
      <c r="A376">
        <v>690929</v>
      </c>
      <c r="B376" t="s">
        <v>37</v>
      </c>
      <c r="C376" t="s">
        <v>38</v>
      </c>
      <c r="D376" s="9" t="s">
        <v>39</v>
      </c>
      <c r="E376" s="10" t="s">
        <v>37</v>
      </c>
      <c r="F376" s="11"/>
      <c r="G376" t="s">
        <v>1219</v>
      </c>
      <c r="I376" t="s">
        <v>41</v>
      </c>
      <c r="J376" t="s">
        <v>1220</v>
      </c>
      <c r="K376" t="s">
        <v>43</v>
      </c>
      <c r="L376">
        <v>2</v>
      </c>
      <c r="M376" t="s">
        <v>44</v>
      </c>
      <c r="N376" t="s">
        <v>45</v>
      </c>
      <c r="O376" t="s">
        <v>46</v>
      </c>
      <c r="P376" s="5">
        <v>6</v>
      </c>
      <c r="Q376" s="12">
        <v>44832.675000000003</v>
      </c>
      <c r="R376" s="13">
        <v>44833</v>
      </c>
      <c r="T376" t="s">
        <v>47</v>
      </c>
      <c r="U376" t="s">
        <v>48</v>
      </c>
      <c r="V376" t="s">
        <v>85</v>
      </c>
      <c r="Y376" t="s">
        <v>1221</v>
      </c>
      <c r="Z376">
        <v>47810</v>
      </c>
      <c r="AA376" t="s">
        <v>47</v>
      </c>
      <c r="AB376" t="s">
        <v>441</v>
      </c>
      <c r="AC376" t="s">
        <v>53</v>
      </c>
      <c r="AD376" s="16">
        <f>IF(P376&lt;=1,7,7+0.8*ROUNDUP(P376-1,0))</f>
        <v>11</v>
      </c>
      <c r="AE376" s="15">
        <v>0</v>
      </c>
      <c r="AF376" s="15">
        <v>0</v>
      </c>
      <c r="AG376" s="15">
        <v>0</v>
      </c>
      <c r="AH376" s="15">
        <v>0</v>
      </c>
      <c r="AI376" s="15">
        <f t="shared" si="10"/>
        <v>0.65999999999999992</v>
      </c>
      <c r="AJ376" s="15">
        <f t="shared" si="11"/>
        <v>11.66</v>
      </c>
      <c r="AK376" t="s">
        <v>47</v>
      </c>
    </row>
    <row r="377" spans="1:37" ht="15" customHeight="1" x14ac:dyDescent="0.35">
      <c r="A377">
        <v>690929</v>
      </c>
      <c r="B377" t="s">
        <v>37</v>
      </c>
      <c r="C377" t="s">
        <v>38</v>
      </c>
      <c r="D377" s="9" t="s">
        <v>39</v>
      </c>
      <c r="E377" s="10" t="s">
        <v>37</v>
      </c>
      <c r="F377" s="11"/>
      <c r="G377" t="s">
        <v>1222</v>
      </c>
      <c r="I377" t="s">
        <v>41</v>
      </c>
      <c r="J377" t="s">
        <v>1223</v>
      </c>
      <c r="K377" t="s">
        <v>43</v>
      </c>
      <c r="L377">
        <v>2</v>
      </c>
      <c r="M377" t="s">
        <v>44</v>
      </c>
      <c r="N377" t="s">
        <v>45</v>
      </c>
      <c r="O377" t="s">
        <v>46</v>
      </c>
      <c r="P377" s="5">
        <v>1</v>
      </c>
      <c r="Q377" s="12">
        <v>44832.515277777777</v>
      </c>
      <c r="R377" s="13">
        <v>44833</v>
      </c>
      <c r="T377" t="s">
        <v>47</v>
      </c>
      <c r="U377" t="s">
        <v>48</v>
      </c>
      <c r="V377" t="s">
        <v>85</v>
      </c>
      <c r="Y377" t="s">
        <v>1224</v>
      </c>
      <c r="Z377">
        <v>40460</v>
      </c>
      <c r="AA377" t="s">
        <v>47</v>
      </c>
      <c r="AB377" t="s">
        <v>58</v>
      </c>
      <c r="AC377" t="s">
        <v>53</v>
      </c>
      <c r="AD377" s="16">
        <f>IF(P377&lt;=1,7,7+0.8*ROUNDUP(P377-1,0))</f>
        <v>7</v>
      </c>
      <c r="AE377" s="15">
        <v>0</v>
      </c>
      <c r="AF377" s="15">
        <v>0</v>
      </c>
      <c r="AG377" s="15">
        <v>0</v>
      </c>
      <c r="AH377" s="15">
        <v>0</v>
      </c>
      <c r="AI377" s="15">
        <f t="shared" si="10"/>
        <v>0.42</v>
      </c>
      <c r="AJ377" s="15">
        <f t="shared" si="11"/>
        <v>7.42</v>
      </c>
      <c r="AK377" t="s">
        <v>47</v>
      </c>
    </row>
    <row r="378" spans="1:37" ht="15" customHeight="1" x14ac:dyDescent="0.35">
      <c r="A378">
        <v>690929</v>
      </c>
      <c r="B378" t="s">
        <v>37</v>
      </c>
      <c r="C378" t="s">
        <v>38</v>
      </c>
      <c r="D378" s="9" t="s">
        <v>39</v>
      </c>
      <c r="E378" s="10" t="s">
        <v>37</v>
      </c>
      <c r="F378" s="11"/>
      <c r="G378" t="s">
        <v>1225</v>
      </c>
      <c r="I378" t="s">
        <v>41</v>
      </c>
      <c r="J378" t="s">
        <v>1226</v>
      </c>
      <c r="K378" t="s">
        <v>43</v>
      </c>
      <c r="L378">
        <v>2</v>
      </c>
      <c r="M378" t="s">
        <v>44</v>
      </c>
      <c r="N378" t="s">
        <v>45</v>
      </c>
      <c r="O378" t="s">
        <v>46</v>
      </c>
      <c r="P378" s="5">
        <v>3</v>
      </c>
      <c r="Q378" s="12">
        <v>44832.550694444442</v>
      </c>
      <c r="R378" s="13">
        <v>44833</v>
      </c>
      <c r="T378" t="s">
        <v>47</v>
      </c>
      <c r="U378" t="s">
        <v>48</v>
      </c>
      <c r="V378" t="s">
        <v>76</v>
      </c>
      <c r="Y378" t="s">
        <v>1227</v>
      </c>
      <c r="Z378">
        <v>18000</v>
      </c>
      <c r="AA378" t="s">
        <v>47</v>
      </c>
      <c r="AB378" t="s">
        <v>978</v>
      </c>
      <c r="AC378" t="s">
        <v>53</v>
      </c>
      <c r="AD378" s="16">
        <f>IF(P378&lt;=1,7,7+0.8*ROUNDUP(P378-1,0))</f>
        <v>8.6</v>
      </c>
      <c r="AE378" s="15">
        <v>0</v>
      </c>
      <c r="AF378" s="15">
        <v>0</v>
      </c>
      <c r="AG378" s="15">
        <v>0</v>
      </c>
      <c r="AH378" s="15">
        <v>0</v>
      </c>
      <c r="AI378" s="15">
        <f t="shared" si="10"/>
        <v>0.51600000000000001</v>
      </c>
      <c r="AJ378" s="15">
        <f t="shared" si="11"/>
        <v>9.1159999999999997</v>
      </c>
      <c r="AK378" t="s">
        <v>47</v>
      </c>
    </row>
    <row r="379" spans="1:37" ht="15" customHeight="1" x14ac:dyDescent="0.35">
      <c r="A379">
        <v>690929</v>
      </c>
      <c r="B379" t="s">
        <v>37</v>
      </c>
      <c r="C379" t="s">
        <v>38</v>
      </c>
      <c r="D379" s="9" t="s">
        <v>39</v>
      </c>
      <c r="E379" s="10" t="s">
        <v>37</v>
      </c>
      <c r="F379" s="11"/>
      <c r="G379" t="s">
        <v>1228</v>
      </c>
      <c r="I379" t="s">
        <v>41</v>
      </c>
      <c r="J379" t="s">
        <v>1229</v>
      </c>
      <c r="K379" t="s">
        <v>43</v>
      </c>
      <c r="L379">
        <v>2</v>
      </c>
      <c r="M379" t="s">
        <v>44</v>
      </c>
      <c r="N379" t="s">
        <v>45</v>
      </c>
      <c r="O379" t="s">
        <v>46</v>
      </c>
      <c r="P379" s="5">
        <v>1</v>
      </c>
      <c r="Q379" s="12">
        <v>44831.73541666667</v>
      </c>
      <c r="R379" s="13">
        <v>44833</v>
      </c>
      <c r="T379" t="s">
        <v>47</v>
      </c>
      <c r="U379" t="s">
        <v>48</v>
      </c>
      <c r="V379" t="s">
        <v>85</v>
      </c>
      <c r="Y379" t="s">
        <v>1230</v>
      </c>
      <c r="Z379">
        <v>47650</v>
      </c>
      <c r="AA379" t="s">
        <v>47</v>
      </c>
      <c r="AB379" t="s">
        <v>58</v>
      </c>
      <c r="AC379" t="s">
        <v>53</v>
      </c>
      <c r="AD379" s="16">
        <f>IF(P379&lt;=1,7,7+0.8*ROUNDUP(P379-1,0))</f>
        <v>7</v>
      </c>
      <c r="AE379" s="15">
        <v>0</v>
      </c>
      <c r="AF379" s="15">
        <v>0</v>
      </c>
      <c r="AG379" s="15">
        <v>0</v>
      </c>
      <c r="AH379" s="15">
        <v>0</v>
      </c>
      <c r="AI379" s="15">
        <f t="shared" si="10"/>
        <v>0.42</v>
      </c>
      <c r="AJ379" s="15">
        <f t="shared" si="11"/>
        <v>7.42</v>
      </c>
      <c r="AK379" t="s">
        <v>47</v>
      </c>
    </row>
    <row r="380" spans="1:37" ht="15" customHeight="1" x14ac:dyDescent="0.35">
      <c r="A380">
        <v>690929</v>
      </c>
      <c r="B380" t="s">
        <v>37</v>
      </c>
      <c r="C380" t="s">
        <v>38</v>
      </c>
      <c r="D380" s="9" t="s">
        <v>39</v>
      </c>
      <c r="E380" s="10" t="s">
        <v>37</v>
      </c>
      <c r="F380" s="11"/>
      <c r="G380" t="s">
        <v>1231</v>
      </c>
      <c r="I380" t="s">
        <v>41</v>
      </c>
      <c r="J380" t="s">
        <v>1232</v>
      </c>
      <c r="K380" t="s">
        <v>43</v>
      </c>
      <c r="L380">
        <v>2</v>
      </c>
      <c r="M380" t="s">
        <v>44</v>
      </c>
      <c r="N380" t="s">
        <v>45</v>
      </c>
      <c r="O380" t="s">
        <v>46</v>
      </c>
      <c r="P380" s="5">
        <v>7</v>
      </c>
      <c r="Q380" s="12">
        <v>44831.713194444441</v>
      </c>
      <c r="R380" s="13">
        <v>44833</v>
      </c>
      <c r="T380" t="s">
        <v>47</v>
      </c>
      <c r="U380" t="s">
        <v>48</v>
      </c>
      <c r="V380" t="s">
        <v>56</v>
      </c>
      <c r="Y380" t="s">
        <v>1233</v>
      </c>
      <c r="Z380">
        <v>9300</v>
      </c>
      <c r="AA380" t="s">
        <v>47</v>
      </c>
      <c r="AB380" t="s">
        <v>509</v>
      </c>
      <c r="AC380" t="s">
        <v>53</v>
      </c>
      <c r="AD380" s="16">
        <f>IF(P380&lt;=1,7,7+0.8*ROUNDUP(P380-1,0))</f>
        <v>11.8</v>
      </c>
      <c r="AE380" s="15">
        <v>0</v>
      </c>
      <c r="AF380" s="15">
        <v>0</v>
      </c>
      <c r="AG380" s="15">
        <v>0</v>
      </c>
      <c r="AH380" s="15">
        <v>0</v>
      </c>
      <c r="AI380" s="15">
        <f t="shared" si="10"/>
        <v>0.70799999999999996</v>
      </c>
      <c r="AJ380" s="15">
        <f t="shared" si="11"/>
        <v>12.508000000000001</v>
      </c>
      <c r="AK380" t="s">
        <v>47</v>
      </c>
    </row>
    <row r="381" spans="1:37" ht="15" customHeight="1" x14ac:dyDescent="0.35">
      <c r="A381">
        <v>690929</v>
      </c>
      <c r="B381" t="s">
        <v>37</v>
      </c>
      <c r="C381" t="s">
        <v>38</v>
      </c>
      <c r="D381" s="9" t="s">
        <v>39</v>
      </c>
      <c r="E381" s="10" t="s">
        <v>37</v>
      </c>
      <c r="F381" s="11"/>
      <c r="G381" t="s">
        <v>1234</v>
      </c>
      <c r="I381" t="s">
        <v>41</v>
      </c>
      <c r="J381" t="s">
        <v>1232</v>
      </c>
      <c r="K381" t="s">
        <v>43</v>
      </c>
      <c r="L381">
        <v>2</v>
      </c>
      <c r="M381" t="s">
        <v>44</v>
      </c>
      <c r="N381" t="s">
        <v>45</v>
      </c>
      <c r="O381" t="s">
        <v>46</v>
      </c>
      <c r="P381" s="5">
        <v>9</v>
      </c>
      <c r="Q381" s="12">
        <v>44831.709027777775</v>
      </c>
      <c r="R381" s="13">
        <v>44833</v>
      </c>
      <c r="T381" t="s">
        <v>47</v>
      </c>
      <c r="U381" t="s">
        <v>48</v>
      </c>
      <c r="V381" t="s">
        <v>56</v>
      </c>
      <c r="Y381" t="s">
        <v>1235</v>
      </c>
      <c r="Z381">
        <v>9300</v>
      </c>
      <c r="AA381" t="s">
        <v>47</v>
      </c>
      <c r="AB381" t="s">
        <v>509</v>
      </c>
      <c r="AC381" t="s">
        <v>53</v>
      </c>
      <c r="AD381" s="16">
        <f>IF(P381&lt;=1,7,7+0.8*ROUNDUP(P381-1,0))</f>
        <v>13.4</v>
      </c>
      <c r="AE381" s="15">
        <v>0</v>
      </c>
      <c r="AF381" s="15">
        <v>0</v>
      </c>
      <c r="AG381" s="15">
        <v>0</v>
      </c>
      <c r="AH381" s="15">
        <v>0</v>
      </c>
      <c r="AI381" s="15">
        <f t="shared" si="10"/>
        <v>0.80399999999999994</v>
      </c>
      <c r="AJ381" s="15">
        <f t="shared" si="11"/>
        <v>14.204000000000001</v>
      </c>
      <c r="AK381" t="s">
        <v>47</v>
      </c>
    </row>
    <row r="382" spans="1:37" ht="15" customHeight="1" x14ac:dyDescent="0.35">
      <c r="A382">
        <v>690929</v>
      </c>
      <c r="B382" t="s">
        <v>37</v>
      </c>
      <c r="C382" t="s">
        <v>38</v>
      </c>
      <c r="D382" s="9" t="s">
        <v>39</v>
      </c>
      <c r="E382" s="10" t="s">
        <v>37</v>
      </c>
      <c r="F382" s="11"/>
      <c r="G382" t="s">
        <v>1236</v>
      </c>
      <c r="I382" t="s">
        <v>41</v>
      </c>
      <c r="J382" t="s">
        <v>1237</v>
      </c>
      <c r="K382" t="s">
        <v>43</v>
      </c>
      <c r="L382">
        <v>2</v>
      </c>
      <c r="M382" t="s">
        <v>44</v>
      </c>
      <c r="N382" t="s">
        <v>45</v>
      </c>
      <c r="O382" t="s">
        <v>46</v>
      </c>
      <c r="P382" s="5">
        <v>1</v>
      </c>
      <c r="Q382" s="12">
        <v>44830.700694444444</v>
      </c>
      <c r="R382" s="13">
        <v>44833</v>
      </c>
      <c r="T382" t="s">
        <v>47</v>
      </c>
      <c r="U382" t="s">
        <v>48</v>
      </c>
      <c r="V382" t="s">
        <v>93</v>
      </c>
      <c r="Y382" t="s">
        <v>1238</v>
      </c>
      <c r="Z382">
        <v>81200</v>
      </c>
      <c r="AA382" t="s">
        <v>47</v>
      </c>
      <c r="AB382" t="s">
        <v>1239</v>
      </c>
      <c r="AC382" t="s">
        <v>53</v>
      </c>
      <c r="AD382" s="16">
        <f>IF(P382&lt;=1,7,7+0.8*ROUNDUP(P382-1,0))</f>
        <v>7</v>
      </c>
      <c r="AE382" s="15">
        <v>0</v>
      </c>
      <c r="AF382" s="15">
        <v>0</v>
      </c>
      <c r="AG382" s="15">
        <v>0</v>
      </c>
      <c r="AH382" s="15">
        <v>0</v>
      </c>
      <c r="AI382" s="15">
        <f t="shared" si="10"/>
        <v>0.42</v>
      </c>
      <c r="AJ382" s="15">
        <f t="shared" si="11"/>
        <v>7.42</v>
      </c>
      <c r="AK382" t="s">
        <v>47</v>
      </c>
    </row>
    <row r="383" spans="1:37" ht="15" customHeight="1" x14ac:dyDescent="0.35">
      <c r="A383">
        <v>690929</v>
      </c>
      <c r="B383" t="s">
        <v>37</v>
      </c>
      <c r="C383" t="s">
        <v>38</v>
      </c>
      <c r="D383" s="9" t="s">
        <v>39</v>
      </c>
      <c r="E383" s="10" t="s">
        <v>37</v>
      </c>
      <c r="F383" s="11"/>
      <c r="G383" t="s">
        <v>1240</v>
      </c>
      <c r="I383" t="s">
        <v>41</v>
      </c>
      <c r="J383" t="s">
        <v>1241</v>
      </c>
      <c r="K383" t="s">
        <v>43</v>
      </c>
      <c r="L383">
        <v>2</v>
      </c>
      <c r="M383" t="s">
        <v>44</v>
      </c>
      <c r="N383" t="s">
        <v>45</v>
      </c>
      <c r="O383" t="s">
        <v>46</v>
      </c>
      <c r="P383" s="5">
        <v>4</v>
      </c>
      <c r="Q383" s="12">
        <v>44832.697916666664</v>
      </c>
      <c r="R383" s="13">
        <v>44834</v>
      </c>
      <c r="T383" t="s">
        <v>47</v>
      </c>
      <c r="U383" t="s">
        <v>48</v>
      </c>
      <c r="V383" t="s">
        <v>85</v>
      </c>
      <c r="Y383" t="s">
        <v>1242</v>
      </c>
      <c r="Z383">
        <v>41000</v>
      </c>
      <c r="AA383" t="s">
        <v>47</v>
      </c>
      <c r="AB383" t="s">
        <v>1243</v>
      </c>
      <c r="AC383" t="s">
        <v>53</v>
      </c>
      <c r="AD383" s="16">
        <f>IF(P383&lt;=1,7,7+0.8*ROUNDUP(P383-1,0))</f>
        <v>9.4</v>
      </c>
      <c r="AE383" s="15">
        <v>0</v>
      </c>
      <c r="AF383" s="15">
        <v>0</v>
      </c>
      <c r="AG383" s="15">
        <v>0</v>
      </c>
      <c r="AH383" s="15">
        <v>0</v>
      </c>
      <c r="AI383" s="15">
        <f t="shared" si="10"/>
        <v>0.56399999999999995</v>
      </c>
      <c r="AJ383" s="15">
        <f t="shared" si="11"/>
        <v>9.9640000000000004</v>
      </c>
      <c r="AK383" t="s">
        <v>47</v>
      </c>
    </row>
    <row r="384" spans="1:37" ht="15" customHeight="1" x14ac:dyDescent="0.35">
      <c r="A384">
        <v>690929</v>
      </c>
      <c r="B384" t="s">
        <v>37</v>
      </c>
      <c r="C384" t="s">
        <v>38</v>
      </c>
      <c r="D384" s="9" t="s">
        <v>39</v>
      </c>
      <c r="E384" s="10" t="s">
        <v>37</v>
      </c>
      <c r="F384" s="11"/>
      <c r="G384" t="s">
        <v>1244</v>
      </c>
      <c r="I384" t="s">
        <v>41</v>
      </c>
      <c r="J384" t="s">
        <v>1245</v>
      </c>
      <c r="K384" t="s">
        <v>43</v>
      </c>
      <c r="L384">
        <v>2</v>
      </c>
      <c r="M384" t="s">
        <v>44</v>
      </c>
      <c r="N384" t="s">
        <v>45</v>
      </c>
      <c r="O384" t="s">
        <v>46</v>
      </c>
      <c r="P384" s="5">
        <v>1</v>
      </c>
      <c r="Q384" s="12">
        <v>44833.656944444447</v>
      </c>
      <c r="R384" s="13">
        <v>44834</v>
      </c>
      <c r="T384" t="s">
        <v>47</v>
      </c>
      <c r="U384" t="s">
        <v>48</v>
      </c>
      <c r="V384" t="s">
        <v>85</v>
      </c>
      <c r="Y384" t="s">
        <v>1246</v>
      </c>
      <c r="Z384">
        <v>56100</v>
      </c>
      <c r="AA384" t="s">
        <v>47</v>
      </c>
      <c r="AB384" t="s">
        <v>58</v>
      </c>
      <c r="AC384" t="s">
        <v>53</v>
      </c>
      <c r="AD384" s="16">
        <f>IF(P384&lt;=1,7,7+0.8*ROUNDUP(P384-1,0))</f>
        <v>7</v>
      </c>
      <c r="AE384" s="15">
        <v>0</v>
      </c>
      <c r="AF384" s="15">
        <v>0</v>
      </c>
      <c r="AG384" s="15">
        <v>0</v>
      </c>
      <c r="AH384" s="15">
        <v>0</v>
      </c>
      <c r="AI384" s="15">
        <f t="shared" si="10"/>
        <v>0.42</v>
      </c>
      <c r="AJ384" s="15">
        <f t="shared" si="11"/>
        <v>7.42</v>
      </c>
      <c r="AK384" t="s">
        <v>47</v>
      </c>
    </row>
    <row r="385" spans="1:37" ht="15" customHeight="1" x14ac:dyDescent="0.35">
      <c r="A385">
        <v>690929</v>
      </c>
      <c r="B385" t="s">
        <v>37</v>
      </c>
      <c r="C385" t="s">
        <v>38</v>
      </c>
      <c r="D385" s="9" t="s">
        <v>39</v>
      </c>
      <c r="E385" s="10" t="s">
        <v>37</v>
      </c>
      <c r="F385" s="11"/>
      <c r="G385" t="s">
        <v>1247</v>
      </c>
      <c r="I385" t="s">
        <v>41</v>
      </c>
      <c r="J385" t="s">
        <v>1248</v>
      </c>
      <c r="K385" t="s">
        <v>43</v>
      </c>
      <c r="L385">
        <v>2</v>
      </c>
      <c r="M385" t="s">
        <v>44</v>
      </c>
      <c r="N385" t="s">
        <v>45</v>
      </c>
      <c r="O385" t="s">
        <v>46</v>
      </c>
      <c r="P385" s="5">
        <v>4</v>
      </c>
      <c r="Q385" s="12">
        <v>44833.502083333333</v>
      </c>
      <c r="R385" s="13">
        <v>44834</v>
      </c>
      <c r="T385" t="s">
        <v>47</v>
      </c>
      <c r="U385" t="s">
        <v>48</v>
      </c>
      <c r="V385" t="s">
        <v>85</v>
      </c>
      <c r="Y385" t="s">
        <v>1249</v>
      </c>
      <c r="Z385">
        <v>40000</v>
      </c>
      <c r="AA385" t="s">
        <v>47</v>
      </c>
      <c r="AB385" t="s">
        <v>1243</v>
      </c>
      <c r="AC385" t="s">
        <v>53</v>
      </c>
      <c r="AD385" s="16">
        <f>IF(P385&lt;=1,7,7+0.8*ROUNDUP(P385-1,0))</f>
        <v>9.4</v>
      </c>
      <c r="AE385" s="15">
        <v>0</v>
      </c>
      <c r="AF385" s="15">
        <v>0</v>
      </c>
      <c r="AG385" s="15">
        <v>0</v>
      </c>
      <c r="AH385" s="15">
        <v>0</v>
      </c>
      <c r="AI385" s="15">
        <f t="shared" si="10"/>
        <v>0.56399999999999995</v>
      </c>
      <c r="AJ385" s="15">
        <f t="shared" si="11"/>
        <v>9.9640000000000004</v>
      </c>
      <c r="AK385" t="s">
        <v>47</v>
      </c>
    </row>
    <row r="386" spans="1:37" ht="15" customHeight="1" x14ac:dyDescent="0.35">
      <c r="A386">
        <v>690929</v>
      </c>
      <c r="B386" t="s">
        <v>37</v>
      </c>
      <c r="C386" t="s">
        <v>38</v>
      </c>
      <c r="D386" s="9" t="s">
        <v>39</v>
      </c>
      <c r="E386" s="10" t="s">
        <v>37</v>
      </c>
      <c r="F386" s="11"/>
      <c r="G386" t="s">
        <v>1250</v>
      </c>
      <c r="I386" t="s">
        <v>41</v>
      </c>
      <c r="J386" t="s">
        <v>705</v>
      </c>
      <c r="K386" t="s">
        <v>43</v>
      </c>
      <c r="L386">
        <v>2</v>
      </c>
      <c r="M386" t="s">
        <v>44</v>
      </c>
      <c r="N386" t="s">
        <v>45</v>
      </c>
      <c r="O386" t="s">
        <v>46</v>
      </c>
      <c r="P386" s="5">
        <v>2</v>
      </c>
      <c r="Q386" s="12">
        <v>44832.685416666667</v>
      </c>
      <c r="R386" s="13">
        <v>44834</v>
      </c>
      <c r="T386" t="s">
        <v>47</v>
      </c>
      <c r="U386" t="s">
        <v>48</v>
      </c>
      <c r="V386" t="s">
        <v>85</v>
      </c>
      <c r="Y386" t="s">
        <v>1251</v>
      </c>
      <c r="Z386">
        <v>46000</v>
      </c>
      <c r="AA386" t="s">
        <v>47</v>
      </c>
      <c r="AB386" t="s">
        <v>403</v>
      </c>
      <c r="AC386" t="s">
        <v>53</v>
      </c>
      <c r="AD386" s="16">
        <f>IF(P386&lt;=1,7,7+0.8*ROUNDUP(P386-1,0))</f>
        <v>7.8</v>
      </c>
      <c r="AE386" s="15">
        <v>0</v>
      </c>
      <c r="AF386" s="15">
        <v>0</v>
      </c>
      <c r="AG386" s="15">
        <v>0</v>
      </c>
      <c r="AH386" s="15">
        <v>0</v>
      </c>
      <c r="AI386" s="15">
        <f t="shared" ref="AI386:AI405" si="12">(AD386+AF386+AH386)*6%</f>
        <v>0.46799999999999997</v>
      </c>
      <c r="AJ386" s="15">
        <f t="shared" ref="AJ386:AJ405" si="13">AD386+AF386+AH386+AI386</f>
        <v>8.2680000000000007</v>
      </c>
      <c r="AK386" t="s">
        <v>47</v>
      </c>
    </row>
    <row r="387" spans="1:37" ht="15" customHeight="1" x14ac:dyDescent="0.35">
      <c r="A387">
        <v>690929</v>
      </c>
      <c r="B387" t="s">
        <v>37</v>
      </c>
      <c r="C387" t="s">
        <v>38</v>
      </c>
      <c r="D387" s="9" t="s">
        <v>39</v>
      </c>
      <c r="E387" s="10" t="s">
        <v>37</v>
      </c>
      <c r="F387" s="11"/>
      <c r="G387" t="s">
        <v>1252</v>
      </c>
      <c r="I387" t="s">
        <v>41</v>
      </c>
      <c r="J387" t="s">
        <v>1253</v>
      </c>
      <c r="K387" t="s">
        <v>43</v>
      </c>
      <c r="L387">
        <v>2</v>
      </c>
      <c r="M387" t="s">
        <v>44</v>
      </c>
      <c r="N387" t="s">
        <v>45</v>
      </c>
      <c r="O387" t="s">
        <v>46</v>
      </c>
      <c r="P387" s="5">
        <v>1</v>
      </c>
      <c r="Q387" s="12">
        <v>44832.692361111112</v>
      </c>
      <c r="R387" s="13">
        <v>44834</v>
      </c>
      <c r="T387" t="s">
        <v>47</v>
      </c>
      <c r="U387" t="s">
        <v>48</v>
      </c>
      <c r="V387" t="s">
        <v>85</v>
      </c>
      <c r="Y387" t="s">
        <v>1254</v>
      </c>
      <c r="Z387">
        <v>47100</v>
      </c>
      <c r="AA387" t="s">
        <v>47</v>
      </c>
      <c r="AB387" t="s">
        <v>1255</v>
      </c>
      <c r="AC387" t="s">
        <v>53</v>
      </c>
      <c r="AD387" s="16">
        <f>IF(P387&lt;=1,7,7+0.8*ROUNDUP(P387-1,0))</f>
        <v>7</v>
      </c>
      <c r="AE387" s="15">
        <v>0</v>
      </c>
      <c r="AF387" s="15">
        <v>0</v>
      </c>
      <c r="AG387" s="15">
        <v>0</v>
      </c>
      <c r="AH387" s="15">
        <v>0</v>
      </c>
      <c r="AI387" s="15">
        <f t="shared" si="12"/>
        <v>0.42</v>
      </c>
      <c r="AJ387" s="15">
        <f t="shared" si="13"/>
        <v>7.42</v>
      </c>
      <c r="AK387" t="s">
        <v>47</v>
      </c>
    </row>
    <row r="388" spans="1:37" ht="15" customHeight="1" x14ac:dyDescent="0.35">
      <c r="A388">
        <v>690929</v>
      </c>
      <c r="B388" t="s">
        <v>37</v>
      </c>
      <c r="C388" t="s">
        <v>38</v>
      </c>
      <c r="D388" s="9" t="s">
        <v>39</v>
      </c>
      <c r="E388" s="10" t="s">
        <v>37</v>
      </c>
      <c r="F388" s="11"/>
      <c r="G388" t="s">
        <v>1256</v>
      </c>
      <c r="I388" t="s">
        <v>41</v>
      </c>
      <c r="J388" t="s">
        <v>1257</v>
      </c>
      <c r="K388" t="s">
        <v>43</v>
      </c>
      <c r="L388">
        <v>2</v>
      </c>
      <c r="M388" t="s">
        <v>44</v>
      </c>
      <c r="N388" t="s">
        <v>45</v>
      </c>
      <c r="O388" t="s">
        <v>46</v>
      </c>
      <c r="P388" s="5">
        <v>1</v>
      </c>
      <c r="Q388" s="12">
        <v>44833.576388888891</v>
      </c>
      <c r="R388" s="13">
        <v>44834</v>
      </c>
      <c r="T388" t="s">
        <v>47</v>
      </c>
      <c r="U388" t="s">
        <v>48</v>
      </c>
      <c r="V388" t="s">
        <v>85</v>
      </c>
      <c r="Y388" t="s">
        <v>1258</v>
      </c>
      <c r="Z388">
        <v>46150</v>
      </c>
      <c r="AA388" t="s">
        <v>47</v>
      </c>
      <c r="AB388" t="s">
        <v>58</v>
      </c>
      <c r="AC388" t="s">
        <v>53</v>
      </c>
      <c r="AD388" s="16">
        <f>IF(P388&lt;=1,7,7+0.8*ROUNDUP(P388-1,0))</f>
        <v>7</v>
      </c>
      <c r="AE388" s="15">
        <v>0</v>
      </c>
      <c r="AF388" s="15">
        <v>0</v>
      </c>
      <c r="AG388" s="15">
        <v>0</v>
      </c>
      <c r="AH388" s="15">
        <v>0</v>
      </c>
      <c r="AI388" s="15">
        <f t="shared" si="12"/>
        <v>0.42</v>
      </c>
      <c r="AJ388" s="15">
        <f t="shared" si="13"/>
        <v>7.42</v>
      </c>
      <c r="AK388" t="s">
        <v>47</v>
      </c>
    </row>
    <row r="389" spans="1:37" ht="15" customHeight="1" x14ac:dyDescent="0.35">
      <c r="A389">
        <v>690929</v>
      </c>
      <c r="B389" t="s">
        <v>37</v>
      </c>
      <c r="C389" t="s">
        <v>38</v>
      </c>
      <c r="D389" s="9" t="s">
        <v>39</v>
      </c>
      <c r="E389" s="10" t="s">
        <v>37</v>
      </c>
      <c r="F389" s="11"/>
      <c r="G389" t="s">
        <v>1259</v>
      </c>
      <c r="I389" t="s">
        <v>41</v>
      </c>
      <c r="J389" t="s">
        <v>1260</v>
      </c>
      <c r="K389" t="s">
        <v>43</v>
      </c>
      <c r="L389">
        <v>2</v>
      </c>
      <c r="M389" t="s">
        <v>44</v>
      </c>
      <c r="N389" t="s">
        <v>45</v>
      </c>
      <c r="O389" t="s">
        <v>46</v>
      </c>
      <c r="P389" s="5">
        <v>1</v>
      </c>
      <c r="Q389" s="12">
        <v>44833.658333333333</v>
      </c>
      <c r="R389" s="13">
        <v>44834</v>
      </c>
      <c r="T389" t="s">
        <v>47</v>
      </c>
      <c r="U389" t="s">
        <v>48</v>
      </c>
      <c r="V389" t="s">
        <v>76</v>
      </c>
      <c r="Y389" t="s">
        <v>1261</v>
      </c>
      <c r="Z389">
        <v>16450</v>
      </c>
      <c r="AA389" t="s">
        <v>47</v>
      </c>
      <c r="AB389" t="s">
        <v>90</v>
      </c>
      <c r="AC389" t="s">
        <v>53</v>
      </c>
      <c r="AD389" s="16">
        <f>IF(P389&lt;=1,7,7+0.8*ROUNDUP(P389-1,0))</f>
        <v>7</v>
      </c>
      <c r="AE389" s="15">
        <v>0</v>
      </c>
      <c r="AF389" s="15">
        <v>0</v>
      </c>
      <c r="AG389" s="15">
        <v>0</v>
      </c>
      <c r="AH389" s="15">
        <v>0</v>
      </c>
      <c r="AI389" s="15">
        <f t="shared" si="12"/>
        <v>0.42</v>
      </c>
      <c r="AJ389" s="15">
        <f t="shared" si="13"/>
        <v>7.42</v>
      </c>
      <c r="AK389" t="s">
        <v>47</v>
      </c>
    </row>
    <row r="390" spans="1:37" ht="15" customHeight="1" x14ac:dyDescent="0.35">
      <c r="A390">
        <v>690929</v>
      </c>
      <c r="B390" t="s">
        <v>37</v>
      </c>
      <c r="C390" t="s">
        <v>38</v>
      </c>
      <c r="D390" s="9" t="s">
        <v>39</v>
      </c>
      <c r="E390" s="10" t="s">
        <v>37</v>
      </c>
      <c r="F390" s="11"/>
      <c r="G390" t="s">
        <v>1262</v>
      </c>
      <c r="I390" t="s">
        <v>41</v>
      </c>
      <c r="J390" t="s">
        <v>1263</v>
      </c>
      <c r="K390" t="s">
        <v>43</v>
      </c>
      <c r="L390">
        <v>2</v>
      </c>
      <c r="M390" t="s">
        <v>44</v>
      </c>
      <c r="N390" t="s">
        <v>45</v>
      </c>
      <c r="O390" t="s">
        <v>46</v>
      </c>
      <c r="P390" s="5">
        <v>1</v>
      </c>
      <c r="Q390" s="12">
        <v>44833.45</v>
      </c>
      <c r="R390" s="13">
        <v>44834</v>
      </c>
      <c r="T390" t="s">
        <v>47</v>
      </c>
      <c r="U390" t="s">
        <v>48</v>
      </c>
      <c r="V390" t="s">
        <v>85</v>
      </c>
      <c r="Y390" t="s">
        <v>1264</v>
      </c>
      <c r="Z390">
        <v>47301</v>
      </c>
      <c r="AA390" t="s">
        <v>47</v>
      </c>
      <c r="AB390" t="s">
        <v>58</v>
      </c>
      <c r="AC390" t="s">
        <v>53</v>
      </c>
      <c r="AD390" s="16">
        <f>IF(P390&lt;=1,7,7+0.8*ROUNDUP(P390-1,0))</f>
        <v>7</v>
      </c>
      <c r="AE390" s="15">
        <v>0</v>
      </c>
      <c r="AF390" s="15">
        <v>0</v>
      </c>
      <c r="AG390" s="15">
        <v>0</v>
      </c>
      <c r="AH390" s="15">
        <v>0</v>
      </c>
      <c r="AI390" s="15">
        <f t="shared" si="12"/>
        <v>0.42</v>
      </c>
      <c r="AJ390" s="15">
        <f t="shared" si="13"/>
        <v>7.42</v>
      </c>
      <c r="AK390" t="s">
        <v>47</v>
      </c>
    </row>
    <row r="391" spans="1:37" ht="15" customHeight="1" x14ac:dyDescent="0.35">
      <c r="A391">
        <v>690929</v>
      </c>
      <c r="B391" t="s">
        <v>37</v>
      </c>
      <c r="C391" t="s">
        <v>38</v>
      </c>
      <c r="D391" s="9" t="s">
        <v>39</v>
      </c>
      <c r="E391" s="10" t="s">
        <v>37</v>
      </c>
      <c r="F391" s="11"/>
      <c r="G391" t="s">
        <v>1265</v>
      </c>
      <c r="I391" t="s">
        <v>41</v>
      </c>
      <c r="J391" t="s">
        <v>1266</v>
      </c>
      <c r="K391" t="s">
        <v>43</v>
      </c>
      <c r="L391">
        <v>2</v>
      </c>
      <c r="M391" t="s">
        <v>44</v>
      </c>
      <c r="N391" t="s">
        <v>45</v>
      </c>
      <c r="O391" t="s">
        <v>46</v>
      </c>
      <c r="P391" s="5">
        <v>1</v>
      </c>
      <c r="Q391" s="12">
        <v>44833.65625</v>
      </c>
      <c r="R391" s="13">
        <v>44834</v>
      </c>
      <c r="T391" t="s">
        <v>47</v>
      </c>
      <c r="U391" t="s">
        <v>48</v>
      </c>
      <c r="V391" t="s">
        <v>85</v>
      </c>
      <c r="Y391" t="s">
        <v>1267</v>
      </c>
      <c r="Z391">
        <v>43000</v>
      </c>
      <c r="AA391" t="s">
        <v>47</v>
      </c>
      <c r="AB391" t="s">
        <v>58</v>
      </c>
      <c r="AC391" t="s">
        <v>53</v>
      </c>
      <c r="AD391" s="16">
        <f>IF(P391&lt;=1,7,7+0.8*ROUNDUP(P391-1,0))</f>
        <v>7</v>
      </c>
      <c r="AE391" s="15">
        <v>0</v>
      </c>
      <c r="AF391" s="15">
        <v>0</v>
      </c>
      <c r="AG391" s="15">
        <v>0</v>
      </c>
      <c r="AH391" s="15">
        <v>0</v>
      </c>
      <c r="AI391" s="15">
        <f t="shared" si="12"/>
        <v>0.42</v>
      </c>
      <c r="AJ391" s="15">
        <f t="shared" si="13"/>
        <v>7.42</v>
      </c>
      <c r="AK391" t="s">
        <v>47</v>
      </c>
    </row>
    <row r="392" spans="1:37" ht="15" customHeight="1" x14ac:dyDescent="0.35">
      <c r="A392">
        <v>690929</v>
      </c>
      <c r="B392" t="s">
        <v>37</v>
      </c>
      <c r="C392" t="s">
        <v>38</v>
      </c>
      <c r="D392" s="9" t="s">
        <v>39</v>
      </c>
      <c r="E392" s="10" t="s">
        <v>37</v>
      </c>
      <c r="F392" s="11"/>
      <c r="G392" t="s">
        <v>1268</v>
      </c>
      <c r="I392" t="s">
        <v>41</v>
      </c>
      <c r="J392" t="s">
        <v>1269</v>
      </c>
      <c r="K392" t="s">
        <v>43</v>
      </c>
      <c r="L392">
        <v>2</v>
      </c>
      <c r="M392" t="s">
        <v>44</v>
      </c>
      <c r="N392" t="s">
        <v>45</v>
      </c>
      <c r="O392" t="s">
        <v>46</v>
      </c>
      <c r="P392" s="5">
        <v>3</v>
      </c>
      <c r="Q392" s="12">
        <v>44832.70208333333</v>
      </c>
      <c r="R392" s="13">
        <v>44834</v>
      </c>
      <c r="T392" t="s">
        <v>47</v>
      </c>
      <c r="U392" t="s">
        <v>48</v>
      </c>
      <c r="V392" t="s">
        <v>65</v>
      </c>
      <c r="Y392" t="s">
        <v>1270</v>
      </c>
      <c r="Z392">
        <v>75050</v>
      </c>
      <c r="AA392" t="s">
        <v>47</v>
      </c>
      <c r="AB392" t="s">
        <v>458</v>
      </c>
      <c r="AC392" t="s">
        <v>53</v>
      </c>
      <c r="AD392" s="16">
        <f>IF(P392&lt;=1,7,7+0.8*ROUNDUP(P392-1,0))</f>
        <v>8.6</v>
      </c>
      <c r="AE392" s="15">
        <v>0</v>
      </c>
      <c r="AF392" s="15">
        <v>0</v>
      </c>
      <c r="AG392" s="15">
        <v>0</v>
      </c>
      <c r="AH392" s="15">
        <v>0</v>
      </c>
      <c r="AI392" s="15">
        <f t="shared" si="12"/>
        <v>0.51600000000000001</v>
      </c>
      <c r="AJ392" s="15">
        <f t="shared" si="13"/>
        <v>9.1159999999999997</v>
      </c>
      <c r="AK392" t="s">
        <v>47</v>
      </c>
    </row>
    <row r="393" spans="1:37" ht="15" customHeight="1" x14ac:dyDescent="0.35">
      <c r="A393">
        <v>690929</v>
      </c>
      <c r="B393" t="s">
        <v>37</v>
      </c>
      <c r="C393" t="s">
        <v>38</v>
      </c>
      <c r="D393" s="9" t="s">
        <v>39</v>
      </c>
      <c r="E393" s="10" t="s">
        <v>37</v>
      </c>
      <c r="F393" s="11"/>
      <c r="G393" t="s">
        <v>1271</v>
      </c>
      <c r="I393" t="s">
        <v>41</v>
      </c>
      <c r="J393" t="s">
        <v>1272</v>
      </c>
      <c r="K393" t="s">
        <v>43</v>
      </c>
      <c r="L393">
        <v>2</v>
      </c>
      <c r="M393" t="s">
        <v>44</v>
      </c>
      <c r="N393" t="s">
        <v>45</v>
      </c>
      <c r="O393" t="s">
        <v>46</v>
      </c>
      <c r="P393" s="5">
        <v>2</v>
      </c>
      <c r="Q393" s="12">
        <v>44832.693749999999</v>
      </c>
      <c r="R393" s="13">
        <v>44834</v>
      </c>
      <c r="T393" t="s">
        <v>47</v>
      </c>
      <c r="U393" t="s">
        <v>48</v>
      </c>
      <c r="V393" t="s">
        <v>119</v>
      </c>
      <c r="Y393" t="s">
        <v>1273</v>
      </c>
      <c r="Z393">
        <v>26060</v>
      </c>
      <c r="AA393" t="s">
        <v>47</v>
      </c>
      <c r="AB393" t="s">
        <v>899</v>
      </c>
      <c r="AC393" t="s">
        <v>53</v>
      </c>
      <c r="AD393" s="16">
        <f>IF(P393&lt;=1,7,7+0.8*ROUNDUP(P393-1,0))</f>
        <v>7.8</v>
      </c>
      <c r="AE393" s="15">
        <v>0</v>
      </c>
      <c r="AF393" s="15">
        <v>0</v>
      </c>
      <c r="AG393" s="15">
        <v>0</v>
      </c>
      <c r="AH393" s="15">
        <v>0</v>
      </c>
      <c r="AI393" s="15">
        <f t="shared" si="12"/>
        <v>0.46799999999999997</v>
      </c>
      <c r="AJ393" s="15">
        <f t="shared" si="13"/>
        <v>8.2680000000000007</v>
      </c>
      <c r="AK393" t="s">
        <v>47</v>
      </c>
    </row>
    <row r="394" spans="1:37" ht="15" customHeight="1" x14ac:dyDescent="0.35">
      <c r="A394">
        <v>690929</v>
      </c>
      <c r="B394" t="s">
        <v>37</v>
      </c>
      <c r="C394" t="s">
        <v>38</v>
      </c>
      <c r="D394" s="9" t="s">
        <v>39</v>
      </c>
      <c r="E394" s="10" t="s">
        <v>37</v>
      </c>
      <c r="F394" s="11"/>
      <c r="G394" t="s">
        <v>1274</v>
      </c>
      <c r="I394" t="s">
        <v>41</v>
      </c>
      <c r="J394" t="s">
        <v>1275</v>
      </c>
      <c r="K394" t="s">
        <v>43</v>
      </c>
      <c r="L394">
        <v>2</v>
      </c>
      <c r="M394" t="s">
        <v>44</v>
      </c>
      <c r="N394" t="s">
        <v>45</v>
      </c>
      <c r="O394" t="s">
        <v>46</v>
      </c>
      <c r="P394" s="5">
        <v>1</v>
      </c>
      <c r="Q394" s="12">
        <v>44832.695138888892</v>
      </c>
      <c r="R394" s="13">
        <v>44834</v>
      </c>
      <c r="T394" t="s">
        <v>47</v>
      </c>
      <c r="U394" t="s">
        <v>48</v>
      </c>
      <c r="V394" t="s">
        <v>119</v>
      </c>
      <c r="Y394" t="s">
        <v>1276</v>
      </c>
      <c r="Z394">
        <v>28200</v>
      </c>
      <c r="AA394" t="s">
        <v>47</v>
      </c>
      <c r="AB394" t="s">
        <v>1277</v>
      </c>
      <c r="AC394" t="s">
        <v>53</v>
      </c>
      <c r="AD394" s="16">
        <f>IF(P394&lt;=1,7,7+0.8*ROUNDUP(P394-1,0))</f>
        <v>7</v>
      </c>
      <c r="AE394" s="15">
        <v>0</v>
      </c>
      <c r="AF394" s="15">
        <v>0</v>
      </c>
      <c r="AG394" s="15">
        <v>0</v>
      </c>
      <c r="AH394" s="15">
        <v>0</v>
      </c>
      <c r="AI394" s="15">
        <f t="shared" si="12"/>
        <v>0.42</v>
      </c>
      <c r="AJ394" s="15">
        <f t="shared" si="13"/>
        <v>7.42</v>
      </c>
      <c r="AK394" t="s">
        <v>47</v>
      </c>
    </row>
    <row r="395" spans="1:37" ht="15" customHeight="1" x14ac:dyDescent="0.35">
      <c r="A395">
        <v>690929</v>
      </c>
      <c r="B395" t="s">
        <v>37</v>
      </c>
      <c r="C395" t="s">
        <v>38</v>
      </c>
      <c r="D395" s="9" t="s">
        <v>39</v>
      </c>
      <c r="E395" s="10" t="s">
        <v>37</v>
      </c>
      <c r="F395" s="11"/>
      <c r="G395" t="s">
        <v>1278</v>
      </c>
      <c r="I395" t="s">
        <v>41</v>
      </c>
      <c r="J395" t="s">
        <v>1279</v>
      </c>
      <c r="K395" t="s">
        <v>43</v>
      </c>
      <c r="L395">
        <v>2</v>
      </c>
      <c r="M395" t="s">
        <v>44</v>
      </c>
      <c r="N395" t="s">
        <v>45</v>
      </c>
      <c r="O395" t="s">
        <v>46</v>
      </c>
      <c r="P395" s="5">
        <v>17</v>
      </c>
      <c r="Q395" s="12">
        <v>44830.717361111114</v>
      </c>
      <c r="R395" s="13">
        <v>44834</v>
      </c>
      <c r="T395" t="s">
        <v>47</v>
      </c>
      <c r="U395" t="s">
        <v>48</v>
      </c>
      <c r="V395" t="s">
        <v>134</v>
      </c>
      <c r="Y395" t="s">
        <v>1280</v>
      </c>
      <c r="Z395">
        <v>96000</v>
      </c>
      <c r="AA395" t="s">
        <v>51</v>
      </c>
      <c r="AB395" t="s">
        <v>58</v>
      </c>
      <c r="AC395" t="s">
        <v>53</v>
      </c>
      <c r="AD395" s="14">
        <f>IF(P395&lt;=1,13,IF(P395&lt;=2,23,IF(P395&lt;=3,35,IF(P395&lt;=4,43,IF(P395&lt;=5,53,IF(P395&lt;=6,63,IF(P395&lt;=7,71,IF(P395&lt;=8,79,IF(P395&lt;=9,87,IF(P395&lt;=10,95,IF(P395&lt;=11,105,IF(P395&lt;=12,114,IF(P395&lt;=13,119,IF(P395&lt;=14,127,IF(P395&lt;=15,135,IF(P395&lt;=16,143,IF(P395&lt;=17,153,IF(P395&lt;=18,163,IF(P395&lt;=19,171,IF(P395&lt;=20,185,IF(P395&lt;=21,193,IF(P395&lt;=22,201,IF(P395&lt;=23,210,IF(P395&lt;=24,220,IF(P395&lt;=25,230,IF(P395&lt;=26,240,IF(P395&lt;=27,250,IF(P395&lt;=28,260,IF(P395&lt;=29,270,IF(P395&lt;=30,280,280))))))))))))))))))))))))))))))</f>
        <v>153</v>
      </c>
      <c r="AE395" s="15">
        <v>0</v>
      </c>
      <c r="AF395" s="15">
        <v>0</v>
      </c>
      <c r="AG395" s="15">
        <v>0</v>
      </c>
      <c r="AH395" s="15">
        <v>0</v>
      </c>
      <c r="AI395" s="15">
        <f t="shared" si="12"/>
        <v>9.18</v>
      </c>
      <c r="AJ395" s="15">
        <f t="shared" si="13"/>
        <v>162.18</v>
      </c>
      <c r="AK395" t="s">
        <v>51</v>
      </c>
    </row>
    <row r="396" spans="1:37" ht="15" customHeight="1" x14ac:dyDescent="0.35">
      <c r="A396">
        <v>690929</v>
      </c>
      <c r="B396" t="s">
        <v>37</v>
      </c>
      <c r="C396" t="s">
        <v>38</v>
      </c>
      <c r="D396" s="9" t="s">
        <v>39</v>
      </c>
      <c r="E396" s="10" t="s">
        <v>37</v>
      </c>
      <c r="F396" s="11"/>
      <c r="G396" t="s">
        <v>1281</v>
      </c>
      <c r="I396" t="s">
        <v>41</v>
      </c>
      <c r="J396" t="s">
        <v>1282</v>
      </c>
      <c r="K396" t="s">
        <v>43</v>
      </c>
      <c r="L396">
        <v>2</v>
      </c>
      <c r="M396" t="s">
        <v>44</v>
      </c>
      <c r="N396" t="s">
        <v>45</v>
      </c>
      <c r="O396" t="s">
        <v>46</v>
      </c>
      <c r="P396" s="5">
        <v>1</v>
      </c>
      <c r="Q396" s="12">
        <v>44833.62777777778</v>
      </c>
      <c r="R396" s="13">
        <v>44834</v>
      </c>
      <c r="T396" t="s">
        <v>47</v>
      </c>
      <c r="U396" t="s">
        <v>48</v>
      </c>
      <c r="V396" t="s">
        <v>190</v>
      </c>
      <c r="Y396" t="s">
        <v>1283</v>
      </c>
      <c r="Z396">
        <v>50480</v>
      </c>
      <c r="AA396" t="s">
        <v>47</v>
      </c>
      <c r="AB396" t="s">
        <v>58</v>
      </c>
      <c r="AC396" t="s">
        <v>53</v>
      </c>
      <c r="AD396" s="16">
        <f>IF(P396&lt;=1,7,7+0.8*ROUNDUP(P396-1,0))</f>
        <v>7</v>
      </c>
      <c r="AE396" s="15">
        <v>0</v>
      </c>
      <c r="AF396" s="15">
        <v>0</v>
      </c>
      <c r="AG396" s="15">
        <v>0</v>
      </c>
      <c r="AH396" s="15">
        <v>0</v>
      </c>
      <c r="AI396" s="15">
        <f t="shared" si="12"/>
        <v>0.42</v>
      </c>
      <c r="AJ396" s="15">
        <f t="shared" si="13"/>
        <v>7.42</v>
      </c>
      <c r="AK396" t="s">
        <v>47</v>
      </c>
    </row>
    <row r="397" spans="1:37" ht="15" customHeight="1" x14ac:dyDescent="0.35">
      <c r="A397">
        <v>690929</v>
      </c>
      <c r="B397" t="s">
        <v>37</v>
      </c>
      <c r="C397" t="s">
        <v>38</v>
      </c>
      <c r="D397" s="9" t="s">
        <v>39</v>
      </c>
      <c r="E397" s="10" t="s">
        <v>37</v>
      </c>
      <c r="F397" s="11"/>
      <c r="G397" t="s">
        <v>1284</v>
      </c>
      <c r="I397" t="s">
        <v>41</v>
      </c>
      <c r="J397" t="s">
        <v>1285</v>
      </c>
      <c r="K397" t="s">
        <v>43</v>
      </c>
      <c r="L397">
        <v>2</v>
      </c>
      <c r="M397" t="s">
        <v>44</v>
      </c>
      <c r="N397" t="s">
        <v>45</v>
      </c>
      <c r="O397" t="s">
        <v>46</v>
      </c>
      <c r="P397" s="5">
        <v>2</v>
      </c>
      <c r="Q397" s="12">
        <v>44832.699305555558</v>
      </c>
      <c r="R397" s="13">
        <v>44834</v>
      </c>
      <c r="T397" t="s">
        <v>47</v>
      </c>
      <c r="U397" t="s">
        <v>48</v>
      </c>
      <c r="V397" t="s">
        <v>119</v>
      </c>
      <c r="Y397" t="s">
        <v>1286</v>
      </c>
      <c r="Z397">
        <v>27200</v>
      </c>
      <c r="AA397" t="s">
        <v>47</v>
      </c>
      <c r="AB397" t="s">
        <v>899</v>
      </c>
      <c r="AC397" t="s">
        <v>53</v>
      </c>
      <c r="AD397" s="16">
        <f>IF(P397&lt;=1,7,7+0.8*ROUNDUP(P397-1,0))</f>
        <v>7.8</v>
      </c>
      <c r="AE397" s="15">
        <v>0</v>
      </c>
      <c r="AF397" s="15">
        <v>0</v>
      </c>
      <c r="AG397" s="15">
        <v>0</v>
      </c>
      <c r="AH397" s="15">
        <v>0</v>
      </c>
      <c r="AI397" s="15">
        <f t="shared" si="12"/>
        <v>0.46799999999999997</v>
      </c>
      <c r="AJ397" s="15">
        <f t="shared" si="13"/>
        <v>8.2680000000000007</v>
      </c>
      <c r="AK397" t="s">
        <v>47</v>
      </c>
    </row>
    <row r="398" spans="1:37" ht="15" customHeight="1" x14ac:dyDescent="0.35">
      <c r="A398">
        <v>690929</v>
      </c>
      <c r="B398" t="s">
        <v>37</v>
      </c>
      <c r="C398" t="s">
        <v>38</v>
      </c>
      <c r="D398" s="9" t="s">
        <v>39</v>
      </c>
      <c r="E398" s="10" t="s">
        <v>37</v>
      </c>
      <c r="F398" s="11"/>
      <c r="G398" t="s">
        <v>1287</v>
      </c>
      <c r="I398" t="s">
        <v>41</v>
      </c>
      <c r="J398" t="s">
        <v>1288</v>
      </c>
      <c r="K398" t="s">
        <v>43</v>
      </c>
      <c r="L398">
        <v>2</v>
      </c>
      <c r="M398" t="s">
        <v>44</v>
      </c>
      <c r="N398" t="s">
        <v>45</v>
      </c>
      <c r="O398" t="s">
        <v>46</v>
      </c>
      <c r="P398" s="5">
        <v>1</v>
      </c>
      <c r="Q398" s="12">
        <v>44832.588194444441</v>
      </c>
      <c r="R398" s="13">
        <v>44834</v>
      </c>
      <c r="T398" t="s">
        <v>47</v>
      </c>
      <c r="U398" t="s">
        <v>48</v>
      </c>
      <c r="V398" t="s">
        <v>56</v>
      </c>
      <c r="Y398" t="s">
        <v>1289</v>
      </c>
      <c r="Z398">
        <v>9000</v>
      </c>
      <c r="AA398" t="s">
        <v>47</v>
      </c>
      <c r="AB398" t="s">
        <v>58</v>
      </c>
      <c r="AC398" t="s">
        <v>53</v>
      </c>
      <c r="AD398" s="16">
        <f>IF(P398&lt;=1,7,7+0.8*ROUNDUP(P398-1,0))</f>
        <v>7</v>
      </c>
      <c r="AE398" s="15">
        <v>0</v>
      </c>
      <c r="AF398" s="15">
        <v>0</v>
      </c>
      <c r="AG398" s="15">
        <v>0</v>
      </c>
      <c r="AH398" s="15">
        <v>0</v>
      </c>
      <c r="AI398" s="15">
        <f t="shared" si="12"/>
        <v>0.42</v>
      </c>
      <c r="AJ398" s="15">
        <f t="shared" si="13"/>
        <v>7.42</v>
      </c>
      <c r="AK398" t="s">
        <v>47</v>
      </c>
    </row>
    <row r="399" spans="1:37" ht="15" customHeight="1" x14ac:dyDescent="0.35">
      <c r="A399">
        <v>690929</v>
      </c>
      <c r="B399" t="s">
        <v>37</v>
      </c>
      <c r="C399" t="s">
        <v>38</v>
      </c>
      <c r="D399" s="9" t="s">
        <v>39</v>
      </c>
      <c r="E399" s="10" t="s">
        <v>37</v>
      </c>
      <c r="F399" s="11"/>
      <c r="G399" t="s">
        <v>1290</v>
      </c>
      <c r="I399" t="s">
        <v>41</v>
      </c>
      <c r="J399" t="s">
        <v>161</v>
      </c>
      <c r="K399" t="s">
        <v>43</v>
      </c>
      <c r="L399">
        <v>2</v>
      </c>
      <c r="M399" t="s">
        <v>44</v>
      </c>
      <c r="N399" t="s">
        <v>45</v>
      </c>
      <c r="O399" t="s">
        <v>46</v>
      </c>
      <c r="P399" s="5">
        <v>2</v>
      </c>
      <c r="Q399" s="12">
        <v>44832.681944444441</v>
      </c>
      <c r="R399" s="13">
        <v>44834</v>
      </c>
      <c r="T399" t="s">
        <v>47</v>
      </c>
      <c r="U399" t="s">
        <v>48</v>
      </c>
      <c r="V399" t="s">
        <v>85</v>
      </c>
      <c r="Y399" t="s">
        <v>1291</v>
      </c>
      <c r="Z399">
        <v>41200</v>
      </c>
      <c r="AA399" t="s">
        <v>47</v>
      </c>
      <c r="AB399" t="s">
        <v>1292</v>
      </c>
      <c r="AC399" t="s">
        <v>53</v>
      </c>
      <c r="AD399" s="16">
        <f>IF(P399&lt;=1,7,7+0.8*ROUNDUP(P399-1,0))</f>
        <v>7.8</v>
      </c>
      <c r="AE399" s="15">
        <v>0</v>
      </c>
      <c r="AF399" s="15">
        <v>0</v>
      </c>
      <c r="AG399" s="15">
        <v>0</v>
      </c>
      <c r="AH399" s="15">
        <v>0</v>
      </c>
      <c r="AI399" s="15">
        <f t="shared" si="12"/>
        <v>0.46799999999999997</v>
      </c>
      <c r="AJ399" s="15">
        <f t="shared" si="13"/>
        <v>8.2680000000000007</v>
      </c>
      <c r="AK399" t="s">
        <v>47</v>
      </c>
    </row>
    <row r="400" spans="1:37" ht="15" customHeight="1" x14ac:dyDescent="0.35">
      <c r="A400">
        <v>690929</v>
      </c>
      <c r="B400" t="s">
        <v>37</v>
      </c>
      <c r="C400" t="s">
        <v>38</v>
      </c>
      <c r="D400" s="9" t="s">
        <v>39</v>
      </c>
      <c r="E400" s="10" t="s">
        <v>37</v>
      </c>
      <c r="F400" s="11"/>
      <c r="G400" t="s">
        <v>1293</v>
      </c>
      <c r="I400" t="s">
        <v>41</v>
      </c>
      <c r="J400" t="s">
        <v>1294</v>
      </c>
      <c r="K400" t="s">
        <v>43</v>
      </c>
      <c r="L400">
        <v>2</v>
      </c>
      <c r="M400" t="s">
        <v>44</v>
      </c>
      <c r="N400" t="s">
        <v>45</v>
      </c>
      <c r="O400" t="s">
        <v>46</v>
      </c>
      <c r="P400" s="5">
        <v>1</v>
      </c>
      <c r="Q400" s="12">
        <v>44831.73333333333</v>
      </c>
      <c r="R400" s="13">
        <v>44834</v>
      </c>
      <c r="T400" t="s">
        <v>47</v>
      </c>
      <c r="U400" t="s">
        <v>48</v>
      </c>
      <c r="V400" t="s">
        <v>93</v>
      </c>
      <c r="Y400" t="s">
        <v>1295</v>
      </c>
      <c r="Z400">
        <v>81000</v>
      </c>
      <c r="AA400" t="s">
        <v>47</v>
      </c>
      <c r="AB400" t="s">
        <v>58</v>
      </c>
      <c r="AC400" t="s">
        <v>53</v>
      </c>
      <c r="AD400" s="16">
        <f>IF(P400&lt;=1,7,7+0.8*ROUNDUP(P400-1,0))</f>
        <v>7</v>
      </c>
      <c r="AE400" s="15">
        <v>0</v>
      </c>
      <c r="AF400" s="15">
        <v>0</v>
      </c>
      <c r="AG400" s="15">
        <v>0</v>
      </c>
      <c r="AH400" s="15">
        <v>0</v>
      </c>
      <c r="AI400" s="15">
        <f t="shared" si="12"/>
        <v>0.42</v>
      </c>
      <c r="AJ400" s="15">
        <f t="shared" si="13"/>
        <v>7.42</v>
      </c>
      <c r="AK400" t="s">
        <v>47</v>
      </c>
    </row>
    <row r="401" spans="1:37" ht="15" customHeight="1" x14ac:dyDescent="0.35">
      <c r="A401">
        <v>690929</v>
      </c>
      <c r="B401" t="s">
        <v>37</v>
      </c>
      <c r="C401" t="s">
        <v>38</v>
      </c>
      <c r="D401" s="9" t="s">
        <v>39</v>
      </c>
      <c r="E401" s="10" t="s">
        <v>37</v>
      </c>
      <c r="F401" s="11"/>
      <c r="G401" t="s">
        <v>1296</v>
      </c>
      <c r="I401" t="s">
        <v>41</v>
      </c>
      <c r="J401" t="s">
        <v>1297</v>
      </c>
      <c r="K401" t="s">
        <v>43</v>
      </c>
      <c r="L401">
        <v>2</v>
      </c>
      <c r="M401" t="s">
        <v>44</v>
      </c>
      <c r="N401" t="s">
        <v>45</v>
      </c>
      <c r="O401" t="s">
        <v>46</v>
      </c>
      <c r="P401" s="5">
        <v>1</v>
      </c>
      <c r="Q401" s="12">
        <v>44833.381944444445</v>
      </c>
      <c r="R401" s="13">
        <v>44834</v>
      </c>
      <c r="T401" t="s">
        <v>47</v>
      </c>
      <c r="U401" t="s">
        <v>48</v>
      </c>
      <c r="V401" t="s">
        <v>119</v>
      </c>
      <c r="Y401" t="s">
        <v>1298</v>
      </c>
      <c r="Z401">
        <v>28000</v>
      </c>
      <c r="AA401" t="s">
        <v>47</v>
      </c>
      <c r="AB401" t="s">
        <v>48</v>
      </c>
      <c r="AC401" t="s">
        <v>53</v>
      </c>
      <c r="AD401" s="16">
        <f>IF(P401&lt;=1,7,7+0.8*ROUNDUP(P401-1,0))</f>
        <v>7</v>
      </c>
      <c r="AE401" s="15">
        <v>0</v>
      </c>
      <c r="AF401" s="15">
        <v>0</v>
      </c>
      <c r="AG401" s="15">
        <v>0</v>
      </c>
      <c r="AH401" s="15">
        <v>0</v>
      </c>
      <c r="AI401" s="15">
        <f t="shared" si="12"/>
        <v>0.42</v>
      </c>
      <c r="AJ401" s="15">
        <f t="shared" si="13"/>
        <v>7.42</v>
      </c>
      <c r="AK401" t="s">
        <v>47</v>
      </c>
    </row>
    <row r="402" spans="1:37" ht="15" customHeight="1" x14ac:dyDescent="0.35">
      <c r="A402">
        <v>690929</v>
      </c>
      <c r="B402" t="s">
        <v>37</v>
      </c>
      <c r="C402" t="s">
        <v>38</v>
      </c>
      <c r="D402" s="9" t="s">
        <v>39</v>
      </c>
      <c r="E402" s="10" t="s">
        <v>37</v>
      </c>
      <c r="F402" s="11"/>
      <c r="G402" t="s">
        <v>1299</v>
      </c>
      <c r="I402" t="s">
        <v>41</v>
      </c>
      <c r="J402" t="s">
        <v>1300</v>
      </c>
      <c r="K402" t="s">
        <v>43</v>
      </c>
      <c r="L402">
        <v>2</v>
      </c>
      <c r="M402" t="s">
        <v>44</v>
      </c>
      <c r="N402" t="s">
        <v>45</v>
      </c>
      <c r="O402" t="s">
        <v>46</v>
      </c>
      <c r="P402" s="5">
        <v>2</v>
      </c>
      <c r="Q402" s="12">
        <v>44832.69027777778</v>
      </c>
      <c r="R402" s="13">
        <v>44834</v>
      </c>
      <c r="T402" t="s">
        <v>47</v>
      </c>
      <c r="U402" t="s">
        <v>48</v>
      </c>
      <c r="V402" t="s">
        <v>72</v>
      </c>
      <c r="Y402" t="s">
        <v>1301</v>
      </c>
      <c r="Z402">
        <v>71010</v>
      </c>
      <c r="AA402" t="s">
        <v>47</v>
      </c>
      <c r="AB402" t="s">
        <v>717</v>
      </c>
      <c r="AC402" t="s">
        <v>53</v>
      </c>
      <c r="AD402" s="16">
        <f>IF(P402&lt;=1,7,7+0.8*ROUNDUP(P402-1,0))</f>
        <v>7.8</v>
      </c>
      <c r="AE402" s="15">
        <v>0</v>
      </c>
      <c r="AF402" s="15">
        <v>0</v>
      </c>
      <c r="AG402" s="15">
        <v>0</v>
      </c>
      <c r="AH402" s="15">
        <v>0</v>
      </c>
      <c r="AI402" s="15">
        <f t="shared" si="12"/>
        <v>0.46799999999999997</v>
      </c>
      <c r="AJ402" s="15">
        <f t="shared" si="13"/>
        <v>8.2680000000000007</v>
      </c>
      <c r="AK402" t="s">
        <v>47</v>
      </c>
    </row>
    <row r="403" spans="1:37" ht="15" customHeight="1" x14ac:dyDescent="0.35">
      <c r="A403">
        <v>690929</v>
      </c>
      <c r="B403" t="s">
        <v>37</v>
      </c>
      <c r="C403" t="s">
        <v>38</v>
      </c>
      <c r="D403" s="9" t="s">
        <v>39</v>
      </c>
      <c r="E403" s="10" t="s">
        <v>37</v>
      </c>
      <c r="F403" s="11"/>
      <c r="G403" t="s">
        <v>1302</v>
      </c>
      <c r="I403" t="s">
        <v>41</v>
      </c>
      <c r="J403" t="s">
        <v>1303</v>
      </c>
      <c r="K403" t="s">
        <v>43</v>
      </c>
      <c r="L403">
        <v>2</v>
      </c>
      <c r="M403" t="s">
        <v>44</v>
      </c>
      <c r="N403" t="s">
        <v>45</v>
      </c>
      <c r="O403" t="s">
        <v>46</v>
      </c>
      <c r="P403" s="5">
        <v>1</v>
      </c>
      <c r="Q403" s="12">
        <v>44833.380555555559</v>
      </c>
      <c r="R403" s="13">
        <v>44834</v>
      </c>
      <c r="T403" t="s">
        <v>47</v>
      </c>
      <c r="U403" t="s">
        <v>48</v>
      </c>
      <c r="V403" t="s">
        <v>119</v>
      </c>
      <c r="Y403" t="s">
        <v>1304</v>
      </c>
      <c r="Z403">
        <v>28000</v>
      </c>
      <c r="AA403" t="s">
        <v>47</v>
      </c>
      <c r="AB403" t="s">
        <v>48</v>
      </c>
      <c r="AC403" t="s">
        <v>53</v>
      </c>
      <c r="AD403" s="16">
        <f>IF(P403&lt;=1,7,7+0.8*ROUNDUP(P403-1,0))</f>
        <v>7</v>
      </c>
      <c r="AE403" s="15">
        <v>0</v>
      </c>
      <c r="AF403" s="15">
        <v>0</v>
      </c>
      <c r="AG403" s="15">
        <v>0</v>
      </c>
      <c r="AH403" s="15">
        <v>0</v>
      </c>
      <c r="AI403" s="15">
        <f t="shared" si="12"/>
        <v>0.42</v>
      </c>
      <c r="AJ403" s="15">
        <f t="shared" si="13"/>
        <v>7.42</v>
      </c>
      <c r="AK403" t="s">
        <v>47</v>
      </c>
    </row>
    <row r="404" spans="1:37" ht="15" customHeight="1" x14ac:dyDescent="0.35">
      <c r="A404">
        <v>690929</v>
      </c>
      <c r="B404" t="s">
        <v>37</v>
      </c>
      <c r="C404" t="s">
        <v>38</v>
      </c>
      <c r="D404" s="9" t="s">
        <v>39</v>
      </c>
      <c r="E404" s="10" t="s">
        <v>37</v>
      </c>
      <c r="F404" s="11"/>
      <c r="G404" t="s">
        <v>1305</v>
      </c>
      <c r="I404" t="s">
        <v>41</v>
      </c>
      <c r="J404" t="s">
        <v>1306</v>
      </c>
      <c r="K404" t="s">
        <v>43</v>
      </c>
      <c r="L404">
        <v>2</v>
      </c>
      <c r="M404" t="s">
        <v>44</v>
      </c>
      <c r="N404" t="s">
        <v>45</v>
      </c>
      <c r="O404" t="s">
        <v>46</v>
      </c>
      <c r="P404" s="5">
        <v>1</v>
      </c>
      <c r="Q404" s="12">
        <v>44832.696527777778</v>
      </c>
      <c r="R404" s="13">
        <v>44834</v>
      </c>
      <c r="T404" t="s">
        <v>47</v>
      </c>
      <c r="U404" t="s">
        <v>48</v>
      </c>
      <c r="V404" t="s">
        <v>300</v>
      </c>
      <c r="Y404" t="s">
        <v>1307</v>
      </c>
      <c r="Z404">
        <v>24000</v>
      </c>
      <c r="AA404" t="s">
        <v>47</v>
      </c>
      <c r="AB404" t="s">
        <v>899</v>
      </c>
      <c r="AC404" t="s">
        <v>53</v>
      </c>
      <c r="AD404" s="16">
        <f>IF(P404&lt;=1,7,7+0.8*ROUNDUP(P404-1,0))</f>
        <v>7</v>
      </c>
      <c r="AE404" s="15">
        <v>0</v>
      </c>
      <c r="AF404" s="15">
        <v>0</v>
      </c>
      <c r="AG404" s="15">
        <v>0</v>
      </c>
      <c r="AH404" s="15">
        <v>0</v>
      </c>
      <c r="AI404" s="15">
        <f t="shared" si="12"/>
        <v>0.42</v>
      </c>
      <c r="AJ404" s="15">
        <f t="shared" si="13"/>
        <v>7.42</v>
      </c>
      <c r="AK404" t="s">
        <v>47</v>
      </c>
    </row>
    <row r="405" spans="1:37" ht="15" customHeight="1" x14ac:dyDescent="0.35">
      <c r="A405">
        <v>690929</v>
      </c>
      <c r="B405" t="s">
        <v>37</v>
      </c>
      <c r="C405" t="s">
        <v>38</v>
      </c>
      <c r="D405" s="9" t="s">
        <v>39</v>
      </c>
      <c r="E405" s="10" t="s">
        <v>37</v>
      </c>
      <c r="F405" s="11"/>
      <c r="G405" t="s">
        <v>1308</v>
      </c>
      <c r="I405" t="s">
        <v>41</v>
      </c>
      <c r="J405" t="s">
        <v>1309</v>
      </c>
      <c r="K405" t="s">
        <v>43</v>
      </c>
      <c r="L405">
        <v>2</v>
      </c>
      <c r="M405" t="s">
        <v>44</v>
      </c>
      <c r="N405" t="s">
        <v>45</v>
      </c>
      <c r="O405" t="s">
        <v>46</v>
      </c>
      <c r="P405" s="5">
        <v>1</v>
      </c>
      <c r="Q405" s="12">
        <v>44833.384027777778</v>
      </c>
      <c r="R405" s="13">
        <v>44834</v>
      </c>
      <c r="T405" t="s">
        <v>47</v>
      </c>
      <c r="U405" t="s">
        <v>48</v>
      </c>
      <c r="V405" t="s">
        <v>85</v>
      </c>
      <c r="Y405" t="s">
        <v>1310</v>
      </c>
      <c r="Z405">
        <v>62050</v>
      </c>
      <c r="AA405" t="s">
        <v>47</v>
      </c>
      <c r="AB405" t="s">
        <v>58</v>
      </c>
      <c r="AC405" t="s">
        <v>53</v>
      </c>
      <c r="AD405" s="16">
        <f>IF(P405&lt;=1,7,7+0.8*ROUNDUP(P405-1,0))</f>
        <v>7</v>
      </c>
      <c r="AE405" s="15">
        <v>0</v>
      </c>
      <c r="AF405" s="15">
        <v>0</v>
      </c>
      <c r="AG405" s="15">
        <v>0</v>
      </c>
      <c r="AH405" s="15">
        <v>0</v>
      </c>
      <c r="AI405" s="15">
        <f t="shared" si="12"/>
        <v>0.42</v>
      </c>
      <c r="AJ405" s="15">
        <f t="shared" si="13"/>
        <v>7.42</v>
      </c>
      <c r="AK405" t="s">
        <v>47</v>
      </c>
    </row>
    <row r="407" spans="1:37" x14ac:dyDescent="0.35">
      <c r="AD407" s="17">
        <f>SUM(AD2:AD405)</f>
        <v>3632.0000000000027</v>
      </c>
      <c r="AE407" s="18">
        <f>SUM(AE2:AE405)</f>
        <v>0</v>
      </c>
      <c r="AF407" s="18">
        <f>SUM(AF2:AF405)</f>
        <v>0</v>
      </c>
      <c r="AG407" s="18">
        <f>SUM(AG2:AG405)</f>
        <v>0</v>
      </c>
      <c r="AH407" s="18">
        <f>SUM(AH2:AH405)</f>
        <v>0</v>
      </c>
      <c r="AI407" s="18">
        <f>SUM(AI2:AI405)</f>
        <v>217.91999999999877</v>
      </c>
      <c r="AJ407" s="18">
        <f>SUM(AJ2:AJ405)</f>
        <v>3849.9200000000114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2022-10-07T01:46:54Z</dcterms:created>
  <dcterms:modified xsi:type="dcterms:W3CDTF">2022-10-07T01:46:54Z</dcterms:modified>
</cp:coreProperties>
</file>