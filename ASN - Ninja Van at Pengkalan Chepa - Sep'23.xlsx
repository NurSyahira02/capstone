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NJAVAN\BILLING 2023\Sep'23\Billing\ASN\Split\ASN Walk-in\"/>
    </mc:Choice>
  </mc:AlternateContent>
  <xr:revisionPtr revIDLastSave="0" documentId="8_{08207726-B81F-4489-ADDF-B60937A0F097}" xr6:coauthVersionLast="47" xr6:coauthVersionMax="47" xr10:uidLastSave="{00000000-0000-0000-0000-000000000000}"/>
  <bookViews>
    <workbookView xWindow="-110" yWindow="490" windowWidth="19420" windowHeight="10420" xr2:uid="{CCD788E5-73E9-4F81-B7DB-284883B9DD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10" i="1" l="1"/>
  <c r="AF410" i="1"/>
  <c r="AE410" i="1"/>
  <c r="AD410" i="1"/>
  <c r="AC410" i="1"/>
  <c r="AB410" i="1"/>
  <c r="AA410" i="1"/>
  <c r="AA408" i="1"/>
  <c r="AA407" i="1"/>
  <c r="AF406" i="1"/>
  <c r="AG406" i="1" s="1"/>
  <c r="AA406" i="1"/>
  <c r="AF405" i="1"/>
  <c r="AA405" i="1"/>
  <c r="AG405" i="1" s="1"/>
  <c r="AF404" i="1"/>
  <c r="AA404" i="1"/>
  <c r="AG403" i="1"/>
  <c r="AF403" i="1"/>
  <c r="AA403" i="1"/>
  <c r="AG402" i="1"/>
  <c r="AF402" i="1"/>
  <c r="AA402" i="1"/>
  <c r="AG401" i="1"/>
  <c r="AF401" i="1"/>
  <c r="AA401" i="1"/>
  <c r="AA400" i="1"/>
  <c r="AA399" i="1"/>
  <c r="AF398" i="1"/>
  <c r="AG398" i="1" s="1"/>
  <c r="AA398" i="1"/>
  <c r="AF397" i="1"/>
  <c r="AA397" i="1"/>
  <c r="AG397" i="1" s="1"/>
  <c r="AA396" i="1"/>
  <c r="AG395" i="1"/>
  <c r="AF395" i="1"/>
  <c r="AA395" i="1"/>
  <c r="AG394" i="1"/>
  <c r="AF394" i="1"/>
  <c r="AA394" i="1"/>
  <c r="AA393" i="1"/>
  <c r="AA392" i="1"/>
  <c r="AA391" i="1"/>
  <c r="AF390" i="1"/>
  <c r="AG390" i="1" s="1"/>
  <c r="AA390" i="1"/>
  <c r="AF389" i="1"/>
  <c r="AA389" i="1"/>
  <c r="AG389" i="1" s="1"/>
  <c r="AF388" i="1"/>
  <c r="AA388" i="1"/>
  <c r="AG387" i="1"/>
  <c r="AF387" i="1"/>
  <c r="AA387" i="1"/>
  <c r="AG386" i="1"/>
  <c r="AF386" i="1"/>
  <c r="AA386" i="1"/>
  <c r="AA385" i="1"/>
  <c r="AA384" i="1"/>
  <c r="AA383" i="1"/>
  <c r="AG382" i="1"/>
  <c r="AF382" i="1"/>
  <c r="AA382" i="1"/>
  <c r="AF381" i="1"/>
  <c r="AA381" i="1"/>
  <c r="AG381" i="1" s="1"/>
  <c r="AA380" i="1"/>
  <c r="AG379" i="1"/>
  <c r="AA379" i="1"/>
  <c r="AF379" i="1" s="1"/>
  <c r="AG378" i="1"/>
  <c r="AF378" i="1"/>
  <c r="AA378" i="1"/>
  <c r="AA377" i="1"/>
  <c r="AA376" i="1"/>
  <c r="AA375" i="1"/>
  <c r="AF374" i="1"/>
  <c r="AG374" i="1" s="1"/>
  <c r="AA374" i="1"/>
  <c r="AF373" i="1"/>
  <c r="AA373" i="1"/>
  <c r="AG373" i="1" s="1"/>
  <c r="AA372" i="1"/>
  <c r="AG371" i="1"/>
  <c r="AA371" i="1"/>
  <c r="AF371" i="1" s="1"/>
  <c r="AG370" i="1"/>
  <c r="AF370" i="1"/>
  <c r="AA370" i="1"/>
  <c r="AA369" i="1"/>
  <c r="AA368" i="1"/>
  <c r="AA367" i="1"/>
  <c r="AF366" i="1"/>
  <c r="AG366" i="1" s="1"/>
  <c r="AA366" i="1"/>
  <c r="AF365" i="1"/>
  <c r="AA365" i="1"/>
  <c r="AG365" i="1" s="1"/>
  <c r="AF364" i="1"/>
  <c r="AA364" i="1"/>
  <c r="AA363" i="1"/>
  <c r="AF363" i="1" s="1"/>
  <c r="AG363" i="1" s="1"/>
  <c r="AG362" i="1"/>
  <c r="AF362" i="1"/>
  <c r="AA362" i="1"/>
  <c r="AF361" i="1"/>
  <c r="AG361" i="1" s="1"/>
  <c r="AA361" i="1"/>
  <c r="AA360" i="1"/>
  <c r="AA359" i="1"/>
  <c r="AG358" i="1"/>
  <c r="AF358" i="1"/>
  <c r="AA358" i="1"/>
  <c r="AF357" i="1"/>
  <c r="AA357" i="1"/>
  <c r="AG357" i="1" s="1"/>
  <c r="AF356" i="1"/>
  <c r="AA356" i="1"/>
  <c r="AA355" i="1"/>
  <c r="AF355" i="1" s="1"/>
  <c r="AG355" i="1" s="1"/>
  <c r="AG354" i="1"/>
  <c r="AF354" i="1"/>
  <c r="AA354" i="1"/>
  <c r="AG353" i="1"/>
  <c r="AF353" i="1"/>
  <c r="AA353" i="1"/>
  <c r="AA352" i="1"/>
  <c r="AA351" i="1"/>
  <c r="AF350" i="1"/>
  <c r="AG350" i="1" s="1"/>
  <c r="AA350" i="1"/>
  <c r="AF349" i="1"/>
  <c r="AA349" i="1"/>
  <c r="AG349" i="1" s="1"/>
  <c r="AA348" i="1"/>
  <c r="AG347" i="1"/>
  <c r="AA347" i="1"/>
  <c r="AF347" i="1" s="1"/>
  <c r="AG346" i="1"/>
  <c r="AF346" i="1"/>
  <c r="AA346" i="1"/>
  <c r="AA345" i="1"/>
  <c r="AF345" i="1" s="1"/>
  <c r="AG345" i="1" s="1"/>
  <c r="AA344" i="1"/>
  <c r="AA343" i="1"/>
  <c r="AF342" i="1"/>
  <c r="AG342" i="1" s="1"/>
  <c r="AA342" i="1"/>
  <c r="AF341" i="1"/>
  <c r="AA341" i="1"/>
  <c r="AG341" i="1" s="1"/>
  <c r="AA340" i="1"/>
  <c r="AA339" i="1"/>
  <c r="AF339" i="1" s="1"/>
  <c r="AG339" i="1" s="1"/>
  <c r="AE338" i="1"/>
  <c r="AA338" i="1"/>
  <c r="AG337" i="1"/>
  <c r="AF337" i="1"/>
  <c r="AA337" i="1"/>
  <c r="AF336" i="1"/>
  <c r="AA336" i="1"/>
  <c r="AG336" i="1" s="1"/>
  <c r="AA335" i="1"/>
  <c r="AG334" i="1"/>
  <c r="AA334" i="1"/>
  <c r="AF334" i="1" s="1"/>
  <c r="AG333" i="1"/>
  <c r="AF333" i="1"/>
  <c r="AA333" i="1"/>
  <c r="AA332" i="1"/>
  <c r="AA331" i="1"/>
  <c r="AA330" i="1"/>
  <c r="AF329" i="1"/>
  <c r="AG329" i="1" s="1"/>
  <c r="AA329" i="1"/>
  <c r="AF328" i="1"/>
  <c r="AA328" i="1"/>
  <c r="AG328" i="1" s="1"/>
  <c r="AA327" i="1"/>
  <c r="AF327" i="1" s="1"/>
  <c r="AG326" i="1"/>
  <c r="AA326" i="1"/>
  <c r="AF326" i="1" s="1"/>
  <c r="AG325" i="1"/>
  <c r="AF325" i="1"/>
  <c r="AA325" i="1"/>
  <c r="AA324" i="1"/>
  <c r="AF324" i="1" s="1"/>
  <c r="AA323" i="1"/>
  <c r="AA322" i="1"/>
  <c r="AF321" i="1"/>
  <c r="AG321" i="1" s="1"/>
  <c r="AA321" i="1"/>
  <c r="AF320" i="1"/>
  <c r="AA320" i="1"/>
  <c r="AG320" i="1" s="1"/>
  <c r="AF319" i="1"/>
  <c r="AA319" i="1"/>
  <c r="AA318" i="1"/>
  <c r="AF318" i="1" s="1"/>
  <c r="AG318" i="1" s="1"/>
  <c r="AG317" i="1"/>
  <c r="AF317" i="1"/>
  <c r="AA317" i="1"/>
  <c r="AF316" i="1"/>
  <c r="AG316" i="1" s="1"/>
  <c r="AA316" i="1"/>
  <c r="AA315" i="1"/>
  <c r="AA314" i="1"/>
  <c r="AG313" i="1"/>
  <c r="AF313" i="1"/>
  <c r="AA313" i="1"/>
  <c r="AF312" i="1"/>
  <c r="AA312" i="1"/>
  <c r="AG312" i="1" s="1"/>
  <c r="AF311" i="1"/>
  <c r="AA311" i="1"/>
  <c r="AA310" i="1"/>
  <c r="AF310" i="1" s="1"/>
  <c r="AG310" i="1" s="1"/>
  <c r="AG309" i="1"/>
  <c r="AF309" i="1"/>
  <c r="AA309" i="1"/>
  <c r="AG308" i="1"/>
  <c r="AF308" i="1"/>
  <c r="AA308" i="1"/>
  <c r="AA307" i="1"/>
  <c r="AA306" i="1"/>
  <c r="AF305" i="1"/>
  <c r="AG305" i="1" s="1"/>
  <c r="AA305" i="1"/>
  <c r="AF304" i="1"/>
  <c r="AA304" i="1"/>
  <c r="AG304" i="1" s="1"/>
  <c r="AF303" i="1"/>
  <c r="AA303" i="1"/>
  <c r="AG302" i="1"/>
  <c r="AA302" i="1"/>
  <c r="AF302" i="1" s="1"/>
  <c r="AG301" i="1"/>
  <c r="AF301" i="1"/>
  <c r="AA301" i="1"/>
  <c r="AG300" i="1"/>
  <c r="AF300" i="1"/>
  <c r="AA300" i="1"/>
  <c r="AA299" i="1"/>
  <c r="AA298" i="1"/>
  <c r="AF297" i="1"/>
  <c r="AG297" i="1" s="1"/>
  <c r="AA297" i="1"/>
  <c r="AF296" i="1"/>
  <c r="AA296" i="1"/>
  <c r="AG296" i="1" s="1"/>
  <c r="AA295" i="1"/>
  <c r="AG294" i="1"/>
  <c r="AF294" i="1"/>
  <c r="AA294" i="1"/>
  <c r="AG293" i="1"/>
  <c r="AF293" i="1"/>
  <c r="AA293" i="1"/>
  <c r="AF292" i="1"/>
  <c r="AG292" i="1" s="1"/>
  <c r="AA292" i="1"/>
  <c r="AA291" i="1"/>
  <c r="AA290" i="1"/>
  <c r="AG289" i="1"/>
  <c r="AF289" i="1"/>
  <c r="AA289" i="1"/>
  <c r="AF288" i="1"/>
  <c r="AA288" i="1"/>
  <c r="AG288" i="1" s="1"/>
  <c r="AA287" i="1"/>
  <c r="AG286" i="1"/>
  <c r="AF286" i="1"/>
  <c r="AA286" i="1"/>
  <c r="AG285" i="1"/>
  <c r="AF285" i="1"/>
  <c r="AA285" i="1"/>
  <c r="AA284" i="1"/>
  <c r="AA283" i="1"/>
  <c r="AA282" i="1"/>
  <c r="AF281" i="1"/>
  <c r="AG281" i="1" s="1"/>
  <c r="AA281" i="1"/>
  <c r="AA280" i="1"/>
  <c r="AA279" i="1"/>
  <c r="AF279" i="1" s="1"/>
  <c r="AG278" i="1"/>
  <c r="AF278" i="1"/>
  <c r="AA278" i="1"/>
  <c r="AF277" i="1"/>
  <c r="AG277" i="1" s="1"/>
  <c r="AA277" i="1"/>
  <c r="AA276" i="1"/>
  <c r="AA275" i="1"/>
  <c r="AA274" i="1"/>
  <c r="AF273" i="1"/>
  <c r="AG273" i="1" s="1"/>
  <c r="AA273" i="1"/>
  <c r="AA272" i="1"/>
  <c r="AA271" i="1"/>
  <c r="AF271" i="1" s="1"/>
  <c r="AG270" i="1"/>
  <c r="AA270" i="1"/>
  <c r="AF270" i="1" s="1"/>
  <c r="AF269" i="1"/>
  <c r="AG269" i="1" s="1"/>
  <c r="AA269" i="1"/>
  <c r="AA268" i="1"/>
  <c r="AA267" i="1"/>
  <c r="AA266" i="1"/>
  <c r="AG265" i="1"/>
  <c r="AF265" i="1"/>
  <c r="AA265" i="1"/>
  <c r="AF264" i="1"/>
  <c r="AA264" i="1"/>
  <c r="AG264" i="1" s="1"/>
  <c r="AA263" i="1"/>
  <c r="AG262" i="1"/>
  <c r="AA262" i="1"/>
  <c r="AF262" i="1" s="1"/>
  <c r="AG261" i="1"/>
  <c r="AF261" i="1"/>
  <c r="AA261" i="1"/>
  <c r="AA260" i="1"/>
  <c r="AA259" i="1"/>
  <c r="AA258" i="1"/>
  <c r="AG257" i="1"/>
  <c r="AF257" i="1"/>
  <c r="AA257" i="1"/>
  <c r="AF256" i="1"/>
  <c r="AA256" i="1"/>
  <c r="AG256" i="1" s="1"/>
  <c r="AA255" i="1"/>
  <c r="AG254" i="1"/>
  <c r="AA254" i="1"/>
  <c r="AF254" i="1" s="1"/>
  <c r="AG253" i="1"/>
  <c r="AF253" i="1"/>
  <c r="AA253" i="1"/>
  <c r="AA252" i="1"/>
  <c r="AF252" i="1" s="1"/>
  <c r="AA251" i="1"/>
  <c r="AA250" i="1"/>
  <c r="AF249" i="1"/>
  <c r="AG249" i="1" s="1"/>
  <c r="AA249" i="1"/>
  <c r="AF248" i="1"/>
  <c r="AA248" i="1"/>
  <c r="AG248" i="1" s="1"/>
  <c r="AF247" i="1"/>
  <c r="AA247" i="1"/>
  <c r="AA246" i="1"/>
  <c r="AF246" i="1" s="1"/>
  <c r="AG246" i="1" s="1"/>
  <c r="AG245" i="1"/>
  <c r="AF245" i="1"/>
  <c r="AA245" i="1"/>
  <c r="AF244" i="1"/>
  <c r="AG244" i="1" s="1"/>
  <c r="AA244" i="1"/>
  <c r="AE243" i="1"/>
  <c r="AA243" i="1"/>
  <c r="AF242" i="1"/>
  <c r="AA242" i="1"/>
  <c r="AA241" i="1"/>
  <c r="AF241" i="1" s="1"/>
  <c r="AG241" i="1" s="1"/>
  <c r="AG240" i="1"/>
  <c r="AF240" i="1"/>
  <c r="AA240" i="1"/>
  <c r="AF239" i="1"/>
  <c r="AG239" i="1" s="1"/>
  <c r="AA239" i="1"/>
  <c r="AA238" i="1"/>
  <c r="AA237" i="1"/>
  <c r="AG236" i="1"/>
  <c r="AF236" i="1"/>
  <c r="AA236" i="1"/>
  <c r="AF235" i="1"/>
  <c r="AA235" i="1"/>
  <c r="AG235" i="1" s="1"/>
  <c r="AA234" i="1"/>
  <c r="AA233" i="1"/>
  <c r="AF233" i="1" s="1"/>
  <c r="AG233" i="1" s="1"/>
  <c r="AG232" i="1"/>
  <c r="AF232" i="1"/>
  <c r="AA232" i="1"/>
  <c r="AA231" i="1"/>
  <c r="AA230" i="1"/>
  <c r="AA229" i="1"/>
  <c r="AG228" i="1"/>
  <c r="AF228" i="1"/>
  <c r="AA228" i="1"/>
  <c r="AF227" i="1"/>
  <c r="AA227" i="1"/>
  <c r="AG227" i="1" s="1"/>
  <c r="AA226" i="1"/>
  <c r="AF226" i="1" s="1"/>
  <c r="AG225" i="1"/>
  <c r="AA225" i="1"/>
  <c r="AF225" i="1" s="1"/>
  <c r="AG224" i="1"/>
  <c r="AF224" i="1"/>
  <c r="AA224" i="1"/>
  <c r="AA223" i="1"/>
  <c r="AA222" i="1"/>
  <c r="AA221" i="1"/>
  <c r="AF220" i="1"/>
  <c r="AG220" i="1" s="1"/>
  <c r="AA220" i="1"/>
  <c r="AA219" i="1"/>
  <c r="AA218" i="1"/>
  <c r="AF218" i="1" s="1"/>
  <c r="AG217" i="1"/>
  <c r="AA217" i="1"/>
  <c r="AF217" i="1" s="1"/>
  <c r="AF216" i="1"/>
  <c r="AG216" i="1" s="1"/>
  <c r="AA216" i="1"/>
  <c r="AA215" i="1"/>
  <c r="AA214" i="1"/>
  <c r="AA213" i="1"/>
  <c r="AG212" i="1"/>
  <c r="AF212" i="1"/>
  <c r="AA212" i="1"/>
  <c r="AF211" i="1"/>
  <c r="AA211" i="1"/>
  <c r="AG211" i="1" s="1"/>
  <c r="AA210" i="1"/>
  <c r="AF210" i="1" s="1"/>
  <c r="AG209" i="1"/>
  <c r="AA209" i="1"/>
  <c r="AF209" i="1" s="1"/>
  <c r="AG208" i="1"/>
  <c r="AF208" i="1"/>
  <c r="AA208" i="1"/>
  <c r="AA207" i="1"/>
  <c r="AA206" i="1"/>
  <c r="AA205" i="1"/>
  <c r="AG204" i="1"/>
  <c r="AF204" i="1"/>
  <c r="AA204" i="1"/>
  <c r="AF203" i="1"/>
  <c r="AA203" i="1"/>
  <c r="AG203" i="1" s="1"/>
  <c r="AA202" i="1"/>
  <c r="AF202" i="1" s="1"/>
  <c r="AG201" i="1"/>
  <c r="AA201" i="1"/>
  <c r="AF201" i="1" s="1"/>
  <c r="AG200" i="1"/>
  <c r="AF200" i="1"/>
  <c r="AA200" i="1"/>
  <c r="AA199" i="1"/>
  <c r="AF199" i="1" s="1"/>
  <c r="AA198" i="1"/>
  <c r="AA197" i="1"/>
  <c r="AF196" i="1"/>
  <c r="AG196" i="1" s="1"/>
  <c r="AA196" i="1"/>
  <c r="AF195" i="1"/>
  <c r="AA195" i="1"/>
  <c r="AG195" i="1" s="1"/>
  <c r="AF194" i="1"/>
  <c r="AA194" i="1"/>
  <c r="AG193" i="1"/>
  <c r="AA193" i="1"/>
  <c r="AF193" i="1" s="1"/>
  <c r="AG192" i="1"/>
  <c r="AF192" i="1"/>
  <c r="AA192" i="1"/>
  <c r="AF191" i="1"/>
  <c r="AG191" i="1" s="1"/>
  <c r="AA191" i="1"/>
  <c r="AA190" i="1"/>
  <c r="AA189" i="1"/>
  <c r="AF188" i="1"/>
  <c r="AG188" i="1" s="1"/>
  <c r="AA188" i="1"/>
  <c r="AF187" i="1"/>
  <c r="AA187" i="1"/>
  <c r="AG187" i="1" s="1"/>
  <c r="AF186" i="1"/>
  <c r="AA186" i="1"/>
  <c r="AG185" i="1"/>
  <c r="AF185" i="1"/>
  <c r="AA185" i="1"/>
  <c r="AG184" i="1"/>
  <c r="AF184" i="1"/>
  <c r="AA184" i="1"/>
  <c r="AG183" i="1"/>
  <c r="AF183" i="1"/>
  <c r="AA183" i="1"/>
  <c r="AA182" i="1"/>
  <c r="AA181" i="1"/>
  <c r="AF180" i="1"/>
  <c r="AG180" i="1" s="1"/>
  <c r="AA180" i="1"/>
  <c r="AF179" i="1"/>
  <c r="AA179" i="1"/>
  <c r="AG179" i="1" s="1"/>
  <c r="AF178" i="1"/>
  <c r="AA178" i="1"/>
  <c r="AA177" i="1"/>
  <c r="AF177" i="1" s="1"/>
  <c r="AG177" i="1" s="1"/>
  <c r="AF176" i="1"/>
  <c r="AG176" i="1" s="1"/>
  <c r="AA176" i="1"/>
  <c r="AG175" i="1"/>
  <c r="AF175" i="1"/>
  <c r="AA175" i="1"/>
  <c r="AA174" i="1"/>
  <c r="AA173" i="1"/>
  <c r="AF172" i="1"/>
  <c r="AG172" i="1" s="1"/>
  <c r="AA172" i="1"/>
  <c r="AA171" i="1"/>
  <c r="AF170" i="1"/>
  <c r="AA170" i="1"/>
  <c r="AA169" i="1"/>
  <c r="AF169" i="1" s="1"/>
  <c r="AG169" i="1" s="1"/>
  <c r="AF168" i="1"/>
  <c r="AG168" i="1" s="1"/>
  <c r="AA168" i="1"/>
  <c r="AA167" i="1"/>
  <c r="AF167" i="1" s="1"/>
  <c r="AG167" i="1" s="1"/>
  <c r="AA166" i="1"/>
  <c r="AA165" i="1"/>
  <c r="AF164" i="1"/>
  <c r="AG164" i="1" s="1"/>
  <c r="AA164" i="1"/>
  <c r="AF163" i="1"/>
  <c r="AA163" i="1"/>
  <c r="AG163" i="1" s="1"/>
  <c r="AF162" i="1"/>
  <c r="AA162" i="1"/>
  <c r="AA161" i="1"/>
  <c r="AF161" i="1" s="1"/>
  <c r="AG161" i="1" s="1"/>
  <c r="AG160" i="1"/>
  <c r="AF160" i="1"/>
  <c r="AA160" i="1"/>
  <c r="AG159" i="1"/>
  <c r="AF159" i="1"/>
  <c r="AA159" i="1"/>
  <c r="AA158" i="1"/>
  <c r="AA157" i="1"/>
  <c r="AF156" i="1"/>
  <c r="AG156" i="1" s="1"/>
  <c r="AA156" i="1"/>
  <c r="AA155" i="1"/>
  <c r="AF154" i="1"/>
  <c r="AA154" i="1"/>
  <c r="AA153" i="1"/>
  <c r="AF153" i="1" s="1"/>
  <c r="AG153" i="1" s="1"/>
  <c r="AA152" i="1"/>
  <c r="AF151" i="1"/>
  <c r="AG151" i="1" s="1"/>
  <c r="AA151" i="1"/>
  <c r="AA150" i="1"/>
  <c r="AA149" i="1"/>
  <c r="AF148" i="1"/>
  <c r="AG148" i="1" s="1"/>
  <c r="AA148" i="1"/>
  <c r="AA147" i="1"/>
  <c r="AF146" i="1"/>
  <c r="AA146" i="1"/>
  <c r="AG145" i="1"/>
  <c r="AA145" i="1"/>
  <c r="AF145" i="1" s="1"/>
  <c r="AA144" i="1"/>
  <c r="AA143" i="1"/>
  <c r="AF142" i="1"/>
  <c r="AA142" i="1"/>
  <c r="AG142" i="1" s="1"/>
  <c r="AA141" i="1"/>
  <c r="AG140" i="1"/>
  <c r="AF140" i="1"/>
  <c r="AA140" i="1"/>
  <c r="AA139" i="1"/>
  <c r="AF139" i="1" s="1"/>
  <c r="AG139" i="1" s="1"/>
  <c r="AA138" i="1"/>
  <c r="AG137" i="1"/>
  <c r="AA137" i="1"/>
  <c r="AF137" i="1" s="1"/>
  <c r="AA136" i="1"/>
  <c r="AA135" i="1"/>
  <c r="AF134" i="1"/>
  <c r="AA134" i="1"/>
  <c r="AG134" i="1" s="1"/>
  <c r="AA133" i="1"/>
  <c r="AG132" i="1"/>
  <c r="AF132" i="1"/>
  <c r="AA132" i="1"/>
  <c r="AA131" i="1"/>
  <c r="AF131" i="1" s="1"/>
  <c r="AG131" i="1" s="1"/>
  <c r="AA130" i="1"/>
  <c r="AF130" i="1" s="1"/>
  <c r="AG129" i="1"/>
  <c r="AA129" i="1"/>
  <c r="AF129" i="1" s="1"/>
  <c r="AA128" i="1"/>
  <c r="AA127" i="1"/>
  <c r="AF126" i="1"/>
  <c r="AA126" i="1"/>
  <c r="AG126" i="1" s="1"/>
  <c r="AA125" i="1"/>
  <c r="AG124" i="1"/>
  <c r="AF124" i="1"/>
  <c r="AA124" i="1"/>
  <c r="AA123" i="1"/>
  <c r="AF123" i="1" s="1"/>
  <c r="AG123" i="1" s="1"/>
  <c r="AA122" i="1"/>
  <c r="AA121" i="1"/>
  <c r="AF121" i="1" s="1"/>
  <c r="AG121" i="1" s="1"/>
  <c r="AF120" i="1"/>
  <c r="AG120" i="1" s="1"/>
  <c r="AA120" i="1"/>
  <c r="AF119" i="1"/>
  <c r="AA119" i="1"/>
  <c r="AG119" i="1" s="1"/>
  <c r="AF118" i="1"/>
  <c r="AA118" i="1"/>
  <c r="AG118" i="1" s="1"/>
  <c r="AA117" i="1"/>
  <c r="AG116" i="1"/>
  <c r="AF116" i="1"/>
  <c r="AA116" i="1"/>
  <c r="AA115" i="1"/>
  <c r="AF115" i="1" s="1"/>
  <c r="AG115" i="1" s="1"/>
  <c r="AA114" i="1"/>
  <c r="AA113" i="1"/>
  <c r="AF113" i="1" s="1"/>
  <c r="AG113" i="1" s="1"/>
  <c r="AF112" i="1"/>
  <c r="AG112" i="1" s="1"/>
  <c r="AA112" i="1"/>
  <c r="AA111" i="1"/>
  <c r="AF110" i="1"/>
  <c r="AA110" i="1"/>
  <c r="AG110" i="1" s="1"/>
  <c r="AA109" i="1"/>
  <c r="AG108" i="1"/>
  <c r="AF108" i="1"/>
  <c r="AA108" i="1"/>
  <c r="AA107" i="1"/>
  <c r="AF107" i="1" s="1"/>
  <c r="AG107" i="1" s="1"/>
  <c r="AA106" i="1"/>
  <c r="AA105" i="1"/>
  <c r="AF105" i="1" s="1"/>
  <c r="AG105" i="1" s="1"/>
  <c r="AA104" i="1"/>
  <c r="AA103" i="1"/>
  <c r="AF103" i="1" s="1"/>
  <c r="AG103" i="1" s="1"/>
  <c r="AF102" i="1"/>
  <c r="AA102" i="1"/>
  <c r="AG102" i="1" s="1"/>
  <c r="AA101" i="1"/>
  <c r="AG100" i="1"/>
  <c r="AF100" i="1"/>
  <c r="AA100" i="1"/>
  <c r="AA99" i="1"/>
  <c r="AF99" i="1" s="1"/>
  <c r="AG99" i="1" s="1"/>
  <c r="AF98" i="1"/>
  <c r="AA98" i="1"/>
  <c r="AA97" i="1"/>
  <c r="AF97" i="1" s="1"/>
  <c r="AG97" i="1" s="1"/>
  <c r="AA96" i="1"/>
  <c r="AG95" i="1"/>
  <c r="AF95" i="1"/>
  <c r="AA95" i="1"/>
  <c r="AF94" i="1"/>
  <c r="AA94" i="1"/>
  <c r="AG94" i="1" s="1"/>
  <c r="AA93" i="1"/>
  <c r="AF92" i="1"/>
  <c r="AG92" i="1" s="1"/>
  <c r="AA92" i="1"/>
  <c r="AA91" i="1"/>
  <c r="AF91" i="1" s="1"/>
  <c r="AG91" i="1" s="1"/>
  <c r="AA90" i="1"/>
  <c r="AA89" i="1"/>
  <c r="AF89" i="1" s="1"/>
  <c r="AG89" i="1" s="1"/>
  <c r="AA88" i="1"/>
  <c r="AG87" i="1"/>
  <c r="AF87" i="1"/>
  <c r="AA87" i="1"/>
  <c r="AF86" i="1"/>
  <c r="AA86" i="1"/>
  <c r="AG86" i="1" s="1"/>
  <c r="AA85" i="1"/>
  <c r="AF84" i="1"/>
  <c r="AG84" i="1" s="1"/>
  <c r="AA84" i="1"/>
  <c r="AA83" i="1"/>
  <c r="AF83" i="1" s="1"/>
  <c r="AG83" i="1" s="1"/>
  <c r="AA82" i="1"/>
  <c r="AA81" i="1"/>
  <c r="AF81" i="1" s="1"/>
  <c r="AA80" i="1"/>
  <c r="AA79" i="1"/>
  <c r="AF79" i="1" s="1"/>
  <c r="AG79" i="1" s="1"/>
  <c r="AF78" i="1"/>
  <c r="AA78" i="1"/>
  <c r="AG78" i="1" s="1"/>
  <c r="AA77" i="1"/>
  <c r="AF76" i="1"/>
  <c r="AG76" i="1" s="1"/>
  <c r="AA76" i="1"/>
  <c r="AA75" i="1"/>
  <c r="AF75" i="1" s="1"/>
  <c r="AG75" i="1" s="1"/>
  <c r="AA74" i="1"/>
  <c r="AA73" i="1"/>
  <c r="AF73" i="1" s="1"/>
  <c r="AA72" i="1"/>
  <c r="AA71" i="1"/>
  <c r="AF71" i="1" s="1"/>
  <c r="AG71" i="1" s="1"/>
  <c r="AF70" i="1"/>
  <c r="AA70" i="1"/>
  <c r="AG70" i="1" s="1"/>
  <c r="AA69" i="1"/>
  <c r="AF68" i="1"/>
  <c r="AG68" i="1" s="1"/>
  <c r="AA68" i="1"/>
  <c r="AF67" i="1"/>
  <c r="AG67" i="1" s="1"/>
  <c r="AA67" i="1"/>
  <c r="AA66" i="1"/>
  <c r="AA65" i="1"/>
  <c r="AF65" i="1" s="1"/>
  <c r="AF64" i="1"/>
  <c r="AG64" i="1" s="1"/>
  <c r="AA64" i="1"/>
  <c r="AA63" i="1"/>
  <c r="AF62" i="1"/>
  <c r="AG62" i="1" s="1"/>
  <c r="AA62" i="1"/>
  <c r="AA61" i="1"/>
  <c r="AF61" i="1" s="1"/>
  <c r="AG61" i="1" s="1"/>
  <c r="AA60" i="1"/>
  <c r="AA59" i="1"/>
  <c r="AF59" i="1" s="1"/>
  <c r="AG59" i="1" s="1"/>
  <c r="AA58" i="1"/>
  <c r="AA57" i="1"/>
  <c r="AF57" i="1" s="1"/>
  <c r="AF56" i="1"/>
  <c r="AG56" i="1" s="1"/>
  <c r="AA56" i="1"/>
  <c r="AA55" i="1"/>
  <c r="AF54" i="1"/>
  <c r="AG54" i="1" s="1"/>
  <c r="AA54" i="1"/>
  <c r="AA53" i="1"/>
  <c r="AF53" i="1" s="1"/>
  <c r="AG53" i="1" s="1"/>
  <c r="AA52" i="1"/>
  <c r="AA51" i="1"/>
  <c r="AF51" i="1" s="1"/>
  <c r="AG51" i="1" s="1"/>
  <c r="AA50" i="1"/>
  <c r="AA49" i="1"/>
  <c r="AF49" i="1" s="1"/>
  <c r="AF48" i="1"/>
  <c r="AG48" i="1" s="1"/>
  <c r="AA48" i="1"/>
  <c r="AA47" i="1"/>
  <c r="AF46" i="1"/>
  <c r="AG46" i="1" s="1"/>
  <c r="AA46" i="1"/>
  <c r="AA45" i="1"/>
  <c r="AF45" i="1" s="1"/>
  <c r="AG45" i="1" s="1"/>
  <c r="AA44" i="1"/>
  <c r="AA43" i="1"/>
  <c r="AF43" i="1" s="1"/>
  <c r="AG43" i="1" s="1"/>
  <c r="AA42" i="1"/>
  <c r="AA41" i="1"/>
  <c r="AF41" i="1" s="1"/>
  <c r="AF40" i="1"/>
  <c r="AA40" i="1"/>
  <c r="AG40" i="1" s="1"/>
  <c r="AA39" i="1"/>
  <c r="AF38" i="1"/>
  <c r="AG38" i="1" s="1"/>
  <c r="AA38" i="1"/>
  <c r="AA37" i="1"/>
  <c r="AF37" i="1" s="1"/>
  <c r="AG37" i="1" s="1"/>
  <c r="AA36" i="1"/>
  <c r="AA35" i="1"/>
  <c r="AF35" i="1" s="1"/>
  <c r="AG35" i="1" s="1"/>
  <c r="AA34" i="1"/>
  <c r="AA33" i="1"/>
  <c r="AF33" i="1" s="1"/>
  <c r="AF32" i="1"/>
  <c r="AA32" i="1"/>
  <c r="AG32" i="1" s="1"/>
  <c r="AA31" i="1"/>
  <c r="AF30" i="1"/>
  <c r="AG30" i="1" s="1"/>
  <c r="AA30" i="1"/>
  <c r="AA29" i="1"/>
  <c r="AA28" i="1"/>
  <c r="AA27" i="1"/>
  <c r="AF27" i="1" s="1"/>
  <c r="AG27" i="1" s="1"/>
  <c r="AF26" i="1"/>
  <c r="AG26" i="1" s="1"/>
  <c r="AA26" i="1"/>
  <c r="AA25" i="1"/>
  <c r="AF25" i="1" s="1"/>
  <c r="AF24" i="1"/>
  <c r="AA24" i="1"/>
  <c r="AG24" i="1" s="1"/>
  <c r="AA23" i="1"/>
  <c r="AF22" i="1"/>
  <c r="AG22" i="1" s="1"/>
  <c r="AA22" i="1"/>
  <c r="AF21" i="1"/>
  <c r="AG21" i="1" s="1"/>
  <c r="AA21" i="1"/>
  <c r="AA20" i="1"/>
  <c r="AA19" i="1"/>
  <c r="AF19" i="1" s="1"/>
  <c r="AG19" i="1" s="1"/>
  <c r="AF18" i="1"/>
  <c r="AG18" i="1" s="1"/>
  <c r="AA18" i="1"/>
  <c r="AA17" i="1"/>
  <c r="AA16" i="1"/>
  <c r="AA15" i="1"/>
  <c r="AF14" i="1"/>
  <c r="AG14" i="1" s="1"/>
  <c r="AA14" i="1"/>
  <c r="AA13" i="1"/>
  <c r="AA12" i="1"/>
  <c r="AA11" i="1"/>
  <c r="AF11" i="1" s="1"/>
  <c r="AG11" i="1" s="1"/>
  <c r="AF10" i="1"/>
  <c r="AG10" i="1" s="1"/>
  <c r="AA10" i="1"/>
  <c r="AA9" i="1"/>
  <c r="AF9" i="1" s="1"/>
  <c r="AA8" i="1"/>
  <c r="AA7" i="1"/>
  <c r="AF6" i="1"/>
  <c r="AG6" i="1" s="1"/>
  <c r="AA6" i="1"/>
  <c r="AF5" i="1"/>
  <c r="AA5" i="1"/>
  <c r="AG5" i="1" s="1"/>
  <c r="AA4" i="1"/>
  <c r="AA3" i="1"/>
  <c r="AF3" i="1" s="1"/>
  <c r="AG3" i="1" s="1"/>
  <c r="AF2" i="1"/>
  <c r="AG2" i="1" s="1"/>
  <c r="AA2" i="1"/>
  <c r="AG42" i="1" l="1"/>
  <c r="AG385" i="1"/>
  <c r="AG50" i="1"/>
  <c r="AG63" i="1"/>
  <c r="AG60" i="1"/>
  <c r="AG260" i="1"/>
  <c r="AG58" i="1"/>
  <c r="AG135" i="1"/>
  <c r="AG55" i="1"/>
  <c r="AG4" i="1"/>
  <c r="AF125" i="1"/>
  <c r="AG125" i="1" s="1"/>
  <c r="AF213" i="1"/>
  <c r="AG213" i="1" s="1"/>
  <c r="AF17" i="1"/>
  <c r="AG17" i="1" s="1"/>
  <c r="AG290" i="1"/>
  <c r="AF290" i="1"/>
  <c r="AF369" i="1"/>
  <c r="AG369" i="1" s="1"/>
  <c r="AG9" i="1"/>
  <c r="AF12" i="1"/>
  <c r="AG12" i="1" s="1"/>
  <c r="AF20" i="1"/>
  <c r="AG20" i="1" s="1"/>
  <c r="AG25" i="1"/>
  <c r="AF28" i="1"/>
  <c r="AG28" i="1" s="1"/>
  <c r="AG33" i="1"/>
  <c r="AF36" i="1"/>
  <c r="AG36" i="1" s="1"/>
  <c r="AG41" i="1"/>
  <c r="AF44" i="1"/>
  <c r="AG44" i="1" s="1"/>
  <c r="AG49" i="1"/>
  <c r="AF52" i="1"/>
  <c r="AG52" i="1" s="1"/>
  <c r="AG57" i="1"/>
  <c r="AF60" i="1"/>
  <c r="AF93" i="1"/>
  <c r="AG93" i="1" s="1"/>
  <c r="AF143" i="1"/>
  <c r="AG143" i="1" s="1"/>
  <c r="AG152" i="1"/>
  <c r="AG199" i="1"/>
  <c r="AF207" i="1"/>
  <c r="AG207" i="1" s="1"/>
  <c r="AF223" i="1"/>
  <c r="AG223" i="1" s="1"/>
  <c r="AG252" i="1"/>
  <c r="AF260" i="1"/>
  <c r="AF263" i="1"/>
  <c r="AG263" i="1" s="1"/>
  <c r="AF276" i="1"/>
  <c r="AG276" i="1" s="1"/>
  <c r="AF284" i="1"/>
  <c r="AG284" i="1" s="1"/>
  <c r="AG324" i="1"/>
  <c r="AF332" i="1"/>
  <c r="AG332" i="1" s="1"/>
  <c r="AF335" i="1"/>
  <c r="AG335" i="1" s="1"/>
  <c r="AF377" i="1"/>
  <c r="AG377" i="1" s="1"/>
  <c r="AF380" i="1"/>
  <c r="AG380" i="1" s="1"/>
  <c r="AF391" i="1"/>
  <c r="AG391" i="1" s="1"/>
  <c r="AG266" i="1"/>
  <c r="AF266" i="1"/>
  <c r="AF101" i="1"/>
  <c r="AG101" i="1" s="1"/>
  <c r="AG226" i="1"/>
  <c r="AF4" i="1"/>
  <c r="AF7" i="1"/>
  <c r="AG7" i="1" s="1"/>
  <c r="AF15" i="1"/>
  <c r="AG15" i="1" s="1"/>
  <c r="AF23" i="1"/>
  <c r="AG23" i="1" s="1"/>
  <c r="AF31" i="1"/>
  <c r="AG31" i="1" s="1"/>
  <c r="AF39" i="1"/>
  <c r="AG39" i="1" s="1"/>
  <c r="AF47" i="1"/>
  <c r="AG47" i="1" s="1"/>
  <c r="AF55" i="1"/>
  <c r="AF63" i="1"/>
  <c r="AF66" i="1"/>
  <c r="AG66" i="1" s="1"/>
  <c r="AF69" i="1"/>
  <c r="AG69" i="1" s="1"/>
  <c r="AG73" i="1"/>
  <c r="AG77" i="1"/>
  <c r="AF77" i="1"/>
  <c r="AG81" i="1"/>
  <c r="AF85" i="1"/>
  <c r="AG85" i="1" s="1"/>
  <c r="AG98" i="1"/>
  <c r="AF106" i="1"/>
  <c r="AG106" i="1" s="1"/>
  <c r="AF114" i="1"/>
  <c r="AG114" i="1" s="1"/>
  <c r="AF122" i="1"/>
  <c r="AG122" i="1" s="1"/>
  <c r="AF135" i="1"/>
  <c r="AF157" i="1"/>
  <c r="AG157" i="1" s="1"/>
  <c r="AG173" i="1"/>
  <c r="AF173" i="1"/>
  <c r="AF181" i="1"/>
  <c r="AG181" i="1" s="1"/>
  <c r="AF215" i="1"/>
  <c r="AG215" i="1" s="1"/>
  <c r="AF231" i="1"/>
  <c r="AG231" i="1" s="1"/>
  <c r="AF234" i="1"/>
  <c r="AG234" i="1" s="1"/>
  <c r="AG242" i="1"/>
  <c r="AF268" i="1"/>
  <c r="AG268" i="1" s="1"/>
  <c r="AG280" i="1"/>
  <c r="AF287" i="1"/>
  <c r="AG287" i="1" s="1"/>
  <c r="AG298" i="1"/>
  <c r="AF298" i="1"/>
  <c r="AF343" i="1"/>
  <c r="AG343" i="1" s="1"/>
  <c r="AF385" i="1"/>
  <c r="AG388" i="1"/>
  <c r="AG392" i="1"/>
  <c r="AG109" i="1"/>
  <c r="AF109" i="1"/>
  <c r="AF229" i="1"/>
  <c r="AG229" i="1" s="1"/>
  <c r="AG130" i="1"/>
  <c r="AF237" i="1"/>
  <c r="AG237" i="1" s="1"/>
  <c r="AG271" i="1"/>
  <c r="AF34" i="1"/>
  <c r="AG34" i="1" s="1"/>
  <c r="AF42" i="1"/>
  <c r="AF50" i="1"/>
  <c r="AF58" i="1"/>
  <c r="AG74" i="1"/>
  <c r="AG82" i="1"/>
  <c r="AG90" i="1"/>
  <c r="AF111" i="1"/>
  <c r="AG111" i="1" s="1"/>
  <c r="AF127" i="1"/>
  <c r="AG127" i="1" s="1"/>
  <c r="AF165" i="1"/>
  <c r="AG165" i="1" s="1"/>
  <c r="AG178" i="1"/>
  <c r="AG306" i="1"/>
  <c r="AF306" i="1"/>
  <c r="AG344" i="1"/>
  <c r="AG351" i="1"/>
  <c r="AF351" i="1"/>
  <c r="AF399" i="1"/>
  <c r="AG399" i="1" s="1"/>
  <c r="AG202" i="1"/>
  <c r="AF383" i="1"/>
  <c r="AG383" i="1" s="1"/>
  <c r="AG80" i="1"/>
  <c r="AG218" i="1"/>
  <c r="AF13" i="1"/>
  <c r="AG13" i="1" s="1"/>
  <c r="AF29" i="1"/>
  <c r="AG29" i="1" s="1"/>
  <c r="AF74" i="1"/>
  <c r="AF82" i="1"/>
  <c r="AF90" i="1"/>
  <c r="AG136" i="1"/>
  <c r="AG149" i="1"/>
  <c r="AF149" i="1"/>
  <c r="AG154" i="1"/>
  <c r="AG162" i="1"/>
  <c r="AG170" i="1"/>
  <c r="AF189" i="1"/>
  <c r="AG189" i="1" s="1"/>
  <c r="AF295" i="1"/>
  <c r="AG295" i="1" s="1"/>
  <c r="AG303" i="1"/>
  <c r="AF314" i="1"/>
  <c r="AG314" i="1" s="1"/>
  <c r="AF340" i="1"/>
  <c r="AG340" i="1" s="1"/>
  <c r="AG348" i="1"/>
  <c r="AF359" i="1"/>
  <c r="AG359" i="1" s="1"/>
  <c r="AF393" i="1"/>
  <c r="AG393" i="1" s="1"/>
  <c r="AF117" i="1"/>
  <c r="AG117" i="1" s="1"/>
  <c r="AG327" i="1"/>
  <c r="AG65" i="1"/>
  <c r="AF255" i="1"/>
  <c r="AG255" i="1" s="1"/>
  <c r="AG279" i="1"/>
  <c r="AF372" i="1"/>
  <c r="AG372" i="1" s="1"/>
  <c r="AF16" i="1"/>
  <c r="AG16" i="1" s="1"/>
  <c r="AF141" i="1"/>
  <c r="AG141" i="1" s="1"/>
  <c r="AG150" i="1"/>
  <c r="AG186" i="1"/>
  <c r="AF197" i="1"/>
  <c r="AG197" i="1" s="1"/>
  <c r="AG250" i="1"/>
  <c r="AF250" i="1"/>
  <c r="AG311" i="1"/>
  <c r="AG315" i="1"/>
  <c r="AG322" i="1"/>
  <c r="AF322" i="1"/>
  <c r="AF348" i="1"/>
  <c r="AG356" i="1"/>
  <c r="AF367" i="1"/>
  <c r="AG367" i="1" s="1"/>
  <c r="AF396" i="1"/>
  <c r="AG396" i="1" s="1"/>
  <c r="AG407" i="1"/>
  <c r="AF407" i="1"/>
  <c r="AF338" i="1"/>
  <c r="AG338" i="1" s="1"/>
  <c r="AF138" i="1"/>
  <c r="AG138" i="1" s="1"/>
  <c r="AG210" i="1"/>
  <c r="AF8" i="1"/>
  <c r="AG8" i="1" s="1"/>
  <c r="AG104" i="1"/>
  <c r="AG133" i="1"/>
  <c r="AF133" i="1"/>
  <c r="AG146" i="1"/>
  <c r="AG194" i="1"/>
  <c r="AG198" i="1"/>
  <c r="AG205" i="1"/>
  <c r="AF205" i="1"/>
  <c r="AF221" i="1"/>
  <c r="AG221" i="1" s="1"/>
  <c r="AG247" i="1"/>
  <c r="AF258" i="1"/>
  <c r="AG258" i="1" s="1"/>
  <c r="AG274" i="1"/>
  <c r="AF274" i="1"/>
  <c r="AF282" i="1"/>
  <c r="AG282" i="1" s="1"/>
  <c r="AG319" i="1"/>
  <c r="AF330" i="1"/>
  <c r="AG330" i="1" s="1"/>
  <c r="AG364" i="1"/>
  <c r="AF375" i="1"/>
  <c r="AG375" i="1" s="1"/>
  <c r="AG404" i="1"/>
  <c r="AF72" i="1"/>
  <c r="AG72" i="1" s="1"/>
  <c r="AF80" i="1"/>
  <c r="AF88" i="1"/>
  <c r="AG88" i="1" s="1"/>
  <c r="AF96" i="1"/>
  <c r="AG96" i="1" s="1"/>
  <c r="AF104" i="1"/>
  <c r="AF128" i="1"/>
  <c r="AG128" i="1" s="1"/>
  <c r="AF136" i="1"/>
  <c r="AF144" i="1"/>
  <c r="AG144" i="1" s="1"/>
  <c r="AF152" i="1"/>
  <c r="AF147" i="1"/>
  <c r="AG147" i="1" s="1"/>
  <c r="AF155" i="1"/>
  <c r="AG155" i="1" s="1"/>
  <c r="AF171" i="1"/>
  <c r="AG171" i="1" s="1"/>
  <c r="AF219" i="1"/>
  <c r="AG219" i="1" s="1"/>
  <c r="AF272" i="1"/>
  <c r="AG272" i="1" s="1"/>
  <c r="AF280" i="1"/>
  <c r="AF150" i="1"/>
  <c r="AF158" i="1"/>
  <c r="AG158" i="1" s="1"/>
  <c r="AF166" i="1"/>
  <c r="AG166" i="1" s="1"/>
  <c r="AF174" i="1"/>
  <c r="AG174" i="1" s="1"/>
  <c r="AF182" i="1"/>
  <c r="AG182" i="1" s="1"/>
  <c r="AF190" i="1"/>
  <c r="AG190" i="1" s="1"/>
  <c r="AF198" i="1"/>
  <c r="AF206" i="1"/>
  <c r="AG206" i="1" s="1"/>
  <c r="AF214" i="1"/>
  <c r="AG214" i="1" s="1"/>
  <c r="AF222" i="1"/>
  <c r="AG222" i="1" s="1"/>
  <c r="AF230" i="1"/>
  <c r="AG230" i="1" s="1"/>
  <c r="AF238" i="1"/>
  <c r="AG238" i="1" s="1"/>
  <c r="AF243" i="1"/>
  <c r="AG243" i="1" s="1"/>
  <c r="AF251" i="1"/>
  <c r="AG251" i="1" s="1"/>
  <c r="AF259" i="1"/>
  <c r="AG259" i="1" s="1"/>
  <c r="AF267" i="1"/>
  <c r="AG267" i="1" s="1"/>
  <c r="AF275" i="1"/>
  <c r="AG275" i="1" s="1"/>
  <c r="AF283" i="1"/>
  <c r="AG283" i="1" s="1"/>
  <c r="AF291" i="1"/>
  <c r="AG291" i="1" s="1"/>
  <c r="AF299" i="1"/>
  <c r="AG299" i="1" s="1"/>
  <c r="AF307" i="1"/>
  <c r="AG307" i="1" s="1"/>
  <c r="AF315" i="1"/>
  <c r="AF323" i="1"/>
  <c r="AG323" i="1" s="1"/>
  <c r="AF331" i="1"/>
  <c r="AG331" i="1" s="1"/>
  <c r="AF344" i="1"/>
  <c r="AF352" i="1"/>
  <c r="AG352" i="1" s="1"/>
  <c r="AF360" i="1"/>
  <c r="AG360" i="1" s="1"/>
  <c r="AF368" i="1"/>
  <c r="AG368" i="1" s="1"/>
  <c r="AF376" i="1"/>
  <c r="AG376" i="1" s="1"/>
  <c r="AF384" i="1"/>
  <c r="AG384" i="1" s="1"/>
  <c r="AF392" i="1"/>
  <c r="AF400" i="1"/>
  <c r="AG400" i="1" s="1"/>
  <c r="AF408" i="1"/>
  <c r="AG408" i="1" s="1"/>
</calcChain>
</file>

<file path=xl/sharedStrings.xml><?xml version="1.0" encoding="utf-8"?>
<sst xmlns="http://schemas.openxmlformats.org/spreadsheetml/2006/main" count="8174" uniqueCount="1334">
  <si>
    <t>Global Shipper ID</t>
  </si>
  <si>
    <t>Legacy Shipper ID</t>
  </si>
  <si>
    <t>Shipper Name</t>
  </si>
  <si>
    <t>Billing Name</t>
  </si>
  <si>
    <t>ASN Agent</t>
  </si>
  <si>
    <t>Tracking ID</t>
  </si>
  <si>
    <t>Shipper Order Ref</t>
  </si>
  <si>
    <t>Order Granular Status</t>
  </si>
  <si>
    <t>Customer Name</t>
  </si>
  <si>
    <t>Delivery Type Name</t>
  </si>
  <si>
    <t>Delivery Type ID</t>
  </si>
  <si>
    <t>Service Type</t>
  </si>
  <si>
    <t>Service Level</t>
  </si>
  <si>
    <t>Parcel Size ID</t>
  </si>
  <si>
    <t>Billing Weight</t>
  </si>
  <si>
    <t>Create Time</t>
  </si>
  <si>
    <t>Delivery Date</t>
  </si>
  <si>
    <t>From City</t>
  </si>
  <si>
    <t>From Billing Zone</t>
  </si>
  <si>
    <t>Origin Hub</t>
  </si>
  <si>
    <t>L1 Name</t>
  </si>
  <si>
    <t>To Address</t>
  </si>
  <si>
    <t>To Postcode</t>
  </si>
  <si>
    <t>To Billing Zone</t>
  </si>
  <si>
    <t>Destination Hub</t>
  </si>
  <si>
    <t>FIN.FINANCE</t>
  </si>
  <si>
    <t>Actual delivery_fee</t>
  </si>
  <si>
    <t>cod_collected</t>
  </si>
  <si>
    <t>cod_fee</t>
  </si>
  <si>
    <t>insured_value</t>
  </si>
  <si>
    <t>insurance_fee</t>
  </si>
  <si>
    <t>SST (6%)</t>
  </si>
  <si>
    <t>Total Charge</t>
  </si>
  <si>
    <t>Country</t>
  </si>
  <si>
    <t>ASN - Ninja Van at Pengkalan Chepa</t>
  </si>
  <si>
    <t>NAHKHODA LINK EXPRESS</t>
  </si>
  <si>
    <t>NVMY34535000006594</t>
  </si>
  <si>
    <t/>
  </si>
  <si>
    <t>Completed</t>
  </si>
  <si>
    <t>NIK HASBOLLAH</t>
  </si>
  <si>
    <t>DELIVERY_THREE_DAYS_ANYTIME</t>
  </si>
  <si>
    <t>Parcel</t>
  </si>
  <si>
    <t>STANDARD</t>
  </si>
  <si>
    <t>SMALL</t>
  </si>
  <si>
    <t>WMSIA</t>
  </si>
  <si>
    <t>KBR1-KBR1</t>
  </si>
  <si>
    <t>Pahang</t>
  </si>
  <si>
    <t>NIK IKAN BAKAR NO 1 MEDAN SELERA MASJID KAYANGAN BRINCHANG 39100 CAMERON HIGHLANDS PAHANG  Brinchang Pahang - my 39100</t>
  </si>
  <si>
    <t>N6-CMN-54</t>
  </si>
  <si>
    <t>AHMAD RETAIL</t>
  </si>
  <si>
    <t>WM</t>
  </si>
  <si>
    <t>NVMY34535000006608</t>
  </si>
  <si>
    <t>NORAZLINA</t>
  </si>
  <si>
    <t>Negeri Sembilan</t>
  </si>
  <si>
    <t>04 RUMAH KAKITANGAN KILANG GETAH PASIR BESAR 73420 GEMAS N. SEMBILAN  Gemas Negeri Sembilan - my 73420</t>
  </si>
  <si>
    <t>S9-GMS-87</t>
  </si>
  <si>
    <t>NVMY34535000006610</t>
  </si>
  <si>
    <t>DATIN HASYA ATIRA</t>
  </si>
  <si>
    <t>NO 4 LORONG 12 TAMAN IMPIANKU JLN SUNGAI LEMBING 25200 KUANTAN PAHANG  Kuantan Pahang - my 25200</t>
  </si>
  <si>
    <t>PHG-PHG</t>
  </si>
  <si>
    <t>NVMY34535000006618</t>
  </si>
  <si>
    <t>SHEIKH MOHD AFFIZ</t>
  </si>
  <si>
    <t>Kuala Lumpur</t>
  </si>
  <si>
    <t>160-5E, FLAT SRI KELANTAN, SENTUL PASAR 51000 KUALA LUMPUR  Kuala Lumpur Kuala Lumpur - my 51000</t>
  </si>
  <si>
    <t>K12A-SEG-129</t>
  </si>
  <si>
    <t>NVMY34535000006585</t>
  </si>
  <si>
    <t>EN SYED JALAL SYED SHUHAIMI</t>
  </si>
  <si>
    <t>Selangor</t>
  </si>
  <si>
    <t>MEDILAUND (M) SDN BHD, LOT 5, JALAN WAJA 16, KAWASAN PERUSAHAAN 42500 TELUK PANGLIMA GARANG SELANGOR  Telok Panglima Garang Selangor - my 42500</t>
  </si>
  <si>
    <t>MM-MM</t>
  </si>
  <si>
    <t>NVMY34535000006611</t>
  </si>
  <si>
    <t>NORLI BT MISKON</t>
  </si>
  <si>
    <t>NO 1,LORONG NANGKA KANAN,JALAN CHEMPAKA KANCHONG DARAT,42700 BANTING SELANGOR  Banting Selangor - my 42700</t>
  </si>
  <si>
    <t>K13-BAN-132</t>
  </si>
  <si>
    <t>NVMY34535000006613</t>
  </si>
  <si>
    <t>NVMY34535000006590</t>
  </si>
  <si>
    <t>ASMAHANI HUSNA BINTI ISHAK</t>
  </si>
  <si>
    <t>LOT 1239A, JALAN GATE, KAMPUNG OLAK LEMPIT, BANTING SELANGOR   Malaysia 42700</t>
  </si>
  <si>
    <t>NVMY34535000006583</t>
  </si>
  <si>
    <t>POLIKLINIK AN-NOURA</t>
  </si>
  <si>
    <t>NO 11-1, JALAN PJU 3/63, SRI MANJA SQUARE 2, 46000 PETALING JAYA SELANGOR  Petaling Jaya Selangor - my 46000</t>
  </si>
  <si>
    <t>NVMY34535000006617</t>
  </si>
  <si>
    <t>Wan Zunaidah Bt Wan Ab Rahman</t>
  </si>
  <si>
    <t>11-2-1 Kelumpuk Kemunting B, Jalan 30/56 Keramat Wangsa, 54200 KL  Kuala Lumpur Kuala Lumpur - my 54200</t>
  </si>
  <si>
    <t>K10-MLT-94</t>
  </si>
  <si>
    <t>NVMY34535000006598</t>
  </si>
  <si>
    <t>AIMAN RABANI</t>
  </si>
  <si>
    <t>A2-2 LOT 2151 JALAN TELEKOM BATU 9 HULU LANGAT CHERAS 43200   Kuala Lumpur Kuala Lumpur - my 43200</t>
  </si>
  <si>
    <t>K12A-CHE-126</t>
  </si>
  <si>
    <t>NVMY34535000006616</t>
  </si>
  <si>
    <t>NVMY34535000006614</t>
  </si>
  <si>
    <t>NVMY34535000006612</t>
  </si>
  <si>
    <t>DILA LEE MARKETING</t>
  </si>
  <si>
    <t>D-018, D-019, BLOK D, JALAN NILAI 3/4 PASAR BORONG NILAI 3, 71800 NILAI NEGERI SEMBILAN  Labu Negeri Sembilan - my 71800</t>
  </si>
  <si>
    <t>S9-NIL-84</t>
  </si>
  <si>
    <t>NVMY34535000006606</t>
  </si>
  <si>
    <t>NUR  FAZUN A MARIARTY BT ALI</t>
  </si>
  <si>
    <t>NO 31 JALAN SR 1/1D SAUJANA RAWANG 48000 SELANGOR  Kuala Lumpur Kuala Lumpur - my 48000</t>
  </si>
  <si>
    <t>K12-RWG-120</t>
  </si>
  <si>
    <t>NVMY34535000006586</t>
  </si>
  <si>
    <t>PN. AISHAH BT MAT DERUS</t>
  </si>
  <si>
    <t>Perak</t>
  </si>
  <si>
    <t>LOT 3059 KG KANDANG HILIR KOTA LAMA KANAN 33040 KUALA KANGSAR PERAK  Kuala Kangsar Perak - my 33040</t>
  </si>
  <si>
    <t>N6A-SAR-57</t>
  </si>
  <si>
    <t>NVMY34535000006593</t>
  </si>
  <si>
    <t>NOOR HIDAYAH BINTI MOKHTAR</t>
  </si>
  <si>
    <t>Pulau Pinang</t>
  </si>
  <si>
    <t>NO 32 JALAN KASAWARI 4, TAMAN KASAWARI 14100 SIMPANG AMPAT PENANG  Simpang Ampat Pulau Pinang - my 14100</t>
  </si>
  <si>
    <t>NVMY34535000006577</t>
  </si>
  <si>
    <t>JULIYAH BT SAYUTI</t>
  </si>
  <si>
    <t>Johor</t>
  </si>
  <si>
    <t xml:space="preserve"> no 3 jalan utama warung bilal kg semangar dalam 81900 kota tinggi johor  Kota Tinggi Johor - my 81900</t>
  </si>
  <si>
    <t>NVMY34535000006623</t>
  </si>
  <si>
    <t>SOFEA MEDISPA KUALA KRAI</t>
  </si>
  <si>
    <t>KEL-KEL</t>
  </si>
  <si>
    <t>Kelantan</t>
  </si>
  <si>
    <t>PT 4387 (TINGKAT 1) JALAN PARAMESWARA TAMAN GUCHIL JAYA 18000 KUALA KRAI KELANTAN  Kuala Krai Kelantan - my 18000</t>
  </si>
  <si>
    <t>NVMY34535000006624</t>
  </si>
  <si>
    <t>FERLAND KS</t>
  </si>
  <si>
    <t>Melaka</t>
  </si>
  <si>
    <t>NO.378-G,JALAN DAHLIA 2, TAMAN BUNGA RAYA,BUKIT BERUANG,75450,HANG TUAH JAYA,MELAKA  Melaka Melaka - my 75450</t>
  </si>
  <si>
    <t>MKZ-MKZ</t>
  </si>
  <si>
    <t>NVMY34535000006597</t>
  </si>
  <si>
    <t>NOR SABIRAH BT ZAMRI</t>
  </si>
  <si>
    <t>NO 31B KAMPUNG TEBUK YAN 2 34900 PANTAI REMIS PERAK  Pantai Remis Perak - my 34900</t>
  </si>
  <si>
    <t>N6A-ATW-55</t>
  </si>
  <si>
    <t>NVMY34535000006601</t>
  </si>
  <si>
    <t>AIN SHAHRIZAN</t>
  </si>
  <si>
    <t>Perlis</t>
  </si>
  <si>
    <t>67 A KAMPUNG MENGKUANG LAYAR BARAT 02700 SIMPANG AMPAT PERLIS 02700 PERLIS  Simpang Ampat Perlis - my 02700</t>
  </si>
  <si>
    <t>E3A-KGR-35</t>
  </si>
  <si>
    <t>NVMY34535000006609</t>
  </si>
  <si>
    <t>NUR HATIKAH</t>
  </si>
  <si>
    <t>Sarawak</t>
  </si>
  <si>
    <t>NO 176 KG DG BEDIL BESAR PETRAJAYA 93050 KUCHING SARAWAK  Kuching Sarawak - my 93050</t>
  </si>
  <si>
    <t>EMSIA</t>
  </si>
  <si>
    <t>EM</t>
  </si>
  <si>
    <t>NVMY34535000006605</t>
  </si>
  <si>
    <t>NUR FARHANA</t>
  </si>
  <si>
    <t>Kedah</t>
  </si>
  <si>
    <t>108 JALAN KRISTAL 5 TAMAN KRISTAL 08000 SUNGAI PETANI KEDAH  Sungai Petani Kedah - my 08000</t>
  </si>
  <si>
    <t>E3-SPT-30</t>
  </si>
  <si>
    <t>NVMY34535000006602</t>
  </si>
  <si>
    <t>BIK INTERGRATED TRANSPORT SDN. BHD</t>
  </si>
  <si>
    <t>LOT 1030 &amp; 1070  JLN KUALA KANGSAR  34700 SIMPANG TAIPING PERAK DARUL RIDZUAN   Simpang Perak - my 34700</t>
  </si>
  <si>
    <t>N6A-TPG-59</t>
  </si>
  <si>
    <t>NVMY34535000006600</t>
  </si>
  <si>
    <t>TOH HUI SIN</t>
  </si>
  <si>
    <t>591 LORONG 14 TAMAN KAMI B , ASAM KUMBANG 34000 LARUT PERAK  Taiping Perak - my 34000</t>
  </si>
  <si>
    <t>NVMY34535000006633</t>
  </si>
  <si>
    <t>MOHAMAD ROZAID IBRAHIM</t>
  </si>
  <si>
    <t>LOT 2299 KG AUR DURI SALOR 15100 KOTA BHARU KELANTAN  Kota Bharu Kelantan - my 15100</t>
  </si>
  <si>
    <t>NVMY34535000006626</t>
  </si>
  <si>
    <t>FATIN UMAIRAH</t>
  </si>
  <si>
    <t>LOT 7731 KAMPUNG BATU 4, JALAN JEDOK 17500 TANAH MERAH KELANTAN  Tanah Merah Kelantan - my 17500</t>
  </si>
  <si>
    <t>NVMY34535000006619</t>
  </si>
  <si>
    <t>CURVA FABULOUS</t>
  </si>
  <si>
    <t>NO 3 JALAN MH 3 TAMAN MUZHAFFAR HEIGHTS 75450 MELAKA   Ayer Keroh Melaka - my 75450</t>
  </si>
  <si>
    <t>S9A-MTG-90</t>
  </si>
  <si>
    <t>NVMY34535000006603</t>
  </si>
  <si>
    <t>FATIN FATINAH AZMI</t>
  </si>
  <si>
    <t>V2-02 KUATERS WARDEN JLN SLIM RIVER POLITEKNIK SULTAN AZLAN SHAH 35910 BEHRANG STESEN PERAK  Perak Behrang Stesen Perak - my 35910</t>
  </si>
  <si>
    <t>N6-SLM-50</t>
  </si>
  <si>
    <t>NVMY34535000006570</t>
  </si>
  <si>
    <t>SITI AFIZATUL AFIDAH BINTI MOHD ARIFF</t>
  </si>
  <si>
    <t>31, Jalan Kesuma 1/1, Bandar Tasik Kesuma, Beranang  Selangor   MY 43700</t>
  </si>
  <si>
    <t>NVMY34535000006622</t>
  </si>
  <si>
    <t>SETIAUSAHA BAHAGIAN (U.P; CAWANGAN PRAPERKHIDMATAN UNIT TAJAAN)</t>
  </si>
  <si>
    <t>BAHAGIAN TAJAAN PENDIDIKAN KEMENTERIAN PENDIDIKAN MALAYSIA ARAS 1, BLOK 2251, JALAN USAHAWAN 1, 63000 CYBERJAYA SELANGOR  Shah Alam Selangor - my 63000</t>
  </si>
  <si>
    <t>NVMY34535000006625</t>
  </si>
  <si>
    <t>YAYA SOLAH</t>
  </si>
  <si>
    <t>LOT 237 KAMPUNG CHENGAL BATU (RMH KELABU HADAPAN) 16800 PASIR PUTEH KELANTAN  Pasir Puteh Kelantan - my 16800</t>
  </si>
  <si>
    <t>NVMY34535000006621</t>
  </si>
  <si>
    <t>HAZFIE DANI</t>
  </si>
  <si>
    <t>BLOK B-10-6, DESA AMAN 2, JALAN PANTAI MURNI 6, PANTAI DALAM 59200 KUALA LUMPUR  Kuala Lumpur Kuala Lumpur - my 59200</t>
  </si>
  <si>
    <t>K11-DSA-111</t>
  </si>
  <si>
    <t>NVMY34535000006620</t>
  </si>
  <si>
    <t>JORDAN SIE KAI XIANG</t>
  </si>
  <si>
    <t>33 GROUND FLOOR, MASTER BAKERY CAFE, JALAN TERUNTUM, PEKAN SIBU 96000 SIBU SARAWAK  Sibu Sarawak - my 96000</t>
  </si>
  <si>
    <t>NVMY34535000006631</t>
  </si>
  <si>
    <t>MUHAMMAD KHAIRE SUBOH</t>
  </si>
  <si>
    <t>B2-9-8 BANJARIA COURT JALAN SAMUDERA TIMUR TAMAN SAMUDERA 68100 BATU CAVES SELANGOR  Batu Caves Selangor - my 68100</t>
  </si>
  <si>
    <t>K10-CAV-95</t>
  </si>
  <si>
    <t>NVMY34535000006630</t>
  </si>
  <si>
    <t>NUR BATRISYA</t>
  </si>
  <si>
    <t>03-01-07 APARTMENT SERI PINANG, NO.12 JALAN SETIA PERMAI U13/40 SECTION U13 40170 SHAH ALAM  Shah Alam Selangor - my 40170</t>
  </si>
  <si>
    <t>K10-ALM-98</t>
  </si>
  <si>
    <t>NVMY34535000006643</t>
  </si>
  <si>
    <t>NUR FARA AIN BINTI MOHD HAFIZAN</t>
  </si>
  <si>
    <t>B-01-01, 1ST FLOOR, PALMVILLE RESORT CONDOMINIUM, JALAN LAGOON TIMUR (9/1) BANDAR SUNWAY 46150 PETALING JAYA SELANGOR  Petaling Jaya Selangor - my 46150</t>
  </si>
  <si>
    <t>K10-SUN-97</t>
  </si>
  <si>
    <t>NVMY34535000006627</t>
  </si>
  <si>
    <t>NORAZLINA BINTI ZAINI</t>
  </si>
  <si>
    <t>613-1, KM 12, KG PERNU 75460 MELAKA  Ayer Keroh Melaka - my 75460</t>
  </si>
  <si>
    <t>S9A-MLM-93</t>
  </si>
  <si>
    <t>NVMY34535000006641</t>
  </si>
  <si>
    <t>TMH COLLECTION  (JAI SAFI'IN)</t>
  </si>
  <si>
    <t>RUMAH 2 TINGKAT KUNING LOT 261 KAMPUNG PAUH GANJA 16250 WAKAF BARU KELANTAN  Wakaf Bharu Kelantan - my 16250</t>
  </si>
  <si>
    <t>NVMY34535000006646</t>
  </si>
  <si>
    <t>TMH OUTLET ( MUHAMAD BUSTAMAN BIN ABDUL RAHMAN)</t>
  </si>
  <si>
    <t>LOT 261 KG PAUH GANJA 16250 WAKAH BHARU KELANTAN   Wakaf Bharu Kelantan - my 16250</t>
  </si>
  <si>
    <t>NVMY34535000006632</t>
  </si>
  <si>
    <t>SHAHRIN ANUAR B HUSSINSHAH</t>
  </si>
  <si>
    <t>NO 321C JLN DATIN KG MANJOI 30020 IPOH PERAK  Ipoh Perak - my 30020</t>
  </si>
  <si>
    <t>N6A-IPH-61</t>
  </si>
  <si>
    <t>NVMY34535000006639</t>
  </si>
  <si>
    <t>ATAN BIN HITAM</t>
  </si>
  <si>
    <t>26 JALAN MINANG, TAMAN MINANG, CHERAS 56000 KUALA LUMPUR  Kuala Lumpur Kuala Lumpur - my 56000</t>
  </si>
  <si>
    <t>NVMY34535000006649</t>
  </si>
  <si>
    <t>NELLY HALIL</t>
  </si>
  <si>
    <t>F-9-3 BLOK F PANGSAPURI PELANGI HEIGHTS JALAN PELANGI KU 141300 KLANG SELANGOR  Klang Selangor - my 41300</t>
  </si>
  <si>
    <t>NVMY34535000006636</t>
  </si>
  <si>
    <t>AINUN MARDIAH</t>
  </si>
  <si>
    <t>987 JALAN 1/22 TAMAN RASAH JAYA 70300 SEREMBAN NEGERI SEMBILAN  Seremban Negeri Sembilan - my 70300</t>
  </si>
  <si>
    <t>S9-SBN-86</t>
  </si>
  <si>
    <t>NVMY34535000006645</t>
  </si>
  <si>
    <t>POLIKLINIK MEDI-NUR SDN BHD</t>
  </si>
  <si>
    <t>22 JALAN P 7/3 TAMAN PUCHONG UTAMA 47140 PUCHONG SELANGOR  Puchong Selangor - my 47140</t>
  </si>
  <si>
    <t>K11A-PUC-116</t>
  </si>
  <si>
    <t>NVMY34535000006648</t>
  </si>
  <si>
    <t>BANK PERTANIAN MALAYSIA BERHAD (AGROBANK)</t>
  </si>
  <si>
    <t>TRADE FINANCE DEPARTMENT SUITE 8.0, 8TH FLOOR WISMA MARAN NO 28 MEDAN PASAR 50050 KUALA LUMPUR  Kuala Lumpur Kuala Lumpur - my 50050</t>
  </si>
  <si>
    <t>NVMY34535000006635</t>
  </si>
  <si>
    <t>MAMAT</t>
  </si>
  <si>
    <t>20 JALAN MELAWIS 1 TAMAN MELAWIS HANG TUAH JAYA 75450 AYER KEROH MELAKA  Ayer Keroh Melaka - my 75450</t>
  </si>
  <si>
    <t>NVMY34535000006647</t>
  </si>
  <si>
    <t>SHEE GUI QI</t>
  </si>
  <si>
    <t>H20 RESEIDENCE B-13-20, NO.1 JALAN PJU 1A/1 ARA DAMANSARA47301 PETALING JAYA SELANGOR  Petaling Jaya Selangor - my 47301</t>
  </si>
  <si>
    <t>K11-ARA-110</t>
  </si>
  <si>
    <t>NVMY34535000006629</t>
  </si>
  <si>
    <t>UMMI SSALMAH</t>
  </si>
  <si>
    <t>HH G 13 PUCHONG UTAMA COURT 2 TMN PUCHONG UTAMA 47140 PUCHONG SELANGOR  Puchong Selangor - my 47140</t>
  </si>
  <si>
    <t>NVMY34535000006637</t>
  </si>
  <si>
    <t>NVMY34535000006644</t>
  </si>
  <si>
    <t>MOHD ANUAR BIN ABDULLAH</t>
  </si>
  <si>
    <t>NO.11 LORONG KEMPADANG JAYA 1/3, TAMAN KEMPADANG JAYA 26060 KUANTAN PAHANG  Kuantan Pahang - my 26060</t>
  </si>
  <si>
    <t>NVMY34535000006642</t>
  </si>
  <si>
    <t>AVEFLEX SDN BHD</t>
  </si>
  <si>
    <t>NO 66G JALAN PUJ 3/7 TAMAN PUNCAK JALIL BANDAR PUTRA PERMAI 43300 SERI KEMBANGAN SELANGOR DARUL EHSAN  Seri Kembangan Selangor - my 43300</t>
  </si>
  <si>
    <t>K12-SRD-121</t>
  </si>
  <si>
    <t>NVMY34535000006628</t>
  </si>
  <si>
    <t>NATRAH HASHIM</t>
  </si>
  <si>
    <t>LOT 3219 KG PAYA JARAS DALAM 47000 SG BULOH SELANGOR  Sungai Buloh Selangor my 47000</t>
  </si>
  <si>
    <t>K14-SGB-145</t>
  </si>
  <si>
    <t>NVMY34535000006599</t>
  </si>
  <si>
    <t>NORASIAH ARUN</t>
  </si>
  <si>
    <t>N0 319 KG PADANG PUTIH KEDAWANG 07000 PULAU LANGKAWI KEDAH  Langkawi Kedah - my 07000</t>
  </si>
  <si>
    <t>NVMY34535000006640</t>
  </si>
  <si>
    <t>NUR ALLIFAH AJRINA</t>
  </si>
  <si>
    <t>B 17 02, HALO SUNDAY, EMPIRE CITY, JALAN PJU 8/1, 47820 DAMANSARA PERDANA PETALING JAYA SELANGOR  Petaling Jaya Selangor - my 47820</t>
  </si>
  <si>
    <t>K10A-DAM-106</t>
  </si>
  <si>
    <t>NVMY34535000006638</t>
  </si>
  <si>
    <t>FATEEN NOOR AMIRA BT AZMY</t>
  </si>
  <si>
    <t>N8.8 LORONG TAN SRI KHOO CHONG KONG 1 DESA BAIDURI 56000 CHERAS KUALA LUMPUR  Kuala Lumpur Kuala Lumpur - my 56000</t>
  </si>
  <si>
    <t>NVMY34535000006652</t>
  </si>
  <si>
    <t>AZLINA MUHAMMAD</t>
  </si>
  <si>
    <t>9683 air melintas besar 13300 tasek gelugor Pulau pinang  Tasek Gelugor Pulau Pinang - my 13300</t>
  </si>
  <si>
    <t>N5-BTS-42</t>
  </si>
  <si>
    <t>NVMY34535000006658</t>
  </si>
  <si>
    <t>SHAHIDA BT ZAHARI</t>
  </si>
  <si>
    <t>NO 10 KG PACHAKAN JALAN SEMERAK 16800 PASIR PUTEH KELANTAN  Pasir Puteh Kelantan - my 16800</t>
  </si>
  <si>
    <t>NVMY34535000006672</t>
  </si>
  <si>
    <t>MOHD FAKULRAZI BIN MUHAMMAD @ MOHD NOR</t>
  </si>
  <si>
    <t>MFRGARAGE ENTERPRISE LOT 31, 001A JALAN SUASA 5, 57000 SUNGAI BESI KUALA LUMPUR  Kuala Lumpur Kuala Lumpur - my 57000</t>
  </si>
  <si>
    <t>K12A-BTR-125</t>
  </si>
  <si>
    <t>NVMY34535000006668</t>
  </si>
  <si>
    <t>NVMY34535000006671</t>
  </si>
  <si>
    <t>NVMY34535000006650</t>
  </si>
  <si>
    <t>SHAFINAS</t>
  </si>
  <si>
    <t>NO 26 LORONG 28 TAMAN MEWAH 34600 KAMUNTING PERAK  Kamunting Perak - my 34600</t>
  </si>
  <si>
    <t>NVMY34535000006660</t>
  </si>
  <si>
    <t>MAZLINA MAT ALI</t>
  </si>
  <si>
    <t>BALAI POLIS CHENOR 28100 CHENOR PAHANG  Chenor Pahang - my 28100</t>
  </si>
  <si>
    <t>N4A-JKA-24</t>
  </si>
  <si>
    <t>NVMY34535000006656</t>
  </si>
  <si>
    <t>JASLINA BT ABDULLAH</t>
  </si>
  <si>
    <t>B-6-5 PPR BATU MUDA, BATU 4 1/2 JALAN IPOH 51100 KUALA LUMPUR  Kuala Lumpur Kuala Lumpur - my 51100</t>
  </si>
  <si>
    <t>NVMY34535000006659</t>
  </si>
  <si>
    <t>NVMY34535000006654</t>
  </si>
  <si>
    <t>MAIZAITULHAIZA MASUDA</t>
  </si>
  <si>
    <t>NO 3 PERUMAHAN STAFF LADANG SIANG 81930 KOTA TINGGI JOHOR  Bandar Penawar Johor - my 81930</t>
  </si>
  <si>
    <t>S7-PWR-63</t>
  </si>
  <si>
    <t>NVMY34535000006664</t>
  </si>
  <si>
    <t>MUHAMMAD ZULHASMIZAN</t>
  </si>
  <si>
    <t>Terengganu</t>
  </si>
  <si>
    <t>LOT 1331 JALAN MPIAN 2 KG LAY OUT TOK SABOH, (DEPAN Z38 ZAMANI FROZEN) 22300 KUALA BESUT TERENGGANU  Kuala Besut Terengganu - my 22300</t>
  </si>
  <si>
    <t>NVMY34535000006655</t>
  </si>
  <si>
    <t>WAN AMIRUN HAKIM (HR USRAZ SOFFIAN)</t>
  </si>
  <si>
    <t>MRSM BAGAN DATUK, LOT 18202, JALAN BAGAN DATUK 36100 BAGAN DATUK PERAK  Bagan Datoh Perak - my 36100</t>
  </si>
  <si>
    <t>NVMY34535000006670</t>
  </si>
  <si>
    <t>MOHAMAD AZLI BIN ARIPIN</t>
  </si>
  <si>
    <t>NO 288 HALA PERMAI 10, KAMPUNG TERSUSUN  BATU 4 TAMBUN, IPOH 31400 PERAK   Ipoh Perak - my 31400</t>
  </si>
  <si>
    <t>NVMY34535000006651</t>
  </si>
  <si>
    <t>RAFIDAH</t>
  </si>
  <si>
    <t xml:space="preserve"> NO 8604 Lorong 2C Lot Fasa 3  Kampung Tanjung Bundong   94300 Kota Samarahan   Sarawak   Kota Samarahan Sarawak - my 94300</t>
  </si>
  <si>
    <t>NVMY34535000006692</t>
  </si>
  <si>
    <t>aisyah ain</t>
  </si>
  <si>
    <t>sekolah kebangsaan sungai tong, 21500 setiu terengganu  Sungai Tong Terengganu - my 21500</t>
  </si>
  <si>
    <t>TGG-TGG</t>
  </si>
  <si>
    <t>NVMY34535000006666</t>
  </si>
  <si>
    <t>MELISSA</t>
  </si>
  <si>
    <t>47 JALAN LAMAN SETIA 5/13 TAMAN LAMAN SETIA, SETIA ECO GARDENS, 81550 GELANG PATAH JOHOR BAHRU JOHOR  Gelang Patah Johor - my 81550</t>
  </si>
  <si>
    <t>S7-GLG-64</t>
  </si>
  <si>
    <t>NVMY34535000006686</t>
  </si>
  <si>
    <t>ATIQAH</t>
  </si>
  <si>
    <t>No 5 jalan alam suria 15/2/2 Alam suria enclave Seksyen 15  42300 bandar puncak alam Selangor  Bandar Puncak Alam Selangor - my 42300</t>
  </si>
  <si>
    <t>K13-PCK-135</t>
  </si>
  <si>
    <t>NVMY34535000006665</t>
  </si>
  <si>
    <t>SITI AISYAH BINTI JAFFAR</t>
  </si>
  <si>
    <t>NO 19 TAMAN PERMAI 08100 BEDONG KEDAH  Bedong Kedah - my 08100</t>
  </si>
  <si>
    <t>NVMY34535000006687</t>
  </si>
  <si>
    <t>NADIA SHUHADA BINTI SAMSUDIN</t>
  </si>
  <si>
    <t>NO, DO 77 KG SUNGAI MIANG, 26600 PEKAN PAHANG, DARUL MAKMUR  Pekan Pahang - my 26600</t>
  </si>
  <si>
    <t>NVMY34535000006657</t>
  </si>
  <si>
    <t>MISHAHARRIS</t>
  </si>
  <si>
    <t>12 JALAN SERI MAKMUR, TAMAN SERI MAKMUR 86000 KLUANG JOHOR  Kluang Johor - my 86000</t>
  </si>
  <si>
    <t>S8-KLU-76</t>
  </si>
  <si>
    <t>NVMY34535000006676</t>
  </si>
  <si>
    <t>NOOR AZNIERA BINTI DAUD</t>
  </si>
  <si>
    <t>VILLA D RUMAH KOPERASI FELDA KECHAU 01 27100 KUALA LIPIS PAHANG  Padang Tengku Pahang - my 27100</t>
  </si>
  <si>
    <t>NVMY34535000006683</t>
  </si>
  <si>
    <t>nadia</t>
  </si>
  <si>
    <t>no 38 Jalan lep 5/2 taman lestari putra 43300 seri kembangan selangor  Seri Kembangan Selangor - my 43300</t>
  </si>
  <si>
    <t>NVMY34535000006674</t>
  </si>
  <si>
    <t>AISYAH NAJWA BT MOHD SHUHAIRI</t>
  </si>
  <si>
    <t>KOLEJ VOKASIONAL BESUT KAMPUNG RAJA 22200 BESUT TERENGGANU  Kampung Raja Terengganu - my 22200</t>
  </si>
  <si>
    <t>NVMY34535000006681</t>
  </si>
  <si>
    <t>maisarah zakaria</t>
  </si>
  <si>
    <t>lot1150 kg padang lepai 16450 ketereh kelantan  Ketereh Kelantan - my 16450</t>
  </si>
  <si>
    <t>NVMY34535000006693</t>
  </si>
  <si>
    <t>Norzahawati</t>
  </si>
  <si>
    <t>Lot1812c jalan gajah 16 kampung kubu gajah 47000 sungai buloh Selangor  Kuala Lumpur Kuala Lumpur - my 47000</t>
  </si>
  <si>
    <t>NVMY34535000006688</t>
  </si>
  <si>
    <t>Noor shahiera natasha</t>
  </si>
  <si>
    <t>C 505 - Jalan Pantai Peranginan Chendering, 21080 Kuala Terengganu  Kuala Terengganu Terengganu - my 21080</t>
  </si>
  <si>
    <t>NVMY34535000006663</t>
  </si>
  <si>
    <t>NIK HASBULLAH</t>
  </si>
  <si>
    <t>NO 1 MEDAN SELERA NIK IKAN BAKAR MASJID KAYANGAN BRINCANG 39100 CAMERON HIGHLANDS PAHANG  Brinchang Pahang - my 39100</t>
  </si>
  <si>
    <t>NVMY34535000006677</t>
  </si>
  <si>
    <t>HASSAN BIN HAJI KASSIM</t>
  </si>
  <si>
    <t>174 JALAN BIDARA 1/6, TAMAN BIDARA, SELAYANG, BATU CAVES 68100 SELANGOR  Batu Caves Selangor - my 68100</t>
  </si>
  <si>
    <t>K12-SLG-122</t>
  </si>
  <si>
    <t>NVMY34535000006662</t>
  </si>
  <si>
    <t>NVMY34535000006661</t>
  </si>
  <si>
    <t>NVMY34535000006667</t>
  </si>
  <si>
    <t>NUR ALIYAH</t>
  </si>
  <si>
    <t>NO 58 JLN PANGLIMA 5, TAMAN PANGLIMA 34000 TAIPING PERAK  Taiping Perak - my 34000</t>
  </si>
  <si>
    <t>NVMY34535000006675</t>
  </si>
  <si>
    <t>MAMARED</t>
  </si>
  <si>
    <t>WMKA MAJU ENTERPRISE KG KEBAKAT 16250 WAKAF BHARU KELANTAN  Wakaf Bharu Kelantan - my 16250</t>
  </si>
  <si>
    <t>NVMY34535000006690</t>
  </si>
  <si>
    <t>MIMI</t>
  </si>
  <si>
    <t>No 3186, Rumah Kuning Pintu 4, Jalan Mawar Putih Kg Dato Abu Bakar Baginda 43000 Kajang Selangor  Kajang Selangor - my 43000</t>
  </si>
  <si>
    <t>NVMY34535000006684</t>
  </si>
  <si>
    <t>Nur Iedayu</t>
  </si>
  <si>
    <t>NO 96 BLOK F  PKNS KAMPUNG PASIR BARU 43500 SEMENYIH SELANGOR  Shah Alam Selangor - my 43500</t>
  </si>
  <si>
    <t>K13-SYH-136</t>
  </si>
  <si>
    <t>NVMY34535000006689</t>
  </si>
  <si>
    <t>Nurshuhada kamal</t>
  </si>
  <si>
    <t>33A kampung haji ali batu 1 1/2 jalan mentakab 28000 temerloh pahang  Temerloh Pahang - my 28000</t>
  </si>
  <si>
    <t>NVMY34535000006694</t>
  </si>
  <si>
    <t>NOR HAMIEDA BT ABD RAZAK</t>
  </si>
  <si>
    <t>NO 115, KG PADANG LALANG FELDA NERAM SATU 24060 KEMAMANTERENGGANU  Ceneh Terengganu my 24060</t>
  </si>
  <si>
    <t>NVMY34535000006673</t>
  </si>
  <si>
    <t>NURUL NUR IZZATIE BINTI MOHD ZAIDI</t>
  </si>
  <si>
    <t>A-13-01 URBAN 360, JALAN MAKMUR, TAMAN SRI GOMBAK 68100 BATU CAVES SELANGOR  Batu Caves Selangor - my 68100</t>
  </si>
  <si>
    <t>NVMY34535000006704</t>
  </si>
  <si>
    <t>ROHANI BT OSMAN</t>
  </si>
  <si>
    <t>B-2-9 BLOK B PANGSAPURI CEMPAKA SARI JLN 9/1 TAMAN IKS SEKSYEN 9 43650 BANDAR BARU BANGI SELANGOR  Bandar Baru Bangi Selangor - my 43650</t>
  </si>
  <si>
    <t>K12A-BGI-128</t>
  </si>
  <si>
    <t>NVMY34535000006678</t>
  </si>
  <si>
    <t>Ika</t>
  </si>
  <si>
    <t>No 50 taman perumaham polis seriab 01000 kangar perlis  Kangar Perlis - my 01000</t>
  </si>
  <si>
    <t>NVMY34535000006699</t>
  </si>
  <si>
    <t>WANIEY RAZALI</t>
  </si>
  <si>
    <t>5-2B, SELAYANG APARTMENT JALAN OS 1/3 68100 BATU CAVES SELANGOR  Batu Caves Selangor - my 68100</t>
  </si>
  <si>
    <t>NVMY34535000006685</t>
  </si>
  <si>
    <t>LIZAWATI BINTI HERMAN</t>
  </si>
  <si>
    <t>Sabah</t>
  </si>
  <si>
    <t>TB 19112 , LOT C 32 , TAMAN SEMARAK MEGAH , LORONG 2 , 91000 TAWAU SABAH  Tawau Sabah - my 91000</t>
  </si>
  <si>
    <t>NVMY34535000006634</t>
  </si>
  <si>
    <t>NIK AZMI B NIK ABDULLAH</t>
  </si>
  <si>
    <t>NO 14 LORONG AMAN 3 TAMAN JEBONG 34700 SIMPANG PERAK  Simpang Perak - my 34700</t>
  </si>
  <si>
    <t>NVMY34535000006703</t>
  </si>
  <si>
    <t>FARIDA</t>
  </si>
  <si>
    <t>NO 7 JALAN TROPICANA HEIGHTS 1/5 (FAIRFIELD) TROPICANA HEIGHT 43000 KAJANG SEMENYIH SELANGOR  Kajang Selangor - my 43000</t>
  </si>
  <si>
    <t>NVMY34535000006698</t>
  </si>
  <si>
    <t>NOR AMIZON BT ARSHAT</t>
  </si>
  <si>
    <t>A 4,9 JLN MAKTAB 7, MAKTAB PDRM KUALA LUMPUR 43200 CHERAS SELANGOR  Kuala Lumpur Kuala Lumpur - my 43200</t>
  </si>
  <si>
    <t>NVMY34535000006701</t>
  </si>
  <si>
    <t>HAZISCARF</t>
  </si>
  <si>
    <t>23-2 PUSAT PERDAGANGAN PJS JALAN PJS 5/30 36150 PETALING JAYA SELANGOR  Petaling Jaya Selangor - my 46150</t>
  </si>
  <si>
    <t>NVMY34535000006705</t>
  </si>
  <si>
    <t>SUWAIBAH BINTI ABDUL RAHIM</t>
  </si>
  <si>
    <t>36 A SIMPANG 3 KG JEREK DALAM 18300 GUA MUSANG KELANTAN  Gua Musang Kelantan - my 18300</t>
  </si>
  <si>
    <t>NVMY34535000006696</t>
  </si>
  <si>
    <t>ZAINAH BTE ABD MAJID</t>
  </si>
  <si>
    <t>LOT 1423 JALAN KG MEDAN 42500 TELOK PANGLIMA GARANG SELANGOR  Telok Panglima Garang Selangor - my 42500</t>
  </si>
  <si>
    <t>K14-RBY-138</t>
  </si>
  <si>
    <t>NVMY34535000006691</t>
  </si>
  <si>
    <t>Abdul rajak bin abdul haya</t>
  </si>
  <si>
    <t>TAMAN AMAN 1, MDLD 2298 LOT 243 JALAN SILAM, 91100, LAHAD DATU SABAH  Lahad Datu Sabah - my 91100</t>
  </si>
  <si>
    <t>NVMY34535000006679</t>
  </si>
  <si>
    <t>Ain nabila | 1326821</t>
  </si>
  <si>
    <t>NO85A, KAMPUNG PADANG CHE MAS, DALAM WANG, 09100 BALING, KEDAH  Baling Kedah - my 09100</t>
  </si>
  <si>
    <t>NVMY34535000006702</t>
  </si>
  <si>
    <t>MUHAMMAD FAIZ</t>
  </si>
  <si>
    <t>PT334 TAMAN BUNGA RAYA CHABANG EMPAT 16210 TUMPAT KELANTAN  Tumpat Kelantan - my 16210</t>
  </si>
  <si>
    <t>E1-WKB-1</t>
  </si>
  <si>
    <t>NVMY34535000006680</t>
  </si>
  <si>
    <t>Amyrah nasuha bt badrin</t>
  </si>
  <si>
    <t>Unit D6-2, Beverly hills 3, Jalan Bundusan, 88300, Kota Kinabalu, Sabah  Kota Kinabalu Sabah - my 88300</t>
  </si>
  <si>
    <t>NVMY34535000006708</t>
  </si>
  <si>
    <t>SHAFIQ</t>
  </si>
  <si>
    <t>NO 15,LENGKOK SRI SIANTAN 51,TAMAN SRI ANDALAS,41200 KLANG SELANGOR  Klang Selangor - my 41200</t>
  </si>
  <si>
    <t>K11-KLG-108</t>
  </si>
  <si>
    <t>NVMY34535000006709</t>
  </si>
  <si>
    <t>TENGKU ZANARIA TENGKU PUTRA</t>
  </si>
  <si>
    <t>POS 97,KAMPUNG PUEH KUALA BERANG 21700 TERENGGANU  Kuala Berang Terengganu - my 21700</t>
  </si>
  <si>
    <t>NVMY34535000006711</t>
  </si>
  <si>
    <t>SURIATI BTE SAAT</t>
  </si>
  <si>
    <t>LOT 761,KAMPONG PULAU BONGEK,71300 REMBAU NEGERI SEMBILAN  Rembau Negeri Sembilan - my 71300</t>
  </si>
  <si>
    <t>S9-SWG-83</t>
  </si>
  <si>
    <t>NVMY34535000006697</t>
  </si>
  <si>
    <t>ZURAIDA SYALWANI BINTI ZULKIFLI</t>
  </si>
  <si>
    <t>D AINS BEAUTY EMPRIE SDH BHD PT 429 &amp; PT 430 BATU 31 JALAN KUALA KRAI 15800 MACHANG KELANTAN  Kelantan Machang Kelantan - my 18500</t>
  </si>
  <si>
    <t>NVMY34535000006700</t>
  </si>
  <si>
    <t>NVMY34535000006706</t>
  </si>
  <si>
    <t>JIA DONG</t>
  </si>
  <si>
    <t>NO 4A JALAN SRI LAYANG 3/3 TAMAN SRI LAYANG 28400 MENTAKAB PAHANG  Mentakab Pahang - my 28400</t>
  </si>
  <si>
    <t>NVMY34535000006682</t>
  </si>
  <si>
    <t>NABILA HUSNA</t>
  </si>
  <si>
    <t>NO 57 TAMAN SERI BELIDA 05150 ALOR SETAR KEDAH  Kedah Alor Setar Kedah - my 05150</t>
  </si>
  <si>
    <t>E3A-AOR-37</t>
  </si>
  <si>
    <t>NVMY34535000006695</t>
  </si>
  <si>
    <t>SYAZWANA RAZALI</t>
  </si>
  <si>
    <t>NO 9 LORONG AIR SIAM KAMPUNG SUNGAI JERNIH IJOK 34510 BATU KURAU PERAK  Batu Kurau Perak - my 34510</t>
  </si>
  <si>
    <t>NVMY34535000006707</t>
  </si>
  <si>
    <t>W. FARIDAH BT W. YAACOB</t>
  </si>
  <si>
    <t>LOT 2196 KG LARAK PENDEK 15100 KOTA BHARU KELANTAN  Kota Bharu Kelantan - my 15100</t>
  </si>
  <si>
    <t>NVMY34535000006719</t>
  </si>
  <si>
    <t>KHAIRIL SYAFIQQ BIN ABD LATIF</t>
  </si>
  <si>
    <t>4899 LORONG TANJUNG 5 KG GONG PAUH KEMAMAN 24000 TERENGGANU  Ayer Puteh Terengganu - my 24000</t>
  </si>
  <si>
    <t>NVMY34535000006717</t>
  </si>
  <si>
    <t>Nik nurul asyira binti amir</t>
  </si>
  <si>
    <t>No 41, lorong bukit rangin perdana 2/4, perumahan bukit rangin perdana 2, 25150 kuantan pahang  Kuantan Pahang - my 25150</t>
  </si>
  <si>
    <t>NVMY34535000006716</t>
  </si>
  <si>
    <t>MUHAMMAD AIMAN</t>
  </si>
  <si>
    <t>LOT 2772 JALAN BATU 10 KAMPUNG KEBUN BAHARU 42500 TELOK PANGLIMA GARANG BANTING SELANGOR  Telok Panglima Garang Selangor - my 42500</t>
  </si>
  <si>
    <t>NVMY34535000006712</t>
  </si>
  <si>
    <t>NIK NUR HAZWANIE BT NIK MOHAMAMAD SALLEH</t>
  </si>
  <si>
    <t>NO 36A JALAN RAJA UDA KAMPUNG BARU 50300 KUALA LUMPUR  Kuala Lumpur Kuala Lumpur - my 50300</t>
  </si>
  <si>
    <t>K11-CKT-112</t>
  </si>
  <si>
    <t>NVMY34535000006723</t>
  </si>
  <si>
    <t>TENGKU MUHAMMAD IKMAL</t>
  </si>
  <si>
    <t>701 KAMPUNG SENTOSA AIR TAWAR 22200 BESUT TERENGGANU  Kampung Raja Terengganu - my 22200</t>
  </si>
  <si>
    <t>E1A-JTH-9</t>
  </si>
  <si>
    <t>NVMY34535000006737</t>
  </si>
  <si>
    <t>NOORAZILAH BT ABU BAKAR</t>
  </si>
  <si>
    <t>NO.63, JALAN SI 18 TAMAN SAUJANA INDAH, BKT KATIL, 75450 MELAKA  Ayer Keroh Melaka - my 75450</t>
  </si>
  <si>
    <t>NVMY34535000006735</t>
  </si>
  <si>
    <t>JAMILAH BINTI SULAIMAN</t>
  </si>
  <si>
    <t>KOMPLEKS RAKAN MUDA RAUB, 27400 PAHANG  Dong Pahang - my 27400</t>
  </si>
  <si>
    <t>NVMY34535000006715</t>
  </si>
  <si>
    <t>NASIMAH MISKAM</t>
  </si>
  <si>
    <t>NO 49 JLN BERLIAN 4 TAMAN DAIMAN JAYA KOTA TINGGI JOHOR 81900  Kota Tinggi Johor - my 81900</t>
  </si>
  <si>
    <t>S7-TGI-62</t>
  </si>
  <si>
    <t>NVMY34535000006713</t>
  </si>
  <si>
    <t>NVMY34535000006714</t>
  </si>
  <si>
    <t>NVMY34535000006725</t>
  </si>
  <si>
    <t>RUSNANI BINTI ABDULLAH</t>
  </si>
  <si>
    <t>LOT 427 LORONG 19/1 KAMPUNG PERAMU 26060 KUANTAN PAHANG  Kuantan Pahang - my 26060</t>
  </si>
  <si>
    <t>NVMY34535000006733</t>
  </si>
  <si>
    <t>NOAH</t>
  </si>
  <si>
    <t>NO 1 JALAN CJ 7 TAMAN CHANGGANG JAYA BUKIT CHANGGANG 43700 BANTING SELANGOR  Beranang Selangor - my 43700</t>
  </si>
  <si>
    <t>NVMY34535000006729</t>
  </si>
  <si>
    <t>DAHLIA AMANI</t>
  </si>
  <si>
    <t>NO100, RPT BATU MENGKEBANG 18000 KUALA KRAI KELANTAN  Kuala Krai Kelantan - my 18000</t>
  </si>
  <si>
    <t>NVMY34535000006722</t>
  </si>
  <si>
    <t>RAINBOW PAPER SUPPLIES SDN BHD (ATTN: FATIN)</t>
  </si>
  <si>
    <t>1&amp;3 , JALAN TPP 6/8 TAMAN PERINDUSTRIAN PUCHONG, 47100 SELANGOR DARUL EHSAN  Telok Panglima Garang Selangor - my 47100</t>
  </si>
  <si>
    <t>K14-TPK-140</t>
  </si>
  <si>
    <t>NVMY34535000006710</t>
  </si>
  <si>
    <t>MARCIANA JACOBUS</t>
  </si>
  <si>
    <t>KG,LININGKUNG PETI SURAT 100,89320 TELUPID,SABAH  Telupid Sabah - my 89320</t>
  </si>
  <si>
    <t>NVMY34535000006720</t>
  </si>
  <si>
    <t>Salizan Bin Hj Salehan</t>
  </si>
  <si>
    <t>No B5 Jalan Masjid Kg Plentong Baru 81750 Masai Johor Darul Takzim  Masai Johor - my 81750</t>
  </si>
  <si>
    <t>S7A-PSG-68</t>
  </si>
  <si>
    <t>NVMY34535000006732</t>
  </si>
  <si>
    <t>LOT 3219 KG PAYA JARAS DALAM 47000 SUNGAI BULOH SELANGOR  Kuala Lumpur Kuala Lumpur - my 47000</t>
  </si>
  <si>
    <t>NVMY34535000006721</t>
  </si>
  <si>
    <t>Imron</t>
  </si>
  <si>
    <t>Apartment Kampung baru jln raja mahmud 50300 kuala lumpur malaysia  Kuala Lumpur Kuala Lumpur - my 50300</t>
  </si>
  <si>
    <t>NVMY34535000006727</t>
  </si>
  <si>
    <t>NOR SYAMINA BT SHARIFFUL MIZAM</t>
  </si>
  <si>
    <t>NO 418 KAMPUNG BATU MENUNGGUL 06700 PENDANG KEDAH  Pendang Kedah - my 06700</t>
  </si>
  <si>
    <t>E3A-PDG-38</t>
  </si>
  <si>
    <t>NVMY34535000006745</t>
  </si>
  <si>
    <t>MOHAMAD AIDIL</t>
  </si>
  <si>
    <t>NO 2 LOT 4782C LORONG CEMPAKA 41050 MERU KLANG SELANGOR  Klang Selangor - my 41050</t>
  </si>
  <si>
    <t>K12A-MRU-127</t>
  </si>
  <si>
    <t>NVMY34535000006744</t>
  </si>
  <si>
    <t>NVMY34535000006746</t>
  </si>
  <si>
    <t>NVMY34535000006743</t>
  </si>
  <si>
    <t>NVMY34535000006730</t>
  </si>
  <si>
    <t>SALMIAH BT HARUN</t>
  </si>
  <si>
    <t>NO 11 JALAN PURA KENCANA 1A/5 TAMAN PURA KENCANA 83300 BATU PAHAT JOHOR  Seri Gading Johor - my 83300</t>
  </si>
  <si>
    <t>S8-BPT-80</t>
  </si>
  <si>
    <t>NVMY34535000006750</t>
  </si>
  <si>
    <t>YAYASAN TERENGGANU</t>
  </si>
  <si>
    <t>BANGUNAN YAYASAN TERENGGANU JALAN SULTAN ISMAIL 20200 KUALA TERENGGANU TERENGGANU  Kuala Terengganu Terengganu - my 20200</t>
  </si>
  <si>
    <t>NVMY34535000006726</t>
  </si>
  <si>
    <t>NO 1 MEDAN SELERA MASJID KAYANGAN BERINCHAN 39100  Brinchang Pahang - my 39100</t>
  </si>
  <si>
    <t>NVMY34535000006751</t>
  </si>
  <si>
    <t>SEKOLAH KEBANGSAAN TENGKU AMPUAN INTAN  (MOHD NAZAIDI)</t>
  </si>
  <si>
    <t>SEKOLAH KEBANGSAAN TENGKU AMPUAN INTAN 21700 KUALA BERANG TERENGGANU  Kuala Berang Terengganu - my 21700</t>
  </si>
  <si>
    <t>NVMY34535000006736</t>
  </si>
  <si>
    <t>HALIMATUN SAADIAH BT ROSLAN</t>
  </si>
  <si>
    <t>SEKOLAH RENDAH ISLAM AL-MASRIYAH, 126 JALAN ABDUL KADIR 14000 BUKIT MERTAJAM PULAU PINANG  Bukit Mertajam Pulau Pinang - my 14000</t>
  </si>
  <si>
    <t>N5-BKM-47</t>
  </si>
  <si>
    <t>NVMY34535000006739</t>
  </si>
  <si>
    <t>ABU ZAR</t>
  </si>
  <si>
    <t>A-3-3 KIP KOLEJ VOKESIONAL SHAH ALAM, JALAN BATU TIGA LAMA PINGGIRAN USJ 40300 SHAH ALAM SELANGOR  Shah Alam Selangor - my 40300</t>
  </si>
  <si>
    <t>K12-HTC-124</t>
  </si>
  <si>
    <t>NVMY34535000006731</t>
  </si>
  <si>
    <t>HAIDA HAMID</t>
  </si>
  <si>
    <t>NO 52 JALAN BUKIT PUTERI 1/12 BANDAR PUTERIJAYA 08000 SUNGAI PETANI KEDAH  Sungai Petani Kedah - my 08000</t>
  </si>
  <si>
    <t>NVMY34535000006728</t>
  </si>
  <si>
    <t>BTK INTEGRATED TRANSPORT SDN BHD (ATTN: MISS SIEW)</t>
  </si>
  <si>
    <t>LOT 1030 &amp; 1070 JALAN KUALA KANGSAR 34700 SIMPANG TAIPING PERAK   Perak my 34700</t>
  </si>
  <si>
    <t>NVMY34535000006747</t>
  </si>
  <si>
    <t>NURFATIN SHAMIRA BINTI ABDUL LATIF</t>
  </si>
  <si>
    <t>NO 1 JALAN BERLIAN 4A/3, TAMAN LEMBAH DAMAI 44100 HULU SELANGOR, SELANGOR  Banting Selangor - my 44100</t>
  </si>
  <si>
    <t>K13-KKB-134</t>
  </si>
  <si>
    <t>NVMY34535000006749</t>
  </si>
  <si>
    <t>MOHD AIZANIZAM BIN ABDULLAH</t>
  </si>
  <si>
    <t>NO 37 KAMPUNG BUKIT 21500 BDR PERMAISURI TERENGGANU  Sungai Tong Terengganu - my 21500</t>
  </si>
  <si>
    <t>NVMY34535000006734</t>
  </si>
  <si>
    <t>ALIF SHAHRIZAN</t>
  </si>
  <si>
    <t>NO 18 LORONG TELUK JAMBU BINTONG KANGAR PERLIS 01000  Kangar Perlis - my 01000</t>
  </si>
  <si>
    <t>NVMY34535000006669</t>
  </si>
  <si>
    <t>MOHD FADZIL BIN JANJAM</t>
  </si>
  <si>
    <t>MEDIUM</t>
  </si>
  <si>
    <t>NO. 7, KAMPUNG TENGAH, SIMPANG EMPAT, 31920 KAMPAR PERAK  KAMPAR   MY 31920</t>
  </si>
  <si>
    <t>RESOLUTION ERROR : (2.99347000, 100.84966300)</t>
  </si>
  <si>
    <t>N6-TAP-51</t>
  </si>
  <si>
    <t>NVMY34535000006754</t>
  </si>
  <si>
    <t>NURUL NAZREEN</t>
  </si>
  <si>
    <t>C-T4-U10 FASA 15-12A JALAN P15 PRESINT 15 62050 PUTRAJAYA  Putrajaya Putrajaya - my 62050</t>
  </si>
  <si>
    <t>NVMY34535000006724</t>
  </si>
  <si>
    <t>AZIZAH BTE BAHARI</t>
  </si>
  <si>
    <t>KFC TERMINAL LARKIN JALAN KENYALANG 80350 LARKIN JOHOR  Johor Bahru Johor - my 80350</t>
  </si>
  <si>
    <t>NVMY34535000006748</t>
  </si>
  <si>
    <t>MOTOR CITY AUTO PARTS SDN BHD</t>
  </si>
  <si>
    <t>11, LORONG INDUSTRI IMPIAN 1 , TAMAN INDUSTRI IMPIAN, 14000 BUKIT MERTAJAM PULAU PINANG  Bukit Mertajam Pulau Pinang - my 14000</t>
  </si>
  <si>
    <t>NVMY34535000006740</t>
  </si>
  <si>
    <t>JAMILAH BT MARSHAM</t>
  </si>
  <si>
    <t>8111 JALAM SEMARAK 12 TAMAN PANCHOR JAYA 70400 SEREMBAN NEGERI SEMBILAN  Seremban Negeri Sembilan - my 70400</t>
  </si>
  <si>
    <t>NVMY34535000006756</t>
  </si>
  <si>
    <t>TRADE FINANCE DEPARTMENT SUITE 8.0, 8TH FLOOR WISMA MARAN NO 28 MEDAN PASAR 50050 KUALA LUMPUR (ATTN: TRADE OPERATIONS SECTION)  Kuala Lumpur Kuala Lumpur - my 50050</t>
  </si>
  <si>
    <t>NVMY34535000006755</t>
  </si>
  <si>
    <t>Nora Mohd Nordin</t>
  </si>
  <si>
    <t>No 94, Jalan Jaya Putra 8/17, Taman Jaya Putra Perdana, 81100 Johor Bahru, Johor Darul Takzim.  Johor Bahru Johor - my 81100</t>
  </si>
  <si>
    <t>S7-AUS-67</t>
  </si>
  <si>
    <t>NVMY34535000006762</t>
  </si>
  <si>
    <t>MUHAMMAD ARIF B ABU BAKAR</t>
  </si>
  <si>
    <t>PEJABAT HAL EHWAL ISLAM, KOMPLEKS BALAI ISLAM AN-NUR, IBU PEJABAT TNB, 129 JALAN BANGSAR 59200 KUALA LUMPUR  Kuala Lumpur Kuala Lumpur - my 59200</t>
  </si>
  <si>
    <t>K14-SPH-144</t>
  </si>
  <si>
    <t>NVMY34535000006764</t>
  </si>
  <si>
    <t>DANI</t>
  </si>
  <si>
    <t>B 17-01 THE ZEST JALAN BK9B BANDAR KINRARA BK9 47100 PUCHONG SELANGOR  Telok Panglima Garang Selangor - my 47100</t>
  </si>
  <si>
    <t>NVMY34535000006741</t>
  </si>
  <si>
    <t>KU NURUL ATHIRAH</t>
  </si>
  <si>
    <t>BILIK NO 9, NO 9 JALAN SEMERBAK 15, TAMAN BUKIT DAHLIA 81700 PASIR GUDANG JOHOR  Pasir Gudang Johor - my 81700</t>
  </si>
  <si>
    <t>NVMY34535000006757</t>
  </si>
  <si>
    <t>NUR AMIRAH BT BOSKORI</t>
  </si>
  <si>
    <t>LOT 259 KAMPUNG MURING, JALAN KILANG BATA, CEMERLANG PAUH LIMA 16090 KOTA BHARU KELANTAN  Bachok Kelantan - my 16090</t>
  </si>
  <si>
    <t>NVMY34535000006752</t>
  </si>
  <si>
    <t>Siti Hanipah Abdul Majid</t>
  </si>
  <si>
    <t>No 19 Jalan Lembing 22  Taman Puteri Wangsa 81800 Ulu Tiram Johor  Ulu Tiram Johor - my 81800</t>
  </si>
  <si>
    <t>S7A-TRM-71</t>
  </si>
  <si>
    <t>NVMY34535000006766</t>
  </si>
  <si>
    <t>ALI</t>
  </si>
  <si>
    <t>NO 2E JALAN 62A, SELAYANG BARU 68100 BATU CAVES SELANGOR  Batu Caves Selangor - my 68100</t>
  </si>
  <si>
    <t>NVMY34535000006753</t>
  </si>
  <si>
    <t>Liza kasnin</t>
  </si>
  <si>
    <t>535,blok 24 felda simpang waha 81900 kota tinggi Johor  Kota Tinggi Johor - my 81900</t>
  </si>
  <si>
    <t>NVMY34535000006760</t>
  </si>
  <si>
    <t>NORAIZAH ABDUL SAMAH</t>
  </si>
  <si>
    <t>32-04-07 FLAT SRI MELAKA CHERAS 56000 KUALA LUMPUR  Kuala Lumpur Kuala Lumpur - my 56000</t>
  </si>
  <si>
    <t>K11A-ECO-119</t>
  </si>
  <si>
    <t>NVMY34535000006783</t>
  </si>
  <si>
    <t>SULIKASMAMUNI BINTI MOHD YUSOFF</t>
  </si>
  <si>
    <t>L1-3-11 PANGSAPURI PAHLAWAN TAMAN TUN PERA 43200 CHERAS SELANGOR  Kuala Lumpur Kuala Lumpur - my 43200</t>
  </si>
  <si>
    <t>NVMY34535000006779</t>
  </si>
  <si>
    <t>ROSWANI</t>
  </si>
  <si>
    <t>392 JALAN TIMUR 2/7D TIMUR @ ENSTEK 71760 BANDAR ENSTEK NEGERI SEMBILAN  Bandar Enstek Negeri Sembilan - my 71760</t>
  </si>
  <si>
    <t>NVMY34535000006785</t>
  </si>
  <si>
    <t>TIJAN</t>
  </si>
  <si>
    <t>PT3743 BLOCK 2 (KUATERS ASKAR)  TAMAN DESA WIRA , KEMUMIN 16100 KOTA BHARU KELANTAN  Kota Bharu Kelantan - my 16100</t>
  </si>
  <si>
    <t>NVMY34535000006765</t>
  </si>
  <si>
    <t>MASITAH RAMLI</t>
  </si>
  <si>
    <t>95 TAMAN MUTIARA, 08000 SUNGAI PETANI KEDAH  Sungai Petani Kedah - my 08000</t>
  </si>
  <si>
    <t>NVMY34535000006763</t>
  </si>
  <si>
    <t>KHALILA</t>
  </si>
  <si>
    <t>12438 JALAN DENAI UTAMA KEMPAS DNAI, 81200 JOHOR BHARU JOHOR  Johor Bahru Johor - my 81200</t>
  </si>
  <si>
    <t>S7A-KEM-74</t>
  </si>
  <si>
    <t>NVMY34535000006778</t>
  </si>
  <si>
    <t>NUR ATHIRAH</t>
  </si>
  <si>
    <t>1244/1245 LORONG HJ HUSSIEN 2 , OFF JALAN RAJA MUDA 50300 KUALA LUMPUR  Kuala Lumpur Kuala Lumpur - my 50300</t>
  </si>
  <si>
    <t>NVMY34535000006758</t>
  </si>
  <si>
    <t>NUR ATIKAH</t>
  </si>
  <si>
    <t>NO 413 KAMPUNG PAYA SERDANG PADANG LEMBU GURUN 08330 KEDAH  Gurun Kedah - my 08330</t>
  </si>
  <si>
    <t>E3-GRN-33</t>
  </si>
  <si>
    <t>NVMY34535000006773</t>
  </si>
  <si>
    <t>NAJEMINDIN HASSAN</t>
  </si>
  <si>
    <t>KG GUNUNG SENYUM 28050 KUALA KRAU TEMERLOH PAHANG  Kuala Krau Pahang - my 28050</t>
  </si>
  <si>
    <t>NVMY34535000006777</t>
  </si>
  <si>
    <t>FAZLEE FESUL</t>
  </si>
  <si>
    <t>LOT 1352 JALAN KENANGA SIJANGKANG TELOK PANGLIMA GARANG 42500 SELANGOR  Telok Panglima Garang Selangor - my 42500</t>
  </si>
  <si>
    <t>NVMY34535000006738</t>
  </si>
  <si>
    <t>ROSDI BIN HUSIN</t>
  </si>
  <si>
    <t>68 LRG MANJUNG POINT 1/12 TAMAN MANJUNG POINT SEKSYEN 5 32040 SERI MANJUNG PERAK  Seri Manjong Perak - my 32040</t>
  </si>
  <si>
    <t>N6A-STW-60</t>
  </si>
  <si>
    <t>NVMY34535000006780</t>
  </si>
  <si>
    <t>KAMSIAH ABDUL</t>
  </si>
  <si>
    <t>NO 10 KAMPUNG MOHD AMIN 86200 SIMPANG RENGGAM JOHOR  Simpang Rengam Johor - my 86200</t>
  </si>
  <si>
    <t>S8-HTM-81</t>
  </si>
  <si>
    <t>NVMY34535000006784</t>
  </si>
  <si>
    <t>SITI NUR SYUHADA BT MOHAMED ZAKARIA</t>
  </si>
  <si>
    <t>NO 27 JLN TG BAKTI 6 TMN TG BAKTI 31250 PERAK  Tanjong Rambutan Perak - my 31250</t>
  </si>
  <si>
    <t>NVMY34535000006789</t>
  </si>
  <si>
    <t>MUHAMAD AZRI</t>
  </si>
  <si>
    <t>293C JALAN PERAK KAMPUNG DODOL 10150 GEORGETOWN PULAU PINANG  Pulau Pinang Pulau Pinang - my 10150</t>
  </si>
  <si>
    <t>N5-GEO-44</t>
  </si>
  <si>
    <t>NVMY34535000006799</t>
  </si>
  <si>
    <t>PUAN JAMIAH BT DARUS</t>
  </si>
  <si>
    <t>NO 14 JALAN SAWI LIMA 24/18E 40300 SHAH ALAM SELANGOR  Shah Alam Selangor - my 40300</t>
  </si>
  <si>
    <t>K10A-SHA-104</t>
  </si>
  <si>
    <t>NVMY34535000006788</t>
  </si>
  <si>
    <t>MOHD DZULHELMI BIN MORAD</t>
  </si>
  <si>
    <t>NO 2 BATU 58 JALAN WENG 09100 BALING KEDAH  Kuala Kedah Kedah - my 09100</t>
  </si>
  <si>
    <t>E3A-BAL-39</t>
  </si>
  <si>
    <t>NVMY34535000006794</t>
  </si>
  <si>
    <t>DIAYAN MOHAMAD</t>
  </si>
  <si>
    <t>NO 21 TAMAN SERI MURNI JALAN TANJUNG AGAS 30/189 JALAN KEBUN SEKSYEN 30 40460 SHAH ALAM KUALA LUMPUR  Shah Alam Selangor - my 40460</t>
  </si>
  <si>
    <t>K11A-KMU-117</t>
  </si>
  <si>
    <t>NVMY34535000006776</t>
  </si>
  <si>
    <t>SITI SALIHAH</t>
  </si>
  <si>
    <t>NO 1 BLOK 42 BANGSAR UTAMA 4, KUATERS KIMB BUKIT BANGSAR  59000 KUALA LUMPUR  Kuala Lumpur Kuala Lumpur - my 59000</t>
  </si>
  <si>
    <t>NVMY34535000006761</t>
  </si>
  <si>
    <t>SHAH ERWAN BIN MOHD B NORIZAN</t>
  </si>
  <si>
    <t>Labuan</t>
  </si>
  <si>
    <t>JABATAN RADIOLOGI HOSPITAL LABUAN PETI SURAT 81006, 87020 WP LABUAN  Labuan Labuan - my 87020</t>
  </si>
  <si>
    <t>NVMY34535000006781</t>
  </si>
  <si>
    <t>NURUL AMIRA BT MOHD YUSOFF</t>
  </si>
  <si>
    <t>NO 149 JLN SERAYA EMAS 1 TAMAN SERAYA EMAS 08000 SG.PETANI KEDAH  Sungai Petani Kedah - my 08000</t>
  </si>
  <si>
    <t>NVMY34535000006791</t>
  </si>
  <si>
    <t>ZAWIL FADZILAH BINTI YAHYA</t>
  </si>
  <si>
    <t>BLOK A 10 1 PERUMAHAN AWAM DBKL DESA REJANG SETAPAK 53300 KUALA LUMPUR  Kuala Lumpur Kuala Lumpur - my 53300</t>
  </si>
  <si>
    <t>K10A-WMJ-107</t>
  </si>
  <si>
    <t>NVMY34535000006768</t>
  </si>
  <si>
    <t>NVMY34535000006767</t>
  </si>
  <si>
    <t>NVMY34535000006786</t>
  </si>
  <si>
    <t>MAZIRA BINTI SHAFIE</t>
  </si>
  <si>
    <t>SMK SERI BINTANG SELATAN JALAN 3/91A TAMAN SHAMELIN PERKASA 56109 KUALA LUMPUR  Kuala Lumpur Kuala Lumpur Kuala Lumpur - my 56109</t>
  </si>
  <si>
    <t>K14-SHM-141</t>
  </si>
  <si>
    <t>NVMY34535000006793</t>
  </si>
  <si>
    <t>NORASIKIN BINTI MOHD AMIR</t>
  </si>
  <si>
    <t>NO 5 JALAN SUNGAI KAPAL 9 TAMAN BAYU DAMAI 81620 PENGERANG JOHOR  Pengerang Johor - my 81620</t>
  </si>
  <si>
    <t>NVMY34535000006787</t>
  </si>
  <si>
    <t>MOHD SHARUL HAFIZ BIN MAT SAPAR</t>
  </si>
  <si>
    <t>LOT 2807, LORONG TEMPINIS, BATU 17 1/2, JALAN KUANG 48050 RAWANG SELANGOR  Rawang Selangor - my 48050</t>
  </si>
  <si>
    <t>NVMY34535000006759</t>
  </si>
  <si>
    <t>NURUK QUSHIEDA BT ABDULLAH</t>
  </si>
  <si>
    <t>LOT 2898 LORONG MERBAU 5A RAMPANGI FASA 2 93050 KUCHING SARAWAK  Kuching Sarawak - my 93050</t>
  </si>
  <si>
    <t>NVMY34535000006770</t>
  </si>
  <si>
    <t>MOHD SHAFI BIN SHAMSUDIN</t>
  </si>
  <si>
    <t>BLOK A-3-10 DESA PASIFIK JALAN AMPANG KIRI 55000 KUALA LUMPUR  Kuala Lumpur Kuala Lumpur - my 55000</t>
  </si>
  <si>
    <t>NVMY34535000006800</t>
  </si>
  <si>
    <t>PN.SITI NORSHIDAH BT HASBULLAH</t>
  </si>
  <si>
    <t>AA 10 JALAN MASJID KG WIRA DAMAI (RUMAH BELAKANG) 68100 BATU CAVES SELANGOR  Batu Caves Selangor - my 68100</t>
  </si>
  <si>
    <t>NVMY34535000006790</t>
  </si>
  <si>
    <t>GRAHA WARISAN</t>
  </si>
  <si>
    <t>46A LENGKOK WIRA JAYA TIMUR 1 TAMAN TIMAH 31350 IPOH  Ipoh Perak - my 31350</t>
  </si>
  <si>
    <t>N6-HLD-48</t>
  </si>
  <si>
    <t>NVMY34535000006771</t>
  </si>
  <si>
    <t>MUHD FIRDAUS</t>
  </si>
  <si>
    <t>NO5115 LORONG 20 POKOK TAMPANG TASEK GELUGOR 13300 PULAU PINANG   Pulau Pinang my 13300</t>
  </si>
  <si>
    <t>NVMY34535000006796</t>
  </si>
  <si>
    <t>EN MOHAMAD MAHIDIN B MD. TAHIR</t>
  </si>
  <si>
    <t>POS 270, PARIT AMAL, JALAN TEMENGGONG AHAMD 84000 MUAR JOHOR  Muar Johor - my 84000</t>
  </si>
  <si>
    <t>S8-MUA-79</t>
  </si>
  <si>
    <t>NVMY34535000006801</t>
  </si>
  <si>
    <t>MOHD FIRDAUS YAHAYA</t>
  </si>
  <si>
    <t>390 MKS BUKIT INDRA MUDA 14400 KUBANG SEMANG BUKIT MERTAJAM PULAU PINANG  Kubang Semang Pulau Pinang - my 14400</t>
  </si>
  <si>
    <t>NVMY34535000006797</t>
  </si>
  <si>
    <t>NEK ZAHIRAH NEK YANG</t>
  </si>
  <si>
    <t>LOT 109 13 PPRT KG CHEPON 71600 KUALA KLAWANG NEGERI SEMBILAN  Kuala Klawang Negeri Sembilan - my 71600</t>
  </si>
  <si>
    <t>S9-BHU-82</t>
  </si>
  <si>
    <t>NVMY34535000006772</t>
  </si>
  <si>
    <t>ZULKIFLI BIN JAMAL</t>
  </si>
  <si>
    <t>SABAH, BEUFORT 89800  Beaufort Sabah - my 89800</t>
  </si>
  <si>
    <t>NVMY34535000006798</t>
  </si>
  <si>
    <t>EN SADAN B SELAMAT</t>
  </si>
  <si>
    <t>NO TIANG 129, KG. PARIT MASTAR 82200 BENUT PONTIAN JOHOR  Benut Johor - my 82200</t>
  </si>
  <si>
    <t>S7-PTN-66</t>
  </si>
  <si>
    <t>NVMY34535000006792</t>
  </si>
  <si>
    <t>MUHAMMAD ALIF HAIQAL BIN AZANI</t>
  </si>
  <si>
    <t>MARKAS TAKTIKAL TEBING RUNTUH POS TENTERA DARAT, KG TEBING RUNTUH , 81550 GELANG PATAH JOHOR BHARU  Gelang Patah Johor - my 81550</t>
  </si>
  <si>
    <t>NVMY34535000006774</t>
  </si>
  <si>
    <t>SHUHAIDA MAJID</t>
  </si>
  <si>
    <t>SK. PEKAN BAHARU, KAMPUNG BALI, 83600 SEMERAH BATU PAHAT JOHOR  Semerah Johor - my 83600</t>
  </si>
  <si>
    <t>NVMY34535000006782</t>
  </si>
  <si>
    <t>ITA</t>
  </si>
  <si>
    <t>D5-1-21, BLOCK D5 JALAN BUNGA SEMARAK 4, KEPAYAN RIDGE FASA 19, 88200 KOTA KINABALU SABAH  Kota Kinabalu Sabah - my 88200</t>
  </si>
  <si>
    <t>NVMY34535000006769</t>
  </si>
  <si>
    <t>ZULKIFLI LATIP</t>
  </si>
  <si>
    <t>NO 1912 KAMPUNG GERSIK BARU 87000 WILAYAH PERSEKUTUAN LABUAN  Labuan Labuan - my 87000</t>
  </si>
  <si>
    <t>NVMY34535000006742</t>
  </si>
  <si>
    <t>Returned to Sender</t>
  </si>
  <si>
    <t>HJH RABIAHTUL ADAWIYAH</t>
  </si>
  <si>
    <t xml:space="preserve">H20, KG LEPAR BARU, TANAH PUTEH 26600 PEKAN PAHANG </t>
  </si>
  <si>
    <t>N4A-PKN-26</t>
  </si>
  <si>
    <t>NVMY34535000006390</t>
  </si>
  <si>
    <t>L/KPL EVELYN ANAK GOFFERY</t>
  </si>
  <si>
    <t>BALAI POLIS KOTA SAMARAHAN IPD KOTA SAMARAHAN JALAN DATO MOHD MUSA 94300 KOTA SAMARAHAN SARAWAK  Kota Samarahan Sarawak - my 94300</t>
  </si>
  <si>
    <t>NVMY34535000006404</t>
  </si>
  <si>
    <t>NOOR HAYATY BINTI MUSTAPHA</t>
  </si>
  <si>
    <t>PEJABAT PESURUHJAYA SUMPAH, LOT NO 7, BLOCK A, 1ST FLOOR, SIPITANG PLAZA, LORONG MERPATI 89850 SIPITANG SABAH  Sipitang Sabah - my 89850</t>
  </si>
  <si>
    <t>M15-SIP-158</t>
  </si>
  <si>
    <t>NVMY34535000006411</t>
  </si>
  <si>
    <t>NUR NAJWA ZAFIRAH BINTI MOHD ZAKI</t>
  </si>
  <si>
    <t>B 1239, KAMPUNG BUKIT TUNGGAL 21200 KUALA TERENGGANU, TERENGGANU  Kuala Terengganu Terengganu - my 21200</t>
  </si>
  <si>
    <t>E2-GBK-11</t>
  </si>
  <si>
    <t>NVMY34535000006412</t>
  </si>
  <si>
    <t>MOHD FAZLY BIN HARUN</t>
  </si>
  <si>
    <t>KLINIK KESIHATAN AU2 KERAMAT, TAMAN SRI KERAMAT 54200 KUALA LUMPUR  Kuala Lumpur Kuala Lumpur - my 54200</t>
  </si>
  <si>
    <t>NVMY34535000006406</t>
  </si>
  <si>
    <t>JAYANTHI</t>
  </si>
  <si>
    <t>NO 13A JALAN SG 3/1 TAMAN SRI GOMBAK 68100 BATU CAVES SELANGOR  Batu Caves Selangor - my 68100</t>
  </si>
  <si>
    <t>NVMY34535000006395</t>
  </si>
  <si>
    <t>NORFAZLEN BINTI MD DESA</t>
  </si>
  <si>
    <t>NO 83 LORONG 2/SS1 BANDAR TASEK MUTIARA SEBERANG PERAI SELATAN 14120 PULAU PINANG  Perai Pulau Pinang - my 14120</t>
  </si>
  <si>
    <t>N5-SIM-43</t>
  </si>
  <si>
    <t>NVMY34535000006414</t>
  </si>
  <si>
    <t>AEISHAH HIJAB</t>
  </si>
  <si>
    <t>LOT 3070 KG BARU SUNGAI DURIAN 18000 KUALA KRAI KELANTAN  Kuala Krai Kelantan - my 18000</t>
  </si>
  <si>
    <t>E1A-RAI-7</t>
  </si>
  <si>
    <t>NVMY34535000006386</t>
  </si>
  <si>
    <t>SHEIK ALAUDEEN BIN MOHAMAD MYDIN</t>
  </si>
  <si>
    <t>513 B JALAN DAGOK TIMUR 93400 KUCHING SARAWAK  Kuching Sarawak - my 93400</t>
  </si>
  <si>
    <t>NVMY34535000006408</t>
  </si>
  <si>
    <t>MOHAMMAD ROSDIE ABDOLAH</t>
  </si>
  <si>
    <t>6634 PENGKALAN MUDA 13200 KEPALA BATAS SEBERANG PERAI UTARA PULAU PINANG  Kepala Batas Pulau Pinang - my 13200</t>
  </si>
  <si>
    <t>NVMY34535000006385</t>
  </si>
  <si>
    <t>SHAMSUL KAMAL BIN ROS @ CHE ROS</t>
  </si>
  <si>
    <t>NO 700 JLN PRIMA 15 PRIMA RESIDENSI UTAMA 08000 SUNGAI PETANI KEDAH  Sungai Petani Kedah - my 08000</t>
  </si>
  <si>
    <t>NVMY34535000006405</t>
  </si>
  <si>
    <t>MALAR</t>
  </si>
  <si>
    <t>36 LORONG JATI 43B TAMAN BANDAR SUNGAI LALANG 08100 BEDONG KEDAH  Bedong Kedah - my 08100</t>
  </si>
  <si>
    <t>NVMY34535000006413</t>
  </si>
  <si>
    <t>NOORMAZANA AWANG</t>
  </si>
  <si>
    <t>GIATMARA KEPONG,TINGKAT BAWAH BLOK F,PPR INTAN BAIDURI 52100 KEPONG UTARA,KUALA LUMPUR  Kuala Lumpur Kuala Lumpur - my 52100</t>
  </si>
  <si>
    <t>NVMY34535000006402</t>
  </si>
  <si>
    <t>NURUL ATHIRAH HAMZAH</t>
  </si>
  <si>
    <t>CYBER CITY APARTMENT PHASE 1 BLOCK F-8-2 JALAN LINTAS KEPAYAN 88200 KOTA KINABALU SABAH  Kota Kinabalu Sabah - my 88200</t>
  </si>
  <si>
    <t>NVMY34535000006410</t>
  </si>
  <si>
    <t>VILLA D, RUMAH KOPERASI, FELDA KECHAU 01, 27100 KUALA LIPIS PAHANG  Padang Tengku Pahang - my 27100</t>
  </si>
  <si>
    <t>N4A-LIP-29</t>
  </si>
  <si>
    <t>NVMY34535000006415</t>
  </si>
  <si>
    <t>NURINA ELLYANIS,(MS2318137634</t>
  </si>
  <si>
    <t>POS MINI,KOLEJ MATRIKULASI KEDAH,06010,CHANGLUN KEDAH  Changloon Kedah - my 06010</t>
  </si>
  <si>
    <t>NVMY34535000006407</t>
  </si>
  <si>
    <t>DR ZAINAL ABIDIN BIN ALI</t>
  </si>
  <si>
    <t>NO 65 JALAN CEMPAKA 35, TAMAN SERI CEMPAKA 71800 NILAI NEGERI SEMBILAN  Labu Negeri Sembilan - my 71800</t>
  </si>
  <si>
    <t>NVMY34535000006394</t>
  </si>
  <si>
    <t>L/KPL NORFARIZATUL RADIAH BT AZIZAN</t>
  </si>
  <si>
    <t>BAHAGIAN SIASATAN DAN PENGUATKUASAAN TRAFIK PDRM IBU PEJABAT POLIS DAERAH MELAKA TENGAH 75561 MELAKA TENGAH MELAKA  Melaka Melaka - my 75561</t>
  </si>
  <si>
    <t>S9A-PIA-92</t>
  </si>
  <si>
    <t>NVMY34535000006416</t>
  </si>
  <si>
    <t>NOR ZARINA SUBARI</t>
  </si>
  <si>
    <t>NO 41 JALAN LAMAN ORKID,3/7 LAMAN ORKID NILAI IMPIAN SEREMBAN 71800 NEGERI SEMBILAN  Seremban Negeri Sembilan - my 71800</t>
  </si>
  <si>
    <t>NVMY34535000006383</t>
  </si>
  <si>
    <t>L/KPL/S DOUGLES EMBIT ANAK BETIE</t>
  </si>
  <si>
    <t>CAW PENGANGKUTAN IBU PEJABAT POLIS DAERAH KAPIT POLIS DIRAJA MALAYSIA JAN SELIRIK 96800 KAPIT SARAWAK  Kapit Sarawak - my 96800</t>
  </si>
  <si>
    <t>NVMY34535000006399</t>
  </si>
  <si>
    <t>NO 52 JALAN BUKIT PUTERI 1/12 BANDAR PUTERI JAYA 08000 SUNGAI PETANI KEDAH  Kedah Sungai Petani Kedah - my 08000</t>
  </si>
  <si>
    <t>NVMY34535000006417</t>
  </si>
  <si>
    <t>AHLIM</t>
  </si>
  <si>
    <t>62,JALAN KAMPUNG BENTONG KLUANG 86000 JOHOR  Kluang Johor - my 86000</t>
  </si>
  <si>
    <t>NVMY34535000006387</t>
  </si>
  <si>
    <t>KPL BAHTIAR BIN BABA ZIN</t>
  </si>
  <si>
    <t>BALAI POLIS TELOK KEMANG JALAN PANTAI 71050 POST DICKSON NEGERI SEMBILAN  Port Dickson Negeri Sembilan - my 71050</t>
  </si>
  <si>
    <t>S9-PDS-85</t>
  </si>
  <si>
    <t>NVMY34535000006431</t>
  </si>
  <si>
    <t>MOHAMMAD AIMAN BIN ZAINUDDIN</t>
  </si>
  <si>
    <t>NO 109 LORONG ANGGERIK PERUMAHAN CHENERAS JAYA 27200 KUALA LIPIS PAHANG  Kuala Lipis Pahang - my 27200</t>
  </si>
  <si>
    <t>NVMY34535000006409</t>
  </si>
  <si>
    <t>NURUL HUDA AHAMAD</t>
  </si>
  <si>
    <t>PTD 8927B, JLN BAHAGIA, KG BUKIT TEMPURUNG, GELANG PATAH 81560 JOHOR BAHRU JOHOR   Johor my 81560</t>
  </si>
  <si>
    <t>NVMY34535000006430</t>
  </si>
  <si>
    <t>NOORHIDAYAH BINTI MODH DIN</t>
  </si>
  <si>
    <t>DR T SIVANESAN ORTHOPAEDIC CENTRE (M) SDN BHD MAHKOTA MEDICAL CENTRE SUITE 309A 3RD FLOOR 3 MAHKOTA MELAKA JALAN MERDEKA 75000 MELAKA  Melaka Melaka - my 75000</t>
  </si>
  <si>
    <t>NVMY34535000006424</t>
  </si>
  <si>
    <t>JENNY LAPOM</t>
  </si>
  <si>
    <t>SMK KENINGAU PETI SURAT 272 89008 KENINGAU SABAH  Keningau Sabah - my 89008</t>
  </si>
  <si>
    <t>NVMY34535000006432</t>
  </si>
  <si>
    <t>Bundle Bagus</t>
  </si>
  <si>
    <t>Lot 8133B Jln Gong Badak, Kg Wakaf Tembesu, 21300 Kuala Terengganu, Terengganu.   Terengganu my 21300</t>
  </si>
  <si>
    <t>NVMY34535000006442</t>
  </si>
  <si>
    <t>TRADE FINANCE DEPARTMENT SUITE 8.0 , 8TH FLOOR WISMA MARAN NO 28 MEDAN PASAR 50050 KUALA LUMPUR (ATTN : TRADE OPERATIONS SECTION)  Kuala Lumpur Kuala Lumpur - my 50050</t>
  </si>
  <si>
    <t>NVMY34535000006418</t>
  </si>
  <si>
    <t>TENGKU MASURI</t>
  </si>
  <si>
    <t>MINI MART LADANG KAWASAN BERSERI KM 11 JALAN KAKI BUKIT KANGAR 02400 PERLIS  Kangar Perlis - my 02400</t>
  </si>
  <si>
    <t>E3-BSR-34</t>
  </si>
  <si>
    <t>NVMY34535000006419</t>
  </si>
  <si>
    <t>NVMY34535000006421</t>
  </si>
  <si>
    <t>FATIHAH BTE ZUKIMAN</t>
  </si>
  <si>
    <t>A2-C-02 HOSPITAL SULTANAH HAJJAH KALSOM TANAH RATA 39000 PAHANG    Pahang my 39000</t>
  </si>
  <si>
    <t>NVMY34535000006429</t>
  </si>
  <si>
    <t>SOFEA YASMIN</t>
  </si>
  <si>
    <t>LOT 276 A KAMPUNG SARING (STOR MOZEK) 16800 PASIR PUTEH KELANTAN  Pasir Puteh Kelantan - my 16800</t>
  </si>
  <si>
    <t>E1A-PTH-8</t>
  </si>
  <si>
    <t>NVMY34535000006425</t>
  </si>
  <si>
    <t>Rosmi Syahbudin</t>
  </si>
  <si>
    <t>No. 18, Lot 227 Taman Jasmine, Lorong Camar 11,  Jalan Camar off Jalan Depo, 93050 Petra Jaya, Kuching Sarawak   Sarawak my 93050</t>
  </si>
  <si>
    <t>NVMY34535000006422</t>
  </si>
  <si>
    <t>INSAH</t>
  </si>
  <si>
    <t>LOT 2184 LORONG HJH. KASMI SG. UDANG 41250 KLANG SELANGOR  Klang Selangor - my 41250</t>
  </si>
  <si>
    <t>K11A-PKL-118</t>
  </si>
  <si>
    <t>NVMY34535000006437</t>
  </si>
  <si>
    <t>1 &amp; 3 JALAN TPP 6/8 TAMAN PERINDUSTRIAN PUCHONG 47100 SELANGOR  Telok Panglima Garang Selangor - my 47100</t>
  </si>
  <si>
    <t>NVMY34535000006427</t>
  </si>
  <si>
    <t>BROTHER95</t>
  </si>
  <si>
    <t>NO 9 JALAN 7/6 SEKSYEN 7 BANDAR BARU BANGI 43650 SELANGOR  Bandar Baru Bangi Selangor - my 43650</t>
  </si>
  <si>
    <t>NVMY34535000006440</t>
  </si>
  <si>
    <t>NORFAZILA BINTI FAUZI</t>
  </si>
  <si>
    <t>NO 13A LORONG TEMPOYANG DAMAI 1, TAMAN TEMPOYANG DAMAI 27200 KUALA LIPIS PAHANG  Kuala Lipis Pahang - my 27200</t>
  </si>
  <si>
    <t>NVMY34535000006439</t>
  </si>
  <si>
    <t>NORHAFIZAH AZIRMAN</t>
  </si>
  <si>
    <t>MIN GARAGE TRADING NO 158 PERSIARAN SUSUR OFF, PERSIARAN RAJA MUDA MUSA, 41100 KLANG SELANGOR  Klang Selangor - my 41100</t>
  </si>
  <si>
    <t>NVMY34535000006433</t>
  </si>
  <si>
    <t>LAILI GHAZALI</t>
  </si>
  <si>
    <t>BLOK A.4.11 PANGSAPURI BISTARI SRI PERANTAU 42000 PELABUHAN KLANG SELANGOR  Pelabuhan Klang Selangor - my 42000</t>
  </si>
  <si>
    <t>NVMY34535000006434</t>
  </si>
  <si>
    <t>NVMY34535000006445</t>
  </si>
  <si>
    <t>MOHD FAWWAZ</t>
  </si>
  <si>
    <t>C9-30 LESTARI APARTMENT, JLN PJU U10/1B, DAMANSARA DAMAI 47830 PETALING JAYA SELANGOR  Petaling Jaya Selangor - my 47830</t>
  </si>
  <si>
    <t>K11A-KEP-115</t>
  </si>
  <si>
    <t>NVMY34535000006435</t>
  </si>
  <si>
    <t>MOHD SYAFIQ AIMAN</t>
  </si>
  <si>
    <t>D-7-11 APARTMENT SRI HIJAUAN, JALAN UP 2/1 TAMAN UKAY PERDANA 68000 AMPANG SELANGOR  Ampang Selangor - my 68000</t>
  </si>
  <si>
    <t>NVMY34535000006420</t>
  </si>
  <si>
    <t>MUHAMMAD IQBAL BIN NARDRI</t>
  </si>
  <si>
    <t>BLOCK M 013 JALAN BATU NILAM 34, BANDAR BUKIT TINGGI 2, 41200 KLANG SELANGOR  Klang Selangor - my 41200</t>
  </si>
  <si>
    <t>K14-BTK-139</t>
  </si>
  <si>
    <t>NVMY34535000006444</t>
  </si>
  <si>
    <t>MOHAMMAD BUSRI TERMIZI</t>
  </si>
  <si>
    <t>NO 51 JALAN SPEKTRUM U16/18, TAMAN BUKIT SUBANG SEKSYEN U16, 40150 SHAH ALAM SELANGOR   Shah Alam Selangor - my 40150</t>
  </si>
  <si>
    <t>NVMY34535000006426</t>
  </si>
  <si>
    <t>MOHD KHAIR BIN RAMLI</t>
  </si>
  <si>
    <t>NO 24 PINTAS TERUBOK 3 SEBERANG JAYA MUKIM 1 SEBERANG PERAI TENGAH PENANG  Perai Pulau Pinang - my 13700</t>
  </si>
  <si>
    <t>N5-BWH-41</t>
  </si>
  <si>
    <t>NVMY34535000006441</t>
  </si>
  <si>
    <t>TERESA CHOON</t>
  </si>
  <si>
    <t>21 JALAN SS 22/29 DAMANSARA JAYA 47400 PETALING JAYA SELANGOR  Petaling Jaya Selangor - my 47400</t>
  </si>
  <si>
    <t>NVMY34535000006443</t>
  </si>
  <si>
    <t>MR SIAH</t>
  </si>
  <si>
    <t>VIGOR PRINTING SDN BHD, NO 3 LORONG IKS SIMPANG AMPANG L, TAMAN IKS SIMPANG AMPAT 14100 SIMPAT AMPAT PULAU PINANG  Simpang Ampat Pulau Pinang - my 14100</t>
  </si>
  <si>
    <t>NVMY34535000006438</t>
  </si>
  <si>
    <t>CAMPAP MARKETING SDN BHD</t>
  </si>
  <si>
    <t>6128, LORONG MAK MANDIN TIGA, MAK MANDIN INDUSTRIAL ESTATE, 13400 BUTTERWORTH PULAU PINANG  Butterworth Pulau Pinang - my 13400</t>
  </si>
  <si>
    <t>NVMY34535000006436</t>
  </si>
  <si>
    <t>NUR AIN</t>
  </si>
  <si>
    <t>NO 1684 JLN WARISAN A57 PRECINT 6 70400 SEREMBAN NEGERI SEMBILAN  Seremban Negeri Sembilan - my 70400</t>
  </si>
  <si>
    <t>NVMY34535000006384</t>
  </si>
  <si>
    <t>KPL MUHAMMAD HADI BIN HJ. MUHAMMAD ALI</t>
  </si>
  <si>
    <t>IBU PEJABAT POLIS DAERAH PUTRAJAYA CAWANGAN DCC PRESINT 7 WILAYAH PERSEKUTUAN PUTRAJAYA</t>
  </si>
  <si>
    <t>NVMY34535000006452</t>
  </si>
  <si>
    <t>NOOR FAMISAH ZULKIFLI</t>
  </si>
  <si>
    <t>LOT 3482 LORONG HAJI DA, BATU BURUK 20400 KUALA TERENGGANU  Kuala Terengganu Terengganu - my 20400</t>
  </si>
  <si>
    <t>NVMY34535000006446</t>
  </si>
  <si>
    <t>CHEE GUIQI</t>
  </si>
  <si>
    <t>B-13-20 H2O ARA DAMANSARA NO 1 JALAN PETALING JAYA 1A/3 ARA DAMANSARA 47301 PETALING JAYA SELANGOR  Petaling Jaya Selangor - my 47301</t>
  </si>
  <si>
    <t>NVMY34535000006451</t>
  </si>
  <si>
    <t>RUBY</t>
  </si>
  <si>
    <t>2206 KG GONG KIAT 20050 KUALA TERENGGANU  Kuala Terengganu Terengganu - my 20050</t>
  </si>
  <si>
    <t>E2-PYG-17</t>
  </si>
  <si>
    <t>NVMY34535000006447</t>
  </si>
  <si>
    <t>JOANNE SONG</t>
  </si>
  <si>
    <t>35 MESRA TERRACE, NO 7 JALAN DUTAMAS RAYA 51200 KUALA LUMPUR  Kuala Lumpur Kuala Lumpur - my 51200</t>
  </si>
  <si>
    <t>NVMY34535000006423</t>
  </si>
  <si>
    <t>NORIHAN ISMAIL</t>
  </si>
  <si>
    <t>LOT 46163 NO PT1114 JALAN NENAS BATU 9 JALAN SUNGAI TUA 68100 BATU CAVES SELANGOR  Selangor Batu Caves Selangor - my 68100</t>
  </si>
  <si>
    <t>NVMY34535000006463</t>
  </si>
  <si>
    <t>ZAHAR</t>
  </si>
  <si>
    <t>ZZ AUTO ENT, NO 25 BENGKEL IKS KERAMAT JALAN AU3 KERAMAT 54200 KUALA LUMPUR  Kuala Lumpur Kuala Lumpur - my 54200</t>
  </si>
  <si>
    <t>NVMY34535000006453</t>
  </si>
  <si>
    <t>NORAZURA MOHD SULAIMAN</t>
  </si>
  <si>
    <t>NO 5C, KG PAYA TOK BETOK SG ULAR, KULIM 09000 KEDAH  Kulim Kedah - my 09000</t>
  </si>
  <si>
    <t>N5-KLM-40</t>
  </si>
  <si>
    <t>NVMY34535000006450</t>
  </si>
  <si>
    <t>SITI HAJAR</t>
  </si>
  <si>
    <t>B6-03-31 BLOCK 6 JALAN PSJ 6 6/D JALAN DESA MENTARI 46000 PETALING JAYA SELANGOR  Petaling Jaya Selangor - my 46000</t>
  </si>
  <si>
    <t>NVMY34535000006448</t>
  </si>
  <si>
    <t>NVMY34535000006462</t>
  </si>
  <si>
    <t>EN SHUKRI B MOHAMAD</t>
  </si>
  <si>
    <t>139A, KG MASJID HJ KHADIR 21100 KUALA TERENGGANU, TERENGGANU  Kuala Terengganu Terengganu - my 21100</t>
  </si>
  <si>
    <t>NVMY34535000006461</t>
  </si>
  <si>
    <t>139A, KG MASJID HJ KHADIR 2100 KUALA TERENGGANU, TERENGGANU  Kuala Terengganu Terengganu - my 21100</t>
  </si>
  <si>
    <t>NVMY34535000006428</t>
  </si>
  <si>
    <t>RUZAINI BT OMAR</t>
  </si>
  <si>
    <t>NO 226 KAMPUNG KUAH 07000 PULAU LANGKAWI KEDAH  Langkawi Kedah - my 07000</t>
  </si>
  <si>
    <t>NVMY34535000006449</t>
  </si>
  <si>
    <t>NURUL AMIRAH</t>
  </si>
  <si>
    <t>C-0-11, PEANGSAPURI MUTIARA PERDANA, JALAN JPS 7/15, 47150 PETALING JAYA SELANGOR  Petaling Jaya Selangor - my 47150</t>
  </si>
  <si>
    <t>NVMY34535000006464</t>
  </si>
  <si>
    <t>AZHAR MAT SALEH</t>
  </si>
  <si>
    <t>2-5-8 PANTAI PANORAMA CONDO 112H OFF JALAN KERINCHI 59200 KUALA LUMPUR  Kuala Lumpur Kuala Lumpur - my 59200</t>
  </si>
  <si>
    <t>NVMY34535000006460</t>
  </si>
  <si>
    <t>AZIZAH BT HARUN</t>
  </si>
  <si>
    <t>NO 2D-3 LORONG KANCIL, KG KLANG GATE BARU 53100 SETAPAK KUALA LUMPUR  Kuala Lumpur Selangor - my 53100</t>
  </si>
  <si>
    <t>NVMY34535000006468</t>
  </si>
  <si>
    <t>NUR FAIZAH</t>
  </si>
  <si>
    <t>C-8-3 RESIDENSI BINTANG SHAMELIN (BLOK CAPELLA), JALAN 4/91 TAMAN SHAMELIN PERKASA 56100 KUALA LUMPUR  Kuala Lumpur Kuala Lumpur - my 56100</t>
  </si>
  <si>
    <t>NVMY34535000006487</t>
  </si>
  <si>
    <t>Siti norhidayah binti mohd amin</t>
  </si>
  <si>
    <t>Klinik safwa indera mahkota, A23&amp;A25, Ground floor, Jln IM7 /3, Bandar Indera Mahkota, 25200 Kuantan  Kuantan Pahang - my 25200</t>
  </si>
  <si>
    <t>NVMY34535000006382</t>
  </si>
  <si>
    <t>L/KPL AZIZUL BIN ABDUL ISBAT</t>
  </si>
  <si>
    <t>PLATUN 5 KOMPENI B BATALION 17 PASUKAN GERAKAN AM LAHAD DATU SABAH  Lahad Datu Sabah - my 91100</t>
  </si>
  <si>
    <t>NVMY34535000006492</t>
  </si>
  <si>
    <t>Zarini bt Ismail</t>
  </si>
  <si>
    <t>No 1751 B Jalan Diwangsa, Bdr Baru Jerantut 27000 Jerantut  Jerantut Pahang - my 27000</t>
  </si>
  <si>
    <t>NVMY34535000006474</t>
  </si>
  <si>
    <t>Husna Asri</t>
  </si>
  <si>
    <t>W1/23 Lorong Rogayah 17000 pasir mas kelantan  Pasir Mas Kelantan - my 17000</t>
  </si>
  <si>
    <t>NVMY34535000006458</t>
  </si>
  <si>
    <t>NVMY34535000006488</t>
  </si>
  <si>
    <t>Ereena Amri</t>
  </si>
  <si>
    <t>No 29, Jalan 8/3, Seksyen 8, 43650, Bandar Baru Bangi, Selangor  Bandar Baru Bangi Selangor - my 43650</t>
  </si>
  <si>
    <t>NVMY34535000006457</t>
  </si>
  <si>
    <t>NVMY34535000006456</t>
  </si>
  <si>
    <t>NVMY34535000006495</t>
  </si>
  <si>
    <t>EN KHAIRUL MUZAYUZIL B MOHAMED</t>
  </si>
  <si>
    <t>NO 10 LORONG 2, TAMAN TANJONG AGAS ROSA 26600 PEKAN PAHANG   Pekan Pahang - my 26600</t>
  </si>
  <si>
    <t>NVMY34535000006454</t>
  </si>
  <si>
    <t>MIMIE HISYAM</t>
  </si>
  <si>
    <t>LOT 308 KAMPUNG PANJANG 16150 KOTA BHARU KELANTAN  Kota Bharu Kelantan - my 16150</t>
  </si>
  <si>
    <t>E1-BCK-3</t>
  </si>
  <si>
    <t>NVMY34535000006466</t>
  </si>
  <si>
    <t>ERIN JAMAL</t>
  </si>
  <si>
    <t>NO 6 LORONG MEWAH 11, TAMAN MEWAH 34600 KAMUNTING PERAK  Kamunting Perak - my 34600</t>
  </si>
  <si>
    <t>NVMY34535000006480</t>
  </si>
  <si>
    <t>Nor Aisya Hanim Binti Mohd Nadzri</t>
  </si>
  <si>
    <t>Lot 1691, Kg Baru, Pulau Serai, 26600 Pekan, Pahang  Pekan Pahang - my 26600</t>
  </si>
  <si>
    <t>NVMY34535000006475</t>
  </si>
  <si>
    <t>alisya shahidah</t>
  </si>
  <si>
    <t>No 43, Lorong pedah 4 taman sri pedah jerantut feri, 27150 jerantut pahang  Jerantut Pahang - my 27150</t>
  </si>
  <si>
    <t>NVMY34535000006485</t>
  </si>
  <si>
    <t>Athirah Hanif Bt Mat Nong</t>
  </si>
  <si>
    <t>LOT 9394 A, HADAPAN KOMPLEKS WAWASAN AL-KAUTHAR, KG KUBANG LEMBEK MANIR, 21200 KUALA TERENGGANU, TERENGGANU  Kuala Terengganu Terengganu - my 21200</t>
  </si>
  <si>
    <t>NVMY34535000006478</t>
  </si>
  <si>
    <t>ISMA</t>
  </si>
  <si>
    <t>11-013 lorong sek kanan 1g,desa mawar 1,26700 muadzam shah,pahang darul makmur  Muadzam Shah Pahang - my 26700</t>
  </si>
  <si>
    <t>NVMY34535000006496</t>
  </si>
  <si>
    <t>PUAN HARLINA BT MOHD ALI</t>
  </si>
  <si>
    <t>NO 50 JALAN BUKIT PERMAI 2, TAMAN BUKIT PERMAI 56100 AMPANG SELANGOR  Kuala Lumpur Kuala Lumpur - my 56100</t>
  </si>
  <si>
    <t>K11-TMJ-113</t>
  </si>
  <si>
    <t>NVMY34535000006489</t>
  </si>
  <si>
    <t>Sakina Saari</t>
  </si>
  <si>
    <t>Lot 6313 Jalan Melati Kg Bukit Rhu Rendang 21600 Marang Terengganu  Marang Terengganu - my 21600</t>
  </si>
  <si>
    <t>NVMY34535000006494</t>
  </si>
  <si>
    <t>PN RASYIDAH BT ISMAIL</t>
  </si>
  <si>
    <t>LOT 9875 A, JALAN BUKIT MUNDUK, BUKIT LAWANG 21210 KUALA TERENGGANU, TERENGGANU  Kuala Terengganu Terengganu - my 21210</t>
  </si>
  <si>
    <t>E2-AJL-13</t>
  </si>
  <si>
    <t>NVMY34535000006455</t>
  </si>
  <si>
    <t>WAN NUR FARHANA BT WAN ISMAIL</t>
  </si>
  <si>
    <t>PT5954 TAMAN SAUJANA HARMONI, JALAN BALAU 1/4, 18300 GUA MUSANG KELANTAN  Gua Musang Kelantan - my 18300</t>
  </si>
  <si>
    <t>E1B-GUA-10</t>
  </si>
  <si>
    <t>NVMY34535000006459</t>
  </si>
  <si>
    <t>MUHAMAD FITRI AKRAM BIN MOHD AZMI</t>
  </si>
  <si>
    <t>BLOK A# 3-15 SERI BENDAHARA PANGSAPURI BUKIT SAUJANA YAHYA AWAL 80100 JOHOR BAHRU  Johor Bahru Johor - my 80100</t>
  </si>
  <si>
    <t>S7A-LKN-72</t>
  </si>
  <si>
    <t>NVMY34535000006490</t>
  </si>
  <si>
    <t>Fiqa</t>
  </si>
  <si>
    <t>SB2-11-06 D sara Sentral, Sungai Buloh Sentral, Jalan Welfare, Kg Baru Sungai Buloh, Seksyen U19, 40160 Shah Alam, Selangor, Petaling, 40160, Selangor  Shah Alam Selangor - my 40160</t>
  </si>
  <si>
    <t>K10A-SZB-103</t>
  </si>
  <si>
    <t>NVMY34535000006467</t>
  </si>
  <si>
    <t>NUR HUSNANI ATIKAH BINTI AZMA</t>
  </si>
  <si>
    <t>KM60 DEPAN SEK KEB KAMPUNG RAHMAT CHALOK 21450 SETIU TERENGGANU  Chalok Terengganu - my 21450</t>
  </si>
  <si>
    <t>NVMY34535000006470</t>
  </si>
  <si>
    <t>KYODAI AUTOPARTS &amp; SERVICE</t>
  </si>
  <si>
    <t>NO27,JALAN MERU INDAH 19,TAMAN PERINDUSTRIAN MERU INDAH,MERU 41050 KLANG SELANGOR  Klang Selangor - my 41050</t>
  </si>
  <si>
    <t>NVMY34535000006465</t>
  </si>
  <si>
    <t>NUR A'RIFAH</t>
  </si>
  <si>
    <t>189, JEJAWI DALAM, KM 3, KG ORAN 02500 MATA AYER PERLIS  Kangar Perlis - my 02500</t>
  </si>
  <si>
    <t>NVMY34535000006469</t>
  </si>
  <si>
    <t>ALYA QISTINA</t>
  </si>
  <si>
    <t>KG SUNGAI BERLIAN 5 BATU 9 1/2 JALAN LABIS 83700 YONG PENG JOHOR  Yong Peng Johor - my 83700</t>
  </si>
  <si>
    <t>NVMY34535000006473</t>
  </si>
  <si>
    <t>afiqah johari</t>
  </si>
  <si>
    <t>LOT 462-D JALAN AHMAD, KAMPUNG JAWA, 85000 SEGAMAT,  JOHOR  Segamat Johor - my 85000</t>
  </si>
  <si>
    <t>S8-SGT-77</t>
  </si>
  <si>
    <t>NVMY34535000006483</t>
  </si>
  <si>
    <t>HAZWANI AHMAD</t>
  </si>
  <si>
    <t>NO 35, JALAN PRESINT 3/25, AYERA RESIDENCE, TAMAN TELUK TROPIKANA, 81750 MASAI JOHOR BAHRU  Masai Johor - my 81750</t>
  </si>
  <si>
    <t>NVMY34535000006513</t>
  </si>
  <si>
    <t>NVMY34535000006516</t>
  </si>
  <si>
    <t>NURUL HAYATI</t>
  </si>
  <si>
    <t>JOMPHONE EMPIRE 405C, JALAN 1A/3, BANDAR BARU SUNGAI BULOH 47000 SUNGAI BULOH SELANGOR  Sungai Buloh Selangor - my 47000</t>
  </si>
  <si>
    <t>NVMY34535000006486</t>
  </si>
  <si>
    <t>Haziratul Ainain Bt Samuri Andalas</t>
  </si>
  <si>
    <t>Lot 4285 Jalan petai kampung sri jaya batu 6, 81200 Johor bahru  Johor Bahru Johor - my 81200</t>
  </si>
  <si>
    <t>NVMY34535000006493</t>
  </si>
  <si>
    <t>Husna Alidarithous</t>
  </si>
  <si>
    <t>No 6861, Jalan Mentimun, Taman Sejahtera Fasa 2 Tambahan, 31900 Kampar, Perak  Kampar Perak - my 31900</t>
  </si>
  <si>
    <t>NVMY34535000006506</t>
  </si>
  <si>
    <t>MOHD ADAM HAFIZ</t>
  </si>
  <si>
    <t>NO 19 JALAN DAGANG 4/3 TAMAN DAGANG 68000 AMPANG SELANGOR  Ampang Selangor - my 68000</t>
  </si>
  <si>
    <t>NVMY34535000006472</t>
  </si>
  <si>
    <t>Nur farina bt ibrahim</t>
  </si>
  <si>
    <t>Lot 3821,(Bengkel Kereta), Kampung Parit Datok Onn, Ayer Baloi, 82100, Pontian, Johor  Ayer Baloi Johor - my 82100</t>
  </si>
  <si>
    <t>NVMY34535000006502</t>
  </si>
  <si>
    <t>Nazatul Azua</t>
  </si>
  <si>
    <t>PT 347, Taman Perumahan Desa Kujid, Depan Jpj Panji, 16100 Kota Bharu, Kelantan  Kota Bharu Kelantan - my 16100</t>
  </si>
  <si>
    <t>NVMY34535000006484</t>
  </si>
  <si>
    <t>Ainun Nasuha Binti Abdull Rani</t>
  </si>
  <si>
    <t>No 9166 Kampung Dew 34400 Simpang Empat Semanggol Perak  Simpang Ampat Semanggol Perak - my 34400</t>
  </si>
  <si>
    <t>N6A-BAG-58</t>
  </si>
  <si>
    <t>NVMY34535000006508</t>
  </si>
  <si>
    <t>SAKINAH MUNAUWIR</t>
  </si>
  <si>
    <t>NO 9 JALAN BUKIT 1, TAMAN DESA UTAMA, SG MERAB LUAR 43000 KAJANG SELANGOR  Kajang Selangor - my 43000</t>
  </si>
  <si>
    <t>NVMY34535000006491</t>
  </si>
  <si>
    <t>Intan Azm</t>
  </si>
  <si>
    <t>17 Jalan Bayan 65, Taman Megah Ria, 81750 Masai,  Johor  Masai Johor - my 81750</t>
  </si>
  <si>
    <t>NVMY34535000006498</t>
  </si>
  <si>
    <t>Ainatul Syahirah bt Md Zaini</t>
  </si>
  <si>
    <t>Pejabat Kolej Kediaman, Institut Pendidikan Guru Kampus Sultan Mizan, Kota Putra, 22200 Besut, Terengganu  Kampung Raja Terengganu - my 22200</t>
  </si>
  <si>
    <t>NVMY34535000006482</t>
  </si>
  <si>
    <t>Azmirah Sarli</t>
  </si>
  <si>
    <t>Lorong Sabariman Kampung Parit Semerah 82000 pontian johor  Pontian Johor - my 82000</t>
  </si>
  <si>
    <t>NVMY34535000006471</t>
  </si>
  <si>
    <t>Lorong Sabariman Kampung Parit Semerah 82000 pontian jonor  Pontian Johor - my 82000</t>
  </si>
  <si>
    <t>NVMY34535000006507</t>
  </si>
  <si>
    <t>EZLIN BT AB AZIZ</t>
  </si>
  <si>
    <t>NO 35 JLN KS 1/7, 25200 KOTASAS KUANTAN PAHANG  Kuantan Pahang - my 25200</t>
  </si>
  <si>
    <t>NVMY34535000006392</t>
  </si>
  <si>
    <t>L/KPL MOHAMED ARIFIN BIN ISHAR</t>
  </si>
  <si>
    <t>JABATAN SIASATAN DAN PENGUATKUASAAN TRAFIK PDRM IBU PEJABAT POLIS DIRAJA MALAYSIA BUKIT AMAN TINGKAT 21 MENARA 1 BUKIT AMAN 50560 KUALA LUMPUR</t>
  </si>
  <si>
    <t>NVMY34535000006391</t>
  </si>
  <si>
    <t>L/KPL AMIRUL SYAHMI BIN ABU BAKAR</t>
  </si>
  <si>
    <t>NVMY34535000006505</t>
  </si>
  <si>
    <t>NURDURANI MUNIRAH</t>
  </si>
  <si>
    <t>LOT 2610 KAMPUNG KUBUR DATU 17610 KUALA BALAH JELI KELANTAN  Kuala Balah Kelantan - my 17610</t>
  </si>
  <si>
    <t>NVMY34535000006479</t>
  </si>
  <si>
    <t>AFINA</t>
  </si>
  <si>
    <t>14 JALAN KEMPAS 9/5 JOHOR BHARU 81200 JOHOR  Johor Bahru Johor - my 81200</t>
  </si>
  <si>
    <t>NVMY34535000006481</t>
  </si>
  <si>
    <t>syahirah shafei</t>
  </si>
  <si>
    <t>2A-3-11 PSRN NURI TAMAN SETIA PULAU MUTIARA  11900 BAYAN LEPAS PULAU PINANG  Bayan Lepas Pulau Pinang - my 11900</t>
  </si>
  <si>
    <t>N5-BAY-45</t>
  </si>
  <si>
    <t>NVMY34535000006511</t>
  </si>
  <si>
    <t>MALINA</t>
  </si>
  <si>
    <t>NO 2 LINTASAN MERU PERMAI 4, 30020 IPOH PERAK  Ipoh Perak - my 30020</t>
  </si>
  <si>
    <t>NVMY34535000006514</t>
  </si>
  <si>
    <t>AZMIL BIN KASNON</t>
  </si>
  <si>
    <t>NO 2 JLN ANGGERIK FELCRA BUKIT KEPONG, LABIS 85300 SEGAMAT JOHOR  Labis Johor - my 85300</t>
  </si>
  <si>
    <t>NVMY34535000006500</t>
  </si>
  <si>
    <t>Nur Alesya Binti Mohd Khairudin</t>
  </si>
  <si>
    <t>No 1 Lot 1316 Jalan Kolej Islam Kuala Sungai Baru 78200 Kuala Sungai Baru Melaka  Kuala Sungai Baru Melaka - my 78200</t>
  </si>
  <si>
    <t>NVMY34535000006477</t>
  </si>
  <si>
    <t>SITI FATIMAH</t>
  </si>
  <si>
    <t>no 55 jalan besar 34300 bagan serai Perak  Bagan Serai Perak - my 34300</t>
  </si>
  <si>
    <t>NVMY34535000006501</t>
  </si>
  <si>
    <t>NURUL JANNAH BINTI ABDULLAH</t>
  </si>
  <si>
    <t>No. 7, BJ 23, Taman Bertam Jaya, 75250, Cheng, Melaka  Melaka Melaka - my 75250</t>
  </si>
  <si>
    <t>S9A-MYK-88</t>
  </si>
  <si>
    <t>NVMY34535000006510</t>
  </si>
  <si>
    <t>MOHD IQMAL</t>
  </si>
  <si>
    <t>NO 29A, LALUAN TRANSIT 2, TAMAN BATU GAJAH TRANSIT 31000 BATU GAJAH PERAK  Batu Gajah Perak - my 31000</t>
  </si>
  <si>
    <t>N6-GAJ-49</t>
  </si>
  <si>
    <t>NVMY34535000006499</t>
  </si>
  <si>
    <t>Nor Ashikin bt Mohd Yassin</t>
  </si>
  <si>
    <t>No 1 kg masjid 28050 kuala krau temerloh pahang  Pahang Kuala Krau Pahang - my 28050</t>
  </si>
  <si>
    <t>NVMY34535000006519</t>
  </si>
  <si>
    <t>MISS SIEW</t>
  </si>
  <si>
    <t>BTK INTEGRATED TRANSPORT SDN BHD, LOT 1030 &amp; 1070, JLN KUALA KANGSAR 34700 SIMPANG TAIPING, PERAK  Simpang Perak - my 34700</t>
  </si>
  <si>
    <t>NVMY34535000006497</t>
  </si>
  <si>
    <t>siti sahara bte muhamad</t>
  </si>
  <si>
    <t>Kg parit haji salleh ros, pos 15, t/l 21,mukim 8,86400,parit raja batu pahat johor  Parit Raja Johor - my 86400</t>
  </si>
  <si>
    <t>NVMY34535000006503</t>
  </si>
  <si>
    <t>Husna jasmi</t>
  </si>
  <si>
    <t>372 TAMAN SAMUDERA FASA 2 JALAN KILANG TEBU , ALOR SETAR , 05050 KEDAH DARUL AMAN   Kedah my 05050</t>
  </si>
  <si>
    <t>NVMY34535000006515</t>
  </si>
  <si>
    <t>AMANINA DZULKEFLI</t>
  </si>
  <si>
    <t>NO 28 JALAN INDAH 3/1 TAMAN KLUANG INDAH 86000 KLUANG JOHOR  Kluang Johor - my 86000</t>
  </si>
  <si>
    <t>NVMY34535000006512</t>
  </si>
  <si>
    <t>SYAFIQAH CHE MAT</t>
  </si>
  <si>
    <t>12-12 SIMFONI 2, JALAN ANGGERIK VILLA 2/3, TAMAN ANGGERIK PERDANA 43500 SEMENYIH SELANGOR  Shah Alam Selangor - my 43500</t>
  </si>
  <si>
    <t>NVMY34535000006518</t>
  </si>
  <si>
    <t>AMANAH RAYA BERHAD</t>
  </si>
  <si>
    <t>CAWANGAN KOTA BHARU, PT 438 &amp; 439, TINGKAT BAWAH  &amp; SATU, JALAN SULTAN YAHYA PETRA 15200 KOTA BHARU KELANTAN  Kelantan Kota Bharu Kelantan - my 15200</t>
  </si>
  <si>
    <t>NVMY34535000006538</t>
  </si>
  <si>
    <t>NVMY34535000006536</t>
  </si>
  <si>
    <t>ZAKI BIN MAJID</t>
  </si>
  <si>
    <t>LOT 2174 KG BUNOHAN 16210 TUMPAT, KELANTAN  Tumpat Kelantan - my 16210</t>
  </si>
  <si>
    <t>NVMY34535000006534</t>
  </si>
  <si>
    <t>AZUAN  RAHMAN</t>
  </si>
  <si>
    <t>67 JPN  KG KERINTING GUA MUSANG 18300 KELANTAN  Gua Musang Kelantan - my 18300</t>
  </si>
  <si>
    <t>NVMY34535000006476</t>
  </si>
  <si>
    <t>Nurmaizatullah sintaan</t>
  </si>
  <si>
    <t>N-3F-9 BLOK N LRG VISTA MININTOD 13 , VISTA MININTOD JLN BUNDUSAN 89500 PENAMPANG SABAH  Kota Kinabalu Sabah - my 89500</t>
  </si>
  <si>
    <t>NVMY34535000006535</t>
  </si>
  <si>
    <t>BL PHONE CARE</t>
  </si>
  <si>
    <t>1858, JALAN PENDEK 15000 KOTA BHARU KELANTAN  Kota Bharu Kelantan - my 15000</t>
  </si>
  <si>
    <t>NVMY34535000006539</t>
  </si>
  <si>
    <t>LAU KOK KUAN</t>
  </si>
  <si>
    <t>KA KA TRADING PLT, WDT 146, MDKNK 2331, BANGUNAN KUNAK PLAZA, 91207 KUNAK, SABAH  Kunak Sabah - my 91207</t>
  </si>
  <si>
    <t>M15A-KNK-167</t>
  </si>
  <si>
    <t>NVMY34535000006529</t>
  </si>
  <si>
    <t>SITI NOR ZULAIKA</t>
  </si>
  <si>
    <t>AEON CUSTOMER SERVICE, GROUND FLOOR, AEON STORE SERI MANJONG, PUSAT PERNIGAAN MANJONG POINT 3, 32040, SERI MANJONG, PERAK  Seri Manjong Perak - my 32040</t>
  </si>
  <si>
    <t>NVMY34535000006530</t>
  </si>
  <si>
    <t>NUR AINA NABIHAH BT MOHAMAD HAZMI</t>
  </si>
  <si>
    <t>POLITEKNIK KOTA BHARU KM.24, KOK LANAS 16450 KETEREH KELANTAN  Ketereh Kelantan - my 16450</t>
  </si>
  <si>
    <t>NVMY34535000006533</t>
  </si>
  <si>
    <t>NUR EYUNIE AYU BT MERAN</t>
  </si>
  <si>
    <t>SISWA POST UMT,  LOT 6&amp;7, STUDENT MALL COMPLEX UNIVERSITI MALAYSIA TERENGGANU, 21030 KUALA NERUS  21030 KUALA TERENGGANU, TERENGGANU MALAYSIA  Kuala Terengganu Terengganu - my 21030</t>
  </si>
  <si>
    <t>NVMY34535000006523</t>
  </si>
  <si>
    <t>IZZATI BINTI RUSLAN</t>
  </si>
  <si>
    <t>N0 13 TINGKAT BAWAH &amp; MEZZENINE, TAMAN SERI INTAN, JALAN SULTAN OMAR, 20300 KUALA TERENGGANU  Kuala Terengganu Terengganu - my 20300</t>
  </si>
  <si>
    <t>NVMY34535000006532</t>
  </si>
  <si>
    <t>MASTER HANNAN</t>
  </si>
  <si>
    <t>NO 26, JALAN IM8/6, TAMAN  MAHKOTA PUTRA, 25200 KUANTAN PAHANG   Kuantan Pahang - my 25200</t>
  </si>
  <si>
    <t>NVMY34535000006528</t>
  </si>
  <si>
    <t>NURAIN SAKINA BT ZAKRI</t>
  </si>
  <si>
    <t>NO. 5-7 (1ST FLOOR), JALAN OTHMAN 84000 MUAR JOHOR  Muar Johor - my 84000</t>
  </si>
  <si>
    <t>NVMY34535000006517</t>
  </si>
  <si>
    <t>CHOIZES CONCEPT STORE SDN BHD</t>
  </si>
  <si>
    <t>UNIT NO D6-3A-17 BANGUNAN PERDAGANGAN D6, SENTUL RAYA, 801 JLN SENTUL 51100 KUALA LUMPUR  Kuala Lumpur Kuala Lumpur - my 51100</t>
  </si>
  <si>
    <t>NVMY34535000006526</t>
  </si>
  <si>
    <t>NVMY34535000006524</t>
  </si>
  <si>
    <t>KYRA KHAIRUDIN</t>
  </si>
  <si>
    <t>41 JALAN TINGGANG 17/28, SEKSYEN 17, 40200 SHAH ALAM   Shah Alam Selangor - my 40200</t>
  </si>
  <si>
    <t>NVMY34535000006527</t>
  </si>
  <si>
    <t>ADNAN</t>
  </si>
  <si>
    <t>NO 40 LORONG PG / 3 TAMAN PALMA 1 34600, KAMUNTING PERAK  Kamunting Perak - my 34600</t>
  </si>
  <si>
    <t>NVMY34535000006509</t>
  </si>
  <si>
    <t>EM MUHAMMAD ZAIM BIN AB HAMID / EM NOHD NAJIB BIN AMBAK</t>
  </si>
  <si>
    <t>KEMENTERIAN PENDIDIKAN MALAYSIA BAHAGIAN PEMBANGUNAN, ARAS 1.3 &amp; 6, BLOK E2, KOMPLEKS E, PUSAT PENTADBIRAN KERAJAAN PERSEKUTUAN 62604 W.P. PUTRAJAYA  Putrajaya Putrajaya - my 62604</t>
  </si>
  <si>
    <t>K12-CJY-123</t>
  </si>
  <si>
    <t>NVMY34535000006522</t>
  </si>
  <si>
    <t>ZARINA ZAINOL</t>
  </si>
  <si>
    <t>NO 60,JALAN LAMAN CEMPAKA C/4,LAMAN CEMPAKASARI,KOTA SERIEMAS,71800 NILAI,NEGERI SEMBILAN  Nilai Negeri Sembilan - my 71800</t>
  </si>
  <si>
    <t>NVMY34535000006543</t>
  </si>
  <si>
    <t>NIK IZALINI MARIAM BINTI NIK ISMAIL</t>
  </si>
  <si>
    <t>LOT 666 KAMPUNG KETIL PENGKALAN KUBOR 16080 TUMPAT KELANTAN  Tumpat Kelantan - my 16080</t>
  </si>
  <si>
    <t>NVMY34535000006545</t>
  </si>
  <si>
    <t>SAIRUL ZAMRI MISRANI</t>
  </si>
  <si>
    <t>LEVEL 4&amp;5 , (KOSMO) QUATTRO WEST, NO. 4 LORONG PERSIARAN BARAT 46200 PETALING JAYA SELANGOR  Petaling Jaya Selangor - my 46200</t>
  </si>
  <si>
    <t>K11A-PJY-114</t>
  </si>
  <si>
    <t>NVMY34535000006520</t>
  </si>
  <si>
    <t>ANIS</t>
  </si>
  <si>
    <t>LOT 111 LORONG 2 JALAN BUNGA KENANGAN KAMPUNG BARU KUALA ABANG 23050 DUNGUN TERENGGANU  Dungun Terengganu - my 23050</t>
  </si>
  <si>
    <t>NVMY34535000006557</t>
  </si>
  <si>
    <t>ASMIN NUR AZMI</t>
  </si>
  <si>
    <t>MALAYSIA SHEET GLASS SDN BHD 21KM , BANDAR BARU SUNGAI BULOH, 47000 SUNGAI  BULOH SELANGOR  Kuala Lumpur Kuala Lumpur - my 47000</t>
  </si>
  <si>
    <t>NVMY34535000006521</t>
  </si>
  <si>
    <t>POKSU LOH</t>
  </si>
  <si>
    <t>NO 1 MEDAN SELERA MASJID KAYANGAN BRINCHANG 39100 CAMERON HIGHLAND PAHANG  Brinchang Pahang - my 39100</t>
  </si>
  <si>
    <t>NVMY34535000006550</t>
  </si>
  <si>
    <t>VILLA D'RUMAH KOPERASI FELDA KECHAU 01, 27100 KUALA LIPIS PAHANG  Padang Tengku Pahang - my 27100</t>
  </si>
  <si>
    <t>NVMY34535000006553</t>
  </si>
  <si>
    <t>ABDULLAH FAHMI BIN CHE NOR @ SHUKRI</t>
  </si>
  <si>
    <t>BAIT AR-RAHMAH PT 591 TAMAN ITQAN KG BUKIT MARAK 16030 BACHOK KELANTAN  Bachok Kelantan - my 16030</t>
  </si>
  <si>
    <t>NVMY34535000006531</t>
  </si>
  <si>
    <t>IZZAH AQILAH BINTI ARIFFIN</t>
  </si>
  <si>
    <t>BLOK A17, KOLEJ KEDIAMAN PAGOH, UNIVERSITI  TUN HUSSEIN ONN MALAYSIA, HUB PENDIDIKAN PAGOH, JALAN PANCHOR, PAGOH, 84600 JOHOR   Pagoh Johor - my 84600</t>
  </si>
  <si>
    <t>NVMY34535000006540</t>
  </si>
  <si>
    <t>NUR ATIQAH BINTI MOHD NORDIN</t>
  </si>
  <si>
    <t>PJE 9E, TAMAN MELOR, KUARTERS PENJARA MARANG, 21600 MARANG, TERENGGANU  Marang Terengganu - my 21600</t>
  </si>
  <si>
    <t>NVMY34535000006525</t>
  </si>
  <si>
    <t>SITI AIDA BINTI SAIRUDIN</t>
  </si>
  <si>
    <t>KAMPUNG RELAI , KERAMBIT, 27200 KUALA LIPIS PAHANG  Kuala Lipis Pahang - my 27200</t>
  </si>
  <si>
    <t>NVMY34535000006546</t>
  </si>
  <si>
    <t>NOOR AZLINA BINTI IBRAHIM</t>
  </si>
  <si>
    <t>NO.2-722,  BLOK 2  JALAN MATAHARI U5/117 SEKSYEN U5 40150 SHAH ALAM SELANGOR  Shah Alam Selangor - my 40150</t>
  </si>
  <si>
    <t>NVMY34535000006548</t>
  </si>
  <si>
    <t>NURUL HIDAYAH</t>
  </si>
  <si>
    <t>NO 379 KAMPUNG TEMILA JALAN SEMARAK 16800 PASIR PUTEH KELANTAN  Pasir Puteh Kelantan - my 16800</t>
  </si>
  <si>
    <t>NVMY34535000006537</t>
  </si>
  <si>
    <t>ALVIN YEOW</t>
  </si>
  <si>
    <t>B-R16 PUDU PLAZA APARTMENT JALAN LANDAK OFF JALAN PUDU 55100 BANDAR KUALA LUMPUR  Kuala Lumpur Kuala Lumpur - my 55100</t>
  </si>
  <si>
    <t>NVMY34535000006549</t>
  </si>
  <si>
    <t>NUR FAIRUZE BINTI SAMSUA BAHROM</t>
  </si>
  <si>
    <t>PJ65/50B LORONG GAHARU PARIT JAMBUL 86400 PARIT RAJA BATU PAHAT JOHOR  Parit Raja Johor - my 86400</t>
  </si>
  <si>
    <t>NVMY34535000006504</t>
  </si>
  <si>
    <t>Nur Basirah Binti Ab Hamid</t>
  </si>
  <si>
    <t>Langkawi Geopark Discovery Centre, Jeti Kilim, 07000 Langkawi   Kedah my 07000</t>
  </si>
  <si>
    <t>NVMY34535000006565</t>
  </si>
  <si>
    <t>MAYUNI BINTI AZIZ</t>
  </si>
  <si>
    <t>KAMPUNG KUBUR TIMAH BATU RAKIT 21020 KUALA TERENGGANU, TERENGGANU  Kuala Terengganu Terengganu - my 21020</t>
  </si>
  <si>
    <t>NVMY34535000006555</t>
  </si>
  <si>
    <t>NUR AJJRINA AZMI</t>
  </si>
  <si>
    <t>P-12B-09, LEBUH RELAU 4 TAMAN DESA CLARISSA RELAU 11900 BAYAN LEPAS PULAU PINANG  Bayan Lepas Pulau Pinang - my 11900</t>
  </si>
  <si>
    <t>NVMY34535000006551</t>
  </si>
  <si>
    <t>MUHAMMAD NIZAM B HASHIM</t>
  </si>
  <si>
    <t>SEKOLAH KEBANGSAAN TAMAN RIA 09400 PADANG SERAI KEDAH  Padang Serai Kedah - my 09400</t>
  </si>
  <si>
    <t>NVMY34535000006552</t>
  </si>
  <si>
    <t>HADIRA HASHIM</t>
  </si>
  <si>
    <t>NO 11 JALAN SIANTAN 7 TAMAN KEMAS 81200 JOHOR BHARU JOHOR  Johor Bahru Johor - my 81200</t>
  </si>
  <si>
    <t>NVMY34535000006541</t>
  </si>
  <si>
    <t>NABILA</t>
  </si>
  <si>
    <t>DT 725 LORONG 15 TAMAN BUKIT TAMBUN PERDANA DURIAN TUNGGAL 76100 MELAKA  Durian Tunggal Melaka - my 76100</t>
  </si>
  <si>
    <t>S9A-AGH-89</t>
  </si>
  <si>
    <t>NVMY34535000006556</t>
  </si>
  <si>
    <t>V2-02 KUATERS WARDEN JLN SLIM RIVER POLITEKNIK SULTAN AZLAN SHAH 35910 BEHRANG STESEN  PERAK  Behrang Stesen Perak - my 35910</t>
  </si>
  <si>
    <t>NVMY34535000006544</t>
  </si>
  <si>
    <t>NORFARAHIN BT MOHAMMAD</t>
  </si>
  <si>
    <t>262 PT MOIN 2 MK 2 BAGAN 83000 BATU PAHAT JOHOR  Batu Pahat Johor - my 83000</t>
  </si>
  <si>
    <t>NVMY34535000006554</t>
  </si>
  <si>
    <t>ZAINAB BINTI MAN</t>
  </si>
  <si>
    <t>TASCO BERHAD, 1441 LORONG PERUSAHAAN MAJU 8, PRAI INDUSTRIAL ESTATE, 13600 PRAI PENANG  Perai Pulau Pinang - my 13600</t>
  </si>
  <si>
    <t>NVMY34535000006567</t>
  </si>
  <si>
    <t>MOHD SHAMSUL HAZIZUL</t>
  </si>
  <si>
    <t>SK PAGAR SASAK KUALA LIPIS PAHANG  Kuala Lipis Pahang - my 27200</t>
  </si>
  <si>
    <t>NVMY34535000006568</t>
  </si>
  <si>
    <t>FATIN</t>
  </si>
  <si>
    <t>NO 7 LORONG KG PADANG 11 TAMAN IMPIANKU 25200 KUANTAN PAHANG DARUL MAKMUR  Kuantan Pahang - my 25200</t>
  </si>
  <si>
    <t>NVMY34535000006558</t>
  </si>
  <si>
    <t>ANIS NAIM</t>
  </si>
  <si>
    <t>FNK HOMESTAY KUANTAN NO.11 LORONG PELINDUNG MAJU 17, JALAN BESERAH 25020 KUANTAN PAHANG  Kuantan Pahang - my 25050</t>
  </si>
  <si>
    <t>N4-CHU-19</t>
  </si>
  <si>
    <t>NVMY34535000006560</t>
  </si>
  <si>
    <t>Husna Adam</t>
  </si>
  <si>
    <t>No. 27, jalan bertih laut 5/ks3, taman sungai bertek, 41100 klang selangor  Klang Selangor - my 41100</t>
  </si>
  <si>
    <t>NVMY34535000006559</t>
  </si>
  <si>
    <t>Aliaa NADIRAH</t>
  </si>
  <si>
    <t>B169 TAMAN PERUMAHAN WAKAF TENGAH 21030 KUALA NERUS TERENGGANU  Kuala Terengganu Terengganu - my 21030</t>
  </si>
  <si>
    <t>NVMY34535000006547</t>
  </si>
  <si>
    <t>MOHD JAMIL B IBRAHIM</t>
  </si>
  <si>
    <t>NO 1810 JALAN 4/4 TAMAN MUTIARA PADANG CHINA KULIM KEDAH  Kulim Kedah - my 09700</t>
  </si>
  <si>
    <t>NVMY34535000006561</t>
  </si>
  <si>
    <t>MAIMUN</t>
  </si>
  <si>
    <t>NO 17 JALAN SP 3/5 BANDAR SAUJANA PUTRA 42610 JENJAROM SELANGOR  Jenjarom Selangor - my 42610</t>
  </si>
  <si>
    <t>NVMY34535000006564</t>
  </si>
  <si>
    <t>MARIAH GHANI</t>
  </si>
  <si>
    <t>NO 46 JALAN TPS 2/20 TAMAN PELANGI SEMENYIH 2 43500 SEMENYIH SELANGOR  Shah Alam Selangor - my 43500</t>
  </si>
  <si>
    <t>NVMY34535000006566</t>
  </si>
  <si>
    <t>AMIRUL HAKIM</t>
  </si>
  <si>
    <t>NO 273 KG BUKIT JERING KUALA BALAH 17610 JELI KELANTAN  Kuala Balah Kelantan - my 17610</t>
  </si>
  <si>
    <t>NVMY34535000006563</t>
  </si>
  <si>
    <t>SYED NOR BIN SYED AZIZ</t>
  </si>
  <si>
    <t>NO 13 JALAN UP 3/1 UK PERDANA 68000 AMPANG SELANGOR DARUL EHSAN  Ampang Selangor - my 68000</t>
  </si>
  <si>
    <t>NVMY34535000006574</t>
  </si>
  <si>
    <t>NURAFNIZA JARONI</t>
  </si>
  <si>
    <t>LOT 7891, JALAN SEPAKAT, KAMPUNG BAHAGIA BANGI, 43000 KAJANG, SELANGOR  Kajang Selangor - my 43000</t>
  </si>
  <si>
    <t>K10-BSP-100</t>
  </si>
  <si>
    <t>NVMY34535000006572</t>
  </si>
  <si>
    <t>NOR LIAYAN BINTI NOR MIZI</t>
  </si>
  <si>
    <t>BLOK E-2-5 PANGSAPURI ATM JALAN AU2B OFF JALAN SETIAWANGSA 54200 KUALA LUMPUR  Kuala Lumpur Kuala Lumpur - my 54200</t>
  </si>
  <si>
    <t>NVMY34535000006562</t>
  </si>
  <si>
    <t>HAZIRATUL AINAIN BT SAMURI</t>
  </si>
  <si>
    <t>LOT 4285 JALAN PETAI KAMPUNG SRI JAYA BATU 6, 81200 JOHOR BHARU  Johor Bahru Johor - my 81200</t>
  </si>
  <si>
    <t>NVMY34535000006578</t>
  </si>
  <si>
    <t>NAJIHAH NE'MAT</t>
  </si>
  <si>
    <t>No 317 Lorong Cempaka,  Kampung Mahkota Batu 12 Jalan Gambang 26070 Kuantan Pahang  Kuantan Pahang - my 26070</t>
  </si>
  <si>
    <t>NVMY34535000006579</t>
  </si>
  <si>
    <t>MADIHA MOHAMAD</t>
  </si>
  <si>
    <t>RPS KAMPUNG KUALA BETIS,  (KEDAI ALZUMA ENTERPRISE), KELANTAN , Gua Musang , Kelantan Gua Musang Kelantan  MY 18300</t>
  </si>
  <si>
    <t>NVMY34535000006569</t>
  </si>
  <si>
    <t>SEVENTHDAY ADVENTIST COORPERATION (M) BHD</t>
  </si>
  <si>
    <t>UNIT 22-1 BLK Q KUCHAI BUSINESS CENTRE JALAN 2/114 58200 KUALA LUMPUR WILAYAH PERSEKUTUAN KUALA LUMPUR  Kuala Lumpur - Kuala Lumpur Kuala Lumpur - my 58200</t>
  </si>
  <si>
    <t>NVMY34535000006575</t>
  </si>
  <si>
    <t>NURUL HIDAYAH BINTI CHE JUSOH</t>
  </si>
  <si>
    <t xml:space="preserve"> BLOK A-T3A-U10,PANGSAPURI SAUJANA GOMBAK, LEBUHRAYA PINGGIRAN, TAMAN PINGGIRAN GOMBAK, 68100 SELANGOR  Batu Caves Selangor - my 68100</t>
  </si>
  <si>
    <t>NVMY34535000006542</t>
  </si>
  <si>
    <t>WAN KHUZAINAH BINTI WAN MAZALI</t>
  </si>
  <si>
    <t>NO 8 TAMAN ANIB LORONG CENDERAWASIH 2 JALAN CENDERAWASIH KAMPUNG SEMERAH PADI 93050 KUCHING SARAWAK  Kuching Sarawak - my 93050</t>
  </si>
  <si>
    <t>M16-KCH-169</t>
  </si>
  <si>
    <t>NVMY34535000006592</t>
  </si>
  <si>
    <t>KEMENTERIAN PENDIDIKAN MALAYSIA</t>
  </si>
  <si>
    <t>BAHAGIAN PEMBANGUNAN, ARAS 1.3 &amp; 6, BLOK E2, KOMPLEKS E PUSAT PENTADBIRAN KERAJAAN PERSEKUTUAN 62604 W.P PUTRAJAYA  Putrajaya Putrajaya - my 62604</t>
  </si>
  <si>
    <t>NVMY34535000006580</t>
  </si>
  <si>
    <t>DEWI ROSNANI BINTI RADEN SUHADI</t>
  </si>
  <si>
    <t>233, LORONG BERLIAN 2/1, TAMAN BERLIAN 09000 KULIM KEDAH  Kulim Kedah - my 09000</t>
  </si>
  <si>
    <t>NVMY34535000006573</t>
  </si>
  <si>
    <t>NUR AFIQAH BINTI IBRAHIM</t>
  </si>
  <si>
    <t>NO.9, JALAN KINTA BARU, TAMAN KINTA BARU, 31600 GOPENG, PERAK  Gopeng Perak - my 31600</t>
  </si>
  <si>
    <t>NVMY34535000006584</t>
  </si>
  <si>
    <t>KLINIK USRAA</t>
  </si>
  <si>
    <t>NO 15-G, JALAN COCO DRIVE 2 TAMAN BANDAR SENAWANG 70450 SEREMBAN NEGERI SEMBILAN  Seremban Negeri Sembilan - my 70450</t>
  </si>
  <si>
    <t>NVMY34535000006581</t>
  </si>
  <si>
    <t>MOHD JUZAILI BIN MOHAMOOD</t>
  </si>
  <si>
    <t>KLINIK DESA BATU 4, JALAN FELCRA 86600 KLUANG PALOH JOHOR  Paloh Johor - my 86600</t>
  </si>
  <si>
    <t>NVMY34535000006576</t>
  </si>
  <si>
    <t>NORASHIKEN BINTI SYED SULAIMAN SAHIB</t>
  </si>
  <si>
    <t xml:space="preserve"> No 3, Jalan S/P 18 Blok 65 Taman Sri Penggaram 83000 Batu Pahat Johor  Batu Pahat Johor - my 83000</t>
  </si>
  <si>
    <t>NVMY34535000006595</t>
  </si>
  <si>
    <t>AMIRA NATASHA AZIZI</t>
  </si>
  <si>
    <t>287 KG KOTA MANIR, 21200 KUALA TERENGGANU, TERENGGANU  Kuala Terengganu Terengganu - my 21200</t>
  </si>
  <si>
    <t>NVMY34535000006587</t>
  </si>
  <si>
    <t>EN. ROSMAINI B HARON</t>
  </si>
  <si>
    <t>1984, KAMPUNG PADANG LUAS, 2200 JERTIH BESUT TERENGGANU  Jerteh Terengganu - my 22000</t>
  </si>
  <si>
    <t>NVMY34535000006588</t>
  </si>
  <si>
    <t>PUTERA HAKIEM</t>
  </si>
  <si>
    <t>LOT 7662-A, PERUMAHAN AWAM KOS RENDAH, JALAN PUSAT GIATMARA BUKIT PAYONG 21400 MARANG TERENGGANU  Bukit Payong Terengganu - my 21400</t>
  </si>
  <si>
    <t>NVMY34535000006571</t>
  </si>
  <si>
    <t>RAMLAN MANAGEMENT AND SERVICES</t>
  </si>
  <si>
    <t>32A JALAN CEMPAKA 1 TAMAN SERI CEMPAKA 75400 PERINGGIT MELAKA  Melaka Melaka - my 75400</t>
  </si>
  <si>
    <t>NVMY34535000006582</t>
  </si>
  <si>
    <t>KLINIK DR AMALINA</t>
  </si>
  <si>
    <t>PT 4356, BANDAR BARU JELAWAT 16070 JELAWAT KELANTAN  Bachok Kelantan - my 16070</t>
  </si>
  <si>
    <t>NVMY34535000006591</t>
  </si>
  <si>
    <t>UMI AISYAH CHIN BT ABDULLAH</t>
  </si>
  <si>
    <t>VILLA 5 KEJORA, KUARTERS PERHILITAN BUKIT RENGIT 28500 LANCHANG PAHANG  Lanchang Pahang - my 28500</t>
  </si>
  <si>
    <t>NVMY34535000006615</t>
  </si>
  <si>
    <t>SIS ERIENA</t>
  </si>
  <si>
    <t>LOT 5425 JALAN SHEIKH JALALLUDIN,BT 29 KAMPUNG JENDERAM HULU 43800 DENGKIL SELANGOR  Dengkil Selangor - my 43800</t>
  </si>
  <si>
    <t>NVMY34535000006596</t>
  </si>
  <si>
    <t>NURUL ILHAMI</t>
  </si>
  <si>
    <t>KAMSIS AMAN 1 POLITEKNIK SULTAN SALAHUDDIN ABDUL AZIZ SHAH, PERSIARAN USAHAWAN, SEKSYEN U1, 40150 SHAH ALAM SELANGOR  Shah Alam Selangor - my 40150</t>
  </si>
  <si>
    <t>NVMY34535000006607</t>
  </si>
  <si>
    <t>RINA ALI</t>
  </si>
  <si>
    <t>CO3-07 VISTA MILLENIUM CONDO TAMAN DESA MILLENIA JALAN DM 1 47150 PUCHONG SELANGOR  Puchong Selangor - my 47150</t>
  </si>
  <si>
    <t>NVMY34535000006604</t>
  </si>
  <si>
    <t>SYAZA NAJLAA</t>
  </si>
  <si>
    <t>SHIMA VILLA LOT 1951 BATU 3 JLN MARAN 28000 TEMERL0H PAHANG  Temerloh Pahang - my 28000</t>
  </si>
  <si>
    <t>NVMY34535000006589</t>
  </si>
  <si>
    <t>EN. ISMAIL YOP</t>
  </si>
  <si>
    <t>3013. LORONG BEBARAU, KG DATO' AHMAD SAID TAMB.2 30020 IPOH PERAK  Ipoh Perak - my 30020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</si>
</sst>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rgb="FFFFCCFF"/>
      </patternFill>
    </fill>
    <fill>
      <patternFill patternType="solid">
        <fgColor rgb="FFC1F7D3"/>
        <bgColor rgb="FFC1F7D3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164" fontId="3" fillId="4" borderId="0" xfId="0" applyNumberFormat="1" applyFont="1" applyFill="1" applyAlignment="1">
      <alignment horizontal="left"/>
    </xf>
    <xf numFmtId="0" fontId="3" fillId="5" borderId="0" xfId="0" applyFont="1" applyFill="1"/>
    <xf numFmtId="0" fontId="0" fillId="2" borderId="0" xfId="0" applyFill="1"/>
    <xf numFmtId="0" fontId="0" fillId="3" borderId="0" xfId="0" applyFill="1"/>
    <xf numFmtId="22" fontId="0" fillId="0" borderId="0" xfId="0" applyNumberFormat="1"/>
    <xf numFmtId="14" fontId="0" fillId="0" borderId="0" xfId="0" applyNumberFormat="1"/>
    <xf numFmtId="43" fontId="4" fillId="4" borderId="0" xfId="0" applyNumberFormat="1" applyFont="1" applyFill="1"/>
    <xf numFmtId="43" fontId="0" fillId="6" borderId="0" xfId="0" applyNumberFormat="1" applyFill="1"/>
    <xf numFmtId="43" fontId="0" fillId="7" borderId="0" xfId="1" applyFont="1" applyFill="1" applyBorder="1" applyAlignment="1" applyProtection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4341-D20A-438D-8244-D96DF20F7EF3}">
  <dimension ref="A1:AH410"/>
  <sheetViews>
    <sheetView tabSelected="1" workbookViewId="0">
      <selection sqref="A1:AH408"/>
    </sheetView>
  </sheetViews>
  <sheetFormatPr defaultRowHeight="14.5" x14ac:dyDescent="0.35"/>
  <cols>
    <col min="1" max="34" width="9.08984375" customWidth="1"/>
  </cols>
  <sheetData>
    <row r="1" spans="1:34" ht="15" customHeight="1" x14ac:dyDescent="0.35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5" t="s">
        <v>33</v>
      </c>
    </row>
    <row r="2" spans="1:34" ht="15" customHeight="1" x14ac:dyDescent="0.35">
      <c r="A2">
        <v>7547676</v>
      </c>
      <c r="B2">
        <v>690929</v>
      </c>
      <c r="C2" t="s">
        <v>34</v>
      </c>
      <c r="D2" t="s">
        <v>35</v>
      </c>
      <c r="E2" s="6" t="s">
        <v>34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>
        <v>2</v>
      </c>
      <c r="L2" t="s">
        <v>41</v>
      </c>
      <c r="M2" t="s">
        <v>42</v>
      </c>
      <c r="N2" t="s">
        <v>43</v>
      </c>
      <c r="O2" s="7">
        <v>3</v>
      </c>
      <c r="P2" s="8">
        <v>45182.732094907406</v>
      </c>
      <c r="Q2" s="9">
        <v>45184</v>
      </c>
      <c r="R2" t="s">
        <v>37</v>
      </c>
      <c r="S2" t="s">
        <v>44</v>
      </c>
      <c r="T2" t="s">
        <v>45</v>
      </c>
      <c r="U2" t="s">
        <v>46</v>
      </c>
      <c r="V2" t="s">
        <v>47</v>
      </c>
      <c r="W2">
        <v>39100</v>
      </c>
      <c r="X2" t="s">
        <v>44</v>
      </c>
      <c r="Y2" t="s">
        <v>48</v>
      </c>
      <c r="Z2" t="s">
        <v>49</v>
      </c>
      <c r="AA2" s="10">
        <f>IF(O2&lt;=1,7,7+0.8*ROUNDUP(O2-1,0))</f>
        <v>8.6</v>
      </c>
      <c r="AB2" s="11">
        <v>0</v>
      </c>
      <c r="AC2" s="11">
        <v>0</v>
      </c>
      <c r="AD2" s="11">
        <v>0</v>
      </c>
      <c r="AE2" s="11">
        <v>0</v>
      </c>
      <c r="AF2" s="11">
        <f t="shared" ref="AF2:AF65" si="0">(AA2+AC2+AE2)*6%</f>
        <v>0.51600000000000001</v>
      </c>
      <c r="AG2" s="11">
        <f t="shared" ref="AG2:AG65" si="1">AA2+AC2+AE2+AF2</f>
        <v>9.1159999999999997</v>
      </c>
      <c r="AH2" t="s">
        <v>50</v>
      </c>
    </row>
    <row r="3" spans="1:34" ht="15" customHeight="1" x14ac:dyDescent="0.35">
      <c r="A3">
        <v>7547676</v>
      </c>
      <c r="B3">
        <v>690929</v>
      </c>
      <c r="C3" t="s">
        <v>34</v>
      </c>
      <c r="D3" t="s">
        <v>35</v>
      </c>
      <c r="E3" s="6" t="s">
        <v>34</v>
      </c>
      <c r="F3" t="s">
        <v>51</v>
      </c>
      <c r="G3" t="s">
        <v>37</v>
      </c>
      <c r="H3" t="s">
        <v>38</v>
      </c>
      <c r="I3" t="s">
        <v>52</v>
      </c>
      <c r="J3" t="s">
        <v>40</v>
      </c>
      <c r="K3">
        <v>2</v>
      </c>
      <c r="L3" t="s">
        <v>41</v>
      </c>
      <c r="M3" t="s">
        <v>42</v>
      </c>
      <c r="N3" t="s">
        <v>43</v>
      </c>
      <c r="O3" s="7">
        <v>3</v>
      </c>
      <c r="P3" s="8">
        <v>45183.75545138889</v>
      </c>
      <c r="Q3" s="9">
        <v>45184</v>
      </c>
      <c r="R3" t="s">
        <v>37</v>
      </c>
      <c r="S3" t="s">
        <v>44</v>
      </c>
      <c r="T3" t="s">
        <v>45</v>
      </c>
      <c r="U3" t="s">
        <v>53</v>
      </c>
      <c r="V3" t="s">
        <v>54</v>
      </c>
      <c r="W3">
        <v>73420</v>
      </c>
      <c r="X3" t="s">
        <v>44</v>
      </c>
      <c r="Y3" t="s">
        <v>55</v>
      </c>
      <c r="Z3" t="s">
        <v>49</v>
      </c>
      <c r="AA3" s="10">
        <f>IF(O3&lt;=1,7,7+0.8*ROUNDUP(O3-1,0))</f>
        <v>8.6</v>
      </c>
      <c r="AB3" s="11">
        <v>0</v>
      </c>
      <c r="AC3" s="11">
        <v>0</v>
      </c>
      <c r="AD3" s="11">
        <v>0</v>
      </c>
      <c r="AE3" s="11">
        <v>0</v>
      </c>
      <c r="AF3" s="11">
        <f t="shared" si="0"/>
        <v>0.51600000000000001</v>
      </c>
      <c r="AG3" s="11">
        <f t="shared" si="1"/>
        <v>9.1159999999999997</v>
      </c>
      <c r="AH3" t="s">
        <v>50</v>
      </c>
    </row>
    <row r="4" spans="1:34" ht="15" customHeight="1" x14ac:dyDescent="0.35">
      <c r="A4">
        <v>7547676</v>
      </c>
      <c r="B4">
        <v>690929</v>
      </c>
      <c r="C4" t="s">
        <v>34</v>
      </c>
      <c r="D4" t="s">
        <v>35</v>
      </c>
      <c r="E4" s="6" t="s">
        <v>34</v>
      </c>
      <c r="F4" t="s">
        <v>56</v>
      </c>
      <c r="G4" t="s">
        <v>37</v>
      </c>
      <c r="H4" t="s">
        <v>38</v>
      </c>
      <c r="I4" t="s">
        <v>57</v>
      </c>
      <c r="J4" t="s">
        <v>40</v>
      </c>
      <c r="K4">
        <v>2</v>
      </c>
      <c r="L4" t="s">
        <v>41</v>
      </c>
      <c r="M4" t="s">
        <v>42</v>
      </c>
      <c r="N4" t="s">
        <v>43</v>
      </c>
      <c r="O4" s="7">
        <v>1</v>
      </c>
      <c r="P4" s="8">
        <v>45183.75545138889</v>
      </c>
      <c r="Q4" s="9">
        <v>45184</v>
      </c>
      <c r="R4" t="s">
        <v>37</v>
      </c>
      <c r="S4" t="s">
        <v>44</v>
      </c>
      <c r="T4" t="s">
        <v>45</v>
      </c>
      <c r="U4" t="s">
        <v>46</v>
      </c>
      <c r="V4" t="s">
        <v>58</v>
      </c>
      <c r="W4">
        <v>25200</v>
      </c>
      <c r="X4" t="s">
        <v>44</v>
      </c>
      <c r="Y4" t="s">
        <v>59</v>
      </c>
      <c r="Z4" t="s">
        <v>49</v>
      </c>
      <c r="AA4" s="10">
        <f>IF(O4&lt;=1,7,7+0.8*ROUNDUP(O4-1,0))</f>
        <v>7</v>
      </c>
      <c r="AB4" s="11">
        <v>0</v>
      </c>
      <c r="AC4" s="11">
        <v>0</v>
      </c>
      <c r="AD4" s="11">
        <v>0</v>
      </c>
      <c r="AE4" s="11">
        <v>0</v>
      </c>
      <c r="AF4" s="11">
        <f t="shared" si="0"/>
        <v>0.42</v>
      </c>
      <c r="AG4" s="11">
        <f t="shared" si="1"/>
        <v>7.42</v>
      </c>
      <c r="AH4" t="s">
        <v>50</v>
      </c>
    </row>
    <row r="5" spans="1:34" ht="15" customHeight="1" x14ac:dyDescent="0.35">
      <c r="A5">
        <v>7547676</v>
      </c>
      <c r="B5">
        <v>690929</v>
      </c>
      <c r="C5" t="s">
        <v>34</v>
      </c>
      <c r="D5" t="s">
        <v>35</v>
      </c>
      <c r="E5" s="6" t="s">
        <v>34</v>
      </c>
      <c r="F5" t="s">
        <v>60</v>
      </c>
      <c r="G5" t="s">
        <v>37</v>
      </c>
      <c r="H5" t="s">
        <v>38</v>
      </c>
      <c r="I5" t="s">
        <v>61</v>
      </c>
      <c r="J5" t="s">
        <v>40</v>
      </c>
      <c r="K5">
        <v>2</v>
      </c>
      <c r="L5" t="s">
        <v>41</v>
      </c>
      <c r="M5" t="s">
        <v>42</v>
      </c>
      <c r="N5" t="s">
        <v>43</v>
      </c>
      <c r="O5" s="7">
        <v>1</v>
      </c>
      <c r="P5" s="8">
        <v>45183.764988425923</v>
      </c>
      <c r="Q5" s="9">
        <v>45184</v>
      </c>
      <c r="R5" t="s">
        <v>37</v>
      </c>
      <c r="S5" t="s">
        <v>44</v>
      </c>
      <c r="T5" t="s">
        <v>45</v>
      </c>
      <c r="U5" t="s">
        <v>62</v>
      </c>
      <c r="V5" t="s">
        <v>63</v>
      </c>
      <c r="W5">
        <v>51000</v>
      </c>
      <c r="X5" t="s">
        <v>44</v>
      </c>
      <c r="Y5" t="s">
        <v>64</v>
      </c>
      <c r="Z5" t="s">
        <v>49</v>
      </c>
      <c r="AA5" s="10">
        <f>IF(O5&lt;=1,7,7+0.8*ROUNDUP(O5-1,0))</f>
        <v>7</v>
      </c>
      <c r="AB5" s="11">
        <v>0</v>
      </c>
      <c r="AC5" s="11">
        <v>0</v>
      </c>
      <c r="AD5" s="11">
        <v>0</v>
      </c>
      <c r="AE5" s="11">
        <v>0</v>
      </c>
      <c r="AF5" s="11">
        <f t="shared" si="0"/>
        <v>0.42</v>
      </c>
      <c r="AG5" s="11">
        <f t="shared" si="1"/>
        <v>7.42</v>
      </c>
      <c r="AH5" t="s">
        <v>50</v>
      </c>
    </row>
    <row r="6" spans="1:34" ht="15" customHeight="1" x14ac:dyDescent="0.35">
      <c r="A6">
        <v>7547676</v>
      </c>
      <c r="B6">
        <v>690929</v>
      </c>
      <c r="C6" t="s">
        <v>34</v>
      </c>
      <c r="D6" t="s">
        <v>35</v>
      </c>
      <c r="E6" s="6" t="s">
        <v>34</v>
      </c>
      <c r="F6" t="s">
        <v>65</v>
      </c>
      <c r="G6" t="s">
        <v>37</v>
      </c>
      <c r="H6" t="s">
        <v>38</v>
      </c>
      <c r="I6" t="s">
        <v>66</v>
      </c>
      <c r="J6" t="s">
        <v>40</v>
      </c>
      <c r="K6">
        <v>2</v>
      </c>
      <c r="L6" t="s">
        <v>41</v>
      </c>
      <c r="M6" t="s">
        <v>42</v>
      </c>
      <c r="N6" t="s">
        <v>43</v>
      </c>
      <c r="O6" s="7">
        <v>1</v>
      </c>
      <c r="P6" s="8">
        <v>45182.465081018519</v>
      </c>
      <c r="Q6" s="9">
        <v>45184</v>
      </c>
      <c r="R6" t="s">
        <v>37</v>
      </c>
      <c r="S6" t="s">
        <v>44</v>
      </c>
      <c r="T6" t="s">
        <v>45</v>
      </c>
      <c r="U6" t="s">
        <v>67</v>
      </c>
      <c r="V6" t="s">
        <v>68</v>
      </c>
      <c r="W6">
        <v>42500</v>
      </c>
      <c r="X6" t="s">
        <v>44</v>
      </c>
      <c r="Y6" t="s">
        <v>69</v>
      </c>
      <c r="Z6" t="s">
        <v>49</v>
      </c>
      <c r="AA6" s="10">
        <f>IF(O6&lt;=1,7,7+0.8*ROUNDUP(O6-1,0))</f>
        <v>7</v>
      </c>
      <c r="AB6" s="11">
        <v>0</v>
      </c>
      <c r="AC6" s="11">
        <v>0</v>
      </c>
      <c r="AD6" s="11">
        <v>0</v>
      </c>
      <c r="AE6" s="11">
        <v>0</v>
      </c>
      <c r="AF6" s="11">
        <f t="shared" si="0"/>
        <v>0.42</v>
      </c>
      <c r="AG6" s="11">
        <f t="shared" si="1"/>
        <v>7.42</v>
      </c>
      <c r="AH6" t="s">
        <v>50</v>
      </c>
    </row>
    <row r="7" spans="1:34" ht="15" customHeight="1" x14ac:dyDescent="0.35">
      <c r="A7">
        <v>7547676</v>
      </c>
      <c r="B7">
        <v>690929</v>
      </c>
      <c r="C7" t="s">
        <v>34</v>
      </c>
      <c r="D7" t="s">
        <v>35</v>
      </c>
      <c r="E7" s="6" t="s">
        <v>34</v>
      </c>
      <c r="F7" t="s">
        <v>70</v>
      </c>
      <c r="G7" t="s">
        <v>37</v>
      </c>
      <c r="H7" t="s">
        <v>38</v>
      </c>
      <c r="I7" t="s">
        <v>71</v>
      </c>
      <c r="J7" t="s">
        <v>40</v>
      </c>
      <c r="K7">
        <v>2</v>
      </c>
      <c r="L7" t="s">
        <v>41</v>
      </c>
      <c r="M7" t="s">
        <v>42</v>
      </c>
      <c r="N7" t="s">
        <v>43</v>
      </c>
      <c r="O7" s="7">
        <v>5</v>
      </c>
      <c r="P7" s="8">
        <v>45183.761412037034</v>
      </c>
      <c r="Q7" s="9">
        <v>45184</v>
      </c>
      <c r="R7" t="s">
        <v>37</v>
      </c>
      <c r="S7" t="s">
        <v>44</v>
      </c>
      <c r="T7" t="s">
        <v>45</v>
      </c>
      <c r="U7" t="s">
        <v>67</v>
      </c>
      <c r="V7" t="s">
        <v>72</v>
      </c>
      <c r="W7">
        <v>42700</v>
      </c>
      <c r="X7" t="s">
        <v>44</v>
      </c>
      <c r="Y7" t="s">
        <v>73</v>
      </c>
      <c r="Z7" t="s">
        <v>49</v>
      </c>
      <c r="AA7" s="10">
        <f>IF(O7&lt;=1,7,7+0.8*ROUNDUP(O7-1,0))</f>
        <v>10.199999999999999</v>
      </c>
      <c r="AB7" s="11">
        <v>0</v>
      </c>
      <c r="AC7" s="11">
        <v>0</v>
      </c>
      <c r="AD7" s="11">
        <v>0</v>
      </c>
      <c r="AE7" s="11">
        <v>0</v>
      </c>
      <c r="AF7" s="11">
        <f t="shared" si="0"/>
        <v>0.61199999999999999</v>
      </c>
      <c r="AG7" s="11">
        <f t="shared" si="1"/>
        <v>10.811999999999999</v>
      </c>
      <c r="AH7" t="s">
        <v>50</v>
      </c>
    </row>
    <row r="8" spans="1:34" ht="15" customHeight="1" x14ac:dyDescent="0.35">
      <c r="A8">
        <v>7547676</v>
      </c>
      <c r="B8">
        <v>690929</v>
      </c>
      <c r="C8" t="s">
        <v>34</v>
      </c>
      <c r="D8" t="s">
        <v>35</v>
      </c>
      <c r="E8" s="6" t="s">
        <v>34</v>
      </c>
      <c r="F8" t="s">
        <v>74</v>
      </c>
      <c r="G8" t="s">
        <v>37</v>
      </c>
      <c r="H8" t="s">
        <v>38</v>
      </c>
      <c r="I8" t="s">
        <v>71</v>
      </c>
      <c r="J8" t="s">
        <v>40</v>
      </c>
      <c r="K8">
        <v>2</v>
      </c>
      <c r="L8" t="s">
        <v>41</v>
      </c>
      <c r="M8" t="s">
        <v>42</v>
      </c>
      <c r="N8" t="s">
        <v>43</v>
      </c>
      <c r="O8" s="7">
        <v>2</v>
      </c>
      <c r="P8" s="8">
        <v>45183.761412037034</v>
      </c>
      <c r="Q8" s="9">
        <v>45184</v>
      </c>
      <c r="R8" t="s">
        <v>37</v>
      </c>
      <c r="S8" t="s">
        <v>44</v>
      </c>
      <c r="T8" t="s">
        <v>45</v>
      </c>
      <c r="U8" t="s">
        <v>67</v>
      </c>
      <c r="V8" t="s">
        <v>72</v>
      </c>
      <c r="W8">
        <v>42700</v>
      </c>
      <c r="X8" t="s">
        <v>44</v>
      </c>
      <c r="Y8" t="s">
        <v>73</v>
      </c>
      <c r="Z8" t="s">
        <v>49</v>
      </c>
      <c r="AA8" s="10">
        <f>IF(O8&lt;=1,7,7+0.8*ROUNDUP(O8-1,0))</f>
        <v>7.8</v>
      </c>
      <c r="AB8" s="11">
        <v>0</v>
      </c>
      <c r="AC8" s="11">
        <v>0</v>
      </c>
      <c r="AD8" s="11">
        <v>0</v>
      </c>
      <c r="AE8" s="11">
        <v>0</v>
      </c>
      <c r="AF8" s="11">
        <f t="shared" si="0"/>
        <v>0.46799999999999997</v>
      </c>
      <c r="AG8" s="11">
        <f t="shared" si="1"/>
        <v>8.2680000000000007</v>
      </c>
      <c r="AH8" t="s">
        <v>50</v>
      </c>
    </row>
    <row r="9" spans="1:34" ht="15" customHeight="1" x14ac:dyDescent="0.35">
      <c r="A9">
        <v>7547676</v>
      </c>
      <c r="B9">
        <v>690929</v>
      </c>
      <c r="C9" t="s">
        <v>34</v>
      </c>
      <c r="D9" t="s">
        <v>35</v>
      </c>
      <c r="E9" s="6" t="s">
        <v>34</v>
      </c>
      <c r="F9" t="s">
        <v>75</v>
      </c>
      <c r="G9" t="s">
        <v>37</v>
      </c>
      <c r="H9" t="s">
        <v>38</v>
      </c>
      <c r="I9" t="s">
        <v>76</v>
      </c>
      <c r="J9" t="s">
        <v>40</v>
      </c>
      <c r="K9">
        <v>2</v>
      </c>
      <c r="L9" t="s">
        <v>41</v>
      </c>
      <c r="M9" t="s">
        <v>42</v>
      </c>
      <c r="N9" t="s">
        <v>43</v>
      </c>
      <c r="O9" s="7">
        <v>1</v>
      </c>
      <c r="P9" s="8">
        <v>45182.725034722222</v>
      </c>
      <c r="Q9" s="9">
        <v>45184</v>
      </c>
      <c r="R9" t="s">
        <v>37</v>
      </c>
      <c r="S9" t="s">
        <v>44</v>
      </c>
      <c r="T9" t="s">
        <v>45</v>
      </c>
      <c r="U9" t="s">
        <v>67</v>
      </c>
      <c r="V9" t="s">
        <v>77</v>
      </c>
      <c r="W9">
        <v>42700</v>
      </c>
      <c r="X9" t="s">
        <v>44</v>
      </c>
      <c r="Y9" t="s">
        <v>73</v>
      </c>
      <c r="Z9" t="s">
        <v>49</v>
      </c>
      <c r="AA9" s="10">
        <f>IF(O9&lt;=1,7,7+0.8*ROUNDUP(O9-1,0))</f>
        <v>7</v>
      </c>
      <c r="AB9" s="11">
        <v>0</v>
      </c>
      <c r="AC9" s="11">
        <v>0</v>
      </c>
      <c r="AD9" s="11">
        <v>0</v>
      </c>
      <c r="AE9" s="11">
        <v>0</v>
      </c>
      <c r="AF9" s="11">
        <f t="shared" si="0"/>
        <v>0.42</v>
      </c>
      <c r="AG9" s="11">
        <f t="shared" si="1"/>
        <v>7.42</v>
      </c>
      <c r="AH9" t="s">
        <v>50</v>
      </c>
    </row>
    <row r="10" spans="1:34" ht="15" customHeight="1" x14ac:dyDescent="0.35">
      <c r="A10">
        <v>7547676</v>
      </c>
      <c r="B10">
        <v>690929</v>
      </c>
      <c r="C10" t="s">
        <v>34</v>
      </c>
      <c r="D10" t="s">
        <v>35</v>
      </c>
      <c r="E10" s="6" t="s">
        <v>34</v>
      </c>
      <c r="F10" t="s">
        <v>78</v>
      </c>
      <c r="G10" t="s">
        <v>37</v>
      </c>
      <c r="H10" t="s">
        <v>38</v>
      </c>
      <c r="I10" t="s">
        <v>79</v>
      </c>
      <c r="J10" t="s">
        <v>40</v>
      </c>
      <c r="K10">
        <v>2</v>
      </c>
      <c r="L10" t="s">
        <v>41</v>
      </c>
      <c r="M10" t="s">
        <v>42</v>
      </c>
      <c r="N10" t="s">
        <v>43</v>
      </c>
      <c r="O10" s="7">
        <v>1</v>
      </c>
      <c r="P10" s="8">
        <v>45182.425219907411</v>
      </c>
      <c r="Q10" s="9">
        <v>45184</v>
      </c>
      <c r="R10" t="s">
        <v>37</v>
      </c>
      <c r="S10" t="s">
        <v>44</v>
      </c>
      <c r="T10" t="s">
        <v>45</v>
      </c>
      <c r="U10" t="s">
        <v>62</v>
      </c>
      <c r="V10" t="s">
        <v>80</v>
      </c>
      <c r="W10">
        <v>46000</v>
      </c>
      <c r="X10" t="s">
        <v>44</v>
      </c>
      <c r="Y10" t="s">
        <v>69</v>
      </c>
      <c r="Z10" t="s">
        <v>49</v>
      </c>
      <c r="AA10" s="10">
        <f>IF(O10&lt;=1,7,7+0.8*ROUNDUP(O10-1,0))</f>
        <v>7</v>
      </c>
      <c r="AB10" s="11">
        <v>0</v>
      </c>
      <c r="AC10" s="11">
        <v>0</v>
      </c>
      <c r="AD10" s="11">
        <v>0</v>
      </c>
      <c r="AE10" s="11">
        <v>0</v>
      </c>
      <c r="AF10" s="11">
        <f t="shared" si="0"/>
        <v>0.42</v>
      </c>
      <c r="AG10" s="11">
        <f t="shared" si="1"/>
        <v>7.42</v>
      </c>
      <c r="AH10" t="s">
        <v>50</v>
      </c>
    </row>
    <row r="11" spans="1:34" ht="15" customHeight="1" x14ac:dyDescent="0.35">
      <c r="A11">
        <v>7547676</v>
      </c>
      <c r="B11">
        <v>690929</v>
      </c>
      <c r="C11" t="s">
        <v>34</v>
      </c>
      <c r="D11" t="s">
        <v>35</v>
      </c>
      <c r="E11" s="6" t="s">
        <v>34</v>
      </c>
      <c r="F11" t="s">
        <v>81</v>
      </c>
      <c r="G11" t="s">
        <v>37</v>
      </c>
      <c r="H11" t="s">
        <v>38</v>
      </c>
      <c r="I11" t="s">
        <v>82</v>
      </c>
      <c r="J11" t="s">
        <v>40</v>
      </c>
      <c r="K11">
        <v>2</v>
      </c>
      <c r="L11" t="s">
        <v>41</v>
      </c>
      <c r="M11" t="s">
        <v>42</v>
      </c>
      <c r="N11" t="s">
        <v>43</v>
      </c>
      <c r="O11" s="7">
        <v>9</v>
      </c>
      <c r="P11" s="8">
        <v>45183.761412037034</v>
      </c>
      <c r="Q11" s="9">
        <v>45184</v>
      </c>
      <c r="R11" t="s">
        <v>37</v>
      </c>
      <c r="S11" t="s">
        <v>44</v>
      </c>
      <c r="T11" t="s">
        <v>45</v>
      </c>
      <c r="U11" t="s">
        <v>62</v>
      </c>
      <c r="V11" t="s">
        <v>83</v>
      </c>
      <c r="W11">
        <v>54200</v>
      </c>
      <c r="X11" t="s">
        <v>44</v>
      </c>
      <c r="Y11" t="s">
        <v>84</v>
      </c>
      <c r="Z11" t="s">
        <v>49</v>
      </c>
      <c r="AA11" s="10">
        <f>IF(O11&lt;=1,7,7+0.8*ROUNDUP(O11-1,0))</f>
        <v>13.4</v>
      </c>
      <c r="AB11" s="11">
        <v>0</v>
      </c>
      <c r="AC11" s="11">
        <v>0</v>
      </c>
      <c r="AD11" s="11">
        <v>0</v>
      </c>
      <c r="AE11" s="11">
        <v>0</v>
      </c>
      <c r="AF11" s="11">
        <f t="shared" si="0"/>
        <v>0.80399999999999994</v>
      </c>
      <c r="AG11" s="11">
        <f t="shared" si="1"/>
        <v>14.204000000000001</v>
      </c>
      <c r="AH11" t="s">
        <v>50</v>
      </c>
    </row>
    <row r="12" spans="1:34" ht="15" customHeight="1" x14ac:dyDescent="0.35">
      <c r="A12">
        <v>7547676</v>
      </c>
      <c r="B12">
        <v>690929</v>
      </c>
      <c r="C12" t="s">
        <v>34</v>
      </c>
      <c r="D12" t="s">
        <v>35</v>
      </c>
      <c r="E12" s="6" t="s">
        <v>34</v>
      </c>
      <c r="F12" t="s">
        <v>85</v>
      </c>
      <c r="G12" t="s">
        <v>37</v>
      </c>
      <c r="H12" t="s">
        <v>38</v>
      </c>
      <c r="I12" t="s">
        <v>86</v>
      </c>
      <c r="J12" t="s">
        <v>40</v>
      </c>
      <c r="K12">
        <v>2</v>
      </c>
      <c r="L12" t="s">
        <v>41</v>
      </c>
      <c r="M12" t="s">
        <v>42</v>
      </c>
      <c r="N12" t="s">
        <v>43</v>
      </c>
      <c r="O12" s="7">
        <v>2</v>
      </c>
      <c r="P12" s="8">
        <v>45183.687349537038</v>
      </c>
      <c r="Q12" s="9">
        <v>45184</v>
      </c>
      <c r="R12" t="s">
        <v>37</v>
      </c>
      <c r="S12" t="s">
        <v>44</v>
      </c>
      <c r="T12" t="s">
        <v>45</v>
      </c>
      <c r="U12" t="s">
        <v>67</v>
      </c>
      <c r="V12" t="s">
        <v>87</v>
      </c>
      <c r="W12">
        <v>43200</v>
      </c>
      <c r="X12" t="s">
        <v>44</v>
      </c>
      <c r="Y12" t="s">
        <v>88</v>
      </c>
      <c r="Z12" t="s">
        <v>49</v>
      </c>
      <c r="AA12" s="10">
        <f>IF(O12&lt;=1,7,7+0.8*ROUNDUP(O12-1,0))</f>
        <v>7.8</v>
      </c>
      <c r="AB12" s="11">
        <v>0</v>
      </c>
      <c r="AC12" s="11">
        <v>0</v>
      </c>
      <c r="AD12" s="11">
        <v>0</v>
      </c>
      <c r="AE12" s="11">
        <v>0</v>
      </c>
      <c r="AF12" s="11">
        <f t="shared" si="0"/>
        <v>0.46799999999999997</v>
      </c>
      <c r="AG12" s="11">
        <f t="shared" si="1"/>
        <v>8.2680000000000007</v>
      </c>
      <c r="AH12" t="s">
        <v>50</v>
      </c>
    </row>
    <row r="13" spans="1:34" ht="15" customHeight="1" x14ac:dyDescent="0.35">
      <c r="A13">
        <v>7547676</v>
      </c>
      <c r="B13">
        <v>690929</v>
      </c>
      <c r="C13" t="s">
        <v>34</v>
      </c>
      <c r="D13" t="s">
        <v>35</v>
      </c>
      <c r="E13" s="6" t="s">
        <v>34</v>
      </c>
      <c r="F13" t="s">
        <v>89</v>
      </c>
      <c r="G13" t="s">
        <v>37</v>
      </c>
      <c r="H13" t="s">
        <v>38</v>
      </c>
      <c r="I13" t="s">
        <v>82</v>
      </c>
      <c r="J13" t="s">
        <v>40</v>
      </c>
      <c r="K13">
        <v>2</v>
      </c>
      <c r="L13" t="s">
        <v>41</v>
      </c>
      <c r="M13" t="s">
        <v>42</v>
      </c>
      <c r="N13" t="s">
        <v>43</v>
      </c>
      <c r="O13" s="7">
        <v>14</v>
      </c>
      <c r="P13" s="8">
        <v>45183.761412037034</v>
      </c>
      <c r="Q13" s="9">
        <v>45184</v>
      </c>
      <c r="R13" t="s">
        <v>37</v>
      </c>
      <c r="S13" t="s">
        <v>44</v>
      </c>
      <c r="T13" t="s">
        <v>45</v>
      </c>
      <c r="U13" t="s">
        <v>62</v>
      </c>
      <c r="V13" t="s">
        <v>83</v>
      </c>
      <c r="W13">
        <v>54200</v>
      </c>
      <c r="X13" t="s">
        <v>44</v>
      </c>
      <c r="Y13" t="s">
        <v>84</v>
      </c>
      <c r="Z13" t="s">
        <v>49</v>
      </c>
      <c r="AA13" s="10">
        <f>IF(O13&lt;=1,7,7+0.8*ROUNDUP(O13-1,0))</f>
        <v>17.399999999999999</v>
      </c>
      <c r="AB13" s="11">
        <v>0</v>
      </c>
      <c r="AC13" s="11">
        <v>0</v>
      </c>
      <c r="AD13" s="11">
        <v>0</v>
      </c>
      <c r="AE13" s="11">
        <v>0</v>
      </c>
      <c r="AF13" s="11">
        <f t="shared" si="0"/>
        <v>1.0439999999999998</v>
      </c>
      <c r="AG13" s="11">
        <f t="shared" si="1"/>
        <v>18.443999999999999</v>
      </c>
      <c r="AH13" t="s">
        <v>50</v>
      </c>
    </row>
    <row r="14" spans="1:34" ht="15" customHeight="1" x14ac:dyDescent="0.35">
      <c r="A14">
        <v>7547676</v>
      </c>
      <c r="B14">
        <v>690929</v>
      </c>
      <c r="C14" t="s">
        <v>34</v>
      </c>
      <c r="D14" t="s">
        <v>35</v>
      </c>
      <c r="E14" s="6" t="s">
        <v>34</v>
      </c>
      <c r="F14" t="s">
        <v>90</v>
      </c>
      <c r="G14" t="s">
        <v>37</v>
      </c>
      <c r="H14" t="s">
        <v>38</v>
      </c>
      <c r="I14" t="s">
        <v>82</v>
      </c>
      <c r="J14" t="s">
        <v>40</v>
      </c>
      <c r="K14">
        <v>2</v>
      </c>
      <c r="L14" t="s">
        <v>41</v>
      </c>
      <c r="M14" t="s">
        <v>42</v>
      </c>
      <c r="N14" t="s">
        <v>43</v>
      </c>
      <c r="O14" s="7">
        <v>9</v>
      </c>
      <c r="P14" s="8">
        <v>45183.761412037034</v>
      </c>
      <c r="Q14" s="9">
        <v>45184</v>
      </c>
      <c r="R14" t="s">
        <v>37</v>
      </c>
      <c r="S14" t="s">
        <v>44</v>
      </c>
      <c r="T14" t="s">
        <v>45</v>
      </c>
      <c r="U14" t="s">
        <v>62</v>
      </c>
      <c r="V14" t="s">
        <v>83</v>
      </c>
      <c r="W14">
        <v>54200</v>
      </c>
      <c r="X14" t="s">
        <v>44</v>
      </c>
      <c r="Y14" t="s">
        <v>84</v>
      </c>
      <c r="Z14" t="s">
        <v>49</v>
      </c>
      <c r="AA14" s="10">
        <f>IF(O14&lt;=1,7,7+0.8*ROUNDUP(O14-1,0))</f>
        <v>13.4</v>
      </c>
      <c r="AB14" s="11">
        <v>0</v>
      </c>
      <c r="AC14" s="11">
        <v>0</v>
      </c>
      <c r="AD14" s="11">
        <v>0</v>
      </c>
      <c r="AE14" s="11">
        <v>0</v>
      </c>
      <c r="AF14" s="11">
        <f t="shared" si="0"/>
        <v>0.80399999999999994</v>
      </c>
      <c r="AG14" s="11">
        <f t="shared" si="1"/>
        <v>14.204000000000001</v>
      </c>
      <c r="AH14" t="s">
        <v>50</v>
      </c>
    </row>
    <row r="15" spans="1:34" ht="15" customHeight="1" x14ac:dyDescent="0.35">
      <c r="A15">
        <v>7547676</v>
      </c>
      <c r="B15">
        <v>690929</v>
      </c>
      <c r="C15" t="s">
        <v>34</v>
      </c>
      <c r="D15" t="s">
        <v>35</v>
      </c>
      <c r="E15" s="6" t="s">
        <v>34</v>
      </c>
      <c r="F15" t="s">
        <v>91</v>
      </c>
      <c r="G15" t="s">
        <v>37</v>
      </c>
      <c r="H15" t="s">
        <v>38</v>
      </c>
      <c r="I15" t="s">
        <v>92</v>
      </c>
      <c r="J15" t="s">
        <v>40</v>
      </c>
      <c r="K15">
        <v>2</v>
      </c>
      <c r="L15" t="s">
        <v>41</v>
      </c>
      <c r="M15" t="s">
        <v>42</v>
      </c>
      <c r="N15" t="s">
        <v>43</v>
      </c>
      <c r="O15" s="7">
        <v>5</v>
      </c>
      <c r="P15" s="8">
        <v>45183.761412037034</v>
      </c>
      <c r="Q15" s="9">
        <v>45184</v>
      </c>
      <c r="R15" t="s">
        <v>37</v>
      </c>
      <c r="S15" t="s">
        <v>44</v>
      </c>
      <c r="T15" t="s">
        <v>45</v>
      </c>
      <c r="U15" t="s">
        <v>53</v>
      </c>
      <c r="V15" t="s">
        <v>93</v>
      </c>
      <c r="W15">
        <v>71800</v>
      </c>
      <c r="X15" t="s">
        <v>44</v>
      </c>
      <c r="Y15" t="s">
        <v>94</v>
      </c>
      <c r="Z15" t="s">
        <v>49</v>
      </c>
      <c r="AA15" s="10">
        <f>IF(O15&lt;=1,7,7+0.8*ROUNDUP(O15-1,0))</f>
        <v>10.199999999999999</v>
      </c>
      <c r="AB15" s="11">
        <v>0</v>
      </c>
      <c r="AC15" s="11">
        <v>0</v>
      </c>
      <c r="AD15" s="11">
        <v>0</v>
      </c>
      <c r="AE15" s="11">
        <v>0</v>
      </c>
      <c r="AF15" s="11">
        <f t="shared" si="0"/>
        <v>0.61199999999999999</v>
      </c>
      <c r="AG15" s="11">
        <f t="shared" si="1"/>
        <v>10.811999999999999</v>
      </c>
      <c r="AH15" t="s">
        <v>50</v>
      </c>
    </row>
    <row r="16" spans="1:34" ht="15" customHeight="1" x14ac:dyDescent="0.35">
      <c r="A16">
        <v>7547676</v>
      </c>
      <c r="B16">
        <v>690929</v>
      </c>
      <c r="C16" t="s">
        <v>34</v>
      </c>
      <c r="D16" t="s">
        <v>35</v>
      </c>
      <c r="E16" s="6" t="s">
        <v>34</v>
      </c>
      <c r="F16" t="s">
        <v>95</v>
      </c>
      <c r="G16" t="s">
        <v>37</v>
      </c>
      <c r="H16" t="s">
        <v>38</v>
      </c>
      <c r="I16" t="s">
        <v>96</v>
      </c>
      <c r="J16" t="s">
        <v>40</v>
      </c>
      <c r="K16">
        <v>2</v>
      </c>
      <c r="L16" t="s">
        <v>41</v>
      </c>
      <c r="M16" t="s">
        <v>42</v>
      </c>
      <c r="N16" t="s">
        <v>43</v>
      </c>
      <c r="O16" s="7">
        <v>1</v>
      </c>
      <c r="P16" s="8">
        <v>45183.75545138889</v>
      </c>
      <c r="Q16" s="9">
        <v>45184</v>
      </c>
      <c r="R16" t="s">
        <v>37</v>
      </c>
      <c r="S16" t="s">
        <v>44</v>
      </c>
      <c r="T16" t="s">
        <v>45</v>
      </c>
      <c r="U16" t="s">
        <v>67</v>
      </c>
      <c r="V16" t="s">
        <v>97</v>
      </c>
      <c r="W16">
        <v>48000</v>
      </c>
      <c r="X16" t="s">
        <v>44</v>
      </c>
      <c r="Y16" t="s">
        <v>98</v>
      </c>
      <c r="Z16" t="s">
        <v>49</v>
      </c>
      <c r="AA16" s="10">
        <f>IF(O16&lt;=1,7,7+0.8*ROUNDUP(O16-1,0))</f>
        <v>7</v>
      </c>
      <c r="AB16" s="11">
        <v>0</v>
      </c>
      <c r="AC16" s="11">
        <v>0</v>
      </c>
      <c r="AD16" s="11">
        <v>0</v>
      </c>
      <c r="AE16" s="11">
        <v>0</v>
      </c>
      <c r="AF16" s="11">
        <f t="shared" si="0"/>
        <v>0.42</v>
      </c>
      <c r="AG16" s="11">
        <f t="shared" si="1"/>
        <v>7.42</v>
      </c>
      <c r="AH16" t="s">
        <v>50</v>
      </c>
    </row>
    <row r="17" spans="1:34" ht="15" customHeight="1" x14ac:dyDescent="0.35">
      <c r="A17">
        <v>7547676</v>
      </c>
      <c r="B17">
        <v>690929</v>
      </c>
      <c r="C17" t="s">
        <v>34</v>
      </c>
      <c r="D17" t="s">
        <v>35</v>
      </c>
      <c r="E17" s="6" t="s">
        <v>34</v>
      </c>
      <c r="F17" t="s">
        <v>99</v>
      </c>
      <c r="G17" t="s">
        <v>37</v>
      </c>
      <c r="H17" t="s">
        <v>38</v>
      </c>
      <c r="I17" t="s">
        <v>100</v>
      </c>
      <c r="J17" t="s">
        <v>40</v>
      </c>
      <c r="K17">
        <v>2</v>
      </c>
      <c r="L17" t="s">
        <v>41</v>
      </c>
      <c r="M17" t="s">
        <v>42</v>
      </c>
      <c r="N17" t="s">
        <v>43</v>
      </c>
      <c r="O17" s="7">
        <v>2</v>
      </c>
      <c r="P17" s="8">
        <v>45182.694814814815</v>
      </c>
      <c r="Q17" s="9">
        <v>45184</v>
      </c>
      <c r="R17" t="s">
        <v>37</v>
      </c>
      <c r="S17" t="s">
        <v>44</v>
      </c>
      <c r="T17" t="s">
        <v>45</v>
      </c>
      <c r="U17" t="s">
        <v>101</v>
      </c>
      <c r="V17" t="s">
        <v>102</v>
      </c>
      <c r="W17">
        <v>33040</v>
      </c>
      <c r="X17" t="s">
        <v>44</v>
      </c>
      <c r="Y17" t="s">
        <v>103</v>
      </c>
      <c r="Z17" t="s">
        <v>49</v>
      </c>
      <c r="AA17" s="10">
        <f>IF(O17&lt;=1,7,7+0.8*ROUNDUP(O17-1,0))</f>
        <v>7.8</v>
      </c>
      <c r="AB17" s="11">
        <v>0</v>
      </c>
      <c r="AC17" s="11">
        <v>0</v>
      </c>
      <c r="AD17" s="11">
        <v>0</v>
      </c>
      <c r="AE17" s="11">
        <v>0</v>
      </c>
      <c r="AF17" s="11">
        <f t="shared" si="0"/>
        <v>0.46799999999999997</v>
      </c>
      <c r="AG17" s="11">
        <f t="shared" si="1"/>
        <v>8.2680000000000007</v>
      </c>
      <c r="AH17" t="s">
        <v>50</v>
      </c>
    </row>
    <row r="18" spans="1:34" ht="15" customHeight="1" x14ac:dyDescent="0.35">
      <c r="A18">
        <v>7547676</v>
      </c>
      <c r="B18">
        <v>690929</v>
      </c>
      <c r="C18" t="s">
        <v>34</v>
      </c>
      <c r="D18" t="s">
        <v>35</v>
      </c>
      <c r="E18" s="6" t="s">
        <v>34</v>
      </c>
      <c r="F18" t="s">
        <v>104</v>
      </c>
      <c r="G18" t="s">
        <v>37</v>
      </c>
      <c r="H18" t="s">
        <v>38</v>
      </c>
      <c r="I18" t="s">
        <v>105</v>
      </c>
      <c r="J18" t="s">
        <v>40</v>
      </c>
      <c r="K18">
        <v>2</v>
      </c>
      <c r="L18" t="s">
        <v>41</v>
      </c>
      <c r="M18" t="s">
        <v>42</v>
      </c>
      <c r="N18" t="s">
        <v>43</v>
      </c>
      <c r="O18" s="7">
        <v>2</v>
      </c>
      <c r="P18" s="8">
        <v>45182.730509259258</v>
      </c>
      <c r="Q18" s="9">
        <v>45184</v>
      </c>
      <c r="R18" t="s">
        <v>37</v>
      </c>
      <c r="S18" t="s">
        <v>44</v>
      </c>
      <c r="T18" t="s">
        <v>45</v>
      </c>
      <c r="U18" t="s">
        <v>106</v>
      </c>
      <c r="V18" t="s">
        <v>107</v>
      </c>
      <c r="W18">
        <v>14100</v>
      </c>
      <c r="X18" t="s">
        <v>44</v>
      </c>
      <c r="Y18" t="s">
        <v>69</v>
      </c>
      <c r="Z18" t="s">
        <v>49</v>
      </c>
      <c r="AA18" s="10">
        <f>IF(O18&lt;=1,7,7+0.8*ROUNDUP(O18-1,0))</f>
        <v>7.8</v>
      </c>
      <c r="AB18" s="11">
        <v>0</v>
      </c>
      <c r="AC18" s="11">
        <v>0</v>
      </c>
      <c r="AD18" s="11">
        <v>0</v>
      </c>
      <c r="AE18" s="11">
        <v>0</v>
      </c>
      <c r="AF18" s="11">
        <f t="shared" si="0"/>
        <v>0.46799999999999997</v>
      </c>
      <c r="AG18" s="11">
        <f t="shared" si="1"/>
        <v>8.2680000000000007</v>
      </c>
      <c r="AH18" t="s">
        <v>50</v>
      </c>
    </row>
    <row r="19" spans="1:34" ht="15" customHeight="1" x14ac:dyDescent="0.35">
      <c r="A19">
        <v>7547676</v>
      </c>
      <c r="B19">
        <v>690929</v>
      </c>
      <c r="C19" t="s">
        <v>34</v>
      </c>
      <c r="D19" t="s">
        <v>35</v>
      </c>
      <c r="E19" s="6" t="s">
        <v>34</v>
      </c>
      <c r="F19" t="s">
        <v>108</v>
      </c>
      <c r="G19" t="s">
        <v>37</v>
      </c>
      <c r="H19" t="s">
        <v>38</v>
      </c>
      <c r="I19" t="s">
        <v>109</v>
      </c>
      <c r="J19" t="s">
        <v>40</v>
      </c>
      <c r="K19">
        <v>2</v>
      </c>
      <c r="L19" t="s">
        <v>41</v>
      </c>
      <c r="M19" t="s">
        <v>42</v>
      </c>
      <c r="N19" t="s">
        <v>43</v>
      </c>
      <c r="O19" s="7">
        <v>1</v>
      </c>
      <c r="P19" s="8">
        <v>45181.582233796296</v>
      </c>
      <c r="Q19" s="9">
        <v>45184</v>
      </c>
      <c r="R19" t="s">
        <v>37</v>
      </c>
      <c r="S19" t="s">
        <v>44</v>
      </c>
      <c r="T19" t="s">
        <v>45</v>
      </c>
      <c r="U19" t="s">
        <v>110</v>
      </c>
      <c r="V19" t="s">
        <v>111</v>
      </c>
      <c r="W19">
        <v>81900</v>
      </c>
      <c r="X19" t="s">
        <v>44</v>
      </c>
      <c r="Y19" t="s">
        <v>69</v>
      </c>
      <c r="Z19" t="s">
        <v>49</v>
      </c>
      <c r="AA19" s="10">
        <f>IF(O19&lt;=1,7,7+0.8*ROUNDUP(O19-1,0))</f>
        <v>7</v>
      </c>
      <c r="AB19" s="11">
        <v>0</v>
      </c>
      <c r="AC19" s="11">
        <v>0</v>
      </c>
      <c r="AD19" s="11">
        <v>0</v>
      </c>
      <c r="AE19" s="11">
        <v>0</v>
      </c>
      <c r="AF19" s="11">
        <f t="shared" si="0"/>
        <v>0.42</v>
      </c>
      <c r="AG19" s="11">
        <f t="shared" si="1"/>
        <v>7.42</v>
      </c>
      <c r="AH19" t="s">
        <v>50</v>
      </c>
    </row>
    <row r="20" spans="1:34" ht="15" customHeight="1" x14ac:dyDescent="0.35">
      <c r="A20">
        <v>7547676</v>
      </c>
      <c r="B20">
        <v>690929</v>
      </c>
      <c r="C20" t="s">
        <v>34</v>
      </c>
      <c r="D20" t="s">
        <v>35</v>
      </c>
      <c r="E20" s="6" t="s">
        <v>34</v>
      </c>
      <c r="F20" t="s">
        <v>112</v>
      </c>
      <c r="G20" t="s">
        <v>37</v>
      </c>
      <c r="H20" t="s">
        <v>38</v>
      </c>
      <c r="I20" t="s">
        <v>113</v>
      </c>
      <c r="J20" t="s">
        <v>40</v>
      </c>
      <c r="K20">
        <v>2</v>
      </c>
      <c r="L20" t="s">
        <v>41</v>
      </c>
      <c r="M20" t="s">
        <v>42</v>
      </c>
      <c r="N20" t="s">
        <v>43</v>
      </c>
      <c r="O20" s="7">
        <v>2</v>
      </c>
      <c r="P20" s="8">
        <v>45184.479120370372</v>
      </c>
      <c r="Q20" s="9">
        <v>45186</v>
      </c>
      <c r="R20" t="s">
        <v>37</v>
      </c>
      <c r="S20" t="s">
        <v>44</v>
      </c>
      <c r="T20" t="s">
        <v>114</v>
      </c>
      <c r="U20" t="s">
        <v>115</v>
      </c>
      <c r="V20" t="s">
        <v>116</v>
      </c>
      <c r="W20">
        <v>18000</v>
      </c>
      <c r="X20" t="s">
        <v>44</v>
      </c>
      <c r="Y20" t="s">
        <v>114</v>
      </c>
      <c r="Z20" t="s">
        <v>49</v>
      </c>
      <c r="AA20" s="10">
        <f>IF(O20&lt;=1,7,7+0.8*ROUNDUP(O20-1,0))</f>
        <v>7.8</v>
      </c>
      <c r="AB20" s="11">
        <v>0</v>
      </c>
      <c r="AC20" s="11">
        <v>0</v>
      </c>
      <c r="AD20" s="11">
        <v>0</v>
      </c>
      <c r="AE20" s="11">
        <v>0</v>
      </c>
      <c r="AF20" s="11">
        <f t="shared" si="0"/>
        <v>0.46799999999999997</v>
      </c>
      <c r="AG20" s="11">
        <f t="shared" si="1"/>
        <v>8.2680000000000007</v>
      </c>
      <c r="AH20" t="s">
        <v>50</v>
      </c>
    </row>
    <row r="21" spans="1:34" ht="15" customHeight="1" x14ac:dyDescent="0.35">
      <c r="A21">
        <v>7547676</v>
      </c>
      <c r="B21">
        <v>690929</v>
      </c>
      <c r="C21" t="s">
        <v>34</v>
      </c>
      <c r="D21" t="s">
        <v>35</v>
      </c>
      <c r="E21" s="6" t="s">
        <v>34</v>
      </c>
      <c r="F21" t="s">
        <v>117</v>
      </c>
      <c r="G21" t="s">
        <v>37</v>
      </c>
      <c r="H21" t="s">
        <v>38</v>
      </c>
      <c r="I21" t="s">
        <v>118</v>
      </c>
      <c r="J21" t="s">
        <v>40</v>
      </c>
      <c r="K21">
        <v>2</v>
      </c>
      <c r="L21" t="s">
        <v>41</v>
      </c>
      <c r="M21" t="s">
        <v>42</v>
      </c>
      <c r="N21" t="s">
        <v>43</v>
      </c>
      <c r="O21" s="7">
        <v>1</v>
      </c>
      <c r="P21" s="8">
        <v>45184.539178240739</v>
      </c>
      <c r="Q21" s="9">
        <v>45186</v>
      </c>
      <c r="R21" t="s">
        <v>37</v>
      </c>
      <c r="S21" t="s">
        <v>44</v>
      </c>
      <c r="T21" t="s">
        <v>114</v>
      </c>
      <c r="U21" t="s">
        <v>119</v>
      </c>
      <c r="V21" t="s">
        <v>120</v>
      </c>
      <c r="W21">
        <v>75450</v>
      </c>
      <c r="X21" t="s">
        <v>44</v>
      </c>
      <c r="Y21" t="s">
        <v>121</v>
      </c>
      <c r="Z21" t="s">
        <v>49</v>
      </c>
      <c r="AA21" s="10">
        <f>IF(O21&lt;=1,7,7+0.8*ROUNDUP(O21-1,0))</f>
        <v>7</v>
      </c>
      <c r="AB21" s="11">
        <v>0</v>
      </c>
      <c r="AC21" s="11">
        <v>0</v>
      </c>
      <c r="AD21" s="11">
        <v>0</v>
      </c>
      <c r="AE21" s="11">
        <v>0</v>
      </c>
      <c r="AF21" s="11">
        <f t="shared" si="0"/>
        <v>0.42</v>
      </c>
      <c r="AG21" s="11">
        <f t="shared" si="1"/>
        <v>7.42</v>
      </c>
      <c r="AH21" t="s">
        <v>50</v>
      </c>
    </row>
    <row r="22" spans="1:34" ht="15" customHeight="1" x14ac:dyDescent="0.35">
      <c r="A22">
        <v>7547676</v>
      </c>
      <c r="B22">
        <v>690929</v>
      </c>
      <c r="C22" t="s">
        <v>34</v>
      </c>
      <c r="D22" t="s">
        <v>35</v>
      </c>
      <c r="E22" s="6" t="s">
        <v>34</v>
      </c>
      <c r="F22" t="s">
        <v>122</v>
      </c>
      <c r="G22" t="s">
        <v>37</v>
      </c>
      <c r="H22" t="s">
        <v>38</v>
      </c>
      <c r="I22" t="s">
        <v>123</v>
      </c>
      <c r="J22" t="s">
        <v>40</v>
      </c>
      <c r="K22">
        <v>2</v>
      </c>
      <c r="L22" t="s">
        <v>41</v>
      </c>
      <c r="M22" t="s">
        <v>42</v>
      </c>
      <c r="N22" t="s">
        <v>43</v>
      </c>
      <c r="O22" s="7">
        <v>1</v>
      </c>
      <c r="P22" s="8">
        <v>45183.618159722224</v>
      </c>
      <c r="Q22" s="9">
        <v>45186</v>
      </c>
      <c r="R22" t="s">
        <v>37</v>
      </c>
      <c r="S22" t="s">
        <v>44</v>
      </c>
      <c r="T22" t="s">
        <v>45</v>
      </c>
      <c r="U22" t="s">
        <v>101</v>
      </c>
      <c r="V22" t="s">
        <v>124</v>
      </c>
      <c r="W22">
        <v>34900</v>
      </c>
      <c r="X22" t="s">
        <v>44</v>
      </c>
      <c r="Y22" t="s">
        <v>125</v>
      </c>
      <c r="Z22" t="s">
        <v>49</v>
      </c>
      <c r="AA22" s="10">
        <f>IF(O22&lt;=1,7,7+0.8*ROUNDUP(O22-1,0))</f>
        <v>7</v>
      </c>
      <c r="AB22" s="11">
        <v>0</v>
      </c>
      <c r="AC22" s="11">
        <v>0</v>
      </c>
      <c r="AD22" s="11">
        <v>0</v>
      </c>
      <c r="AE22" s="11">
        <v>0</v>
      </c>
      <c r="AF22" s="11">
        <f t="shared" si="0"/>
        <v>0.42</v>
      </c>
      <c r="AG22" s="11">
        <f t="shared" si="1"/>
        <v>7.42</v>
      </c>
      <c r="AH22" t="s">
        <v>50</v>
      </c>
    </row>
    <row r="23" spans="1:34" ht="15" customHeight="1" x14ac:dyDescent="0.35">
      <c r="A23">
        <v>7547676</v>
      </c>
      <c r="B23">
        <v>690929</v>
      </c>
      <c r="C23" t="s">
        <v>34</v>
      </c>
      <c r="D23" t="s">
        <v>35</v>
      </c>
      <c r="E23" s="6" t="s">
        <v>34</v>
      </c>
      <c r="F23" t="s">
        <v>126</v>
      </c>
      <c r="G23" t="s">
        <v>37</v>
      </c>
      <c r="H23" t="s">
        <v>38</v>
      </c>
      <c r="I23" t="s">
        <v>127</v>
      </c>
      <c r="J23" t="s">
        <v>40</v>
      </c>
      <c r="K23">
        <v>2</v>
      </c>
      <c r="L23" t="s">
        <v>41</v>
      </c>
      <c r="M23" t="s">
        <v>42</v>
      </c>
      <c r="N23" t="s">
        <v>43</v>
      </c>
      <c r="O23" s="7">
        <v>19</v>
      </c>
      <c r="P23" s="8">
        <v>45183.705289351848</v>
      </c>
      <c r="Q23" s="9">
        <v>45186</v>
      </c>
      <c r="R23" t="s">
        <v>37</v>
      </c>
      <c r="S23" t="s">
        <v>44</v>
      </c>
      <c r="T23" t="s">
        <v>45</v>
      </c>
      <c r="U23" t="s">
        <v>128</v>
      </c>
      <c r="V23" t="s">
        <v>129</v>
      </c>
      <c r="W23">
        <v>2700</v>
      </c>
      <c r="X23" t="s">
        <v>44</v>
      </c>
      <c r="Y23" t="s">
        <v>130</v>
      </c>
      <c r="Z23" t="s">
        <v>49</v>
      </c>
      <c r="AA23" s="10">
        <f>IF(O23&lt;=1,7,7+0.8*ROUNDUP(O23-1,0))</f>
        <v>21.4</v>
      </c>
      <c r="AB23" s="11">
        <v>0</v>
      </c>
      <c r="AC23" s="11">
        <v>0</v>
      </c>
      <c r="AD23" s="11">
        <v>0</v>
      </c>
      <c r="AE23" s="11">
        <v>0</v>
      </c>
      <c r="AF23" s="11">
        <f t="shared" si="0"/>
        <v>1.2839999999999998</v>
      </c>
      <c r="AG23" s="11">
        <f t="shared" si="1"/>
        <v>22.683999999999997</v>
      </c>
      <c r="AH23" t="s">
        <v>50</v>
      </c>
    </row>
    <row r="24" spans="1:34" ht="15" customHeight="1" x14ac:dyDescent="0.35">
      <c r="A24">
        <v>7547676</v>
      </c>
      <c r="B24">
        <v>690929</v>
      </c>
      <c r="C24" t="s">
        <v>34</v>
      </c>
      <c r="D24" t="s">
        <v>35</v>
      </c>
      <c r="E24" s="6" t="s">
        <v>34</v>
      </c>
      <c r="F24" t="s">
        <v>131</v>
      </c>
      <c r="G24" t="s">
        <v>37</v>
      </c>
      <c r="H24" t="s">
        <v>38</v>
      </c>
      <c r="I24" t="s">
        <v>132</v>
      </c>
      <c r="J24" t="s">
        <v>40</v>
      </c>
      <c r="K24">
        <v>2</v>
      </c>
      <c r="L24" t="s">
        <v>41</v>
      </c>
      <c r="M24" t="s">
        <v>42</v>
      </c>
      <c r="N24" t="s">
        <v>43</v>
      </c>
      <c r="O24" s="7">
        <v>2</v>
      </c>
      <c r="P24" s="8">
        <v>45183.75545138889</v>
      </c>
      <c r="Q24" s="9">
        <v>45186</v>
      </c>
      <c r="R24" t="s">
        <v>37</v>
      </c>
      <c r="S24" t="s">
        <v>44</v>
      </c>
      <c r="T24" t="s">
        <v>45</v>
      </c>
      <c r="U24" t="s">
        <v>133</v>
      </c>
      <c r="V24" t="s">
        <v>134</v>
      </c>
      <c r="W24">
        <v>93050</v>
      </c>
      <c r="X24" t="s">
        <v>135</v>
      </c>
      <c r="Y24" t="s">
        <v>69</v>
      </c>
      <c r="Z24" t="s">
        <v>49</v>
      </c>
      <c r="AA24" s="12">
        <f>IF(O24&lt;=1,13,IF(O24&lt;=2,23,IF(O24&lt;=3,35,IF(O24&lt;=4,43,IF(O24&lt;=5,53,IF(O24&lt;=6,63,IF(O24&lt;=7,71,IF(O24&lt;=8,79,IF(O24&lt;=9,87,IF(O24&lt;=10,95,IF(O24&lt;=11,105,IF(O24&lt;=12,114,IF(O24&lt;=13,119,IF(O24&lt;=14,127,IF(O24&lt;=15,135,IF(O24&lt;=16,143,IF(O24&lt;=17,153,IF(O24&lt;=18,163,IF(O24&lt;=19,171,IF(O24&lt;=20,185,IF(O24&lt;=21,193,IF(O24&lt;=22,201,IF(O24&lt;=23,210,IF(O24&lt;=24,220,IF(O24&lt;=25,230,IF(O24&lt;=26,240,IF(O24&lt;=27,250,IF(O24&lt;=28,260,IF(O24&lt;=29,270,IF(O24&lt;=30,280,280+10*ROUNDUP(O24-30,0)))))))))))))))))))))))))))))))</f>
        <v>23</v>
      </c>
      <c r="AB24" s="11">
        <v>0</v>
      </c>
      <c r="AC24" s="11">
        <v>0</v>
      </c>
      <c r="AD24" s="11">
        <v>0</v>
      </c>
      <c r="AE24" s="11">
        <v>0</v>
      </c>
      <c r="AF24" s="11">
        <f t="shared" si="0"/>
        <v>1.38</v>
      </c>
      <c r="AG24" s="11">
        <f t="shared" si="1"/>
        <v>24.38</v>
      </c>
      <c r="AH24" t="s">
        <v>136</v>
      </c>
    </row>
    <row r="25" spans="1:34" ht="15" customHeight="1" x14ac:dyDescent="0.35">
      <c r="A25">
        <v>7547676</v>
      </c>
      <c r="B25">
        <v>690929</v>
      </c>
      <c r="C25" t="s">
        <v>34</v>
      </c>
      <c r="D25" t="s">
        <v>35</v>
      </c>
      <c r="E25" s="6" t="s">
        <v>34</v>
      </c>
      <c r="F25" t="s">
        <v>137</v>
      </c>
      <c r="G25" t="s">
        <v>37</v>
      </c>
      <c r="H25" t="s">
        <v>38</v>
      </c>
      <c r="I25" t="s">
        <v>138</v>
      </c>
      <c r="J25" t="s">
        <v>40</v>
      </c>
      <c r="K25">
        <v>2</v>
      </c>
      <c r="L25" t="s">
        <v>41</v>
      </c>
      <c r="M25" t="s">
        <v>42</v>
      </c>
      <c r="N25" t="s">
        <v>43</v>
      </c>
      <c r="O25" s="7">
        <v>1</v>
      </c>
      <c r="P25" s="8">
        <v>45183.730624999997</v>
      </c>
      <c r="Q25" s="9">
        <v>45186</v>
      </c>
      <c r="R25" t="s">
        <v>37</v>
      </c>
      <c r="S25" t="s">
        <v>44</v>
      </c>
      <c r="T25" t="s">
        <v>45</v>
      </c>
      <c r="U25" t="s">
        <v>139</v>
      </c>
      <c r="V25" t="s">
        <v>140</v>
      </c>
      <c r="W25">
        <v>8000</v>
      </c>
      <c r="X25" t="s">
        <v>44</v>
      </c>
      <c r="Y25" t="s">
        <v>141</v>
      </c>
      <c r="Z25" t="s">
        <v>49</v>
      </c>
      <c r="AA25" s="10">
        <f>IF(O25&lt;=1,7,7+0.8*ROUNDUP(O25-1,0))</f>
        <v>7</v>
      </c>
      <c r="AB25" s="11">
        <v>0</v>
      </c>
      <c r="AC25" s="11">
        <v>0</v>
      </c>
      <c r="AD25" s="11">
        <v>0</v>
      </c>
      <c r="AE25" s="11">
        <v>0</v>
      </c>
      <c r="AF25" s="11">
        <f t="shared" si="0"/>
        <v>0.42</v>
      </c>
      <c r="AG25" s="11">
        <f t="shared" si="1"/>
        <v>7.42</v>
      </c>
      <c r="AH25" t="s">
        <v>50</v>
      </c>
    </row>
    <row r="26" spans="1:34" ht="15" customHeight="1" x14ac:dyDescent="0.35">
      <c r="A26">
        <v>7547676</v>
      </c>
      <c r="B26">
        <v>690929</v>
      </c>
      <c r="C26" t="s">
        <v>34</v>
      </c>
      <c r="D26" t="s">
        <v>35</v>
      </c>
      <c r="E26" s="6" t="s">
        <v>34</v>
      </c>
      <c r="F26" t="s">
        <v>142</v>
      </c>
      <c r="G26" t="s">
        <v>37</v>
      </c>
      <c r="H26" t="s">
        <v>38</v>
      </c>
      <c r="I26" t="s">
        <v>143</v>
      </c>
      <c r="J26" t="s">
        <v>40</v>
      </c>
      <c r="K26">
        <v>2</v>
      </c>
      <c r="L26" t="s">
        <v>41</v>
      </c>
      <c r="M26" t="s">
        <v>42</v>
      </c>
      <c r="N26" t="s">
        <v>43</v>
      </c>
      <c r="O26" s="7">
        <v>1</v>
      </c>
      <c r="P26" s="8">
        <v>45183.722048611111</v>
      </c>
      <c r="Q26" s="9">
        <v>45186</v>
      </c>
      <c r="R26" t="s">
        <v>37</v>
      </c>
      <c r="S26" t="s">
        <v>44</v>
      </c>
      <c r="T26" t="s">
        <v>45</v>
      </c>
      <c r="U26" t="s">
        <v>101</v>
      </c>
      <c r="V26" t="s">
        <v>144</v>
      </c>
      <c r="W26">
        <v>34700</v>
      </c>
      <c r="X26" t="s">
        <v>44</v>
      </c>
      <c r="Y26" t="s">
        <v>145</v>
      </c>
      <c r="Z26" t="s">
        <v>49</v>
      </c>
      <c r="AA26" s="10">
        <f>IF(O26&lt;=1,7,7+0.8*ROUNDUP(O26-1,0))</f>
        <v>7</v>
      </c>
      <c r="AB26" s="11">
        <v>0</v>
      </c>
      <c r="AC26" s="11">
        <v>0</v>
      </c>
      <c r="AD26" s="11">
        <v>0</v>
      </c>
      <c r="AE26" s="11">
        <v>0</v>
      </c>
      <c r="AF26" s="11">
        <f t="shared" si="0"/>
        <v>0.42</v>
      </c>
      <c r="AG26" s="11">
        <f t="shared" si="1"/>
        <v>7.42</v>
      </c>
      <c r="AH26" t="s">
        <v>50</v>
      </c>
    </row>
    <row r="27" spans="1:34" ht="15" customHeight="1" x14ac:dyDescent="0.35">
      <c r="A27">
        <v>7547676</v>
      </c>
      <c r="B27">
        <v>690929</v>
      </c>
      <c r="C27" t="s">
        <v>34</v>
      </c>
      <c r="D27" t="s">
        <v>35</v>
      </c>
      <c r="E27" s="6" t="s">
        <v>34</v>
      </c>
      <c r="F27" t="s">
        <v>146</v>
      </c>
      <c r="G27" t="s">
        <v>37</v>
      </c>
      <c r="H27" t="s">
        <v>38</v>
      </c>
      <c r="I27" t="s">
        <v>147</v>
      </c>
      <c r="J27" t="s">
        <v>40</v>
      </c>
      <c r="K27">
        <v>2</v>
      </c>
      <c r="L27" t="s">
        <v>41</v>
      </c>
      <c r="M27" t="s">
        <v>42</v>
      </c>
      <c r="N27" t="s">
        <v>43</v>
      </c>
      <c r="O27" s="7">
        <v>3</v>
      </c>
      <c r="P27" s="8">
        <v>45183.696226851855</v>
      </c>
      <c r="Q27" s="9">
        <v>45186</v>
      </c>
      <c r="R27" t="s">
        <v>37</v>
      </c>
      <c r="S27" t="s">
        <v>44</v>
      </c>
      <c r="T27" t="s">
        <v>45</v>
      </c>
      <c r="U27" t="s">
        <v>101</v>
      </c>
      <c r="V27" t="s">
        <v>148</v>
      </c>
      <c r="W27">
        <v>34000</v>
      </c>
      <c r="X27" t="s">
        <v>44</v>
      </c>
      <c r="Y27" t="s">
        <v>145</v>
      </c>
      <c r="Z27" t="s">
        <v>49</v>
      </c>
      <c r="AA27" s="10">
        <f>IF(O27&lt;=1,7,7+0.8*ROUNDUP(O27-1,0))</f>
        <v>8.6</v>
      </c>
      <c r="AB27" s="11">
        <v>0</v>
      </c>
      <c r="AC27" s="11">
        <v>0</v>
      </c>
      <c r="AD27" s="11">
        <v>0</v>
      </c>
      <c r="AE27" s="11">
        <v>0</v>
      </c>
      <c r="AF27" s="11">
        <f t="shared" si="0"/>
        <v>0.51600000000000001</v>
      </c>
      <c r="AG27" s="11">
        <f t="shared" si="1"/>
        <v>9.1159999999999997</v>
      </c>
      <c r="AH27" t="s">
        <v>50</v>
      </c>
    </row>
    <row r="28" spans="1:34" ht="15" customHeight="1" x14ac:dyDescent="0.35">
      <c r="A28">
        <v>7547676</v>
      </c>
      <c r="B28">
        <v>690929</v>
      </c>
      <c r="C28" t="s">
        <v>34</v>
      </c>
      <c r="D28" t="s">
        <v>35</v>
      </c>
      <c r="E28" s="6" t="s">
        <v>34</v>
      </c>
      <c r="F28" t="s">
        <v>149</v>
      </c>
      <c r="G28" t="s">
        <v>37</v>
      </c>
      <c r="H28" t="s">
        <v>38</v>
      </c>
      <c r="I28" t="s">
        <v>150</v>
      </c>
      <c r="J28" t="s">
        <v>40</v>
      </c>
      <c r="K28">
        <v>2</v>
      </c>
      <c r="L28" t="s">
        <v>41</v>
      </c>
      <c r="M28" t="s">
        <v>42</v>
      </c>
      <c r="N28" t="s">
        <v>43</v>
      </c>
      <c r="O28" s="7">
        <v>1</v>
      </c>
      <c r="P28" s="8">
        <v>45186.65184027778</v>
      </c>
      <c r="Q28" s="9">
        <v>45187</v>
      </c>
      <c r="R28" t="s">
        <v>37</v>
      </c>
      <c r="S28" t="s">
        <v>44</v>
      </c>
      <c r="T28" t="s">
        <v>45</v>
      </c>
      <c r="U28" t="s">
        <v>115</v>
      </c>
      <c r="V28" t="s">
        <v>151</v>
      </c>
      <c r="W28">
        <v>15100</v>
      </c>
      <c r="X28" t="s">
        <v>44</v>
      </c>
      <c r="Y28" t="s">
        <v>114</v>
      </c>
      <c r="Z28" t="s">
        <v>49</v>
      </c>
      <c r="AA28" s="10">
        <f>IF(O28&lt;=1,7,7+0.8*ROUNDUP(O28-1,0))</f>
        <v>7</v>
      </c>
      <c r="AB28" s="11">
        <v>0</v>
      </c>
      <c r="AC28" s="11">
        <v>0</v>
      </c>
      <c r="AD28" s="11">
        <v>0</v>
      </c>
      <c r="AE28" s="11">
        <v>0</v>
      </c>
      <c r="AF28" s="11">
        <f t="shared" si="0"/>
        <v>0.42</v>
      </c>
      <c r="AG28" s="11">
        <f t="shared" si="1"/>
        <v>7.42</v>
      </c>
      <c r="AH28" t="s">
        <v>50</v>
      </c>
    </row>
    <row r="29" spans="1:34" ht="15" customHeight="1" x14ac:dyDescent="0.35">
      <c r="A29">
        <v>7547676</v>
      </c>
      <c r="B29">
        <v>690929</v>
      </c>
      <c r="C29" t="s">
        <v>34</v>
      </c>
      <c r="D29" t="s">
        <v>35</v>
      </c>
      <c r="E29" s="6" t="s">
        <v>34</v>
      </c>
      <c r="F29" t="s">
        <v>152</v>
      </c>
      <c r="G29" t="s">
        <v>37</v>
      </c>
      <c r="H29" t="s">
        <v>38</v>
      </c>
      <c r="I29" t="s">
        <v>153</v>
      </c>
      <c r="J29" t="s">
        <v>40</v>
      </c>
      <c r="K29">
        <v>2</v>
      </c>
      <c r="L29" t="s">
        <v>41</v>
      </c>
      <c r="M29" t="s">
        <v>42</v>
      </c>
      <c r="N29" t="s">
        <v>43</v>
      </c>
      <c r="O29" s="7">
        <v>1</v>
      </c>
      <c r="P29" s="8">
        <v>45186.3906712963</v>
      </c>
      <c r="Q29" s="9">
        <v>45187</v>
      </c>
      <c r="R29" t="s">
        <v>37</v>
      </c>
      <c r="S29" t="s">
        <v>44</v>
      </c>
      <c r="T29" t="s">
        <v>45</v>
      </c>
      <c r="U29" t="s">
        <v>115</v>
      </c>
      <c r="V29" t="s">
        <v>154</v>
      </c>
      <c r="W29">
        <v>17500</v>
      </c>
      <c r="X29" t="s">
        <v>44</v>
      </c>
      <c r="Y29" t="s">
        <v>114</v>
      </c>
      <c r="Z29" t="s">
        <v>49</v>
      </c>
      <c r="AA29" s="10">
        <f>IF(O29&lt;=1,7,7+0.8*ROUNDUP(O29-1,0))</f>
        <v>7</v>
      </c>
      <c r="AB29" s="11">
        <v>0</v>
      </c>
      <c r="AC29" s="11">
        <v>0</v>
      </c>
      <c r="AD29" s="11">
        <v>0</v>
      </c>
      <c r="AE29" s="11">
        <v>0</v>
      </c>
      <c r="AF29" s="11">
        <f t="shared" si="0"/>
        <v>0.42</v>
      </c>
      <c r="AG29" s="11">
        <f t="shared" si="1"/>
        <v>7.42</v>
      </c>
      <c r="AH29" t="s">
        <v>50</v>
      </c>
    </row>
    <row r="30" spans="1:34" ht="15" customHeight="1" x14ac:dyDescent="0.35">
      <c r="A30">
        <v>7547676</v>
      </c>
      <c r="B30">
        <v>690929</v>
      </c>
      <c r="C30" t="s">
        <v>34</v>
      </c>
      <c r="D30" t="s">
        <v>35</v>
      </c>
      <c r="E30" s="6" t="s">
        <v>34</v>
      </c>
      <c r="F30" t="s">
        <v>155</v>
      </c>
      <c r="G30" t="s">
        <v>37</v>
      </c>
      <c r="H30" t="s">
        <v>38</v>
      </c>
      <c r="I30" t="s">
        <v>156</v>
      </c>
      <c r="J30" t="s">
        <v>40</v>
      </c>
      <c r="K30">
        <v>2</v>
      </c>
      <c r="L30" t="s">
        <v>41</v>
      </c>
      <c r="M30" t="s">
        <v>42</v>
      </c>
      <c r="N30" t="s">
        <v>43</v>
      </c>
      <c r="O30" s="7">
        <v>1</v>
      </c>
      <c r="P30" s="8">
        <v>45184.416620370372</v>
      </c>
      <c r="Q30" s="9">
        <v>45187</v>
      </c>
      <c r="R30" t="s">
        <v>37</v>
      </c>
      <c r="S30" t="s">
        <v>44</v>
      </c>
      <c r="T30" t="s">
        <v>114</v>
      </c>
      <c r="U30" t="s">
        <v>119</v>
      </c>
      <c r="V30" t="s">
        <v>157</v>
      </c>
      <c r="W30">
        <v>75450</v>
      </c>
      <c r="X30" t="s">
        <v>44</v>
      </c>
      <c r="Y30" t="s">
        <v>158</v>
      </c>
      <c r="Z30" t="s">
        <v>49</v>
      </c>
      <c r="AA30" s="10">
        <f>IF(O30&lt;=1,7,7+0.8*ROUNDUP(O30-1,0))</f>
        <v>7</v>
      </c>
      <c r="AB30" s="11">
        <v>0</v>
      </c>
      <c r="AC30" s="11">
        <v>0</v>
      </c>
      <c r="AD30" s="11">
        <v>0</v>
      </c>
      <c r="AE30" s="11">
        <v>0</v>
      </c>
      <c r="AF30" s="11">
        <f t="shared" si="0"/>
        <v>0.42</v>
      </c>
      <c r="AG30" s="11">
        <f t="shared" si="1"/>
        <v>7.42</v>
      </c>
      <c r="AH30" t="s">
        <v>50</v>
      </c>
    </row>
    <row r="31" spans="1:34" ht="15" customHeight="1" x14ac:dyDescent="0.35">
      <c r="A31">
        <v>7547676</v>
      </c>
      <c r="B31">
        <v>690929</v>
      </c>
      <c r="C31" t="s">
        <v>34</v>
      </c>
      <c r="D31" t="s">
        <v>35</v>
      </c>
      <c r="E31" s="6" t="s">
        <v>34</v>
      </c>
      <c r="F31" t="s">
        <v>159</v>
      </c>
      <c r="G31" t="s">
        <v>37</v>
      </c>
      <c r="H31" t="s">
        <v>38</v>
      </c>
      <c r="I31" t="s">
        <v>160</v>
      </c>
      <c r="J31" t="s">
        <v>40</v>
      </c>
      <c r="K31">
        <v>2</v>
      </c>
      <c r="L31" t="s">
        <v>41</v>
      </c>
      <c r="M31" t="s">
        <v>42</v>
      </c>
      <c r="N31" t="s">
        <v>43</v>
      </c>
      <c r="O31" s="7">
        <v>1</v>
      </c>
      <c r="P31" s="8">
        <v>45183.730624999997</v>
      </c>
      <c r="Q31" s="9">
        <v>45187</v>
      </c>
      <c r="R31" t="s">
        <v>37</v>
      </c>
      <c r="S31" t="s">
        <v>44</v>
      </c>
      <c r="T31" t="s">
        <v>45</v>
      </c>
      <c r="U31" t="s">
        <v>101</v>
      </c>
      <c r="V31" t="s">
        <v>161</v>
      </c>
      <c r="W31">
        <v>35910</v>
      </c>
      <c r="X31" t="s">
        <v>44</v>
      </c>
      <c r="Y31" t="s">
        <v>162</v>
      </c>
      <c r="Z31" t="s">
        <v>49</v>
      </c>
      <c r="AA31" s="10">
        <f>IF(O31&lt;=1,7,7+0.8*ROUNDUP(O31-1,0))</f>
        <v>7</v>
      </c>
      <c r="AB31" s="11">
        <v>0</v>
      </c>
      <c r="AC31" s="11">
        <v>0</v>
      </c>
      <c r="AD31" s="11">
        <v>0</v>
      </c>
      <c r="AE31" s="11">
        <v>0</v>
      </c>
      <c r="AF31" s="11">
        <f t="shared" si="0"/>
        <v>0.42</v>
      </c>
      <c r="AG31" s="11">
        <f t="shared" si="1"/>
        <v>7.42</v>
      </c>
      <c r="AH31" t="s">
        <v>50</v>
      </c>
    </row>
    <row r="32" spans="1:34" ht="15" customHeight="1" x14ac:dyDescent="0.35">
      <c r="A32">
        <v>7547676</v>
      </c>
      <c r="B32">
        <v>690929</v>
      </c>
      <c r="C32" t="s">
        <v>34</v>
      </c>
      <c r="D32" t="s">
        <v>35</v>
      </c>
      <c r="E32" s="6" t="s">
        <v>34</v>
      </c>
      <c r="F32" t="s">
        <v>163</v>
      </c>
      <c r="G32" t="s">
        <v>37</v>
      </c>
      <c r="H32" t="s">
        <v>38</v>
      </c>
      <c r="I32" t="s">
        <v>164</v>
      </c>
      <c r="J32" t="s">
        <v>40</v>
      </c>
      <c r="K32">
        <v>2</v>
      </c>
      <c r="L32" t="s">
        <v>41</v>
      </c>
      <c r="M32" t="s">
        <v>42</v>
      </c>
      <c r="N32" t="s">
        <v>43</v>
      </c>
      <c r="O32" s="7">
        <v>7</v>
      </c>
      <c r="P32" s="8">
        <v>45180.751597222225</v>
      </c>
      <c r="Q32" s="9">
        <v>45187</v>
      </c>
      <c r="R32" t="s">
        <v>37</v>
      </c>
      <c r="S32" t="s">
        <v>44</v>
      </c>
      <c r="T32" t="s">
        <v>45</v>
      </c>
      <c r="U32" t="s">
        <v>67</v>
      </c>
      <c r="V32" t="s">
        <v>165</v>
      </c>
      <c r="W32">
        <v>43700</v>
      </c>
      <c r="X32" t="s">
        <v>44</v>
      </c>
      <c r="Y32" t="s">
        <v>69</v>
      </c>
      <c r="Z32" t="s">
        <v>49</v>
      </c>
      <c r="AA32" s="10">
        <f>IF(O32&lt;=1,7,7+0.8*ROUNDUP(O32-1,0))</f>
        <v>11.8</v>
      </c>
      <c r="AB32" s="11">
        <v>0</v>
      </c>
      <c r="AC32" s="11">
        <v>0</v>
      </c>
      <c r="AD32" s="11">
        <v>0</v>
      </c>
      <c r="AE32" s="11">
        <v>0</v>
      </c>
      <c r="AF32" s="11">
        <f t="shared" si="0"/>
        <v>0.70799999999999996</v>
      </c>
      <c r="AG32" s="11">
        <f t="shared" si="1"/>
        <v>12.508000000000001</v>
      </c>
      <c r="AH32" t="s">
        <v>50</v>
      </c>
    </row>
    <row r="33" spans="1:34" ht="15" customHeight="1" x14ac:dyDescent="0.35">
      <c r="A33">
        <v>7547676</v>
      </c>
      <c r="B33">
        <v>690929</v>
      </c>
      <c r="C33" t="s">
        <v>34</v>
      </c>
      <c r="D33" t="s">
        <v>35</v>
      </c>
      <c r="E33" s="6" t="s">
        <v>34</v>
      </c>
      <c r="F33" t="s">
        <v>166</v>
      </c>
      <c r="G33" t="s">
        <v>37</v>
      </c>
      <c r="H33" t="s">
        <v>38</v>
      </c>
      <c r="I33" t="s">
        <v>167</v>
      </c>
      <c r="J33" t="s">
        <v>40</v>
      </c>
      <c r="K33">
        <v>2</v>
      </c>
      <c r="L33" t="s">
        <v>41</v>
      </c>
      <c r="M33" t="s">
        <v>42</v>
      </c>
      <c r="N33" t="s">
        <v>43</v>
      </c>
      <c r="O33" s="7">
        <v>1</v>
      </c>
      <c r="P33" s="8">
        <v>45184.468958333331</v>
      </c>
      <c r="Q33" s="9">
        <v>45187</v>
      </c>
      <c r="R33" t="s">
        <v>37</v>
      </c>
      <c r="S33" t="s">
        <v>44</v>
      </c>
      <c r="T33" t="s">
        <v>114</v>
      </c>
      <c r="U33" t="s">
        <v>67</v>
      </c>
      <c r="V33" t="s">
        <v>168</v>
      </c>
      <c r="W33">
        <v>63000</v>
      </c>
      <c r="X33" t="s">
        <v>44</v>
      </c>
      <c r="Y33" t="s">
        <v>114</v>
      </c>
      <c r="Z33" t="s">
        <v>49</v>
      </c>
      <c r="AA33" s="10">
        <f>IF(O33&lt;=1,7,7+0.8*ROUNDUP(O33-1,0))</f>
        <v>7</v>
      </c>
      <c r="AB33" s="11">
        <v>0</v>
      </c>
      <c r="AC33" s="11">
        <v>0</v>
      </c>
      <c r="AD33" s="11">
        <v>0</v>
      </c>
      <c r="AE33" s="11">
        <v>0</v>
      </c>
      <c r="AF33" s="11">
        <f t="shared" si="0"/>
        <v>0.42</v>
      </c>
      <c r="AG33" s="11">
        <f t="shared" si="1"/>
        <v>7.42</v>
      </c>
      <c r="AH33" t="s">
        <v>50</v>
      </c>
    </row>
    <row r="34" spans="1:34" ht="15" customHeight="1" x14ac:dyDescent="0.35">
      <c r="A34">
        <v>7547676</v>
      </c>
      <c r="B34">
        <v>690929</v>
      </c>
      <c r="C34" t="s">
        <v>34</v>
      </c>
      <c r="D34" t="s">
        <v>35</v>
      </c>
      <c r="E34" s="6" t="s">
        <v>34</v>
      </c>
      <c r="F34" t="s">
        <v>169</v>
      </c>
      <c r="G34" t="s">
        <v>37</v>
      </c>
      <c r="H34" t="s">
        <v>38</v>
      </c>
      <c r="I34" t="s">
        <v>170</v>
      </c>
      <c r="J34" t="s">
        <v>40</v>
      </c>
      <c r="K34">
        <v>2</v>
      </c>
      <c r="L34" t="s">
        <v>41</v>
      </c>
      <c r="M34" t="s">
        <v>42</v>
      </c>
      <c r="N34" t="s">
        <v>43</v>
      </c>
      <c r="O34" s="7">
        <v>1</v>
      </c>
      <c r="P34" s="8">
        <v>45186.3906712963</v>
      </c>
      <c r="Q34" s="9">
        <v>45187</v>
      </c>
      <c r="R34" t="s">
        <v>37</v>
      </c>
      <c r="S34" t="s">
        <v>44</v>
      </c>
      <c r="T34" t="s">
        <v>45</v>
      </c>
      <c r="U34" t="s">
        <v>115</v>
      </c>
      <c r="V34" t="s">
        <v>171</v>
      </c>
      <c r="W34">
        <v>16800</v>
      </c>
      <c r="X34" t="s">
        <v>44</v>
      </c>
      <c r="Y34" t="s">
        <v>114</v>
      </c>
      <c r="Z34" t="s">
        <v>49</v>
      </c>
      <c r="AA34" s="10">
        <f>IF(O34&lt;=1,7,7+0.8*ROUNDUP(O34-1,0))</f>
        <v>7</v>
      </c>
      <c r="AB34" s="11">
        <v>0</v>
      </c>
      <c r="AC34" s="11">
        <v>0</v>
      </c>
      <c r="AD34" s="11">
        <v>0</v>
      </c>
      <c r="AE34" s="11">
        <v>0</v>
      </c>
      <c r="AF34" s="11">
        <f t="shared" si="0"/>
        <v>0.42</v>
      </c>
      <c r="AG34" s="11">
        <f t="shared" si="1"/>
        <v>7.42</v>
      </c>
      <c r="AH34" t="s">
        <v>50</v>
      </c>
    </row>
    <row r="35" spans="1:34" ht="15" customHeight="1" x14ac:dyDescent="0.35">
      <c r="A35">
        <v>7547676</v>
      </c>
      <c r="B35">
        <v>690929</v>
      </c>
      <c r="C35" t="s">
        <v>34</v>
      </c>
      <c r="D35" t="s">
        <v>35</v>
      </c>
      <c r="E35" s="6" t="s">
        <v>34</v>
      </c>
      <c r="F35" t="s">
        <v>172</v>
      </c>
      <c r="G35" t="s">
        <v>37</v>
      </c>
      <c r="H35" t="s">
        <v>38</v>
      </c>
      <c r="I35" t="s">
        <v>173</v>
      </c>
      <c r="J35" t="s">
        <v>40</v>
      </c>
      <c r="K35">
        <v>2</v>
      </c>
      <c r="L35" t="s">
        <v>41</v>
      </c>
      <c r="M35" t="s">
        <v>42</v>
      </c>
      <c r="N35" t="s">
        <v>43</v>
      </c>
      <c r="O35" s="7">
        <v>1</v>
      </c>
      <c r="P35" s="8">
        <v>45184.444895833331</v>
      </c>
      <c r="Q35" s="9">
        <v>45187</v>
      </c>
      <c r="R35" t="s">
        <v>37</v>
      </c>
      <c r="S35" t="s">
        <v>44</v>
      </c>
      <c r="T35" t="s">
        <v>114</v>
      </c>
      <c r="U35" t="s">
        <v>62</v>
      </c>
      <c r="V35" t="s">
        <v>174</v>
      </c>
      <c r="W35">
        <v>59200</v>
      </c>
      <c r="X35" t="s">
        <v>44</v>
      </c>
      <c r="Y35" t="s">
        <v>175</v>
      </c>
      <c r="Z35" t="s">
        <v>49</v>
      </c>
      <c r="AA35" s="10">
        <f>IF(O35&lt;=1,7,7+0.8*ROUNDUP(O35-1,0))</f>
        <v>7</v>
      </c>
      <c r="AB35" s="11">
        <v>0</v>
      </c>
      <c r="AC35" s="11">
        <v>0</v>
      </c>
      <c r="AD35" s="11">
        <v>0</v>
      </c>
      <c r="AE35" s="11">
        <v>0</v>
      </c>
      <c r="AF35" s="11">
        <f t="shared" si="0"/>
        <v>0.42</v>
      </c>
      <c r="AG35" s="11">
        <f t="shared" si="1"/>
        <v>7.42</v>
      </c>
      <c r="AH35" t="s">
        <v>50</v>
      </c>
    </row>
    <row r="36" spans="1:34" ht="15" customHeight="1" x14ac:dyDescent="0.35">
      <c r="A36">
        <v>7547676</v>
      </c>
      <c r="B36">
        <v>690929</v>
      </c>
      <c r="C36" t="s">
        <v>34</v>
      </c>
      <c r="D36" t="s">
        <v>35</v>
      </c>
      <c r="E36" s="6" t="s">
        <v>34</v>
      </c>
      <c r="F36" t="s">
        <v>176</v>
      </c>
      <c r="G36" t="s">
        <v>37</v>
      </c>
      <c r="H36" t="s">
        <v>38</v>
      </c>
      <c r="I36" t="s">
        <v>177</v>
      </c>
      <c r="J36" t="s">
        <v>40</v>
      </c>
      <c r="K36">
        <v>2</v>
      </c>
      <c r="L36" t="s">
        <v>41</v>
      </c>
      <c r="M36" t="s">
        <v>42</v>
      </c>
      <c r="N36" t="s">
        <v>43</v>
      </c>
      <c r="O36" s="7">
        <v>1</v>
      </c>
      <c r="P36" s="8">
        <v>45184.444895833331</v>
      </c>
      <c r="Q36" s="9">
        <v>45187</v>
      </c>
      <c r="R36" t="s">
        <v>37</v>
      </c>
      <c r="S36" t="s">
        <v>44</v>
      </c>
      <c r="T36" t="s">
        <v>114</v>
      </c>
      <c r="U36" t="s">
        <v>133</v>
      </c>
      <c r="V36" t="s">
        <v>178</v>
      </c>
      <c r="W36">
        <v>96000</v>
      </c>
      <c r="X36" t="s">
        <v>135</v>
      </c>
      <c r="Y36" t="s">
        <v>69</v>
      </c>
      <c r="Z36" t="s">
        <v>49</v>
      </c>
      <c r="AA36" s="12">
        <f>IF(O36&lt;=1,13,IF(O36&lt;=2,23,IF(O36&lt;=3,35,IF(O36&lt;=4,43,IF(O36&lt;=5,53,IF(O36&lt;=6,63,IF(O36&lt;=7,71,IF(O36&lt;=8,79,IF(O36&lt;=9,87,IF(O36&lt;=10,95,IF(O36&lt;=11,105,IF(O36&lt;=12,114,IF(O36&lt;=13,119,IF(O36&lt;=14,127,IF(O36&lt;=15,135,IF(O36&lt;=16,143,IF(O36&lt;=17,153,IF(O36&lt;=18,163,IF(O36&lt;=19,171,IF(O36&lt;=20,185,IF(O36&lt;=21,193,IF(O36&lt;=22,201,IF(O36&lt;=23,210,IF(O36&lt;=24,220,IF(O36&lt;=25,230,IF(O36&lt;=26,240,IF(O36&lt;=27,250,IF(O36&lt;=28,260,IF(O36&lt;=29,270,IF(O36&lt;=30,280,280+10*ROUNDUP(O36-30,0)))))))))))))))))))))))))))))))</f>
        <v>13</v>
      </c>
      <c r="AB36" s="11">
        <v>0</v>
      </c>
      <c r="AC36" s="11">
        <v>0</v>
      </c>
      <c r="AD36" s="11">
        <v>0</v>
      </c>
      <c r="AE36" s="11">
        <v>0</v>
      </c>
      <c r="AF36" s="11">
        <f t="shared" si="0"/>
        <v>0.78</v>
      </c>
      <c r="AG36" s="11">
        <f t="shared" si="1"/>
        <v>13.78</v>
      </c>
      <c r="AH36" t="s">
        <v>136</v>
      </c>
    </row>
    <row r="37" spans="1:34" ht="15" customHeight="1" x14ac:dyDescent="0.35">
      <c r="A37">
        <v>7547676</v>
      </c>
      <c r="B37">
        <v>690929</v>
      </c>
      <c r="C37" t="s">
        <v>34</v>
      </c>
      <c r="D37" t="s">
        <v>35</v>
      </c>
      <c r="E37" s="6" t="s">
        <v>34</v>
      </c>
      <c r="F37" t="s">
        <v>179</v>
      </c>
      <c r="G37" t="s">
        <v>37</v>
      </c>
      <c r="H37" t="s">
        <v>38</v>
      </c>
      <c r="I37" t="s">
        <v>180</v>
      </c>
      <c r="J37" t="s">
        <v>40</v>
      </c>
      <c r="K37">
        <v>2</v>
      </c>
      <c r="L37" t="s">
        <v>41</v>
      </c>
      <c r="M37" t="s">
        <v>42</v>
      </c>
      <c r="N37" t="s">
        <v>43</v>
      </c>
      <c r="O37" s="7">
        <v>1</v>
      </c>
      <c r="P37" s="8">
        <v>45186.628541666665</v>
      </c>
      <c r="Q37" s="9">
        <v>45187</v>
      </c>
      <c r="R37" t="s">
        <v>37</v>
      </c>
      <c r="S37" t="s">
        <v>44</v>
      </c>
      <c r="T37" t="s">
        <v>45</v>
      </c>
      <c r="U37" t="s">
        <v>67</v>
      </c>
      <c r="V37" t="s">
        <v>181</v>
      </c>
      <c r="W37">
        <v>68100</v>
      </c>
      <c r="X37" t="s">
        <v>44</v>
      </c>
      <c r="Y37" t="s">
        <v>182</v>
      </c>
      <c r="Z37" t="s">
        <v>49</v>
      </c>
      <c r="AA37" s="10">
        <f>IF(O37&lt;=1,7,7+0.8*ROUNDUP(O37-1,0))</f>
        <v>7</v>
      </c>
      <c r="AB37" s="11">
        <v>0</v>
      </c>
      <c r="AC37" s="11">
        <v>0</v>
      </c>
      <c r="AD37" s="11">
        <v>0</v>
      </c>
      <c r="AE37" s="11">
        <v>0</v>
      </c>
      <c r="AF37" s="11">
        <f t="shared" si="0"/>
        <v>0.42</v>
      </c>
      <c r="AG37" s="11">
        <f t="shared" si="1"/>
        <v>7.42</v>
      </c>
      <c r="AH37" t="s">
        <v>50</v>
      </c>
    </row>
    <row r="38" spans="1:34" ht="15" customHeight="1" x14ac:dyDescent="0.35">
      <c r="A38">
        <v>7547676</v>
      </c>
      <c r="B38">
        <v>690929</v>
      </c>
      <c r="C38" t="s">
        <v>34</v>
      </c>
      <c r="D38" t="s">
        <v>35</v>
      </c>
      <c r="E38" s="6" t="s">
        <v>34</v>
      </c>
      <c r="F38" t="s">
        <v>183</v>
      </c>
      <c r="G38" t="s">
        <v>37</v>
      </c>
      <c r="H38" t="s">
        <v>38</v>
      </c>
      <c r="I38" t="s">
        <v>184</v>
      </c>
      <c r="J38" t="s">
        <v>40</v>
      </c>
      <c r="K38">
        <v>2</v>
      </c>
      <c r="L38" t="s">
        <v>41</v>
      </c>
      <c r="M38" t="s">
        <v>42</v>
      </c>
      <c r="N38" t="s">
        <v>43</v>
      </c>
      <c r="O38" s="7">
        <v>2</v>
      </c>
      <c r="P38" s="8">
        <v>45186.524571759262</v>
      </c>
      <c r="Q38" s="9">
        <v>45188</v>
      </c>
      <c r="R38" t="s">
        <v>37</v>
      </c>
      <c r="S38" t="s">
        <v>44</v>
      </c>
      <c r="T38" t="s">
        <v>45</v>
      </c>
      <c r="U38" t="s">
        <v>67</v>
      </c>
      <c r="V38" t="s">
        <v>185</v>
      </c>
      <c r="W38">
        <v>40170</v>
      </c>
      <c r="X38" t="s">
        <v>44</v>
      </c>
      <c r="Y38" t="s">
        <v>186</v>
      </c>
      <c r="Z38" t="s">
        <v>49</v>
      </c>
      <c r="AA38" s="10">
        <f>IF(O38&lt;=1,7,7+0.8*ROUNDUP(O38-1,0))</f>
        <v>7.8</v>
      </c>
      <c r="AB38" s="11">
        <v>0</v>
      </c>
      <c r="AC38" s="11">
        <v>0</v>
      </c>
      <c r="AD38" s="11">
        <v>0</v>
      </c>
      <c r="AE38" s="11">
        <v>0</v>
      </c>
      <c r="AF38" s="11">
        <f t="shared" si="0"/>
        <v>0.46799999999999997</v>
      </c>
      <c r="AG38" s="11">
        <f t="shared" si="1"/>
        <v>8.2680000000000007</v>
      </c>
      <c r="AH38" t="s">
        <v>50</v>
      </c>
    </row>
    <row r="39" spans="1:34" ht="15" customHeight="1" x14ac:dyDescent="0.35">
      <c r="A39">
        <v>7547676</v>
      </c>
      <c r="B39">
        <v>690929</v>
      </c>
      <c r="C39" t="s">
        <v>34</v>
      </c>
      <c r="D39" t="s">
        <v>35</v>
      </c>
      <c r="E39" s="6" t="s">
        <v>34</v>
      </c>
      <c r="F39" t="s">
        <v>187</v>
      </c>
      <c r="G39" t="s">
        <v>37</v>
      </c>
      <c r="H39" t="s">
        <v>38</v>
      </c>
      <c r="I39" t="s">
        <v>188</v>
      </c>
      <c r="J39" t="s">
        <v>40</v>
      </c>
      <c r="K39">
        <v>2</v>
      </c>
      <c r="L39" t="s">
        <v>41</v>
      </c>
      <c r="M39" t="s">
        <v>42</v>
      </c>
      <c r="N39" t="s">
        <v>43</v>
      </c>
      <c r="O39" s="7">
        <v>1</v>
      </c>
      <c r="P39" s="8">
        <v>45187.680752314816</v>
      </c>
      <c r="Q39" s="9">
        <v>45188</v>
      </c>
      <c r="R39" t="s">
        <v>37</v>
      </c>
      <c r="S39" t="s">
        <v>44</v>
      </c>
      <c r="T39" t="s">
        <v>45</v>
      </c>
      <c r="U39" t="s">
        <v>67</v>
      </c>
      <c r="V39" t="s">
        <v>189</v>
      </c>
      <c r="W39">
        <v>46150</v>
      </c>
      <c r="X39" t="s">
        <v>44</v>
      </c>
      <c r="Y39" t="s">
        <v>190</v>
      </c>
      <c r="Z39" t="s">
        <v>49</v>
      </c>
      <c r="AA39" s="10">
        <f>IF(O39&lt;=1,7,7+0.8*ROUNDUP(O39-1,0))</f>
        <v>7</v>
      </c>
      <c r="AB39" s="11">
        <v>0</v>
      </c>
      <c r="AC39" s="11">
        <v>0</v>
      </c>
      <c r="AD39" s="11">
        <v>0</v>
      </c>
      <c r="AE39" s="11">
        <v>0</v>
      </c>
      <c r="AF39" s="11">
        <f t="shared" si="0"/>
        <v>0.42</v>
      </c>
      <c r="AG39" s="11">
        <f t="shared" si="1"/>
        <v>7.42</v>
      </c>
      <c r="AH39" t="s">
        <v>50</v>
      </c>
    </row>
    <row r="40" spans="1:34" ht="15" customHeight="1" x14ac:dyDescent="0.35">
      <c r="A40">
        <v>7547676</v>
      </c>
      <c r="B40">
        <v>690929</v>
      </c>
      <c r="C40" t="s">
        <v>34</v>
      </c>
      <c r="D40" t="s">
        <v>35</v>
      </c>
      <c r="E40" s="6" t="s">
        <v>34</v>
      </c>
      <c r="F40" t="s">
        <v>191</v>
      </c>
      <c r="G40" t="s">
        <v>37</v>
      </c>
      <c r="H40" t="s">
        <v>38</v>
      </c>
      <c r="I40" t="s">
        <v>192</v>
      </c>
      <c r="J40" t="s">
        <v>40</v>
      </c>
      <c r="K40">
        <v>2</v>
      </c>
      <c r="L40" t="s">
        <v>41</v>
      </c>
      <c r="M40" t="s">
        <v>42</v>
      </c>
      <c r="N40" t="s">
        <v>43</v>
      </c>
      <c r="O40" s="7">
        <v>9</v>
      </c>
      <c r="P40" s="8">
        <v>45186.39267361111</v>
      </c>
      <c r="Q40" s="9">
        <v>45188</v>
      </c>
      <c r="R40" t="s">
        <v>37</v>
      </c>
      <c r="S40" t="s">
        <v>44</v>
      </c>
      <c r="T40" t="s">
        <v>45</v>
      </c>
      <c r="U40" t="s">
        <v>119</v>
      </c>
      <c r="V40" t="s">
        <v>193</v>
      </c>
      <c r="W40">
        <v>75460</v>
      </c>
      <c r="X40" t="s">
        <v>44</v>
      </c>
      <c r="Y40" t="s">
        <v>194</v>
      </c>
      <c r="Z40" t="s">
        <v>49</v>
      </c>
      <c r="AA40" s="10">
        <f>IF(O40&lt;=1,7,7+0.8*ROUNDUP(O40-1,0))</f>
        <v>13.4</v>
      </c>
      <c r="AB40" s="11">
        <v>0</v>
      </c>
      <c r="AC40" s="11">
        <v>0</v>
      </c>
      <c r="AD40" s="11">
        <v>0</v>
      </c>
      <c r="AE40" s="11">
        <v>0</v>
      </c>
      <c r="AF40" s="11">
        <f t="shared" si="0"/>
        <v>0.80399999999999994</v>
      </c>
      <c r="AG40" s="11">
        <f t="shared" si="1"/>
        <v>14.204000000000001</v>
      </c>
      <c r="AH40" t="s">
        <v>50</v>
      </c>
    </row>
    <row r="41" spans="1:34" ht="15" customHeight="1" x14ac:dyDescent="0.35">
      <c r="A41">
        <v>7547676</v>
      </c>
      <c r="B41">
        <v>690929</v>
      </c>
      <c r="C41" t="s">
        <v>34</v>
      </c>
      <c r="D41" t="s">
        <v>35</v>
      </c>
      <c r="E41" s="6" t="s">
        <v>34</v>
      </c>
      <c r="F41" t="s">
        <v>195</v>
      </c>
      <c r="G41" t="s">
        <v>37</v>
      </c>
      <c r="H41" t="s">
        <v>38</v>
      </c>
      <c r="I41" t="s">
        <v>196</v>
      </c>
      <c r="J41" t="s">
        <v>40</v>
      </c>
      <c r="K41">
        <v>2</v>
      </c>
      <c r="L41" t="s">
        <v>41</v>
      </c>
      <c r="M41" t="s">
        <v>42</v>
      </c>
      <c r="N41" t="s">
        <v>43</v>
      </c>
      <c r="O41" s="7">
        <v>1</v>
      </c>
      <c r="P41" s="8">
        <v>45187.595810185187</v>
      </c>
      <c r="Q41" s="9">
        <v>45188</v>
      </c>
      <c r="R41" t="s">
        <v>37</v>
      </c>
      <c r="S41" t="s">
        <v>44</v>
      </c>
      <c r="T41" t="s">
        <v>45</v>
      </c>
      <c r="U41" t="s">
        <v>115</v>
      </c>
      <c r="V41" t="s">
        <v>197</v>
      </c>
      <c r="W41">
        <v>16250</v>
      </c>
      <c r="X41" t="s">
        <v>44</v>
      </c>
      <c r="Y41" t="s">
        <v>114</v>
      </c>
      <c r="Z41" t="s">
        <v>49</v>
      </c>
      <c r="AA41" s="10">
        <f>IF(O41&lt;=1,7,7+0.8*ROUNDUP(O41-1,0))</f>
        <v>7</v>
      </c>
      <c r="AB41" s="11">
        <v>0</v>
      </c>
      <c r="AC41" s="11">
        <v>0</v>
      </c>
      <c r="AD41" s="11">
        <v>0</v>
      </c>
      <c r="AE41" s="11">
        <v>0</v>
      </c>
      <c r="AF41" s="11">
        <f t="shared" si="0"/>
        <v>0.42</v>
      </c>
      <c r="AG41" s="11">
        <f t="shared" si="1"/>
        <v>7.42</v>
      </c>
      <c r="AH41" t="s">
        <v>50</v>
      </c>
    </row>
    <row r="42" spans="1:34" ht="15" customHeight="1" x14ac:dyDescent="0.35">
      <c r="A42">
        <v>7547676</v>
      </c>
      <c r="B42">
        <v>690929</v>
      </c>
      <c r="C42" t="s">
        <v>34</v>
      </c>
      <c r="D42" t="s">
        <v>35</v>
      </c>
      <c r="E42" s="6" t="s">
        <v>34</v>
      </c>
      <c r="F42" t="s">
        <v>198</v>
      </c>
      <c r="G42" t="s">
        <v>37</v>
      </c>
      <c r="H42" t="s">
        <v>38</v>
      </c>
      <c r="I42" t="s">
        <v>199</v>
      </c>
      <c r="J42" t="s">
        <v>40</v>
      </c>
      <c r="K42">
        <v>2</v>
      </c>
      <c r="L42" t="s">
        <v>41</v>
      </c>
      <c r="M42" t="s">
        <v>42</v>
      </c>
      <c r="N42" t="s">
        <v>43</v>
      </c>
      <c r="O42" s="7">
        <v>2</v>
      </c>
      <c r="P42" s="8">
        <v>45187.705972222226</v>
      </c>
      <c r="Q42" s="9">
        <v>45188</v>
      </c>
      <c r="R42" t="s">
        <v>37</v>
      </c>
      <c r="S42" t="s">
        <v>44</v>
      </c>
      <c r="T42" t="s">
        <v>45</v>
      </c>
      <c r="U42" t="s">
        <v>115</v>
      </c>
      <c r="V42" t="s">
        <v>200</v>
      </c>
      <c r="W42">
        <v>16250</v>
      </c>
      <c r="X42" t="s">
        <v>44</v>
      </c>
      <c r="Y42" t="s">
        <v>114</v>
      </c>
      <c r="Z42" t="s">
        <v>49</v>
      </c>
      <c r="AA42" s="10">
        <f>IF(O42&lt;=1,7,7+0.8*ROUNDUP(O42-1,0))</f>
        <v>7.8</v>
      </c>
      <c r="AB42" s="11">
        <v>0</v>
      </c>
      <c r="AC42" s="11">
        <v>0</v>
      </c>
      <c r="AD42" s="11">
        <v>0</v>
      </c>
      <c r="AE42" s="11">
        <v>0</v>
      </c>
      <c r="AF42" s="11">
        <f t="shared" si="0"/>
        <v>0.46799999999999997</v>
      </c>
      <c r="AG42" s="11">
        <f t="shared" si="1"/>
        <v>8.2680000000000007</v>
      </c>
      <c r="AH42" t="s">
        <v>50</v>
      </c>
    </row>
    <row r="43" spans="1:34" ht="15" customHeight="1" x14ac:dyDescent="0.35">
      <c r="A43">
        <v>7547676</v>
      </c>
      <c r="B43">
        <v>690929</v>
      </c>
      <c r="C43" t="s">
        <v>34</v>
      </c>
      <c r="D43" t="s">
        <v>35</v>
      </c>
      <c r="E43" s="6" t="s">
        <v>34</v>
      </c>
      <c r="F43" t="s">
        <v>201</v>
      </c>
      <c r="G43" t="s">
        <v>37</v>
      </c>
      <c r="H43" t="s">
        <v>38</v>
      </c>
      <c r="I43" t="s">
        <v>202</v>
      </c>
      <c r="J43" t="s">
        <v>40</v>
      </c>
      <c r="K43">
        <v>2</v>
      </c>
      <c r="L43" t="s">
        <v>41</v>
      </c>
      <c r="M43" t="s">
        <v>42</v>
      </c>
      <c r="N43" t="s">
        <v>43</v>
      </c>
      <c r="O43" s="7">
        <v>2</v>
      </c>
      <c r="P43" s="8">
        <v>45186.647615740738</v>
      </c>
      <c r="Q43" s="9">
        <v>45188</v>
      </c>
      <c r="R43" t="s">
        <v>37</v>
      </c>
      <c r="S43" t="s">
        <v>44</v>
      </c>
      <c r="T43" t="s">
        <v>45</v>
      </c>
      <c r="U43" t="s">
        <v>101</v>
      </c>
      <c r="V43" t="s">
        <v>203</v>
      </c>
      <c r="W43">
        <v>30020</v>
      </c>
      <c r="X43" t="s">
        <v>44</v>
      </c>
      <c r="Y43" t="s">
        <v>204</v>
      </c>
      <c r="Z43" t="s">
        <v>49</v>
      </c>
      <c r="AA43" s="10">
        <f>IF(O43&lt;=1,7,7+0.8*ROUNDUP(O43-1,0))</f>
        <v>7.8</v>
      </c>
      <c r="AB43" s="11">
        <v>0</v>
      </c>
      <c r="AC43" s="11">
        <v>0</v>
      </c>
      <c r="AD43" s="11">
        <v>0</v>
      </c>
      <c r="AE43" s="11">
        <v>0</v>
      </c>
      <c r="AF43" s="11">
        <f t="shared" si="0"/>
        <v>0.46799999999999997</v>
      </c>
      <c r="AG43" s="11">
        <f t="shared" si="1"/>
        <v>8.2680000000000007</v>
      </c>
      <c r="AH43" t="s">
        <v>50</v>
      </c>
    </row>
    <row r="44" spans="1:34" ht="15" customHeight="1" x14ac:dyDescent="0.35">
      <c r="A44">
        <v>7547676</v>
      </c>
      <c r="B44">
        <v>690929</v>
      </c>
      <c r="C44" t="s">
        <v>34</v>
      </c>
      <c r="D44" t="s">
        <v>35</v>
      </c>
      <c r="E44" s="6" t="s">
        <v>34</v>
      </c>
      <c r="F44" t="s">
        <v>205</v>
      </c>
      <c r="G44" t="s">
        <v>37</v>
      </c>
      <c r="H44" t="s">
        <v>38</v>
      </c>
      <c r="I44" t="s">
        <v>206</v>
      </c>
      <c r="J44" t="s">
        <v>40</v>
      </c>
      <c r="K44">
        <v>2</v>
      </c>
      <c r="L44" t="s">
        <v>41</v>
      </c>
      <c r="M44" t="s">
        <v>42</v>
      </c>
      <c r="N44" t="s">
        <v>43</v>
      </c>
      <c r="O44" s="7">
        <v>2</v>
      </c>
      <c r="P44" s="8">
        <v>45187.4059837963</v>
      </c>
      <c r="Q44" s="9">
        <v>45188</v>
      </c>
      <c r="R44" t="s">
        <v>37</v>
      </c>
      <c r="S44" t="s">
        <v>44</v>
      </c>
      <c r="T44" t="s">
        <v>45</v>
      </c>
      <c r="U44" t="s">
        <v>67</v>
      </c>
      <c r="V44" t="s">
        <v>207</v>
      </c>
      <c r="W44">
        <v>56000</v>
      </c>
      <c r="X44" t="s">
        <v>44</v>
      </c>
      <c r="Y44" t="s">
        <v>88</v>
      </c>
      <c r="Z44" t="s">
        <v>49</v>
      </c>
      <c r="AA44" s="10">
        <f>IF(O44&lt;=1,7,7+0.8*ROUNDUP(O44-1,0))</f>
        <v>7.8</v>
      </c>
      <c r="AB44" s="11">
        <v>0</v>
      </c>
      <c r="AC44" s="11">
        <v>0</v>
      </c>
      <c r="AD44" s="11">
        <v>0</v>
      </c>
      <c r="AE44" s="11">
        <v>0</v>
      </c>
      <c r="AF44" s="11">
        <f t="shared" si="0"/>
        <v>0.46799999999999997</v>
      </c>
      <c r="AG44" s="11">
        <f t="shared" si="1"/>
        <v>8.2680000000000007</v>
      </c>
      <c r="AH44" t="s">
        <v>50</v>
      </c>
    </row>
    <row r="45" spans="1:34" ht="15" customHeight="1" x14ac:dyDescent="0.35">
      <c r="A45">
        <v>7547676</v>
      </c>
      <c r="B45">
        <v>690929</v>
      </c>
      <c r="C45" t="s">
        <v>34</v>
      </c>
      <c r="D45" t="s">
        <v>35</v>
      </c>
      <c r="E45" s="6" t="s">
        <v>34</v>
      </c>
      <c r="F45" t="s">
        <v>208</v>
      </c>
      <c r="G45" t="s">
        <v>37</v>
      </c>
      <c r="H45" t="s">
        <v>38</v>
      </c>
      <c r="I45" t="s">
        <v>209</v>
      </c>
      <c r="J45" t="s">
        <v>40</v>
      </c>
      <c r="K45">
        <v>2</v>
      </c>
      <c r="L45" t="s">
        <v>41</v>
      </c>
      <c r="M45" t="s">
        <v>42</v>
      </c>
      <c r="N45" t="s">
        <v>43</v>
      </c>
      <c r="O45" s="7">
        <v>1</v>
      </c>
      <c r="P45" s="8">
        <v>45187.734525462962</v>
      </c>
      <c r="Q45" s="9">
        <v>45188</v>
      </c>
      <c r="R45" t="s">
        <v>37</v>
      </c>
      <c r="S45" t="s">
        <v>44</v>
      </c>
      <c r="T45" t="s">
        <v>45</v>
      </c>
      <c r="U45" t="s">
        <v>67</v>
      </c>
      <c r="V45" t="s">
        <v>210</v>
      </c>
      <c r="W45">
        <v>41300</v>
      </c>
      <c r="X45" t="s">
        <v>44</v>
      </c>
      <c r="Y45" t="s">
        <v>69</v>
      </c>
      <c r="Z45" t="s">
        <v>49</v>
      </c>
      <c r="AA45" s="10">
        <f>IF(O45&lt;=1,7,7+0.8*ROUNDUP(O45-1,0))</f>
        <v>7</v>
      </c>
      <c r="AB45" s="11">
        <v>0</v>
      </c>
      <c r="AC45" s="11">
        <v>0</v>
      </c>
      <c r="AD45" s="11">
        <v>0</v>
      </c>
      <c r="AE45" s="11">
        <v>0</v>
      </c>
      <c r="AF45" s="11">
        <f t="shared" si="0"/>
        <v>0.42</v>
      </c>
      <c r="AG45" s="11">
        <f t="shared" si="1"/>
        <v>7.42</v>
      </c>
      <c r="AH45" t="s">
        <v>50</v>
      </c>
    </row>
    <row r="46" spans="1:34" ht="15" customHeight="1" x14ac:dyDescent="0.35">
      <c r="A46">
        <v>7547676</v>
      </c>
      <c r="B46">
        <v>690929</v>
      </c>
      <c r="C46" t="s">
        <v>34</v>
      </c>
      <c r="D46" t="s">
        <v>35</v>
      </c>
      <c r="E46" s="6" t="s">
        <v>34</v>
      </c>
      <c r="F46" t="s">
        <v>211</v>
      </c>
      <c r="G46" t="s">
        <v>37</v>
      </c>
      <c r="H46" t="s">
        <v>38</v>
      </c>
      <c r="I46" t="s">
        <v>212</v>
      </c>
      <c r="J46" t="s">
        <v>40</v>
      </c>
      <c r="K46">
        <v>2</v>
      </c>
      <c r="L46" t="s">
        <v>41</v>
      </c>
      <c r="M46" t="s">
        <v>42</v>
      </c>
      <c r="N46" t="s">
        <v>43</v>
      </c>
      <c r="O46" s="7">
        <v>1</v>
      </c>
      <c r="P46" s="8">
        <v>45186.743888888886</v>
      </c>
      <c r="Q46" s="9">
        <v>45188</v>
      </c>
      <c r="R46" t="s">
        <v>37</v>
      </c>
      <c r="S46" t="s">
        <v>44</v>
      </c>
      <c r="T46" t="s">
        <v>45</v>
      </c>
      <c r="U46" t="s">
        <v>53</v>
      </c>
      <c r="V46" t="s">
        <v>213</v>
      </c>
      <c r="W46">
        <v>70300</v>
      </c>
      <c r="X46" t="s">
        <v>44</v>
      </c>
      <c r="Y46" t="s">
        <v>214</v>
      </c>
      <c r="Z46" t="s">
        <v>49</v>
      </c>
      <c r="AA46" s="10">
        <f>IF(O46&lt;=1,7,7+0.8*ROUNDUP(O46-1,0))</f>
        <v>7</v>
      </c>
      <c r="AB46" s="11">
        <v>0</v>
      </c>
      <c r="AC46" s="11">
        <v>0</v>
      </c>
      <c r="AD46" s="11">
        <v>0</v>
      </c>
      <c r="AE46" s="11">
        <v>0</v>
      </c>
      <c r="AF46" s="11">
        <f t="shared" si="0"/>
        <v>0.42</v>
      </c>
      <c r="AG46" s="11">
        <f t="shared" si="1"/>
        <v>7.42</v>
      </c>
      <c r="AH46" t="s">
        <v>50</v>
      </c>
    </row>
    <row r="47" spans="1:34" ht="15" customHeight="1" x14ac:dyDescent="0.35">
      <c r="A47">
        <v>7547676</v>
      </c>
      <c r="B47">
        <v>690929</v>
      </c>
      <c r="C47" t="s">
        <v>34</v>
      </c>
      <c r="D47" t="s">
        <v>35</v>
      </c>
      <c r="E47" s="6" t="s">
        <v>34</v>
      </c>
      <c r="F47" t="s">
        <v>215</v>
      </c>
      <c r="G47" t="s">
        <v>37</v>
      </c>
      <c r="H47" t="s">
        <v>38</v>
      </c>
      <c r="I47" t="s">
        <v>216</v>
      </c>
      <c r="J47" t="s">
        <v>40</v>
      </c>
      <c r="K47">
        <v>2</v>
      </c>
      <c r="L47" t="s">
        <v>41</v>
      </c>
      <c r="M47" t="s">
        <v>42</v>
      </c>
      <c r="N47" t="s">
        <v>43</v>
      </c>
      <c r="O47" s="7">
        <v>1</v>
      </c>
      <c r="P47" s="8">
        <v>45187.690104166664</v>
      </c>
      <c r="Q47" s="9">
        <v>45188</v>
      </c>
      <c r="R47" t="s">
        <v>37</v>
      </c>
      <c r="S47" t="s">
        <v>44</v>
      </c>
      <c r="T47" t="s">
        <v>45</v>
      </c>
      <c r="U47" t="s">
        <v>67</v>
      </c>
      <c r="V47" t="s">
        <v>217</v>
      </c>
      <c r="W47">
        <v>47140</v>
      </c>
      <c r="X47" t="s">
        <v>44</v>
      </c>
      <c r="Y47" t="s">
        <v>218</v>
      </c>
      <c r="Z47" t="s">
        <v>49</v>
      </c>
      <c r="AA47" s="10">
        <f>IF(O47&lt;=1,7,7+0.8*ROUNDUP(O47-1,0))</f>
        <v>7</v>
      </c>
      <c r="AB47" s="11">
        <v>0</v>
      </c>
      <c r="AC47" s="11">
        <v>0</v>
      </c>
      <c r="AD47" s="11">
        <v>0</v>
      </c>
      <c r="AE47" s="11">
        <v>0</v>
      </c>
      <c r="AF47" s="11">
        <f t="shared" si="0"/>
        <v>0.42</v>
      </c>
      <c r="AG47" s="11">
        <f t="shared" si="1"/>
        <v>7.42</v>
      </c>
      <c r="AH47" t="s">
        <v>50</v>
      </c>
    </row>
    <row r="48" spans="1:34" ht="15" customHeight="1" x14ac:dyDescent="0.35">
      <c r="A48">
        <v>7547676</v>
      </c>
      <c r="B48">
        <v>690929</v>
      </c>
      <c r="C48" t="s">
        <v>34</v>
      </c>
      <c r="D48" t="s">
        <v>35</v>
      </c>
      <c r="E48" s="6" t="s">
        <v>34</v>
      </c>
      <c r="F48" t="s">
        <v>219</v>
      </c>
      <c r="G48" t="s">
        <v>37</v>
      </c>
      <c r="H48" t="s">
        <v>38</v>
      </c>
      <c r="I48" t="s">
        <v>220</v>
      </c>
      <c r="J48" t="s">
        <v>40</v>
      </c>
      <c r="K48">
        <v>2</v>
      </c>
      <c r="L48" t="s">
        <v>41</v>
      </c>
      <c r="M48" t="s">
        <v>42</v>
      </c>
      <c r="N48" t="s">
        <v>43</v>
      </c>
      <c r="O48" s="7">
        <v>1</v>
      </c>
      <c r="P48" s="8">
        <v>45187.730219907404</v>
      </c>
      <c r="Q48" s="9">
        <v>45188</v>
      </c>
      <c r="R48" t="s">
        <v>37</v>
      </c>
      <c r="S48" t="s">
        <v>44</v>
      </c>
      <c r="T48" t="s">
        <v>45</v>
      </c>
      <c r="U48" t="s">
        <v>62</v>
      </c>
      <c r="V48" t="s">
        <v>221</v>
      </c>
      <c r="W48">
        <v>50050</v>
      </c>
      <c r="X48" t="s">
        <v>44</v>
      </c>
      <c r="Y48" t="s">
        <v>69</v>
      </c>
      <c r="Z48" t="s">
        <v>49</v>
      </c>
      <c r="AA48" s="10">
        <f>IF(O48&lt;=1,7,7+0.8*ROUNDUP(O48-1,0))</f>
        <v>7</v>
      </c>
      <c r="AB48" s="11">
        <v>0</v>
      </c>
      <c r="AC48" s="11">
        <v>0</v>
      </c>
      <c r="AD48" s="11">
        <v>0</v>
      </c>
      <c r="AE48" s="11">
        <v>0</v>
      </c>
      <c r="AF48" s="11">
        <f t="shared" si="0"/>
        <v>0.42</v>
      </c>
      <c r="AG48" s="11">
        <f t="shared" si="1"/>
        <v>7.42</v>
      </c>
      <c r="AH48" t="s">
        <v>50</v>
      </c>
    </row>
    <row r="49" spans="1:34" ht="15" customHeight="1" x14ac:dyDescent="0.35">
      <c r="A49">
        <v>7547676</v>
      </c>
      <c r="B49">
        <v>690929</v>
      </c>
      <c r="C49" t="s">
        <v>34</v>
      </c>
      <c r="D49" t="s">
        <v>35</v>
      </c>
      <c r="E49" s="6" t="s">
        <v>34</v>
      </c>
      <c r="F49" t="s">
        <v>222</v>
      </c>
      <c r="G49" t="s">
        <v>37</v>
      </c>
      <c r="H49" t="s">
        <v>38</v>
      </c>
      <c r="I49" t="s">
        <v>223</v>
      </c>
      <c r="J49" t="s">
        <v>40</v>
      </c>
      <c r="K49">
        <v>2</v>
      </c>
      <c r="L49" t="s">
        <v>41</v>
      </c>
      <c r="M49" t="s">
        <v>42</v>
      </c>
      <c r="N49" t="s">
        <v>43</v>
      </c>
      <c r="O49" s="7">
        <v>1</v>
      </c>
      <c r="P49" s="8">
        <v>45186.741423611114</v>
      </c>
      <c r="Q49" s="9">
        <v>45188</v>
      </c>
      <c r="R49" t="s">
        <v>37</v>
      </c>
      <c r="S49" t="s">
        <v>44</v>
      </c>
      <c r="T49" t="s">
        <v>45</v>
      </c>
      <c r="U49" t="s">
        <v>119</v>
      </c>
      <c r="V49" t="s">
        <v>224</v>
      </c>
      <c r="W49">
        <v>75450</v>
      </c>
      <c r="X49" t="s">
        <v>44</v>
      </c>
      <c r="Y49" t="s">
        <v>158</v>
      </c>
      <c r="Z49" t="s">
        <v>49</v>
      </c>
      <c r="AA49" s="10">
        <f>IF(O49&lt;=1,7,7+0.8*ROUNDUP(O49-1,0))</f>
        <v>7</v>
      </c>
      <c r="AB49" s="11">
        <v>0</v>
      </c>
      <c r="AC49" s="11">
        <v>0</v>
      </c>
      <c r="AD49" s="11">
        <v>0</v>
      </c>
      <c r="AE49" s="11">
        <v>0</v>
      </c>
      <c r="AF49" s="11">
        <f t="shared" si="0"/>
        <v>0.42</v>
      </c>
      <c r="AG49" s="11">
        <f t="shared" si="1"/>
        <v>7.42</v>
      </c>
      <c r="AH49" t="s">
        <v>50</v>
      </c>
    </row>
    <row r="50" spans="1:34" ht="15" customHeight="1" x14ac:dyDescent="0.35">
      <c r="A50">
        <v>7547676</v>
      </c>
      <c r="B50">
        <v>690929</v>
      </c>
      <c r="C50" t="s">
        <v>34</v>
      </c>
      <c r="D50" t="s">
        <v>35</v>
      </c>
      <c r="E50" s="6" t="s">
        <v>34</v>
      </c>
      <c r="F50" t="s">
        <v>225</v>
      </c>
      <c r="G50" t="s">
        <v>37</v>
      </c>
      <c r="H50" t="s">
        <v>38</v>
      </c>
      <c r="I50" t="s">
        <v>226</v>
      </c>
      <c r="J50" t="s">
        <v>40</v>
      </c>
      <c r="K50">
        <v>2</v>
      </c>
      <c r="L50" t="s">
        <v>41</v>
      </c>
      <c r="M50" t="s">
        <v>42</v>
      </c>
      <c r="N50" t="s">
        <v>43</v>
      </c>
      <c r="O50" s="7">
        <v>4</v>
      </c>
      <c r="P50" s="8">
        <v>45187.730219907404</v>
      </c>
      <c r="Q50" s="9">
        <v>45188</v>
      </c>
      <c r="R50" t="s">
        <v>37</v>
      </c>
      <c r="S50" t="s">
        <v>44</v>
      </c>
      <c r="T50" t="s">
        <v>45</v>
      </c>
      <c r="U50" t="s">
        <v>67</v>
      </c>
      <c r="V50" t="s">
        <v>227</v>
      </c>
      <c r="W50">
        <v>47301</v>
      </c>
      <c r="X50" t="s">
        <v>44</v>
      </c>
      <c r="Y50" t="s">
        <v>228</v>
      </c>
      <c r="Z50" t="s">
        <v>49</v>
      </c>
      <c r="AA50" s="10">
        <f>IF(O50&lt;=1,7,7+0.8*ROUNDUP(O50-1,0))</f>
        <v>9.4</v>
      </c>
      <c r="AB50" s="11">
        <v>0</v>
      </c>
      <c r="AC50" s="11">
        <v>0</v>
      </c>
      <c r="AD50" s="11">
        <v>0</v>
      </c>
      <c r="AE50" s="11">
        <v>0</v>
      </c>
      <c r="AF50" s="11">
        <f t="shared" si="0"/>
        <v>0.56399999999999995</v>
      </c>
      <c r="AG50" s="11">
        <f t="shared" si="1"/>
        <v>9.9640000000000004</v>
      </c>
      <c r="AH50" t="s">
        <v>50</v>
      </c>
    </row>
    <row r="51" spans="1:34" ht="15" customHeight="1" x14ac:dyDescent="0.35">
      <c r="A51">
        <v>7547676</v>
      </c>
      <c r="B51">
        <v>690929</v>
      </c>
      <c r="C51" t="s">
        <v>34</v>
      </c>
      <c r="D51" t="s">
        <v>35</v>
      </c>
      <c r="E51" s="6" t="s">
        <v>34</v>
      </c>
      <c r="F51" t="s">
        <v>229</v>
      </c>
      <c r="G51" t="s">
        <v>37</v>
      </c>
      <c r="H51" t="s">
        <v>38</v>
      </c>
      <c r="I51" t="s">
        <v>230</v>
      </c>
      <c r="J51" t="s">
        <v>40</v>
      </c>
      <c r="K51">
        <v>2</v>
      </c>
      <c r="L51" t="s">
        <v>41</v>
      </c>
      <c r="M51" t="s">
        <v>42</v>
      </c>
      <c r="N51" t="s">
        <v>43</v>
      </c>
      <c r="O51" s="7">
        <v>4</v>
      </c>
      <c r="P51" s="8">
        <v>45186.515844907408</v>
      </c>
      <c r="Q51" s="9">
        <v>45188</v>
      </c>
      <c r="R51" t="s">
        <v>37</v>
      </c>
      <c r="S51" t="s">
        <v>44</v>
      </c>
      <c r="T51" t="s">
        <v>45</v>
      </c>
      <c r="U51" t="s">
        <v>67</v>
      </c>
      <c r="V51" t="s">
        <v>231</v>
      </c>
      <c r="W51">
        <v>47140</v>
      </c>
      <c r="X51" t="s">
        <v>44</v>
      </c>
      <c r="Y51" t="s">
        <v>218</v>
      </c>
      <c r="Z51" t="s">
        <v>49</v>
      </c>
      <c r="AA51" s="10">
        <f>IF(O51&lt;=1,7,7+0.8*ROUNDUP(O51-1,0))</f>
        <v>9.4</v>
      </c>
      <c r="AB51" s="11">
        <v>0</v>
      </c>
      <c r="AC51" s="11">
        <v>0</v>
      </c>
      <c r="AD51" s="11">
        <v>0</v>
      </c>
      <c r="AE51" s="11">
        <v>0</v>
      </c>
      <c r="AF51" s="11">
        <f t="shared" si="0"/>
        <v>0.56399999999999995</v>
      </c>
      <c r="AG51" s="11">
        <f t="shared" si="1"/>
        <v>9.9640000000000004</v>
      </c>
      <c r="AH51" t="s">
        <v>50</v>
      </c>
    </row>
    <row r="52" spans="1:34" ht="15" customHeight="1" x14ac:dyDescent="0.35">
      <c r="A52">
        <v>7547676</v>
      </c>
      <c r="B52">
        <v>690929</v>
      </c>
      <c r="C52" t="s">
        <v>34</v>
      </c>
      <c r="D52" t="s">
        <v>35</v>
      </c>
      <c r="E52" s="6" t="s">
        <v>34</v>
      </c>
      <c r="F52" t="s">
        <v>232</v>
      </c>
      <c r="G52" t="s">
        <v>37</v>
      </c>
      <c r="H52" t="s">
        <v>38</v>
      </c>
      <c r="I52" t="s">
        <v>57</v>
      </c>
      <c r="J52" t="s">
        <v>40</v>
      </c>
      <c r="K52">
        <v>2</v>
      </c>
      <c r="L52" t="s">
        <v>41</v>
      </c>
      <c r="M52" t="s">
        <v>42</v>
      </c>
      <c r="N52" t="s">
        <v>43</v>
      </c>
      <c r="O52" s="7">
        <v>1</v>
      </c>
      <c r="P52" s="8">
        <v>45186.753263888888</v>
      </c>
      <c r="Q52" s="9">
        <v>45188</v>
      </c>
      <c r="R52" t="s">
        <v>37</v>
      </c>
      <c r="S52" t="s">
        <v>44</v>
      </c>
      <c r="T52" t="s">
        <v>45</v>
      </c>
      <c r="U52" t="s">
        <v>46</v>
      </c>
      <c r="V52" t="s">
        <v>58</v>
      </c>
      <c r="W52">
        <v>25200</v>
      </c>
      <c r="X52" t="s">
        <v>44</v>
      </c>
      <c r="Y52" t="s">
        <v>59</v>
      </c>
      <c r="Z52" t="s">
        <v>49</v>
      </c>
      <c r="AA52" s="10">
        <f>IF(O52&lt;=1,7,7+0.8*ROUNDUP(O52-1,0))</f>
        <v>7</v>
      </c>
      <c r="AB52" s="11">
        <v>0</v>
      </c>
      <c r="AC52" s="11">
        <v>0</v>
      </c>
      <c r="AD52" s="11">
        <v>0</v>
      </c>
      <c r="AE52" s="11">
        <v>0</v>
      </c>
      <c r="AF52" s="11">
        <f t="shared" si="0"/>
        <v>0.42</v>
      </c>
      <c r="AG52" s="11">
        <f t="shared" si="1"/>
        <v>7.42</v>
      </c>
      <c r="AH52" t="s">
        <v>50</v>
      </c>
    </row>
    <row r="53" spans="1:34" ht="15" customHeight="1" x14ac:dyDescent="0.35">
      <c r="A53">
        <v>7547676</v>
      </c>
      <c r="B53">
        <v>690929</v>
      </c>
      <c r="C53" t="s">
        <v>34</v>
      </c>
      <c r="D53" t="s">
        <v>35</v>
      </c>
      <c r="E53" s="6" t="s">
        <v>34</v>
      </c>
      <c r="F53" t="s">
        <v>233</v>
      </c>
      <c r="G53" t="s">
        <v>37</v>
      </c>
      <c r="H53" t="s">
        <v>38</v>
      </c>
      <c r="I53" t="s">
        <v>234</v>
      </c>
      <c r="J53" t="s">
        <v>40</v>
      </c>
      <c r="K53">
        <v>2</v>
      </c>
      <c r="L53" t="s">
        <v>41</v>
      </c>
      <c r="M53" t="s">
        <v>42</v>
      </c>
      <c r="N53" t="s">
        <v>43</v>
      </c>
      <c r="O53" s="7">
        <v>1</v>
      </c>
      <c r="P53" s="8">
        <v>45187.686238425929</v>
      </c>
      <c r="Q53" s="9">
        <v>45188</v>
      </c>
      <c r="R53" t="s">
        <v>37</v>
      </c>
      <c r="S53" t="s">
        <v>44</v>
      </c>
      <c r="T53" t="s">
        <v>45</v>
      </c>
      <c r="U53" t="s">
        <v>46</v>
      </c>
      <c r="V53" t="s">
        <v>235</v>
      </c>
      <c r="W53">
        <v>26060</v>
      </c>
      <c r="X53" t="s">
        <v>44</v>
      </c>
      <c r="Y53" t="s">
        <v>59</v>
      </c>
      <c r="Z53" t="s">
        <v>49</v>
      </c>
      <c r="AA53" s="10">
        <f>IF(O53&lt;=1,7,7+0.8*ROUNDUP(O53-1,0))</f>
        <v>7</v>
      </c>
      <c r="AB53" s="11">
        <v>0</v>
      </c>
      <c r="AC53" s="11">
        <v>0</v>
      </c>
      <c r="AD53" s="11">
        <v>0</v>
      </c>
      <c r="AE53" s="11">
        <v>0</v>
      </c>
      <c r="AF53" s="11">
        <f t="shared" si="0"/>
        <v>0.42</v>
      </c>
      <c r="AG53" s="11">
        <f t="shared" si="1"/>
        <v>7.42</v>
      </c>
      <c r="AH53" t="s">
        <v>50</v>
      </c>
    </row>
    <row r="54" spans="1:34" ht="15" customHeight="1" x14ac:dyDescent="0.35">
      <c r="A54">
        <v>7547676</v>
      </c>
      <c r="B54">
        <v>690929</v>
      </c>
      <c r="C54" t="s">
        <v>34</v>
      </c>
      <c r="D54" t="s">
        <v>35</v>
      </c>
      <c r="E54" s="6" t="s">
        <v>34</v>
      </c>
      <c r="F54" t="s">
        <v>236</v>
      </c>
      <c r="G54" t="s">
        <v>37</v>
      </c>
      <c r="H54" t="s">
        <v>38</v>
      </c>
      <c r="I54" t="s">
        <v>237</v>
      </c>
      <c r="J54" t="s">
        <v>40</v>
      </c>
      <c r="K54">
        <v>2</v>
      </c>
      <c r="L54" t="s">
        <v>41</v>
      </c>
      <c r="M54" t="s">
        <v>42</v>
      </c>
      <c r="N54" t="s">
        <v>43</v>
      </c>
      <c r="O54" s="7">
        <v>1</v>
      </c>
      <c r="P54" s="8">
        <v>45187.623067129629</v>
      </c>
      <c r="Q54" s="9">
        <v>45188</v>
      </c>
      <c r="R54" t="s">
        <v>37</v>
      </c>
      <c r="S54" t="s">
        <v>44</v>
      </c>
      <c r="T54" t="s">
        <v>45</v>
      </c>
      <c r="U54" t="s">
        <v>67</v>
      </c>
      <c r="V54" t="s">
        <v>238</v>
      </c>
      <c r="W54">
        <v>43300</v>
      </c>
      <c r="X54" t="s">
        <v>44</v>
      </c>
      <c r="Y54" t="s">
        <v>239</v>
      </c>
      <c r="Z54" t="s">
        <v>49</v>
      </c>
      <c r="AA54" s="10">
        <f>IF(O54&lt;=1,7,7+0.8*ROUNDUP(O54-1,0))</f>
        <v>7</v>
      </c>
      <c r="AB54" s="11">
        <v>0</v>
      </c>
      <c r="AC54" s="11">
        <v>0</v>
      </c>
      <c r="AD54" s="11">
        <v>0</v>
      </c>
      <c r="AE54" s="11">
        <v>0</v>
      </c>
      <c r="AF54" s="11">
        <f t="shared" si="0"/>
        <v>0.42</v>
      </c>
      <c r="AG54" s="11">
        <f t="shared" si="1"/>
        <v>7.42</v>
      </c>
      <c r="AH54" t="s">
        <v>50</v>
      </c>
    </row>
    <row r="55" spans="1:34" ht="15" customHeight="1" x14ac:dyDescent="0.35">
      <c r="A55">
        <v>7547676</v>
      </c>
      <c r="B55">
        <v>690929</v>
      </c>
      <c r="C55" t="s">
        <v>34</v>
      </c>
      <c r="D55" t="s">
        <v>35</v>
      </c>
      <c r="E55" s="6" t="s">
        <v>34</v>
      </c>
      <c r="F55" t="s">
        <v>240</v>
      </c>
      <c r="G55" t="s">
        <v>37</v>
      </c>
      <c r="H55" t="s">
        <v>38</v>
      </c>
      <c r="I55" t="s">
        <v>241</v>
      </c>
      <c r="J55" t="s">
        <v>40</v>
      </c>
      <c r="K55">
        <v>2</v>
      </c>
      <c r="L55" t="s">
        <v>41</v>
      </c>
      <c r="M55" t="s">
        <v>42</v>
      </c>
      <c r="N55" t="s">
        <v>43</v>
      </c>
      <c r="O55" s="7">
        <v>6</v>
      </c>
      <c r="P55" s="8">
        <v>45186.432071759256</v>
      </c>
      <c r="Q55" s="9">
        <v>45188</v>
      </c>
      <c r="R55" t="s">
        <v>37</v>
      </c>
      <c r="S55" t="s">
        <v>44</v>
      </c>
      <c r="T55" t="s">
        <v>45</v>
      </c>
      <c r="U55" t="s">
        <v>67</v>
      </c>
      <c r="V55" t="s">
        <v>242</v>
      </c>
      <c r="W55">
        <v>47000</v>
      </c>
      <c r="X55" t="s">
        <v>44</v>
      </c>
      <c r="Y55" t="s">
        <v>243</v>
      </c>
      <c r="Z55" t="s">
        <v>49</v>
      </c>
      <c r="AA55" s="10">
        <f>IF(O55&lt;=1,7,7+0.8*ROUNDUP(O55-1,0))</f>
        <v>11</v>
      </c>
      <c r="AB55" s="11">
        <v>0</v>
      </c>
      <c r="AC55" s="11">
        <v>0</v>
      </c>
      <c r="AD55" s="11">
        <v>0</v>
      </c>
      <c r="AE55" s="11">
        <v>0</v>
      </c>
      <c r="AF55" s="11">
        <f t="shared" si="0"/>
        <v>0.65999999999999992</v>
      </c>
      <c r="AG55" s="11">
        <f t="shared" si="1"/>
        <v>11.66</v>
      </c>
      <c r="AH55" t="s">
        <v>50</v>
      </c>
    </row>
    <row r="56" spans="1:34" ht="15" customHeight="1" x14ac:dyDescent="0.35">
      <c r="A56">
        <v>7547676</v>
      </c>
      <c r="B56">
        <v>690929</v>
      </c>
      <c r="C56" t="s">
        <v>34</v>
      </c>
      <c r="D56" t="s">
        <v>35</v>
      </c>
      <c r="E56" s="6" t="s">
        <v>34</v>
      </c>
      <c r="F56" t="s">
        <v>244</v>
      </c>
      <c r="G56" t="s">
        <v>37</v>
      </c>
      <c r="H56" t="s">
        <v>38</v>
      </c>
      <c r="I56" t="s">
        <v>245</v>
      </c>
      <c r="J56" t="s">
        <v>40</v>
      </c>
      <c r="K56">
        <v>2</v>
      </c>
      <c r="L56" t="s">
        <v>41</v>
      </c>
      <c r="M56" t="s">
        <v>42</v>
      </c>
      <c r="N56" t="s">
        <v>43</v>
      </c>
      <c r="O56" s="7">
        <v>3</v>
      </c>
      <c r="P56" s="8">
        <v>45183.696226851855</v>
      </c>
      <c r="Q56" s="9">
        <v>45188</v>
      </c>
      <c r="R56" t="s">
        <v>37</v>
      </c>
      <c r="S56" t="s">
        <v>44</v>
      </c>
      <c r="T56" t="s">
        <v>45</v>
      </c>
      <c r="U56" t="s">
        <v>139</v>
      </c>
      <c r="V56" t="s">
        <v>246</v>
      </c>
      <c r="W56">
        <v>7000</v>
      </c>
      <c r="X56" t="s">
        <v>44</v>
      </c>
      <c r="Y56" t="s">
        <v>69</v>
      </c>
      <c r="Z56" t="s">
        <v>49</v>
      </c>
      <c r="AA56" s="10">
        <f>IF(O56&lt;=1,7,7+0.8*ROUNDUP(O56-1,0))</f>
        <v>8.6</v>
      </c>
      <c r="AB56" s="11">
        <v>0</v>
      </c>
      <c r="AC56" s="11">
        <v>0</v>
      </c>
      <c r="AD56" s="11">
        <v>0</v>
      </c>
      <c r="AE56" s="11">
        <v>0</v>
      </c>
      <c r="AF56" s="11">
        <f t="shared" si="0"/>
        <v>0.51600000000000001</v>
      </c>
      <c r="AG56" s="11">
        <f t="shared" si="1"/>
        <v>9.1159999999999997</v>
      </c>
      <c r="AH56" t="s">
        <v>50</v>
      </c>
    </row>
    <row r="57" spans="1:34" ht="15" customHeight="1" x14ac:dyDescent="0.35">
      <c r="A57">
        <v>7547676</v>
      </c>
      <c r="B57">
        <v>690929</v>
      </c>
      <c r="C57" t="s">
        <v>34</v>
      </c>
      <c r="D57" t="s">
        <v>35</v>
      </c>
      <c r="E57" s="6" t="s">
        <v>34</v>
      </c>
      <c r="F57" t="s">
        <v>247</v>
      </c>
      <c r="G57" t="s">
        <v>37</v>
      </c>
      <c r="H57" t="s">
        <v>38</v>
      </c>
      <c r="I57" t="s">
        <v>248</v>
      </c>
      <c r="J57" t="s">
        <v>40</v>
      </c>
      <c r="K57">
        <v>2</v>
      </c>
      <c r="L57" t="s">
        <v>41</v>
      </c>
      <c r="M57" t="s">
        <v>42</v>
      </c>
      <c r="N57" t="s">
        <v>43</v>
      </c>
      <c r="O57" s="7">
        <v>2</v>
      </c>
      <c r="P57" s="8">
        <v>45187.514328703706</v>
      </c>
      <c r="Q57" s="9">
        <v>45188</v>
      </c>
      <c r="R57" t="s">
        <v>37</v>
      </c>
      <c r="S57" t="s">
        <v>44</v>
      </c>
      <c r="T57" t="s">
        <v>45</v>
      </c>
      <c r="U57" t="s">
        <v>62</v>
      </c>
      <c r="V57" t="s">
        <v>249</v>
      </c>
      <c r="W57">
        <v>47820</v>
      </c>
      <c r="X57" t="s">
        <v>44</v>
      </c>
      <c r="Y57" t="s">
        <v>250</v>
      </c>
      <c r="Z57" t="s">
        <v>49</v>
      </c>
      <c r="AA57" s="10">
        <f>IF(O57&lt;=1,7,7+0.8*ROUNDUP(O57-1,0))</f>
        <v>7.8</v>
      </c>
      <c r="AB57" s="11">
        <v>0</v>
      </c>
      <c r="AC57" s="11">
        <v>0</v>
      </c>
      <c r="AD57" s="11">
        <v>0</v>
      </c>
      <c r="AE57" s="11">
        <v>0</v>
      </c>
      <c r="AF57" s="11">
        <f t="shared" si="0"/>
        <v>0.46799999999999997</v>
      </c>
      <c r="AG57" s="11">
        <f t="shared" si="1"/>
        <v>8.2680000000000007</v>
      </c>
      <c r="AH57" t="s">
        <v>50</v>
      </c>
    </row>
    <row r="58" spans="1:34" ht="15" customHeight="1" x14ac:dyDescent="0.35">
      <c r="A58">
        <v>7547676</v>
      </c>
      <c r="B58">
        <v>690929</v>
      </c>
      <c r="C58" t="s">
        <v>34</v>
      </c>
      <c r="D58" t="s">
        <v>35</v>
      </c>
      <c r="E58" s="6" t="s">
        <v>34</v>
      </c>
      <c r="F58" t="s">
        <v>251</v>
      </c>
      <c r="G58" t="s">
        <v>37</v>
      </c>
      <c r="H58" t="s">
        <v>38</v>
      </c>
      <c r="I58" t="s">
        <v>252</v>
      </c>
      <c r="J58" t="s">
        <v>40</v>
      </c>
      <c r="K58">
        <v>2</v>
      </c>
      <c r="L58" t="s">
        <v>41</v>
      </c>
      <c r="M58" t="s">
        <v>42</v>
      </c>
      <c r="N58" t="s">
        <v>43</v>
      </c>
      <c r="O58" s="7">
        <v>3</v>
      </c>
      <c r="P58" s="8">
        <v>45186.753263888888</v>
      </c>
      <c r="Q58" s="9">
        <v>45188</v>
      </c>
      <c r="R58" t="s">
        <v>37</v>
      </c>
      <c r="S58" t="s">
        <v>44</v>
      </c>
      <c r="T58" t="s">
        <v>45</v>
      </c>
      <c r="U58" t="s">
        <v>67</v>
      </c>
      <c r="V58" t="s">
        <v>253</v>
      </c>
      <c r="W58">
        <v>56000</v>
      </c>
      <c r="X58" t="s">
        <v>44</v>
      </c>
      <c r="Y58" t="s">
        <v>88</v>
      </c>
      <c r="Z58" t="s">
        <v>49</v>
      </c>
      <c r="AA58" s="10">
        <f>IF(O58&lt;=1,7,7+0.8*ROUNDUP(O58-1,0))</f>
        <v>8.6</v>
      </c>
      <c r="AB58" s="11">
        <v>0</v>
      </c>
      <c r="AC58" s="11">
        <v>0</v>
      </c>
      <c r="AD58" s="11">
        <v>0</v>
      </c>
      <c r="AE58" s="11">
        <v>0</v>
      </c>
      <c r="AF58" s="11">
        <f t="shared" si="0"/>
        <v>0.51600000000000001</v>
      </c>
      <c r="AG58" s="11">
        <f t="shared" si="1"/>
        <v>9.1159999999999997</v>
      </c>
      <c r="AH58" t="s">
        <v>50</v>
      </c>
    </row>
    <row r="59" spans="1:34" ht="15" customHeight="1" x14ac:dyDescent="0.35">
      <c r="A59">
        <v>7547676</v>
      </c>
      <c r="B59">
        <v>690929</v>
      </c>
      <c r="C59" t="s">
        <v>34</v>
      </c>
      <c r="D59" t="s">
        <v>35</v>
      </c>
      <c r="E59" s="6" t="s">
        <v>34</v>
      </c>
      <c r="F59" t="s">
        <v>254</v>
      </c>
      <c r="G59" t="s">
        <v>37</v>
      </c>
      <c r="H59" t="s">
        <v>38</v>
      </c>
      <c r="I59" t="s">
        <v>255</v>
      </c>
      <c r="J59" t="s">
        <v>40</v>
      </c>
      <c r="K59">
        <v>2</v>
      </c>
      <c r="L59" t="s">
        <v>41</v>
      </c>
      <c r="M59" t="s">
        <v>42</v>
      </c>
      <c r="N59" t="s">
        <v>43</v>
      </c>
      <c r="O59" s="7">
        <v>4</v>
      </c>
      <c r="P59" s="8">
        <v>45187.743032407408</v>
      </c>
      <c r="Q59" s="9">
        <v>45189</v>
      </c>
      <c r="R59" t="s">
        <v>37</v>
      </c>
      <c r="S59" t="s">
        <v>44</v>
      </c>
      <c r="T59" t="s">
        <v>45</v>
      </c>
      <c r="U59" t="s">
        <v>106</v>
      </c>
      <c r="V59" t="s">
        <v>256</v>
      </c>
      <c r="W59">
        <v>13300</v>
      </c>
      <c r="X59" t="s">
        <v>44</v>
      </c>
      <c r="Y59" t="s">
        <v>257</v>
      </c>
      <c r="Z59" t="s">
        <v>49</v>
      </c>
      <c r="AA59" s="10">
        <f>IF(O59&lt;=1,7,7+0.8*ROUNDUP(O59-1,0))</f>
        <v>9.4</v>
      </c>
      <c r="AB59" s="11">
        <v>0</v>
      </c>
      <c r="AC59" s="11">
        <v>0</v>
      </c>
      <c r="AD59" s="11">
        <v>0</v>
      </c>
      <c r="AE59" s="11">
        <v>0</v>
      </c>
      <c r="AF59" s="11">
        <f t="shared" si="0"/>
        <v>0.56399999999999995</v>
      </c>
      <c r="AG59" s="11">
        <f t="shared" si="1"/>
        <v>9.9640000000000004</v>
      </c>
      <c r="AH59" t="s">
        <v>50</v>
      </c>
    </row>
    <row r="60" spans="1:34" ht="15" customHeight="1" x14ac:dyDescent="0.35">
      <c r="A60">
        <v>7547676</v>
      </c>
      <c r="B60">
        <v>690929</v>
      </c>
      <c r="C60" t="s">
        <v>34</v>
      </c>
      <c r="D60" t="s">
        <v>35</v>
      </c>
      <c r="E60" s="6" t="s">
        <v>34</v>
      </c>
      <c r="F60" t="s">
        <v>258</v>
      </c>
      <c r="G60" t="s">
        <v>37</v>
      </c>
      <c r="H60" t="s">
        <v>38</v>
      </c>
      <c r="I60" t="s">
        <v>259</v>
      </c>
      <c r="J60" t="s">
        <v>40</v>
      </c>
      <c r="K60">
        <v>2</v>
      </c>
      <c r="L60" t="s">
        <v>41</v>
      </c>
      <c r="M60" t="s">
        <v>42</v>
      </c>
      <c r="N60" t="s">
        <v>43</v>
      </c>
      <c r="O60" s="7">
        <v>1</v>
      </c>
      <c r="P60" s="8">
        <v>45188.487928240742</v>
      </c>
      <c r="Q60" s="9">
        <v>45189</v>
      </c>
      <c r="R60" t="s">
        <v>37</v>
      </c>
      <c r="S60" t="s">
        <v>44</v>
      </c>
      <c r="T60" t="s">
        <v>45</v>
      </c>
      <c r="U60" t="s">
        <v>115</v>
      </c>
      <c r="V60" t="s">
        <v>260</v>
      </c>
      <c r="W60">
        <v>16800</v>
      </c>
      <c r="X60" t="s">
        <v>44</v>
      </c>
      <c r="Y60" t="s">
        <v>114</v>
      </c>
      <c r="Z60" t="s">
        <v>49</v>
      </c>
      <c r="AA60" s="10">
        <f>IF(O60&lt;=1,7,7+0.8*ROUNDUP(O60-1,0))</f>
        <v>7</v>
      </c>
      <c r="AB60" s="11">
        <v>0</v>
      </c>
      <c r="AC60" s="11">
        <v>0</v>
      </c>
      <c r="AD60" s="11">
        <v>0</v>
      </c>
      <c r="AE60" s="11">
        <v>0</v>
      </c>
      <c r="AF60" s="11">
        <f t="shared" si="0"/>
        <v>0.42</v>
      </c>
      <c r="AG60" s="11">
        <f t="shared" si="1"/>
        <v>7.42</v>
      </c>
      <c r="AH60" t="s">
        <v>50</v>
      </c>
    </row>
    <row r="61" spans="1:34" ht="15" customHeight="1" x14ac:dyDescent="0.35">
      <c r="A61">
        <v>7547676</v>
      </c>
      <c r="B61">
        <v>690929</v>
      </c>
      <c r="C61" t="s">
        <v>34</v>
      </c>
      <c r="D61" t="s">
        <v>35</v>
      </c>
      <c r="E61" s="6" t="s">
        <v>34</v>
      </c>
      <c r="F61" t="s">
        <v>261</v>
      </c>
      <c r="G61" t="s">
        <v>37</v>
      </c>
      <c r="H61" t="s">
        <v>38</v>
      </c>
      <c r="I61" t="s">
        <v>262</v>
      </c>
      <c r="J61" t="s">
        <v>40</v>
      </c>
      <c r="K61">
        <v>2</v>
      </c>
      <c r="L61" t="s">
        <v>41</v>
      </c>
      <c r="M61" t="s">
        <v>42</v>
      </c>
      <c r="N61" t="s">
        <v>43</v>
      </c>
      <c r="O61" s="7">
        <v>12</v>
      </c>
      <c r="P61" s="8">
        <v>45188.734629629631</v>
      </c>
      <c r="Q61" s="9">
        <v>45189</v>
      </c>
      <c r="R61" t="s">
        <v>37</v>
      </c>
      <c r="S61" t="s">
        <v>44</v>
      </c>
      <c r="T61" t="s">
        <v>45</v>
      </c>
      <c r="U61" t="s">
        <v>62</v>
      </c>
      <c r="V61" t="s">
        <v>263</v>
      </c>
      <c r="W61">
        <v>57000</v>
      </c>
      <c r="X61" t="s">
        <v>44</v>
      </c>
      <c r="Y61" t="s">
        <v>264</v>
      </c>
      <c r="Z61" t="s">
        <v>49</v>
      </c>
      <c r="AA61" s="10">
        <f>IF(O61&lt;=1,7,7+0.8*ROUNDUP(O61-1,0))</f>
        <v>15.8</v>
      </c>
      <c r="AB61" s="11">
        <v>0</v>
      </c>
      <c r="AC61" s="11">
        <v>0</v>
      </c>
      <c r="AD61" s="11">
        <v>0</v>
      </c>
      <c r="AE61" s="11">
        <v>0</v>
      </c>
      <c r="AF61" s="11">
        <f t="shared" si="0"/>
        <v>0.94799999999999995</v>
      </c>
      <c r="AG61" s="11">
        <f t="shared" si="1"/>
        <v>16.748000000000001</v>
      </c>
      <c r="AH61" t="s">
        <v>50</v>
      </c>
    </row>
    <row r="62" spans="1:34" ht="15" customHeight="1" x14ac:dyDescent="0.35">
      <c r="A62">
        <v>7547676</v>
      </c>
      <c r="B62">
        <v>690929</v>
      </c>
      <c r="C62" t="s">
        <v>34</v>
      </c>
      <c r="D62" t="s">
        <v>35</v>
      </c>
      <c r="E62" s="6" t="s">
        <v>34</v>
      </c>
      <c r="F62" t="s">
        <v>265</v>
      </c>
      <c r="G62" t="s">
        <v>37</v>
      </c>
      <c r="H62" t="s">
        <v>38</v>
      </c>
      <c r="I62" t="s">
        <v>262</v>
      </c>
      <c r="J62" t="s">
        <v>40</v>
      </c>
      <c r="K62">
        <v>2</v>
      </c>
      <c r="L62" t="s">
        <v>41</v>
      </c>
      <c r="M62" t="s">
        <v>42</v>
      </c>
      <c r="N62" t="s">
        <v>43</v>
      </c>
      <c r="O62" s="7">
        <v>24</v>
      </c>
      <c r="P62" s="8">
        <v>45188.734618055554</v>
      </c>
      <c r="Q62" s="9">
        <v>45189</v>
      </c>
      <c r="R62" t="s">
        <v>37</v>
      </c>
      <c r="S62" t="s">
        <v>44</v>
      </c>
      <c r="T62" t="s">
        <v>45</v>
      </c>
      <c r="U62" t="s">
        <v>62</v>
      </c>
      <c r="V62" t="s">
        <v>263</v>
      </c>
      <c r="W62">
        <v>57000</v>
      </c>
      <c r="X62" t="s">
        <v>44</v>
      </c>
      <c r="Y62" t="s">
        <v>264</v>
      </c>
      <c r="Z62" t="s">
        <v>49</v>
      </c>
      <c r="AA62" s="10">
        <f>IF(O62&lt;=1,7,7+0.8*ROUNDUP(O62-1,0))</f>
        <v>25.400000000000002</v>
      </c>
      <c r="AB62" s="11">
        <v>0</v>
      </c>
      <c r="AC62" s="11">
        <v>0</v>
      </c>
      <c r="AD62" s="11">
        <v>0</v>
      </c>
      <c r="AE62" s="11">
        <v>0</v>
      </c>
      <c r="AF62" s="11">
        <f t="shared" si="0"/>
        <v>1.524</v>
      </c>
      <c r="AG62" s="11">
        <f t="shared" si="1"/>
        <v>26.924000000000003</v>
      </c>
      <c r="AH62" t="s">
        <v>50</v>
      </c>
    </row>
    <row r="63" spans="1:34" ht="15" customHeight="1" x14ac:dyDescent="0.35">
      <c r="A63">
        <v>7547676</v>
      </c>
      <c r="B63">
        <v>690929</v>
      </c>
      <c r="C63" t="s">
        <v>34</v>
      </c>
      <c r="D63" t="s">
        <v>35</v>
      </c>
      <c r="E63" s="6" t="s">
        <v>34</v>
      </c>
      <c r="F63" t="s">
        <v>266</v>
      </c>
      <c r="G63" t="s">
        <v>37</v>
      </c>
      <c r="H63" t="s">
        <v>38</v>
      </c>
      <c r="I63" t="s">
        <v>262</v>
      </c>
      <c r="J63" t="s">
        <v>40</v>
      </c>
      <c r="K63">
        <v>2</v>
      </c>
      <c r="L63" t="s">
        <v>41</v>
      </c>
      <c r="M63" t="s">
        <v>42</v>
      </c>
      <c r="N63" t="s">
        <v>43</v>
      </c>
      <c r="O63" s="7">
        <v>12</v>
      </c>
      <c r="P63" s="8">
        <v>45188.734629629631</v>
      </c>
      <c r="Q63" s="9">
        <v>45189</v>
      </c>
      <c r="R63" t="s">
        <v>37</v>
      </c>
      <c r="S63" t="s">
        <v>44</v>
      </c>
      <c r="T63" t="s">
        <v>45</v>
      </c>
      <c r="U63" t="s">
        <v>62</v>
      </c>
      <c r="V63" t="s">
        <v>263</v>
      </c>
      <c r="W63">
        <v>57000</v>
      </c>
      <c r="X63" t="s">
        <v>44</v>
      </c>
      <c r="Y63" t="s">
        <v>264</v>
      </c>
      <c r="Z63" t="s">
        <v>49</v>
      </c>
      <c r="AA63" s="10">
        <f>IF(O63&lt;=1,7,7+0.8*ROUNDUP(O63-1,0))</f>
        <v>15.8</v>
      </c>
      <c r="AB63" s="11">
        <v>0</v>
      </c>
      <c r="AC63" s="11">
        <v>0</v>
      </c>
      <c r="AD63" s="11">
        <v>0</v>
      </c>
      <c r="AE63" s="11">
        <v>0</v>
      </c>
      <c r="AF63" s="11">
        <f t="shared" si="0"/>
        <v>0.94799999999999995</v>
      </c>
      <c r="AG63" s="11">
        <f t="shared" si="1"/>
        <v>16.748000000000001</v>
      </c>
      <c r="AH63" t="s">
        <v>50</v>
      </c>
    </row>
    <row r="64" spans="1:34" ht="15" customHeight="1" x14ac:dyDescent="0.35">
      <c r="A64">
        <v>7547676</v>
      </c>
      <c r="B64">
        <v>690929</v>
      </c>
      <c r="C64" t="s">
        <v>34</v>
      </c>
      <c r="D64" t="s">
        <v>35</v>
      </c>
      <c r="E64" s="6" t="s">
        <v>34</v>
      </c>
      <c r="F64" t="s">
        <v>267</v>
      </c>
      <c r="G64" t="s">
        <v>37</v>
      </c>
      <c r="H64" t="s">
        <v>38</v>
      </c>
      <c r="I64" t="s">
        <v>268</v>
      </c>
      <c r="J64" t="s">
        <v>40</v>
      </c>
      <c r="K64">
        <v>2</v>
      </c>
      <c r="L64" t="s">
        <v>41</v>
      </c>
      <c r="M64" t="s">
        <v>42</v>
      </c>
      <c r="N64" t="s">
        <v>43</v>
      </c>
      <c r="O64" s="7">
        <v>2</v>
      </c>
      <c r="P64" s="8">
        <v>45187.743032407408</v>
      </c>
      <c r="Q64" s="9">
        <v>45189</v>
      </c>
      <c r="R64" t="s">
        <v>37</v>
      </c>
      <c r="S64" t="s">
        <v>44</v>
      </c>
      <c r="T64" t="s">
        <v>45</v>
      </c>
      <c r="U64" t="s">
        <v>101</v>
      </c>
      <c r="V64" t="s">
        <v>269</v>
      </c>
      <c r="W64">
        <v>34600</v>
      </c>
      <c r="X64" t="s">
        <v>44</v>
      </c>
      <c r="Y64" t="s">
        <v>145</v>
      </c>
      <c r="Z64" t="s">
        <v>49</v>
      </c>
      <c r="AA64" s="10">
        <f>IF(O64&lt;=1,7,7+0.8*ROUNDUP(O64-1,0))</f>
        <v>7.8</v>
      </c>
      <c r="AB64" s="11">
        <v>0</v>
      </c>
      <c r="AC64" s="11">
        <v>0</v>
      </c>
      <c r="AD64" s="11">
        <v>0</v>
      </c>
      <c r="AE64" s="11">
        <v>0</v>
      </c>
      <c r="AF64" s="11">
        <f t="shared" si="0"/>
        <v>0.46799999999999997</v>
      </c>
      <c r="AG64" s="11">
        <f t="shared" si="1"/>
        <v>8.2680000000000007</v>
      </c>
      <c r="AH64" t="s">
        <v>50</v>
      </c>
    </row>
    <row r="65" spans="1:34" ht="15" customHeight="1" x14ac:dyDescent="0.35">
      <c r="A65">
        <v>7547676</v>
      </c>
      <c r="B65">
        <v>690929</v>
      </c>
      <c r="C65" t="s">
        <v>34</v>
      </c>
      <c r="D65" t="s">
        <v>35</v>
      </c>
      <c r="E65" s="6" t="s">
        <v>34</v>
      </c>
      <c r="F65" t="s">
        <v>270</v>
      </c>
      <c r="G65" t="s">
        <v>37</v>
      </c>
      <c r="H65" t="s">
        <v>38</v>
      </c>
      <c r="I65" t="s">
        <v>271</v>
      </c>
      <c r="J65" t="s">
        <v>40</v>
      </c>
      <c r="K65">
        <v>2</v>
      </c>
      <c r="L65" t="s">
        <v>41</v>
      </c>
      <c r="M65" t="s">
        <v>42</v>
      </c>
      <c r="N65" t="s">
        <v>43</v>
      </c>
      <c r="O65" s="7">
        <v>2</v>
      </c>
      <c r="P65" s="8">
        <v>45188.509571759256</v>
      </c>
      <c r="Q65" s="9">
        <v>45189</v>
      </c>
      <c r="R65" t="s">
        <v>37</v>
      </c>
      <c r="S65" t="s">
        <v>44</v>
      </c>
      <c r="T65" t="s">
        <v>45</v>
      </c>
      <c r="U65" t="s">
        <v>46</v>
      </c>
      <c r="V65" t="s">
        <v>272</v>
      </c>
      <c r="W65">
        <v>28100</v>
      </c>
      <c r="X65" t="s">
        <v>44</v>
      </c>
      <c r="Y65" t="s">
        <v>273</v>
      </c>
      <c r="Z65" t="s">
        <v>49</v>
      </c>
      <c r="AA65" s="10">
        <f>IF(O65&lt;=1,7,7+0.8*ROUNDUP(O65-1,0))</f>
        <v>7.8</v>
      </c>
      <c r="AB65" s="11">
        <v>0</v>
      </c>
      <c r="AC65" s="11">
        <v>0</v>
      </c>
      <c r="AD65" s="11">
        <v>0</v>
      </c>
      <c r="AE65" s="11">
        <v>0</v>
      </c>
      <c r="AF65" s="11">
        <f t="shared" si="0"/>
        <v>0.46799999999999997</v>
      </c>
      <c r="AG65" s="11">
        <f t="shared" si="1"/>
        <v>8.2680000000000007</v>
      </c>
      <c r="AH65" t="s">
        <v>50</v>
      </c>
    </row>
    <row r="66" spans="1:34" ht="15" customHeight="1" x14ac:dyDescent="0.35">
      <c r="A66">
        <v>7547676</v>
      </c>
      <c r="B66">
        <v>690929</v>
      </c>
      <c r="C66" t="s">
        <v>34</v>
      </c>
      <c r="D66" t="s">
        <v>35</v>
      </c>
      <c r="E66" s="6" t="s">
        <v>34</v>
      </c>
      <c r="F66" t="s">
        <v>274</v>
      </c>
      <c r="G66" t="s">
        <v>37</v>
      </c>
      <c r="H66" t="s">
        <v>38</v>
      </c>
      <c r="I66" t="s">
        <v>275</v>
      </c>
      <c r="J66" t="s">
        <v>40</v>
      </c>
      <c r="K66">
        <v>2</v>
      </c>
      <c r="L66" t="s">
        <v>41</v>
      </c>
      <c r="M66" t="s">
        <v>42</v>
      </c>
      <c r="N66" t="s">
        <v>43</v>
      </c>
      <c r="O66" s="7">
        <v>1</v>
      </c>
      <c r="P66" s="8">
        <v>45188.487928240742</v>
      </c>
      <c r="Q66" s="9">
        <v>45189</v>
      </c>
      <c r="R66" t="s">
        <v>37</v>
      </c>
      <c r="S66" t="s">
        <v>44</v>
      </c>
      <c r="T66" t="s">
        <v>45</v>
      </c>
      <c r="U66" t="s">
        <v>62</v>
      </c>
      <c r="V66" t="s">
        <v>276</v>
      </c>
      <c r="W66">
        <v>51100</v>
      </c>
      <c r="X66" t="s">
        <v>44</v>
      </c>
      <c r="Y66" t="s">
        <v>64</v>
      </c>
      <c r="Z66" t="s">
        <v>49</v>
      </c>
      <c r="AA66" s="10">
        <f>IF(O66&lt;=1,7,7+0.8*ROUNDUP(O66-1,0))</f>
        <v>7</v>
      </c>
      <c r="AB66" s="11">
        <v>0</v>
      </c>
      <c r="AC66" s="11">
        <v>0</v>
      </c>
      <c r="AD66" s="11">
        <v>0</v>
      </c>
      <c r="AE66" s="11">
        <v>0</v>
      </c>
      <c r="AF66" s="11">
        <f t="shared" ref="AF66:AF129" si="2">(AA66+AC66+AE66)*6%</f>
        <v>0.42</v>
      </c>
      <c r="AG66" s="11">
        <f t="shared" ref="AG66:AG129" si="3">AA66+AC66+AE66+AF66</f>
        <v>7.42</v>
      </c>
      <c r="AH66" t="s">
        <v>50</v>
      </c>
    </row>
    <row r="67" spans="1:34" ht="15" customHeight="1" x14ac:dyDescent="0.35">
      <c r="A67">
        <v>7547676</v>
      </c>
      <c r="B67">
        <v>690929</v>
      </c>
      <c r="C67" t="s">
        <v>34</v>
      </c>
      <c r="D67" t="s">
        <v>35</v>
      </c>
      <c r="E67" s="6" t="s">
        <v>34</v>
      </c>
      <c r="F67" t="s">
        <v>277</v>
      </c>
      <c r="G67" t="s">
        <v>37</v>
      </c>
      <c r="H67" t="s">
        <v>38</v>
      </c>
      <c r="I67" t="s">
        <v>271</v>
      </c>
      <c r="J67" t="s">
        <v>40</v>
      </c>
      <c r="K67">
        <v>2</v>
      </c>
      <c r="L67" t="s">
        <v>41</v>
      </c>
      <c r="M67" t="s">
        <v>42</v>
      </c>
      <c r="N67" t="s">
        <v>43</v>
      </c>
      <c r="O67" s="7">
        <v>5</v>
      </c>
      <c r="P67" s="8">
        <v>45188.509571759256</v>
      </c>
      <c r="Q67" s="9">
        <v>45189</v>
      </c>
      <c r="R67" t="s">
        <v>37</v>
      </c>
      <c r="S67" t="s">
        <v>44</v>
      </c>
      <c r="T67" t="s">
        <v>45</v>
      </c>
      <c r="U67" t="s">
        <v>46</v>
      </c>
      <c r="V67" t="s">
        <v>272</v>
      </c>
      <c r="W67">
        <v>28100</v>
      </c>
      <c r="X67" t="s">
        <v>44</v>
      </c>
      <c r="Y67" t="s">
        <v>59</v>
      </c>
      <c r="Z67" t="s">
        <v>49</v>
      </c>
      <c r="AA67" s="10">
        <f>IF(O67&lt;=1,7,7+0.8*ROUNDUP(O67-1,0))</f>
        <v>10.199999999999999</v>
      </c>
      <c r="AB67" s="11">
        <v>0</v>
      </c>
      <c r="AC67" s="11">
        <v>0</v>
      </c>
      <c r="AD67" s="11">
        <v>0</v>
      </c>
      <c r="AE67" s="11">
        <v>0</v>
      </c>
      <c r="AF67" s="11">
        <f t="shared" si="2"/>
        <v>0.61199999999999999</v>
      </c>
      <c r="AG67" s="11">
        <f t="shared" si="3"/>
        <v>10.811999999999999</v>
      </c>
      <c r="AH67" t="s">
        <v>50</v>
      </c>
    </row>
    <row r="68" spans="1:34" ht="15" customHeight="1" x14ac:dyDescent="0.35">
      <c r="A68">
        <v>7547676</v>
      </c>
      <c r="B68">
        <v>690929</v>
      </c>
      <c r="C68" t="s">
        <v>34</v>
      </c>
      <c r="D68" t="s">
        <v>35</v>
      </c>
      <c r="E68" s="6" t="s">
        <v>34</v>
      </c>
      <c r="F68" t="s">
        <v>278</v>
      </c>
      <c r="G68" t="s">
        <v>37</v>
      </c>
      <c r="H68" t="s">
        <v>38</v>
      </c>
      <c r="I68" t="s">
        <v>279</v>
      </c>
      <c r="J68" t="s">
        <v>40</v>
      </c>
      <c r="K68">
        <v>2</v>
      </c>
      <c r="L68" t="s">
        <v>41</v>
      </c>
      <c r="M68" t="s">
        <v>42</v>
      </c>
      <c r="N68" t="s">
        <v>43</v>
      </c>
      <c r="O68" s="7">
        <v>1</v>
      </c>
      <c r="P68" s="8">
        <v>45187.749837962961</v>
      </c>
      <c r="Q68" s="9">
        <v>45189</v>
      </c>
      <c r="R68" t="s">
        <v>37</v>
      </c>
      <c r="S68" t="s">
        <v>44</v>
      </c>
      <c r="T68" t="s">
        <v>45</v>
      </c>
      <c r="U68" t="s">
        <v>110</v>
      </c>
      <c r="V68" t="s">
        <v>280</v>
      </c>
      <c r="W68">
        <v>81930</v>
      </c>
      <c r="X68" t="s">
        <v>44</v>
      </c>
      <c r="Y68" t="s">
        <v>281</v>
      </c>
      <c r="Z68" t="s">
        <v>49</v>
      </c>
      <c r="AA68" s="10">
        <f>IF(O68&lt;=1,7,7+0.8*ROUNDUP(O68-1,0))</f>
        <v>7</v>
      </c>
      <c r="AB68" s="11">
        <v>0</v>
      </c>
      <c r="AC68" s="11">
        <v>0</v>
      </c>
      <c r="AD68" s="11">
        <v>0</v>
      </c>
      <c r="AE68" s="11">
        <v>0</v>
      </c>
      <c r="AF68" s="11">
        <f t="shared" si="2"/>
        <v>0.42</v>
      </c>
      <c r="AG68" s="11">
        <f t="shared" si="3"/>
        <v>7.42</v>
      </c>
      <c r="AH68" t="s">
        <v>50</v>
      </c>
    </row>
    <row r="69" spans="1:34" ht="15" customHeight="1" x14ac:dyDescent="0.35">
      <c r="A69">
        <v>7547676</v>
      </c>
      <c r="B69">
        <v>690929</v>
      </c>
      <c r="C69" t="s">
        <v>34</v>
      </c>
      <c r="D69" t="s">
        <v>35</v>
      </c>
      <c r="E69" s="6" t="s">
        <v>34</v>
      </c>
      <c r="F69" t="s">
        <v>282</v>
      </c>
      <c r="G69" t="s">
        <v>37</v>
      </c>
      <c r="H69" t="s">
        <v>38</v>
      </c>
      <c r="I69" t="s">
        <v>283</v>
      </c>
      <c r="J69" t="s">
        <v>40</v>
      </c>
      <c r="K69">
        <v>2</v>
      </c>
      <c r="L69" t="s">
        <v>41</v>
      </c>
      <c r="M69" t="s">
        <v>42</v>
      </c>
      <c r="N69" t="s">
        <v>43</v>
      </c>
      <c r="O69" s="7">
        <v>1</v>
      </c>
      <c r="P69" s="8">
        <v>45188.653946759259</v>
      </c>
      <c r="Q69" s="9">
        <v>45189</v>
      </c>
      <c r="R69" t="s">
        <v>37</v>
      </c>
      <c r="S69" t="s">
        <v>44</v>
      </c>
      <c r="T69" t="s">
        <v>45</v>
      </c>
      <c r="U69" t="s">
        <v>284</v>
      </c>
      <c r="V69" t="s">
        <v>285</v>
      </c>
      <c r="W69">
        <v>22300</v>
      </c>
      <c r="X69" t="s">
        <v>44</v>
      </c>
      <c r="Y69" t="s">
        <v>114</v>
      </c>
      <c r="Z69" t="s">
        <v>49</v>
      </c>
      <c r="AA69" s="10">
        <f>IF(O69&lt;=1,7,7+0.8*ROUNDUP(O69-1,0))</f>
        <v>7</v>
      </c>
      <c r="AB69" s="11">
        <v>0</v>
      </c>
      <c r="AC69" s="11">
        <v>0</v>
      </c>
      <c r="AD69" s="11">
        <v>0</v>
      </c>
      <c r="AE69" s="11">
        <v>0</v>
      </c>
      <c r="AF69" s="11">
        <f t="shared" si="2"/>
        <v>0.42</v>
      </c>
      <c r="AG69" s="11">
        <f t="shared" si="3"/>
        <v>7.42</v>
      </c>
      <c r="AH69" t="s">
        <v>50</v>
      </c>
    </row>
    <row r="70" spans="1:34" ht="15" customHeight="1" x14ac:dyDescent="0.35">
      <c r="A70">
        <v>7547676</v>
      </c>
      <c r="B70">
        <v>690929</v>
      </c>
      <c r="C70" t="s">
        <v>34</v>
      </c>
      <c r="D70" t="s">
        <v>35</v>
      </c>
      <c r="E70" s="6" t="s">
        <v>34</v>
      </c>
      <c r="F70" t="s">
        <v>286</v>
      </c>
      <c r="G70" t="s">
        <v>37</v>
      </c>
      <c r="H70" t="s">
        <v>38</v>
      </c>
      <c r="I70" t="s">
        <v>287</v>
      </c>
      <c r="J70" t="s">
        <v>40</v>
      </c>
      <c r="K70">
        <v>2</v>
      </c>
      <c r="L70" t="s">
        <v>41</v>
      </c>
      <c r="M70" t="s">
        <v>42</v>
      </c>
      <c r="N70" t="s">
        <v>43</v>
      </c>
      <c r="O70" s="7">
        <v>3</v>
      </c>
      <c r="P70" s="8">
        <v>45187.761250000003</v>
      </c>
      <c r="Q70" s="9">
        <v>45189</v>
      </c>
      <c r="R70" t="s">
        <v>37</v>
      </c>
      <c r="S70" t="s">
        <v>44</v>
      </c>
      <c r="T70" t="s">
        <v>45</v>
      </c>
      <c r="U70" t="s">
        <v>101</v>
      </c>
      <c r="V70" t="s">
        <v>288</v>
      </c>
      <c r="W70">
        <v>36100</v>
      </c>
      <c r="X70" t="s">
        <v>44</v>
      </c>
      <c r="Y70" t="s">
        <v>69</v>
      </c>
      <c r="Z70" t="s">
        <v>49</v>
      </c>
      <c r="AA70" s="10">
        <f>IF(O70&lt;=1,7,7+0.8*ROUNDUP(O70-1,0))</f>
        <v>8.6</v>
      </c>
      <c r="AB70" s="11">
        <v>0</v>
      </c>
      <c r="AC70" s="11">
        <v>0</v>
      </c>
      <c r="AD70" s="11">
        <v>0</v>
      </c>
      <c r="AE70" s="11">
        <v>0</v>
      </c>
      <c r="AF70" s="11">
        <f t="shared" si="2"/>
        <v>0.51600000000000001</v>
      </c>
      <c r="AG70" s="11">
        <f t="shared" si="3"/>
        <v>9.1159999999999997</v>
      </c>
      <c r="AH70" t="s">
        <v>50</v>
      </c>
    </row>
    <row r="71" spans="1:34" ht="15" customHeight="1" x14ac:dyDescent="0.35">
      <c r="A71">
        <v>7547676</v>
      </c>
      <c r="B71">
        <v>690929</v>
      </c>
      <c r="C71" t="s">
        <v>34</v>
      </c>
      <c r="D71" t="s">
        <v>35</v>
      </c>
      <c r="E71" s="6" t="s">
        <v>34</v>
      </c>
      <c r="F71" t="s">
        <v>289</v>
      </c>
      <c r="G71" t="s">
        <v>37</v>
      </c>
      <c r="H71" t="s">
        <v>38</v>
      </c>
      <c r="I71" t="s">
        <v>290</v>
      </c>
      <c r="J71" t="s">
        <v>40</v>
      </c>
      <c r="K71">
        <v>2</v>
      </c>
      <c r="L71" t="s">
        <v>41</v>
      </c>
      <c r="M71" t="s">
        <v>42</v>
      </c>
      <c r="N71" t="s">
        <v>43</v>
      </c>
      <c r="O71" s="7">
        <v>4</v>
      </c>
      <c r="P71" s="8">
        <v>45188.734629629631</v>
      </c>
      <c r="Q71" s="9">
        <v>45190</v>
      </c>
      <c r="R71" t="s">
        <v>37</v>
      </c>
      <c r="S71" t="s">
        <v>44</v>
      </c>
      <c r="T71" t="s">
        <v>45</v>
      </c>
      <c r="U71" t="s">
        <v>101</v>
      </c>
      <c r="V71" t="s">
        <v>291</v>
      </c>
      <c r="W71">
        <v>31400</v>
      </c>
      <c r="X71" t="s">
        <v>44</v>
      </c>
      <c r="Y71" t="s">
        <v>204</v>
      </c>
      <c r="Z71" t="s">
        <v>49</v>
      </c>
      <c r="AA71" s="10">
        <f>IF(O71&lt;=1,7,7+0.8*ROUNDUP(O71-1,0))</f>
        <v>9.4</v>
      </c>
      <c r="AB71" s="11">
        <v>0</v>
      </c>
      <c r="AC71" s="11">
        <v>0</v>
      </c>
      <c r="AD71" s="11">
        <v>0</v>
      </c>
      <c r="AE71" s="11">
        <v>0</v>
      </c>
      <c r="AF71" s="11">
        <f t="shared" si="2"/>
        <v>0.56399999999999995</v>
      </c>
      <c r="AG71" s="11">
        <f t="shared" si="3"/>
        <v>9.9640000000000004</v>
      </c>
      <c r="AH71" t="s">
        <v>50</v>
      </c>
    </row>
    <row r="72" spans="1:34" ht="15" customHeight="1" x14ac:dyDescent="0.35">
      <c r="A72">
        <v>7547676</v>
      </c>
      <c r="B72">
        <v>690929</v>
      </c>
      <c r="C72" t="s">
        <v>34</v>
      </c>
      <c r="D72" t="s">
        <v>35</v>
      </c>
      <c r="E72" s="6" t="s">
        <v>34</v>
      </c>
      <c r="F72" t="s">
        <v>292</v>
      </c>
      <c r="G72" t="s">
        <v>37</v>
      </c>
      <c r="H72" t="s">
        <v>38</v>
      </c>
      <c r="I72" t="s">
        <v>293</v>
      </c>
      <c r="J72" t="s">
        <v>40</v>
      </c>
      <c r="K72">
        <v>2</v>
      </c>
      <c r="L72" t="s">
        <v>41</v>
      </c>
      <c r="M72" t="s">
        <v>42</v>
      </c>
      <c r="N72" t="s">
        <v>43</v>
      </c>
      <c r="O72" s="7">
        <v>1</v>
      </c>
      <c r="P72" s="8">
        <v>45187.743032407408</v>
      </c>
      <c r="Q72" s="9">
        <v>45190</v>
      </c>
      <c r="R72" t="s">
        <v>37</v>
      </c>
      <c r="S72" t="s">
        <v>44</v>
      </c>
      <c r="T72" t="s">
        <v>45</v>
      </c>
      <c r="U72" t="s">
        <v>133</v>
      </c>
      <c r="V72" t="s">
        <v>294</v>
      </c>
      <c r="W72">
        <v>94300</v>
      </c>
      <c r="X72" t="s">
        <v>135</v>
      </c>
      <c r="Y72" t="s">
        <v>69</v>
      </c>
      <c r="Z72" t="s">
        <v>49</v>
      </c>
      <c r="AA72" s="12">
        <f>IF(O72&lt;=1,13,IF(O72&lt;=2,23,IF(O72&lt;=3,35,IF(O72&lt;=4,43,IF(O72&lt;=5,53,IF(O72&lt;=6,63,IF(O72&lt;=7,71,IF(O72&lt;=8,79,IF(O72&lt;=9,87,IF(O72&lt;=10,95,IF(O72&lt;=11,105,IF(O72&lt;=12,114,IF(O72&lt;=13,119,IF(O72&lt;=14,127,IF(O72&lt;=15,135,IF(O72&lt;=16,143,IF(O72&lt;=17,153,IF(O72&lt;=18,163,IF(O72&lt;=19,171,IF(O72&lt;=20,185,IF(O72&lt;=21,193,IF(O72&lt;=22,201,IF(O72&lt;=23,210,IF(O72&lt;=24,220,IF(O72&lt;=25,230,IF(O72&lt;=26,240,IF(O72&lt;=27,250,IF(O72&lt;=28,260,IF(O72&lt;=29,270,IF(O72&lt;=30,280,280+10*ROUNDUP(O72-30,0)))))))))))))))))))))))))))))))</f>
        <v>13</v>
      </c>
      <c r="AB72" s="11">
        <v>0</v>
      </c>
      <c r="AC72" s="11">
        <v>0</v>
      </c>
      <c r="AD72" s="11">
        <v>0</v>
      </c>
      <c r="AE72" s="11">
        <v>0</v>
      </c>
      <c r="AF72" s="11">
        <f t="shared" si="2"/>
        <v>0.78</v>
      </c>
      <c r="AG72" s="11">
        <f t="shared" si="3"/>
        <v>13.78</v>
      </c>
      <c r="AH72" t="s">
        <v>136</v>
      </c>
    </row>
    <row r="73" spans="1:34" ht="15" customHeight="1" x14ac:dyDescent="0.35">
      <c r="A73">
        <v>7547676</v>
      </c>
      <c r="B73">
        <v>690929</v>
      </c>
      <c r="C73" t="s">
        <v>34</v>
      </c>
      <c r="D73" t="s">
        <v>35</v>
      </c>
      <c r="E73" s="6" t="s">
        <v>34</v>
      </c>
      <c r="F73" t="s">
        <v>295</v>
      </c>
      <c r="G73" t="s">
        <v>37</v>
      </c>
      <c r="H73" t="s">
        <v>38</v>
      </c>
      <c r="I73" t="s">
        <v>296</v>
      </c>
      <c r="J73" t="s">
        <v>40</v>
      </c>
      <c r="K73">
        <v>2</v>
      </c>
      <c r="L73" t="s">
        <v>41</v>
      </c>
      <c r="M73" t="s">
        <v>42</v>
      </c>
      <c r="N73" t="s">
        <v>43</v>
      </c>
      <c r="O73" s="7">
        <v>1</v>
      </c>
      <c r="P73" s="8">
        <v>45189.741851851853</v>
      </c>
      <c r="Q73" s="9">
        <v>45190</v>
      </c>
      <c r="R73" t="s">
        <v>37</v>
      </c>
      <c r="S73" t="s">
        <v>44</v>
      </c>
      <c r="T73" t="s">
        <v>45</v>
      </c>
      <c r="U73" t="s">
        <v>284</v>
      </c>
      <c r="V73" t="s">
        <v>297</v>
      </c>
      <c r="W73">
        <v>21500</v>
      </c>
      <c r="X73" t="s">
        <v>44</v>
      </c>
      <c r="Y73" t="s">
        <v>298</v>
      </c>
      <c r="Z73" t="s">
        <v>49</v>
      </c>
      <c r="AA73" s="10">
        <f>IF(O73&lt;=1,7,7+0.8*ROUNDUP(O73-1,0))</f>
        <v>7</v>
      </c>
      <c r="AB73" s="11">
        <v>0</v>
      </c>
      <c r="AC73" s="11">
        <v>0</v>
      </c>
      <c r="AD73" s="11">
        <v>0</v>
      </c>
      <c r="AE73" s="11">
        <v>0</v>
      </c>
      <c r="AF73" s="11">
        <f t="shared" si="2"/>
        <v>0.42</v>
      </c>
      <c r="AG73" s="11">
        <f t="shared" si="3"/>
        <v>7.42</v>
      </c>
      <c r="AH73" t="s">
        <v>50</v>
      </c>
    </row>
    <row r="74" spans="1:34" ht="15" customHeight="1" x14ac:dyDescent="0.35">
      <c r="A74">
        <v>7547676</v>
      </c>
      <c r="B74">
        <v>690929</v>
      </c>
      <c r="C74" t="s">
        <v>34</v>
      </c>
      <c r="D74" t="s">
        <v>35</v>
      </c>
      <c r="E74" s="6" t="s">
        <v>34</v>
      </c>
      <c r="F74" t="s">
        <v>299</v>
      </c>
      <c r="G74" t="s">
        <v>37</v>
      </c>
      <c r="H74" t="s">
        <v>38</v>
      </c>
      <c r="I74" t="s">
        <v>300</v>
      </c>
      <c r="J74" t="s">
        <v>40</v>
      </c>
      <c r="K74">
        <v>2</v>
      </c>
      <c r="L74" t="s">
        <v>41</v>
      </c>
      <c r="M74" t="s">
        <v>42</v>
      </c>
      <c r="N74" t="s">
        <v>43</v>
      </c>
      <c r="O74" s="7">
        <v>1</v>
      </c>
      <c r="P74" s="8">
        <v>45188.703379629631</v>
      </c>
      <c r="Q74" s="9">
        <v>45190</v>
      </c>
      <c r="R74" t="s">
        <v>37</v>
      </c>
      <c r="S74" t="s">
        <v>44</v>
      </c>
      <c r="T74" t="s">
        <v>45</v>
      </c>
      <c r="U74" t="s">
        <v>110</v>
      </c>
      <c r="V74" t="s">
        <v>301</v>
      </c>
      <c r="W74">
        <v>81550</v>
      </c>
      <c r="X74" t="s">
        <v>44</v>
      </c>
      <c r="Y74" t="s">
        <v>302</v>
      </c>
      <c r="Z74" t="s">
        <v>49</v>
      </c>
      <c r="AA74" s="10">
        <f>IF(O74&lt;=1,7,7+0.8*ROUNDUP(O74-1,0))</f>
        <v>7</v>
      </c>
      <c r="AB74" s="11">
        <v>0</v>
      </c>
      <c r="AC74" s="11">
        <v>0</v>
      </c>
      <c r="AD74" s="11">
        <v>0</v>
      </c>
      <c r="AE74" s="11">
        <v>0</v>
      </c>
      <c r="AF74" s="11">
        <f t="shared" si="2"/>
        <v>0.42</v>
      </c>
      <c r="AG74" s="11">
        <f t="shared" si="3"/>
        <v>7.42</v>
      </c>
      <c r="AH74" t="s">
        <v>50</v>
      </c>
    </row>
    <row r="75" spans="1:34" ht="15" customHeight="1" x14ac:dyDescent="0.35">
      <c r="A75">
        <v>7547676</v>
      </c>
      <c r="B75">
        <v>690929</v>
      </c>
      <c r="C75" t="s">
        <v>34</v>
      </c>
      <c r="D75" t="s">
        <v>35</v>
      </c>
      <c r="E75" s="6" t="s">
        <v>34</v>
      </c>
      <c r="F75" t="s">
        <v>303</v>
      </c>
      <c r="G75" t="s">
        <v>37</v>
      </c>
      <c r="H75" t="s">
        <v>38</v>
      </c>
      <c r="I75" t="s">
        <v>304</v>
      </c>
      <c r="J75" t="s">
        <v>40</v>
      </c>
      <c r="K75">
        <v>2</v>
      </c>
      <c r="L75" t="s">
        <v>41</v>
      </c>
      <c r="M75" t="s">
        <v>42</v>
      </c>
      <c r="N75" t="s">
        <v>43</v>
      </c>
      <c r="O75" s="7">
        <v>1</v>
      </c>
      <c r="P75" s="8">
        <v>45189.741851851853</v>
      </c>
      <c r="Q75" s="9">
        <v>45190</v>
      </c>
      <c r="R75" t="s">
        <v>37</v>
      </c>
      <c r="S75" t="s">
        <v>44</v>
      </c>
      <c r="T75" t="s">
        <v>45</v>
      </c>
      <c r="U75" t="s">
        <v>67</v>
      </c>
      <c r="V75" t="s">
        <v>305</v>
      </c>
      <c r="W75">
        <v>42300</v>
      </c>
      <c r="X75" t="s">
        <v>44</v>
      </c>
      <c r="Y75" t="s">
        <v>306</v>
      </c>
      <c r="Z75" t="s">
        <v>49</v>
      </c>
      <c r="AA75" s="10">
        <f>IF(O75&lt;=1,7,7+0.8*ROUNDUP(O75-1,0))</f>
        <v>7</v>
      </c>
      <c r="AB75" s="11">
        <v>0</v>
      </c>
      <c r="AC75" s="11">
        <v>0</v>
      </c>
      <c r="AD75" s="11">
        <v>0</v>
      </c>
      <c r="AE75" s="11">
        <v>0</v>
      </c>
      <c r="AF75" s="11">
        <f t="shared" si="2"/>
        <v>0.42</v>
      </c>
      <c r="AG75" s="11">
        <f t="shared" si="3"/>
        <v>7.42</v>
      </c>
      <c r="AH75" t="s">
        <v>50</v>
      </c>
    </row>
    <row r="76" spans="1:34" ht="15" customHeight="1" x14ac:dyDescent="0.35">
      <c r="A76">
        <v>7547676</v>
      </c>
      <c r="B76">
        <v>690929</v>
      </c>
      <c r="C76" t="s">
        <v>34</v>
      </c>
      <c r="D76" t="s">
        <v>35</v>
      </c>
      <c r="E76" s="6" t="s">
        <v>34</v>
      </c>
      <c r="F76" t="s">
        <v>307</v>
      </c>
      <c r="G76" t="s">
        <v>37</v>
      </c>
      <c r="H76" t="s">
        <v>38</v>
      </c>
      <c r="I76" t="s">
        <v>308</v>
      </c>
      <c r="J76" t="s">
        <v>40</v>
      </c>
      <c r="K76">
        <v>2</v>
      </c>
      <c r="L76" t="s">
        <v>41</v>
      </c>
      <c r="M76" t="s">
        <v>42</v>
      </c>
      <c r="N76" t="s">
        <v>43</v>
      </c>
      <c r="O76" s="7">
        <v>1</v>
      </c>
      <c r="P76" s="8">
        <v>45188.690752314818</v>
      </c>
      <c r="Q76" s="9">
        <v>45190</v>
      </c>
      <c r="R76" t="s">
        <v>37</v>
      </c>
      <c r="S76" t="s">
        <v>44</v>
      </c>
      <c r="T76" t="s">
        <v>45</v>
      </c>
      <c r="U76" t="s">
        <v>139</v>
      </c>
      <c r="V76" t="s">
        <v>309</v>
      </c>
      <c r="W76">
        <v>8100</v>
      </c>
      <c r="X76" t="s">
        <v>44</v>
      </c>
      <c r="Y76" t="s">
        <v>69</v>
      </c>
      <c r="Z76" t="s">
        <v>49</v>
      </c>
      <c r="AA76" s="10">
        <f>IF(O76&lt;=1,7,7+0.8*ROUNDUP(O76-1,0))</f>
        <v>7</v>
      </c>
      <c r="AB76" s="11">
        <v>0</v>
      </c>
      <c r="AC76" s="11">
        <v>0</v>
      </c>
      <c r="AD76" s="11">
        <v>0</v>
      </c>
      <c r="AE76" s="11">
        <v>0</v>
      </c>
      <c r="AF76" s="11">
        <f t="shared" si="2"/>
        <v>0.42</v>
      </c>
      <c r="AG76" s="11">
        <f t="shared" si="3"/>
        <v>7.42</v>
      </c>
      <c r="AH76" t="s">
        <v>50</v>
      </c>
    </row>
    <row r="77" spans="1:34" ht="15" customHeight="1" x14ac:dyDescent="0.35">
      <c r="A77">
        <v>7547676</v>
      </c>
      <c r="B77">
        <v>690929</v>
      </c>
      <c r="C77" t="s">
        <v>34</v>
      </c>
      <c r="D77" t="s">
        <v>35</v>
      </c>
      <c r="E77" s="6" t="s">
        <v>34</v>
      </c>
      <c r="F77" t="s">
        <v>310</v>
      </c>
      <c r="G77" t="s">
        <v>37</v>
      </c>
      <c r="H77" t="s">
        <v>38</v>
      </c>
      <c r="I77" t="s">
        <v>311</v>
      </c>
      <c r="J77" t="s">
        <v>40</v>
      </c>
      <c r="K77">
        <v>2</v>
      </c>
      <c r="L77" t="s">
        <v>41</v>
      </c>
      <c r="M77" t="s">
        <v>42</v>
      </c>
      <c r="N77" t="s">
        <v>43</v>
      </c>
      <c r="O77" s="7">
        <v>1</v>
      </c>
      <c r="P77" s="8">
        <v>45189.741851851853</v>
      </c>
      <c r="Q77" s="9">
        <v>45190</v>
      </c>
      <c r="R77" t="s">
        <v>37</v>
      </c>
      <c r="S77" t="s">
        <v>44</v>
      </c>
      <c r="T77" t="s">
        <v>45</v>
      </c>
      <c r="U77" t="s">
        <v>46</v>
      </c>
      <c r="V77" t="s">
        <v>312</v>
      </c>
      <c r="W77">
        <v>26600</v>
      </c>
      <c r="X77" t="s">
        <v>44</v>
      </c>
      <c r="Y77" t="s">
        <v>45</v>
      </c>
      <c r="Z77" t="s">
        <v>49</v>
      </c>
      <c r="AA77" s="10">
        <f>IF(O77&lt;=1,7,7+0.8*ROUNDUP(O77-1,0))</f>
        <v>7</v>
      </c>
      <c r="AB77" s="11">
        <v>0</v>
      </c>
      <c r="AC77" s="11">
        <v>0</v>
      </c>
      <c r="AD77" s="11">
        <v>0</v>
      </c>
      <c r="AE77" s="11">
        <v>0</v>
      </c>
      <c r="AF77" s="11">
        <f t="shared" si="2"/>
        <v>0.42</v>
      </c>
      <c r="AG77" s="11">
        <f t="shared" si="3"/>
        <v>7.42</v>
      </c>
      <c r="AH77" t="s">
        <v>50</v>
      </c>
    </row>
    <row r="78" spans="1:34" ht="15" customHeight="1" x14ac:dyDescent="0.35">
      <c r="A78">
        <v>7547676</v>
      </c>
      <c r="B78">
        <v>690929</v>
      </c>
      <c r="C78" t="s">
        <v>34</v>
      </c>
      <c r="D78" t="s">
        <v>35</v>
      </c>
      <c r="E78" s="6" t="s">
        <v>34</v>
      </c>
      <c r="F78" t="s">
        <v>313</v>
      </c>
      <c r="G78" t="s">
        <v>37</v>
      </c>
      <c r="H78" t="s">
        <v>38</v>
      </c>
      <c r="I78" t="s">
        <v>314</v>
      </c>
      <c r="J78" t="s">
        <v>40</v>
      </c>
      <c r="K78">
        <v>2</v>
      </c>
      <c r="L78" t="s">
        <v>41</v>
      </c>
      <c r="M78" t="s">
        <v>42</v>
      </c>
      <c r="N78" t="s">
        <v>43</v>
      </c>
      <c r="O78" s="7">
        <v>1</v>
      </c>
      <c r="P78" s="8">
        <v>45188.487928240742</v>
      </c>
      <c r="Q78" s="9">
        <v>45190</v>
      </c>
      <c r="R78" t="s">
        <v>37</v>
      </c>
      <c r="S78" t="s">
        <v>44</v>
      </c>
      <c r="T78" t="s">
        <v>45</v>
      </c>
      <c r="U78" t="s">
        <v>110</v>
      </c>
      <c r="V78" t="s">
        <v>315</v>
      </c>
      <c r="W78">
        <v>86000</v>
      </c>
      <c r="X78" t="s">
        <v>44</v>
      </c>
      <c r="Y78" t="s">
        <v>316</v>
      </c>
      <c r="Z78" t="s">
        <v>49</v>
      </c>
      <c r="AA78" s="10">
        <f>IF(O78&lt;=1,7,7+0.8*ROUNDUP(O78-1,0))</f>
        <v>7</v>
      </c>
      <c r="AB78" s="11">
        <v>0</v>
      </c>
      <c r="AC78" s="11">
        <v>0</v>
      </c>
      <c r="AD78" s="11">
        <v>0</v>
      </c>
      <c r="AE78" s="11">
        <v>0</v>
      </c>
      <c r="AF78" s="11">
        <f t="shared" si="2"/>
        <v>0.42</v>
      </c>
      <c r="AG78" s="11">
        <f t="shared" si="3"/>
        <v>7.42</v>
      </c>
      <c r="AH78" t="s">
        <v>50</v>
      </c>
    </row>
    <row r="79" spans="1:34" ht="15" customHeight="1" x14ac:dyDescent="0.35">
      <c r="A79">
        <v>7547676</v>
      </c>
      <c r="B79">
        <v>690929</v>
      </c>
      <c r="C79" t="s">
        <v>34</v>
      </c>
      <c r="D79" t="s">
        <v>35</v>
      </c>
      <c r="E79" s="6" t="s">
        <v>34</v>
      </c>
      <c r="F79" t="s">
        <v>317</v>
      </c>
      <c r="G79" t="s">
        <v>37</v>
      </c>
      <c r="H79" t="s">
        <v>38</v>
      </c>
      <c r="I79" t="s">
        <v>318</v>
      </c>
      <c r="J79" t="s">
        <v>40</v>
      </c>
      <c r="K79">
        <v>2</v>
      </c>
      <c r="L79" t="s">
        <v>41</v>
      </c>
      <c r="M79" t="s">
        <v>42</v>
      </c>
      <c r="N79" t="s">
        <v>43</v>
      </c>
      <c r="O79" s="7">
        <v>1</v>
      </c>
      <c r="P79" s="8">
        <v>45189.715439814812</v>
      </c>
      <c r="Q79" s="9">
        <v>45190</v>
      </c>
      <c r="R79" t="s">
        <v>37</v>
      </c>
      <c r="S79" t="s">
        <v>44</v>
      </c>
      <c r="T79" t="s">
        <v>45</v>
      </c>
      <c r="U79" t="s">
        <v>46</v>
      </c>
      <c r="V79" t="s">
        <v>319</v>
      </c>
      <c r="W79">
        <v>27100</v>
      </c>
      <c r="X79" t="s">
        <v>44</v>
      </c>
      <c r="Y79" t="s">
        <v>45</v>
      </c>
      <c r="Z79" t="s">
        <v>49</v>
      </c>
      <c r="AA79" s="10">
        <f>IF(O79&lt;=1,7,7+0.8*ROUNDUP(O79-1,0))</f>
        <v>7</v>
      </c>
      <c r="AB79" s="11">
        <v>0</v>
      </c>
      <c r="AC79" s="11">
        <v>0</v>
      </c>
      <c r="AD79" s="11">
        <v>0</v>
      </c>
      <c r="AE79" s="11">
        <v>0</v>
      </c>
      <c r="AF79" s="11">
        <f t="shared" si="2"/>
        <v>0.42</v>
      </c>
      <c r="AG79" s="11">
        <f t="shared" si="3"/>
        <v>7.42</v>
      </c>
      <c r="AH79" t="s">
        <v>50</v>
      </c>
    </row>
    <row r="80" spans="1:34" ht="15" customHeight="1" x14ac:dyDescent="0.35">
      <c r="A80">
        <v>7547676</v>
      </c>
      <c r="B80">
        <v>690929</v>
      </c>
      <c r="C80" t="s">
        <v>34</v>
      </c>
      <c r="D80" t="s">
        <v>35</v>
      </c>
      <c r="E80" s="6" t="s">
        <v>34</v>
      </c>
      <c r="F80" t="s">
        <v>320</v>
      </c>
      <c r="G80" t="s">
        <v>37</v>
      </c>
      <c r="H80" t="s">
        <v>38</v>
      </c>
      <c r="I80" t="s">
        <v>321</v>
      </c>
      <c r="J80" t="s">
        <v>40</v>
      </c>
      <c r="K80">
        <v>2</v>
      </c>
      <c r="L80" t="s">
        <v>41</v>
      </c>
      <c r="M80" t="s">
        <v>42</v>
      </c>
      <c r="N80" t="s">
        <v>43</v>
      </c>
      <c r="O80" s="7">
        <v>1</v>
      </c>
      <c r="P80" s="8">
        <v>45189.741851851853</v>
      </c>
      <c r="Q80" s="9">
        <v>45190</v>
      </c>
      <c r="R80" t="s">
        <v>37</v>
      </c>
      <c r="S80" t="s">
        <v>44</v>
      </c>
      <c r="T80" t="s">
        <v>45</v>
      </c>
      <c r="U80" t="s">
        <v>67</v>
      </c>
      <c r="V80" t="s">
        <v>322</v>
      </c>
      <c r="W80">
        <v>43300</v>
      </c>
      <c r="X80" t="s">
        <v>44</v>
      </c>
      <c r="Y80" t="s">
        <v>239</v>
      </c>
      <c r="Z80" t="s">
        <v>49</v>
      </c>
      <c r="AA80" s="10">
        <f>IF(O80&lt;=1,7,7+0.8*ROUNDUP(O80-1,0))</f>
        <v>7</v>
      </c>
      <c r="AB80" s="11">
        <v>0</v>
      </c>
      <c r="AC80" s="11">
        <v>0</v>
      </c>
      <c r="AD80" s="11">
        <v>0</v>
      </c>
      <c r="AE80" s="11">
        <v>0</v>
      </c>
      <c r="AF80" s="11">
        <f t="shared" si="2"/>
        <v>0.42</v>
      </c>
      <c r="AG80" s="11">
        <f t="shared" si="3"/>
        <v>7.42</v>
      </c>
      <c r="AH80" t="s">
        <v>50</v>
      </c>
    </row>
    <row r="81" spans="1:34" ht="15" customHeight="1" x14ac:dyDescent="0.35">
      <c r="A81">
        <v>7547676</v>
      </c>
      <c r="B81">
        <v>690929</v>
      </c>
      <c r="C81" t="s">
        <v>34</v>
      </c>
      <c r="D81" t="s">
        <v>35</v>
      </c>
      <c r="E81" s="6" t="s">
        <v>34</v>
      </c>
      <c r="F81" t="s">
        <v>323</v>
      </c>
      <c r="G81" t="s">
        <v>37</v>
      </c>
      <c r="H81" t="s">
        <v>38</v>
      </c>
      <c r="I81" t="s">
        <v>324</v>
      </c>
      <c r="J81" t="s">
        <v>40</v>
      </c>
      <c r="K81">
        <v>2</v>
      </c>
      <c r="L81" t="s">
        <v>41</v>
      </c>
      <c r="M81" t="s">
        <v>42</v>
      </c>
      <c r="N81" t="s">
        <v>43</v>
      </c>
      <c r="O81" s="7">
        <v>1</v>
      </c>
      <c r="P81" s="8">
        <v>45189.542939814812</v>
      </c>
      <c r="Q81" s="9">
        <v>45190</v>
      </c>
      <c r="R81" t="s">
        <v>37</v>
      </c>
      <c r="S81" t="s">
        <v>44</v>
      </c>
      <c r="T81" t="s">
        <v>45</v>
      </c>
      <c r="U81" t="s">
        <v>284</v>
      </c>
      <c r="V81" t="s">
        <v>325</v>
      </c>
      <c r="W81">
        <v>22200</v>
      </c>
      <c r="X81" t="s">
        <v>44</v>
      </c>
      <c r="Y81" t="s">
        <v>114</v>
      </c>
      <c r="Z81" t="s">
        <v>49</v>
      </c>
      <c r="AA81" s="10">
        <f>IF(O81&lt;=1,7,7+0.8*ROUNDUP(O81-1,0))</f>
        <v>7</v>
      </c>
      <c r="AB81" s="11">
        <v>0</v>
      </c>
      <c r="AC81" s="11">
        <v>0</v>
      </c>
      <c r="AD81" s="11">
        <v>0</v>
      </c>
      <c r="AE81" s="11">
        <v>0</v>
      </c>
      <c r="AF81" s="11">
        <f t="shared" si="2"/>
        <v>0.42</v>
      </c>
      <c r="AG81" s="11">
        <f t="shared" si="3"/>
        <v>7.42</v>
      </c>
      <c r="AH81" t="s">
        <v>50</v>
      </c>
    </row>
    <row r="82" spans="1:34" ht="15" customHeight="1" x14ac:dyDescent="0.35">
      <c r="A82">
        <v>7547676</v>
      </c>
      <c r="B82">
        <v>690929</v>
      </c>
      <c r="C82" t="s">
        <v>34</v>
      </c>
      <c r="D82" t="s">
        <v>35</v>
      </c>
      <c r="E82" s="6" t="s">
        <v>34</v>
      </c>
      <c r="F82" t="s">
        <v>326</v>
      </c>
      <c r="G82" t="s">
        <v>37</v>
      </c>
      <c r="H82" t="s">
        <v>38</v>
      </c>
      <c r="I82" t="s">
        <v>327</v>
      </c>
      <c r="J82" t="s">
        <v>40</v>
      </c>
      <c r="K82">
        <v>2</v>
      </c>
      <c r="L82" t="s">
        <v>41</v>
      </c>
      <c r="M82" t="s">
        <v>42</v>
      </c>
      <c r="N82" t="s">
        <v>43</v>
      </c>
      <c r="O82" s="7">
        <v>1</v>
      </c>
      <c r="P82" s="8">
        <v>45189.741851851853</v>
      </c>
      <c r="Q82" s="9">
        <v>45190</v>
      </c>
      <c r="R82" t="s">
        <v>37</v>
      </c>
      <c r="S82" t="s">
        <v>44</v>
      </c>
      <c r="T82" t="s">
        <v>45</v>
      </c>
      <c r="U82" t="s">
        <v>115</v>
      </c>
      <c r="V82" t="s">
        <v>328</v>
      </c>
      <c r="W82">
        <v>16450</v>
      </c>
      <c r="X82" t="s">
        <v>44</v>
      </c>
      <c r="Y82" t="s">
        <v>114</v>
      </c>
      <c r="Z82" t="s">
        <v>49</v>
      </c>
      <c r="AA82" s="10">
        <f>IF(O82&lt;=1,7,7+0.8*ROUNDUP(O82-1,0))</f>
        <v>7</v>
      </c>
      <c r="AB82" s="11">
        <v>0</v>
      </c>
      <c r="AC82" s="11">
        <v>0</v>
      </c>
      <c r="AD82" s="11">
        <v>0</v>
      </c>
      <c r="AE82" s="11">
        <v>0</v>
      </c>
      <c r="AF82" s="11">
        <f t="shared" si="2"/>
        <v>0.42</v>
      </c>
      <c r="AG82" s="11">
        <f t="shared" si="3"/>
        <v>7.42</v>
      </c>
      <c r="AH82" t="s">
        <v>50</v>
      </c>
    </row>
    <row r="83" spans="1:34" ht="15" customHeight="1" x14ac:dyDescent="0.35">
      <c r="A83">
        <v>7547676</v>
      </c>
      <c r="B83">
        <v>690929</v>
      </c>
      <c r="C83" t="s">
        <v>34</v>
      </c>
      <c r="D83" t="s">
        <v>35</v>
      </c>
      <c r="E83" s="6" t="s">
        <v>34</v>
      </c>
      <c r="F83" t="s">
        <v>329</v>
      </c>
      <c r="G83" t="s">
        <v>37</v>
      </c>
      <c r="H83" t="s">
        <v>38</v>
      </c>
      <c r="I83" t="s">
        <v>330</v>
      </c>
      <c r="J83" t="s">
        <v>40</v>
      </c>
      <c r="K83">
        <v>2</v>
      </c>
      <c r="L83" t="s">
        <v>41</v>
      </c>
      <c r="M83" t="s">
        <v>42</v>
      </c>
      <c r="N83" t="s">
        <v>43</v>
      </c>
      <c r="O83" s="7">
        <v>1</v>
      </c>
      <c r="P83" s="8">
        <v>45189.741851851853</v>
      </c>
      <c r="Q83" s="9">
        <v>45190</v>
      </c>
      <c r="R83" t="s">
        <v>37</v>
      </c>
      <c r="S83" t="s">
        <v>44</v>
      </c>
      <c r="T83" t="s">
        <v>45</v>
      </c>
      <c r="U83" t="s">
        <v>67</v>
      </c>
      <c r="V83" t="s">
        <v>331</v>
      </c>
      <c r="W83">
        <v>47000</v>
      </c>
      <c r="X83" t="s">
        <v>44</v>
      </c>
      <c r="Y83" t="s">
        <v>69</v>
      </c>
      <c r="Z83" t="s">
        <v>49</v>
      </c>
      <c r="AA83" s="10">
        <f>IF(O83&lt;=1,7,7+0.8*ROUNDUP(O83-1,0))</f>
        <v>7</v>
      </c>
      <c r="AB83" s="11">
        <v>0</v>
      </c>
      <c r="AC83" s="11">
        <v>0</v>
      </c>
      <c r="AD83" s="11">
        <v>0</v>
      </c>
      <c r="AE83" s="11">
        <v>0</v>
      </c>
      <c r="AF83" s="11">
        <f t="shared" si="2"/>
        <v>0.42</v>
      </c>
      <c r="AG83" s="11">
        <f t="shared" si="3"/>
        <v>7.42</v>
      </c>
      <c r="AH83" t="s">
        <v>50</v>
      </c>
    </row>
    <row r="84" spans="1:34" ht="15" customHeight="1" x14ac:dyDescent="0.35">
      <c r="A84">
        <v>7547676</v>
      </c>
      <c r="B84">
        <v>690929</v>
      </c>
      <c r="C84" t="s">
        <v>34</v>
      </c>
      <c r="D84" t="s">
        <v>35</v>
      </c>
      <c r="E84" s="6" t="s">
        <v>34</v>
      </c>
      <c r="F84" t="s">
        <v>332</v>
      </c>
      <c r="G84" t="s">
        <v>37</v>
      </c>
      <c r="H84" t="s">
        <v>38</v>
      </c>
      <c r="I84" t="s">
        <v>333</v>
      </c>
      <c r="J84" t="s">
        <v>40</v>
      </c>
      <c r="K84">
        <v>2</v>
      </c>
      <c r="L84" t="s">
        <v>41</v>
      </c>
      <c r="M84" t="s">
        <v>42</v>
      </c>
      <c r="N84" t="s">
        <v>43</v>
      </c>
      <c r="O84" s="7">
        <v>1</v>
      </c>
      <c r="P84" s="8">
        <v>45189.741851851853</v>
      </c>
      <c r="Q84" s="9">
        <v>45190</v>
      </c>
      <c r="R84" t="s">
        <v>37</v>
      </c>
      <c r="S84" t="s">
        <v>44</v>
      </c>
      <c r="T84" t="s">
        <v>45</v>
      </c>
      <c r="U84" t="s">
        <v>284</v>
      </c>
      <c r="V84" t="s">
        <v>334</v>
      </c>
      <c r="W84">
        <v>21080</v>
      </c>
      <c r="X84" t="s">
        <v>44</v>
      </c>
      <c r="Y84" t="s">
        <v>298</v>
      </c>
      <c r="Z84" t="s">
        <v>49</v>
      </c>
      <c r="AA84" s="10">
        <f>IF(O84&lt;=1,7,7+0.8*ROUNDUP(O84-1,0))</f>
        <v>7</v>
      </c>
      <c r="AB84" s="11">
        <v>0</v>
      </c>
      <c r="AC84" s="11">
        <v>0</v>
      </c>
      <c r="AD84" s="11">
        <v>0</v>
      </c>
      <c r="AE84" s="11">
        <v>0</v>
      </c>
      <c r="AF84" s="11">
        <f t="shared" si="2"/>
        <v>0.42</v>
      </c>
      <c r="AG84" s="11">
        <f t="shared" si="3"/>
        <v>7.42</v>
      </c>
      <c r="AH84" t="s">
        <v>50</v>
      </c>
    </row>
    <row r="85" spans="1:34" ht="15" customHeight="1" x14ac:dyDescent="0.35">
      <c r="A85">
        <v>7547676</v>
      </c>
      <c r="B85">
        <v>690929</v>
      </c>
      <c r="C85" t="s">
        <v>34</v>
      </c>
      <c r="D85" t="s">
        <v>35</v>
      </c>
      <c r="E85" s="6" t="s">
        <v>34</v>
      </c>
      <c r="F85" t="s">
        <v>335</v>
      </c>
      <c r="G85" t="s">
        <v>37</v>
      </c>
      <c r="H85" t="s">
        <v>38</v>
      </c>
      <c r="I85" t="s">
        <v>336</v>
      </c>
      <c r="J85" t="s">
        <v>40</v>
      </c>
      <c r="K85">
        <v>2</v>
      </c>
      <c r="L85" t="s">
        <v>41</v>
      </c>
      <c r="M85" t="s">
        <v>42</v>
      </c>
      <c r="N85" t="s">
        <v>43</v>
      </c>
      <c r="O85" s="7">
        <v>3</v>
      </c>
      <c r="P85" s="8">
        <v>45188.619687500002</v>
      </c>
      <c r="Q85" s="9">
        <v>45190</v>
      </c>
      <c r="R85" t="s">
        <v>37</v>
      </c>
      <c r="S85" t="s">
        <v>44</v>
      </c>
      <c r="T85" t="s">
        <v>45</v>
      </c>
      <c r="U85" t="s">
        <v>46</v>
      </c>
      <c r="V85" t="s">
        <v>337</v>
      </c>
      <c r="W85">
        <v>39100</v>
      </c>
      <c r="X85" t="s">
        <v>44</v>
      </c>
      <c r="Y85" t="s">
        <v>48</v>
      </c>
      <c r="Z85" t="s">
        <v>49</v>
      </c>
      <c r="AA85" s="10">
        <f>IF(O85&lt;=1,7,7+0.8*ROUNDUP(O85-1,0))</f>
        <v>8.6</v>
      </c>
      <c r="AB85" s="11">
        <v>0</v>
      </c>
      <c r="AC85" s="11">
        <v>0</v>
      </c>
      <c r="AD85" s="11">
        <v>0</v>
      </c>
      <c r="AE85" s="11">
        <v>0</v>
      </c>
      <c r="AF85" s="11">
        <f t="shared" si="2"/>
        <v>0.51600000000000001</v>
      </c>
      <c r="AG85" s="11">
        <f t="shared" si="3"/>
        <v>9.1159999999999997</v>
      </c>
      <c r="AH85" t="s">
        <v>50</v>
      </c>
    </row>
    <row r="86" spans="1:34" ht="15" customHeight="1" x14ac:dyDescent="0.35">
      <c r="A86">
        <v>7547676</v>
      </c>
      <c r="B86">
        <v>690929</v>
      </c>
      <c r="C86" t="s">
        <v>34</v>
      </c>
      <c r="D86" t="s">
        <v>35</v>
      </c>
      <c r="E86" s="6" t="s">
        <v>34</v>
      </c>
      <c r="F86" t="s">
        <v>338</v>
      </c>
      <c r="G86" t="s">
        <v>37</v>
      </c>
      <c r="H86" t="s">
        <v>38</v>
      </c>
      <c r="I86" t="s">
        <v>339</v>
      </c>
      <c r="J86" t="s">
        <v>40</v>
      </c>
      <c r="K86">
        <v>2</v>
      </c>
      <c r="L86" t="s">
        <v>41</v>
      </c>
      <c r="M86" t="s">
        <v>42</v>
      </c>
      <c r="N86" t="s">
        <v>43</v>
      </c>
      <c r="O86" s="7">
        <v>14</v>
      </c>
      <c r="P86" s="8">
        <v>45189.727372685185</v>
      </c>
      <c r="Q86" s="9">
        <v>45190</v>
      </c>
      <c r="R86" t="s">
        <v>37</v>
      </c>
      <c r="S86" t="s">
        <v>44</v>
      </c>
      <c r="T86" t="s">
        <v>45</v>
      </c>
      <c r="U86" t="s">
        <v>67</v>
      </c>
      <c r="V86" t="s">
        <v>340</v>
      </c>
      <c r="W86">
        <v>68100</v>
      </c>
      <c r="X86" t="s">
        <v>44</v>
      </c>
      <c r="Y86" t="s">
        <v>341</v>
      </c>
      <c r="Z86" t="s">
        <v>49</v>
      </c>
      <c r="AA86" s="10">
        <f>IF(O86&lt;=1,7,7+0.8*ROUNDUP(O86-1,0))</f>
        <v>17.399999999999999</v>
      </c>
      <c r="AB86" s="11">
        <v>0</v>
      </c>
      <c r="AC86" s="11">
        <v>0</v>
      </c>
      <c r="AD86" s="11">
        <v>0</v>
      </c>
      <c r="AE86" s="11">
        <v>0</v>
      </c>
      <c r="AF86" s="11">
        <f t="shared" si="2"/>
        <v>1.0439999999999998</v>
      </c>
      <c r="AG86" s="11">
        <f t="shared" si="3"/>
        <v>18.443999999999999</v>
      </c>
      <c r="AH86" t="s">
        <v>50</v>
      </c>
    </row>
    <row r="87" spans="1:34" ht="15" customHeight="1" x14ac:dyDescent="0.35">
      <c r="A87">
        <v>7547676</v>
      </c>
      <c r="B87">
        <v>690929</v>
      </c>
      <c r="C87" t="s">
        <v>34</v>
      </c>
      <c r="D87" t="s">
        <v>35</v>
      </c>
      <c r="E87" s="6" t="s">
        <v>34</v>
      </c>
      <c r="F87" t="s">
        <v>342</v>
      </c>
      <c r="G87" t="s">
        <v>37</v>
      </c>
      <c r="H87" t="s">
        <v>38</v>
      </c>
      <c r="I87" t="s">
        <v>336</v>
      </c>
      <c r="J87" t="s">
        <v>40</v>
      </c>
      <c r="K87">
        <v>2</v>
      </c>
      <c r="L87" t="s">
        <v>41</v>
      </c>
      <c r="M87" t="s">
        <v>42</v>
      </c>
      <c r="N87" t="s">
        <v>43</v>
      </c>
      <c r="O87" s="7">
        <v>3</v>
      </c>
      <c r="P87" s="8">
        <v>45188.619675925926</v>
      </c>
      <c r="Q87" s="9">
        <v>45190</v>
      </c>
      <c r="R87" t="s">
        <v>37</v>
      </c>
      <c r="S87" t="s">
        <v>44</v>
      </c>
      <c r="T87" t="s">
        <v>45</v>
      </c>
      <c r="U87" t="s">
        <v>46</v>
      </c>
      <c r="V87" t="s">
        <v>337</v>
      </c>
      <c r="W87">
        <v>39100</v>
      </c>
      <c r="X87" t="s">
        <v>44</v>
      </c>
      <c r="Y87" t="s">
        <v>48</v>
      </c>
      <c r="Z87" t="s">
        <v>49</v>
      </c>
      <c r="AA87" s="10">
        <f>IF(O87&lt;=1,7,7+0.8*ROUNDUP(O87-1,0))</f>
        <v>8.6</v>
      </c>
      <c r="AB87" s="11">
        <v>0</v>
      </c>
      <c r="AC87" s="11">
        <v>0</v>
      </c>
      <c r="AD87" s="11">
        <v>0</v>
      </c>
      <c r="AE87" s="11">
        <v>0</v>
      </c>
      <c r="AF87" s="11">
        <f t="shared" si="2"/>
        <v>0.51600000000000001</v>
      </c>
      <c r="AG87" s="11">
        <f t="shared" si="3"/>
        <v>9.1159999999999997</v>
      </c>
      <c r="AH87" t="s">
        <v>50</v>
      </c>
    </row>
    <row r="88" spans="1:34" ht="15" customHeight="1" x14ac:dyDescent="0.35">
      <c r="A88">
        <v>7547676</v>
      </c>
      <c r="B88">
        <v>690929</v>
      </c>
      <c r="C88" t="s">
        <v>34</v>
      </c>
      <c r="D88" t="s">
        <v>35</v>
      </c>
      <c r="E88" s="6" t="s">
        <v>34</v>
      </c>
      <c r="F88" t="s">
        <v>343</v>
      </c>
      <c r="G88" t="s">
        <v>37</v>
      </c>
      <c r="H88" t="s">
        <v>38</v>
      </c>
      <c r="I88" t="s">
        <v>336</v>
      </c>
      <c r="J88" t="s">
        <v>40</v>
      </c>
      <c r="K88">
        <v>2</v>
      </c>
      <c r="L88" t="s">
        <v>41</v>
      </c>
      <c r="M88" t="s">
        <v>42</v>
      </c>
      <c r="N88" t="s">
        <v>43</v>
      </c>
      <c r="O88" s="7">
        <v>3</v>
      </c>
      <c r="P88" s="8">
        <v>45188.619675925926</v>
      </c>
      <c r="Q88" s="9">
        <v>45190</v>
      </c>
      <c r="R88" t="s">
        <v>37</v>
      </c>
      <c r="S88" t="s">
        <v>44</v>
      </c>
      <c r="T88" t="s">
        <v>45</v>
      </c>
      <c r="U88" t="s">
        <v>46</v>
      </c>
      <c r="V88" t="s">
        <v>337</v>
      </c>
      <c r="W88">
        <v>39100</v>
      </c>
      <c r="X88" t="s">
        <v>44</v>
      </c>
      <c r="Y88" t="s">
        <v>48</v>
      </c>
      <c r="Z88" t="s">
        <v>49</v>
      </c>
      <c r="AA88" s="10">
        <f>IF(O88&lt;=1,7,7+0.8*ROUNDUP(O88-1,0))</f>
        <v>8.6</v>
      </c>
      <c r="AB88" s="11">
        <v>0</v>
      </c>
      <c r="AC88" s="11">
        <v>0</v>
      </c>
      <c r="AD88" s="11">
        <v>0</v>
      </c>
      <c r="AE88" s="11">
        <v>0</v>
      </c>
      <c r="AF88" s="11">
        <f t="shared" si="2"/>
        <v>0.51600000000000001</v>
      </c>
      <c r="AG88" s="11">
        <f t="shared" si="3"/>
        <v>9.1159999999999997</v>
      </c>
      <c r="AH88" t="s">
        <v>50</v>
      </c>
    </row>
    <row r="89" spans="1:34" ht="15" customHeight="1" x14ac:dyDescent="0.35">
      <c r="A89">
        <v>7547676</v>
      </c>
      <c r="B89">
        <v>690929</v>
      </c>
      <c r="C89" t="s">
        <v>34</v>
      </c>
      <c r="D89" t="s">
        <v>35</v>
      </c>
      <c r="E89" s="6" t="s">
        <v>34</v>
      </c>
      <c r="F89" t="s">
        <v>344</v>
      </c>
      <c r="G89" t="s">
        <v>37</v>
      </c>
      <c r="H89" t="s">
        <v>38</v>
      </c>
      <c r="I89" t="s">
        <v>345</v>
      </c>
      <c r="J89" t="s">
        <v>40</v>
      </c>
      <c r="K89">
        <v>2</v>
      </c>
      <c r="L89" t="s">
        <v>41</v>
      </c>
      <c r="M89" t="s">
        <v>42</v>
      </c>
      <c r="N89" t="s">
        <v>43</v>
      </c>
      <c r="O89" s="7">
        <v>1</v>
      </c>
      <c r="P89" s="8">
        <v>45188.706805555557</v>
      </c>
      <c r="Q89" s="9">
        <v>45190</v>
      </c>
      <c r="R89" t="s">
        <v>37</v>
      </c>
      <c r="S89" t="s">
        <v>44</v>
      </c>
      <c r="T89" t="s">
        <v>45</v>
      </c>
      <c r="U89" t="s">
        <v>101</v>
      </c>
      <c r="V89" t="s">
        <v>346</v>
      </c>
      <c r="W89">
        <v>34000</v>
      </c>
      <c r="X89" t="s">
        <v>44</v>
      </c>
      <c r="Y89" t="s">
        <v>145</v>
      </c>
      <c r="Z89" t="s">
        <v>49</v>
      </c>
      <c r="AA89" s="10">
        <f>IF(O89&lt;=1,7,7+0.8*ROUNDUP(O89-1,0))</f>
        <v>7</v>
      </c>
      <c r="AB89" s="11">
        <v>0</v>
      </c>
      <c r="AC89" s="11">
        <v>0</v>
      </c>
      <c r="AD89" s="11">
        <v>0</v>
      </c>
      <c r="AE89" s="11">
        <v>0</v>
      </c>
      <c r="AF89" s="11">
        <f t="shared" si="2"/>
        <v>0.42</v>
      </c>
      <c r="AG89" s="11">
        <f t="shared" si="3"/>
        <v>7.42</v>
      </c>
      <c r="AH89" t="s">
        <v>50</v>
      </c>
    </row>
    <row r="90" spans="1:34" ht="15" customHeight="1" x14ac:dyDescent="0.35">
      <c r="A90">
        <v>7547676</v>
      </c>
      <c r="B90">
        <v>690929</v>
      </c>
      <c r="C90" t="s">
        <v>34</v>
      </c>
      <c r="D90" t="s">
        <v>35</v>
      </c>
      <c r="E90" s="6" t="s">
        <v>34</v>
      </c>
      <c r="F90" t="s">
        <v>347</v>
      </c>
      <c r="G90" t="s">
        <v>37</v>
      </c>
      <c r="H90" t="s">
        <v>38</v>
      </c>
      <c r="I90" t="s">
        <v>348</v>
      </c>
      <c r="J90" t="s">
        <v>40</v>
      </c>
      <c r="K90">
        <v>2</v>
      </c>
      <c r="L90" t="s">
        <v>41</v>
      </c>
      <c r="M90" t="s">
        <v>42</v>
      </c>
      <c r="N90" t="s">
        <v>43</v>
      </c>
      <c r="O90" s="7">
        <v>1</v>
      </c>
      <c r="P90" s="8">
        <v>45189.549375000002</v>
      </c>
      <c r="Q90" s="9">
        <v>45190</v>
      </c>
      <c r="R90" t="s">
        <v>37</v>
      </c>
      <c r="S90" t="s">
        <v>44</v>
      </c>
      <c r="T90" t="s">
        <v>45</v>
      </c>
      <c r="U90" t="s">
        <v>115</v>
      </c>
      <c r="V90" t="s">
        <v>349</v>
      </c>
      <c r="W90">
        <v>16250</v>
      </c>
      <c r="X90" t="s">
        <v>44</v>
      </c>
      <c r="Y90" t="s">
        <v>114</v>
      </c>
      <c r="Z90" t="s">
        <v>49</v>
      </c>
      <c r="AA90" s="10">
        <f>IF(O90&lt;=1,7,7+0.8*ROUNDUP(O90-1,0))</f>
        <v>7</v>
      </c>
      <c r="AB90" s="11">
        <v>0</v>
      </c>
      <c r="AC90" s="11">
        <v>0</v>
      </c>
      <c r="AD90" s="11">
        <v>0</v>
      </c>
      <c r="AE90" s="11">
        <v>0</v>
      </c>
      <c r="AF90" s="11">
        <f t="shared" si="2"/>
        <v>0.42</v>
      </c>
      <c r="AG90" s="11">
        <f t="shared" si="3"/>
        <v>7.42</v>
      </c>
      <c r="AH90" t="s">
        <v>50</v>
      </c>
    </row>
    <row r="91" spans="1:34" ht="15" customHeight="1" x14ac:dyDescent="0.35">
      <c r="A91">
        <v>7547676</v>
      </c>
      <c r="B91">
        <v>690929</v>
      </c>
      <c r="C91" t="s">
        <v>34</v>
      </c>
      <c r="D91" t="s">
        <v>35</v>
      </c>
      <c r="E91" s="6" t="s">
        <v>34</v>
      </c>
      <c r="F91" t="s">
        <v>350</v>
      </c>
      <c r="G91" t="s">
        <v>37</v>
      </c>
      <c r="H91" t="s">
        <v>38</v>
      </c>
      <c r="I91" t="s">
        <v>351</v>
      </c>
      <c r="J91" t="s">
        <v>40</v>
      </c>
      <c r="K91">
        <v>2</v>
      </c>
      <c r="L91" t="s">
        <v>41</v>
      </c>
      <c r="M91" t="s">
        <v>42</v>
      </c>
      <c r="N91" t="s">
        <v>43</v>
      </c>
      <c r="O91" s="7">
        <v>1</v>
      </c>
      <c r="P91" s="8">
        <v>45189.741851851853</v>
      </c>
      <c r="Q91" s="9">
        <v>45190</v>
      </c>
      <c r="R91" t="s">
        <v>37</v>
      </c>
      <c r="S91" t="s">
        <v>44</v>
      </c>
      <c r="T91" t="s">
        <v>45</v>
      </c>
      <c r="U91" t="s">
        <v>67</v>
      </c>
      <c r="V91" t="s">
        <v>352</v>
      </c>
      <c r="W91">
        <v>43000</v>
      </c>
      <c r="X91" t="s">
        <v>44</v>
      </c>
      <c r="Y91" t="s">
        <v>69</v>
      </c>
      <c r="Z91" t="s">
        <v>49</v>
      </c>
      <c r="AA91" s="10">
        <f>IF(O91&lt;=1,7,7+0.8*ROUNDUP(O91-1,0))</f>
        <v>7</v>
      </c>
      <c r="AB91" s="11">
        <v>0</v>
      </c>
      <c r="AC91" s="11">
        <v>0</v>
      </c>
      <c r="AD91" s="11">
        <v>0</v>
      </c>
      <c r="AE91" s="11">
        <v>0</v>
      </c>
      <c r="AF91" s="11">
        <f t="shared" si="2"/>
        <v>0.42</v>
      </c>
      <c r="AG91" s="11">
        <f t="shared" si="3"/>
        <v>7.42</v>
      </c>
      <c r="AH91" t="s">
        <v>50</v>
      </c>
    </row>
    <row r="92" spans="1:34" ht="15" customHeight="1" x14ac:dyDescent="0.35">
      <c r="A92">
        <v>7547676</v>
      </c>
      <c r="B92">
        <v>690929</v>
      </c>
      <c r="C92" t="s">
        <v>34</v>
      </c>
      <c r="D92" t="s">
        <v>35</v>
      </c>
      <c r="E92" s="6" t="s">
        <v>34</v>
      </c>
      <c r="F92" t="s">
        <v>353</v>
      </c>
      <c r="G92" t="s">
        <v>37</v>
      </c>
      <c r="H92" t="s">
        <v>38</v>
      </c>
      <c r="I92" t="s">
        <v>354</v>
      </c>
      <c r="J92" t="s">
        <v>40</v>
      </c>
      <c r="K92">
        <v>2</v>
      </c>
      <c r="L92" t="s">
        <v>41</v>
      </c>
      <c r="M92" t="s">
        <v>42</v>
      </c>
      <c r="N92" t="s">
        <v>43</v>
      </c>
      <c r="O92" s="7">
        <v>1</v>
      </c>
      <c r="P92" s="8">
        <v>45189.741851851853</v>
      </c>
      <c r="Q92" s="9">
        <v>45190</v>
      </c>
      <c r="R92" t="s">
        <v>37</v>
      </c>
      <c r="S92" t="s">
        <v>44</v>
      </c>
      <c r="T92" t="s">
        <v>45</v>
      </c>
      <c r="U92" t="s">
        <v>67</v>
      </c>
      <c r="V92" t="s">
        <v>355</v>
      </c>
      <c r="W92">
        <v>43500</v>
      </c>
      <c r="X92" t="s">
        <v>44</v>
      </c>
      <c r="Y92" t="s">
        <v>356</v>
      </c>
      <c r="Z92" t="s">
        <v>49</v>
      </c>
      <c r="AA92" s="10">
        <f>IF(O92&lt;=1,7,7+0.8*ROUNDUP(O92-1,0))</f>
        <v>7</v>
      </c>
      <c r="AB92" s="11">
        <v>0</v>
      </c>
      <c r="AC92" s="11">
        <v>0</v>
      </c>
      <c r="AD92" s="11">
        <v>0</v>
      </c>
      <c r="AE92" s="11">
        <v>0</v>
      </c>
      <c r="AF92" s="11">
        <f t="shared" si="2"/>
        <v>0.42</v>
      </c>
      <c r="AG92" s="11">
        <f t="shared" si="3"/>
        <v>7.42</v>
      </c>
      <c r="AH92" t="s">
        <v>50</v>
      </c>
    </row>
    <row r="93" spans="1:34" ht="15" customHeight="1" x14ac:dyDescent="0.35">
      <c r="A93">
        <v>7547676</v>
      </c>
      <c r="B93">
        <v>690929</v>
      </c>
      <c r="C93" t="s">
        <v>34</v>
      </c>
      <c r="D93" t="s">
        <v>35</v>
      </c>
      <c r="E93" s="6" t="s">
        <v>34</v>
      </c>
      <c r="F93" t="s">
        <v>357</v>
      </c>
      <c r="G93" t="s">
        <v>37</v>
      </c>
      <c r="H93" t="s">
        <v>38</v>
      </c>
      <c r="I93" t="s">
        <v>358</v>
      </c>
      <c r="J93" t="s">
        <v>40</v>
      </c>
      <c r="K93">
        <v>2</v>
      </c>
      <c r="L93" t="s">
        <v>41</v>
      </c>
      <c r="M93" t="s">
        <v>42</v>
      </c>
      <c r="N93" t="s">
        <v>43</v>
      </c>
      <c r="O93" s="7">
        <v>1</v>
      </c>
      <c r="P93" s="8">
        <v>45189.741851851853</v>
      </c>
      <c r="Q93" s="9">
        <v>45190</v>
      </c>
      <c r="R93" t="s">
        <v>37</v>
      </c>
      <c r="S93" t="s">
        <v>44</v>
      </c>
      <c r="T93" t="s">
        <v>45</v>
      </c>
      <c r="U93" t="s">
        <v>46</v>
      </c>
      <c r="V93" t="s">
        <v>359</v>
      </c>
      <c r="W93">
        <v>28000</v>
      </c>
      <c r="X93" t="s">
        <v>44</v>
      </c>
      <c r="Y93" t="s">
        <v>45</v>
      </c>
      <c r="Z93" t="s">
        <v>49</v>
      </c>
      <c r="AA93" s="10">
        <f>IF(O93&lt;=1,7,7+0.8*ROUNDUP(O93-1,0))</f>
        <v>7</v>
      </c>
      <c r="AB93" s="11">
        <v>0</v>
      </c>
      <c r="AC93" s="11">
        <v>0</v>
      </c>
      <c r="AD93" s="11">
        <v>0</v>
      </c>
      <c r="AE93" s="11">
        <v>0</v>
      </c>
      <c r="AF93" s="11">
        <f t="shared" si="2"/>
        <v>0.42</v>
      </c>
      <c r="AG93" s="11">
        <f t="shared" si="3"/>
        <v>7.42</v>
      </c>
      <c r="AH93" t="s">
        <v>50</v>
      </c>
    </row>
    <row r="94" spans="1:34" ht="15" customHeight="1" x14ac:dyDescent="0.35">
      <c r="A94">
        <v>7547676</v>
      </c>
      <c r="B94">
        <v>690929</v>
      </c>
      <c r="C94" t="s">
        <v>34</v>
      </c>
      <c r="D94" t="s">
        <v>35</v>
      </c>
      <c r="E94" s="6" t="s">
        <v>34</v>
      </c>
      <c r="F94" t="s">
        <v>360</v>
      </c>
      <c r="G94" t="s">
        <v>37</v>
      </c>
      <c r="H94" t="s">
        <v>38</v>
      </c>
      <c r="I94" t="s">
        <v>361</v>
      </c>
      <c r="J94" t="s">
        <v>40</v>
      </c>
      <c r="K94">
        <v>2</v>
      </c>
      <c r="L94" t="s">
        <v>41</v>
      </c>
      <c r="M94" t="s">
        <v>42</v>
      </c>
      <c r="N94" t="s">
        <v>43</v>
      </c>
      <c r="O94" s="7">
        <v>1</v>
      </c>
      <c r="P94" s="8">
        <v>45189.744479166664</v>
      </c>
      <c r="Q94" s="9">
        <v>45190</v>
      </c>
      <c r="R94" t="s">
        <v>37</v>
      </c>
      <c r="S94" t="s">
        <v>44</v>
      </c>
      <c r="T94" t="s">
        <v>45</v>
      </c>
      <c r="U94" t="s">
        <v>284</v>
      </c>
      <c r="V94" t="s">
        <v>362</v>
      </c>
      <c r="W94">
        <v>24060</v>
      </c>
      <c r="X94" t="s">
        <v>44</v>
      </c>
      <c r="Y94" t="s">
        <v>45</v>
      </c>
      <c r="Z94" t="s">
        <v>49</v>
      </c>
      <c r="AA94" s="10">
        <f>IF(O94&lt;=1,7,7+0.8*ROUNDUP(O94-1,0))</f>
        <v>7</v>
      </c>
      <c r="AB94" s="11">
        <v>0</v>
      </c>
      <c r="AC94" s="11">
        <v>0</v>
      </c>
      <c r="AD94" s="11">
        <v>0</v>
      </c>
      <c r="AE94" s="11">
        <v>0</v>
      </c>
      <c r="AF94" s="11">
        <f t="shared" si="2"/>
        <v>0.42</v>
      </c>
      <c r="AG94" s="11">
        <f t="shared" si="3"/>
        <v>7.42</v>
      </c>
      <c r="AH94" t="s">
        <v>50</v>
      </c>
    </row>
    <row r="95" spans="1:34" ht="15" customHeight="1" x14ac:dyDescent="0.35">
      <c r="A95">
        <v>7547676</v>
      </c>
      <c r="B95">
        <v>690929</v>
      </c>
      <c r="C95" t="s">
        <v>34</v>
      </c>
      <c r="D95" t="s">
        <v>35</v>
      </c>
      <c r="E95" s="6" t="s">
        <v>34</v>
      </c>
      <c r="F95" t="s">
        <v>363</v>
      </c>
      <c r="G95" t="s">
        <v>37</v>
      </c>
      <c r="H95" t="s">
        <v>38</v>
      </c>
      <c r="I95" t="s">
        <v>364</v>
      </c>
      <c r="J95" t="s">
        <v>40</v>
      </c>
      <c r="K95">
        <v>2</v>
      </c>
      <c r="L95" t="s">
        <v>41</v>
      </c>
      <c r="M95" t="s">
        <v>42</v>
      </c>
      <c r="N95" t="s">
        <v>43</v>
      </c>
      <c r="O95" s="7">
        <v>1</v>
      </c>
      <c r="P95" s="8">
        <v>45189.459317129629</v>
      </c>
      <c r="Q95" s="9">
        <v>45190</v>
      </c>
      <c r="R95" t="s">
        <v>37</v>
      </c>
      <c r="S95" t="s">
        <v>44</v>
      </c>
      <c r="T95" t="s">
        <v>45</v>
      </c>
      <c r="U95" t="s">
        <v>67</v>
      </c>
      <c r="V95" t="s">
        <v>365</v>
      </c>
      <c r="W95">
        <v>68100</v>
      </c>
      <c r="X95" t="s">
        <v>44</v>
      </c>
      <c r="Y95" t="s">
        <v>182</v>
      </c>
      <c r="Z95" t="s">
        <v>49</v>
      </c>
      <c r="AA95" s="10">
        <f>IF(O95&lt;=1,7,7+0.8*ROUNDUP(O95-1,0))</f>
        <v>7</v>
      </c>
      <c r="AB95" s="11">
        <v>0</v>
      </c>
      <c r="AC95" s="11">
        <v>0</v>
      </c>
      <c r="AD95" s="11">
        <v>0</v>
      </c>
      <c r="AE95" s="11">
        <v>0</v>
      </c>
      <c r="AF95" s="11">
        <f t="shared" si="2"/>
        <v>0.42</v>
      </c>
      <c r="AG95" s="11">
        <f t="shared" si="3"/>
        <v>7.42</v>
      </c>
      <c r="AH95" t="s">
        <v>50</v>
      </c>
    </row>
    <row r="96" spans="1:34" ht="15" customHeight="1" x14ac:dyDescent="0.35">
      <c r="A96">
        <v>7547676</v>
      </c>
      <c r="B96">
        <v>690929</v>
      </c>
      <c r="C96" t="s">
        <v>34</v>
      </c>
      <c r="D96" t="s">
        <v>35</v>
      </c>
      <c r="E96" s="6" t="s">
        <v>34</v>
      </c>
      <c r="F96" t="s">
        <v>366</v>
      </c>
      <c r="G96" t="s">
        <v>37</v>
      </c>
      <c r="H96" t="s">
        <v>38</v>
      </c>
      <c r="I96" t="s">
        <v>367</v>
      </c>
      <c r="J96" t="s">
        <v>40</v>
      </c>
      <c r="K96">
        <v>2</v>
      </c>
      <c r="L96" t="s">
        <v>41</v>
      </c>
      <c r="M96" t="s">
        <v>42</v>
      </c>
      <c r="N96" t="s">
        <v>43</v>
      </c>
      <c r="O96" s="7">
        <v>1</v>
      </c>
      <c r="P96" s="8">
        <v>45190.732511574075</v>
      </c>
      <c r="Q96" s="9">
        <v>45191</v>
      </c>
      <c r="R96" t="s">
        <v>37</v>
      </c>
      <c r="S96" t="s">
        <v>44</v>
      </c>
      <c r="T96" t="s">
        <v>45</v>
      </c>
      <c r="U96" t="s">
        <v>67</v>
      </c>
      <c r="V96" t="s">
        <v>368</v>
      </c>
      <c r="W96">
        <v>43650</v>
      </c>
      <c r="X96" t="s">
        <v>44</v>
      </c>
      <c r="Y96" t="s">
        <v>369</v>
      </c>
      <c r="Z96" t="s">
        <v>49</v>
      </c>
      <c r="AA96" s="10">
        <f>IF(O96&lt;=1,7,7+0.8*ROUNDUP(O96-1,0))</f>
        <v>7</v>
      </c>
      <c r="AB96" s="11">
        <v>0</v>
      </c>
      <c r="AC96" s="11">
        <v>0</v>
      </c>
      <c r="AD96" s="11">
        <v>0</v>
      </c>
      <c r="AE96" s="11">
        <v>0</v>
      </c>
      <c r="AF96" s="11">
        <f t="shared" si="2"/>
        <v>0.42</v>
      </c>
      <c r="AG96" s="11">
        <f t="shared" si="3"/>
        <v>7.42</v>
      </c>
      <c r="AH96" t="s">
        <v>50</v>
      </c>
    </row>
    <row r="97" spans="1:34" ht="15" customHeight="1" x14ac:dyDescent="0.35">
      <c r="A97">
        <v>7547676</v>
      </c>
      <c r="B97">
        <v>690929</v>
      </c>
      <c r="C97" t="s">
        <v>34</v>
      </c>
      <c r="D97" t="s">
        <v>35</v>
      </c>
      <c r="E97" s="6" t="s">
        <v>34</v>
      </c>
      <c r="F97" t="s">
        <v>370</v>
      </c>
      <c r="G97" t="s">
        <v>37</v>
      </c>
      <c r="H97" t="s">
        <v>38</v>
      </c>
      <c r="I97" t="s">
        <v>371</v>
      </c>
      <c r="J97" t="s">
        <v>40</v>
      </c>
      <c r="K97">
        <v>2</v>
      </c>
      <c r="L97" t="s">
        <v>41</v>
      </c>
      <c r="M97" t="s">
        <v>42</v>
      </c>
      <c r="N97" t="s">
        <v>43</v>
      </c>
      <c r="O97" s="7">
        <v>1</v>
      </c>
      <c r="P97" s="8">
        <v>45189.741851851853</v>
      </c>
      <c r="Q97" s="9">
        <v>45191</v>
      </c>
      <c r="R97" t="s">
        <v>37</v>
      </c>
      <c r="S97" t="s">
        <v>44</v>
      </c>
      <c r="T97" t="s">
        <v>45</v>
      </c>
      <c r="U97" t="s">
        <v>128</v>
      </c>
      <c r="V97" t="s">
        <v>372</v>
      </c>
      <c r="W97">
        <v>1000</v>
      </c>
      <c r="X97" t="s">
        <v>44</v>
      </c>
      <c r="Y97" t="s">
        <v>130</v>
      </c>
      <c r="Z97" t="s">
        <v>49</v>
      </c>
      <c r="AA97" s="10">
        <f>IF(O97&lt;=1,7,7+0.8*ROUNDUP(O97-1,0))</f>
        <v>7</v>
      </c>
      <c r="AB97" s="11">
        <v>0</v>
      </c>
      <c r="AC97" s="11">
        <v>0</v>
      </c>
      <c r="AD97" s="11">
        <v>0</v>
      </c>
      <c r="AE97" s="11">
        <v>0</v>
      </c>
      <c r="AF97" s="11">
        <f t="shared" si="2"/>
        <v>0.42</v>
      </c>
      <c r="AG97" s="11">
        <f t="shared" si="3"/>
        <v>7.42</v>
      </c>
      <c r="AH97" t="s">
        <v>50</v>
      </c>
    </row>
    <row r="98" spans="1:34" ht="15" customHeight="1" x14ac:dyDescent="0.35">
      <c r="A98">
        <v>7547676</v>
      </c>
      <c r="B98">
        <v>690929</v>
      </c>
      <c r="C98" t="s">
        <v>34</v>
      </c>
      <c r="D98" t="s">
        <v>35</v>
      </c>
      <c r="E98" s="6" t="s">
        <v>34</v>
      </c>
      <c r="F98" t="s">
        <v>373</v>
      </c>
      <c r="G98" t="s">
        <v>37</v>
      </c>
      <c r="H98" t="s">
        <v>38</v>
      </c>
      <c r="I98" t="s">
        <v>374</v>
      </c>
      <c r="J98" t="s">
        <v>40</v>
      </c>
      <c r="K98">
        <v>2</v>
      </c>
      <c r="L98" t="s">
        <v>41</v>
      </c>
      <c r="M98" t="s">
        <v>42</v>
      </c>
      <c r="N98" t="s">
        <v>43</v>
      </c>
      <c r="O98" s="7">
        <v>1</v>
      </c>
      <c r="P98" s="8">
        <v>45190.696342592593</v>
      </c>
      <c r="Q98" s="9">
        <v>45191</v>
      </c>
      <c r="R98" t="s">
        <v>37</v>
      </c>
      <c r="S98" t="s">
        <v>44</v>
      </c>
      <c r="T98" t="s">
        <v>45</v>
      </c>
      <c r="U98" t="s">
        <v>67</v>
      </c>
      <c r="V98" t="s">
        <v>375</v>
      </c>
      <c r="W98">
        <v>68100</v>
      </c>
      <c r="X98" t="s">
        <v>44</v>
      </c>
      <c r="Y98" t="s">
        <v>341</v>
      </c>
      <c r="Z98" t="s">
        <v>49</v>
      </c>
      <c r="AA98" s="10">
        <f>IF(O98&lt;=1,7,7+0.8*ROUNDUP(O98-1,0))</f>
        <v>7</v>
      </c>
      <c r="AB98" s="11">
        <v>0</v>
      </c>
      <c r="AC98" s="11">
        <v>0</v>
      </c>
      <c r="AD98" s="11">
        <v>0</v>
      </c>
      <c r="AE98" s="11">
        <v>0</v>
      </c>
      <c r="AF98" s="11">
        <f t="shared" si="2"/>
        <v>0.42</v>
      </c>
      <c r="AG98" s="11">
        <f t="shared" si="3"/>
        <v>7.42</v>
      </c>
      <c r="AH98" t="s">
        <v>50</v>
      </c>
    </row>
    <row r="99" spans="1:34" ht="15" customHeight="1" x14ac:dyDescent="0.35">
      <c r="A99">
        <v>7547676</v>
      </c>
      <c r="B99">
        <v>690929</v>
      </c>
      <c r="C99" t="s">
        <v>34</v>
      </c>
      <c r="D99" t="s">
        <v>35</v>
      </c>
      <c r="E99" s="6" t="s">
        <v>34</v>
      </c>
      <c r="F99" t="s">
        <v>376</v>
      </c>
      <c r="G99" t="s">
        <v>37</v>
      </c>
      <c r="H99" t="s">
        <v>38</v>
      </c>
      <c r="I99" t="s">
        <v>377</v>
      </c>
      <c r="J99" t="s">
        <v>40</v>
      </c>
      <c r="K99">
        <v>2</v>
      </c>
      <c r="L99" t="s">
        <v>41</v>
      </c>
      <c r="M99" t="s">
        <v>42</v>
      </c>
      <c r="N99" t="s">
        <v>43</v>
      </c>
      <c r="O99" s="7">
        <v>1</v>
      </c>
      <c r="P99" s="8">
        <v>45189.741851851853</v>
      </c>
      <c r="Q99" s="9">
        <v>45191</v>
      </c>
      <c r="R99" t="s">
        <v>37</v>
      </c>
      <c r="S99" t="s">
        <v>44</v>
      </c>
      <c r="T99" t="s">
        <v>45</v>
      </c>
      <c r="U99" t="s">
        <v>378</v>
      </c>
      <c r="V99" t="s">
        <v>379</v>
      </c>
      <c r="W99">
        <v>91000</v>
      </c>
      <c r="X99" t="s">
        <v>135</v>
      </c>
      <c r="Y99" t="s">
        <v>69</v>
      </c>
      <c r="Z99" t="s">
        <v>49</v>
      </c>
      <c r="AA99" s="12">
        <f>IF(O99&lt;=1,13,IF(O99&lt;=2,23,IF(O99&lt;=3,35,IF(O99&lt;=4,43,IF(O99&lt;=5,53,IF(O99&lt;=6,63,IF(O99&lt;=7,71,IF(O99&lt;=8,79,IF(O99&lt;=9,87,IF(O99&lt;=10,95,IF(O99&lt;=11,105,IF(O99&lt;=12,114,IF(O99&lt;=13,119,IF(O99&lt;=14,127,IF(O99&lt;=15,135,IF(O99&lt;=16,143,IF(O99&lt;=17,153,IF(O99&lt;=18,163,IF(O99&lt;=19,171,IF(O99&lt;=20,185,IF(O99&lt;=21,193,IF(O99&lt;=22,201,IF(O99&lt;=23,210,IF(O99&lt;=24,220,IF(O99&lt;=25,230,IF(O99&lt;=26,240,IF(O99&lt;=27,250,IF(O99&lt;=28,260,IF(O99&lt;=29,270,IF(O99&lt;=30,280,280+10*ROUNDUP(O99-30,0)))))))))))))))))))))))))))))))</f>
        <v>13</v>
      </c>
      <c r="AB99" s="11">
        <v>0</v>
      </c>
      <c r="AC99" s="11">
        <v>0</v>
      </c>
      <c r="AD99" s="11">
        <v>0</v>
      </c>
      <c r="AE99" s="11">
        <v>0</v>
      </c>
      <c r="AF99" s="11">
        <f t="shared" si="2"/>
        <v>0.78</v>
      </c>
      <c r="AG99" s="11">
        <f t="shared" si="3"/>
        <v>13.78</v>
      </c>
      <c r="AH99" t="s">
        <v>136</v>
      </c>
    </row>
    <row r="100" spans="1:34" ht="15" customHeight="1" x14ac:dyDescent="0.35">
      <c r="A100">
        <v>7547676</v>
      </c>
      <c r="B100">
        <v>690929</v>
      </c>
      <c r="C100" t="s">
        <v>34</v>
      </c>
      <c r="D100" t="s">
        <v>35</v>
      </c>
      <c r="E100" s="6" t="s">
        <v>34</v>
      </c>
      <c r="F100" t="s">
        <v>380</v>
      </c>
      <c r="G100" t="s">
        <v>37</v>
      </c>
      <c r="H100" t="s">
        <v>38</v>
      </c>
      <c r="I100" t="s">
        <v>381</v>
      </c>
      <c r="J100" t="s">
        <v>40</v>
      </c>
      <c r="K100">
        <v>2</v>
      </c>
      <c r="L100" t="s">
        <v>41</v>
      </c>
      <c r="M100" t="s">
        <v>42</v>
      </c>
      <c r="N100" t="s">
        <v>43</v>
      </c>
      <c r="O100" s="7">
        <v>6</v>
      </c>
      <c r="P100" s="8">
        <v>45186.654016203705</v>
      </c>
      <c r="Q100" s="9">
        <v>45191</v>
      </c>
      <c r="R100" t="s">
        <v>37</v>
      </c>
      <c r="S100" t="s">
        <v>44</v>
      </c>
      <c r="T100" t="s">
        <v>45</v>
      </c>
      <c r="U100" t="s">
        <v>101</v>
      </c>
      <c r="V100" t="s">
        <v>382</v>
      </c>
      <c r="W100">
        <v>34700</v>
      </c>
      <c r="X100" t="s">
        <v>44</v>
      </c>
      <c r="Y100" t="s">
        <v>145</v>
      </c>
      <c r="Z100" t="s">
        <v>49</v>
      </c>
      <c r="AA100" s="10">
        <f>IF(O100&lt;=1,7,7+0.8*ROUNDUP(O100-1,0))</f>
        <v>11</v>
      </c>
      <c r="AB100" s="11">
        <v>0</v>
      </c>
      <c r="AC100" s="11">
        <v>0</v>
      </c>
      <c r="AD100" s="11">
        <v>0</v>
      </c>
      <c r="AE100" s="11">
        <v>0</v>
      </c>
      <c r="AF100" s="11">
        <f t="shared" si="2"/>
        <v>0.65999999999999992</v>
      </c>
      <c r="AG100" s="11">
        <f t="shared" si="3"/>
        <v>11.66</v>
      </c>
      <c r="AH100" t="s">
        <v>50</v>
      </c>
    </row>
    <row r="101" spans="1:34" ht="15" customHeight="1" x14ac:dyDescent="0.35">
      <c r="A101">
        <v>7547676</v>
      </c>
      <c r="B101">
        <v>690929</v>
      </c>
      <c r="C101" t="s">
        <v>34</v>
      </c>
      <c r="D101" t="s">
        <v>35</v>
      </c>
      <c r="E101" s="6" t="s">
        <v>34</v>
      </c>
      <c r="F101" t="s">
        <v>383</v>
      </c>
      <c r="G101" t="s">
        <v>37</v>
      </c>
      <c r="H101" t="s">
        <v>38</v>
      </c>
      <c r="I101" t="s">
        <v>384</v>
      </c>
      <c r="J101" t="s">
        <v>40</v>
      </c>
      <c r="K101">
        <v>2</v>
      </c>
      <c r="L101" t="s">
        <v>41</v>
      </c>
      <c r="M101" t="s">
        <v>42</v>
      </c>
      <c r="N101" t="s">
        <v>43</v>
      </c>
      <c r="O101" s="7">
        <v>1</v>
      </c>
      <c r="P101" s="8">
        <v>45190.732511574075</v>
      </c>
      <c r="Q101" s="9">
        <v>45191</v>
      </c>
      <c r="R101" t="s">
        <v>37</v>
      </c>
      <c r="S101" t="s">
        <v>44</v>
      </c>
      <c r="T101" t="s">
        <v>45</v>
      </c>
      <c r="U101" t="s">
        <v>67</v>
      </c>
      <c r="V101" t="s">
        <v>385</v>
      </c>
      <c r="W101">
        <v>43000</v>
      </c>
      <c r="X101" t="s">
        <v>44</v>
      </c>
      <c r="Y101" t="s">
        <v>69</v>
      </c>
      <c r="Z101" t="s">
        <v>49</v>
      </c>
      <c r="AA101" s="10">
        <f>IF(O101&lt;=1,7,7+0.8*ROUNDUP(O101-1,0))</f>
        <v>7</v>
      </c>
      <c r="AB101" s="11">
        <v>0</v>
      </c>
      <c r="AC101" s="11">
        <v>0</v>
      </c>
      <c r="AD101" s="11">
        <v>0</v>
      </c>
      <c r="AE101" s="11">
        <v>0</v>
      </c>
      <c r="AF101" s="11">
        <f t="shared" si="2"/>
        <v>0.42</v>
      </c>
      <c r="AG101" s="11">
        <f t="shared" si="3"/>
        <v>7.42</v>
      </c>
      <c r="AH101" t="s">
        <v>50</v>
      </c>
    </row>
    <row r="102" spans="1:34" ht="15" customHeight="1" x14ac:dyDescent="0.35">
      <c r="A102">
        <v>7547676</v>
      </c>
      <c r="B102">
        <v>690929</v>
      </c>
      <c r="C102" t="s">
        <v>34</v>
      </c>
      <c r="D102" t="s">
        <v>35</v>
      </c>
      <c r="E102" s="6" t="s">
        <v>34</v>
      </c>
      <c r="F102" t="s">
        <v>386</v>
      </c>
      <c r="G102" t="s">
        <v>37</v>
      </c>
      <c r="H102" t="s">
        <v>38</v>
      </c>
      <c r="I102" t="s">
        <v>387</v>
      </c>
      <c r="J102" t="s">
        <v>40</v>
      </c>
      <c r="K102">
        <v>2</v>
      </c>
      <c r="L102" t="s">
        <v>41</v>
      </c>
      <c r="M102" t="s">
        <v>42</v>
      </c>
      <c r="N102" t="s">
        <v>43</v>
      </c>
      <c r="O102" s="7">
        <v>1</v>
      </c>
      <c r="P102" s="8">
        <v>45190.660532407404</v>
      </c>
      <c r="Q102" s="9">
        <v>45191</v>
      </c>
      <c r="R102" t="s">
        <v>37</v>
      </c>
      <c r="S102" t="s">
        <v>44</v>
      </c>
      <c r="T102" t="s">
        <v>45</v>
      </c>
      <c r="U102" t="s">
        <v>67</v>
      </c>
      <c r="V102" t="s">
        <v>388</v>
      </c>
      <c r="W102">
        <v>43200</v>
      </c>
      <c r="X102" t="s">
        <v>44</v>
      </c>
      <c r="Y102" t="s">
        <v>69</v>
      </c>
      <c r="Z102" t="s">
        <v>49</v>
      </c>
      <c r="AA102" s="10">
        <f>IF(O102&lt;=1,7,7+0.8*ROUNDUP(O102-1,0))</f>
        <v>7</v>
      </c>
      <c r="AB102" s="11">
        <v>0</v>
      </c>
      <c r="AC102" s="11">
        <v>0</v>
      </c>
      <c r="AD102" s="11">
        <v>0</v>
      </c>
      <c r="AE102" s="11">
        <v>0</v>
      </c>
      <c r="AF102" s="11">
        <f t="shared" si="2"/>
        <v>0.42</v>
      </c>
      <c r="AG102" s="11">
        <f t="shared" si="3"/>
        <v>7.42</v>
      </c>
      <c r="AH102" t="s">
        <v>50</v>
      </c>
    </row>
    <row r="103" spans="1:34" ht="15" customHeight="1" x14ac:dyDescent="0.35">
      <c r="A103">
        <v>7547676</v>
      </c>
      <c r="B103">
        <v>690929</v>
      </c>
      <c r="C103" t="s">
        <v>34</v>
      </c>
      <c r="D103" t="s">
        <v>35</v>
      </c>
      <c r="E103" s="6" t="s">
        <v>34</v>
      </c>
      <c r="F103" t="s">
        <v>389</v>
      </c>
      <c r="G103" t="s">
        <v>37</v>
      </c>
      <c r="H103" t="s">
        <v>38</v>
      </c>
      <c r="I103" t="s">
        <v>390</v>
      </c>
      <c r="J103" t="s">
        <v>40</v>
      </c>
      <c r="K103">
        <v>2</v>
      </c>
      <c r="L103" t="s">
        <v>41</v>
      </c>
      <c r="M103" t="s">
        <v>42</v>
      </c>
      <c r="N103" t="s">
        <v>43</v>
      </c>
      <c r="O103" s="7">
        <v>1</v>
      </c>
      <c r="P103" s="8">
        <v>45190.724907407406</v>
      </c>
      <c r="Q103" s="9">
        <v>45191</v>
      </c>
      <c r="R103" t="s">
        <v>37</v>
      </c>
      <c r="S103" t="s">
        <v>44</v>
      </c>
      <c r="T103" t="s">
        <v>45</v>
      </c>
      <c r="U103" t="s">
        <v>67</v>
      </c>
      <c r="V103" t="s">
        <v>391</v>
      </c>
      <c r="W103">
        <v>46150</v>
      </c>
      <c r="X103" t="s">
        <v>44</v>
      </c>
      <c r="Y103" t="s">
        <v>190</v>
      </c>
      <c r="Z103" t="s">
        <v>49</v>
      </c>
      <c r="AA103" s="10">
        <f>IF(O103&lt;=1,7,7+0.8*ROUNDUP(O103-1,0))</f>
        <v>7</v>
      </c>
      <c r="AB103" s="11">
        <v>0</v>
      </c>
      <c r="AC103" s="11">
        <v>0</v>
      </c>
      <c r="AD103" s="11">
        <v>0</v>
      </c>
      <c r="AE103" s="11">
        <v>0</v>
      </c>
      <c r="AF103" s="11">
        <f t="shared" si="2"/>
        <v>0.42</v>
      </c>
      <c r="AG103" s="11">
        <f t="shared" si="3"/>
        <v>7.42</v>
      </c>
      <c r="AH103" t="s">
        <v>50</v>
      </c>
    </row>
    <row r="104" spans="1:34" ht="15" customHeight="1" x14ac:dyDescent="0.35">
      <c r="A104">
        <v>7547676</v>
      </c>
      <c r="B104">
        <v>690929</v>
      </c>
      <c r="C104" t="s">
        <v>34</v>
      </c>
      <c r="D104" t="s">
        <v>35</v>
      </c>
      <c r="E104" s="6" t="s">
        <v>34</v>
      </c>
      <c r="F104" t="s">
        <v>392</v>
      </c>
      <c r="G104" t="s">
        <v>37</v>
      </c>
      <c r="H104" t="s">
        <v>38</v>
      </c>
      <c r="I104" t="s">
        <v>393</v>
      </c>
      <c r="J104" t="s">
        <v>40</v>
      </c>
      <c r="K104">
        <v>2</v>
      </c>
      <c r="L104" t="s">
        <v>41</v>
      </c>
      <c r="M104" t="s">
        <v>42</v>
      </c>
      <c r="N104" t="s">
        <v>43</v>
      </c>
      <c r="O104" s="7">
        <v>2</v>
      </c>
      <c r="P104" s="8">
        <v>45190.740115740744</v>
      </c>
      <c r="Q104" s="9">
        <v>45191</v>
      </c>
      <c r="R104" t="s">
        <v>37</v>
      </c>
      <c r="S104" t="s">
        <v>44</v>
      </c>
      <c r="T104" t="s">
        <v>45</v>
      </c>
      <c r="U104" t="s">
        <v>115</v>
      </c>
      <c r="V104" t="s">
        <v>394</v>
      </c>
      <c r="W104">
        <v>18300</v>
      </c>
      <c r="X104" t="s">
        <v>44</v>
      </c>
      <c r="Y104" t="s">
        <v>114</v>
      </c>
      <c r="Z104" t="s">
        <v>49</v>
      </c>
      <c r="AA104" s="10">
        <f>IF(O104&lt;=1,7,7+0.8*ROUNDUP(O104-1,0))</f>
        <v>7.8</v>
      </c>
      <c r="AB104" s="11">
        <v>0</v>
      </c>
      <c r="AC104" s="11">
        <v>0</v>
      </c>
      <c r="AD104" s="11">
        <v>0</v>
      </c>
      <c r="AE104" s="11">
        <v>0</v>
      </c>
      <c r="AF104" s="11">
        <f t="shared" si="2"/>
        <v>0.46799999999999997</v>
      </c>
      <c r="AG104" s="11">
        <f t="shared" si="3"/>
        <v>8.2680000000000007</v>
      </c>
      <c r="AH104" t="s">
        <v>50</v>
      </c>
    </row>
    <row r="105" spans="1:34" ht="15" customHeight="1" x14ac:dyDescent="0.35">
      <c r="A105">
        <v>7547676</v>
      </c>
      <c r="B105">
        <v>690929</v>
      </c>
      <c r="C105" t="s">
        <v>34</v>
      </c>
      <c r="D105" t="s">
        <v>35</v>
      </c>
      <c r="E105" s="6" t="s">
        <v>34</v>
      </c>
      <c r="F105" t="s">
        <v>395</v>
      </c>
      <c r="G105" t="s">
        <v>37</v>
      </c>
      <c r="H105" t="s">
        <v>38</v>
      </c>
      <c r="I105" t="s">
        <v>396</v>
      </c>
      <c r="J105" t="s">
        <v>40</v>
      </c>
      <c r="K105">
        <v>2</v>
      </c>
      <c r="L105" t="s">
        <v>41</v>
      </c>
      <c r="M105" t="s">
        <v>42</v>
      </c>
      <c r="N105" t="s">
        <v>43</v>
      </c>
      <c r="O105" s="7">
        <v>1</v>
      </c>
      <c r="P105" s="8">
        <v>45190.584363425929</v>
      </c>
      <c r="Q105" s="9">
        <v>45191</v>
      </c>
      <c r="R105" t="s">
        <v>37</v>
      </c>
      <c r="S105" t="s">
        <v>44</v>
      </c>
      <c r="T105" t="s">
        <v>45</v>
      </c>
      <c r="U105" t="s">
        <v>67</v>
      </c>
      <c r="V105" t="s">
        <v>397</v>
      </c>
      <c r="W105">
        <v>42500</v>
      </c>
      <c r="X105" t="s">
        <v>44</v>
      </c>
      <c r="Y105" t="s">
        <v>398</v>
      </c>
      <c r="Z105" t="s">
        <v>49</v>
      </c>
      <c r="AA105" s="10">
        <f>IF(O105&lt;=1,7,7+0.8*ROUNDUP(O105-1,0))</f>
        <v>7</v>
      </c>
      <c r="AB105" s="11">
        <v>0</v>
      </c>
      <c r="AC105" s="11">
        <v>0</v>
      </c>
      <c r="AD105" s="11">
        <v>0</v>
      </c>
      <c r="AE105" s="11">
        <v>0</v>
      </c>
      <c r="AF105" s="11">
        <f t="shared" si="2"/>
        <v>0.42</v>
      </c>
      <c r="AG105" s="11">
        <f t="shared" si="3"/>
        <v>7.42</v>
      </c>
      <c r="AH105" t="s">
        <v>50</v>
      </c>
    </row>
    <row r="106" spans="1:34" ht="15" customHeight="1" x14ac:dyDescent="0.35">
      <c r="A106">
        <v>7547676</v>
      </c>
      <c r="B106">
        <v>690929</v>
      </c>
      <c r="C106" t="s">
        <v>34</v>
      </c>
      <c r="D106" t="s">
        <v>35</v>
      </c>
      <c r="E106" s="6" t="s">
        <v>34</v>
      </c>
      <c r="F106" t="s">
        <v>399</v>
      </c>
      <c r="G106" t="s">
        <v>37</v>
      </c>
      <c r="H106" t="s">
        <v>38</v>
      </c>
      <c r="I106" t="s">
        <v>400</v>
      </c>
      <c r="J106" t="s">
        <v>40</v>
      </c>
      <c r="K106">
        <v>2</v>
      </c>
      <c r="L106" t="s">
        <v>41</v>
      </c>
      <c r="M106" t="s">
        <v>42</v>
      </c>
      <c r="N106" t="s">
        <v>43</v>
      </c>
      <c r="O106" s="7">
        <v>1</v>
      </c>
      <c r="P106" s="8">
        <v>45189.741863425923</v>
      </c>
      <c r="Q106" s="9">
        <v>45191</v>
      </c>
      <c r="R106" t="s">
        <v>37</v>
      </c>
      <c r="S106" t="s">
        <v>44</v>
      </c>
      <c r="T106" t="s">
        <v>45</v>
      </c>
      <c r="U106" t="s">
        <v>378</v>
      </c>
      <c r="V106" t="s">
        <v>401</v>
      </c>
      <c r="W106">
        <v>91100</v>
      </c>
      <c r="X106" t="s">
        <v>135</v>
      </c>
      <c r="Y106" t="s">
        <v>69</v>
      </c>
      <c r="Z106" t="s">
        <v>49</v>
      </c>
      <c r="AA106" s="12">
        <f>IF(O106&lt;=1,13,IF(O106&lt;=2,23,IF(O106&lt;=3,35,IF(O106&lt;=4,43,IF(O106&lt;=5,53,IF(O106&lt;=6,63,IF(O106&lt;=7,71,IF(O106&lt;=8,79,IF(O106&lt;=9,87,IF(O106&lt;=10,95,IF(O106&lt;=11,105,IF(O106&lt;=12,114,IF(O106&lt;=13,119,IF(O106&lt;=14,127,IF(O106&lt;=15,135,IF(O106&lt;=16,143,IF(O106&lt;=17,153,IF(O106&lt;=18,163,IF(O106&lt;=19,171,IF(O106&lt;=20,185,IF(O106&lt;=21,193,IF(O106&lt;=22,201,IF(O106&lt;=23,210,IF(O106&lt;=24,220,IF(O106&lt;=25,230,IF(O106&lt;=26,240,IF(O106&lt;=27,250,IF(O106&lt;=28,260,IF(O106&lt;=29,270,IF(O106&lt;=30,280,280+10*ROUNDUP(O106-30,0)))))))))))))))))))))))))))))))</f>
        <v>13</v>
      </c>
      <c r="AB106" s="11">
        <v>0</v>
      </c>
      <c r="AC106" s="11">
        <v>0</v>
      </c>
      <c r="AD106" s="11">
        <v>0</v>
      </c>
      <c r="AE106" s="11">
        <v>0</v>
      </c>
      <c r="AF106" s="11">
        <f t="shared" si="2"/>
        <v>0.78</v>
      </c>
      <c r="AG106" s="11">
        <f t="shared" si="3"/>
        <v>13.78</v>
      </c>
      <c r="AH106" t="s">
        <v>136</v>
      </c>
    </row>
    <row r="107" spans="1:34" ht="15" customHeight="1" x14ac:dyDescent="0.35">
      <c r="A107">
        <v>7547676</v>
      </c>
      <c r="B107">
        <v>690929</v>
      </c>
      <c r="C107" t="s">
        <v>34</v>
      </c>
      <c r="D107" t="s">
        <v>35</v>
      </c>
      <c r="E107" s="6" t="s">
        <v>34</v>
      </c>
      <c r="F107" t="s">
        <v>402</v>
      </c>
      <c r="G107" t="s">
        <v>37</v>
      </c>
      <c r="H107" t="s">
        <v>38</v>
      </c>
      <c r="I107" t="s">
        <v>403</v>
      </c>
      <c r="J107" t="s">
        <v>40</v>
      </c>
      <c r="K107">
        <v>2</v>
      </c>
      <c r="L107" t="s">
        <v>41</v>
      </c>
      <c r="M107" t="s">
        <v>42</v>
      </c>
      <c r="N107" t="s">
        <v>43</v>
      </c>
      <c r="O107" s="7">
        <v>1</v>
      </c>
      <c r="P107" s="8">
        <v>45189.741851851853</v>
      </c>
      <c r="Q107" s="9">
        <v>45191</v>
      </c>
      <c r="R107" t="s">
        <v>37</v>
      </c>
      <c r="S107" t="s">
        <v>44</v>
      </c>
      <c r="T107" t="s">
        <v>45</v>
      </c>
      <c r="U107" t="s">
        <v>139</v>
      </c>
      <c r="V107" t="s">
        <v>404</v>
      </c>
      <c r="W107">
        <v>9100</v>
      </c>
      <c r="X107" t="s">
        <v>44</v>
      </c>
      <c r="Y107" t="s">
        <v>69</v>
      </c>
      <c r="Z107" t="s">
        <v>49</v>
      </c>
      <c r="AA107" s="10">
        <f>IF(O107&lt;=1,7,7+0.8*ROUNDUP(O107-1,0))</f>
        <v>7</v>
      </c>
      <c r="AB107" s="11">
        <v>0</v>
      </c>
      <c r="AC107" s="11">
        <v>0</v>
      </c>
      <c r="AD107" s="11">
        <v>0</v>
      </c>
      <c r="AE107" s="11">
        <v>0</v>
      </c>
      <c r="AF107" s="11">
        <f t="shared" si="2"/>
        <v>0.42</v>
      </c>
      <c r="AG107" s="11">
        <f t="shared" si="3"/>
        <v>7.42</v>
      </c>
      <c r="AH107" t="s">
        <v>50</v>
      </c>
    </row>
    <row r="108" spans="1:34" ht="15" customHeight="1" x14ac:dyDescent="0.35">
      <c r="A108">
        <v>7547676</v>
      </c>
      <c r="B108">
        <v>690929</v>
      </c>
      <c r="C108" t="s">
        <v>34</v>
      </c>
      <c r="D108" t="s">
        <v>35</v>
      </c>
      <c r="E108" s="6" t="s">
        <v>34</v>
      </c>
      <c r="F108" t="s">
        <v>405</v>
      </c>
      <c r="G108" t="s">
        <v>37</v>
      </c>
      <c r="H108" t="s">
        <v>38</v>
      </c>
      <c r="I108" t="s">
        <v>406</v>
      </c>
      <c r="J108" t="s">
        <v>40</v>
      </c>
      <c r="K108">
        <v>2</v>
      </c>
      <c r="L108" t="s">
        <v>41</v>
      </c>
      <c r="M108" t="s">
        <v>42</v>
      </c>
      <c r="N108" t="s">
        <v>43</v>
      </c>
      <c r="O108" s="7">
        <v>1</v>
      </c>
      <c r="P108" s="8">
        <v>45190.727766203701</v>
      </c>
      <c r="Q108" s="9">
        <v>45191</v>
      </c>
      <c r="R108" t="s">
        <v>37</v>
      </c>
      <c r="S108" t="s">
        <v>44</v>
      </c>
      <c r="T108" t="s">
        <v>45</v>
      </c>
      <c r="U108" t="s">
        <v>115</v>
      </c>
      <c r="V108" t="s">
        <v>407</v>
      </c>
      <c r="W108">
        <v>16210</v>
      </c>
      <c r="X108" t="s">
        <v>44</v>
      </c>
      <c r="Y108" t="s">
        <v>408</v>
      </c>
      <c r="Z108" t="s">
        <v>49</v>
      </c>
      <c r="AA108" s="10">
        <f>IF(O108&lt;=1,7,7+0.8*ROUNDUP(O108-1,0))</f>
        <v>7</v>
      </c>
      <c r="AB108" s="11">
        <v>0</v>
      </c>
      <c r="AC108" s="11">
        <v>0</v>
      </c>
      <c r="AD108" s="11">
        <v>0</v>
      </c>
      <c r="AE108" s="11">
        <v>0</v>
      </c>
      <c r="AF108" s="11">
        <f t="shared" si="2"/>
        <v>0.42</v>
      </c>
      <c r="AG108" s="11">
        <f t="shared" si="3"/>
        <v>7.42</v>
      </c>
      <c r="AH108" t="s">
        <v>50</v>
      </c>
    </row>
    <row r="109" spans="1:34" ht="15" customHeight="1" x14ac:dyDescent="0.35">
      <c r="A109">
        <v>7547676</v>
      </c>
      <c r="B109">
        <v>690929</v>
      </c>
      <c r="C109" t="s">
        <v>34</v>
      </c>
      <c r="D109" t="s">
        <v>35</v>
      </c>
      <c r="E109" s="6" t="s">
        <v>34</v>
      </c>
      <c r="F109" t="s">
        <v>409</v>
      </c>
      <c r="G109" t="s">
        <v>37</v>
      </c>
      <c r="H109" t="s">
        <v>38</v>
      </c>
      <c r="I109" t="s">
        <v>410</v>
      </c>
      <c r="J109" t="s">
        <v>40</v>
      </c>
      <c r="K109">
        <v>2</v>
      </c>
      <c r="L109" t="s">
        <v>41</v>
      </c>
      <c r="M109" t="s">
        <v>42</v>
      </c>
      <c r="N109" t="s">
        <v>43</v>
      </c>
      <c r="O109" s="7">
        <v>1</v>
      </c>
      <c r="P109" s="8">
        <v>45189.741851851853</v>
      </c>
      <c r="Q109" s="9">
        <v>45191</v>
      </c>
      <c r="R109" t="s">
        <v>37</v>
      </c>
      <c r="S109" t="s">
        <v>44</v>
      </c>
      <c r="T109" t="s">
        <v>45</v>
      </c>
      <c r="U109" t="s">
        <v>378</v>
      </c>
      <c r="V109" t="s">
        <v>411</v>
      </c>
      <c r="W109">
        <v>88300</v>
      </c>
      <c r="X109" t="s">
        <v>135</v>
      </c>
      <c r="Y109" t="s">
        <v>69</v>
      </c>
      <c r="Z109" t="s">
        <v>49</v>
      </c>
      <c r="AA109" s="12">
        <f>IF(O109&lt;=1,13,IF(O109&lt;=2,23,IF(O109&lt;=3,35,IF(O109&lt;=4,43,IF(O109&lt;=5,53,IF(O109&lt;=6,63,IF(O109&lt;=7,71,IF(O109&lt;=8,79,IF(O109&lt;=9,87,IF(O109&lt;=10,95,IF(O109&lt;=11,105,IF(O109&lt;=12,114,IF(O109&lt;=13,119,IF(O109&lt;=14,127,IF(O109&lt;=15,135,IF(O109&lt;=16,143,IF(O109&lt;=17,153,IF(O109&lt;=18,163,IF(O109&lt;=19,171,IF(O109&lt;=20,185,IF(O109&lt;=21,193,IF(O109&lt;=22,201,IF(O109&lt;=23,210,IF(O109&lt;=24,220,IF(O109&lt;=25,230,IF(O109&lt;=26,240,IF(O109&lt;=27,250,IF(O109&lt;=28,260,IF(O109&lt;=29,270,IF(O109&lt;=30,280,280+10*ROUNDUP(O109-30,0)))))))))))))))))))))))))))))))</f>
        <v>13</v>
      </c>
      <c r="AB109" s="11">
        <v>0</v>
      </c>
      <c r="AC109" s="11">
        <v>0</v>
      </c>
      <c r="AD109" s="11">
        <v>0</v>
      </c>
      <c r="AE109" s="11">
        <v>0</v>
      </c>
      <c r="AF109" s="11">
        <f t="shared" si="2"/>
        <v>0.78</v>
      </c>
      <c r="AG109" s="11">
        <f t="shared" si="3"/>
        <v>13.78</v>
      </c>
      <c r="AH109" t="s">
        <v>136</v>
      </c>
    </row>
    <row r="110" spans="1:34" ht="15" customHeight="1" x14ac:dyDescent="0.35">
      <c r="A110">
        <v>7547676</v>
      </c>
      <c r="B110">
        <v>690929</v>
      </c>
      <c r="C110" t="s">
        <v>34</v>
      </c>
      <c r="D110" t="s">
        <v>35</v>
      </c>
      <c r="E110" s="6" t="s">
        <v>34</v>
      </c>
      <c r="F110" t="s">
        <v>412</v>
      </c>
      <c r="G110" t="s">
        <v>37</v>
      </c>
      <c r="H110" t="s">
        <v>38</v>
      </c>
      <c r="I110" t="s">
        <v>413</v>
      </c>
      <c r="J110" t="s">
        <v>40</v>
      </c>
      <c r="K110">
        <v>2</v>
      </c>
      <c r="L110" t="s">
        <v>41</v>
      </c>
      <c r="M110" t="s">
        <v>42</v>
      </c>
      <c r="N110" t="s">
        <v>43</v>
      </c>
      <c r="O110" s="7">
        <v>1</v>
      </c>
      <c r="P110" s="8">
        <v>45191.482222222221</v>
      </c>
      <c r="Q110" s="9">
        <v>45192</v>
      </c>
      <c r="R110" t="s">
        <v>37</v>
      </c>
      <c r="S110" t="s">
        <v>44</v>
      </c>
      <c r="T110" t="s">
        <v>114</v>
      </c>
      <c r="U110" t="s">
        <v>67</v>
      </c>
      <c r="V110" t="s">
        <v>414</v>
      </c>
      <c r="W110">
        <v>41200</v>
      </c>
      <c r="X110" t="s">
        <v>44</v>
      </c>
      <c r="Y110" t="s">
        <v>415</v>
      </c>
      <c r="Z110" t="s">
        <v>49</v>
      </c>
      <c r="AA110" s="10">
        <f>IF(O110&lt;=1,7,7+0.8*ROUNDUP(O110-1,0))</f>
        <v>7</v>
      </c>
      <c r="AB110" s="11">
        <v>0</v>
      </c>
      <c r="AC110" s="11">
        <v>0</v>
      </c>
      <c r="AD110" s="11">
        <v>0</v>
      </c>
      <c r="AE110" s="11">
        <v>0</v>
      </c>
      <c r="AF110" s="11">
        <f t="shared" si="2"/>
        <v>0.42</v>
      </c>
      <c r="AG110" s="11">
        <f t="shared" si="3"/>
        <v>7.42</v>
      </c>
      <c r="AH110" t="s">
        <v>50</v>
      </c>
    </row>
    <row r="111" spans="1:34" ht="15" customHeight="1" x14ac:dyDescent="0.35">
      <c r="A111">
        <v>7547676</v>
      </c>
      <c r="B111">
        <v>690929</v>
      </c>
      <c r="C111" t="s">
        <v>34</v>
      </c>
      <c r="D111" t="s">
        <v>35</v>
      </c>
      <c r="E111" s="6" t="s">
        <v>34</v>
      </c>
      <c r="F111" t="s">
        <v>416</v>
      </c>
      <c r="G111" t="s">
        <v>37</v>
      </c>
      <c r="H111" t="s">
        <v>38</v>
      </c>
      <c r="I111" t="s">
        <v>417</v>
      </c>
      <c r="J111" t="s">
        <v>40</v>
      </c>
      <c r="K111">
        <v>2</v>
      </c>
      <c r="L111" t="s">
        <v>41</v>
      </c>
      <c r="M111" t="s">
        <v>42</v>
      </c>
      <c r="N111" t="s">
        <v>43</v>
      </c>
      <c r="O111" s="7">
        <v>1</v>
      </c>
      <c r="P111" s="8">
        <v>45191.494212962964</v>
      </c>
      <c r="Q111" s="9">
        <v>45192</v>
      </c>
      <c r="R111" t="s">
        <v>37</v>
      </c>
      <c r="S111" t="s">
        <v>44</v>
      </c>
      <c r="T111" t="s">
        <v>114</v>
      </c>
      <c r="U111" t="s">
        <v>284</v>
      </c>
      <c r="V111" t="s">
        <v>418</v>
      </c>
      <c r="W111">
        <v>21700</v>
      </c>
      <c r="X111" t="s">
        <v>44</v>
      </c>
      <c r="Y111" t="s">
        <v>114</v>
      </c>
      <c r="Z111" t="s">
        <v>49</v>
      </c>
      <c r="AA111" s="10">
        <f>IF(O111&lt;=1,7,7+0.8*ROUNDUP(O111-1,0))</f>
        <v>7</v>
      </c>
      <c r="AB111" s="11">
        <v>0</v>
      </c>
      <c r="AC111" s="11">
        <v>0</v>
      </c>
      <c r="AD111" s="11">
        <v>0</v>
      </c>
      <c r="AE111" s="11">
        <v>0</v>
      </c>
      <c r="AF111" s="11">
        <f t="shared" si="2"/>
        <v>0.42</v>
      </c>
      <c r="AG111" s="11">
        <f t="shared" si="3"/>
        <v>7.42</v>
      </c>
      <c r="AH111" t="s">
        <v>50</v>
      </c>
    </row>
    <row r="112" spans="1:34" ht="15" customHeight="1" x14ac:dyDescent="0.35">
      <c r="A112">
        <v>7547676</v>
      </c>
      <c r="B112">
        <v>690929</v>
      </c>
      <c r="C112" t="s">
        <v>34</v>
      </c>
      <c r="D112" t="s">
        <v>35</v>
      </c>
      <c r="E112" s="6" t="s">
        <v>34</v>
      </c>
      <c r="F112" t="s">
        <v>419</v>
      </c>
      <c r="G112" t="s">
        <v>37</v>
      </c>
      <c r="H112" t="s">
        <v>38</v>
      </c>
      <c r="I112" t="s">
        <v>420</v>
      </c>
      <c r="J112" t="s">
        <v>40</v>
      </c>
      <c r="K112">
        <v>2</v>
      </c>
      <c r="L112" t="s">
        <v>41</v>
      </c>
      <c r="M112" t="s">
        <v>42</v>
      </c>
      <c r="N112" t="s">
        <v>43</v>
      </c>
      <c r="O112" s="7">
        <v>1</v>
      </c>
      <c r="P112" s="8">
        <v>45191.49422453704</v>
      </c>
      <c r="Q112" s="9">
        <v>45192</v>
      </c>
      <c r="R112" t="s">
        <v>37</v>
      </c>
      <c r="S112" t="s">
        <v>44</v>
      </c>
      <c r="T112" t="s">
        <v>114</v>
      </c>
      <c r="U112" t="s">
        <v>53</v>
      </c>
      <c r="V112" t="s">
        <v>421</v>
      </c>
      <c r="W112">
        <v>71300</v>
      </c>
      <c r="X112" t="s">
        <v>44</v>
      </c>
      <c r="Y112" t="s">
        <v>422</v>
      </c>
      <c r="Z112" t="s">
        <v>49</v>
      </c>
      <c r="AA112" s="10">
        <f>IF(O112&lt;=1,7,7+0.8*ROUNDUP(O112-1,0))</f>
        <v>7</v>
      </c>
      <c r="AB112" s="11">
        <v>0</v>
      </c>
      <c r="AC112" s="11">
        <v>0</v>
      </c>
      <c r="AD112" s="11">
        <v>0</v>
      </c>
      <c r="AE112" s="11">
        <v>0</v>
      </c>
      <c r="AF112" s="11">
        <f t="shared" si="2"/>
        <v>0.42</v>
      </c>
      <c r="AG112" s="11">
        <f t="shared" si="3"/>
        <v>7.42</v>
      </c>
      <c r="AH112" t="s">
        <v>50</v>
      </c>
    </row>
    <row r="113" spans="1:34" ht="15" customHeight="1" x14ac:dyDescent="0.35">
      <c r="A113">
        <v>7547676</v>
      </c>
      <c r="B113">
        <v>690929</v>
      </c>
      <c r="C113" t="s">
        <v>34</v>
      </c>
      <c r="D113" t="s">
        <v>35</v>
      </c>
      <c r="E113" s="6" t="s">
        <v>34</v>
      </c>
      <c r="F113" t="s">
        <v>423</v>
      </c>
      <c r="G113" t="s">
        <v>37</v>
      </c>
      <c r="H113" t="s">
        <v>38</v>
      </c>
      <c r="I113" t="s">
        <v>424</v>
      </c>
      <c r="J113" t="s">
        <v>40</v>
      </c>
      <c r="K113">
        <v>2</v>
      </c>
      <c r="L113" t="s">
        <v>41</v>
      </c>
      <c r="M113" t="s">
        <v>42</v>
      </c>
      <c r="N113" t="s">
        <v>43</v>
      </c>
      <c r="O113" s="7">
        <v>1</v>
      </c>
      <c r="P113" s="8">
        <v>45190.64203703704</v>
      </c>
      <c r="Q113" s="9">
        <v>45192</v>
      </c>
      <c r="R113" t="s">
        <v>37</v>
      </c>
      <c r="S113" t="s">
        <v>44</v>
      </c>
      <c r="T113" t="s">
        <v>45</v>
      </c>
      <c r="U113" t="s">
        <v>115</v>
      </c>
      <c r="V113" t="s">
        <v>425</v>
      </c>
      <c r="W113">
        <v>18500</v>
      </c>
      <c r="X113" t="s">
        <v>44</v>
      </c>
      <c r="Y113" t="s">
        <v>114</v>
      </c>
      <c r="Z113" t="s">
        <v>49</v>
      </c>
      <c r="AA113" s="10">
        <f>IF(O113&lt;=1,7,7+0.8*ROUNDUP(O113-1,0))</f>
        <v>7</v>
      </c>
      <c r="AB113" s="11">
        <v>0</v>
      </c>
      <c r="AC113" s="11">
        <v>0</v>
      </c>
      <c r="AD113" s="11">
        <v>0</v>
      </c>
      <c r="AE113" s="11">
        <v>0</v>
      </c>
      <c r="AF113" s="11">
        <f t="shared" si="2"/>
        <v>0.42</v>
      </c>
      <c r="AG113" s="11">
        <f t="shared" si="3"/>
        <v>7.42</v>
      </c>
      <c r="AH113" t="s">
        <v>50</v>
      </c>
    </row>
    <row r="114" spans="1:34" ht="15" customHeight="1" x14ac:dyDescent="0.35">
      <c r="A114">
        <v>7547676</v>
      </c>
      <c r="B114">
        <v>690929</v>
      </c>
      <c r="C114" t="s">
        <v>34</v>
      </c>
      <c r="D114" t="s">
        <v>35</v>
      </c>
      <c r="E114" s="6" t="s">
        <v>34</v>
      </c>
      <c r="F114" t="s">
        <v>426</v>
      </c>
      <c r="G114" t="s">
        <v>37</v>
      </c>
      <c r="H114" t="s">
        <v>38</v>
      </c>
      <c r="I114" t="s">
        <v>127</v>
      </c>
      <c r="J114" t="s">
        <v>40</v>
      </c>
      <c r="K114">
        <v>2</v>
      </c>
      <c r="L114" t="s">
        <v>41</v>
      </c>
      <c r="M114" t="s">
        <v>42</v>
      </c>
      <c r="N114" t="s">
        <v>43</v>
      </c>
      <c r="O114" s="7">
        <v>20</v>
      </c>
      <c r="P114" s="8">
        <v>45190.72115740741</v>
      </c>
      <c r="Q114" s="9">
        <v>45192</v>
      </c>
      <c r="R114" t="s">
        <v>37</v>
      </c>
      <c r="S114" t="s">
        <v>44</v>
      </c>
      <c r="T114" t="s">
        <v>45</v>
      </c>
      <c r="U114" t="s">
        <v>128</v>
      </c>
      <c r="V114" t="s">
        <v>129</v>
      </c>
      <c r="W114">
        <v>2700</v>
      </c>
      <c r="X114" t="s">
        <v>44</v>
      </c>
      <c r="Y114" t="s">
        <v>130</v>
      </c>
      <c r="Z114" t="s">
        <v>49</v>
      </c>
      <c r="AA114" s="10">
        <f>IF(O114&lt;=1,7,7+0.8*ROUNDUP(O114-1,0))</f>
        <v>22.200000000000003</v>
      </c>
      <c r="AB114" s="11">
        <v>0</v>
      </c>
      <c r="AC114" s="11">
        <v>0</v>
      </c>
      <c r="AD114" s="11">
        <v>0</v>
      </c>
      <c r="AE114" s="11">
        <v>0</v>
      </c>
      <c r="AF114" s="11">
        <f t="shared" si="2"/>
        <v>1.3320000000000001</v>
      </c>
      <c r="AG114" s="11">
        <f t="shared" si="3"/>
        <v>23.532000000000004</v>
      </c>
      <c r="AH114" t="s">
        <v>50</v>
      </c>
    </row>
    <row r="115" spans="1:34" ht="15" customHeight="1" x14ac:dyDescent="0.35">
      <c r="A115">
        <v>7547676</v>
      </c>
      <c r="B115">
        <v>690929</v>
      </c>
      <c r="C115" t="s">
        <v>34</v>
      </c>
      <c r="D115" t="s">
        <v>35</v>
      </c>
      <c r="E115" s="6" t="s">
        <v>34</v>
      </c>
      <c r="F115" t="s">
        <v>427</v>
      </c>
      <c r="G115" t="s">
        <v>37</v>
      </c>
      <c r="H115" t="s">
        <v>38</v>
      </c>
      <c r="I115" t="s">
        <v>428</v>
      </c>
      <c r="J115" t="s">
        <v>40</v>
      </c>
      <c r="K115">
        <v>2</v>
      </c>
      <c r="L115" t="s">
        <v>41</v>
      </c>
      <c r="M115" t="s">
        <v>42</v>
      </c>
      <c r="N115" t="s">
        <v>43</v>
      </c>
      <c r="O115" s="7">
        <v>1</v>
      </c>
      <c r="P115" s="8">
        <v>45190.751759259256</v>
      </c>
      <c r="Q115" s="9">
        <v>45192</v>
      </c>
      <c r="R115" t="s">
        <v>37</v>
      </c>
      <c r="S115" t="s">
        <v>44</v>
      </c>
      <c r="T115" t="s">
        <v>114</v>
      </c>
      <c r="U115" t="s">
        <v>46</v>
      </c>
      <c r="V115" t="s">
        <v>429</v>
      </c>
      <c r="W115">
        <v>28400</v>
      </c>
      <c r="X115" t="s">
        <v>44</v>
      </c>
      <c r="Y115" t="s">
        <v>114</v>
      </c>
      <c r="Z115" t="s">
        <v>49</v>
      </c>
      <c r="AA115" s="10">
        <f>IF(O115&lt;=1,7,7+0.8*ROUNDUP(O115-1,0))</f>
        <v>7</v>
      </c>
      <c r="AB115" s="11">
        <v>0</v>
      </c>
      <c r="AC115" s="11">
        <v>0</v>
      </c>
      <c r="AD115" s="11">
        <v>0</v>
      </c>
      <c r="AE115" s="11">
        <v>0</v>
      </c>
      <c r="AF115" s="11">
        <f t="shared" si="2"/>
        <v>0.42</v>
      </c>
      <c r="AG115" s="11">
        <f t="shared" si="3"/>
        <v>7.42</v>
      </c>
      <c r="AH115" t="s">
        <v>50</v>
      </c>
    </row>
    <row r="116" spans="1:34" ht="15" customHeight="1" x14ac:dyDescent="0.35">
      <c r="A116">
        <v>7547676</v>
      </c>
      <c r="B116">
        <v>690929</v>
      </c>
      <c r="C116" t="s">
        <v>34</v>
      </c>
      <c r="D116" t="s">
        <v>35</v>
      </c>
      <c r="E116" s="6" t="s">
        <v>34</v>
      </c>
      <c r="F116" t="s">
        <v>430</v>
      </c>
      <c r="G116" t="s">
        <v>37</v>
      </c>
      <c r="H116" t="s">
        <v>38</v>
      </c>
      <c r="I116" t="s">
        <v>431</v>
      </c>
      <c r="J116" t="s">
        <v>40</v>
      </c>
      <c r="K116">
        <v>2</v>
      </c>
      <c r="L116" t="s">
        <v>41</v>
      </c>
      <c r="M116" t="s">
        <v>42</v>
      </c>
      <c r="N116" t="s">
        <v>43</v>
      </c>
      <c r="O116" s="7">
        <v>1</v>
      </c>
      <c r="P116" s="8">
        <v>45189.741851851853</v>
      </c>
      <c r="Q116" s="9">
        <v>45192</v>
      </c>
      <c r="R116" t="s">
        <v>37</v>
      </c>
      <c r="S116" t="s">
        <v>44</v>
      </c>
      <c r="T116" t="s">
        <v>45</v>
      </c>
      <c r="U116" t="s">
        <v>139</v>
      </c>
      <c r="V116" t="s">
        <v>432</v>
      </c>
      <c r="W116">
        <v>5150</v>
      </c>
      <c r="X116" t="s">
        <v>44</v>
      </c>
      <c r="Y116" t="s">
        <v>433</v>
      </c>
      <c r="Z116" t="s">
        <v>49</v>
      </c>
      <c r="AA116" s="10">
        <f>IF(O116&lt;=1,7,7+0.8*ROUNDUP(O116-1,0))</f>
        <v>7</v>
      </c>
      <c r="AB116" s="11">
        <v>0</v>
      </c>
      <c r="AC116" s="11">
        <v>0</v>
      </c>
      <c r="AD116" s="11">
        <v>0</v>
      </c>
      <c r="AE116" s="11">
        <v>0</v>
      </c>
      <c r="AF116" s="11">
        <f t="shared" si="2"/>
        <v>0.42</v>
      </c>
      <c r="AG116" s="11">
        <f t="shared" si="3"/>
        <v>7.42</v>
      </c>
      <c r="AH116" t="s">
        <v>50</v>
      </c>
    </row>
    <row r="117" spans="1:34" ht="15" customHeight="1" x14ac:dyDescent="0.35">
      <c r="A117">
        <v>7547676</v>
      </c>
      <c r="B117">
        <v>690929</v>
      </c>
      <c r="C117" t="s">
        <v>34</v>
      </c>
      <c r="D117" t="s">
        <v>35</v>
      </c>
      <c r="E117" s="6" t="s">
        <v>34</v>
      </c>
      <c r="F117" t="s">
        <v>434</v>
      </c>
      <c r="G117" t="s">
        <v>37</v>
      </c>
      <c r="H117" t="s">
        <v>38</v>
      </c>
      <c r="I117" t="s">
        <v>435</v>
      </c>
      <c r="J117" t="s">
        <v>40</v>
      </c>
      <c r="K117">
        <v>2</v>
      </c>
      <c r="L117" t="s">
        <v>41</v>
      </c>
      <c r="M117" t="s">
        <v>42</v>
      </c>
      <c r="N117" t="s">
        <v>43</v>
      </c>
      <c r="O117" s="7">
        <v>1</v>
      </c>
      <c r="P117" s="8">
        <v>45190.565798611111</v>
      </c>
      <c r="Q117" s="9">
        <v>45192</v>
      </c>
      <c r="R117" t="s">
        <v>37</v>
      </c>
      <c r="S117" t="s">
        <v>44</v>
      </c>
      <c r="T117" t="s">
        <v>45</v>
      </c>
      <c r="U117" t="s">
        <v>101</v>
      </c>
      <c r="V117" t="s">
        <v>436</v>
      </c>
      <c r="W117">
        <v>34510</v>
      </c>
      <c r="X117" t="s">
        <v>44</v>
      </c>
      <c r="Y117" t="s">
        <v>145</v>
      </c>
      <c r="Z117" t="s">
        <v>49</v>
      </c>
      <c r="AA117" s="10">
        <f>IF(O117&lt;=1,7,7+0.8*ROUNDUP(O117-1,0))</f>
        <v>7</v>
      </c>
      <c r="AB117" s="11">
        <v>0</v>
      </c>
      <c r="AC117" s="11">
        <v>0</v>
      </c>
      <c r="AD117" s="11">
        <v>0</v>
      </c>
      <c r="AE117" s="11">
        <v>0</v>
      </c>
      <c r="AF117" s="11">
        <f t="shared" si="2"/>
        <v>0.42</v>
      </c>
      <c r="AG117" s="11">
        <f t="shared" si="3"/>
        <v>7.42</v>
      </c>
      <c r="AH117" t="s">
        <v>50</v>
      </c>
    </row>
    <row r="118" spans="1:34" ht="15" customHeight="1" x14ac:dyDescent="0.35">
      <c r="A118">
        <v>7547676</v>
      </c>
      <c r="B118">
        <v>690929</v>
      </c>
      <c r="C118" t="s">
        <v>34</v>
      </c>
      <c r="D118" t="s">
        <v>35</v>
      </c>
      <c r="E118" s="6" t="s">
        <v>34</v>
      </c>
      <c r="F118" t="s">
        <v>437</v>
      </c>
      <c r="G118" t="s">
        <v>37</v>
      </c>
      <c r="H118" t="s">
        <v>38</v>
      </c>
      <c r="I118" t="s">
        <v>438</v>
      </c>
      <c r="J118" t="s">
        <v>40</v>
      </c>
      <c r="K118">
        <v>2</v>
      </c>
      <c r="L118" t="s">
        <v>41</v>
      </c>
      <c r="M118" t="s">
        <v>42</v>
      </c>
      <c r="N118" t="s">
        <v>43</v>
      </c>
      <c r="O118" s="7">
        <v>1</v>
      </c>
      <c r="P118" s="8">
        <v>45191.433298611111</v>
      </c>
      <c r="Q118" s="9">
        <v>45192</v>
      </c>
      <c r="R118" t="s">
        <v>37</v>
      </c>
      <c r="S118" t="s">
        <v>44</v>
      </c>
      <c r="T118" t="s">
        <v>114</v>
      </c>
      <c r="U118" t="s">
        <v>115</v>
      </c>
      <c r="V118" t="s">
        <v>439</v>
      </c>
      <c r="W118">
        <v>15100</v>
      </c>
      <c r="X118" t="s">
        <v>44</v>
      </c>
      <c r="Y118" t="s">
        <v>114</v>
      </c>
      <c r="Z118" t="s">
        <v>49</v>
      </c>
      <c r="AA118" s="10">
        <f>IF(O118&lt;=1,7,7+0.8*ROUNDUP(O118-1,0))</f>
        <v>7</v>
      </c>
      <c r="AB118" s="11">
        <v>0</v>
      </c>
      <c r="AC118" s="11">
        <v>0</v>
      </c>
      <c r="AD118" s="11">
        <v>0</v>
      </c>
      <c r="AE118" s="11">
        <v>0</v>
      </c>
      <c r="AF118" s="11">
        <f t="shared" si="2"/>
        <v>0.42</v>
      </c>
      <c r="AG118" s="11">
        <f t="shared" si="3"/>
        <v>7.42</v>
      </c>
      <c r="AH118" t="s">
        <v>50</v>
      </c>
    </row>
    <row r="119" spans="1:34" ht="15" customHeight="1" x14ac:dyDescent="0.35">
      <c r="A119">
        <v>7547676</v>
      </c>
      <c r="B119">
        <v>690929</v>
      </c>
      <c r="C119" t="s">
        <v>34</v>
      </c>
      <c r="D119" t="s">
        <v>35</v>
      </c>
      <c r="E119" s="6" t="s">
        <v>34</v>
      </c>
      <c r="F119" t="s">
        <v>440</v>
      </c>
      <c r="G119" t="s">
        <v>37</v>
      </c>
      <c r="H119" t="s">
        <v>38</v>
      </c>
      <c r="I119" t="s">
        <v>441</v>
      </c>
      <c r="J119" t="s">
        <v>40</v>
      </c>
      <c r="K119">
        <v>2</v>
      </c>
      <c r="L119" t="s">
        <v>41</v>
      </c>
      <c r="M119" t="s">
        <v>42</v>
      </c>
      <c r="N119" t="s">
        <v>43</v>
      </c>
      <c r="O119" s="7">
        <v>1</v>
      </c>
      <c r="P119" s="8">
        <v>45192.681516203702</v>
      </c>
      <c r="Q119" s="9">
        <v>45193</v>
      </c>
      <c r="R119" t="s">
        <v>37</v>
      </c>
      <c r="S119" t="s">
        <v>44</v>
      </c>
      <c r="T119" t="s">
        <v>45</v>
      </c>
      <c r="U119" t="s">
        <v>284</v>
      </c>
      <c r="V119" t="s">
        <v>442</v>
      </c>
      <c r="W119">
        <v>24000</v>
      </c>
      <c r="X119" t="s">
        <v>44</v>
      </c>
      <c r="Y119" t="s">
        <v>45</v>
      </c>
      <c r="Z119" t="s">
        <v>49</v>
      </c>
      <c r="AA119" s="10">
        <f>IF(O119&lt;=1,7,7+0.8*ROUNDUP(O119-1,0))</f>
        <v>7</v>
      </c>
      <c r="AB119" s="11">
        <v>0</v>
      </c>
      <c r="AC119" s="11">
        <v>0</v>
      </c>
      <c r="AD119" s="11">
        <v>0</v>
      </c>
      <c r="AE119" s="11">
        <v>0</v>
      </c>
      <c r="AF119" s="11">
        <f t="shared" si="2"/>
        <v>0.42</v>
      </c>
      <c r="AG119" s="11">
        <f t="shared" si="3"/>
        <v>7.42</v>
      </c>
      <c r="AH119" t="s">
        <v>50</v>
      </c>
    </row>
    <row r="120" spans="1:34" ht="15" customHeight="1" x14ac:dyDescent="0.35">
      <c r="A120">
        <v>7547676</v>
      </c>
      <c r="B120">
        <v>690929</v>
      </c>
      <c r="C120" t="s">
        <v>34</v>
      </c>
      <c r="D120" t="s">
        <v>35</v>
      </c>
      <c r="E120" s="6" t="s">
        <v>34</v>
      </c>
      <c r="F120" t="s">
        <v>443</v>
      </c>
      <c r="G120" t="s">
        <v>37</v>
      </c>
      <c r="H120" t="s">
        <v>38</v>
      </c>
      <c r="I120" t="s">
        <v>444</v>
      </c>
      <c r="J120" t="s">
        <v>40</v>
      </c>
      <c r="K120">
        <v>2</v>
      </c>
      <c r="L120" t="s">
        <v>41</v>
      </c>
      <c r="M120" t="s">
        <v>42</v>
      </c>
      <c r="N120" t="s">
        <v>43</v>
      </c>
      <c r="O120" s="7">
        <v>1</v>
      </c>
      <c r="P120" s="8">
        <v>45192.681516203702</v>
      </c>
      <c r="Q120" s="9">
        <v>45193</v>
      </c>
      <c r="R120" t="s">
        <v>37</v>
      </c>
      <c r="S120" t="s">
        <v>44</v>
      </c>
      <c r="T120" t="s">
        <v>45</v>
      </c>
      <c r="U120" t="s">
        <v>46</v>
      </c>
      <c r="V120" t="s">
        <v>445</v>
      </c>
      <c r="W120">
        <v>25150</v>
      </c>
      <c r="X120" t="s">
        <v>44</v>
      </c>
      <c r="Y120" t="s">
        <v>45</v>
      </c>
      <c r="Z120" t="s">
        <v>49</v>
      </c>
      <c r="AA120" s="10">
        <f>IF(O120&lt;=1,7,7+0.8*ROUNDUP(O120-1,0))</f>
        <v>7</v>
      </c>
      <c r="AB120" s="11">
        <v>0</v>
      </c>
      <c r="AC120" s="11">
        <v>0</v>
      </c>
      <c r="AD120" s="11">
        <v>0</v>
      </c>
      <c r="AE120" s="11">
        <v>0</v>
      </c>
      <c r="AF120" s="11">
        <f t="shared" si="2"/>
        <v>0.42</v>
      </c>
      <c r="AG120" s="11">
        <f t="shared" si="3"/>
        <v>7.42</v>
      </c>
      <c r="AH120" t="s">
        <v>50</v>
      </c>
    </row>
    <row r="121" spans="1:34" ht="15" customHeight="1" x14ac:dyDescent="0.35">
      <c r="A121">
        <v>7547676</v>
      </c>
      <c r="B121">
        <v>690929</v>
      </c>
      <c r="C121" t="s">
        <v>34</v>
      </c>
      <c r="D121" t="s">
        <v>35</v>
      </c>
      <c r="E121" s="6" t="s">
        <v>34</v>
      </c>
      <c r="F121" t="s">
        <v>446</v>
      </c>
      <c r="G121" t="s">
        <v>37</v>
      </c>
      <c r="H121" t="s">
        <v>38</v>
      </c>
      <c r="I121" t="s">
        <v>447</v>
      </c>
      <c r="J121" t="s">
        <v>40</v>
      </c>
      <c r="K121">
        <v>2</v>
      </c>
      <c r="L121" t="s">
        <v>41</v>
      </c>
      <c r="M121" t="s">
        <v>42</v>
      </c>
      <c r="N121" t="s">
        <v>43</v>
      </c>
      <c r="O121" s="7">
        <v>1</v>
      </c>
      <c r="P121" s="8">
        <v>45192.628263888888</v>
      </c>
      <c r="Q121" s="9">
        <v>45193</v>
      </c>
      <c r="R121" t="s">
        <v>37</v>
      </c>
      <c r="S121" t="s">
        <v>44</v>
      </c>
      <c r="T121" t="s">
        <v>45</v>
      </c>
      <c r="U121" t="s">
        <v>67</v>
      </c>
      <c r="V121" t="s">
        <v>448</v>
      </c>
      <c r="W121">
        <v>42500</v>
      </c>
      <c r="X121" t="s">
        <v>44</v>
      </c>
      <c r="Y121" t="s">
        <v>398</v>
      </c>
      <c r="Z121" t="s">
        <v>49</v>
      </c>
      <c r="AA121" s="10">
        <f>IF(O121&lt;=1,7,7+0.8*ROUNDUP(O121-1,0))</f>
        <v>7</v>
      </c>
      <c r="AB121" s="11">
        <v>0</v>
      </c>
      <c r="AC121" s="11">
        <v>0</v>
      </c>
      <c r="AD121" s="11">
        <v>0</v>
      </c>
      <c r="AE121" s="11">
        <v>0</v>
      </c>
      <c r="AF121" s="11">
        <f t="shared" si="2"/>
        <v>0.42</v>
      </c>
      <c r="AG121" s="11">
        <f t="shared" si="3"/>
        <v>7.42</v>
      </c>
      <c r="AH121" t="s">
        <v>50</v>
      </c>
    </row>
    <row r="122" spans="1:34" ht="15" customHeight="1" x14ac:dyDescent="0.35">
      <c r="A122">
        <v>7547676</v>
      </c>
      <c r="B122">
        <v>690929</v>
      </c>
      <c r="C122" t="s">
        <v>34</v>
      </c>
      <c r="D122" t="s">
        <v>35</v>
      </c>
      <c r="E122" s="6" t="s">
        <v>34</v>
      </c>
      <c r="F122" t="s">
        <v>449</v>
      </c>
      <c r="G122" t="s">
        <v>37</v>
      </c>
      <c r="H122" t="s">
        <v>38</v>
      </c>
      <c r="I122" t="s">
        <v>450</v>
      </c>
      <c r="J122" t="s">
        <v>40</v>
      </c>
      <c r="K122">
        <v>2</v>
      </c>
      <c r="L122" t="s">
        <v>41</v>
      </c>
      <c r="M122" t="s">
        <v>42</v>
      </c>
      <c r="N122" t="s">
        <v>43</v>
      </c>
      <c r="O122" s="7">
        <v>1</v>
      </c>
      <c r="P122" s="8">
        <v>45192.505439814813</v>
      </c>
      <c r="Q122" s="9">
        <v>45193</v>
      </c>
      <c r="R122" t="s">
        <v>37</v>
      </c>
      <c r="S122" t="s">
        <v>44</v>
      </c>
      <c r="T122" t="s">
        <v>45</v>
      </c>
      <c r="U122" t="s">
        <v>62</v>
      </c>
      <c r="V122" t="s">
        <v>451</v>
      </c>
      <c r="W122">
        <v>50300</v>
      </c>
      <c r="X122" t="s">
        <v>44</v>
      </c>
      <c r="Y122" t="s">
        <v>452</v>
      </c>
      <c r="Z122" t="s">
        <v>49</v>
      </c>
      <c r="AA122" s="10">
        <f>IF(O122&lt;=1,7,7+0.8*ROUNDUP(O122-1,0))</f>
        <v>7</v>
      </c>
      <c r="AB122" s="11">
        <v>0</v>
      </c>
      <c r="AC122" s="11">
        <v>0</v>
      </c>
      <c r="AD122" s="11">
        <v>0</v>
      </c>
      <c r="AE122" s="11">
        <v>0</v>
      </c>
      <c r="AF122" s="11">
        <f t="shared" si="2"/>
        <v>0.42</v>
      </c>
      <c r="AG122" s="11">
        <f t="shared" si="3"/>
        <v>7.42</v>
      </c>
      <c r="AH122" t="s">
        <v>50</v>
      </c>
    </row>
    <row r="123" spans="1:34" ht="15" customHeight="1" x14ac:dyDescent="0.35">
      <c r="A123">
        <v>7547676</v>
      </c>
      <c r="B123">
        <v>690929</v>
      </c>
      <c r="C123" t="s">
        <v>34</v>
      </c>
      <c r="D123" t="s">
        <v>35</v>
      </c>
      <c r="E123" s="6" t="s">
        <v>34</v>
      </c>
      <c r="F123" t="s">
        <v>453</v>
      </c>
      <c r="G123" t="s">
        <v>37</v>
      </c>
      <c r="H123" t="s">
        <v>38</v>
      </c>
      <c r="I123" t="s">
        <v>454</v>
      </c>
      <c r="J123" t="s">
        <v>40</v>
      </c>
      <c r="K123">
        <v>2</v>
      </c>
      <c r="L123" t="s">
        <v>41</v>
      </c>
      <c r="M123" t="s">
        <v>42</v>
      </c>
      <c r="N123" t="s">
        <v>43</v>
      </c>
      <c r="O123" s="7">
        <v>2</v>
      </c>
      <c r="P123" s="8">
        <v>45192.694293981483</v>
      </c>
      <c r="Q123" s="9">
        <v>45193</v>
      </c>
      <c r="R123" t="s">
        <v>37</v>
      </c>
      <c r="S123" t="s">
        <v>44</v>
      </c>
      <c r="T123" t="s">
        <v>45</v>
      </c>
      <c r="U123" t="s">
        <v>284</v>
      </c>
      <c r="V123" t="s">
        <v>455</v>
      </c>
      <c r="W123">
        <v>22200</v>
      </c>
      <c r="X123" t="s">
        <v>44</v>
      </c>
      <c r="Y123" t="s">
        <v>456</v>
      </c>
      <c r="Z123" t="s">
        <v>49</v>
      </c>
      <c r="AA123" s="10">
        <f>IF(O123&lt;=1,7,7+0.8*ROUNDUP(O123-1,0))</f>
        <v>7.8</v>
      </c>
      <c r="AB123" s="11">
        <v>0</v>
      </c>
      <c r="AC123" s="11">
        <v>0</v>
      </c>
      <c r="AD123" s="11">
        <v>0</v>
      </c>
      <c r="AE123" s="11">
        <v>0</v>
      </c>
      <c r="AF123" s="11">
        <f t="shared" si="2"/>
        <v>0.46799999999999997</v>
      </c>
      <c r="AG123" s="11">
        <f t="shared" si="3"/>
        <v>8.2680000000000007</v>
      </c>
      <c r="AH123" t="s">
        <v>50</v>
      </c>
    </row>
    <row r="124" spans="1:34" ht="15" customHeight="1" x14ac:dyDescent="0.35">
      <c r="A124">
        <v>7547676</v>
      </c>
      <c r="B124">
        <v>690929</v>
      </c>
      <c r="C124" t="s">
        <v>34</v>
      </c>
      <c r="D124" t="s">
        <v>35</v>
      </c>
      <c r="E124" s="6" t="s">
        <v>34</v>
      </c>
      <c r="F124" t="s">
        <v>457</v>
      </c>
      <c r="G124" t="s">
        <v>37</v>
      </c>
      <c r="H124" t="s">
        <v>38</v>
      </c>
      <c r="I124" t="s">
        <v>458</v>
      </c>
      <c r="J124" t="s">
        <v>40</v>
      </c>
      <c r="K124">
        <v>2</v>
      </c>
      <c r="L124" t="s">
        <v>41</v>
      </c>
      <c r="M124" t="s">
        <v>42</v>
      </c>
      <c r="N124" t="s">
        <v>43</v>
      </c>
      <c r="O124" s="7">
        <v>1</v>
      </c>
      <c r="P124" s="8">
        <v>45193.688993055555</v>
      </c>
      <c r="Q124" s="9">
        <v>45194</v>
      </c>
      <c r="R124" t="s">
        <v>37</v>
      </c>
      <c r="S124" t="s">
        <v>44</v>
      </c>
      <c r="T124" t="s">
        <v>45</v>
      </c>
      <c r="U124" t="s">
        <v>119</v>
      </c>
      <c r="V124" t="s">
        <v>459</v>
      </c>
      <c r="W124">
        <v>75450</v>
      </c>
      <c r="X124" t="s">
        <v>44</v>
      </c>
      <c r="Y124" t="s">
        <v>158</v>
      </c>
      <c r="Z124" t="s">
        <v>49</v>
      </c>
      <c r="AA124" s="10">
        <f>IF(O124&lt;=1,7,7+0.8*ROUNDUP(O124-1,0))</f>
        <v>7</v>
      </c>
      <c r="AB124" s="11">
        <v>0</v>
      </c>
      <c r="AC124" s="11">
        <v>0</v>
      </c>
      <c r="AD124" s="11">
        <v>0</v>
      </c>
      <c r="AE124" s="11">
        <v>0</v>
      </c>
      <c r="AF124" s="11">
        <f t="shared" si="2"/>
        <v>0.42</v>
      </c>
      <c r="AG124" s="11">
        <f t="shared" si="3"/>
        <v>7.42</v>
      </c>
      <c r="AH124" t="s">
        <v>50</v>
      </c>
    </row>
    <row r="125" spans="1:34" ht="15" customHeight="1" x14ac:dyDescent="0.35">
      <c r="A125">
        <v>7547676</v>
      </c>
      <c r="B125">
        <v>690929</v>
      </c>
      <c r="C125" t="s">
        <v>34</v>
      </c>
      <c r="D125" t="s">
        <v>35</v>
      </c>
      <c r="E125" s="6" t="s">
        <v>34</v>
      </c>
      <c r="F125" t="s">
        <v>460</v>
      </c>
      <c r="G125" t="s">
        <v>37</v>
      </c>
      <c r="H125" t="s">
        <v>38</v>
      </c>
      <c r="I125" t="s">
        <v>461</v>
      </c>
      <c r="J125" t="s">
        <v>40</v>
      </c>
      <c r="K125">
        <v>2</v>
      </c>
      <c r="L125" t="s">
        <v>41</v>
      </c>
      <c r="M125" t="s">
        <v>42</v>
      </c>
      <c r="N125" t="s">
        <v>43</v>
      </c>
      <c r="O125" s="7">
        <v>1</v>
      </c>
      <c r="P125" s="8">
        <v>45193.669062499997</v>
      </c>
      <c r="Q125" s="9">
        <v>45194</v>
      </c>
      <c r="R125" t="s">
        <v>37</v>
      </c>
      <c r="S125" t="s">
        <v>44</v>
      </c>
      <c r="T125" t="s">
        <v>45</v>
      </c>
      <c r="U125" t="s">
        <v>46</v>
      </c>
      <c r="V125" t="s">
        <v>462</v>
      </c>
      <c r="W125">
        <v>27400</v>
      </c>
      <c r="X125" t="s">
        <v>44</v>
      </c>
      <c r="Y125" t="s">
        <v>45</v>
      </c>
      <c r="Z125" t="s">
        <v>49</v>
      </c>
      <c r="AA125" s="10">
        <f>IF(O125&lt;=1,7,7+0.8*ROUNDUP(O125-1,0))</f>
        <v>7</v>
      </c>
      <c r="AB125" s="11">
        <v>0</v>
      </c>
      <c r="AC125" s="11">
        <v>0</v>
      </c>
      <c r="AD125" s="11">
        <v>0</v>
      </c>
      <c r="AE125" s="11">
        <v>0</v>
      </c>
      <c r="AF125" s="11">
        <f t="shared" si="2"/>
        <v>0.42</v>
      </c>
      <c r="AG125" s="11">
        <f t="shared" si="3"/>
        <v>7.42</v>
      </c>
      <c r="AH125" t="s">
        <v>50</v>
      </c>
    </row>
    <row r="126" spans="1:34" ht="15" customHeight="1" x14ac:dyDescent="0.35">
      <c r="A126">
        <v>7547676</v>
      </c>
      <c r="B126">
        <v>690929</v>
      </c>
      <c r="C126" t="s">
        <v>34</v>
      </c>
      <c r="D126" t="s">
        <v>35</v>
      </c>
      <c r="E126" s="6" t="s">
        <v>34</v>
      </c>
      <c r="F126" t="s">
        <v>463</v>
      </c>
      <c r="G126" t="s">
        <v>37</v>
      </c>
      <c r="H126" t="s">
        <v>38</v>
      </c>
      <c r="I126" t="s">
        <v>464</v>
      </c>
      <c r="J126" t="s">
        <v>40</v>
      </c>
      <c r="K126">
        <v>2</v>
      </c>
      <c r="L126" t="s">
        <v>41</v>
      </c>
      <c r="M126" t="s">
        <v>42</v>
      </c>
      <c r="N126" t="s">
        <v>43</v>
      </c>
      <c r="O126" s="7">
        <v>6</v>
      </c>
      <c r="P126" s="8">
        <v>45192.574247685188</v>
      </c>
      <c r="Q126" s="9">
        <v>45194</v>
      </c>
      <c r="R126" t="s">
        <v>37</v>
      </c>
      <c r="S126" t="s">
        <v>44</v>
      </c>
      <c r="T126" t="s">
        <v>45</v>
      </c>
      <c r="U126" t="s">
        <v>110</v>
      </c>
      <c r="V126" t="s">
        <v>465</v>
      </c>
      <c r="W126">
        <v>81900</v>
      </c>
      <c r="X126" t="s">
        <v>44</v>
      </c>
      <c r="Y126" t="s">
        <v>466</v>
      </c>
      <c r="Z126" t="s">
        <v>49</v>
      </c>
      <c r="AA126" s="10">
        <f>IF(O126&lt;=1,7,7+0.8*ROUNDUP(O126-1,0))</f>
        <v>11</v>
      </c>
      <c r="AB126" s="11">
        <v>0</v>
      </c>
      <c r="AC126" s="11">
        <v>0</v>
      </c>
      <c r="AD126" s="11">
        <v>0</v>
      </c>
      <c r="AE126" s="11">
        <v>0</v>
      </c>
      <c r="AF126" s="11">
        <f t="shared" si="2"/>
        <v>0.65999999999999992</v>
      </c>
      <c r="AG126" s="11">
        <f t="shared" si="3"/>
        <v>11.66</v>
      </c>
      <c r="AH126" t="s">
        <v>50</v>
      </c>
    </row>
    <row r="127" spans="1:34" ht="15" customHeight="1" x14ac:dyDescent="0.35">
      <c r="A127">
        <v>7547676</v>
      </c>
      <c r="B127">
        <v>690929</v>
      </c>
      <c r="C127" t="s">
        <v>34</v>
      </c>
      <c r="D127" t="s">
        <v>35</v>
      </c>
      <c r="E127" s="6" t="s">
        <v>34</v>
      </c>
      <c r="F127" t="s">
        <v>467</v>
      </c>
      <c r="G127" t="s">
        <v>37</v>
      </c>
      <c r="H127" t="s">
        <v>38</v>
      </c>
      <c r="I127" t="s">
        <v>464</v>
      </c>
      <c r="J127" t="s">
        <v>40</v>
      </c>
      <c r="K127">
        <v>2</v>
      </c>
      <c r="L127" t="s">
        <v>41</v>
      </c>
      <c r="M127" t="s">
        <v>42</v>
      </c>
      <c r="N127" t="s">
        <v>43</v>
      </c>
      <c r="O127" s="7">
        <v>3</v>
      </c>
      <c r="P127" s="8">
        <v>45192.574247685188</v>
      </c>
      <c r="Q127" s="9">
        <v>45194</v>
      </c>
      <c r="R127" t="s">
        <v>37</v>
      </c>
      <c r="S127" t="s">
        <v>44</v>
      </c>
      <c r="T127" t="s">
        <v>45</v>
      </c>
      <c r="U127" t="s">
        <v>110</v>
      </c>
      <c r="V127" t="s">
        <v>465</v>
      </c>
      <c r="W127">
        <v>81900</v>
      </c>
      <c r="X127" t="s">
        <v>44</v>
      </c>
      <c r="Y127" t="s">
        <v>466</v>
      </c>
      <c r="Z127" t="s">
        <v>49</v>
      </c>
      <c r="AA127" s="10">
        <f>IF(O127&lt;=1,7,7+0.8*ROUNDUP(O127-1,0))</f>
        <v>8.6</v>
      </c>
      <c r="AB127" s="11">
        <v>0</v>
      </c>
      <c r="AC127" s="11">
        <v>0</v>
      </c>
      <c r="AD127" s="11">
        <v>0</v>
      </c>
      <c r="AE127" s="11">
        <v>0</v>
      </c>
      <c r="AF127" s="11">
        <f t="shared" si="2"/>
        <v>0.51600000000000001</v>
      </c>
      <c r="AG127" s="11">
        <f t="shared" si="3"/>
        <v>9.1159999999999997</v>
      </c>
      <c r="AH127" t="s">
        <v>50</v>
      </c>
    </row>
    <row r="128" spans="1:34" ht="15" customHeight="1" x14ac:dyDescent="0.35">
      <c r="A128">
        <v>7547676</v>
      </c>
      <c r="B128">
        <v>690929</v>
      </c>
      <c r="C128" t="s">
        <v>34</v>
      </c>
      <c r="D128" t="s">
        <v>35</v>
      </c>
      <c r="E128" s="6" t="s">
        <v>34</v>
      </c>
      <c r="F128" t="s">
        <v>468</v>
      </c>
      <c r="G128" t="s">
        <v>37</v>
      </c>
      <c r="H128" t="s">
        <v>38</v>
      </c>
      <c r="I128" t="s">
        <v>464</v>
      </c>
      <c r="J128" t="s">
        <v>40</v>
      </c>
      <c r="K128">
        <v>2</v>
      </c>
      <c r="L128" t="s">
        <v>41</v>
      </c>
      <c r="M128" t="s">
        <v>42</v>
      </c>
      <c r="N128" t="s">
        <v>43</v>
      </c>
      <c r="O128" s="7">
        <v>5</v>
      </c>
      <c r="P128" s="8">
        <v>45192.574247685188</v>
      </c>
      <c r="Q128" s="9">
        <v>45194</v>
      </c>
      <c r="R128" t="s">
        <v>37</v>
      </c>
      <c r="S128" t="s">
        <v>44</v>
      </c>
      <c r="T128" t="s">
        <v>45</v>
      </c>
      <c r="U128" t="s">
        <v>110</v>
      </c>
      <c r="V128" t="s">
        <v>465</v>
      </c>
      <c r="W128">
        <v>81900</v>
      </c>
      <c r="X128" t="s">
        <v>44</v>
      </c>
      <c r="Y128" t="s">
        <v>466</v>
      </c>
      <c r="Z128" t="s">
        <v>49</v>
      </c>
      <c r="AA128" s="10">
        <f>IF(O128&lt;=1,7,7+0.8*ROUNDUP(O128-1,0))</f>
        <v>10.199999999999999</v>
      </c>
      <c r="AB128" s="11">
        <v>0</v>
      </c>
      <c r="AC128" s="11">
        <v>0</v>
      </c>
      <c r="AD128" s="11">
        <v>0</v>
      </c>
      <c r="AE128" s="11">
        <v>0</v>
      </c>
      <c r="AF128" s="11">
        <f t="shared" si="2"/>
        <v>0.61199999999999999</v>
      </c>
      <c r="AG128" s="11">
        <f t="shared" si="3"/>
        <v>10.811999999999999</v>
      </c>
      <c r="AH128" t="s">
        <v>50</v>
      </c>
    </row>
    <row r="129" spans="1:34" ht="15" customHeight="1" x14ac:dyDescent="0.35">
      <c r="A129">
        <v>7547676</v>
      </c>
      <c r="B129">
        <v>690929</v>
      </c>
      <c r="C129" t="s">
        <v>34</v>
      </c>
      <c r="D129" t="s">
        <v>35</v>
      </c>
      <c r="E129" s="6" t="s">
        <v>34</v>
      </c>
      <c r="F129" t="s">
        <v>469</v>
      </c>
      <c r="G129" t="s">
        <v>37</v>
      </c>
      <c r="H129" t="s">
        <v>38</v>
      </c>
      <c r="I129" t="s">
        <v>470</v>
      </c>
      <c r="J129" t="s">
        <v>40</v>
      </c>
      <c r="K129">
        <v>2</v>
      </c>
      <c r="L129" t="s">
        <v>41</v>
      </c>
      <c r="M129" t="s">
        <v>42</v>
      </c>
      <c r="N129" t="s">
        <v>43</v>
      </c>
      <c r="O129" s="7">
        <v>1</v>
      </c>
      <c r="P129" s="8">
        <v>45192.7187962963</v>
      </c>
      <c r="Q129" s="9">
        <v>45194</v>
      </c>
      <c r="R129" t="s">
        <v>37</v>
      </c>
      <c r="S129" t="s">
        <v>44</v>
      </c>
      <c r="T129" t="s">
        <v>45</v>
      </c>
      <c r="U129" t="s">
        <v>46</v>
      </c>
      <c r="V129" t="s">
        <v>471</v>
      </c>
      <c r="W129">
        <v>26060</v>
      </c>
      <c r="X129" t="s">
        <v>44</v>
      </c>
      <c r="Y129" t="s">
        <v>45</v>
      </c>
      <c r="Z129" t="s">
        <v>49</v>
      </c>
      <c r="AA129" s="10">
        <f>IF(O129&lt;=1,7,7+0.8*ROUNDUP(O129-1,0))</f>
        <v>7</v>
      </c>
      <c r="AB129" s="11">
        <v>0</v>
      </c>
      <c r="AC129" s="11">
        <v>0</v>
      </c>
      <c r="AD129" s="11">
        <v>0</v>
      </c>
      <c r="AE129" s="11">
        <v>0</v>
      </c>
      <c r="AF129" s="11">
        <f t="shared" si="2"/>
        <v>0.42</v>
      </c>
      <c r="AG129" s="11">
        <f t="shared" si="3"/>
        <v>7.42</v>
      </c>
      <c r="AH129" t="s">
        <v>50</v>
      </c>
    </row>
    <row r="130" spans="1:34" ht="15" customHeight="1" x14ac:dyDescent="0.35">
      <c r="A130">
        <v>7547676</v>
      </c>
      <c r="B130">
        <v>690929</v>
      </c>
      <c r="C130" t="s">
        <v>34</v>
      </c>
      <c r="D130" t="s">
        <v>35</v>
      </c>
      <c r="E130" s="6" t="s">
        <v>34</v>
      </c>
      <c r="F130" t="s">
        <v>472</v>
      </c>
      <c r="G130" t="s">
        <v>37</v>
      </c>
      <c r="H130" t="s">
        <v>38</v>
      </c>
      <c r="I130" t="s">
        <v>473</v>
      </c>
      <c r="J130" t="s">
        <v>40</v>
      </c>
      <c r="K130">
        <v>2</v>
      </c>
      <c r="L130" t="s">
        <v>41</v>
      </c>
      <c r="M130" t="s">
        <v>42</v>
      </c>
      <c r="N130" t="s">
        <v>43</v>
      </c>
      <c r="O130" s="7">
        <v>1</v>
      </c>
      <c r="P130" s="8">
        <v>45193.665011574078</v>
      </c>
      <c r="Q130" s="9">
        <v>45194</v>
      </c>
      <c r="R130" t="s">
        <v>37</v>
      </c>
      <c r="S130" t="s">
        <v>44</v>
      </c>
      <c r="T130" t="s">
        <v>45</v>
      </c>
      <c r="U130" t="s">
        <v>67</v>
      </c>
      <c r="V130" t="s">
        <v>474</v>
      </c>
      <c r="W130">
        <v>43700</v>
      </c>
      <c r="X130" t="s">
        <v>44</v>
      </c>
      <c r="Y130" t="s">
        <v>73</v>
      </c>
      <c r="Z130" t="s">
        <v>49</v>
      </c>
      <c r="AA130" s="10">
        <f>IF(O130&lt;=1,7,7+0.8*ROUNDUP(O130-1,0))</f>
        <v>7</v>
      </c>
      <c r="AB130" s="11">
        <v>0</v>
      </c>
      <c r="AC130" s="11">
        <v>0</v>
      </c>
      <c r="AD130" s="11">
        <v>0</v>
      </c>
      <c r="AE130" s="11">
        <v>0</v>
      </c>
      <c r="AF130" s="11">
        <f t="shared" ref="AF130:AF193" si="4">(AA130+AC130+AE130)*6%</f>
        <v>0.42</v>
      </c>
      <c r="AG130" s="11">
        <f t="shared" ref="AG130:AG193" si="5">AA130+AC130+AE130+AF130</f>
        <v>7.42</v>
      </c>
      <c r="AH130" t="s">
        <v>50</v>
      </c>
    </row>
    <row r="131" spans="1:34" ht="15" customHeight="1" x14ac:dyDescent="0.35">
      <c r="A131">
        <v>7547676</v>
      </c>
      <c r="B131">
        <v>690929</v>
      </c>
      <c r="C131" t="s">
        <v>34</v>
      </c>
      <c r="D131" t="s">
        <v>35</v>
      </c>
      <c r="E131" s="6" t="s">
        <v>34</v>
      </c>
      <c r="F131" t="s">
        <v>475</v>
      </c>
      <c r="G131" t="s">
        <v>37</v>
      </c>
      <c r="H131" t="s">
        <v>38</v>
      </c>
      <c r="I131" t="s">
        <v>476</v>
      </c>
      <c r="J131" t="s">
        <v>40</v>
      </c>
      <c r="K131">
        <v>2</v>
      </c>
      <c r="L131" t="s">
        <v>41</v>
      </c>
      <c r="M131" t="s">
        <v>42</v>
      </c>
      <c r="N131" t="s">
        <v>43</v>
      </c>
      <c r="O131" s="7">
        <v>1</v>
      </c>
      <c r="P131" s="8">
        <v>45193.569085648145</v>
      </c>
      <c r="Q131" s="9">
        <v>45194</v>
      </c>
      <c r="R131" t="s">
        <v>37</v>
      </c>
      <c r="S131" t="s">
        <v>44</v>
      </c>
      <c r="T131" t="s">
        <v>45</v>
      </c>
      <c r="U131" t="s">
        <v>115</v>
      </c>
      <c r="V131" t="s">
        <v>477</v>
      </c>
      <c r="W131">
        <v>18000</v>
      </c>
      <c r="X131" t="s">
        <v>44</v>
      </c>
      <c r="Y131" t="s">
        <v>114</v>
      </c>
      <c r="Z131" t="s">
        <v>49</v>
      </c>
      <c r="AA131" s="10">
        <f>IF(O131&lt;=1,7,7+0.8*ROUNDUP(O131-1,0))</f>
        <v>7</v>
      </c>
      <c r="AB131" s="11">
        <v>0</v>
      </c>
      <c r="AC131" s="11">
        <v>0</v>
      </c>
      <c r="AD131" s="11">
        <v>0</v>
      </c>
      <c r="AE131" s="11">
        <v>0</v>
      </c>
      <c r="AF131" s="11">
        <f t="shared" si="4"/>
        <v>0.42</v>
      </c>
      <c r="AG131" s="11">
        <f t="shared" si="5"/>
        <v>7.42</v>
      </c>
      <c r="AH131" t="s">
        <v>50</v>
      </c>
    </row>
    <row r="132" spans="1:34" ht="15" customHeight="1" x14ac:dyDescent="0.35">
      <c r="A132">
        <v>7547676</v>
      </c>
      <c r="B132">
        <v>690929</v>
      </c>
      <c r="C132" t="s">
        <v>34</v>
      </c>
      <c r="D132" t="s">
        <v>35</v>
      </c>
      <c r="E132" s="6" t="s">
        <v>34</v>
      </c>
      <c r="F132" t="s">
        <v>478</v>
      </c>
      <c r="G132" t="s">
        <v>37</v>
      </c>
      <c r="H132" t="s">
        <v>38</v>
      </c>
      <c r="I132" t="s">
        <v>479</v>
      </c>
      <c r="J132" t="s">
        <v>40</v>
      </c>
      <c r="K132">
        <v>2</v>
      </c>
      <c r="L132" t="s">
        <v>41</v>
      </c>
      <c r="M132" t="s">
        <v>42</v>
      </c>
      <c r="N132" t="s">
        <v>43</v>
      </c>
      <c r="O132" s="7">
        <v>1</v>
      </c>
      <c r="P132" s="8">
        <v>45192.689166666663</v>
      </c>
      <c r="Q132" s="9">
        <v>45194</v>
      </c>
      <c r="R132" t="s">
        <v>37</v>
      </c>
      <c r="S132" t="s">
        <v>44</v>
      </c>
      <c r="T132" t="s">
        <v>45</v>
      </c>
      <c r="U132" t="s">
        <v>67</v>
      </c>
      <c r="V132" t="s">
        <v>480</v>
      </c>
      <c r="W132">
        <v>47100</v>
      </c>
      <c r="X132" t="s">
        <v>44</v>
      </c>
      <c r="Y132" t="s">
        <v>481</v>
      </c>
      <c r="Z132" t="s">
        <v>49</v>
      </c>
      <c r="AA132" s="10">
        <f>IF(O132&lt;=1,7,7+0.8*ROUNDUP(O132-1,0))</f>
        <v>7</v>
      </c>
      <c r="AB132" s="11">
        <v>0</v>
      </c>
      <c r="AC132" s="11">
        <v>0</v>
      </c>
      <c r="AD132" s="11">
        <v>0</v>
      </c>
      <c r="AE132" s="11">
        <v>0</v>
      </c>
      <c r="AF132" s="11">
        <f t="shared" si="4"/>
        <v>0.42</v>
      </c>
      <c r="AG132" s="11">
        <f t="shared" si="5"/>
        <v>7.42</v>
      </c>
      <c r="AH132" t="s">
        <v>50</v>
      </c>
    </row>
    <row r="133" spans="1:34" ht="15" customHeight="1" x14ac:dyDescent="0.35">
      <c r="A133">
        <v>7547676</v>
      </c>
      <c r="B133">
        <v>690929</v>
      </c>
      <c r="C133" t="s">
        <v>34</v>
      </c>
      <c r="D133" t="s">
        <v>35</v>
      </c>
      <c r="E133" s="6" t="s">
        <v>34</v>
      </c>
      <c r="F133" t="s">
        <v>482</v>
      </c>
      <c r="G133" t="s">
        <v>37</v>
      </c>
      <c r="H133" t="s">
        <v>38</v>
      </c>
      <c r="I133" t="s">
        <v>483</v>
      </c>
      <c r="J133" t="s">
        <v>40</v>
      </c>
      <c r="K133">
        <v>2</v>
      </c>
      <c r="L133" t="s">
        <v>41</v>
      </c>
      <c r="M133" t="s">
        <v>42</v>
      </c>
      <c r="N133" t="s">
        <v>43</v>
      </c>
      <c r="O133" s="7">
        <v>1</v>
      </c>
      <c r="P133" s="8">
        <v>45191.494212962964</v>
      </c>
      <c r="Q133" s="9">
        <v>45194</v>
      </c>
      <c r="R133" t="s">
        <v>37</v>
      </c>
      <c r="S133" t="s">
        <v>44</v>
      </c>
      <c r="T133" t="s">
        <v>114</v>
      </c>
      <c r="U133" t="s">
        <v>378</v>
      </c>
      <c r="V133" t="s">
        <v>484</v>
      </c>
      <c r="W133">
        <v>89320</v>
      </c>
      <c r="X133" t="s">
        <v>135</v>
      </c>
      <c r="Y133" t="s">
        <v>69</v>
      </c>
      <c r="Z133" t="s">
        <v>49</v>
      </c>
      <c r="AA133" s="12">
        <f>IF(O133&lt;=1,13,IF(O133&lt;=2,23,IF(O133&lt;=3,35,IF(O133&lt;=4,43,IF(O133&lt;=5,53,IF(O133&lt;=6,63,IF(O133&lt;=7,71,IF(O133&lt;=8,79,IF(O133&lt;=9,87,IF(O133&lt;=10,95,IF(O133&lt;=11,105,IF(O133&lt;=12,114,IF(O133&lt;=13,119,IF(O133&lt;=14,127,IF(O133&lt;=15,135,IF(O133&lt;=16,143,IF(O133&lt;=17,153,IF(O133&lt;=18,163,IF(O133&lt;=19,171,IF(O133&lt;=20,185,IF(O133&lt;=21,193,IF(O133&lt;=22,201,IF(O133&lt;=23,210,IF(O133&lt;=24,220,IF(O133&lt;=25,230,IF(O133&lt;=26,240,IF(O133&lt;=27,250,IF(O133&lt;=28,260,IF(O133&lt;=29,270,IF(O133&lt;=30,280,280+10*ROUNDUP(O133-30,0)))))))))))))))))))))))))))))))</f>
        <v>13</v>
      </c>
      <c r="AB133" s="11">
        <v>0</v>
      </c>
      <c r="AC133" s="11">
        <v>0</v>
      </c>
      <c r="AD133" s="11">
        <v>0</v>
      </c>
      <c r="AE133" s="11">
        <v>0</v>
      </c>
      <c r="AF133" s="11">
        <f t="shared" si="4"/>
        <v>0.78</v>
      </c>
      <c r="AG133" s="11">
        <f t="shared" si="5"/>
        <v>13.78</v>
      </c>
      <c r="AH133" t="s">
        <v>136</v>
      </c>
    </row>
    <row r="134" spans="1:34" ht="15" customHeight="1" x14ac:dyDescent="0.35">
      <c r="A134">
        <v>7547676</v>
      </c>
      <c r="B134">
        <v>690929</v>
      </c>
      <c r="C134" t="s">
        <v>34</v>
      </c>
      <c r="D134" t="s">
        <v>35</v>
      </c>
      <c r="E134" s="6" t="s">
        <v>34</v>
      </c>
      <c r="F134" t="s">
        <v>485</v>
      </c>
      <c r="G134" t="s">
        <v>37</v>
      </c>
      <c r="H134" t="s">
        <v>38</v>
      </c>
      <c r="I134" t="s">
        <v>486</v>
      </c>
      <c r="J134" t="s">
        <v>40</v>
      </c>
      <c r="K134">
        <v>2</v>
      </c>
      <c r="L134" t="s">
        <v>41</v>
      </c>
      <c r="M134" t="s">
        <v>42</v>
      </c>
      <c r="N134" t="s">
        <v>43</v>
      </c>
      <c r="O134" s="7">
        <v>1</v>
      </c>
      <c r="P134" s="8">
        <v>45192.681516203702</v>
      </c>
      <c r="Q134" s="9">
        <v>45194</v>
      </c>
      <c r="R134" t="s">
        <v>37</v>
      </c>
      <c r="S134" t="s">
        <v>44</v>
      </c>
      <c r="T134" t="s">
        <v>45</v>
      </c>
      <c r="U134" t="s">
        <v>110</v>
      </c>
      <c r="V134" t="s">
        <v>487</v>
      </c>
      <c r="W134">
        <v>81750</v>
      </c>
      <c r="X134" t="s">
        <v>44</v>
      </c>
      <c r="Y134" t="s">
        <v>488</v>
      </c>
      <c r="Z134" t="s">
        <v>49</v>
      </c>
      <c r="AA134" s="10">
        <f>IF(O134&lt;=1,7,7+0.8*ROUNDUP(O134-1,0))</f>
        <v>7</v>
      </c>
      <c r="AB134" s="11">
        <v>0</v>
      </c>
      <c r="AC134" s="11">
        <v>0</v>
      </c>
      <c r="AD134" s="11">
        <v>0</v>
      </c>
      <c r="AE134" s="11">
        <v>0</v>
      </c>
      <c r="AF134" s="11">
        <f t="shared" si="4"/>
        <v>0.42</v>
      </c>
      <c r="AG134" s="11">
        <f t="shared" si="5"/>
        <v>7.42</v>
      </c>
      <c r="AH134" t="s">
        <v>50</v>
      </c>
    </row>
    <row r="135" spans="1:34" ht="15" customHeight="1" x14ac:dyDescent="0.35">
      <c r="A135">
        <v>7547676</v>
      </c>
      <c r="B135">
        <v>690929</v>
      </c>
      <c r="C135" t="s">
        <v>34</v>
      </c>
      <c r="D135" t="s">
        <v>35</v>
      </c>
      <c r="E135" s="6" t="s">
        <v>34</v>
      </c>
      <c r="F135" t="s">
        <v>489</v>
      </c>
      <c r="G135" t="s">
        <v>37</v>
      </c>
      <c r="H135" t="s">
        <v>38</v>
      </c>
      <c r="I135" t="s">
        <v>241</v>
      </c>
      <c r="J135" t="s">
        <v>40</v>
      </c>
      <c r="K135">
        <v>2</v>
      </c>
      <c r="L135" t="s">
        <v>41</v>
      </c>
      <c r="M135" t="s">
        <v>42</v>
      </c>
      <c r="N135" t="s">
        <v>43</v>
      </c>
      <c r="O135" s="7">
        <v>7</v>
      </c>
      <c r="P135" s="8">
        <v>45193.632835648146</v>
      </c>
      <c r="Q135" s="9">
        <v>45194</v>
      </c>
      <c r="R135" t="s">
        <v>37</v>
      </c>
      <c r="S135" t="s">
        <v>44</v>
      </c>
      <c r="T135" t="s">
        <v>45</v>
      </c>
      <c r="U135" t="s">
        <v>67</v>
      </c>
      <c r="V135" t="s">
        <v>490</v>
      </c>
      <c r="W135">
        <v>47000</v>
      </c>
      <c r="X135" t="s">
        <v>44</v>
      </c>
      <c r="Y135" t="s">
        <v>243</v>
      </c>
      <c r="Z135" t="s">
        <v>49</v>
      </c>
      <c r="AA135" s="10">
        <f>IF(O135&lt;=1,7,7+0.8*ROUNDUP(O135-1,0))</f>
        <v>11.8</v>
      </c>
      <c r="AB135" s="11">
        <v>0</v>
      </c>
      <c r="AC135" s="11">
        <v>0</v>
      </c>
      <c r="AD135" s="11">
        <v>0</v>
      </c>
      <c r="AE135" s="11">
        <v>0</v>
      </c>
      <c r="AF135" s="11">
        <f t="shared" si="4"/>
        <v>0.70799999999999996</v>
      </c>
      <c r="AG135" s="11">
        <f t="shared" si="5"/>
        <v>12.508000000000001</v>
      </c>
      <c r="AH135" t="s">
        <v>50</v>
      </c>
    </row>
    <row r="136" spans="1:34" ht="15" customHeight="1" x14ac:dyDescent="0.35">
      <c r="A136">
        <v>7547676</v>
      </c>
      <c r="B136">
        <v>690929</v>
      </c>
      <c r="C136" t="s">
        <v>34</v>
      </c>
      <c r="D136" t="s">
        <v>35</v>
      </c>
      <c r="E136" s="6" t="s">
        <v>34</v>
      </c>
      <c r="F136" t="s">
        <v>491</v>
      </c>
      <c r="G136" t="s">
        <v>37</v>
      </c>
      <c r="H136" t="s">
        <v>38</v>
      </c>
      <c r="I136" t="s">
        <v>492</v>
      </c>
      <c r="J136" t="s">
        <v>40</v>
      </c>
      <c r="K136">
        <v>2</v>
      </c>
      <c r="L136" t="s">
        <v>41</v>
      </c>
      <c r="M136" t="s">
        <v>42</v>
      </c>
      <c r="N136" t="s">
        <v>43</v>
      </c>
      <c r="O136" s="7">
        <v>1</v>
      </c>
      <c r="P136" s="8">
        <v>45192.681516203702</v>
      </c>
      <c r="Q136" s="9">
        <v>45194</v>
      </c>
      <c r="R136" t="s">
        <v>37</v>
      </c>
      <c r="S136" t="s">
        <v>44</v>
      </c>
      <c r="T136" t="s">
        <v>45</v>
      </c>
      <c r="U136" t="s">
        <v>62</v>
      </c>
      <c r="V136" t="s">
        <v>493</v>
      </c>
      <c r="W136">
        <v>50300</v>
      </c>
      <c r="X136" t="s">
        <v>44</v>
      </c>
      <c r="Y136" t="s">
        <v>452</v>
      </c>
      <c r="Z136" t="s">
        <v>49</v>
      </c>
      <c r="AA136" s="10">
        <f>IF(O136&lt;=1,7,7+0.8*ROUNDUP(O136-1,0))</f>
        <v>7</v>
      </c>
      <c r="AB136" s="11">
        <v>0</v>
      </c>
      <c r="AC136" s="11">
        <v>0</v>
      </c>
      <c r="AD136" s="11">
        <v>0</v>
      </c>
      <c r="AE136" s="11">
        <v>0</v>
      </c>
      <c r="AF136" s="11">
        <f t="shared" si="4"/>
        <v>0.42</v>
      </c>
      <c r="AG136" s="11">
        <f t="shared" si="5"/>
        <v>7.42</v>
      </c>
      <c r="AH136" t="s">
        <v>50</v>
      </c>
    </row>
    <row r="137" spans="1:34" ht="15" customHeight="1" x14ac:dyDescent="0.35">
      <c r="A137">
        <v>7547676</v>
      </c>
      <c r="B137">
        <v>690929</v>
      </c>
      <c r="C137" t="s">
        <v>34</v>
      </c>
      <c r="D137" t="s">
        <v>35</v>
      </c>
      <c r="E137" s="6" t="s">
        <v>34</v>
      </c>
      <c r="F137" t="s">
        <v>494</v>
      </c>
      <c r="G137" t="s">
        <v>37</v>
      </c>
      <c r="H137" t="s">
        <v>38</v>
      </c>
      <c r="I137" t="s">
        <v>495</v>
      </c>
      <c r="J137" t="s">
        <v>40</v>
      </c>
      <c r="K137">
        <v>2</v>
      </c>
      <c r="L137" t="s">
        <v>41</v>
      </c>
      <c r="M137" t="s">
        <v>42</v>
      </c>
      <c r="N137" t="s">
        <v>43</v>
      </c>
      <c r="O137" s="7">
        <v>3</v>
      </c>
      <c r="P137" s="8">
        <v>45192.749560185184</v>
      </c>
      <c r="Q137" s="9">
        <v>45195</v>
      </c>
      <c r="R137" t="s">
        <v>37</v>
      </c>
      <c r="S137" t="s">
        <v>44</v>
      </c>
      <c r="T137" t="s">
        <v>45</v>
      </c>
      <c r="U137" t="s">
        <v>139</v>
      </c>
      <c r="V137" t="s">
        <v>496</v>
      </c>
      <c r="W137">
        <v>6700</v>
      </c>
      <c r="X137" t="s">
        <v>44</v>
      </c>
      <c r="Y137" t="s">
        <v>497</v>
      </c>
      <c r="Z137" t="s">
        <v>49</v>
      </c>
      <c r="AA137" s="10">
        <f>IF(O137&lt;=1,7,7+0.8*ROUNDUP(O137-1,0))</f>
        <v>8.6</v>
      </c>
      <c r="AB137" s="11">
        <v>0</v>
      </c>
      <c r="AC137" s="11">
        <v>0</v>
      </c>
      <c r="AD137" s="11">
        <v>0</v>
      </c>
      <c r="AE137" s="11">
        <v>0</v>
      </c>
      <c r="AF137" s="11">
        <f t="shared" si="4"/>
        <v>0.51600000000000001</v>
      </c>
      <c r="AG137" s="11">
        <f t="shared" si="5"/>
        <v>9.1159999999999997</v>
      </c>
      <c r="AH137" t="s">
        <v>50</v>
      </c>
    </row>
    <row r="138" spans="1:34" ht="15" customHeight="1" x14ac:dyDescent="0.35">
      <c r="A138">
        <v>7547676</v>
      </c>
      <c r="B138">
        <v>690929</v>
      </c>
      <c r="C138" t="s">
        <v>34</v>
      </c>
      <c r="D138" t="s">
        <v>35</v>
      </c>
      <c r="E138" s="6" t="s">
        <v>34</v>
      </c>
      <c r="F138" t="s">
        <v>498</v>
      </c>
      <c r="G138" t="s">
        <v>37</v>
      </c>
      <c r="H138" t="s">
        <v>38</v>
      </c>
      <c r="I138" t="s">
        <v>499</v>
      </c>
      <c r="J138" t="s">
        <v>40</v>
      </c>
      <c r="K138">
        <v>2</v>
      </c>
      <c r="L138" t="s">
        <v>41</v>
      </c>
      <c r="M138" t="s">
        <v>42</v>
      </c>
      <c r="N138" t="s">
        <v>43</v>
      </c>
      <c r="O138" s="7">
        <v>6</v>
      </c>
      <c r="P138" s="8">
        <v>45194.485543981478</v>
      </c>
      <c r="Q138" s="9">
        <v>45195</v>
      </c>
      <c r="R138" t="s">
        <v>37</v>
      </c>
      <c r="S138" t="s">
        <v>44</v>
      </c>
      <c r="T138" t="s">
        <v>45</v>
      </c>
      <c r="U138" t="s">
        <v>67</v>
      </c>
      <c r="V138" t="s">
        <v>500</v>
      </c>
      <c r="W138">
        <v>41050</v>
      </c>
      <c r="X138" t="s">
        <v>44</v>
      </c>
      <c r="Y138" t="s">
        <v>501</v>
      </c>
      <c r="Z138" t="s">
        <v>49</v>
      </c>
      <c r="AA138" s="10">
        <f>IF(O138&lt;=1,7,7+0.8*ROUNDUP(O138-1,0))</f>
        <v>11</v>
      </c>
      <c r="AB138" s="11">
        <v>0</v>
      </c>
      <c r="AC138" s="11">
        <v>0</v>
      </c>
      <c r="AD138" s="11">
        <v>0</v>
      </c>
      <c r="AE138" s="11">
        <v>0</v>
      </c>
      <c r="AF138" s="11">
        <f t="shared" si="4"/>
        <v>0.65999999999999992</v>
      </c>
      <c r="AG138" s="11">
        <f t="shared" si="5"/>
        <v>11.66</v>
      </c>
      <c r="AH138" t="s">
        <v>50</v>
      </c>
    </row>
    <row r="139" spans="1:34" ht="15" customHeight="1" x14ac:dyDescent="0.35">
      <c r="A139">
        <v>7547676</v>
      </c>
      <c r="B139">
        <v>690929</v>
      </c>
      <c r="C139" t="s">
        <v>34</v>
      </c>
      <c r="D139" t="s">
        <v>35</v>
      </c>
      <c r="E139" s="6" t="s">
        <v>34</v>
      </c>
      <c r="F139" t="s">
        <v>502</v>
      </c>
      <c r="G139" t="s">
        <v>37</v>
      </c>
      <c r="H139" t="s">
        <v>38</v>
      </c>
      <c r="I139" t="s">
        <v>499</v>
      </c>
      <c r="J139" t="s">
        <v>40</v>
      </c>
      <c r="K139">
        <v>2</v>
      </c>
      <c r="L139" t="s">
        <v>41</v>
      </c>
      <c r="M139" t="s">
        <v>42</v>
      </c>
      <c r="N139" t="s">
        <v>43</v>
      </c>
      <c r="O139" s="7">
        <v>6</v>
      </c>
      <c r="P139" s="8">
        <v>45194.485543981478</v>
      </c>
      <c r="Q139" s="9">
        <v>45195</v>
      </c>
      <c r="R139" t="s">
        <v>37</v>
      </c>
      <c r="S139" t="s">
        <v>44</v>
      </c>
      <c r="T139" t="s">
        <v>45</v>
      </c>
      <c r="U139" t="s">
        <v>67</v>
      </c>
      <c r="V139" t="s">
        <v>500</v>
      </c>
      <c r="W139">
        <v>41050</v>
      </c>
      <c r="X139" t="s">
        <v>44</v>
      </c>
      <c r="Y139" t="s">
        <v>501</v>
      </c>
      <c r="Z139" t="s">
        <v>49</v>
      </c>
      <c r="AA139" s="10">
        <f>IF(O139&lt;=1,7,7+0.8*ROUNDUP(O139-1,0))</f>
        <v>11</v>
      </c>
      <c r="AB139" s="11">
        <v>0</v>
      </c>
      <c r="AC139" s="11">
        <v>0</v>
      </c>
      <c r="AD139" s="11">
        <v>0</v>
      </c>
      <c r="AE139" s="11">
        <v>0</v>
      </c>
      <c r="AF139" s="11">
        <f t="shared" si="4"/>
        <v>0.65999999999999992</v>
      </c>
      <c r="AG139" s="11">
        <f t="shared" si="5"/>
        <v>11.66</v>
      </c>
      <c r="AH139" t="s">
        <v>50</v>
      </c>
    </row>
    <row r="140" spans="1:34" ht="15" customHeight="1" x14ac:dyDescent="0.35">
      <c r="A140">
        <v>7547676</v>
      </c>
      <c r="B140">
        <v>690929</v>
      </c>
      <c r="C140" t="s">
        <v>34</v>
      </c>
      <c r="D140" t="s">
        <v>35</v>
      </c>
      <c r="E140" s="6" t="s">
        <v>34</v>
      </c>
      <c r="F140" t="s">
        <v>503</v>
      </c>
      <c r="G140" t="s">
        <v>37</v>
      </c>
      <c r="H140" t="s">
        <v>38</v>
      </c>
      <c r="I140" t="s">
        <v>499</v>
      </c>
      <c r="J140" t="s">
        <v>40</v>
      </c>
      <c r="K140">
        <v>2</v>
      </c>
      <c r="L140" t="s">
        <v>41</v>
      </c>
      <c r="M140" t="s">
        <v>42</v>
      </c>
      <c r="N140" t="s">
        <v>43</v>
      </c>
      <c r="O140" s="7">
        <v>6</v>
      </c>
      <c r="P140" s="8">
        <v>45194.485555555555</v>
      </c>
      <c r="Q140" s="9">
        <v>45195</v>
      </c>
      <c r="R140" t="s">
        <v>37</v>
      </c>
      <c r="S140" t="s">
        <v>44</v>
      </c>
      <c r="T140" t="s">
        <v>45</v>
      </c>
      <c r="U140" t="s">
        <v>67</v>
      </c>
      <c r="V140" t="s">
        <v>500</v>
      </c>
      <c r="W140">
        <v>41050</v>
      </c>
      <c r="X140" t="s">
        <v>44</v>
      </c>
      <c r="Y140" t="s">
        <v>501</v>
      </c>
      <c r="Z140" t="s">
        <v>49</v>
      </c>
      <c r="AA140" s="10">
        <f>IF(O140&lt;=1,7,7+0.8*ROUNDUP(O140-1,0))</f>
        <v>11</v>
      </c>
      <c r="AB140" s="11">
        <v>0</v>
      </c>
      <c r="AC140" s="11">
        <v>0</v>
      </c>
      <c r="AD140" s="11">
        <v>0</v>
      </c>
      <c r="AE140" s="11">
        <v>0</v>
      </c>
      <c r="AF140" s="11">
        <f t="shared" si="4"/>
        <v>0.65999999999999992</v>
      </c>
      <c r="AG140" s="11">
        <f t="shared" si="5"/>
        <v>11.66</v>
      </c>
      <c r="AH140" t="s">
        <v>50</v>
      </c>
    </row>
    <row r="141" spans="1:34" ht="15" customHeight="1" x14ac:dyDescent="0.35">
      <c r="A141">
        <v>7547676</v>
      </c>
      <c r="B141">
        <v>690929</v>
      </c>
      <c r="C141" t="s">
        <v>34</v>
      </c>
      <c r="D141" t="s">
        <v>35</v>
      </c>
      <c r="E141" s="6" t="s">
        <v>34</v>
      </c>
      <c r="F141" t="s">
        <v>504</v>
      </c>
      <c r="G141" t="s">
        <v>37</v>
      </c>
      <c r="H141" t="s">
        <v>38</v>
      </c>
      <c r="I141" t="s">
        <v>499</v>
      </c>
      <c r="J141" t="s">
        <v>40</v>
      </c>
      <c r="K141">
        <v>2</v>
      </c>
      <c r="L141" t="s">
        <v>41</v>
      </c>
      <c r="M141" t="s">
        <v>42</v>
      </c>
      <c r="N141" t="s">
        <v>43</v>
      </c>
      <c r="O141" s="7">
        <v>6</v>
      </c>
      <c r="P141" s="8">
        <v>45194.485543981478</v>
      </c>
      <c r="Q141" s="9">
        <v>45195</v>
      </c>
      <c r="R141" t="s">
        <v>37</v>
      </c>
      <c r="S141" t="s">
        <v>44</v>
      </c>
      <c r="T141" t="s">
        <v>45</v>
      </c>
      <c r="U141" t="s">
        <v>67</v>
      </c>
      <c r="V141" t="s">
        <v>500</v>
      </c>
      <c r="W141">
        <v>41050</v>
      </c>
      <c r="X141" t="s">
        <v>44</v>
      </c>
      <c r="Y141" t="s">
        <v>501</v>
      </c>
      <c r="Z141" t="s">
        <v>49</v>
      </c>
      <c r="AA141" s="10">
        <f>IF(O141&lt;=1,7,7+0.8*ROUNDUP(O141-1,0))</f>
        <v>11</v>
      </c>
      <c r="AB141" s="11">
        <v>0</v>
      </c>
      <c r="AC141" s="11">
        <v>0</v>
      </c>
      <c r="AD141" s="11">
        <v>0</v>
      </c>
      <c r="AE141" s="11">
        <v>0</v>
      </c>
      <c r="AF141" s="11">
        <f t="shared" si="4"/>
        <v>0.65999999999999992</v>
      </c>
      <c r="AG141" s="11">
        <f t="shared" si="5"/>
        <v>11.66</v>
      </c>
      <c r="AH141" t="s">
        <v>50</v>
      </c>
    </row>
    <row r="142" spans="1:34" ht="15" customHeight="1" x14ac:dyDescent="0.35">
      <c r="A142">
        <v>7547676</v>
      </c>
      <c r="B142">
        <v>690929</v>
      </c>
      <c r="C142" t="s">
        <v>34</v>
      </c>
      <c r="D142" t="s">
        <v>35</v>
      </c>
      <c r="E142" s="6" t="s">
        <v>34</v>
      </c>
      <c r="F142" t="s">
        <v>505</v>
      </c>
      <c r="G142" t="s">
        <v>37</v>
      </c>
      <c r="H142" t="s">
        <v>38</v>
      </c>
      <c r="I142" t="s">
        <v>506</v>
      </c>
      <c r="J142" t="s">
        <v>40</v>
      </c>
      <c r="K142">
        <v>2</v>
      </c>
      <c r="L142" t="s">
        <v>41</v>
      </c>
      <c r="M142" t="s">
        <v>42</v>
      </c>
      <c r="N142" t="s">
        <v>43</v>
      </c>
      <c r="O142" s="7">
        <v>11</v>
      </c>
      <c r="P142" s="8">
        <v>45193.594837962963</v>
      </c>
      <c r="Q142" s="9">
        <v>45195</v>
      </c>
      <c r="R142" t="s">
        <v>37</v>
      </c>
      <c r="S142" t="s">
        <v>44</v>
      </c>
      <c r="T142" t="s">
        <v>45</v>
      </c>
      <c r="U142" t="s">
        <v>110</v>
      </c>
      <c r="V142" t="s">
        <v>507</v>
      </c>
      <c r="W142">
        <v>83300</v>
      </c>
      <c r="X142" t="s">
        <v>44</v>
      </c>
      <c r="Y142" t="s">
        <v>508</v>
      </c>
      <c r="Z142" t="s">
        <v>49</v>
      </c>
      <c r="AA142" s="10">
        <f>IF(O142&lt;=1,7,7+0.8*ROUNDUP(O142-1,0))</f>
        <v>15</v>
      </c>
      <c r="AB142" s="11">
        <v>0</v>
      </c>
      <c r="AC142" s="11">
        <v>0</v>
      </c>
      <c r="AD142" s="11">
        <v>0</v>
      </c>
      <c r="AE142" s="11">
        <v>0</v>
      </c>
      <c r="AF142" s="11">
        <f t="shared" si="4"/>
        <v>0.89999999999999991</v>
      </c>
      <c r="AG142" s="11">
        <f t="shared" si="5"/>
        <v>15.9</v>
      </c>
      <c r="AH142" t="s">
        <v>50</v>
      </c>
    </row>
    <row r="143" spans="1:34" ht="15" customHeight="1" x14ac:dyDescent="0.35">
      <c r="A143">
        <v>7547676</v>
      </c>
      <c r="B143">
        <v>690929</v>
      </c>
      <c r="C143" t="s">
        <v>34</v>
      </c>
      <c r="D143" t="s">
        <v>35</v>
      </c>
      <c r="E143" s="6" t="s">
        <v>34</v>
      </c>
      <c r="F143" t="s">
        <v>509</v>
      </c>
      <c r="G143" t="s">
        <v>37</v>
      </c>
      <c r="H143" t="s">
        <v>38</v>
      </c>
      <c r="I143" t="s">
        <v>510</v>
      </c>
      <c r="J143" t="s">
        <v>40</v>
      </c>
      <c r="K143">
        <v>2</v>
      </c>
      <c r="L143" t="s">
        <v>41</v>
      </c>
      <c r="M143" t="s">
        <v>42</v>
      </c>
      <c r="N143" t="s">
        <v>43</v>
      </c>
      <c r="O143" s="7">
        <v>1</v>
      </c>
      <c r="P143" s="8">
        <v>45194.731712962966</v>
      </c>
      <c r="Q143" s="9">
        <v>45195</v>
      </c>
      <c r="R143" t="s">
        <v>37</v>
      </c>
      <c r="S143" t="s">
        <v>44</v>
      </c>
      <c r="T143" t="s">
        <v>45</v>
      </c>
      <c r="U143" t="s">
        <v>284</v>
      </c>
      <c r="V143" t="s">
        <v>511</v>
      </c>
      <c r="W143">
        <v>20200</v>
      </c>
      <c r="X143" t="s">
        <v>44</v>
      </c>
      <c r="Y143" t="s">
        <v>298</v>
      </c>
      <c r="Z143" t="s">
        <v>49</v>
      </c>
      <c r="AA143" s="10">
        <f>IF(O143&lt;=1,7,7+0.8*ROUNDUP(O143-1,0))</f>
        <v>7</v>
      </c>
      <c r="AB143" s="11">
        <v>0</v>
      </c>
      <c r="AC143" s="11">
        <v>0</v>
      </c>
      <c r="AD143" s="11">
        <v>0</v>
      </c>
      <c r="AE143" s="11">
        <v>0</v>
      </c>
      <c r="AF143" s="11">
        <f t="shared" si="4"/>
        <v>0.42</v>
      </c>
      <c r="AG143" s="11">
        <f t="shared" si="5"/>
        <v>7.42</v>
      </c>
      <c r="AH143" t="s">
        <v>50</v>
      </c>
    </row>
    <row r="144" spans="1:34" ht="15" customHeight="1" x14ac:dyDescent="0.35">
      <c r="A144">
        <v>7547676</v>
      </c>
      <c r="B144">
        <v>690929</v>
      </c>
      <c r="C144" t="s">
        <v>34</v>
      </c>
      <c r="D144" t="s">
        <v>35</v>
      </c>
      <c r="E144" s="6" t="s">
        <v>34</v>
      </c>
      <c r="F144" t="s">
        <v>512</v>
      </c>
      <c r="G144" t="s">
        <v>37</v>
      </c>
      <c r="H144" t="s">
        <v>38</v>
      </c>
      <c r="I144" t="s">
        <v>336</v>
      </c>
      <c r="J144" t="s">
        <v>40</v>
      </c>
      <c r="K144">
        <v>2</v>
      </c>
      <c r="L144" t="s">
        <v>41</v>
      </c>
      <c r="M144" t="s">
        <v>42</v>
      </c>
      <c r="N144" t="s">
        <v>43</v>
      </c>
      <c r="O144" s="7">
        <v>3</v>
      </c>
      <c r="P144" s="8">
        <v>45192.722581018519</v>
      </c>
      <c r="Q144" s="9">
        <v>45195</v>
      </c>
      <c r="R144" t="s">
        <v>37</v>
      </c>
      <c r="S144" t="s">
        <v>44</v>
      </c>
      <c r="T144" t="s">
        <v>45</v>
      </c>
      <c r="U144" t="s">
        <v>46</v>
      </c>
      <c r="V144" t="s">
        <v>513</v>
      </c>
      <c r="W144">
        <v>39100</v>
      </c>
      <c r="X144" t="s">
        <v>44</v>
      </c>
      <c r="Y144" t="s">
        <v>48</v>
      </c>
      <c r="Z144" t="s">
        <v>49</v>
      </c>
      <c r="AA144" s="10">
        <f>IF(O144&lt;=1,7,7+0.8*ROUNDUP(O144-1,0))</f>
        <v>8.6</v>
      </c>
      <c r="AB144" s="11">
        <v>0</v>
      </c>
      <c r="AC144" s="11">
        <v>0</v>
      </c>
      <c r="AD144" s="11">
        <v>0</v>
      </c>
      <c r="AE144" s="11">
        <v>0</v>
      </c>
      <c r="AF144" s="11">
        <f t="shared" si="4"/>
        <v>0.51600000000000001</v>
      </c>
      <c r="AG144" s="11">
        <f t="shared" si="5"/>
        <v>9.1159999999999997</v>
      </c>
      <c r="AH144" t="s">
        <v>50</v>
      </c>
    </row>
    <row r="145" spans="1:34" ht="15" customHeight="1" x14ac:dyDescent="0.35">
      <c r="A145">
        <v>7547676</v>
      </c>
      <c r="B145">
        <v>690929</v>
      </c>
      <c r="C145" t="s">
        <v>34</v>
      </c>
      <c r="D145" t="s">
        <v>35</v>
      </c>
      <c r="E145" s="6" t="s">
        <v>34</v>
      </c>
      <c r="F145" t="s">
        <v>514</v>
      </c>
      <c r="G145" t="s">
        <v>37</v>
      </c>
      <c r="H145" t="s">
        <v>38</v>
      </c>
      <c r="I145" t="s">
        <v>515</v>
      </c>
      <c r="J145" t="s">
        <v>40</v>
      </c>
      <c r="K145">
        <v>2</v>
      </c>
      <c r="L145" t="s">
        <v>41</v>
      </c>
      <c r="M145" t="s">
        <v>42</v>
      </c>
      <c r="N145" t="s">
        <v>43</v>
      </c>
      <c r="O145" s="7">
        <v>1</v>
      </c>
      <c r="P145" s="8">
        <v>45194.731712962966</v>
      </c>
      <c r="Q145" s="9">
        <v>45195</v>
      </c>
      <c r="R145" t="s">
        <v>37</v>
      </c>
      <c r="S145" t="s">
        <v>44</v>
      </c>
      <c r="T145" t="s">
        <v>45</v>
      </c>
      <c r="U145" t="s">
        <v>284</v>
      </c>
      <c r="V145" t="s">
        <v>516</v>
      </c>
      <c r="W145">
        <v>21700</v>
      </c>
      <c r="X145" t="s">
        <v>44</v>
      </c>
      <c r="Y145" t="s">
        <v>298</v>
      </c>
      <c r="Z145" t="s">
        <v>49</v>
      </c>
      <c r="AA145" s="10">
        <f>IF(O145&lt;=1,7,7+0.8*ROUNDUP(O145-1,0))</f>
        <v>7</v>
      </c>
      <c r="AB145" s="11">
        <v>0</v>
      </c>
      <c r="AC145" s="11">
        <v>0</v>
      </c>
      <c r="AD145" s="11">
        <v>0</v>
      </c>
      <c r="AE145" s="11">
        <v>0</v>
      </c>
      <c r="AF145" s="11">
        <f t="shared" si="4"/>
        <v>0.42</v>
      </c>
      <c r="AG145" s="11">
        <f t="shared" si="5"/>
        <v>7.42</v>
      </c>
      <c r="AH145" t="s">
        <v>50</v>
      </c>
    </row>
    <row r="146" spans="1:34" ht="15" customHeight="1" x14ac:dyDescent="0.35">
      <c r="A146">
        <v>7547676</v>
      </c>
      <c r="B146">
        <v>690929</v>
      </c>
      <c r="C146" t="s">
        <v>34</v>
      </c>
      <c r="D146" t="s">
        <v>35</v>
      </c>
      <c r="E146" s="6" t="s">
        <v>34</v>
      </c>
      <c r="F146" t="s">
        <v>517</v>
      </c>
      <c r="G146" t="s">
        <v>37</v>
      </c>
      <c r="H146" t="s">
        <v>38</v>
      </c>
      <c r="I146" t="s">
        <v>518</v>
      </c>
      <c r="J146" t="s">
        <v>40</v>
      </c>
      <c r="K146">
        <v>2</v>
      </c>
      <c r="L146" t="s">
        <v>41</v>
      </c>
      <c r="M146" t="s">
        <v>42</v>
      </c>
      <c r="N146" t="s">
        <v>43</v>
      </c>
      <c r="O146" s="7">
        <v>1</v>
      </c>
      <c r="P146" s="8">
        <v>45193.688993055555</v>
      </c>
      <c r="Q146" s="9">
        <v>45195</v>
      </c>
      <c r="R146" t="s">
        <v>37</v>
      </c>
      <c r="S146" t="s">
        <v>44</v>
      </c>
      <c r="T146" t="s">
        <v>45</v>
      </c>
      <c r="U146" t="s">
        <v>106</v>
      </c>
      <c r="V146" t="s">
        <v>519</v>
      </c>
      <c r="W146">
        <v>14000</v>
      </c>
      <c r="X146" t="s">
        <v>44</v>
      </c>
      <c r="Y146" t="s">
        <v>520</v>
      </c>
      <c r="Z146" t="s">
        <v>49</v>
      </c>
      <c r="AA146" s="10">
        <f>IF(O146&lt;=1,7,7+0.8*ROUNDUP(O146-1,0))</f>
        <v>7</v>
      </c>
      <c r="AB146" s="11">
        <v>0</v>
      </c>
      <c r="AC146" s="11">
        <v>0</v>
      </c>
      <c r="AD146" s="11">
        <v>0</v>
      </c>
      <c r="AE146" s="11">
        <v>0</v>
      </c>
      <c r="AF146" s="11">
        <f t="shared" si="4"/>
        <v>0.42</v>
      </c>
      <c r="AG146" s="11">
        <f t="shared" si="5"/>
        <v>7.42</v>
      </c>
      <c r="AH146" t="s">
        <v>50</v>
      </c>
    </row>
    <row r="147" spans="1:34" ht="15" customHeight="1" x14ac:dyDescent="0.35">
      <c r="A147">
        <v>7547676</v>
      </c>
      <c r="B147">
        <v>690929</v>
      </c>
      <c r="C147" t="s">
        <v>34</v>
      </c>
      <c r="D147" t="s">
        <v>35</v>
      </c>
      <c r="E147" s="6" t="s">
        <v>34</v>
      </c>
      <c r="F147" t="s">
        <v>521</v>
      </c>
      <c r="G147" t="s">
        <v>37</v>
      </c>
      <c r="H147" t="s">
        <v>38</v>
      </c>
      <c r="I147" t="s">
        <v>522</v>
      </c>
      <c r="J147" t="s">
        <v>40</v>
      </c>
      <c r="K147">
        <v>2</v>
      </c>
      <c r="L147" t="s">
        <v>41</v>
      </c>
      <c r="M147" t="s">
        <v>42</v>
      </c>
      <c r="N147" t="s">
        <v>43</v>
      </c>
      <c r="O147" s="7">
        <v>5</v>
      </c>
      <c r="P147" s="8">
        <v>45193.746921296297</v>
      </c>
      <c r="Q147" s="9">
        <v>45195</v>
      </c>
      <c r="R147" t="s">
        <v>37</v>
      </c>
      <c r="S147" t="s">
        <v>44</v>
      </c>
      <c r="T147" t="s">
        <v>45</v>
      </c>
      <c r="U147" t="s">
        <v>67</v>
      </c>
      <c r="V147" t="s">
        <v>523</v>
      </c>
      <c r="W147">
        <v>40300</v>
      </c>
      <c r="X147" t="s">
        <v>44</v>
      </c>
      <c r="Y147" t="s">
        <v>524</v>
      </c>
      <c r="Z147" t="s">
        <v>49</v>
      </c>
      <c r="AA147" s="10">
        <f>IF(O147&lt;=1,7,7+0.8*ROUNDUP(O147-1,0))</f>
        <v>10.199999999999999</v>
      </c>
      <c r="AB147" s="11">
        <v>0</v>
      </c>
      <c r="AC147" s="11">
        <v>0</v>
      </c>
      <c r="AD147" s="11">
        <v>0</v>
      </c>
      <c r="AE147" s="11">
        <v>0</v>
      </c>
      <c r="AF147" s="11">
        <f t="shared" si="4"/>
        <v>0.61199999999999999</v>
      </c>
      <c r="AG147" s="11">
        <f t="shared" si="5"/>
        <v>10.811999999999999</v>
      </c>
      <c r="AH147" t="s">
        <v>50</v>
      </c>
    </row>
    <row r="148" spans="1:34" ht="15" customHeight="1" x14ac:dyDescent="0.35">
      <c r="A148">
        <v>7547676</v>
      </c>
      <c r="B148">
        <v>690929</v>
      </c>
      <c r="C148" t="s">
        <v>34</v>
      </c>
      <c r="D148" t="s">
        <v>35</v>
      </c>
      <c r="E148" s="6" t="s">
        <v>34</v>
      </c>
      <c r="F148" t="s">
        <v>525</v>
      </c>
      <c r="G148" t="s">
        <v>37</v>
      </c>
      <c r="H148" t="s">
        <v>38</v>
      </c>
      <c r="I148" t="s">
        <v>526</v>
      </c>
      <c r="J148" t="s">
        <v>40</v>
      </c>
      <c r="K148">
        <v>2</v>
      </c>
      <c r="L148" t="s">
        <v>41</v>
      </c>
      <c r="M148" t="s">
        <v>42</v>
      </c>
      <c r="N148" t="s">
        <v>43</v>
      </c>
      <c r="O148" s="7">
        <v>1</v>
      </c>
      <c r="P148" s="8">
        <v>45193.629571759258</v>
      </c>
      <c r="Q148" s="9">
        <v>45195</v>
      </c>
      <c r="R148" t="s">
        <v>37</v>
      </c>
      <c r="S148" t="s">
        <v>44</v>
      </c>
      <c r="T148" t="s">
        <v>45</v>
      </c>
      <c r="U148" t="s">
        <v>139</v>
      </c>
      <c r="V148" t="s">
        <v>527</v>
      </c>
      <c r="W148">
        <v>8000</v>
      </c>
      <c r="X148" t="s">
        <v>44</v>
      </c>
      <c r="Y148" t="s">
        <v>141</v>
      </c>
      <c r="Z148" t="s">
        <v>49</v>
      </c>
      <c r="AA148" s="10">
        <f>IF(O148&lt;=1,7,7+0.8*ROUNDUP(O148-1,0))</f>
        <v>7</v>
      </c>
      <c r="AB148" s="11">
        <v>0</v>
      </c>
      <c r="AC148" s="11">
        <v>0</v>
      </c>
      <c r="AD148" s="11">
        <v>0</v>
      </c>
      <c r="AE148" s="11">
        <v>0</v>
      </c>
      <c r="AF148" s="11">
        <f t="shared" si="4"/>
        <v>0.42</v>
      </c>
      <c r="AG148" s="11">
        <f t="shared" si="5"/>
        <v>7.42</v>
      </c>
      <c r="AH148" t="s">
        <v>50</v>
      </c>
    </row>
    <row r="149" spans="1:34" ht="15" customHeight="1" x14ac:dyDescent="0.35">
      <c r="A149">
        <v>7547676</v>
      </c>
      <c r="B149">
        <v>690929</v>
      </c>
      <c r="C149" t="s">
        <v>34</v>
      </c>
      <c r="D149" t="s">
        <v>35</v>
      </c>
      <c r="E149" s="6" t="s">
        <v>34</v>
      </c>
      <c r="F149" t="s">
        <v>528</v>
      </c>
      <c r="G149" t="s">
        <v>37</v>
      </c>
      <c r="H149" t="s">
        <v>38</v>
      </c>
      <c r="I149" t="s">
        <v>529</v>
      </c>
      <c r="J149" t="s">
        <v>40</v>
      </c>
      <c r="K149">
        <v>2</v>
      </c>
      <c r="L149" t="s">
        <v>41</v>
      </c>
      <c r="M149" t="s">
        <v>42</v>
      </c>
      <c r="N149" t="s">
        <v>43</v>
      </c>
      <c r="O149" s="7">
        <v>1</v>
      </c>
      <c r="P149" s="8">
        <v>45193.513645833336</v>
      </c>
      <c r="Q149" s="9">
        <v>45195</v>
      </c>
      <c r="R149" t="s">
        <v>37</v>
      </c>
      <c r="S149" t="s">
        <v>44</v>
      </c>
      <c r="T149" t="s">
        <v>45</v>
      </c>
      <c r="U149" t="s">
        <v>101</v>
      </c>
      <c r="V149" t="s">
        <v>530</v>
      </c>
      <c r="W149">
        <v>34700</v>
      </c>
      <c r="X149" t="s">
        <v>44</v>
      </c>
      <c r="Y149" t="s">
        <v>69</v>
      </c>
      <c r="Z149" t="s">
        <v>49</v>
      </c>
      <c r="AA149" s="10">
        <f>IF(O149&lt;=1,7,7+0.8*ROUNDUP(O149-1,0))</f>
        <v>7</v>
      </c>
      <c r="AB149" s="11">
        <v>0</v>
      </c>
      <c r="AC149" s="11">
        <v>0</v>
      </c>
      <c r="AD149" s="11">
        <v>0</v>
      </c>
      <c r="AE149" s="11">
        <v>0</v>
      </c>
      <c r="AF149" s="11">
        <f t="shared" si="4"/>
        <v>0.42</v>
      </c>
      <c r="AG149" s="11">
        <f t="shared" si="5"/>
        <v>7.42</v>
      </c>
      <c r="AH149" t="s">
        <v>50</v>
      </c>
    </row>
    <row r="150" spans="1:34" ht="15" customHeight="1" x14ac:dyDescent="0.35">
      <c r="A150">
        <v>7547676</v>
      </c>
      <c r="B150">
        <v>690929</v>
      </c>
      <c r="C150" t="s">
        <v>34</v>
      </c>
      <c r="D150" t="s">
        <v>35</v>
      </c>
      <c r="E150" s="6" t="s">
        <v>34</v>
      </c>
      <c r="F150" t="s">
        <v>531</v>
      </c>
      <c r="G150" t="s">
        <v>37</v>
      </c>
      <c r="H150" t="s">
        <v>38</v>
      </c>
      <c r="I150" t="s">
        <v>532</v>
      </c>
      <c r="J150" t="s">
        <v>40</v>
      </c>
      <c r="K150">
        <v>2</v>
      </c>
      <c r="L150" t="s">
        <v>41</v>
      </c>
      <c r="M150" t="s">
        <v>42</v>
      </c>
      <c r="N150" t="s">
        <v>43</v>
      </c>
      <c r="O150" s="7">
        <v>1</v>
      </c>
      <c r="P150" s="8">
        <v>45194.487615740742</v>
      </c>
      <c r="Q150" s="9">
        <v>45195</v>
      </c>
      <c r="R150" t="s">
        <v>37</v>
      </c>
      <c r="S150" t="s">
        <v>44</v>
      </c>
      <c r="T150" t="s">
        <v>45</v>
      </c>
      <c r="U150" t="s">
        <v>67</v>
      </c>
      <c r="V150" t="s">
        <v>533</v>
      </c>
      <c r="W150">
        <v>44100</v>
      </c>
      <c r="X150" t="s">
        <v>44</v>
      </c>
      <c r="Y150" t="s">
        <v>534</v>
      </c>
      <c r="Z150" t="s">
        <v>49</v>
      </c>
      <c r="AA150" s="10">
        <f>IF(O150&lt;=1,7,7+0.8*ROUNDUP(O150-1,0))</f>
        <v>7</v>
      </c>
      <c r="AB150" s="11">
        <v>0</v>
      </c>
      <c r="AC150" s="11">
        <v>0</v>
      </c>
      <c r="AD150" s="11">
        <v>0</v>
      </c>
      <c r="AE150" s="11">
        <v>0</v>
      </c>
      <c r="AF150" s="11">
        <f t="shared" si="4"/>
        <v>0.42</v>
      </c>
      <c r="AG150" s="11">
        <f t="shared" si="5"/>
        <v>7.42</v>
      </c>
      <c r="AH150" t="s">
        <v>50</v>
      </c>
    </row>
    <row r="151" spans="1:34" ht="15" customHeight="1" x14ac:dyDescent="0.35">
      <c r="A151">
        <v>7547676</v>
      </c>
      <c r="B151">
        <v>690929</v>
      </c>
      <c r="C151" t="s">
        <v>34</v>
      </c>
      <c r="D151" t="s">
        <v>35</v>
      </c>
      <c r="E151" s="6" t="s">
        <v>34</v>
      </c>
      <c r="F151" t="s">
        <v>535</v>
      </c>
      <c r="G151" t="s">
        <v>37</v>
      </c>
      <c r="H151" t="s">
        <v>38</v>
      </c>
      <c r="I151" t="s">
        <v>536</v>
      </c>
      <c r="J151" t="s">
        <v>40</v>
      </c>
      <c r="K151">
        <v>2</v>
      </c>
      <c r="L151" t="s">
        <v>41</v>
      </c>
      <c r="M151" t="s">
        <v>42</v>
      </c>
      <c r="N151" t="s">
        <v>43</v>
      </c>
      <c r="O151" s="7">
        <v>3</v>
      </c>
      <c r="P151" s="8">
        <v>45194.71671296296</v>
      </c>
      <c r="Q151" s="9">
        <v>45195</v>
      </c>
      <c r="R151" t="s">
        <v>37</v>
      </c>
      <c r="S151" t="s">
        <v>44</v>
      </c>
      <c r="T151" t="s">
        <v>45</v>
      </c>
      <c r="U151" t="s">
        <v>284</v>
      </c>
      <c r="V151" t="s">
        <v>537</v>
      </c>
      <c r="W151">
        <v>21500</v>
      </c>
      <c r="X151" t="s">
        <v>44</v>
      </c>
      <c r="Y151" t="s">
        <v>298</v>
      </c>
      <c r="Z151" t="s">
        <v>49</v>
      </c>
      <c r="AA151" s="10">
        <f>IF(O151&lt;=1,7,7+0.8*ROUNDUP(O151-1,0))</f>
        <v>8.6</v>
      </c>
      <c r="AB151" s="11">
        <v>0</v>
      </c>
      <c r="AC151" s="11">
        <v>0</v>
      </c>
      <c r="AD151" s="11">
        <v>0</v>
      </c>
      <c r="AE151" s="11">
        <v>0</v>
      </c>
      <c r="AF151" s="11">
        <f t="shared" si="4"/>
        <v>0.51600000000000001</v>
      </c>
      <c r="AG151" s="11">
        <f t="shared" si="5"/>
        <v>9.1159999999999997</v>
      </c>
      <c r="AH151" t="s">
        <v>50</v>
      </c>
    </row>
    <row r="152" spans="1:34" ht="15" customHeight="1" x14ac:dyDescent="0.35">
      <c r="A152">
        <v>7547676</v>
      </c>
      <c r="B152">
        <v>690929</v>
      </c>
      <c r="C152" t="s">
        <v>34</v>
      </c>
      <c r="D152" t="s">
        <v>35</v>
      </c>
      <c r="E152" s="6" t="s">
        <v>34</v>
      </c>
      <c r="F152" t="s">
        <v>538</v>
      </c>
      <c r="G152" t="s">
        <v>37</v>
      </c>
      <c r="H152" t="s">
        <v>38</v>
      </c>
      <c r="I152" t="s">
        <v>539</v>
      </c>
      <c r="J152" t="s">
        <v>40</v>
      </c>
      <c r="K152">
        <v>2</v>
      </c>
      <c r="L152" t="s">
        <v>41</v>
      </c>
      <c r="M152" t="s">
        <v>42</v>
      </c>
      <c r="N152" t="s">
        <v>43</v>
      </c>
      <c r="O152" s="7">
        <v>2</v>
      </c>
      <c r="P152" s="8">
        <v>45193.665011574078</v>
      </c>
      <c r="Q152" s="9">
        <v>45195</v>
      </c>
      <c r="R152" t="s">
        <v>37</v>
      </c>
      <c r="S152" t="s">
        <v>44</v>
      </c>
      <c r="T152" t="s">
        <v>45</v>
      </c>
      <c r="U152" t="s">
        <v>128</v>
      </c>
      <c r="V152" t="s">
        <v>540</v>
      </c>
      <c r="W152">
        <v>1000</v>
      </c>
      <c r="X152" t="s">
        <v>44</v>
      </c>
      <c r="Y152" t="s">
        <v>69</v>
      </c>
      <c r="Z152" t="s">
        <v>49</v>
      </c>
      <c r="AA152" s="10">
        <f>IF(O152&lt;=1,7,7+0.8*ROUNDUP(O152-1,0))</f>
        <v>7.8</v>
      </c>
      <c r="AB152" s="11">
        <v>0</v>
      </c>
      <c r="AC152" s="11">
        <v>0</v>
      </c>
      <c r="AD152" s="11">
        <v>0</v>
      </c>
      <c r="AE152" s="11">
        <v>0</v>
      </c>
      <c r="AF152" s="11">
        <f t="shared" si="4"/>
        <v>0.46799999999999997</v>
      </c>
      <c r="AG152" s="11">
        <f t="shared" si="5"/>
        <v>8.2680000000000007</v>
      </c>
      <c r="AH152" t="s">
        <v>50</v>
      </c>
    </row>
    <row r="153" spans="1:34" ht="15" customHeight="1" x14ac:dyDescent="0.35">
      <c r="A153">
        <v>7547676</v>
      </c>
      <c r="B153">
        <v>690929</v>
      </c>
      <c r="C153" t="s">
        <v>34</v>
      </c>
      <c r="D153" t="s">
        <v>35</v>
      </c>
      <c r="E153" s="6" t="s">
        <v>34</v>
      </c>
      <c r="F153" t="s">
        <v>541</v>
      </c>
      <c r="G153" t="s">
        <v>37</v>
      </c>
      <c r="H153" t="s">
        <v>38</v>
      </c>
      <c r="I153" t="s">
        <v>542</v>
      </c>
      <c r="J153" t="s">
        <v>40</v>
      </c>
      <c r="K153">
        <v>2</v>
      </c>
      <c r="L153" t="s">
        <v>41</v>
      </c>
      <c r="M153" t="s">
        <v>42</v>
      </c>
      <c r="N153" t="s">
        <v>543</v>
      </c>
      <c r="O153" s="7">
        <v>5</v>
      </c>
      <c r="P153" s="8">
        <v>45188.734618055554</v>
      </c>
      <c r="Q153" s="9">
        <v>45195</v>
      </c>
      <c r="R153" t="s">
        <v>37</v>
      </c>
      <c r="S153" t="s">
        <v>44</v>
      </c>
      <c r="T153" t="s">
        <v>45</v>
      </c>
      <c r="U153" t="s">
        <v>37</v>
      </c>
      <c r="V153" t="s">
        <v>544</v>
      </c>
      <c r="W153">
        <v>31920</v>
      </c>
      <c r="X153" t="s">
        <v>545</v>
      </c>
      <c r="Y153" t="s">
        <v>546</v>
      </c>
      <c r="Z153" t="s">
        <v>49</v>
      </c>
      <c r="AA153" s="10">
        <f>IF(O153&lt;=1,7,7+0.8*ROUNDUP(O153-1,0))</f>
        <v>10.199999999999999</v>
      </c>
      <c r="AB153" s="11">
        <v>0</v>
      </c>
      <c r="AC153" s="11">
        <v>0</v>
      </c>
      <c r="AD153" s="11">
        <v>0</v>
      </c>
      <c r="AE153" s="11">
        <v>0</v>
      </c>
      <c r="AF153" s="11">
        <f t="shared" si="4"/>
        <v>0.61199999999999999</v>
      </c>
      <c r="AG153" s="11">
        <f t="shared" si="5"/>
        <v>10.811999999999999</v>
      </c>
      <c r="AH153" t="s">
        <v>50</v>
      </c>
    </row>
    <row r="154" spans="1:34" ht="15" customHeight="1" x14ac:dyDescent="0.35">
      <c r="A154">
        <v>7547676</v>
      </c>
      <c r="B154">
        <v>690929</v>
      </c>
      <c r="C154" t="s">
        <v>34</v>
      </c>
      <c r="D154" t="s">
        <v>35</v>
      </c>
      <c r="E154" s="6" t="s">
        <v>34</v>
      </c>
      <c r="F154" t="s">
        <v>547</v>
      </c>
      <c r="G154" t="s">
        <v>37</v>
      </c>
      <c r="H154" t="s">
        <v>38</v>
      </c>
      <c r="I154" t="s">
        <v>548</v>
      </c>
      <c r="J154" t="s">
        <v>40</v>
      </c>
      <c r="K154">
        <v>2</v>
      </c>
      <c r="L154" t="s">
        <v>41</v>
      </c>
      <c r="M154" t="s">
        <v>42</v>
      </c>
      <c r="N154" t="s">
        <v>43</v>
      </c>
      <c r="O154" s="7">
        <v>1</v>
      </c>
      <c r="P154" s="8">
        <v>45194.740416666667</v>
      </c>
      <c r="Q154" s="9">
        <v>45195</v>
      </c>
      <c r="R154" t="s">
        <v>37</v>
      </c>
      <c r="S154" t="s">
        <v>44</v>
      </c>
      <c r="T154" t="s">
        <v>45</v>
      </c>
      <c r="U154" t="s">
        <v>67</v>
      </c>
      <c r="V154" t="s">
        <v>549</v>
      </c>
      <c r="W154">
        <v>62050</v>
      </c>
      <c r="X154" t="s">
        <v>44</v>
      </c>
      <c r="Y154" t="s">
        <v>369</v>
      </c>
      <c r="Z154" t="s">
        <v>49</v>
      </c>
      <c r="AA154" s="10">
        <f>IF(O154&lt;=1,7,7+0.8*ROUNDUP(O154-1,0))</f>
        <v>7</v>
      </c>
      <c r="AB154" s="11">
        <v>0</v>
      </c>
      <c r="AC154" s="11">
        <v>0</v>
      </c>
      <c r="AD154" s="11">
        <v>0</v>
      </c>
      <c r="AE154" s="11">
        <v>0</v>
      </c>
      <c r="AF154" s="11">
        <f t="shared" si="4"/>
        <v>0.42</v>
      </c>
      <c r="AG154" s="11">
        <f t="shared" si="5"/>
        <v>7.42</v>
      </c>
      <c r="AH154" t="s">
        <v>50</v>
      </c>
    </row>
    <row r="155" spans="1:34" ht="15" customHeight="1" x14ac:dyDescent="0.35">
      <c r="A155">
        <v>7547676</v>
      </c>
      <c r="B155">
        <v>690929</v>
      </c>
      <c r="C155" t="s">
        <v>34</v>
      </c>
      <c r="D155" t="s">
        <v>35</v>
      </c>
      <c r="E155" s="6" t="s">
        <v>34</v>
      </c>
      <c r="F155" t="s">
        <v>550</v>
      </c>
      <c r="G155" t="s">
        <v>37</v>
      </c>
      <c r="H155" t="s">
        <v>38</v>
      </c>
      <c r="I155" t="s">
        <v>551</v>
      </c>
      <c r="J155" t="s">
        <v>40</v>
      </c>
      <c r="K155">
        <v>2</v>
      </c>
      <c r="L155" t="s">
        <v>41</v>
      </c>
      <c r="M155" t="s">
        <v>42</v>
      </c>
      <c r="N155" t="s">
        <v>43</v>
      </c>
      <c r="O155" s="7">
        <v>1</v>
      </c>
      <c r="P155" s="8">
        <v>45192.7187962963</v>
      </c>
      <c r="Q155" s="9">
        <v>45195</v>
      </c>
      <c r="R155" t="s">
        <v>37</v>
      </c>
      <c r="S155" t="s">
        <v>44</v>
      </c>
      <c r="T155" t="s">
        <v>45</v>
      </c>
      <c r="U155" t="s">
        <v>110</v>
      </c>
      <c r="V155" t="s">
        <v>552</v>
      </c>
      <c r="W155">
        <v>80350</v>
      </c>
      <c r="X155" t="s">
        <v>44</v>
      </c>
      <c r="Y155" t="s">
        <v>69</v>
      </c>
      <c r="Z155" t="s">
        <v>49</v>
      </c>
      <c r="AA155" s="10">
        <f>IF(O155&lt;=1,7,7+0.8*ROUNDUP(O155-1,0))</f>
        <v>7</v>
      </c>
      <c r="AB155" s="11">
        <v>0</v>
      </c>
      <c r="AC155" s="11">
        <v>0</v>
      </c>
      <c r="AD155" s="11">
        <v>0</v>
      </c>
      <c r="AE155" s="11">
        <v>0</v>
      </c>
      <c r="AF155" s="11">
        <f t="shared" si="4"/>
        <v>0.42</v>
      </c>
      <c r="AG155" s="11">
        <f t="shared" si="5"/>
        <v>7.42</v>
      </c>
      <c r="AH155" t="s">
        <v>50</v>
      </c>
    </row>
    <row r="156" spans="1:34" ht="15" customHeight="1" x14ac:dyDescent="0.35">
      <c r="A156">
        <v>7547676</v>
      </c>
      <c r="B156">
        <v>690929</v>
      </c>
      <c r="C156" t="s">
        <v>34</v>
      </c>
      <c r="D156" t="s">
        <v>35</v>
      </c>
      <c r="E156" s="6" t="s">
        <v>34</v>
      </c>
      <c r="F156" t="s">
        <v>553</v>
      </c>
      <c r="G156" t="s">
        <v>37</v>
      </c>
      <c r="H156" t="s">
        <v>38</v>
      </c>
      <c r="I156" t="s">
        <v>554</v>
      </c>
      <c r="J156" t="s">
        <v>40</v>
      </c>
      <c r="K156">
        <v>2</v>
      </c>
      <c r="L156" t="s">
        <v>41</v>
      </c>
      <c r="M156" t="s">
        <v>42</v>
      </c>
      <c r="N156" t="s">
        <v>43</v>
      </c>
      <c r="O156" s="7">
        <v>14</v>
      </c>
      <c r="P156" s="8">
        <v>45194.530370370368</v>
      </c>
      <c r="Q156" s="9">
        <v>45196</v>
      </c>
      <c r="R156" t="s">
        <v>37</v>
      </c>
      <c r="S156" t="s">
        <v>44</v>
      </c>
      <c r="T156" t="s">
        <v>45</v>
      </c>
      <c r="U156" t="s">
        <v>106</v>
      </c>
      <c r="V156" t="s">
        <v>555</v>
      </c>
      <c r="W156">
        <v>14000</v>
      </c>
      <c r="X156" t="s">
        <v>44</v>
      </c>
      <c r="Y156" t="s">
        <v>520</v>
      </c>
      <c r="Z156" t="s">
        <v>49</v>
      </c>
      <c r="AA156" s="10">
        <f>IF(O156&lt;=1,7,7+0.8*ROUNDUP(O156-1,0))</f>
        <v>17.399999999999999</v>
      </c>
      <c r="AB156" s="11">
        <v>0</v>
      </c>
      <c r="AC156" s="11">
        <v>0</v>
      </c>
      <c r="AD156" s="11">
        <v>0</v>
      </c>
      <c r="AE156" s="11">
        <v>0</v>
      </c>
      <c r="AF156" s="11">
        <f t="shared" si="4"/>
        <v>1.0439999999999998</v>
      </c>
      <c r="AG156" s="11">
        <f t="shared" si="5"/>
        <v>18.443999999999999</v>
      </c>
      <c r="AH156" t="s">
        <v>50</v>
      </c>
    </row>
    <row r="157" spans="1:34" ht="15" customHeight="1" x14ac:dyDescent="0.35">
      <c r="A157">
        <v>7547676</v>
      </c>
      <c r="B157">
        <v>690929</v>
      </c>
      <c r="C157" t="s">
        <v>34</v>
      </c>
      <c r="D157" t="s">
        <v>35</v>
      </c>
      <c r="E157" s="6" t="s">
        <v>34</v>
      </c>
      <c r="F157" t="s">
        <v>556</v>
      </c>
      <c r="G157" t="s">
        <v>37</v>
      </c>
      <c r="H157" t="s">
        <v>38</v>
      </c>
      <c r="I157" t="s">
        <v>557</v>
      </c>
      <c r="J157" t="s">
        <v>40</v>
      </c>
      <c r="K157">
        <v>2</v>
      </c>
      <c r="L157" t="s">
        <v>41</v>
      </c>
      <c r="M157" t="s">
        <v>42</v>
      </c>
      <c r="N157" t="s">
        <v>43</v>
      </c>
      <c r="O157" s="7">
        <v>3</v>
      </c>
      <c r="P157" s="8">
        <v>45193.785104166665</v>
      </c>
      <c r="Q157" s="9">
        <v>45196</v>
      </c>
      <c r="R157" t="s">
        <v>37</v>
      </c>
      <c r="S157" t="s">
        <v>44</v>
      </c>
      <c r="T157" t="s">
        <v>45</v>
      </c>
      <c r="U157" t="s">
        <v>53</v>
      </c>
      <c r="V157" t="s">
        <v>558</v>
      </c>
      <c r="W157">
        <v>70400</v>
      </c>
      <c r="X157" t="s">
        <v>44</v>
      </c>
      <c r="Y157" t="s">
        <v>422</v>
      </c>
      <c r="Z157" t="s">
        <v>49</v>
      </c>
      <c r="AA157" s="10">
        <f>IF(O157&lt;=1,7,7+0.8*ROUNDUP(O157-1,0))</f>
        <v>8.6</v>
      </c>
      <c r="AB157" s="11">
        <v>0</v>
      </c>
      <c r="AC157" s="11">
        <v>0</v>
      </c>
      <c r="AD157" s="11">
        <v>0</v>
      </c>
      <c r="AE157" s="11">
        <v>0</v>
      </c>
      <c r="AF157" s="11">
        <f t="shared" si="4"/>
        <v>0.51600000000000001</v>
      </c>
      <c r="AG157" s="11">
        <f t="shared" si="5"/>
        <v>9.1159999999999997</v>
      </c>
      <c r="AH157" t="s">
        <v>50</v>
      </c>
    </row>
    <row r="158" spans="1:34" ht="15" customHeight="1" x14ac:dyDescent="0.35">
      <c r="A158">
        <v>7547676</v>
      </c>
      <c r="B158">
        <v>690929</v>
      </c>
      <c r="C158" t="s">
        <v>34</v>
      </c>
      <c r="D158" t="s">
        <v>35</v>
      </c>
      <c r="E158" s="6" t="s">
        <v>34</v>
      </c>
      <c r="F158" t="s">
        <v>559</v>
      </c>
      <c r="G158" t="s">
        <v>37</v>
      </c>
      <c r="H158" t="s">
        <v>38</v>
      </c>
      <c r="I158" t="s">
        <v>220</v>
      </c>
      <c r="J158" t="s">
        <v>40</v>
      </c>
      <c r="K158">
        <v>2</v>
      </c>
      <c r="L158" t="s">
        <v>41</v>
      </c>
      <c r="M158" t="s">
        <v>42</v>
      </c>
      <c r="N158" t="s">
        <v>43</v>
      </c>
      <c r="O158" s="7">
        <v>1</v>
      </c>
      <c r="P158" s="8">
        <v>45194.747731481482</v>
      </c>
      <c r="Q158" s="9">
        <v>45196</v>
      </c>
      <c r="R158" t="s">
        <v>37</v>
      </c>
      <c r="S158" t="s">
        <v>44</v>
      </c>
      <c r="T158" t="s">
        <v>45</v>
      </c>
      <c r="U158" t="s">
        <v>62</v>
      </c>
      <c r="V158" t="s">
        <v>560</v>
      </c>
      <c r="W158">
        <v>50050</v>
      </c>
      <c r="X158" t="s">
        <v>44</v>
      </c>
      <c r="Y158" t="s">
        <v>452</v>
      </c>
      <c r="Z158" t="s">
        <v>49</v>
      </c>
      <c r="AA158" s="10">
        <f>IF(O158&lt;=1,7,7+0.8*ROUNDUP(O158-1,0))</f>
        <v>7</v>
      </c>
      <c r="AB158" s="11">
        <v>0</v>
      </c>
      <c r="AC158" s="11">
        <v>0</v>
      </c>
      <c r="AD158" s="11">
        <v>0</v>
      </c>
      <c r="AE158" s="11">
        <v>0</v>
      </c>
      <c r="AF158" s="11">
        <f t="shared" si="4"/>
        <v>0.42</v>
      </c>
      <c r="AG158" s="11">
        <f t="shared" si="5"/>
        <v>7.42</v>
      </c>
      <c r="AH158" t="s">
        <v>50</v>
      </c>
    </row>
    <row r="159" spans="1:34" ht="15" customHeight="1" x14ac:dyDescent="0.35">
      <c r="A159">
        <v>7547676</v>
      </c>
      <c r="B159">
        <v>690929</v>
      </c>
      <c r="C159" t="s">
        <v>34</v>
      </c>
      <c r="D159" t="s">
        <v>35</v>
      </c>
      <c r="E159" s="6" t="s">
        <v>34</v>
      </c>
      <c r="F159" t="s">
        <v>561</v>
      </c>
      <c r="G159" t="s">
        <v>37</v>
      </c>
      <c r="H159" t="s">
        <v>38</v>
      </c>
      <c r="I159" t="s">
        <v>562</v>
      </c>
      <c r="J159" t="s">
        <v>40</v>
      </c>
      <c r="K159">
        <v>2</v>
      </c>
      <c r="L159" t="s">
        <v>41</v>
      </c>
      <c r="M159" t="s">
        <v>42</v>
      </c>
      <c r="N159" t="s">
        <v>43</v>
      </c>
      <c r="O159" s="7">
        <v>6</v>
      </c>
      <c r="P159" s="8">
        <v>45194.7421412037</v>
      </c>
      <c r="Q159" s="9">
        <v>45196</v>
      </c>
      <c r="R159" t="s">
        <v>37</v>
      </c>
      <c r="S159" t="s">
        <v>44</v>
      </c>
      <c r="T159" t="s">
        <v>45</v>
      </c>
      <c r="U159" t="s">
        <v>110</v>
      </c>
      <c r="V159" t="s">
        <v>563</v>
      </c>
      <c r="W159">
        <v>81100</v>
      </c>
      <c r="X159" t="s">
        <v>44</v>
      </c>
      <c r="Y159" t="s">
        <v>564</v>
      </c>
      <c r="Z159" t="s">
        <v>49</v>
      </c>
      <c r="AA159" s="10">
        <f>IF(O159&lt;=1,7,7+0.8*ROUNDUP(O159-1,0))</f>
        <v>11</v>
      </c>
      <c r="AB159" s="11">
        <v>0</v>
      </c>
      <c r="AC159" s="11">
        <v>0</v>
      </c>
      <c r="AD159" s="11">
        <v>0</v>
      </c>
      <c r="AE159" s="11">
        <v>0</v>
      </c>
      <c r="AF159" s="11">
        <f t="shared" si="4"/>
        <v>0.65999999999999992</v>
      </c>
      <c r="AG159" s="11">
        <f t="shared" si="5"/>
        <v>11.66</v>
      </c>
      <c r="AH159" t="s">
        <v>50</v>
      </c>
    </row>
    <row r="160" spans="1:34" ht="15" customHeight="1" x14ac:dyDescent="0.35">
      <c r="A160">
        <v>7547676</v>
      </c>
      <c r="B160">
        <v>690929</v>
      </c>
      <c r="C160" t="s">
        <v>34</v>
      </c>
      <c r="D160" t="s">
        <v>35</v>
      </c>
      <c r="E160" s="6" t="s">
        <v>34</v>
      </c>
      <c r="F160" t="s">
        <v>565</v>
      </c>
      <c r="G160" t="s">
        <v>37</v>
      </c>
      <c r="H160" t="s">
        <v>38</v>
      </c>
      <c r="I160" t="s">
        <v>566</v>
      </c>
      <c r="J160" t="s">
        <v>40</v>
      </c>
      <c r="K160">
        <v>2</v>
      </c>
      <c r="L160" t="s">
        <v>41</v>
      </c>
      <c r="M160" t="s">
        <v>42</v>
      </c>
      <c r="N160" t="s">
        <v>43</v>
      </c>
      <c r="O160" s="7">
        <v>1</v>
      </c>
      <c r="P160" s="8">
        <v>45195.557199074072</v>
      </c>
      <c r="Q160" s="9">
        <v>45196</v>
      </c>
      <c r="R160" t="s">
        <v>37</v>
      </c>
      <c r="S160" t="s">
        <v>44</v>
      </c>
      <c r="T160" t="s">
        <v>45</v>
      </c>
      <c r="U160" t="s">
        <v>62</v>
      </c>
      <c r="V160" t="s">
        <v>567</v>
      </c>
      <c r="W160">
        <v>59200</v>
      </c>
      <c r="X160" t="s">
        <v>44</v>
      </c>
      <c r="Y160" t="s">
        <v>568</v>
      </c>
      <c r="Z160" t="s">
        <v>49</v>
      </c>
      <c r="AA160" s="10">
        <f>IF(O160&lt;=1,7,7+0.8*ROUNDUP(O160-1,0))</f>
        <v>7</v>
      </c>
      <c r="AB160" s="11">
        <v>0</v>
      </c>
      <c r="AC160" s="11">
        <v>0</v>
      </c>
      <c r="AD160" s="11">
        <v>0</v>
      </c>
      <c r="AE160" s="11">
        <v>0</v>
      </c>
      <c r="AF160" s="11">
        <f t="shared" si="4"/>
        <v>0.42</v>
      </c>
      <c r="AG160" s="11">
        <f t="shared" si="5"/>
        <v>7.42</v>
      </c>
      <c r="AH160" t="s">
        <v>50</v>
      </c>
    </row>
    <row r="161" spans="1:34" ht="15" customHeight="1" x14ac:dyDescent="0.35">
      <c r="A161">
        <v>7547676</v>
      </c>
      <c r="B161">
        <v>690929</v>
      </c>
      <c r="C161" t="s">
        <v>34</v>
      </c>
      <c r="D161" t="s">
        <v>35</v>
      </c>
      <c r="E161" s="6" t="s">
        <v>34</v>
      </c>
      <c r="F161" t="s">
        <v>569</v>
      </c>
      <c r="G161" t="s">
        <v>37</v>
      </c>
      <c r="H161" t="s">
        <v>38</v>
      </c>
      <c r="I161" t="s">
        <v>570</v>
      </c>
      <c r="J161" t="s">
        <v>40</v>
      </c>
      <c r="K161">
        <v>2</v>
      </c>
      <c r="L161" t="s">
        <v>41</v>
      </c>
      <c r="M161" t="s">
        <v>42</v>
      </c>
      <c r="N161" t="s">
        <v>43</v>
      </c>
      <c r="O161" s="7">
        <v>1</v>
      </c>
      <c r="P161" s="8">
        <v>45195.613668981481</v>
      </c>
      <c r="Q161" s="9">
        <v>45196</v>
      </c>
      <c r="R161" t="s">
        <v>37</v>
      </c>
      <c r="S161" t="s">
        <v>44</v>
      </c>
      <c r="T161" t="s">
        <v>45</v>
      </c>
      <c r="U161" t="s">
        <v>62</v>
      </c>
      <c r="V161" t="s">
        <v>571</v>
      </c>
      <c r="W161">
        <v>47100</v>
      </c>
      <c r="X161" t="s">
        <v>44</v>
      </c>
      <c r="Y161" t="s">
        <v>69</v>
      </c>
      <c r="Z161" t="s">
        <v>49</v>
      </c>
      <c r="AA161" s="10">
        <f>IF(O161&lt;=1,7,7+0.8*ROUNDUP(O161-1,0))</f>
        <v>7</v>
      </c>
      <c r="AB161" s="11">
        <v>0</v>
      </c>
      <c r="AC161" s="11">
        <v>0</v>
      </c>
      <c r="AD161" s="11">
        <v>0</v>
      </c>
      <c r="AE161" s="11">
        <v>0</v>
      </c>
      <c r="AF161" s="11">
        <f t="shared" si="4"/>
        <v>0.42</v>
      </c>
      <c r="AG161" s="11">
        <f t="shared" si="5"/>
        <v>7.42</v>
      </c>
      <c r="AH161" t="s">
        <v>50</v>
      </c>
    </row>
    <row r="162" spans="1:34" ht="15" customHeight="1" x14ac:dyDescent="0.35">
      <c r="A162">
        <v>7547676</v>
      </c>
      <c r="B162">
        <v>690929</v>
      </c>
      <c r="C162" t="s">
        <v>34</v>
      </c>
      <c r="D162" t="s">
        <v>35</v>
      </c>
      <c r="E162" s="6" t="s">
        <v>34</v>
      </c>
      <c r="F162" t="s">
        <v>572</v>
      </c>
      <c r="G162" t="s">
        <v>37</v>
      </c>
      <c r="H162" t="s">
        <v>38</v>
      </c>
      <c r="I162" t="s">
        <v>573</v>
      </c>
      <c r="J162" t="s">
        <v>40</v>
      </c>
      <c r="K162">
        <v>2</v>
      </c>
      <c r="L162" t="s">
        <v>41</v>
      </c>
      <c r="M162" t="s">
        <v>42</v>
      </c>
      <c r="N162" t="s">
        <v>43</v>
      </c>
      <c r="O162" s="7">
        <v>2</v>
      </c>
      <c r="P162" s="8">
        <v>45194.422025462962</v>
      </c>
      <c r="Q162" s="9">
        <v>45196</v>
      </c>
      <c r="R162" t="s">
        <v>37</v>
      </c>
      <c r="S162" t="s">
        <v>44</v>
      </c>
      <c r="T162" t="s">
        <v>45</v>
      </c>
      <c r="U162" t="s">
        <v>110</v>
      </c>
      <c r="V162" t="s">
        <v>574</v>
      </c>
      <c r="W162">
        <v>81700</v>
      </c>
      <c r="X162" t="s">
        <v>44</v>
      </c>
      <c r="Y162" t="s">
        <v>69</v>
      </c>
      <c r="Z162" t="s">
        <v>49</v>
      </c>
      <c r="AA162" s="10">
        <f>IF(O162&lt;=1,7,7+0.8*ROUNDUP(O162-1,0))</f>
        <v>7.8</v>
      </c>
      <c r="AB162" s="11">
        <v>0</v>
      </c>
      <c r="AC162" s="11">
        <v>0</v>
      </c>
      <c r="AD162" s="11">
        <v>0</v>
      </c>
      <c r="AE162" s="11">
        <v>0</v>
      </c>
      <c r="AF162" s="11">
        <f t="shared" si="4"/>
        <v>0.46799999999999997</v>
      </c>
      <c r="AG162" s="11">
        <f t="shared" si="5"/>
        <v>8.2680000000000007</v>
      </c>
      <c r="AH162" t="s">
        <v>50</v>
      </c>
    </row>
    <row r="163" spans="1:34" ht="15" customHeight="1" x14ac:dyDescent="0.35">
      <c r="A163">
        <v>7547676</v>
      </c>
      <c r="B163">
        <v>690929</v>
      </c>
      <c r="C163" t="s">
        <v>34</v>
      </c>
      <c r="D163" t="s">
        <v>35</v>
      </c>
      <c r="E163" s="6" t="s">
        <v>34</v>
      </c>
      <c r="F163" t="s">
        <v>575</v>
      </c>
      <c r="G163" t="s">
        <v>37</v>
      </c>
      <c r="H163" t="s">
        <v>38</v>
      </c>
      <c r="I163" t="s">
        <v>576</v>
      </c>
      <c r="J163" t="s">
        <v>40</v>
      </c>
      <c r="K163">
        <v>2</v>
      </c>
      <c r="L163" t="s">
        <v>41</v>
      </c>
      <c r="M163" t="s">
        <v>42</v>
      </c>
      <c r="N163" t="s">
        <v>43</v>
      </c>
      <c r="O163" s="7">
        <v>1</v>
      </c>
      <c r="P163" s="8">
        <v>45194.760393518518</v>
      </c>
      <c r="Q163" s="9">
        <v>45196</v>
      </c>
      <c r="R163" t="s">
        <v>37</v>
      </c>
      <c r="S163" t="s">
        <v>44</v>
      </c>
      <c r="T163" t="s">
        <v>45</v>
      </c>
      <c r="U163" t="s">
        <v>115</v>
      </c>
      <c r="V163" t="s">
        <v>577</v>
      </c>
      <c r="W163">
        <v>16090</v>
      </c>
      <c r="X163" t="s">
        <v>44</v>
      </c>
      <c r="Y163" t="s">
        <v>114</v>
      </c>
      <c r="Z163" t="s">
        <v>49</v>
      </c>
      <c r="AA163" s="10">
        <f>IF(O163&lt;=1,7,7+0.8*ROUNDUP(O163-1,0))</f>
        <v>7</v>
      </c>
      <c r="AB163" s="11">
        <v>0</v>
      </c>
      <c r="AC163" s="11">
        <v>0</v>
      </c>
      <c r="AD163" s="11">
        <v>0</v>
      </c>
      <c r="AE163" s="11">
        <v>0</v>
      </c>
      <c r="AF163" s="11">
        <f t="shared" si="4"/>
        <v>0.42</v>
      </c>
      <c r="AG163" s="11">
        <f t="shared" si="5"/>
        <v>7.42</v>
      </c>
      <c r="AH163" t="s">
        <v>50</v>
      </c>
    </row>
    <row r="164" spans="1:34" ht="15" customHeight="1" x14ac:dyDescent="0.35">
      <c r="A164">
        <v>7547676</v>
      </c>
      <c r="B164">
        <v>690929</v>
      </c>
      <c r="C164" t="s">
        <v>34</v>
      </c>
      <c r="D164" t="s">
        <v>35</v>
      </c>
      <c r="E164" s="6" t="s">
        <v>34</v>
      </c>
      <c r="F164" t="s">
        <v>578</v>
      </c>
      <c r="G164" t="s">
        <v>37</v>
      </c>
      <c r="H164" t="s">
        <v>38</v>
      </c>
      <c r="I164" t="s">
        <v>579</v>
      </c>
      <c r="J164" t="s">
        <v>40</v>
      </c>
      <c r="K164">
        <v>2</v>
      </c>
      <c r="L164" t="s">
        <v>41</v>
      </c>
      <c r="M164" t="s">
        <v>42</v>
      </c>
      <c r="N164" t="s">
        <v>43</v>
      </c>
      <c r="O164" s="7">
        <v>6</v>
      </c>
      <c r="P164" s="8">
        <v>45194.737453703703</v>
      </c>
      <c r="Q164" s="9">
        <v>45196</v>
      </c>
      <c r="R164" t="s">
        <v>37</v>
      </c>
      <c r="S164" t="s">
        <v>44</v>
      </c>
      <c r="T164" t="s">
        <v>45</v>
      </c>
      <c r="U164" t="s">
        <v>110</v>
      </c>
      <c r="V164" t="s">
        <v>580</v>
      </c>
      <c r="W164">
        <v>81800</v>
      </c>
      <c r="X164" t="s">
        <v>44</v>
      </c>
      <c r="Y164" t="s">
        <v>581</v>
      </c>
      <c r="Z164" t="s">
        <v>49</v>
      </c>
      <c r="AA164" s="10">
        <f>IF(O164&lt;=1,7,7+0.8*ROUNDUP(O164-1,0))</f>
        <v>11</v>
      </c>
      <c r="AB164" s="11">
        <v>0</v>
      </c>
      <c r="AC164" s="11">
        <v>0</v>
      </c>
      <c r="AD164" s="11">
        <v>0</v>
      </c>
      <c r="AE164" s="11">
        <v>0</v>
      </c>
      <c r="AF164" s="11">
        <f t="shared" si="4"/>
        <v>0.65999999999999992</v>
      </c>
      <c r="AG164" s="11">
        <f t="shared" si="5"/>
        <v>11.66</v>
      </c>
      <c r="AH164" t="s">
        <v>50</v>
      </c>
    </row>
    <row r="165" spans="1:34" ht="15" customHeight="1" x14ac:dyDescent="0.35">
      <c r="A165">
        <v>7547676</v>
      </c>
      <c r="B165">
        <v>690929</v>
      </c>
      <c r="C165" t="s">
        <v>34</v>
      </c>
      <c r="D165" t="s">
        <v>35</v>
      </c>
      <c r="E165" s="6" t="s">
        <v>34</v>
      </c>
      <c r="F165" t="s">
        <v>582</v>
      </c>
      <c r="G165" t="s">
        <v>37</v>
      </c>
      <c r="H165" t="s">
        <v>38</v>
      </c>
      <c r="I165" t="s">
        <v>583</v>
      </c>
      <c r="J165" t="s">
        <v>40</v>
      </c>
      <c r="K165">
        <v>2</v>
      </c>
      <c r="L165" t="s">
        <v>41</v>
      </c>
      <c r="M165" t="s">
        <v>42</v>
      </c>
      <c r="N165" t="s">
        <v>43</v>
      </c>
      <c r="O165" s="7">
        <v>1</v>
      </c>
      <c r="P165" s="8">
        <v>45195.682442129626</v>
      </c>
      <c r="Q165" s="9">
        <v>45196</v>
      </c>
      <c r="R165" t="s">
        <v>37</v>
      </c>
      <c r="S165" t="s">
        <v>44</v>
      </c>
      <c r="T165" t="s">
        <v>45</v>
      </c>
      <c r="U165" t="s">
        <v>67</v>
      </c>
      <c r="V165" t="s">
        <v>584</v>
      </c>
      <c r="W165">
        <v>68100</v>
      </c>
      <c r="X165" t="s">
        <v>44</v>
      </c>
      <c r="Y165" t="s">
        <v>341</v>
      </c>
      <c r="Z165" t="s">
        <v>49</v>
      </c>
      <c r="AA165" s="10">
        <f>IF(O165&lt;=1,7,7+0.8*ROUNDUP(O165-1,0))</f>
        <v>7</v>
      </c>
      <c r="AB165" s="11">
        <v>0</v>
      </c>
      <c r="AC165" s="11">
        <v>0</v>
      </c>
      <c r="AD165" s="11">
        <v>0</v>
      </c>
      <c r="AE165" s="11">
        <v>0</v>
      </c>
      <c r="AF165" s="11">
        <f t="shared" si="4"/>
        <v>0.42</v>
      </c>
      <c r="AG165" s="11">
        <f t="shared" si="5"/>
        <v>7.42</v>
      </c>
      <c r="AH165" t="s">
        <v>50</v>
      </c>
    </row>
    <row r="166" spans="1:34" ht="15" customHeight="1" x14ac:dyDescent="0.35">
      <c r="A166">
        <v>7547676</v>
      </c>
      <c r="B166">
        <v>690929</v>
      </c>
      <c r="C166" t="s">
        <v>34</v>
      </c>
      <c r="D166" t="s">
        <v>35</v>
      </c>
      <c r="E166" s="6" t="s">
        <v>34</v>
      </c>
      <c r="F166" t="s">
        <v>585</v>
      </c>
      <c r="G166" t="s">
        <v>37</v>
      </c>
      <c r="H166" t="s">
        <v>38</v>
      </c>
      <c r="I166" t="s">
        <v>586</v>
      </c>
      <c r="J166" t="s">
        <v>40</v>
      </c>
      <c r="K166">
        <v>2</v>
      </c>
      <c r="L166" t="s">
        <v>41</v>
      </c>
      <c r="M166" t="s">
        <v>42</v>
      </c>
      <c r="N166" t="s">
        <v>43</v>
      </c>
      <c r="O166" s="7">
        <v>3</v>
      </c>
      <c r="P166" s="8">
        <v>45194.73746527778</v>
      </c>
      <c r="Q166" s="9">
        <v>45196</v>
      </c>
      <c r="R166" t="s">
        <v>37</v>
      </c>
      <c r="S166" t="s">
        <v>44</v>
      </c>
      <c r="T166" t="s">
        <v>45</v>
      </c>
      <c r="U166" t="s">
        <v>110</v>
      </c>
      <c r="V166" t="s">
        <v>587</v>
      </c>
      <c r="W166">
        <v>81900</v>
      </c>
      <c r="X166" t="s">
        <v>44</v>
      </c>
      <c r="Y166" t="s">
        <v>466</v>
      </c>
      <c r="Z166" t="s">
        <v>49</v>
      </c>
      <c r="AA166" s="10">
        <f>IF(O166&lt;=1,7,7+0.8*ROUNDUP(O166-1,0))</f>
        <v>8.6</v>
      </c>
      <c r="AB166" s="11">
        <v>0</v>
      </c>
      <c r="AC166" s="11">
        <v>0</v>
      </c>
      <c r="AD166" s="11">
        <v>0</v>
      </c>
      <c r="AE166" s="11">
        <v>0</v>
      </c>
      <c r="AF166" s="11">
        <f t="shared" si="4"/>
        <v>0.51600000000000001</v>
      </c>
      <c r="AG166" s="11">
        <f t="shared" si="5"/>
        <v>9.1159999999999997</v>
      </c>
      <c r="AH166" t="s">
        <v>50</v>
      </c>
    </row>
    <row r="167" spans="1:34" ht="15" customHeight="1" x14ac:dyDescent="0.35">
      <c r="A167">
        <v>7547676</v>
      </c>
      <c r="B167">
        <v>690929</v>
      </c>
      <c r="C167" t="s">
        <v>34</v>
      </c>
      <c r="D167" t="s">
        <v>35</v>
      </c>
      <c r="E167" s="6" t="s">
        <v>34</v>
      </c>
      <c r="F167" t="s">
        <v>588</v>
      </c>
      <c r="G167" t="s">
        <v>37</v>
      </c>
      <c r="H167" t="s">
        <v>38</v>
      </c>
      <c r="I167" t="s">
        <v>589</v>
      </c>
      <c r="J167" t="s">
        <v>40</v>
      </c>
      <c r="K167">
        <v>2</v>
      </c>
      <c r="L167" t="s">
        <v>41</v>
      </c>
      <c r="M167" t="s">
        <v>42</v>
      </c>
      <c r="N167" t="s">
        <v>43</v>
      </c>
      <c r="O167" s="7">
        <v>2</v>
      </c>
      <c r="P167" s="8">
        <v>45194.760393518518</v>
      </c>
      <c r="Q167" s="9">
        <v>45196</v>
      </c>
      <c r="R167" t="s">
        <v>37</v>
      </c>
      <c r="S167" t="s">
        <v>44</v>
      </c>
      <c r="T167" t="s">
        <v>45</v>
      </c>
      <c r="U167" t="s">
        <v>62</v>
      </c>
      <c r="V167" t="s">
        <v>590</v>
      </c>
      <c r="W167">
        <v>56000</v>
      </c>
      <c r="X167" t="s">
        <v>44</v>
      </c>
      <c r="Y167" t="s">
        <v>591</v>
      </c>
      <c r="Z167" t="s">
        <v>49</v>
      </c>
      <c r="AA167" s="10">
        <f>IF(O167&lt;=1,7,7+0.8*ROUNDUP(O167-1,0))</f>
        <v>7.8</v>
      </c>
      <c r="AB167" s="11">
        <v>0</v>
      </c>
      <c r="AC167" s="11">
        <v>0</v>
      </c>
      <c r="AD167" s="11">
        <v>0</v>
      </c>
      <c r="AE167" s="11">
        <v>0</v>
      </c>
      <c r="AF167" s="11">
        <f t="shared" si="4"/>
        <v>0.46799999999999997</v>
      </c>
      <c r="AG167" s="11">
        <f t="shared" si="5"/>
        <v>8.2680000000000007</v>
      </c>
      <c r="AH167" t="s">
        <v>50</v>
      </c>
    </row>
    <row r="168" spans="1:34" ht="15" customHeight="1" x14ac:dyDescent="0.35">
      <c r="A168">
        <v>7547676</v>
      </c>
      <c r="B168">
        <v>690929</v>
      </c>
      <c r="C168" t="s">
        <v>34</v>
      </c>
      <c r="D168" t="s">
        <v>35</v>
      </c>
      <c r="E168" s="6" t="s">
        <v>34</v>
      </c>
      <c r="F168" t="s">
        <v>592</v>
      </c>
      <c r="G168" t="s">
        <v>37</v>
      </c>
      <c r="H168" t="s">
        <v>38</v>
      </c>
      <c r="I168" t="s">
        <v>593</v>
      </c>
      <c r="J168" t="s">
        <v>40</v>
      </c>
      <c r="K168">
        <v>2</v>
      </c>
      <c r="L168" t="s">
        <v>41</v>
      </c>
      <c r="M168" t="s">
        <v>42</v>
      </c>
      <c r="N168" t="s">
        <v>43</v>
      </c>
      <c r="O168" s="7">
        <v>1</v>
      </c>
      <c r="P168" s="8">
        <v>45196.601875</v>
      </c>
      <c r="Q168" s="9">
        <v>45197</v>
      </c>
      <c r="R168" t="s">
        <v>37</v>
      </c>
      <c r="S168" t="s">
        <v>44</v>
      </c>
      <c r="T168" t="s">
        <v>45</v>
      </c>
      <c r="U168" t="s">
        <v>67</v>
      </c>
      <c r="V168" t="s">
        <v>594</v>
      </c>
      <c r="W168">
        <v>43200</v>
      </c>
      <c r="X168" t="s">
        <v>44</v>
      </c>
      <c r="Y168" t="s">
        <v>88</v>
      </c>
      <c r="Z168" t="s">
        <v>49</v>
      </c>
      <c r="AA168" s="10">
        <f>IF(O168&lt;=1,7,7+0.8*ROUNDUP(O168-1,0))</f>
        <v>7</v>
      </c>
      <c r="AB168" s="11">
        <v>0</v>
      </c>
      <c r="AC168" s="11">
        <v>0</v>
      </c>
      <c r="AD168" s="11">
        <v>0</v>
      </c>
      <c r="AE168" s="11">
        <v>0</v>
      </c>
      <c r="AF168" s="11">
        <f t="shared" si="4"/>
        <v>0.42</v>
      </c>
      <c r="AG168" s="11">
        <f t="shared" si="5"/>
        <v>7.42</v>
      </c>
      <c r="AH168" t="s">
        <v>50</v>
      </c>
    </row>
    <row r="169" spans="1:34" ht="15" customHeight="1" x14ac:dyDescent="0.35">
      <c r="A169">
        <v>7547676</v>
      </c>
      <c r="B169">
        <v>690929</v>
      </c>
      <c r="C169" t="s">
        <v>34</v>
      </c>
      <c r="D169" t="s">
        <v>35</v>
      </c>
      <c r="E169" s="6" t="s">
        <v>34</v>
      </c>
      <c r="F169" t="s">
        <v>595</v>
      </c>
      <c r="G169" t="s">
        <v>37</v>
      </c>
      <c r="H169" t="s">
        <v>38</v>
      </c>
      <c r="I169" t="s">
        <v>596</v>
      </c>
      <c r="J169" t="s">
        <v>40</v>
      </c>
      <c r="K169">
        <v>2</v>
      </c>
      <c r="L169" t="s">
        <v>41</v>
      </c>
      <c r="M169" t="s">
        <v>42</v>
      </c>
      <c r="N169" t="s">
        <v>43</v>
      </c>
      <c r="O169" s="7">
        <v>1</v>
      </c>
      <c r="P169" s="8">
        <v>45196.601875</v>
      </c>
      <c r="Q169" s="9">
        <v>45197</v>
      </c>
      <c r="R169" t="s">
        <v>37</v>
      </c>
      <c r="S169" t="s">
        <v>44</v>
      </c>
      <c r="T169" t="s">
        <v>45</v>
      </c>
      <c r="U169" t="s">
        <v>53</v>
      </c>
      <c r="V169" t="s">
        <v>597</v>
      </c>
      <c r="W169">
        <v>71760</v>
      </c>
      <c r="X169" t="s">
        <v>44</v>
      </c>
      <c r="Y169" t="s">
        <v>94</v>
      </c>
      <c r="Z169" t="s">
        <v>49</v>
      </c>
      <c r="AA169" s="10">
        <f>IF(O169&lt;=1,7,7+0.8*ROUNDUP(O169-1,0))</f>
        <v>7</v>
      </c>
      <c r="AB169" s="11">
        <v>0</v>
      </c>
      <c r="AC169" s="11">
        <v>0</v>
      </c>
      <c r="AD169" s="11">
        <v>0</v>
      </c>
      <c r="AE169" s="11">
        <v>0</v>
      </c>
      <c r="AF169" s="11">
        <f t="shared" si="4"/>
        <v>0.42</v>
      </c>
      <c r="AG169" s="11">
        <f t="shared" si="5"/>
        <v>7.42</v>
      </c>
      <c r="AH169" t="s">
        <v>50</v>
      </c>
    </row>
    <row r="170" spans="1:34" ht="15" customHeight="1" x14ac:dyDescent="0.35">
      <c r="A170">
        <v>7547676</v>
      </c>
      <c r="B170">
        <v>690929</v>
      </c>
      <c r="C170" t="s">
        <v>34</v>
      </c>
      <c r="D170" t="s">
        <v>35</v>
      </c>
      <c r="E170" s="6" t="s">
        <v>34</v>
      </c>
      <c r="F170" t="s">
        <v>598</v>
      </c>
      <c r="G170" t="s">
        <v>37</v>
      </c>
      <c r="H170" t="s">
        <v>38</v>
      </c>
      <c r="I170" t="s">
        <v>599</v>
      </c>
      <c r="J170" t="s">
        <v>40</v>
      </c>
      <c r="K170">
        <v>2</v>
      </c>
      <c r="L170" t="s">
        <v>41</v>
      </c>
      <c r="M170" t="s">
        <v>42</v>
      </c>
      <c r="N170" t="s">
        <v>43</v>
      </c>
      <c r="O170" s="7">
        <v>1</v>
      </c>
      <c r="P170" s="8">
        <v>45196.642708333333</v>
      </c>
      <c r="Q170" s="9">
        <v>45197</v>
      </c>
      <c r="R170" t="s">
        <v>37</v>
      </c>
      <c r="S170" t="s">
        <v>44</v>
      </c>
      <c r="T170" t="s">
        <v>45</v>
      </c>
      <c r="U170" t="s">
        <v>115</v>
      </c>
      <c r="V170" t="s">
        <v>600</v>
      </c>
      <c r="W170">
        <v>16100</v>
      </c>
      <c r="X170" t="s">
        <v>44</v>
      </c>
      <c r="Y170" t="s">
        <v>114</v>
      </c>
      <c r="Z170" t="s">
        <v>49</v>
      </c>
      <c r="AA170" s="10">
        <f>IF(O170&lt;=1,7,7+0.8*ROUNDUP(O170-1,0))</f>
        <v>7</v>
      </c>
      <c r="AB170" s="11">
        <v>0</v>
      </c>
      <c r="AC170" s="11">
        <v>0</v>
      </c>
      <c r="AD170" s="11">
        <v>0</v>
      </c>
      <c r="AE170" s="11">
        <v>0</v>
      </c>
      <c r="AF170" s="11">
        <f t="shared" si="4"/>
        <v>0.42</v>
      </c>
      <c r="AG170" s="11">
        <f t="shared" si="5"/>
        <v>7.42</v>
      </c>
      <c r="AH170" t="s">
        <v>50</v>
      </c>
    </row>
    <row r="171" spans="1:34" ht="15" customHeight="1" x14ac:dyDescent="0.35">
      <c r="A171">
        <v>7547676</v>
      </c>
      <c r="B171">
        <v>690929</v>
      </c>
      <c r="C171" t="s">
        <v>34</v>
      </c>
      <c r="D171" t="s">
        <v>35</v>
      </c>
      <c r="E171" s="6" t="s">
        <v>34</v>
      </c>
      <c r="F171" t="s">
        <v>601</v>
      </c>
      <c r="G171" t="s">
        <v>37</v>
      </c>
      <c r="H171" t="s">
        <v>38</v>
      </c>
      <c r="I171" t="s">
        <v>602</v>
      </c>
      <c r="J171" t="s">
        <v>40</v>
      </c>
      <c r="K171">
        <v>2</v>
      </c>
      <c r="L171" t="s">
        <v>41</v>
      </c>
      <c r="M171" t="s">
        <v>42</v>
      </c>
      <c r="N171" t="s">
        <v>43</v>
      </c>
      <c r="O171" s="7">
        <v>1</v>
      </c>
      <c r="P171" s="8">
        <v>45195.632997685185</v>
      </c>
      <c r="Q171" s="9">
        <v>45197</v>
      </c>
      <c r="R171" t="s">
        <v>37</v>
      </c>
      <c r="S171" t="s">
        <v>44</v>
      </c>
      <c r="T171" t="s">
        <v>45</v>
      </c>
      <c r="U171" t="s">
        <v>139</v>
      </c>
      <c r="V171" t="s">
        <v>603</v>
      </c>
      <c r="W171">
        <v>8000</v>
      </c>
      <c r="X171" t="s">
        <v>44</v>
      </c>
      <c r="Y171" t="s">
        <v>141</v>
      </c>
      <c r="Z171" t="s">
        <v>49</v>
      </c>
      <c r="AA171" s="10">
        <f>IF(O171&lt;=1,7,7+0.8*ROUNDUP(O171-1,0))</f>
        <v>7</v>
      </c>
      <c r="AB171" s="11">
        <v>0</v>
      </c>
      <c r="AC171" s="11">
        <v>0</v>
      </c>
      <c r="AD171" s="11">
        <v>0</v>
      </c>
      <c r="AE171" s="11">
        <v>0</v>
      </c>
      <c r="AF171" s="11">
        <f t="shared" si="4"/>
        <v>0.42</v>
      </c>
      <c r="AG171" s="11">
        <f t="shared" si="5"/>
        <v>7.42</v>
      </c>
      <c r="AH171" t="s">
        <v>50</v>
      </c>
    </row>
    <row r="172" spans="1:34" ht="15" customHeight="1" x14ac:dyDescent="0.35">
      <c r="A172">
        <v>7547676</v>
      </c>
      <c r="B172">
        <v>690929</v>
      </c>
      <c r="C172" t="s">
        <v>34</v>
      </c>
      <c r="D172" t="s">
        <v>35</v>
      </c>
      <c r="E172" s="6" t="s">
        <v>34</v>
      </c>
      <c r="F172" t="s">
        <v>604</v>
      </c>
      <c r="G172" t="s">
        <v>37</v>
      </c>
      <c r="H172" t="s">
        <v>38</v>
      </c>
      <c r="I172" t="s">
        <v>605</v>
      </c>
      <c r="J172" t="s">
        <v>40</v>
      </c>
      <c r="K172">
        <v>2</v>
      </c>
      <c r="L172" t="s">
        <v>41</v>
      </c>
      <c r="M172" t="s">
        <v>42</v>
      </c>
      <c r="N172" t="s">
        <v>43</v>
      </c>
      <c r="O172" s="7">
        <v>1</v>
      </c>
      <c r="P172" s="8">
        <v>45195.59778935185</v>
      </c>
      <c r="Q172" s="9">
        <v>45197</v>
      </c>
      <c r="R172" t="s">
        <v>37</v>
      </c>
      <c r="S172" t="s">
        <v>44</v>
      </c>
      <c r="T172" t="s">
        <v>45</v>
      </c>
      <c r="U172" t="s">
        <v>110</v>
      </c>
      <c r="V172" t="s">
        <v>606</v>
      </c>
      <c r="W172">
        <v>81200</v>
      </c>
      <c r="X172" t="s">
        <v>44</v>
      </c>
      <c r="Y172" t="s">
        <v>607</v>
      </c>
      <c r="Z172" t="s">
        <v>49</v>
      </c>
      <c r="AA172" s="10">
        <f>IF(O172&lt;=1,7,7+0.8*ROUNDUP(O172-1,0))</f>
        <v>7</v>
      </c>
      <c r="AB172" s="11">
        <v>0</v>
      </c>
      <c r="AC172" s="11">
        <v>0</v>
      </c>
      <c r="AD172" s="11">
        <v>0</v>
      </c>
      <c r="AE172" s="11">
        <v>0</v>
      </c>
      <c r="AF172" s="11">
        <f t="shared" si="4"/>
        <v>0.42</v>
      </c>
      <c r="AG172" s="11">
        <f t="shared" si="5"/>
        <v>7.42</v>
      </c>
      <c r="AH172" t="s">
        <v>50</v>
      </c>
    </row>
    <row r="173" spans="1:34" ht="15" customHeight="1" x14ac:dyDescent="0.35">
      <c r="A173">
        <v>7547676</v>
      </c>
      <c r="B173">
        <v>690929</v>
      </c>
      <c r="C173" t="s">
        <v>34</v>
      </c>
      <c r="D173" t="s">
        <v>35</v>
      </c>
      <c r="E173" s="6" t="s">
        <v>34</v>
      </c>
      <c r="F173" t="s">
        <v>608</v>
      </c>
      <c r="G173" t="s">
        <v>37</v>
      </c>
      <c r="H173" t="s">
        <v>38</v>
      </c>
      <c r="I173" t="s">
        <v>609</v>
      </c>
      <c r="J173" t="s">
        <v>40</v>
      </c>
      <c r="K173">
        <v>2</v>
      </c>
      <c r="L173" t="s">
        <v>41</v>
      </c>
      <c r="M173" t="s">
        <v>42</v>
      </c>
      <c r="N173" t="s">
        <v>43</v>
      </c>
      <c r="O173" s="7">
        <v>10</v>
      </c>
      <c r="P173" s="8">
        <v>45196.526597222219</v>
      </c>
      <c r="Q173" s="9">
        <v>45197</v>
      </c>
      <c r="R173" t="s">
        <v>37</v>
      </c>
      <c r="S173" t="s">
        <v>44</v>
      </c>
      <c r="T173" t="s">
        <v>45</v>
      </c>
      <c r="U173" t="s">
        <v>62</v>
      </c>
      <c r="V173" t="s">
        <v>610</v>
      </c>
      <c r="W173">
        <v>50300</v>
      </c>
      <c r="X173" t="s">
        <v>44</v>
      </c>
      <c r="Y173" t="s">
        <v>452</v>
      </c>
      <c r="Z173" t="s">
        <v>49</v>
      </c>
      <c r="AA173" s="10">
        <f>IF(O173&lt;=1,7,7+0.8*ROUNDUP(O173-1,0))</f>
        <v>14.2</v>
      </c>
      <c r="AB173" s="11">
        <v>0</v>
      </c>
      <c r="AC173" s="11">
        <v>0</v>
      </c>
      <c r="AD173" s="11">
        <v>0</v>
      </c>
      <c r="AE173" s="11">
        <v>0</v>
      </c>
      <c r="AF173" s="11">
        <f t="shared" si="4"/>
        <v>0.85199999999999998</v>
      </c>
      <c r="AG173" s="11">
        <f t="shared" si="5"/>
        <v>15.052</v>
      </c>
      <c r="AH173" t="s">
        <v>50</v>
      </c>
    </row>
    <row r="174" spans="1:34" ht="15" customHeight="1" x14ac:dyDescent="0.35">
      <c r="A174">
        <v>7547676</v>
      </c>
      <c r="B174">
        <v>690929</v>
      </c>
      <c r="C174" t="s">
        <v>34</v>
      </c>
      <c r="D174" t="s">
        <v>35</v>
      </c>
      <c r="E174" s="6" t="s">
        <v>34</v>
      </c>
      <c r="F174" t="s">
        <v>611</v>
      </c>
      <c r="G174" t="s">
        <v>37</v>
      </c>
      <c r="H174" t="s">
        <v>38</v>
      </c>
      <c r="I174" t="s">
        <v>612</v>
      </c>
      <c r="J174" t="s">
        <v>40</v>
      </c>
      <c r="K174">
        <v>2</v>
      </c>
      <c r="L174" t="s">
        <v>41</v>
      </c>
      <c r="M174" t="s">
        <v>42</v>
      </c>
      <c r="N174" t="s">
        <v>43</v>
      </c>
      <c r="O174" s="7">
        <v>1</v>
      </c>
      <c r="P174" s="8">
        <v>45194.760393518518</v>
      </c>
      <c r="Q174" s="9">
        <v>45197</v>
      </c>
      <c r="R174" t="s">
        <v>37</v>
      </c>
      <c r="S174" t="s">
        <v>44</v>
      </c>
      <c r="T174" t="s">
        <v>45</v>
      </c>
      <c r="U174" t="s">
        <v>139</v>
      </c>
      <c r="V174" t="s">
        <v>613</v>
      </c>
      <c r="W174">
        <v>8330</v>
      </c>
      <c r="X174" t="s">
        <v>44</v>
      </c>
      <c r="Y174" t="s">
        <v>614</v>
      </c>
      <c r="Z174" t="s">
        <v>49</v>
      </c>
      <c r="AA174" s="10">
        <f>IF(O174&lt;=1,7,7+0.8*ROUNDUP(O174-1,0))</f>
        <v>7</v>
      </c>
      <c r="AB174" s="11">
        <v>0</v>
      </c>
      <c r="AC174" s="11">
        <v>0</v>
      </c>
      <c r="AD174" s="11">
        <v>0</v>
      </c>
      <c r="AE174" s="11">
        <v>0</v>
      </c>
      <c r="AF174" s="11">
        <f t="shared" si="4"/>
        <v>0.42</v>
      </c>
      <c r="AG174" s="11">
        <f t="shared" si="5"/>
        <v>7.42</v>
      </c>
      <c r="AH174" t="s">
        <v>50</v>
      </c>
    </row>
    <row r="175" spans="1:34" ht="15" customHeight="1" x14ac:dyDescent="0.35">
      <c r="A175">
        <v>7547676</v>
      </c>
      <c r="B175">
        <v>690929</v>
      </c>
      <c r="C175" t="s">
        <v>34</v>
      </c>
      <c r="D175" t="s">
        <v>35</v>
      </c>
      <c r="E175" s="6" t="s">
        <v>34</v>
      </c>
      <c r="F175" t="s">
        <v>615</v>
      </c>
      <c r="G175" t="s">
        <v>37</v>
      </c>
      <c r="H175" t="s">
        <v>38</v>
      </c>
      <c r="I175" t="s">
        <v>616</v>
      </c>
      <c r="J175" t="s">
        <v>40</v>
      </c>
      <c r="K175">
        <v>2</v>
      </c>
      <c r="L175" t="s">
        <v>41</v>
      </c>
      <c r="M175" t="s">
        <v>42</v>
      </c>
      <c r="N175" t="s">
        <v>43</v>
      </c>
      <c r="O175" s="7">
        <v>1</v>
      </c>
      <c r="P175" s="8">
        <v>45195.761782407404</v>
      </c>
      <c r="Q175" s="9">
        <v>45197</v>
      </c>
      <c r="R175" t="s">
        <v>37</v>
      </c>
      <c r="S175" t="s">
        <v>44</v>
      </c>
      <c r="T175" t="s">
        <v>45</v>
      </c>
      <c r="U175" t="s">
        <v>46</v>
      </c>
      <c r="V175" t="s">
        <v>617</v>
      </c>
      <c r="W175">
        <v>28050</v>
      </c>
      <c r="X175" t="s">
        <v>44</v>
      </c>
      <c r="Y175" t="s">
        <v>45</v>
      </c>
      <c r="Z175" t="s">
        <v>49</v>
      </c>
      <c r="AA175" s="10">
        <f>IF(O175&lt;=1,7,7+0.8*ROUNDUP(O175-1,0))</f>
        <v>7</v>
      </c>
      <c r="AB175" s="11">
        <v>0</v>
      </c>
      <c r="AC175" s="11">
        <v>0</v>
      </c>
      <c r="AD175" s="11">
        <v>0</v>
      </c>
      <c r="AE175" s="11">
        <v>0</v>
      </c>
      <c r="AF175" s="11">
        <f t="shared" si="4"/>
        <v>0.42</v>
      </c>
      <c r="AG175" s="11">
        <f t="shared" si="5"/>
        <v>7.42</v>
      </c>
      <c r="AH175" t="s">
        <v>50</v>
      </c>
    </row>
    <row r="176" spans="1:34" ht="15" customHeight="1" x14ac:dyDescent="0.35">
      <c r="A176">
        <v>7547676</v>
      </c>
      <c r="B176">
        <v>690929</v>
      </c>
      <c r="C176" t="s">
        <v>34</v>
      </c>
      <c r="D176" t="s">
        <v>35</v>
      </c>
      <c r="E176" s="6" t="s">
        <v>34</v>
      </c>
      <c r="F176" t="s">
        <v>618</v>
      </c>
      <c r="G176" t="s">
        <v>37</v>
      </c>
      <c r="H176" t="s">
        <v>38</v>
      </c>
      <c r="I176" t="s">
        <v>619</v>
      </c>
      <c r="J176" t="s">
        <v>40</v>
      </c>
      <c r="K176">
        <v>2</v>
      </c>
      <c r="L176" t="s">
        <v>41</v>
      </c>
      <c r="M176" t="s">
        <v>42</v>
      </c>
      <c r="N176" t="s">
        <v>43</v>
      </c>
      <c r="O176" s="7">
        <v>9</v>
      </c>
      <c r="P176" s="8">
        <v>45195.774571759262</v>
      </c>
      <c r="Q176" s="9">
        <v>45197</v>
      </c>
      <c r="R176" t="s">
        <v>37</v>
      </c>
      <c r="S176" t="s">
        <v>44</v>
      </c>
      <c r="T176" t="s">
        <v>45</v>
      </c>
      <c r="U176" t="s">
        <v>67</v>
      </c>
      <c r="V176" t="s">
        <v>620</v>
      </c>
      <c r="W176">
        <v>42500</v>
      </c>
      <c r="X176" t="s">
        <v>44</v>
      </c>
      <c r="Y176" t="s">
        <v>398</v>
      </c>
      <c r="Z176" t="s">
        <v>49</v>
      </c>
      <c r="AA176" s="10">
        <f>IF(O176&lt;=1,7,7+0.8*ROUNDUP(O176-1,0))</f>
        <v>13.4</v>
      </c>
      <c r="AB176" s="11">
        <v>0</v>
      </c>
      <c r="AC176" s="11">
        <v>0</v>
      </c>
      <c r="AD176" s="11">
        <v>0</v>
      </c>
      <c r="AE176" s="11">
        <v>0</v>
      </c>
      <c r="AF176" s="11">
        <f t="shared" si="4"/>
        <v>0.80399999999999994</v>
      </c>
      <c r="AG176" s="11">
        <f t="shared" si="5"/>
        <v>14.204000000000001</v>
      </c>
      <c r="AH176" t="s">
        <v>50</v>
      </c>
    </row>
    <row r="177" spans="1:34" ht="15" customHeight="1" x14ac:dyDescent="0.35">
      <c r="A177">
        <v>7547676</v>
      </c>
      <c r="B177">
        <v>690929</v>
      </c>
      <c r="C177" t="s">
        <v>34</v>
      </c>
      <c r="D177" t="s">
        <v>35</v>
      </c>
      <c r="E177" s="6" t="s">
        <v>34</v>
      </c>
      <c r="F177" t="s">
        <v>621</v>
      </c>
      <c r="G177" t="s">
        <v>37</v>
      </c>
      <c r="H177" t="s">
        <v>38</v>
      </c>
      <c r="I177" t="s">
        <v>622</v>
      </c>
      <c r="J177" t="s">
        <v>40</v>
      </c>
      <c r="K177">
        <v>2</v>
      </c>
      <c r="L177" t="s">
        <v>41</v>
      </c>
      <c r="M177" t="s">
        <v>42</v>
      </c>
      <c r="N177" t="s">
        <v>43</v>
      </c>
      <c r="O177" s="7">
        <v>12</v>
      </c>
      <c r="P177" s="8">
        <v>45193.742048611108</v>
      </c>
      <c r="Q177" s="9">
        <v>45197</v>
      </c>
      <c r="R177" t="s">
        <v>37</v>
      </c>
      <c r="S177" t="s">
        <v>44</v>
      </c>
      <c r="T177" t="s">
        <v>45</v>
      </c>
      <c r="U177" t="s">
        <v>101</v>
      </c>
      <c r="V177" t="s">
        <v>623</v>
      </c>
      <c r="W177">
        <v>32040</v>
      </c>
      <c r="X177" t="s">
        <v>44</v>
      </c>
      <c r="Y177" t="s">
        <v>624</v>
      </c>
      <c r="Z177" t="s">
        <v>49</v>
      </c>
      <c r="AA177" s="10">
        <f>IF(O177&lt;=1,7,7+0.8*ROUNDUP(O177-1,0))</f>
        <v>15.8</v>
      </c>
      <c r="AB177" s="11">
        <v>0</v>
      </c>
      <c r="AC177" s="11">
        <v>0</v>
      </c>
      <c r="AD177" s="11">
        <v>0</v>
      </c>
      <c r="AE177" s="11">
        <v>0</v>
      </c>
      <c r="AF177" s="11">
        <f t="shared" si="4"/>
        <v>0.94799999999999995</v>
      </c>
      <c r="AG177" s="11">
        <f t="shared" si="5"/>
        <v>16.748000000000001</v>
      </c>
      <c r="AH177" t="s">
        <v>50</v>
      </c>
    </row>
    <row r="178" spans="1:34" ht="15" customHeight="1" x14ac:dyDescent="0.35">
      <c r="A178">
        <v>7547676</v>
      </c>
      <c r="B178">
        <v>690929</v>
      </c>
      <c r="C178" t="s">
        <v>34</v>
      </c>
      <c r="D178" t="s">
        <v>35</v>
      </c>
      <c r="E178" s="6" t="s">
        <v>34</v>
      </c>
      <c r="F178" t="s">
        <v>625</v>
      </c>
      <c r="G178" t="s">
        <v>37</v>
      </c>
      <c r="H178" t="s">
        <v>38</v>
      </c>
      <c r="I178" t="s">
        <v>626</v>
      </c>
      <c r="J178" t="s">
        <v>40</v>
      </c>
      <c r="K178">
        <v>2</v>
      </c>
      <c r="L178" t="s">
        <v>41</v>
      </c>
      <c r="M178" t="s">
        <v>42</v>
      </c>
      <c r="N178" t="s">
        <v>43</v>
      </c>
      <c r="O178" s="7">
        <v>1</v>
      </c>
      <c r="P178" s="8">
        <v>45196.601875</v>
      </c>
      <c r="Q178" s="9">
        <v>45198</v>
      </c>
      <c r="R178" t="s">
        <v>37</v>
      </c>
      <c r="S178" t="s">
        <v>44</v>
      </c>
      <c r="T178" t="s">
        <v>45</v>
      </c>
      <c r="U178" t="s">
        <v>110</v>
      </c>
      <c r="V178" t="s">
        <v>627</v>
      </c>
      <c r="W178">
        <v>86200</v>
      </c>
      <c r="X178" t="s">
        <v>44</v>
      </c>
      <c r="Y178" t="s">
        <v>628</v>
      </c>
      <c r="Z178" t="s">
        <v>49</v>
      </c>
      <c r="AA178" s="10">
        <f>IF(O178&lt;=1,7,7+0.8*ROUNDUP(O178-1,0))</f>
        <v>7</v>
      </c>
      <c r="AB178" s="11">
        <v>0</v>
      </c>
      <c r="AC178" s="11">
        <v>0</v>
      </c>
      <c r="AD178" s="11">
        <v>0</v>
      </c>
      <c r="AE178" s="11">
        <v>0</v>
      </c>
      <c r="AF178" s="11">
        <f t="shared" si="4"/>
        <v>0.42</v>
      </c>
      <c r="AG178" s="11">
        <f t="shared" si="5"/>
        <v>7.42</v>
      </c>
      <c r="AH178" t="s">
        <v>50</v>
      </c>
    </row>
    <row r="179" spans="1:34" ht="15" customHeight="1" x14ac:dyDescent="0.35">
      <c r="A179">
        <v>7547676</v>
      </c>
      <c r="B179">
        <v>690929</v>
      </c>
      <c r="C179" t="s">
        <v>34</v>
      </c>
      <c r="D179" t="s">
        <v>35</v>
      </c>
      <c r="E179" s="6" t="s">
        <v>34</v>
      </c>
      <c r="F179" t="s">
        <v>629</v>
      </c>
      <c r="G179" t="s">
        <v>37</v>
      </c>
      <c r="H179" t="s">
        <v>38</v>
      </c>
      <c r="I179" t="s">
        <v>630</v>
      </c>
      <c r="J179" t="s">
        <v>40</v>
      </c>
      <c r="K179">
        <v>2</v>
      </c>
      <c r="L179" t="s">
        <v>41</v>
      </c>
      <c r="M179" t="s">
        <v>42</v>
      </c>
      <c r="N179" t="s">
        <v>43</v>
      </c>
      <c r="O179" s="7">
        <v>1</v>
      </c>
      <c r="P179" s="8">
        <v>45196.611793981479</v>
      </c>
      <c r="Q179" s="9">
        <v>45198</v>
      </c>
      <c r="R179" t="s">
        <v>37</v>
      </c>
      <c r="S179" t="s">
        <v>44</v>
      </c>
      <c r="T179" t="s">
        <v>45</v>
      </c>
      <c r="U179" t="s">
        <v>101</v>
      </c>
      <c r="V179" t="s">
        <v>631</v>
      </c>
      <c r="W179">
        <v>31250</v>
      </c>
      <c r="X179" t="s">
        <v>44</v>
      </c>
      <c r="Y179" t="s">
        <v>204</v>
      </c>
      <c r="Z179" t="s">
        <v>49</v>
      </c>
      <c r="AA179" s="10">
        <f>IF(O179&lt;=1,7,7+0.8*ROUNDUP(O179-1,0))</f>
        <v>7</v>
      </c>
      <c r="AB179" s="11">
        <v>0</v>
      </c>
      <c r="AC179" s="11">
        <v>0</v>
      </c>
      <c r="AD179" s="11">
        <v>0</v>
      </c>
      <c r="AE179" s="11">
        <v>0</v>
      </c>
      <c r="AF179" s="11">
        <f t="shared" si="4"/>
        <v>0.42</v>
      </c>
      <c r="AG179" s="11">
        <f t="shared" si="5"/>
        <v>7.42</v>
      </c>
      <c r="AH179" t="s">
        <v>50</v>
      </c>
    </row>
    <row r="180" spans="1:34" ht="15" customHeight="1" x14ac:dyDescent="0.35">
      <c r="A180">
        <v>7547676</v>
      </c>
      <c r="B180">
        <v>690929</v>
      </c>
      <c r="C180" t="s">
        <v>34</v>
      </c>
      <c r="D180" t="s">
        <v>35</v>
      </c>
      <c r="E180" s="6" t="s">
        <v>34</v>
      </c>
      <c r="F180" t="s">
        <v>632</v>
      </c>
      <c r="G180" t="s">
        <v>37</v>
      </c>
      <c r="H180" t="s">
        <v>38</v>
      </c>
      <c r="I180" t="s">
        <v>633</v>
      </c>
      <c r="J180" t="s">
        <v>40</v>
      </c>
      <c r="K180">
        <v>2</v>
      </c>
      <c r="L180" t="s">
        <v>41</v>
      </c>
      <c r="M180" t="s">
        <v>42</v>
      </c>
      <c r="N180" t="s">
        <v>43</v>
      </c>
      <c r="O180" s="7">
        <v>1</v>
      </c>
      <c r="P180" s="8">
        <v>45196.715092592596</v>
      </c>
      <c r="Q180" s="9">
        <v>45198</v>
      </c>
      <c r="R180" t="s">
        <v>37</v>
      </c>
      <c r="S180" t="s">
        <v>44</v>
      </c>
      <c r="T180" t="s">
        <v>45</v>
      </c>
      <c r="U180" t="s">
        <v>106</v>
      </c>
      <c r="V180" t="s">
        <v>634</v>
      </c>
      <c r="W180">
        <v>10150</v>
      </c>
      <c r="X180" t="s">
        <v>44</v>
      </c>
      <c r="Y180" t="s">
        <v>635</v>
      </c>
      <c r="Z180" t="s">
        <v>49</v>
      </c>
      <c r="AA180" s="10">
        <f>IF(O180&lt;=1,7,7+0.8*ROUNDUP(O180-1,0))</f>
        <v>7</v>
      </c>
      <c r="AB180" s="11">
        <v>0</v>
      </c>
      <c r="AC180" s="11">
        <v>0</v>
      </c>
      <c r="AD180" s="11">
        <v>0</v>
      </c>
      <c r="AE180" s="11">
        <v>0</v>
      </c>
      <c r="AF180" s="11">
        <f t="shared" si="4"/>
        <v>0.42</v>
      </c>
      <c r="AG180" s="11">
        <f t="shared" si="5"/>
        <v>7.42</v>
      </c>
      <c r="AH180" t="s">
        <v>50</v>
      </c>
    </row>
    <row r="181" spans="1:34" ht="15" customHeight="1" x14ac:dyDescent="0.35">
      <c r="A181">
        <v>7547676</v>
      </c>
      <c r="B181">
        <v>690929</v>
      </c>
      <c r="C181" t="s">
        <v>34</v>
      </c>
      <c r="D181" t="s">
        <v>35</v>
      </c>
      <c r="E181" s="6" t="s">
        <v>34</v>
      </c>
      <c r="F181" t="s">
        <v>636</v>
      </c>
      <c r="G181" t="s">
        <v>37</v>
      </c>
      <c r="H181" t="s">
        <v>38</v>
      </c>
      <c r="I181" t="s">
        <v>637</v>
      </c>
      <c r="J181" t="s">
        <v>40</v>
      </c>
      <c r="K181">
        <v>2</v>
      </c>
      <c r="L181" t="s">
        <v>41</v>
      </c>
      <c r="M181" t="s">
        <v>42</v>
      </c>
      <c r="N181" t="s">
        <v>43</v>
      </c>
      <c r="O181" s="7">
        <v>6</v>
      </c>
      <c r="P181" s="8">
        <v>45197.666724537034</v>
      </c>
      <c r="Q181" s="9">
        <v>45198</v>
      </c>
      <c r="R181" t="s">
        <v>37</v>
      </c>
      <c r="S181" t="s">
        <v>44</v>
      </c>
      <c r="T181" t="s">
        <v>45</v>
      </c>
      <c r="U181" t="s">
        <v>67</v>
      </c>
      <c r="V181" t="s">
        <v>638</v>
      </c>
      <c r="W181">
        <v>40300</v>
      </c>
      <c r="X181" t="s">
        <v>44</v>
      </c>
      <c r="Y181" t="s">
        <v>639</v>
      </c>
      <c r="Z181" t="s">
        <v>49</v>
      </c>
      <c r="AA181" s="10">
        <f>IF(O181&lt;=1,7,7+0.8*ROUNDUP(O181-1,0))</f>
        <v>11</v>
      </c>
      <c r="AB181" s="11">
        <v>0</v>
      </c>
      <c r="AC181" s="11">
        <v>0</v>
      </c>
      <c r="AD181" s="11">
        <v>0</v>
      </c>
      <c r="AE181" s="11">
        <v>0</v>
      </c>
      <c r="AF181" s="11">
        <f t="shared" si="4"/>
        <v>0.65999999999999992</v>
      </c>
      <c r="AG181" s="11">
        <f t="shared" si="5"/>
        <v>11.66</v>
      </c>
      <c r="AH181" t="s">
        <v>50</v>
      </c>
    </row>
    <row r="182" spans="1:34" ht="15" customHeight="1" x14ac:dyDescent="0.35">
      <c r="A182">
        <v>7547676</v>
      </c>
      <c r="B182">
        <v>690929</v>
      </c>
      <c r="C182" t="s">
        <v>34</v>
      </c>
      <c r="D182" t="s">
        <v>35</v>
      </c>
      <c r="E182" s="6" t="s">
        <v>34</v>
      </c>
      <c r="F182" t="s">
        <v>640</v>
      </c>
      <c r="G182" t="s">
        <v>37</v>
      </c>
      <c r="H182" t="s">
        <v>38</v>
      </c>
      <c r="I182" t="s">
        <v>641</v>
      </c>
      <c r="J182" t="s">
        <v>40</v>
      </c>
      <c r="K182">
        <v>2</v>
      </c>
      <c r="L182" t="s">
        <v>41</v>
      </c>
      <c r="M182" t="s">
        <v>42</v>
      </c>
      <c r="N182" t="s">
        <v>43</v>
      </c>
      <c r="O182" s="7">
        <v>1</v>
      </c>
      <c r="P182" s="8">
        <v>45196.715092592596</v>
      </c>
      <c r="Q182" s="9">
        <v>45198</v>
      </c>
      <c r="R182" t="s">
        <v>37</v>
      </c>
      <c r="S182" t="s">
        <v>44</v>
      </c>
      <c r="T182" t="s">
        <v>45</v>
      </c>
      <c r="U182" t="s">
        <v>139</v>
      </c>
      <c r="V182" t="s">
        <v>642</v>
      </c>
      <c r="W182">
        <v>9100</v>
      </c>
      <c r="X182" t="s">
        <v>44</v>
      </c>
      <c r="Y182" t="s">
        <v>643</v>
      </c>
      <c r="Z182" t="s">
        <v>49</v>
      </c>
      <c r="AA182" s="10">
        <f>IF(O182&lt;=1,7,7+0.8*ROUNDUP(O182-1,0))</f>
        <v>7</v>
      </c>
      <c r="AB182" s="11">
        <v>0</v>
      </c>
      <c r="AC182" s="11">
        <v>0</v>
      </c>
      <c r="AD182" s="11">
        <v>0</v>
      </c>
      <c r="AE182" s="11">
        <v>0</v>
      </c>
      <c r="AF182" s="11">
        <f t="shared" si="4"/>
        <v>0.42</v>
      </c>
      <c r="AG182" s="11">
        <f t="shared" si="5"/>
        <v>7.42</v>
      </c>
      <c r="AH182" t="s">
        <v>50</v>
      </c>
    </row>
    <row r="183" spans="1:34" ht="15" customHeight="1" x14ac:dyDescent="0.35">
      <c r="A183">
        <v>7547676</v>
      </c>
      <c r="B183">
        <v>690929</v>
      </c>
      <c r="C183" t="s">
        <v>34</v>
      </c>
      <c r="D183" t="s">
        <v>35</v>
      </c>
      <c r="E183" s="6" t="s">
        <v>34</v>
      </c>
      <c r="F183" t="s">
        <v>644</v>
      </c>
      <c r="G183" t="s">
        <v>37</v>
      </c>
      <c r="H183" t="s">
        <v>38</v>
      </c>
      <c r="I183" t="s">
        <v>645</v>
      </c>
      <c r="J183" t="s">
        <v>40</v>
      </c>
      <c r="K183">
        <v>2</v>
      </c>
      <c r="L183" t="s">
        <v>41</v>
      </c>
      <c r="M183" t="s">
        <v>42</v>
      </c>
      <c r="N183" t="s">
        <v>43</v>
      </c>
      <c r="O183" s="7">
        <v>1</v>
      </c>
      <c r="P183" s="8">
        <v>45197.53087962963</v>
      </c>
      <c r="Q183" s="9">
        <v>45198</v>
      </c>
      <c r="R183" t="s">
        <v>37</v>
      </c>
      <c r="S183" t="s">
        <v>44</v>
      </c>
      <c r="T183" t="s">
        <v>45</v>
      </c>
      <c r="U183" t="s">
        <v>67</v>
      </c>
      <c r="V183" t="s">
        <v>646</v>
      </c>
      <c r="W183">
        <v>40460</v>
      </c>
      <c r="X183" t="s">
        <v>44</v>
      </c>
      <c r="Y183" t="s">
        <v>647</v>
      </c>
      <c r="Z183" t="s">
        <v>49</v>
      </c>
      <c r="AA183" s="10">
        <f>IF(O183&lt;=1,7,7+0.8*ROUNDUP(O183-1,0))</f>
        <v>7</v>
      </c>
      <c r="AB183" s="11">
        <v>0</v>
      </c>
      <c r="AC183" s="11">
        <v>0</v>
      </c>
      <c r="AD183" s="11">
        <v>0</v>
      </c>
      <c r="AE183" s="11">
        <v>0</v>
      </c>
      <c r="AF183" s="11">
        <f t="shared" si="4"/>
        <v>0.42</v>
      </c>
      <c r="AG183" s="11">
        <f t="shared" si="5"/>
        <v>7.42</v>
      </c>
      <c r="AH183" t="s">
        <v>50</v>
      </c>
    </row>
    <row r="184" spans="1:34" ht="15" customHeight="1" x14ac:dyDescent="0.35">
      <c r="A184">
        <v>7547676</v>
      </c>
      <c r="B184">
        <v>690929</v>
      </c>
      <c r="C184" t="s">
        <v>34</v>
      </c>
      <c r="D184" t="s">
        <v>35</v>
      </c>
      <c r="E184" s="6" t="s">
        <v>34</v>
      </c>
      <c r="F184" t="s">
        <v>648</v>
      </c>
      <c r="G184" t="s">
        <v>37</v>
      </c>
      <c r="H184" t="s">
        <v>38</v>
      </c>
      <c r="I184" t="s">
        <v>649</v>
      </c>
      <c r="J184" t="s">
        <v>40</v>
      </c>
      <c r="K184">
        <v>2</v>
      </c>
      <c r="L184" t="s">
        <v>41</v>
      </c>
      <c r="M184" t="s">
        <v>42</v>
      </c>
      <c r="N184" t="s">
        <v>43</v>
      </c>
      <c r="O184" s="7">
        <v>2</v>
      </c>
      <c r="P184" s="8">
        <v>45195.761782407404</v>
      </c>
      <c r="Q184" s="9">
        <v>45198</v>
      </c>
      <c r="R184" t="s">
        <v>37</v>
      </c>
      <c r="S184" t="s">
        <v>44</v>
      </c>
      <c r="T184" t="s">
        <v>45</v>
      </c>
      <c r="U184" t="s">
        <v>62</v>
      </c>
      <c r="V184" t="s">
        <v>650</v>
      </c>
      <c r="W184">
        <v>59000</v>
      </c>
      <c r="X184" t="s">
        <v>44</v>
      </c>
      <c r="Y184" t="s">
        <v>568</v>
      </c>
      <c r="Z184" t="s">
        <v>49</v>
      </c>
      <c r="AA184" s="10">
        <f>IF(O184&lt;=1,7,7+0.8*ROUNDUP(O184-1,0))</f>
        <v>7.8</v>
      </c>
      <c r="AB184" s="11">
        <v>0</v>
      </c>
      <c r="AC184" s="11">
        <v>0</v>
      </c>
      <c r="AD184" s="11">
        <v>0</v>
      </c>
      <c r="AE184" s="11">
        <v>0</v>
      </c>
      <c r="AF184" s="11">
        <f t="shared" si="4"/>
        <v>0.46799999999999997</v>
      </c>
      <c r="AG184" s="11">
        <f t="shared" si="5"/>
        <v>8.2680000000000007</v>
      </c>
      <c r="AH184" t="s">
        <v>50</v>
      </c>
    </row>
    <row r="185" spans="1:34" ht="15" customHeight="1" x14ac:dyDescent="0.35">
      <c r="A185">
        <v>7547676</v>
      </c>
      <c r="B185">
        <v>690929</v>
      </c>
      <c r="C185" t="s">
        <v>34</v>
      </c>
      <c r="D185" t="s">
        <v>35</v>
      </c>
      <c r="E185" s="6" t="s">
        <v>34</v>
      </c>
      <c r="F185" t="s">
        <v>651</v>
      </c>
      <c r="G185" t="s">
        <v>37</v>
      </c>
      <c r="H185" t="s">
        <v>38</v>
      </c>
      <c r="I185" t="s">
        <v>652</v>
      </c>
      <c r="J185" t="s">
        <v>40</v>
      </c>
      <c r="K185">
        <v>2</v>
      </c>
      <c r="L185" t="s">
        <v>41</v>
      </c>
      <c r="M185" t="s">
        <v>42</v>
      </c>
      <c r="N185" t="s">
        <v>43</v>
      </c>
      <c r="O185" s="7">
        <v>1</v>
      </c>
      <c r="P185" s="8">
        <v>45194.778113425928</v>
      </c>
      <c r="Q185" s="9">
        <v>45198</v>
      </c>
      <c r="R185" t="s">
        <v>37</v>
      </c>
      <c r="S185" t="s">
        <v>44</v>
      </c>
      <c r="T185" t="s">
        <v>45</v>
      </c>
      <c r="U185" t="s">
        <v>653</v>
      </c>
      <c r="V185" t="s">
        <v>654</v>
      </c>
      <c r="W185">
        <v>87020</v>
      </c>
      <c r="X185" t="s">
        <v>135</v>
      </c>
      <c r="Y185" t="s">
        <v>69</v>
      </c>
      <c r="Z185" t="s">
        <v>49</v>
      </c>
      <c r="AA185" s="12">
        <f>IF(O185&lt;=1,13,IF(O185&lt;=2,23,IF(O185&lt;=3,35,IF(O185&lt;=4,43,IF(O185&lt;=5,53,IF(O185&lt;=6,63,IF(O185&lt;=7,71,IF(O185&lt;=8,79,IF(O185&lt;=9,87,IF(O185&lt;=10,95,IF(O185&lt;=11,105,IF(O185&lt;=12,114,IF(O185&lt;=13,119,IF(O185&lt;=14,127,IF(O185&lt;=15,135,IF(O185&lt;=16,143,IF(O185&lt;=17,153,IF(O185&lt;=18,163,IF(O185&lt;=19,171,IF(O185&lt;=20,185,IF(O185&lt;=21,193,IF(O185&lt;=22,201,IF(O185&lt;=23,210,IF(O185&lt;=24,220,IF(O185&lt;=25,230,IF(O185&lt;=26,240,IF(O185&lt;=27,250,IF(O185&lt;=28,260,IF(O185&lt;=29,270,IF(O185&lt;=30,280,280+10*ROUNDUP(O185-30,0)))))))))))))))))))))))))))))))</f>
        <v>13</v>
      </c>
      <c r="AB185" s="11">
        <v>0</v>
      </c>
      <c r="AC185" s="11">
        <v>0</v>
      </c>
      <c r="AD185" s="11">
        <v>0</v>
      </c>
      <c r="AE185" s="11">
        <v>0</v>
      </c>
      <c r="AF185" s="11">
        <f t="shared" si="4"/>
        <v>0.78</v>
      </c>
      <c r="AG185" s="11">
        <f t="shared" si="5"/>
        <v>13.78</v>
      </c>
      <c r="AH185" t="s">
        <v>136</v>
      </c>
    </row>
    <row r="186" spans="1:34" ht="15" customHeight="1" x14ac:dyDescent="0.35">
      <c r="A186">
        <v>7547676</v>
      </c>
      <c r="B186">
        <v>690929</v>
      </c>
      <c r="C186" t="s">
        <v>34</v>
      </c>
      <c r="D186" t="s">
        <v>35</v>
      </c>
      <c r="E186" s="6" t="s">
        <v>34</v>
      </c>
      <c r="F186" t="s">
        <v>655</v>
      </c>
      <c r="G186" t="s">
        <v>37</v>
      </c>
      <c r="H186" t="s">
        <v>38</v>
      </c>
      <c r="I186" t="s">
        <v>656</v>
      </c>
      <c r="J186" t="s">
        <v>40</v>
      </c>
      <c r="K186">
        <v>2</v>
      </c>
      <c r="L186" t="s">
        <v>41</v>
      </c>
      <c r="M186" t="s">
        <v>42</v>
      </c>
      <c r="N186" t="s">
        <v>43</v>
      </c>
      <c r="O186" s="7">
        <v>1</v>
      </c>
      <c r="P186" s="8">
        <v>45196.601875</v>
      </c>
      <c r="Q186" s="9">
        <v>45198</v>
      </c>
      <c r="R186" t="s">
        <v>37</v>
      </c>
      <c r="S186" t="s">
        <v>44</v>
      </c>
      <c r="T186" t="s">
        <v>45</v>
      </c>
      <c r="U186" t="s">
        <v>139</v>
      </c>
      <c r="V186" t="s">
        <v>657</v>
      </c>
      <c r="W186">
        <v>8000</v>
      </c>
      <c r="X186" t="s">
        <v>44</v>
      </c>
      <c r="Y186" t="s">
        <v>141</v>
      </c>
      <c r="Z186" t="s">
        <v>49</v>
      </c>
      <c r="AA186" s="10">
        <f>IF(O186&lt;=1,7,7+0.8*ROUNDUP(O186-1,0))</f>
        <v>7</v>
      </c>
      <c r="AB186" s="11">
        <v>0</v>
      </c>
      <c r="AC186" s="11">
        <v>0</v>
      </c>
      <c r="AD186" s="11">
        <v>0</v>
      </c>
      <c r="AE186" s="11">
        <v>0</v>
      </c>
      <c r="AF186" s="11">
        <f t="shared" si="4"/>
        <v>0.42</v>
      </c>
      <c r="AG186" s="11">
        <f t="shared" si="5"/>
        <v>7.42</v>
      </c>
      <c r="AH186" t="s">
        <v>50</v>
      </c>
    </row>
    <row r="187" spans="1:34" ht="15" customHeight="1" x14ac:dyDescent="0.35">
      <c r="A187">
        <v>7547676</v>
      </c>
      <c r="B187">
        <v>690929</v>
      </c>
      <c r="C187" t="s">
        <v>34</v>
      </c>
      <c r="D187" t="s">
        <v>35</v>
      </c>
      <c r="E187" s="6" t="s">
        <v>34</v>
      </c>
      <c r="F187" t="s">
        <v>658</v>
      </c>
      <c r="G187" t="s">
        <v>37</v>
      </c>
      <c r="H187" t="s">
        <v>38</v>
      </c>
      <c r="I187" t="s">
        <v>659</v>
      </c>
      <c r="J187" t="s">
        <v>40</v>
      </c>
      <c r="K187">
        <v>2</v>
      </c>
      <c r="L187" t="s">
        <v>41</v>
      </c>
      <c r="M187" t="s">
        <v>42</v>
      </c>
      <c r="N187" t="s">
        <v>43</v>
      </c>
      <c r="O187" s="7">
        <v>2</v>
      </c>
      <c r="P187" s="8">
        <v>45196.719849537039</v>
      </c>
      <c r="Q187" s="9">
        <v>45198</v>
      </c>
      <c r="R187" t="s">
        <v>37</v>
      </c>
      <c r="S187" t="s">
        <v>44</v>
      </c>
      <c r="T187" t="s">
        <v>45</v>
      </c>
      <c r="U187" t="s">
        <v>62</v>
      </c>
      <c r="V187" t="s">
        <v>660</v>
      </c>
      <c r="W187">
        <v>53300</v>
      </c>
      <c r="X187" t="s">
        <v>44</v>
      </c>
      <c r="Y187" t="s">
        <v>661</v>
      </c>
      <c r="Z187" t="s">
        <v>49</v>
      </c>
      <c r="AA187" s="10">
        <f>IF(O187&lt;=1,7,7+0.8*ROUNDUP(O187-1,0))</f>
        <v>7.8</v>
      </c>
      <c r="AB187" s="11">
        <v>0</v>
      </c>
      <c r="AC187" s="11">
        <v>0</v>
      </c>
      <c r="AD187" s="11">
        <v>0</v>
      </c>
      <c r="AE187" s="11">
        <v>0</v>
      </c>
      <c r="AF187" s="11">
        <f t="shared" si="4"/>
        <v>0.46799999999999997</v>
      </c>
      <c r="AG187" s="11">
        <f t="shared" si="5"/>
        <v>8.2680000000000007</v>
      </c>
      <c r="AH187" t="s">
        <v>50</v>
      </c>
    </row>
    <row r="188" spans="1:34" ht="15" customHeight="1" x14ac:dyDescent="0.35">
      <c r="A188">
        <v>7547676</v>
      </c>
      <c r="B188">
        <v>690929</v>
      </c>
      <c r="C188" t="s">
        <v>34</v>
      </c>
      <c r="D188" t="s">
        <v>35</v>
      </c>
      <c r="E188" s="6" t="s">
        <v>34</v>
      </c>
      <c r="F188" t="s">
        <v>662</v>
      </c>
      <c r="G188" t="s">
        <v>37</v>
      </c>
      <c r="H188" t="s">
        <v>38</v>
      </c>
      <c r="I188" t="s">
        <v>39</v>
      </c>
      <c r="J188" t="s">
        <v>40</v>
      </c>
      <c r="K188">
        <v>2</v>
      </c>
      <c r="L188" t="s">
        <v>41</v>
      </c>
      <c r="M188" t="s">
        <v>42</v>
      </c>
      <c r="N188" t="s">
        <v>43</v>
      </c>
      <c r="O188" s="7">
        <v>3</v>
      </c>
      <c r="P188" s="8">
        <v>45195.72556712963</v>
      </c>
      <c r="Q188" s="9">
        <v>45198</v>
      </c>
      <c r="R188" t="s">
        <v>37</v>
      </c>
      <c r="S188" t="s">
        <v>44</v>
      </c>
      <c r="T188" t="s">
        <v>45</v>
      </c>
      <c r="U188" t="s">
        <v>46</v>
      </c>
      <c r="V188" t="s">
        <v>47</v>
      </c>
      <c r="W188">
        <v>39100</v>
      </c>
      <c r="X188" t="s">
        <v>44</v>
      </c>
      <c r="Y188" t="s">
        <v>48</v>
      </c>
      <c r="Z188" t="s">
        <v>49</v>
      </c>
      <c r="AA188" s="10">
        <f>IF(O188&lt;=1,7,7+0.8*ROUNDUP(O188-1,0))</f>
        <v>8.6</v>
      </c>
      <c r="AB188" s="11">
        <v>0</v>
      </c>
      <c r="AC188" s="11">
        <v>0</v>
      </c>
      <c r="AD188" s="11">
        <v>0</v>
      </c>
      <c r="AE188" s="11">
        <v>0</v>
      </c>
      <c r="AF188" s="11">
        <f t="shared" si="4"/>
        <v>0.51600000000000001</v>
      </c>
      <c r="AG188" s="11">
        <f t="shared" si="5"/>
        <v>9.1159999999999997</v>
      </c>
      <c r="AH188" t="s">
        <v>50</v>
      </c>
    </row>
    <row r="189" spans="1:34" ht="15" customHeight="1" x14ac:dyDescent="0.35">
      <c r="A189">
        <v>7547676</v>
      </c>
      <c r="B189">
        <v>690929</v>
      </c>
      <c r="C189" t="s">
        <v>34</v>
      </c>
      <c r="D189" t="s">
        <v>35</v>
      </c>
      <c r="E189" s="6" t="s">
        <v>34</v>
      </c>
      <c r="F189" t="s">
        <v>663</v>
      </c>
      <c r="G189" t="s">
        <v>37</v>
      </c>
      <c r="H189" t="s">
        <v>38</v>
      </c>
      <c r="I189" t="s">
        <v>39</v>
      </c>
      <c r="J189" t="s">
        <v>40</v>
      </c>
      <c r="K189">
        <v>2</v>
      </c>
      <c r="L189" t="s">
        <v>41</v>
      </c>
      <c r="M189" t="s">
        <v>42</v>
      </c>
      <c r="N189" t="s">
        <v>43</v>
      </c>
      <c r="O189" s="7">
        <v>7</v>
      </c>
      <c r="P189" s="8">
        <v>45195.72556712963</v>
      </c>
      <c r="Q189" s="9">
        <v>45198</v>
      </c>
      <c r="R189" t="s">
        <v>37</v>
      </c>
      <c r="S189" t="s">
        <v>44</v>
      </c>
      <c r="T189" t="s">
        <v>45</v>
      </c>
      <c r="U189" t="s">
        <v>46</v>
      </c>
      <c r="V189" t="s">
        <v>47</v>
      </c>
      <c r="W189">
        <v>39100</v>
      </c>
      <c r="X189" t="s">
        <v>44</v>
      </c>
      <c r="Y189" t="s">
        <v>48</v>
      </c>
      <c r="Z189" t="s">
        <v>49</v>
      </c>
      <c r="AA189" s="10">
        <f>IF(O189&lt;=1,7,7+0.8*ROUNDUP(O189-1,0))</f>
        <v>11.8</v>
      </c>
      <c r="AB189" s="11">
        <v>0</v>
      </c>
      <c r="AC189" s="11">
        <v>0</v>
      </c>
      <c r="AD189" s="11">
        <v>0</v>
      </c>
      <c r="AE189" s="11">
        <v>0</v>
      </c>
      <c r="AF189" s="11">
        <f t="shared" si="4"/>
        <v>0.70799999999999996</v>
      </c>
      <c r="AG189" s="11">
        <f t="shared" si="5"/>
        <v>12.508000000000001</v>
      </c>
      <c r="AH189" t="s">
        <v>50</v>
      </c>
    </row>
    <row r="190" spans="1:34" ht="15" customHeight="1" x14ac:dyDescent="0.35">
      <c r="A190">
        <v>7547676</v>
      </c>
      <c r="B190">
        <v>690929</v>
      </c>
      <c r="C190" t="s">
        <v>34</v>
      </c>
      <c r="D190" t="s">
        <v>35</v>
      </c>
      <c r="E190" s="6" t="s">
        <v>34</v>
      </c>
      <c r="F190" t="s">
        <v>664</v>
      </c>
      <c r="G190" t="s">
        <v>37</v>
      </c>
      <c r="H190" t="s">
        <v>38</v>
      </c>
      <c r="I190" t="s">
        <v>665</v>
      </c>
      <c r="J190" t="s">
        <v>40</v>
      </c>
      <c r="K190">
        <v>2</v>
      </c>
      <c r="L190" t="s">
        <v>41</v>
      </c>
      <c r="M190" t="s">
        <v>42</v>
      </c>
      <c r="N190" t="s">
        <v>43</v>
      </c>
      <c r="O190" s="7">
        <v>7</v>
      </c>
      <c r="P190" s="8">
        <v>45196.642708333333</v>
      </c>
      <c r="Q190" s="9">
        <v>45198</v>
      </c>
      <c r="R190" t="s">
        <v>37</v>
      </c>
      <c r="S190" t="s">
        <v>44</v>
      </c>
      <c r="T190" t="s">
        <v>45</v>
      </c>
      <c r="U190" t="s">
        <v>62</v>
      </c>
      <c r="V190" t="s">
        <v>666</v>
      </c>
      <c r="W190">
        <v>56109</v>
      </c>
      <c r="X190" t="s">
        <v>44</v>
      </c>
      <c r="Y190" t="s">
        <v>667</v>
      </c>
      <c r="Z190" t="s">
        <v>49</v>
      </c>
      <c r="AA190" s="10">
        <f>IF(O190&lt;=1,7,7+0.8*ROUNDUP(O190-1,0))</f>
        <v>11.8</v>
      </c>
      <c r="AB190" s="11">
        <v>0</v>
      </c>
      <c r="AC190" s="11">
        <v>0</v>
      </c>
      <c r="AD190" s="11">
        <v>0</v>
      </c>
      <c r="AE190" s="11">
        <v>0</v>
      </c>
      <c r="AF190" s="11">
        <f t="shared" si="4"/>
        <v>0.70799999999999996</v>
      </c>
      <c r="AG190" s="11">
        <f t="shared" si="5"/>
        <v>12.508000000000001</v>
      </c>
      <c r="AH190" t="s">
        <v>50</v>
      </c>
    </row>
    <row r="191" spans="1:34" ht="15" customHeight="1" x14ac:dyDescent="0.35">
      <c r="A191">
        <v>7547676</v>
      </c>
      <c r="B191">
        <v>690929</v>
      </c>
      <c r="C191" t="s">
        <v>34</v>
      </c>
      <c r="D191" t="s">
        <v>35</v>
      </c>
      <c r="E191" s="6" t="s">
        <v>34</v>
      </c>
      <c r="F191" t="s">
        <v>668</v>
      </c>
      <c r="G191" t="s">
        <v>37</v>
      </c>
      <c r="H191" t="s">
        <v>38</v>
      </c>
      <c r="I191" t="s">
        <v>669</v>
      </c>
      <c r="J191" t="s">
        <v>40</v>
      </c>
      <c r="K191">
        <v>2</v>
      </c>
      <c r="L191" t="s">
        <v>41</v>
      </c>
      <c r="M191" t="s">
        <v>42</v>
      </c>
      <c r="N191" t="s">
        <v>43</v>
      </c>
      <c r="O191" s="7">
        <v>20</v>
      </c>
      <c r="P191" s="8">
        <v>45196.758356481485</v>
      </c>
      <c r="Q191" s="9">
        <v>45198</v>
      </c>
      <c r="R191" t="s">
        <v>37</v>
      </c>
      <c r="S191" t="s">
        <v>44</v>
      </c>
      <c r="T191" t="s">
        <v>45</v>
      </c>
      <c r="U191" t="s">
        <v>110</v>
      </c>
      <c r="V191" t="s">
        <v>670</v>
      </c>
      <c r="W191">
        <v>81620</v>
      </c>
      <c r="X191" t="s">
        <v>44</v>
      </c>
      <c r="Y191" t="s">
        <v>281</v>
      </c>
      <c r="Z191" t="s">
        <v>49</v>
      </c>
      <c r="AA191" s="10">
        <f>IF(O191&lt;=1,7,7+0.8*ROUNDUP(O191-1,0))</f>
        <v>22.200000000000003</v>
      </c>
      <c r="AB191" s="11">
        <v>0</v>
      </c>
      <c r="AC191" s="11">
        <v>0</v>
      </c>
      <c r="AD191" s="11">
        <v>0</v>
      </c>
      <c r="AE191" s="11">
        <v>0</v>
      </c>
      <c r="AF191" s="11">
        <f t="shared" si="4"/>
        <v>1.3320000000000001</v>
      </c>
      <c r="AG191" s="11">
        <f t="shared" si="5"/>
        <v>23.532000000000004</v>
      </c>
      <c r="AH191" t="s">
        <v>50</v>
      </c>
    </row>
    <row r="192" spans="1:34" ht="15" customHeight="1" x14ac:dyDescent="0.35">
      <c r="A192">
        <v>7547676</v>
      </c>
      <c r="B192">
        <v>690929</v>
      </c>
      <c r="C192" t="s">
        <v>34</v>
      </c>
      <c r="D192" t="s">
        <v>35</v>
      </c>
      <c r="E192" s="6" t="s">
        <v>34</v>
      </c>
      <c r="F192" t="s">
        <v>671</v>
      </c>
      <c r="G192" t="s">
        <v>37</v>
      </c>
      <c r="H192" t="s">
        <v>38</v>
      </c>
      <c r="I192" t="s">
        <v>672</v>
      </c>
      <c r="J192" t="s">
        <v>40</v>
      </c>
      <c r="K192">
        <v>2</v>
      </c>
      <c r="L192" t="s">
        <v>41</v>
      </c>
      <c r="M192" t="s">
        <v>42</v>
      </c>
      <c r="N192" t="s">
        <v>43</v>
      </c>
      <c r="O192" s="7">
        <v>1</v>
      </c>
      <c r="P192" s="8">
        <v>45196.678368055553</v>
      </c>
      <c r="Q192" s="9">
        <v>45198</v>
      </c>
      <c r="R192" t="s">
        <v>37</v>
      </c>
      <c r="S192" t="s">
        <v>44</v>
      </c>
      <c r="T192" t="s">
        <v>45</v>
      </c>
      <c r="U192" t="s">
        <v>67</v>
      </c>
      <c r="V192" t="s">
        <v>673</v>
      </c>
      <c r="W192">
        <v>48050</v>
      </c>
      <c r="X192" t="s">
        <v>44</v>
      </c>
      <c r="Y192" t="s">
        <v>243</v>
      </c>
      <c r="Z192" t="s">
        <v>49</v>
      </c>
      <c r="AA192" s="10">
        <f>IF(O192&lt;=1,7,7+0.8*ROUNDUP(O192-1,0))</f>
        <v>7</v>
      </c>
      <c r="AB192" s="11">
        <v>0</v>
      </c>
      <c r="AC192" s="11">
        <v>0</v>
      </c>
      <c r="AD192" s="11">
        <v>0</v>
      </c>
      <c r="AE192" s="11">
        <v>0</v>
      </c>
      <c r="AF192" s="11">
        <f t="shared" si="4"/>
        <v>0.42</v>
      </c>
      <c r="AG192" s="11">
        <f t="shared" si="5"/>
        <v>7.42</v>
      </c>
      <c r="AH192" t="s">
        <v>50</v>
      </c>
    </row>
    <row r="193" spans="1:34" ht="15" customHeight="1" x14ac:dyDescent="0.35">
      <c r="A193">
        <v>7547676</v>
      </c>
      <c r="B193">
        <v>690929</v>
      </c>
      <c r="C193" t="s">
        <v>34</v>
      </c>
      <c r="D193" t="s">
        <v>35</v>
      </c>
      <c r="E193" s="6" t="s">
        <v>34</v>
      </c>
      <c r="F193" t="s">
        <v>674</v>
      </c>
      <c r="G193" t="s">
        <v>37</v>
      </c>
      <c r="H193" t="s">
        <v>38</v>
      </c>
      <c r="I193" t="s">
        <v>675</v>
      </c>
      <c r="J193" t="s">
        <v>40</v>
      </c>
      <c r="K193">
        <v>2</v>
      </c>
      <c r="L193" t="s">
        <v>41</v>
      </c>
      <c r="M193" t="s">
        <v>42</v>
      </c>
      <c r="N193" t="s">
        <v>43</v>
      </c>
      <c r="O193" s="7">
        <v>2</v>
      </c>
      <c r="P193" s="8">
        <v>45194.760393518518</v>
      </c>
      <c r="Q193" s="9">
        <v>45198</v>
      </c>
      <c r="R193" t="s">
        <v>37</v>
      </c>
      <c r="S193" t="s">
        <v>44</v>
      </c>
      <c r="T193" t="s">
        <v>45</v>
      </c>
      <c r="U193" t="s">
        <v>133</v>
      </c>
      <c r="V193" t="s">
        <v>676</v>
      </c>
      <c r="W193">
        <v>93050</v>
      </c>
      <c r="X193" t="s">
        <v>135</v>
      </c>
      <c r="Y193" t="s">
        <v>69</v>
      </c>
      <c r="Z193" t="s">
        <v>49</v>
      </c>
      <c r="AA193" s="12">
        <f>IF(O193&lt;=1,13,IF(O193&lt;=2,23,IF(O193&lt;=3,35,IF(O193&lt;=4,43,IF(O193&lt;=5,53,IF(O193&lt;=6,63,IF(O193&lt;=7,71,IF(O193&lt;=8,79,IF(O193&lt;=9,87,IF(O193&lt;=10,95,IF(O193&lt;=11,105,IF(O193&lt;=12,114,IF(O193&lt;=13,119,IF(O193&lt;=14,127,IF(O193&lt;=15,135,IF(O193&lt;=16,143,IF(O193&lt;=17,153,IF(O193&lt;=18,163,IF(O193&lt;=19,171,IF(O193&lt;=20,185,IF(O193&lt;=21,193,IF(O193&lt;=22,201,IF(O193&lt;=23,210,IF(O193&lt;=24,220,IF(O193&lt;=25,230,IF(O193&lt;=26,240,IF(O193&lt;=27,250,IF(O193&lt;=28,260,IF(O193&lt;=29,270,IF(O193&lt;=30,280,280+10*ROUNDUP(O193-30,0)))))))))))))))))))))))))))))))</f>
        <v>23</v>
      </c>
      <c r="AB193" s="11">
        <v>0</v>
      </c>
      <c r="AC193" s="11">
        <v>0</v>
      </c>
      <c r="AD193" s="11">
        <v>0</v>
      </c>
      <c r="AE193" s="11">
        <v>0</v>
      </c>
      <c r="AF193" s="11">
        <f t="shared" si="4"/>
        <v>1.38</v>
      </c>
      <c r="AG193" s="11">
        <f t="shared" si="5"/>
        <v>24.38</v>
      </c>
      <c r="AH193" t="s">
        <v>136</v>
      </c>
    </row>
    <row r="194" spans="1:34" ht="15" customHeight="1" x14ac:dyDescent="0.35">
      <c r="A194">
        <v>7547676</v>
      </c>
      <c r="B194">
        <v>690929</v>
      </c>
      <c r="C194" t="s">
        <v>34</v>
      </c>
      <c r="D194" t="s">
        <v>35</v>
      </c>
      <c r="E194" s="6" t="s">
        <v>34</v>
      </c>
      <c r="F194" t="s">
        <v>677</v>
      </c>
      <c r="G194" t="s">
        <v>37</v>
      </c>
      <c r="H194" t="s">
        <v>38</v>
      </c>
      <c r="I194" t="s">
        <v>678</v>
      </c>
      <c r="J194" t="s">
        <v>40</v>
      </c>
      <c r="K194">
        <v>2</v>
      </c>
      <c r="L194" t="s">
        <v>41</v>
      </c>
      <c r="M194" t="s">
        <v>42</v>
      </c>
      <c r="N194" t="s">
        <v>43</v>
      </c>
      <c r="O194" s="7">
        <v>1</v>
      </c>
      <c r="P194" s="8">
        <v>45195.761782407404</v>
      </c>
      <c r="Q194" s="9">
        <v>45198</v>
      </c>
      <c r="R194" t="s">
        <v>37</v>
      </c>
      <c r="S194" t="s">
        <v>44</v>
      </c>
      <c r="T194" t="s">
        <v>45</v>
      </c>
      <c r="U194" t="s">
        <v>67</v>
      </c>
      <c r="V194" t="s">
        <v>679</v>
      </c>
      <c r="W194">
        <v>55000</v>
      </c>
      <c r="X194" t="s">
        <v>44</v>
      </c>
      <c r="Y194" t="s">
        <v>84</v>
      </c>
      <c r="Z194" t="s">
        <v>49</v>
      </c>
      <c r="AA194" s="10">
        <f>IF(O194&lt;=1,7,7+0.8*ROUNDUP(O194-1,0))</f>
        <v>7</v>
      </c>
      <c r="AB194" s="11">
        <v>0</v>
      </c>
      <c r="AC194" s="11">
        <v>0</v>
      </c>
      <c r="AD194" s="11">
        <v>0</v>
      </c>
      <c r="AE194" s="11">
        <v>0</v>
      </c>
      <c r="AF194" s="11">
        <f t="shared" ref="AF194:AF257" si="6">(AA194+AC194+AE194)*6%</f>
        <v>0.42</v>
      </c>
      <c r="AG194" s="11">
        <f t="shared" ref="AG194:AG257" si="7">AA194+AC194+AE194+AF194</f>
        <v>7.42</v>
      </c>
      <c r="AH194" t="s">
        <v>50</v>
      </c>
    </row>
    <row r="195" spans="1:34" ht="15" customHeight="1" x14ac:dyDescent="0.35">
      <c r="A195">
        <v>7547676</v>
      </c>
      <c r="B195">
        <v>690929</v>
      </c>
      <c r="C195" t="s">
        <v>34</v>
      </c>
      <c r="D195" t="s">
        <v>35</v>
      </c>
      <c r="E195" s="6" t="s">
        <v>34</v>
      </c>
      <c r="F195" t="s">
        <v>680</v>
      </c>
      <c r="G195" t="s">
        <v>37</v>
      </c>
      <c r="H195" t="s">
        <v>38</v>
      </c>
      <c r="I195" t="s">
        <v>681</v>
      </c>
      <c r="J195" t="s">
        <v>40</v>
      </c>
      <c r="K195">
        <v>2</v>
      </c>
      <c r="L195" t="s">
        <v>41</v>
      </c>
      <c r="M195" t="s">
        <v>42</v>
      </c>
      <c r="N195" t="s">
        <v>43</v>
      </c>
      <c r="O195" s="7">
        <v>2</v>
      </c>
      <c r="P195" s="8">
        <v>45197.666724537034</v>
      </c>
      <c r="Q195" s="9">
        <v>45198</v>
      </c>
      <c r="R195" t="s">
        <v>37</v>
      </c>
      <c r="S195" t="s">
        <v>44</v>
      </c>
      <c r="T195" t="s">
        <v>45</v>
      </c>
      <c r="U195" t="s">
        <v>67</v>
      </c>
      <c r="V195" t="s">
        <v>682</v>
      </c>
      <c r="W195">
        <v>68100</v>
      </c>
      <c r="X195" t="s">
        <v>44</v>
      </c>
      <c r="Y195" t="s">
        <v>182</v>
      </c>
      <c r="Z195" t="s">
        <v>49</v>
      </c>
      <c r="AA195" s="10">
        <f>IF(O195&lt;=1,7,7+0.8*ROUNDUP(O195-1,0))</f>
        <v>7.8</v>
      </c>
      <c r="AB195" s="11">
        <v>0</v>
      </c>
      <c r="AC195" s="11">
        <v>0</v>
      </c>
      <c r="AD195" s="11">
        <v>0</v>
      </c>
      <c r="AE195" s="11">
        <v>0</v>
      </c>
      <c r="AF195" s="11">
        <f t="shared" si="6"/>
        <v>0.46799999999999997</v>
      </c>
      <c r="AG195" s="11">
        <f t="shared" si="7"/>
        <v>8.2680000000000007</v>
      </c>
      <c r="AH195" t="s">
        <v>50</v>
      </c>
    </row>
    <row r="196" spans="1:34" ht="15" customHeight="1" x14ac:dyDescent="0.35">
      <c r="A196">
        <v>7547676</v>
      </c>
      <c r="B196">
        <v>690929</v>
      </c>
      <c r="C196" t="s">
        <v>34</v>
      </c>
      <c r="D196" t="s">
        <v>35</v>
      </c>
      <c r="E196" s="6" t="s">
        <v>34</v>
      </c>
      <c r="F196" t="s">
        <v>683</v>
      </c>
      <c r="G196" t="s">
        <v>37</v>
      </c>
      <c r="H196" t="s">
        <v>38</v>
      </c>
      <c r="I196" t="s">
        <v>684</v>
      </c>
      <c r="J196" t="s">
        <v>40</v>
      </c>
      <c r="K196">
        <v>2</v>
      </c>
      <c r="L196" t="s">
        <v>41</v>
      </c>
      <c r="M196" t="s">
        <v>42</v>
      </c>
      <c r="N196" t="s">
        <v>43</v>
      </c>
      <c r="O196" s="7">
        <v>1</v>
      </c>
      <c r="P196" s="8">
        <v>45196.715092592596</v>
      </c>
      <c r="Q196" s="9">
        <v>45198</v>
      </c>
      <c r="R196" t="s">
        <v>37</v>
      </c>
      <c r="S196" t="s">
        <v>44</v>
      </c>
      <c r="T196" t="s">
        <v>45</v>
      </c>
      <c r="U196" t="s">
        <v>101</v>
      </c>
      <c r="V196" t="s">
        <v>685</v>
      </c>
      <c r="W196">
        <v>31350</v>
      </c>
      <c r="X196" t="s">
        <v>44</v>
      </c>
      <c r="Y196" t="s">
        <v>686</v>
      </c>
      <c r="Z196" t="s">
        <v>49</v>
      </c>
      <c r="AA196" s="10">
        <f>IF(O196&lt;=1,7,7+0.8*ROUNDUP(O196-1,0))</f>
        <v>7</v>
      </c>
      <c r="AB196" s="11">
        <v>0</v>
      </c>
      <c r="AC196" s="11">
        <v>0</v>
      </c>
      <c r="AD196" s="11">
        <v>0</v>
      </c>
      <c r="AE196" s="11">
        <v>0</v>
      </c>
      <c r="AF196" s="11">
        <f t="shared" si="6"/>
        <v>0.42</v>
      </c>
      <c r="AG196" s="11">
        <f t="shared" si="7"/>
        <v>7.42</v>
      </c>
      <c r="AH196" t="s">
        <v>50</v>
      </c>
    </row>
    <row r="197" spans="1:34" ht="15" customHeight="1" x14ac:dyDescent="0.35">
      <c r="A197">
        <v>7547676</v>
      </c>
      <c r="B197">
        <v>690929</v>
      </c>
      <c r="C197" t="s">
        <v>34</v>
      </c>
      <c r="D197" t="s">
        <v>35</v>
      </c>
      <c r="E197" s="6" t="s">
        <v>34</v>
      </c>
      <c r="F197" t="s">
        <v>687</v>
      </c>
      <c r="G197" t="s">
        <v>37</v>
      </c>
      <c r="H197" t="s">
        <v>38</v>
      </c>
      <c r="I197" t="s">
        <v>688</v>
      </c>
      <c r="J197" t="s">
        <v>40</v>
      </c>
      <c r="K197">
        <v>2</v>
      </c>
      <c r="L197" t="s">
        <v>41</v>
      </c>
      <c r="M197" t="s">
        <v>42</v>
      </c>
      <c r="N197" t="s">
        <v>43</v>
      </c>
      <c r="O197" s="7">
        <v>3</v>
      </c>
      <c r="P197" s="8">
        <v>45195.761782407404</v>
      </c>
      <c r="Q197" s="9">
        <v>45198</v>
      </c>
      <c r="R197" t="s">
        <v>37</v>
      </c>
      <c r="S197" t="s">
        <v>44</v>
      </c>
      <c r="T197" t="s">
        <v>45</v>
      </c>
      <c r="U197" t="s">
        <v>106</v>
      </c>
      <c r="V197" t="s">
        <v>689</v>
      </c>
      <c r="W197">
        <v>13300</v>
      </c>
      <c r="X197" t="s">
        <v>44</v>
      </c>
      <c r="Y197" t="s">
        <v>257</v>
      </c>
      <c r="Z197" t="s">
        <v>49</v>
      </c>
      <c r="AA197" s="10">
        <f>IF(O197&lt;=1,7,7+0.8*ROUNDUP(O197-1,0))</f>
        <v>8.6</v>
      </c>
      <c r="AB197" s="11">
        <v>0</v>
      </c>
      <c r="AC197" s="11">
        <v>0</v>
      </c>
      <c r="AD197" s="11">
        <v>0</v>
      </c>
      <c r="AE197" s="11">
        <v>0</v>
      </c>
      <c r="AF197" s="11">
        <f t="shared" si="6"/>
        <v>0.51600000000000001</v>
      </c>
      <c r="AG197" s="11">
        <f t="shared" si="7"/>
        <v>9.1159999999999997</v>
      </c>
      <c r="AH197" t="s">
        <v>50</v>
      </c>
    </row>
    <row r="198" spans="1:34" ht="15" customHeight="1" x14ac:dyDescent="0.35">
      <c r="A198">
        <v>7547676</v>
      </c>
      <c r="B198">
        <v>690929</v>
      </c>
      <c r="C198" t="s">
        <v>34</v>
      </c>
      <c r="D198" t="s">
        <v>35</v>
      </c>
      <c r="E198" s="6" t="s">
        <v>34</v>
      </c>
      <c r="F198" t="s">
        <v>690</v>
      </c>
      <c r="G198" t="s">
        <v>37</v>
      </c>
      <c r="H198" t="s">
        <v>38</v>
      </c>
      <c r="I198" t="s">
        <v>691</v>
      </c>
      <c r="J198" t="s">
        <v>40</v>
      </c>
      <c r="K198">
        <v>2</v>
      </c>
      <c r="L198" t="s">
        <v>41</v>
      </c>
      <c r="M198" t="s">
        <v>42</v>
      </c>
      <c r="N198" t="s">
        <v>43</v>
      </c>
      <c r="O198" s="7">
        <v>2</v>
      </c>
      <c r="P198" s="8">
        <v>45197.666724537034</v>
      </c>
      <c r="Q198" s="9">
        <v>45199</v>
      </c>
      <c r="R198" t="s">
        <v>37</v>
      </c>
      <c r="S198" t="s">
        <v>44</v>
      </c>
      <c r="T198" t="s">
        <v>45</v>
      </c>
      <c r="U198" t="s">
        <v>110</v>
      </c>
      <c r="V198" t="s">
        <v>692</v>
      </c>
      <c r="W198">
        <v>84000</v>
      </c>
      <c r="X198" t="s">
        <v>44</v>
      </c>
      <c r="Y198" t="s">
        <v>693</v>
      </c>
      <c r="Z198" t="s">
        <v>49</v>
      </c>
      <c r="AA198" s="10">
        <f>IF(O198&lt;=1,7,7+0.8*ROUNDUP(O198-1,0))</f>
        <v>7.8</v>
      </c>
      <c r="AB198" s="11">
        <v>0</v>
      </c>
      <c r="AC198" s="11">
        <v>0</v>
      </c>
      <c r="AD198" s="11">
        <v>0</v>
      </c>
      <c r="AE198" s="11">
        <v>0</v>
      </c>
      <c r="AF198" s="11">
        <f t="shared" si="6"/>
        <v>0.46799999999999997</v>
      </c>
      <c r="AG198" s="11">
        <f t="shared" si="7"/>
        <v>8.2680000000000007</v>
      </c>
      <c r="AH198" t="s">
        <v>50</v>
      </c>
    </row>
    <row r="199" spans="1:34" ht="15" customHeight="1" x14ac:dyDescent="0.35">
      <c r="A199">
        <v>7547676</v>
      </c>
      <c r="B199">
        <v>690929</v>
      </c>
      <c r="C199" t="s">
        <v>34</v>
      </c>
      <c r="D199" t="s">
        <v>35</v>
      </c>
      <c r="E199" s="6" t="s">
        <v>34</v>
      </c>
      <c r="F199" t="s">
        <v>694</v>
      </c>
      <c r="G199" t="s">
        <v>37</v>
      </c>
      <c r="H199" t="s">
        <v>38</v>
      </c>
      <c r="I199" t="s">
        <v>695</v>
      </c>
      <c r="J199" t="s">
        <v>40</v>
      </c>
      <c r="K199">
        <v>2</v>
      </c>
      <c r="L199" t="s">
        <v>41</v>
      </c>
      <c r="M199" t="s">
        <v>42</v>
      </c>
      <c r="N199" t="s">
        <v>43</v>
      </c>
      <c r="O199" s="7">
        <v>2</v>
      </c>
      <c r="P199" s="8">
        <v>45197.68613425926</v>
      </c>
      <c r="Q199" s="9">
        <v>45199</v>
      </c>
      <c r="R199" t="s">
        <v>37</v>
      </c>
      <c r="S199" t="s">
        <v>44</v>
      </c>
      <c r="T199" t="s">
        <v>45</v>
      </c>
      <c r="U199" t="s">
        <v>106</v>
      </c>
      <c r="V199" t="s">
        <v>696</v>
      </c>
      <c r="W199">
        <v>14400</v>
      </c>
      <c r="X199" t="s">
        <v>44</v>
      </c>
      <c r="Y199" t="s">
        <v>520</v>
      </c>
      <c r="Z199" t="s">
        <v>49</v>
      </c>
      <c r="AA199" s="10">
        <f>IF(O199&lt;=1,7,7+0.8*ROUNDUP(O199-1,0))</f>
        <v>7.8</v>
      </c>
      <c r="AB199" s="11">
        <v>0</v>
      </c>
      <c r="AC199" s="11">
        <v>0</v>
      </c>
      <c r="AD199" s="11">
        <v>0</v>
      </c>
      <c r="AE199" s="11">
        <v>0</v>
      </c>
      <c r="AF199" s="11">
        <f t="shared" si="6"/>
        <v>0.46799999999999997</v>
      </c>
      <c r="AG199" s="11">
        <f t="shared" si="7"/>
        <v>8.2680000000000007</v>
      </c>
      <c r="AH199" t="s">
        <v>50</v>
      </c>
    </row>
    <row r="200" spans="1:34" ht="15" customHeight="1" x14ac:dyDescent="0.35">
      <c r="A200">
        <v>7547676</v>
      </c>
      <c r="B200">
        <v>690929</v>
      </c>
      <c r="C200" t="s">
        <v>34</v>
      </c>
      <c r="D200" t="s">
        <v>35</v>
      </c>
      <c r="E200" s="6" t="s">
        <v>34</v>
      </c>
      <c r="F200" t="s">
        <v>697</v>
      </c>
      <c r="G200" t="s">
        <v>37</v>
      </c>
      <c r="H200" t="s">
        <v>38</v>
      </c>
      <c r="I200" t="s">
        <v>698</v>
      </c>
      <c r="J200" t="s">
        <v>40</v>
      </c>
      <c r="K200">
        <v>2</v>
      </c>
      <c r="L200" t="s">
        <v>41</v>
      </c>
      <c r="M200" t="s">
        <v>42</v>
      </c>
      <c r="N200" t="s">
        <v>43</v>
      </c>
      <c r="O200" s="7">
        <v>2</v>
      </c>
      <c r="P200" s="8">
        <v>45197.666724537034</v>
      </c>
      <c r="Q200" s="9">
        <v>45199</v>
      </c>
      <c r="R200" t="s">
        <v>37</v>
      </c>
      <c r="S200" t="s">
        <v>44</v>
      </c>
      <c r="T200" t="s">
        <v>45</v>
      </c>
      <c r="U200" t="s">
        <v>53</v>
      </c>
      <c r="V200" t="s">
        <v>699</v>
      </c>
      <c r="W200">
        <v>71600</v>
      </c>
      <c r="X200" t="s">
        <v>44</v>
      </c>
      <c r="Y200" t="s">
        <v>700</v>
      </c>
      <c r="Z200" t="s">
        <v>49</v>
      </c>
      <c r="AA200" s="10">
        <f>IF(O200&lt;=1,7,7+0.8*ROUNDUP(O200-1,0))</f>
        <v>7.8</v>
      </c>
      <c r="AB200" s="11">
        <v>0</v>
      </c>
      <c r="AC200" s="11">
        <v>0</v>
      </c>
      <c r="AD200" s="11">
        <v>0</v>
      </c>
      <c r="AE200" s="11">
        <v>0</v>
      </c>
      <c r="AF200" s="11">
        <f t="shared" si="6"/>
        <v>0.46799999999999997</v>
      </c>
      <c r="AG200" s="11">
        <f t="shared" si="7"/>
        <v>8.2680000000000007</v>
      </c>
      <c r="AH200" t="s">
        <v>50</v>
      </c>
    </row>
    <row r="201" spans="1:34" ht="15" customHeight="1" x14ac:dyDescent="0.35">
      <c r="A201">
        <v>7547676</v>
      </c>
      <c r="B201">
        <v>690929</v>
      </c>
      <c r="C201" t="s">
        <v>34</v>
      </c>
      <c r="D201" t="s">
        <v>35</v>
      </c>
      <c r="E201" s="6" t="s">
        <v>34</v>
      </c>
      <c r="F201" t="s">
        <v>701</v>
      </c>
      <c r="G201" t="s">
        <v>37</v>
      </c>
      <c r="H201" t="s">
        <v>38</v>
      </c>
      <c r="I201" t="s">
        <v>702</v>
      </c>
      <c r="J201" t="s">
        <v>40</v>
      </c>
      <c r="K201">
        <v>2</v>
      </c>
      <c r="L201" t="s">
        <v>41</v>
      </c>
      <c r="M201" t="s">
        <v>42</v>
      </c>
      <c r="N201" t="s">
        <v>43</v>
      </c>
      <c r="O201" s="7">
        <v>1</v>
      </c>
      <c r="P201" s="8">
        <v>45195.761782407404</v>
      </c>
      <c r="Q201" s="9">
        <v>45199</v>
      </c>
      <c r="R201" t="s">
        <v>37</v>
      </c>
      <c r="S201" t="s">
        <v>44</v>
      </c>
      <c r="T201" t="s">
        <v>45</v>
      </c>
      <c r="U201" t="s">
        <v>378</v>
      </c>
      <c r="V201" t="s">
        <v>703</v>
      </c>
      <c r="W201">
        <v>89800</v>
      </c>
      <c r="X201" t="s">
        <v>135</v>
      </c>
      <c r="Y201" t="s">
        <v>69</v>
      </c>
      <c r="Z201" t="s">
        <v>49</v>
      </c>
      <c r="AA201" s="12">
        <f>IF(O201&lt;=1,13,IF(O201&lt;=2,23,IF(O201&lt;=3,35,IF(O201&lt;=4,43,IF(O201&lt;=5,53,IF(O201&lt;=6,63,IF(O201&lt;=7,71,IF(O201&lt;=8,79,IF(O201&lt;=9,87,IF(O201&lt;=10,95,IF(O201&lt;=11,105,IF(O201&lt;=12,114,IF(O201&lt;=13,119,IF(O201&lt;=14,127,IF(O201&lt;=15,135,IF(O201&lt;=16,143,IF(O201&lt;=17,153,IF(O201&lt;=18,163,IF(O201&lt;=19,171,IF(O201&lt;=20,185,IF(O201&lt;=21,193,IF(O201&lt;=22,201,IF(O201&lt;=23,210,IF(O201&lt;=24,220,IF(O201&lt;=25,230,IF(O201&lt;=26,240,IF(O201&lt;=27,250,IF(O201&lt;=28,260,IF(O201&lt;=29,270,IF(O201&lt;=30,280,280+10*ROUNDUP(O201-30,0)))))))))))))))))))))))))))))))</f>
        <v>13</v>
      </c>
      <c r="AB201" s="11">
        <v>0</v>
      </c>
      <c r="AC201" s="11">
        <v>0</v>
      </c>
      <c r="AD201" s="11">
        <v>0</v>
      </c>
      <c r="AE201" s="11">
        <v>0</v>
      </c>
      <c r="AF201" s="11">
        <f t="shared" si="6"/>
        <v>0.78</v>
      </c>
      <c r="AG201" s="11">
        <f t="shared" si="7"/>
        <v>13.78</v>
      </c>
      <c r="AH201" t="s">
        <v>136</v>
      </c>
    </row>
    <row r="202" spans="1:34" ht="15" customHeight="1" x14ac:dyDescent="0.35">
      <c r="A202">
        <v>7547676</v>
      </c>
      <c r="B202">
        <v>690929</v>
      </c>
      <c r="C202" t="s">
        <v>34</v>
      </c>
      <c r="D202" t="s">
        <v>35</v>
      </c>
      <c r="E202" s="6" t="s">
        <v>34</v>
      </c>
      <c r="F202" t="s">
        <v>704</v>
      </c>
      <c r="G202" t="s">
        <v>37</v>
      </c>
      <c r="H202" t="s">
        <v>38</v>
      </c>
      <c r="I202" t="s">
        <v>705</v>
      </c>
      <c r="J202" t="s">
        <v>40</v>
      </c>
      <c r="K202">
        <v>2</v>
      </c>
      <c r="L202" t="s">
        <v>41</v>
      </c>
      <c r="M202" t="s">
        <v>42</v>
      </c>
      <c r="N202" t="s">
        <v>43</v>
      </c>
      <c r="O202" s="7">
        <v>2</v>
      </c>
      <c r="P202" s="8">
        <v>45197.666724537034</v>
      </c>
      <c r="Q202" s="9">
        <v>45199</v>
      </c>
      <c r="R202" t="s">
        <v>37</v>
      </c>
      <c r="S202" t="s">
        <v>44</v>
      </c>
      <c r="T202" t="s">
        <v>45</v>
      </c>
      <c r="U202" t="s">
        <v>110</v>
      </c>
      <c r="V202" t="s">
        <v>706</v>
      </c>
      <c r="W202">
        <v>82200</v>
      </c>
      <c r="X202" t="s">
        <v>44</v>
      </c>
      <c r="Y202" t="s">
        <v>707</v>
      </c>
      <c r="Z202" t="s">
        <v>49</v>
      </c>
      <c r="AA202" s="10">
        <f>IF(O202&lt;=1,7,7+0.8*ROUNDUP(O202-1,0))</f>
        <v>7.8</v>
      </c>
      <c r="AB202" s="11">
        <v>0</v>
      </c>
      <c r="AC202" s="11">
        <v>0</v>
      </c>
      <c r="AD202" s="11">
        <v>0</v>
      </c>
      <c r="AE202" s="11">
        <v>0</v>
      </c>
      <c r="AF202" s="11">
        <f t="shared" si="6"/>
        <v>0.46799999999999997</v>
      </c>
      <c r="AG202" s="11">
        <f t="shared" si="7"/>
        <v>8.2680000000000007</v>
      </c>
      <c r="AH202" t="s">
        <v>50</v>
      </c>
    </row>
    <row r="203" spans="1:34" ht="15" customHeight="1" x14ac:dyDescent="0.35">
      <c r="A203">
        <v>7547676</v>
      </c>
      <c r="B203">
        <v>690929</v>
      </c>
      <c r="C203" t="s">
        <v>34</v>
      </c>
      <c r="D203" t="s">
        <v>35</v>
      </c>
      <c r="E203" s="6" t="s">
        <v>34</v>
      </c>
      <c r="F203" t="s">
        <v>708</v>
      </c>
      <c r="G203" t="s">
        <v>37</v>
      </c>
      <c r="H203" t="s">
        <v>38</v>
      </c>
      <c r="I203" t="s">
        <v>709</v>
      </c>
      <c r="J203" t="s">
        <v>40</v>
      </c>
      <c r="K203">
        <v>2</v>
      </c>
      <c r="L203" t="s">
        <v>41</v>
      </c>
      <c r="M203" t="s">
        <v>42</v>
      </c>
      <c r="N203" t="s">
        <v>43</v>
      </c>
      <c r="O203" s="7">
        <v>1</v>
      </c>
      <c r="P203" s="8">
        <v>45196.754537037035</v>
      </c>
      <c r="Q203" s="9">
        <v>45199</v>
      </c>
      <c r="R203" t="s">
        <v>37</v>
      </c>
      <c r="S203" t="s">
        <v>44</v>
      </c>
      <c r="T203" t="s">
        <v>45</v>
      </c>
      <c r="U203" t="s">
        <v>110</v>
      </c>
      <c r="V203" t="s">
        <v>710</v>
      </c>
      <c r="W203">
        <v>81550</v>
      </c>
      <c r="X203" t="s">
        <v>44</v>
      </c>
      <c r="Y203" t="s">
        <v>69</v>
      </c>
      <c r="Z203" t="s">
        <v>49</v>
      </c>
      <c r="AA203" s="10">
        <f>IF(O203&lt;=1,7,7+0.8*ROUNDUP(O203-1,0))</f>
        <v>7</v>
      </c>
      <c r="AB203" s="11">
        <v>0</v>
      </c>
      <c r="AC203" s="11">
        <v>0</v>
      </c>
      <c r="AD203" s="11">
        <v>0</v>
      </c>
      <c r="AE203" s="11">
        <v>0</v>
      </c>
      <c r="AF203" s="11">
        <f t="shared" si="6"/>
        <v>0.42</v>
      </c>
      <c r="AG203" s="11">
        <f t="shared" si="7"/>
        <v>7.42</v>
      </c>
      <c r="AH203" t="s">
        <v>50</v>
      </c>
    </row>
    <row r="204" spans="1:34" ht="15" customHeight="1" x14ac:dyDescent="0.35">
      <c r="A204">
        <v>7547676</v>
      </c>
      <c r="B204">
        <v>690929</v>
      </c>
      <c r="C204" t="s">
        <v>34</v>
      </c>
      <c r="D204" t="s">
        <v>35</v>
      </c>
      <c r="E204" s="6" t="s">
        <v>34</v>
      </c>
      <c r="F204" t="s">
        <v>711</v>
      </c>
      <c r="G204" t="s">
        <v>37</v>
      </c>
      <c r="H204" t="s">
        <v>38</v>
      </c>
      <c r="I204" t="s">
        <v>712</v>
      </c>
      <c r="J204" t="s">
        <v>40</v>
      </c>
      <c r="K204">
        <v>2</v>
      </c>
      <c r="L204" t="s">
        <v>41</v>
      </c>
      <c r="M204" t="s">
        <v>42</v>
      </c>
      <c r="N204" t="s">
        <v>43</v>
      </c>
      <c r="O204" s="7">
        <v>2</v>
      </c>
      <c r="P204" s="8">
        <v>45195.761782407404</v>
      </c>
      <c r="Q204" s="9">
        <v>45199</v>
      </c>
      <c r="R204" t="s">
        <v>37</v>
      </c>
      <c r="S204" t="s">
        <v>44</v>
      </c>
      <c r="T204" t="s">
        <v>45</v>
      </c>
      <c r="U204" t="s">
        <v>110</v>
      </c>
      <c r="V204" t="s">
        <v>713</v>
      </c>
      <c r="W204">
        <v>83600</v>
      </c>
      <c r="X204" t="s">
        <v>44</v>
      </c>
      <c r="Y204" t="s">
        <v>693</v>
      </c>
      <c r="Z204" t="s">
        <v>49</v>
      </c>
      <c r="AA204" s="10">
        <f>IF(O204&lt;=1,7,7+0.8*ROUNDUP(O204-1,0))</f>
        <v>7.8</v>
      </c>
      <c r="AB204" s="11">
        <v>0</v>
      </c>
      <c r="AC204" s="11">
        <v>0</v>
      </c>
      <c r="AD204" s="11">
        <v>0</v>
      </c>
      <c r="AE204" s="11">
        <v>0</v>
      </c>
      <c r="AF204" s="11">
        <f t="shared" si="6"/>
        <v>0.46799999999999997</v>
      </c>
      <c r="AG204" s="11">
        <f t="shared" si="7"/>
        <v>8.2680000000000007</v>
      </c>
      <c r="AH204" t="s">
        <v>50</v>
      </c>
    </row>
    <row r="205" spans="1:34" ht="15" customHeight="1" x14ac:dyDescent="0.35">
      <c r="A205">
        <v>7547676</v>
      </c>
      <c r="B205">
        <v>690929</v>
      </c>
      <c r="C205" t="s">
        <v>34</v>
      </c>
      <c r="D205" t="s">
        <v>35</v>
      </c>
      <c r="E205" s="6" t="s">
        <v>34</v>
      </c>
      <c r="F205" t="s">
        <v>714</v>
      </c>
      <c r="G205" t="s">
        <v>37</v>
      </c>
      <c r="H205" t="s">
        <v>38</v>
      </c>
      <c r="I205" t="s">
        <v>715</v>
      </c>
      <c r="J205" t="s">
        <v>40</v>
      </c>
      <c r="K205">
        <v>2</v>
      </c>
      <c r="L205" t="s">
        <v>41</v>
      </c>
      <c r="M205" t="s">
        <v>42</v>
      </c>
      <c r="N205" t="s">
        <v>43</v>
      </c>
      <c r="O205" s="7">
        <v>1</v>
      </c>
      <c r="P205" s="8">
        <v>45196.601875</v>
      </c>
      <c r="Q205" s="9">
        <v>45199</v>
      </c>
      <c r="R205" t="s">
        <v>37</v>
      </c>
      <c r="S205" t="s">
        <v>44</v>
      </c>
      <c r="T205" t="s">
        <v>45</v>
      </c>
      <c r="U205" t="s">
        <v>378</v>
      </c>
      <c r="V205" t="s">
        <v>716</v>
      </c>
      <c r="W205">
        <v>88200</v>
      </c>
      <c r="X205" t="s">
        <v>135</v>
      </c>
      <c r="Y205" t="s">
        <v>69</v>
      </c>
      <c r="Z205" t="s">
        <v>49</v>
      </c>
      <c r="AA205" s="12">
        <f>IF(O205&lt;=1,13,IF(O205&lt;=2,23,IF(O205&lt;=3,35,IF(O205&lt;=4,43,IF(O205&lt;=5,53,IF(O205&lt;=6,63,IF(O205&lt;=7,71,IF(O205&lt;=8,79,IF(O205&lt;=9,87,IF(O205&lt;=10,95,IF(O205&lt;=11,105,IF(O205&lt;=12,114,IF(O205&lt;=13,119,IF(O205&lt;=14,127,IF(O205&lt;=15,135,IF(O205&lt;=16,143,IF(O205&lt;=17,153,IF(O205&lt;=18,163,IF(O205&lt;=19,171,IF(O205&lt;=20,185,IF(O205&lt;=21,193,IF(O205&lt;=22,201,IF(O205&lt;=23,210,IF(O205&lt;=24,220,IF(O205&lt;=25,230,IF(O205&lt;=26,240,IF(O205&lt;=27,250,IF(O205&lt;=28,260,IF(O205&lt;=29,270,IF(O205&lt;=30,280,280+10*ROUNDUP(O205-30,0)))))))))))))))))))))))))))))))</f>
        <v>13</v>
      </c>
      <c r="AB205" s="11">
        <v>0</v>
      </c>
      <c r="AC205" s="11">
        <v>0</v>
      </c>
      <c r="AD205" s="11">
        <v>0</v>
      </c>
      <c r="AE205" s="11">
        <v>0</v>
      </c>
      <c r="AF205" s="11">
        <f t="shared" si="6"/>
        <v>0.78</v>
      </c>
      <c r="AG205" s="11">
        <f t="shared" si="7"/>
        <v>13.78</v>
      </c>
      <c r="AH205" t="s">
        <v>136</v>
      </c>
    </row>
    <row r="206" spans="1:34" ht="15" customHeight="1" x14ac:dyDescent="0.35">
      <c r="A206">
        <v>7547676</v>
      </c>
      <c r="B206">
        <v>690929</v>
      </c>
      <c r="C206" t="s">
        <v>34</v>
      </c>
      <c r="D206" t="s">
        <v>35</v>
      </c>
      <c r="E206" s="6" t="s">
        <v>34</v>
      </c>
      <c r="F206" t="s">
        <v>717</v>
      </c>
      <c r="G206" t="s">
        <v>37</v>
      </c>
      <c r="H206" t="s">
        <v>38</v>
      </c>
      <c r="I206" t="s">
        <v>718</v>
      </c>
      <c r="J206" t="s">
        <v>40</v>
      </c>
      <c r="K206">
        <v>2</v>
      </c>
      <c r="L206" t="s">
        <v>41</v>
      </c>
      <c r="M206" t="s">
        <v>42</v>
      </c>
      <c r="N206" t="s">
        <v>43</v>
      </c>
      <c r="O206" s="7">
        <v>1</v>
      </c>
      <c r="P206" s="8">
        <v>45195.761782407404</v>
      </c>
      <c r="Q206" s="9">
        <v>45199</v>
      </c>
      <c r="R206" t="s">
        <v>37</v>
      </c>
      <c r="S206" t="s">
        <v>44</v>
      </c>
      <c r="T206" t="s">
        <v>45</v>
      </c>
      <c r="U206" t="s">
        <v>653</v>
      </c>
      <c r="V206" t="s">
        <v>719</v>
      </c>
      <c r="W206">
        <v>87000</v>
      </c>
      <c r="X206" t="s">
        <v>135</v>
      </c>
      <c r="Y206" t="s">
        <v>69</v>
      </c>
      <c r="Z206" t="s">
        <v>49</v>
      </c>
      <c r="AA206" s="12">
        <f>IF(O206&lt;=1,13,IF(O206&lt;=2,23,IF(O206&lt;=3,35,IF(O206&lt;=4,43,IF(O206&lt;=5,53,IF(O206&lt;=6,63,IF(O206&lt;=7,71,IF(O206&lt;=8,79,IF(O206&lt;=9,87,IF(O206&lt;=10,95,IF(O206&lt;=11,105,IF(O206&lt;=12,114,IF(O206&lt;=13,119,IF(O206&lt;=14,127,IF(O206&lt;=15,135,IF(O206&lt;=16,143,IF(O206&lt;=17,153,IF(O206&lt;=18,163,IF(O206&lt;=19,171,IF(O206&lt;=20,185,IF(O206&lt;=21,193,IF(O206&lt;=22,201,IF(O206&lt;=23,210,IF(O206&lt;=24,220,IF(O206&lt;=25,230,IF(O206&lt;=26,240,IF(O206&lt;=27,250,IF(O206&lt;=28,260,IF(O206&lt;=29,270,IF(O206&lt;=30,280,280+10*ROUNDUP(O206-30,0)))))))))))))))))))))))))))))))</f>
        <v>13</v>
      </c>
      <c r="AB206" s="11">
        <v>0</v>
      </c>
      <c r="AC206" s="11">
        <v>0</v>
      </c>
      <c r="AD206" s="11">
        <v>0</v>
      </c>
      <c r="AE206" s="11">
        <v>0</v>
      </c>
      <c r="AF206" s="11">
        <f t="shared" si="6"/>
        <v>0.78</v>
      </c>
      <c r="AG206" s="11">
        <f t="shared" si="7"/>
        <v>13.78</v>
      </c>
      <c r="AH206" t="s">
        <v>136</v>
      </c>
    </row>
    <row r="207" spans="1:34" ht="15" customHeight="1" x14ac:dyDescent="0.35">
      <c r="A207">
        <v>7547676</v>
      </c>
      <c r="B207">
        <v>690929</v>
      </c>
      <c r="C207" t="s">
        <v>34</v>
      </c>
      <c r="D207" t="s">
        <v>35</v>
      </c>
      <c r="E207" s="6" t="s">
        <v>34</v>
      </c>
      <c r="F207" t="s">
        <v>720</v>
      </c>
      <c r="G207" t="s">
        <v>37</v>
      </c>
      <c r="H207" t="s">
        <v>721</v>
      </c>
      <c r="I207" t="s">
        <v>722</v>
      </c>
      <c r="J207" t="s">
        <v>40</v>
      </c>
      <c r="K207">
        <v>2</v>
      </c>
      <c r="L207" t="s">
        <v>41</v>
      </c>
      <c r="M207" t="s">
        <v>42</v>
      </c>
      <c r="N207" t="s">
        <v>43</v>
      </c>
      <c r="O207" s="7">
        <v>5</v>
      </c>
      <c r="P207" s="8">
        <v>45194.480127314811</v>
      </c>
      <c r="Q207" s="9">
        <v>45199</v>
      </c>
      <c r="R207" t="s">
        <v>37</v>
      </c>
      <c r="S207" t="s">
        <v>44</v>
      </c>
      <c r="T207" t="s">
        <v>45</v>
      </c>
      <c r="U207" t="s">
        <v>115</v>
      </c>
      <c r="V207" t="s">
        <v>723</v>
      </c>
      <c r="W207">
        <v>26600</v>
      </c>
      <c r="X207" t="s">
        <v>44</v>
      </c>
      <c r="Y207" t="s">
        <v>724</v>
      </c>
      <c r="Z207" t="s">
        <v>49</v>
      </c>
      <c r="AA207" s="10">
        <f>IF(O207&lt;=1,7,7+0.8*ROUNDUP(O207-1,0))</f>
        <v>10.199999999999999</v>
      </c>
      <c r="AB207" s="11">
        <v>0</v>
      </c>
      <c r="AC207" s="11">
        <v>0</v>
      </c>
      <c r="AD207" s="11">
        <v>0</v>
      </c>
      <c r="AE207" s="11">
        <v>0</v>
      </c>
      <c r="AF207" s="11">
        <f t="shared" si="6"/>
        <v>0.61199999999999999</v>
      </c>
      <c r="AG207" s="11">
        <f t="shared" si="7"/>
        <v>10.811999999999999</v>
      </c>
      <c r="AH207" t="s">
        <v>50</v>
      </c>
    </row>
    <row r="208" spans="1:34" ht="15" customHeight="1" x14ac:dyDescent="0.35">
      <c r="A208">
        <v>7547676</v>
      </c>
      <c r="B208">
        <v>690929</v>
      </c>
      <c r="C208" t="s">
        <v>34</v>
      </c>
      <c r="D208" t="s">
        <v>35</v>
      </c>
      <c r="E208" s="6" t="s">
        <v>34</v>
      </c>
      <c r="F208" t="s">
        <v>725</v>
      </c>
      <c r="G208" t="s">
        <v>37</v>
      </c>
      <c r="H208" t="s">
        <v>38</v>
      </c>
      <c r="I208" t="s">
        <v>726</v>
      </c>
      <c r="J208" t="s">
        <v>40</v>
      </c>
      <c r="K208">
        <v>2</v>
      </c>
      <c r="L208" t="s">
        <v>41</v>
      </c>
      <c r="M208" t="s">
        <v>42</v>
      </c>
      <c r="N208" t="s">
        <v>43</v>
      </c>
      <c r="O208" s="7">
        <v>2</v>
      </c>
      <c r="P208" s="8">
        <v>45167.485497685186</v>
      </c>
      <c r="Q208" s="9">
        <v>45170</v>
      </c>
      <c r="R208" t="s">
        <v>37</v>
      </c>
      <c r="S208" t="s">
        <v>44</v>
      </c>
      <c r="T208" t="s">
        <v>45</v>
      </c>
      <c r="U208" t="s">
        <v>133</v>
      </c>
      <c r="V208" t="s">
        <v>727</v>
      </c>
      <c r="W208">
        <v>94300</v>
      </c>
      <c r="X208" t="s">
        <v>135</v>
      </c>
      <c r="Y208" t="s">
        <v>69</v>
      </c>
      <c r="Z208" t="s">
        <v>49</v>
      </c>
      <c r="AA208" s="12">
        <f>IF(O208&lt;=1,13,IF(O208&lt;=2,23,IF(O208&lt;=3,35,IF(O208&lt;=4,43,IF(O208&lt;=5,53,IF(O208&lt;=6,63,IF(O208&lt;=7,71,IF(O208&lt;=8,79,IF(O208&lt;=9,87,IF(O208&lt;=10,95,IF(O208&lt;=11,105,IF(O208&lt;=12,114,IF(O208&lt;=13,119,IF(O208&lt;=14,127,IF(O208&lt;=15,135,IF(O208&lt;=16,143,IF(O208&lt;=17,153,IF(O208&lt;=18,163,IF(O208&lt;=19,171,IF(O208&lt;=20,185,IF(O208&lt;=21,193,IF(O208&lt;=22,201,IF(O208&lt;=23,210,IF(O208&lt;=24,220,IF(O208&lt;=25,230,IF(O208&lt;=26,240,IF(O208&lt;=27,250,IF(O208&lt;=28,260,IF(O208&lt;=29,270,IF(O208&lt;=30,280,280+10*ROUNDUP(O208-30,0)))))))))))))))))))))))))))))))</f>
        <v>23</v>
      </c>
      <c r="AB208" s="11">
        <v>0</v>
      </c>
      <c r="AC208" s="11">
        <v>0</v>
      </c>
      <c r="AD208" s="11">
        <v>0</v>
      </c>
      <c r="AE208" s="11">
        <v>0</v>
      </c>
      <c r="AF208" s="11">
        <f t="shared" si="6"/>
        <v>1.38</v>
      </c>
      <c r="AG208" s="11">
        <f t="shared" si="7"/>
        <v>24.38</v>
      </c>
      <c r="AH208" t="s">
        <v>136</v>
      </c>
    </row>
    <row r="209" spans="1:34" ht="15" customHeight="1" x14ac:dyDescent="0.35">
      <c r="A209">
        <v>7547676</v>
      </c>
      <c r="B209">
        <v>690929</v>
      </c>
      <c r="C209" t="s">
        <v>34</v>
      </c>
      <c r="D209" t="s">
        <v>35</v>
      </c>
      <c r="E209" s="6" t="s">
        <v>34</v>
      </c>
      <c r="F209" t="s">
        <v>728</v>
      </c>
      <c r="G209" t="s">
        <v>37</v>
      </c>
      <c r="H209" t="s">
        <v>38</v>
      </c>
      <c r="I209" t="s">
        <v>729</v>
      </c>
      <c r="J209" t="s">
        <v>40</v>
      </c>
      <c r="K209">
        <v>2</v>
      </c>
      <c r="L209" t="s">
        <v>41</v>
      </c>
      <c r="M209" t="s">
        <v>42</v>
      </c>
      <c r="N209" t="s">
        <v>43</v>
      </c>
      <c r="O209" s="7">
        <v>1</v>
      </c>
      <c r="P209" s="8">
        <v>45167.686180555553</v>
      </c>
      <c r="Q209" s="9">
        <v>45170</v>
      </c>
      <c r="R209" t="s">
        <v>37</v>
      </c>
      <c r="S209" t="s">
        <v>44</v>
      </c>
      <c r="T209" t="s">
        <v>45</v>
      </c>
      <c r="U209" t="s">
        <v>378</v>
      </c>
      <c r="V209" t="s">
        <v>730</v>
      </c>
      <c r="W209">
        <v>89850</v>
      </c>
      <c r="X209" t="s">
        <v>135</v>
      </c>
      <c r="Y209" t="s">
        <v>731</v>
      </c>
      <c r="Z209" t="s">
        <v>49</v>
      </c>
      <c r="AA209" s="12">
        <f>IF(O209&lt;=1,13,IF(O209&lt;=2,23,IF(O209&lt;=3,35,IF(O209&lt;=4,43,IF(O209&lt;=5,53,IF(O209&lt;=6,63,IF(O209&lt;=7,71,IF(O209&lt;=8,79,IF(O209&lt;=9,87,IF(O209&lt;=10,95,IF(O209&lt;=11,105,IF(O209&lt;=12,114,IF(O209&lt;=13,119,IF(O209&lt;=14,127,IF(O209&lt;=15,135,IF(O209&lt;=16,143,IF(O209&lt;=17,153,IF(O209&lt;=18,163,IF(O209&lt;=19,171,IF(O209&lt;=20,185,IF(O209&lt;=21,193,IF(O209&lt;=22,201,IF(O209&lt;=23,210,IF(O209&lt;=24,220,IF(O209&lt;=25,230,IF(O209&lt;=26,240,IF(O209&lt;=27,250,IF(O209&lt;=28,260,IF(O209&lt;=29,270,IF(O209&lt;=30,280,280+10*ROUNDUP(O209-30,0)))))))))))))))))))))))))))))))</f>
        <v>13</v>
      </c>
      <c r="AB209" s="11">
        <v>0</v>
      </c>
      <c r="AC209" s="11">
        <v>0</v>
      </c>
      <c r="AD209" s="11">
        <v>0</v>
      </c>
      <c r="AE209" s="11">
        <v>0</v>
      </c>
      <c r="AF209" s="11">
        <f t="shared" si="6"/>
        <v>0.78</v>
      </c>
      <c r="AG209" s="11">
        <f t="shared" si="7"/>
        <v>13.78</v>
      </c>
      <c r="AH209" t="s">
        <v>136</v>
      </c>
    </row>
    <row r="210" spans="1:34" ht="15" customHeight="1" x14ac:dyDescent="0.35">
      <c r="A210">
        <v>7547676</v>
      </c>
      <c r="B210">
        <v>690929</v>
      </c>
      <c r="C210" t="s">
        <v>34</v>
      </c>
      <c r="D210" t="s">
        <v>35</v>
      </c>
      <c r="E210" s="6" t="s">
        <v>34</v>
      </c>
      <c r="F210" t="s">
        <v>732</v>
      </c>
      <c r="G210" t="s">
        <v>37</v>
      </c>
      <c r="H210" t="s">
        <v>38</v>
      </c>
      <c r="I210" t="s">
        <v>733</v>
      </c>
      <c r="J210" t="s">
        <v>40</v>
      </c>
      <c r="K210">
        <v>2</v>
      </c>
      <c r="L210" t="s">
        <v>41</v>
      </c>
      <c r="M210" t="s">
        <v>42</v>
      </c>
      <c r="N210" t="s">
        <v>43</v>
      </c>
      <c r="O210" s="7">
        <v>1</v>
      </c>
      <c r="P210" s="8">
        <v>45168.623379629629</v>
      </c>
      <c r="Q210" s="9">
        <v>45170</v>
      </c>
      <c r="R210" t="s">
        <v>37</v>
      </c>
      <c r="S210" t="s">
        <v>44</v>
      </c>
      <c r="T210" t="s">
        <v>69</v>
      </c>
      <c r="U210" t="s">
        <v>284</v>
      </c>
      <c r="V210" t="s">
        <v>734</v>
      </c>
      <c r="W210">
        <v>21200</v>
      </c>
      <c r="X210" t="s">
        <v>44</v>
      </c>
      <c r="Y210" t="s">
        <v>735</v>
      </c>
      <c r="Z210" t="s">
        <v>49</v>
      </c>
      <c r="AA210" s="10">
        <f>IF(O210&lt;=1,7,7+0.8*ROUNDUP(O210-1,0))</f>
        <v>7</v>
      </c>
      <c r="AB210" s="11">
        <v>0</v>
      </c>
      <c r="AC210" s="11">
        <v>0</v>
      </c>
      <c r="AD210" s="11">
        <v>0</v>
      </c>
      <c r="AE210" s="11">
        <v>0</v>
      </c>
      <c r="AF210" s="11">
        <f t="shared" si="6"/>
        <v>0.42</v>
      </c>
      <c r="AG210" s="11">
        <f t="shared" si="7"/>
        <v>7.42</v>
      </c>
      <c r="AH210" t="s">
        <v>50</v>
      </c>
    </row>
    <row r="211" spans="1:34" ht="15" customHeight="1" x14ac:dyDescent="0.35">
      <c r="A211">
        <v>7547676</v>
      </c>
      <c r="B211">
        <v>690929</v>
      </c>
      <c r="C211" t="s">
        <v>34</v>
      </c>
      <c r="D211" t="s">
        <v>35</v>
      </c>
      <c r="E211" s="6" t="s">
        <v>34</v>
      </c>
      <c r="F211" t="s">
        <v>736</v>
      </c>
      <c r="G211" t="s">
        <v>37</v>
      </c>
      <c r="H211" t="s">
        <v>38</v>
      </c>
      <c r="I211" t="s">
        <v>737</v>
      </c>
      <c r="J211" t="s">
        <v>40</v>
      </c>
      <c r="K211">
        <v>2</v>
      </c>
      <c r="L211" t="s">
        <v>41</v>
      </c>
      <c r="M211" t="s">
        <v>42</v>
      </c>
      <c r="N211" t="s">
        <v>43</v>
      </c>
      <c r="O211" s="7">
        <v>1</v>
      </c>
      <c r="P211" s="8">
        <v>45168.623379629629</v>
      </c>
      <c r="Q211" s="9">
        <v>45170</v>
      </c>
      <c r="R211" t="s">
        <v>37</v>
      </c>
      <c r="S211" t="s">
        <v>44</v>
      </c>
      <c r="T211" t="s">
        <v>69</v>
      </c>
      <c r="U211" t="s">
        <v>67</v>
      </c>
      <c r="V211" t="s">
        <v>738</v>
      </c>
      <c r="W211">
        <v>54200</v>
      </c>
      <c r="X211" t="s">
        <v>44</v>
      </c>
      <c r="Y211" t="s">
        <v>69</v>
      </c>
      <c r="Z211" t="s">
        <v>49</v>
      </c>
      <c r="AA211" s="10">
        <f>IF(O211&lt;=1,7,7+0.8*ROUNDUP(O211-1,0))</f>
        <v>7</v>
      </c>
      <c r="AB211" s="11">
        <v>0</v>
      </c>
      <c r="AC211" s="11">
        <v>0</v>
      </c>
      <c r="AD211" s="11">
        <v>0</v>
      </c>
      <c r="AE211" s="11">
        <v>0</v>
      </c>
      <c r="AF211" s="11">
        <f t="shared" si="6"/>
        <v>0.42</v>
      </c>
      <c r="AG211" s="11">
        <f t="shared" si="7"/>
        <v>7.42</v>
      </c>
      <c r="AH211" t="s">
        <v>50</v>
      </c>
    </row>
    <row r="212" spans="1:34" ht="15" customHeight="1" x14ac:dyDescent="0.35">
      <c r="A212">
        <v>7547676</v>
      </c>
      <c r="B212">
        <v>690929</v>
      </c>
      <c r="C212" t="s">
        <v>34</v>
      </c>
      <c r="D212" t="s">
        <v>35</v>
      </c>
      <c r="E212" s="6" t="s">
        <v>34</v>
      </c>
      <c r="F212" t="s">
        <v>739</v>
      </c>
      <c r="G212" t="s">
        <v>37</v>
      </c>
      <c r="H212" t="s">
        <v>38</v>
      </c>
      <c r="I212" t="s">
        <v>740</v>
      </c>
      <c r="J212" t="s">
        <v>40</v>
      </c>
      <c r="K212">
        <v>2</v>
      </c>
      <c r="L212" t="s">
        <v>41</v>
      </c>
      <c r="M212" t="s">
        <v>42</v>
      </c>
      <c r="N212" t="s">
        <v>43</v>
      </c>
      <c r="O212" s="7">
        <v>1</v>
      </c>
      <c r="P212" s="8">
        <v>45167.781608796293</v>
      </c>
      <c r="Q212" s="9">
        <v>45170</v>
      </c>
      <c r="R212" t="s">
        <v>37</v>
      </c>
      <c r="S212" t="s">
        <v>44</v>
      </c>
      <c r="T212" t="s">
        <v>45</v>
      </c>
      <c r="U212" t="s">
        <v>67</v>
      </c>
      <c r="V212" t="s">
        <v>741</v>
      </c>
      <c r="W212">
        <v>68100</v>
      </c>
      <c r="X212" t="s">
        <v>44</v>
      </c>
      <c r="Y212" t="s">
        <v>182</v>
      </c>
      <c r="Z212" t="s">
        <v>49</v>
      </c>
      <c r="AA212" s="10">
        <f>IF(O212&lt;=1,7,7+0.8*ROUNDUP(O212-1,0))</f>
        <v>7</v>
      </c>
      <c r="AB212" s="11">
        <v>0</v>
      </c>
      <c r="AC212" s="11">
        <v>0</v>
      </c>
      <c r="AD212" s="11">
        <v>0</v>
      </c>
      <c r="AE212" s="11">
        <v>0</v>
      </c>
      <c r="AF212" s="11">
        <f t="shared" si="6"/>
        <v>0.42</v>
      </c>
      <c r="AG212" s="11">
        <f t="shared" si="7"/>
        <v>7.42</v>
      </c>
      <c r="AH212" t="s">
        <v>50</v>
      </c>
    </row>
    <row r="213" spans="1:34" ht="15" customHeight="1" x14ac:dyDescent="0.35">
      <c r="A213">
        <v>7547676</v>
      </c>
      <c r="B213">
        <v>690929</v>
      </c>
      <c r="C213" t="s">
        <v>34</v>
      </c>
      <c r="D213" t="s">
        <v>35</v>
      </c>
      <c r="E213" s="6" t="s">
        <v>34</v>
      </c>
      <c r="F213" t="s">
        <v>742</v>
      </c>
      <c r="G213" t="s">
        <v>37</v>
      </c>
      <c r="H213" t="s">
        <v>38</v>
      </c>
      <c r="I213" t="s">
        <v>743</v>
      </c>
      <c r="J213" t="s">
        <v>40</v>
      </c>
      <c r="K213">
        <v>2</v>
      </c>
      <c r="L213" t="s">
        <v>41</v>
      </c>
      <c r="M213" t="s">
        <v>42</v>
      </c>
      <c r="N213" t="s">
        <v>43</v>
      </c>
      <c r="O213" s="7">
        <v>2</v>
      </c>
      <c r="P213" s="8">
        <v>45167.485497685186</v>
      </c>
      <c r="Q213" s="9">
        <v>45170</v>
      </c>
      <c r="R213" t="s">
        <v>37</v>
      </c>
      <c r="S213" t="s">
        <v>44</v>
      </c>
      <c r="T213" t="s">
        <v>45</v>
      </c>
      <c r="U213" t="s">
        <v>106</v>
      </c>
      <c r="V213" t="s">
        <v>744</v>
      </c>
      <c r="W213">
        <v>14120</v>
      </c>
      <c r="X213" t="s">
        <v>44</v>
      </c>
      <c r="Y213" t="s">
        <v>745</v>
      </c>
      <c r="Z213" t="s">
        <v>49</v>
      </c>
      <c r="AA213" s="10">
        <f>IF(O213&lt;=1,7,7+0.8*ROUNDUP(O213-1,0))</f>
        <v>7.8</v>
      </c>
      <c r="AB213" s="11">
        <v>0</v>
      </c>
      <c r="AC213" s="11">
        <v>0</v>
      </c>
      <c r="AD213" s="11">
        <v>0</v>
      </c>
      <c r="AE213" s="11">
        <v>0</v>
      </c>
      <c r="AF213" s="11">
        <f t="shared" si="6"/>
        <v>0.46799999999999997</v>
      </c>
      <c r="AG213" s="11">
        <f t="shared" si="7"/>
        <v>8.2680000000000007</v>
      </c>
      <c r="AH213" t="s">
        <v>50</v>
      </c>
    </row>
    <row r="214" spans="1:34" ht="15" customHeight="1" x14ac:dyDescent="0.35">
      <c r="A214">
        <v>7547676</v>
      </c>
      <c r="B214">
        <v>690929</v>
      </c>
      <c r="C214" t="s">
        <v>34</v>
      </c>
      <c r="D214" t="s">
        <v>35</v>
      </c>
      <c r="E214" s="6" t="s">
        <v>34</v>
      </c>
      <c r="F214" t="s">
        <v>746</v>
      </c>
      <c r="G214" t="s">
        <v>37</v>
      </c>
      <c r="H214" t="s">
        <v>38</v>
      </c>
      <c r="I214" t="s">
        <v>747</v>
      </c>
      <c r="J214" t="s">
        <v>40</v>
      </c>
      <c r="K214">
        <v>2</v>
      </c>
      <c r="L214" t="s">
        <v>41</v>
      </c>
      <c r="M214" t="s">
        <v>42</v>
      </c>
      <c r="N214" t="s">
        <v>43</v>
      </c>
      <c r="O214" s="7">
        <v>4</v>
      </c>
      <c r="P214" s="8">
        <v>45168.751759259256</v>
      </c>
      <c r="Q214" s="9">
        <v>45170</v>
      </c>
      <c r="R214" t="s">
        <v>37</v>
      </c>
      <c r="S214" t="s">
        <v>44</v>
      </c>
      <c r="T214" t="s">
        <v>45</v>
      </c>
      <c r="U214" t="s">
        <v>115</v>
      </c>
      <c r="V214" t="s">
        <v>748</v>
      </c>
      <c r="W214">
        <v>18000</v>
      </c>
      <c r="X214" t="s">
        <v>44</v>
      </c>
      <c r="Y214" t="s">
        <v>749</v>
      </c>
      <c r="Z214" t="s">
        <v>49</v>
      </c>
      <c r="AA214" s="10">
        <f>IF(O214&lt;=1,7,7+0.8*ROUNDUP(O214-1,0))</f>
        <v>9.4</v>
      </c>
      <c r="AB214" s="11">
        <v>0</v>
      </c>
      <c r="AC214" s="11">
        <v>0</v>
      </c>
      <c r="AD214" s="11">
        <v>0</v>
      </c>
      <c r="AE214" s="11">
        <v>0</v>
      </c>
      <c r="AF214" s="11">
        <f t="shared" si="6"/>
        <v>0.56399999999999995</v>
      </c>
      <c r="AG214" s="11">
        <f t="shared" si="7"/>
        <v>9.9640000000000004</v>
      </c>
      <c r="AH214" t="s">
        <v>50</v>
      </c>
    </row>
    <row r="215" spans="1:34" ht="15" customHeight="1" x14ac:dyDescent="0.35">
      <c r="A215">
        <v>7547676</v>
      </c>
      <c r="B215">
        <v>690929</v>
      </c>
      <c r="C215" t="s">
        <v>34</v>
      </c>
      <c r="D215" t="s">
        <v>35</v>
      </c>
      <c r="E215" s="6" t="s">
        <v>34</v>
      </c>
      <c r="F215" t="s">
        <v>750</v>
      </c>
      <c r="G215" t="s">
        <v>37</v>
      </c>
      <c r="H215" t="s">
        <v>38</v>
      </c>
      <c r="I215" t="s">
        <v>751</v>
      </c>
      <c r="J215" t="s">
        <v>40</v>
      </c>
      <c r="K215">
        <v>2</v>
      </c>
      <c r="L215" t="s">
        <v>41</v>
      </c>
      <c r="M215" t="s">
        <v>42</v>
      </c>
      <c r="N215" t="s">
        <v>43</v>
      </c>
      <c r="O215" s="7">
        <v>2</v>
      </c>
      <c r="P215" s="8">
        <v>45167.485497685186</v>
      </c>
      <c r="Q215" s="9">
        <v>45170</v>
      </c>
      <c r="R215" t="s">
        <v>37</v>
      </c>
      <c r="S215" t="s">
        <v>44</v>
      </c>
      <c r="T215" t="s">
        <v>45</v>
      </c>
      <c r="U215" t="s">
        <v>133</v>
      </c>
      <c r="V215" t="s">
        <v>752</v>
      </c>
      <c r="W215">
        <v>93400</v>
      </c>
      <c r="X215" t="s">
        <v>135</v>
      </c>
      <c r="Y215" t="s">
        <v>69</v>
      </c>
      <c r="Z215" t="s">
        <v>49</v>
      </c>
      <c r="AA215" s="12">
        <f>IF(O215&lt;=1,13,IF(O215&lt;=2,23,IF(O215&lt;=3,35,IF(O215&lt;=4,43,IF(O215&lt;=5,53,IF(O215&lt;=6,63,IF(O215&lt;=7,71,IF(O215&lt;=8,79,IF(O215&lt;=9,87,IF(O215&lt;=10,95,IF(O215&lt;=11,105,IF(O215&lt;=12,114,IF(O215&lt;=13,119,IF(O215&lt;=14,127,IF(O215&lt;=15,135,IF(O215&lt;=16,143,IF(O215&lt;=17,153,IF(O215&lt;=18,163,IF(O215&lt;=19,171,IF(O215&lt;=20,185,IF(O215&lt;=21,193,IF(O215&lt;=22,201,IF(O215&lt;=23,210,IF(O215&lt;=24,220,IF(O215&lt;=25,230,IF(O215&lt;=26,240,IF(O215&lt;=27,250,IF(O215&lt;=28,260,IF(O215&lt;=29,270,IF(O215&lt;=30,280,280+10*ROUNDUP(O215-30,0)))))))))))))))))))))))))))))))</f>
        <v>23</v>
      </c>
      <c r="AB215" s="11">
        <v>0</v>
      </c>
      <c r="AC215" s="11">
        <v>0</v>
      </c>
      <c r="AD215" s="11">
        <v>0</v>
      </c>
      <c r="AE215" s="11">
        <v>0</v>
      </c>
      <c r="AF215" s="11">
        <f t="shared" si="6"/>
        <v>1.38</v>
      </c>
      <c r="AG215" s="11">
        <f t="shared" si="7"/>
        <v>24.38</v>
      </c>
      <c r="AH215" t="s">
        <v>136</v>
      </c>
    </row>
    <row r="216" spans="1:34" ht="15" customHeight="1" x14ac:dyDescent="0.35">
      <c r="A216">
        <v>7547676</v>
      </c>
      <c r="B216">
        <v>690929</v>
      </c>
      <c r="C216" t="s">
        <v>34</v>
      </c>
      <c r="D216" t="s">
        <v>35</v>
      </c>
      <c r="E216" s="6" t="s">
        <v>34</v>
      </c>
      <c r="F216" t="s">
        <v>753</v>
      </c>
      <c r="G216" t="s">
        <v>37</v>
      </c>
      <c r="H216" t="s">
        <v>38</v>
      </c>
      <c r="I216" t="s">
        <v>754</v>
      </c>
      <c r="J216" t="s">
        <v>40</v>
      </c>
      <c r="K216">
        <v>2</v>
      </c>
      <c r="L216" t="s">
        <v>41</v>
      </c>
      <c r="M216" t="s">
        <v>42</v>
      </c>
      <c r="N216" t="s">
        <v>43</v>
      </c>
      <c r="O216" s="7">
        <v>1</v>
      </c>
      <c r="P216" s="8">
        <v>45168.517106481479</v>
      </c>
      <c r="Q216" s="9">
        <v>45170</v>
      </c>
      <c r="R216" t="s">
        <v>37</v>
      </c>
      <c r="S216" t="s">
        <v>44</v>
      </c>
      <c r="T216" t="s">
        <v>69</v>
      </c>
      <c r="U216" t="s">
        <v>106</v>
      </c>
      <c r="V216" t="s">
        <v>755</v>
      </c>
      <c r="W216">
        <v>13200</v>
      </c>
      <c r="X216" t="s">
        <v>44</v>
      </c>
      <c r="Y216" t="s">
        <v>257</v>
      </c>
      <c r="Z216" t="s">
        <v>49</v>
      </c>
      <c r="AA216" s="10">
        <f>IF(O216&lt;=1,7,7+0.8*ROUNDUP(O216-1,0))</f>
        <v>7</v>
      </c>
      <c r="AB216" s="11">
        <v>0</v>
      </c>
      <c r="AC216" s="11">
        <v>0</v>
      </c>
      <c r="AD216" s="11">
        <v>0</v>
      </c>
      <c r="AE216" s="11">
        <v>0</v>
      </c>
      <c r="AF216" s="11">
        <f t="shared" si="6"/>
        <v>0.42</v>
      </c>
      <c r="AG216" s="11">
        <f t="shared" si="7"/>
        <v>7.42</v>
      </c>
      <c r="AH216" t="s">
        <v>50</v>
      </c>
    </row>
    <row r="217" spans="1:34" ht="15" customHeight="1" x14ac:dyDescent="0.35">
      <c r="A217">
        <v>7547676</v>
      </c>
      <c r="B217">
        <v>690929</v>
      </c>
      <c r="C217" t="s">
        <v>34</v>
      </c>
      <c r="D217" t="s">
        <v>35</v>
      </c>
      <c r="E217" s="6" t="s">
        <v>34</v>
      </c>
      <c r="F217" t="s">
        <v>756</v>
      </c>
      <c r="G217" t="s">
        <v>37</v>
      </c>
      <c r="H217" t="s">
        <v>38</v>
      </c>
      <c r="I217" t="s">
        <v>757</v>
      </c>
      <c r="J217" t="s">
        <v>40</v>
      </c>
      <c r="K217">
        <v>2</v>
      </c>
      <c r="L217" t="s">
        <v>41</v>
      </c>
      <c r="M217" t="s">
        <v>42</v>
      </c>
      <c r="N217" t="s">
        <v>43</v>
      </c>
      <c r="O217" s="7">
        <v>2</v>
      </c>
      <c r="P217" s="8">
        <v>45167.485497685186</v>
      </c>
      <c r="Q217" s="9">
        <v>45170</v>
      </c>
      <c r="R217" t="s">
        <v>37</v>
      </c>
      <c r="S217" t="s">
        <v>44</v>
      </c>
      <c r="T217" t="s">
        <v>45</v>
      </c>
      <c r="U217" t="s">
        <v>139</v>
      </c>
      <c r="V217" t="s">
        <v>758</v>
      </c>
      <c r="W217">
        <v>8000</v>
      </c>
      <c r="X217" t="s">
        <v>44</v>
      </c>
      <c r="Y217" t="s">
        <v>141</v>
      </c>
      <c r="Z217" t="s">
        <v>49</v>
      </c>
      <c r="AA217" s="10">
        <f>IF(O217&lt;=1,7,7+0.8*ROUNDUP(O217-1,0))</f>
        <v>7.8</v>
      </c>
      <c r="AB217" s="11">
        <v>0</v>
      </c>
      <c r="AC217" s="11">
        <v>0</v>
      </c>
      <c r="AD217" s="11">
        <v>0</v>
      </c>
      <c r="AE217" s="11">
        <v>0</v>
      </c>
      <c r="AF217" s="11">
        <f t="shared" si="6"/>
        <v>0.46799999999999997</v>
      </c>
      <c r="AG217" s="11">
        <f t="shared" si="7"/>
        <v>8.2680000000000007</v>
      </c>
      <c r="AH217" t="s">
        <v>50</v>
      </c>
    </row>
    <row r="218" spans="1:34" ht="15" customHeight="1" x14ac:dyDescent="0.35">
      <c r="A218">
        <v>7547676</v>
      </c>
      <c r="B218">
        <v>690929</v>
      </c>
      <c r="C218" t="s">
        <v>34</v>
      </c>
      <c r="D218" t="s">
        <v>35</v>
      </c>
      <c r="E218" s="6" t="s">
        <v>34</v>
      </c>
      <c r="F218" t="s">
        <v>759</v>
      </c>
      <c r="G218" t="s">
        <v>37</v>
      </c>
      <c r="H218" t="s">
        <v>38</v>
      </c>
      <c r="I218" t="s">
        <v>760</v>
      </c>
      <c r="J218" t="s">
        <v>40</v>
      </c>
      <c r="K218">
        <v>2</v>
      </c>
      <c r="L218" t="s">
        <v>41</v>
      </c>
      <c r="M218" t="s">
        <v>42</v>
      </c>
      <c r="N218" t="s">
        <v>43</v>
      </c>
      <c r="O218" s="7">
        <v>1</v>
      </c>
      <c r="P218" s="8">
        <v>45167.781608796293</v>
      </c>
      <c r="Q218" s="9">
        <v>45170</v>
      </c>
      <c r="R218" t="s">
        <v>37</v>
      </c>
      <c r="S218" t="s">
        <v>44</v>
      </c>
      <c r="T218" t="s">
        <v>45</v>
      </c>
      <c r="U218" t="s">
        <v>139</v>
      </c>
      <c r="V218" t="s">
        <v>761</v>
      </c>
      <c r="W218">
        <v>8100</v>
      </c>
      <c r="X218" t="s">
        <v>44</v>
      </c>
      <c r="Y218" t="s">
        <v>614</v>
      </c>
      <c r="Z218" t="s">
        <v>49</v>
      </c>
      <c r="AA218" s="10">
        <f>IF(O218&lt;=1,7,7+0.8*ROUNDUP(O218-1,0))</f>
        <v>7</v>
      </c>
      <c r="AB218" s="11">
        <v>0</v>
      </c>
      <c r="AC218" s="11">
        <v>0</v>
      </c>
      <c r="AD218" s="11">
        <v>0</v>
      </c>
      <c r="AE218" s="11">
        <v>0</v>
      </c>
      <c r="AF218" s="11">
        <f t="shared" si="6"/>
        <v>0.42</v>
      </c>
      <c r="AG218" s="11">
        <f t="shared" si="7"/>
        <v>7.42</v>
      </c>
      <c r="AH218" t="s">
        <v>50</v>
      </c>
    </row>
    <row r="219" spans="1:34" ht="15" customHeight="1" x14ac:dyDescent="0.35">
      <c r="A219">
        <v>7547676</v>
      </c>
      <c r="B219">
        <v>690929</v>
      </c>
      <c r="C219" t="s">
        <v>34</v>
      </c>
      <c r="D219" t="s">
        <v>35</v>
      </c>
      <c r="E219" s="6" t="s">
        <v>34</v>
      </c>
      <c r="F219" t="s">
        <v>762</v>
      </c>
      <c r="G219" t="s">
        <v>37</v>
      </c>
      <c r="H219" t="s">
        <v>38</v>
      </c>
      <c r="I219" t="s">
        <v>763</v>
      </c>
      <c r="J219" t="s">
        <v>40</v>
      </c>
      <c r="K219">
        <v>2</v>
      </c>
      <c r="L219" t="s">
        <v>41</v>
      </c>
      <c r="M219" t="s">
        <v>42</v>
      </c>
      <c r="N219" t="s">
        <v>43</v>
      </c>
      <c r="O219" s="7">
        <v>3</v>
      </c>
      <c r="P219" s="8">
        <v>45168.751759259256</v>
      </c>
      <c r="Q219" s="9">
        <v>45170</v>
      </c>
      <c r="R219" t="s">
        <v>37</v>
      </c>
      <c r="S219" t="s">
        <v>44</v>
      </c>
      <c r="T219" t="s">
        <v>45</v>
      </c>
      <c r="U219" t="s">
        <v>67</v>
      </c>
      <c r="V219" t="s">
        <v>764</v>
      </c>
      <c r="W219">
        <v>52100</v>
      </c>
      <c r="X219" t="s">
        <v>44</v>
      </c>
      <c r="Y219" t="s">
        <v>341</v>
      </c>
      <c r="Z219" t="s">
        <v>49</v>
      </c>
      <c r="AA219" s="10">
        <f>IF(O219&lt;=1,7,7+0.8*ROUNDUP(O219-1,0))</f>
        <v>8.6</v>
      </c>
      <c r="AB219" s="11">
        <v>0</v>
      </c>
      <c r="AC219" s="11">
        <v>0</v>
      </c>
      <c r="AD219" s="11">
        <v>0</v>
      </c>
      <c r="AE219" s="11">
        <v>0</v>
      </c>
      <c r="AF219" s="11">
        <f t="shared" si="6"/>
        <v>0.51600000000000001</v>
      </c>
      <c r="AG219" s="11">
        <f t="shared" si="7"/>
        <v>9.1159999999999997</v>
      </c>
      <c r="AH219" t="s">
        <v>50</v>
      </c>
    </row>
    <row r="220" spans="1:34" ht="15" customHeight="1" x14ac:dyDescent="0.35">
      <c r="A220">
        <v>7547676</v>
      </c>
      <c r="B220">
        <v>690929</v>
      </c>
      <c r="C220" t="s">
        <v>34</v>
      </c>
      <c r="D220" t="s">
        <v>35</v>
      </c>
      <c r="E220" s="6" t="s">
        <v>34</v>
      </c>
      <c r="F220" t="s">
        <v>765</v>
      </c>
      <c r="G220" t="s">
        <v>37</v>
      </c>
      <c r="H220" t="s">
        <v>38</v>
      </c>
      <c r="I220" t="s">
        <v>766</v>
      </c>
      <c r="J220" t="s">
        <v>40</v>
      </c>
      <c r="K220">
        <v>2</v>
      </c>
      <c r="L220" t="s">
        <v>41</v>
      </c>
      <c r="M220" t="s">
        <v>42</v>
      </c>
      <c r="N220" t="s">
        <v>43</v>
      </c>
      <c r="O220" s="7">
        <v>1</v>
      </c>
      <c r="P220" s="8">
        <v>45167.608877314815</v>
      </c>
      <c r="Q220" s="9">
        <v>45170</v>
      </c>
      <c r="R220" t="s">
        <v>37</v>
      </c>
      <c r="S220" t="s">
        <v>44</v>
      </c>
      <c r="T220" t="s">
        <v>45</v>
      </c>
      <c r="U220" t="s">
        <v>378</v>
      </c>
      <c r="V220" t="s">
        <v>767</v>
      </c>
      <c r="W220">
        <v>88200</v>
      </c>
      <c r="X220" t="s">
        <v>135</v>
      </c>
      <c r="Y220" t="s">
        <v>69</v>
      </c>
      <c r="Z220" t="s">
        <v>49</v>
      </c>
      <c r="AA220" s="12">
        <f>IF(O220&lt;=1,13,IF(O220&lt;=2,23,IF(O220&lt;=3,35,IF(O220&lt;=4,43,IF(O220&lt;=5,53,IF(O220&lt;=6,63,IF(O220&lt;=7,71,IF(O220&lt;=8,79,IF(O220&lt;=9,87,IF(O220&lt;=10,95,IF(O220&lt;=11,105,IF(O220&lt;=12,114,IF(O220&lt;=13,119,IF(O220&lt;=14,127,IF(O220&lt;=15,135,IF(O220&lt;=16,143,IF(O220&lt;=17,153,IF(O220&lt;=18,163,IF(O220&lt;=19,171,IF(O220&lt;=20,185,IF(O220&lt;=21,193,IF(O220&lt;=22,201,IF(O220&lt;=23,210,IF(O220&lt;=24,220,IF(O220&lt;=25,230,IF(O220&lt;=26,240,IF(O220&lt;=27,250,IF(O220&lt;=28,260,IF(O220&lt;=29,270,IF(O220&lt;=30,280,280+10*ROUNDUP(O220-30,0)))))))))))))))))))))))))))))))</f>
        <v>13</v>
      </c>
      <c r="AB220" s="11">
        <v>0</v>
      </c>
      <c r="AC220" s="11">
        <v>0</v>
      </c>
      <c r="AD220" s="11">
        <v>0</v>
      </c>
      <c r="AE220" s="11">
        <v>0</v>
      </c>
      <c r="AF220" s="11">
        <f t="shared" si="6"/>
        <v>0.78</v>
      </c>
      <c r="AG220" s="11">
        <f t="shared" si="7"/>
        <v>13.78</v>
      </c>
      <c r="AH220" t="s">
        <v>136</v>
      </c>
    </row>
    <row r="221" spans="1:34" ht="15" customHeight="1" x14ac:dyDescent="0.35">
      <c r="A221">
        <v>7547676</v>
      </c>
      <c r="B221">
        <v>690929</v>
      </c>
      <c r="C221" t="s">
        <v>34</v>
      </c>
      <c r="D221" t="s">
        <v>35</v>
      </c>
      <c r="E221" s="6" t="s">
        <v>34</v>
      </c>
      <c r="F221" t="s">
        <v>768</v>
      </c>
      <c r="G221" t="s">
        <v>37</v>
      </c>
      <c r="H221" t="s">
        <v>38</v>
      </c>
      <c r="I221" t="s">
        <v>318</v>
      </c>
      <c r="J221" t="s">
        <v>40</v>
      </c>
      <c r="K221">
        <v>2</v>
      </c>
      <c r="L221" t="s">
        <v>41</v>
      </c>
      <c r="M221" t="s">
        <v>42</v>
      </c>
      <c r="N221" t="s">
        <v>43</v>
      </c>
      <c r="O221" s="7">
        <v>1</v>
      </c>
      <c r="P221" s="8">
        <v>45168.620949074073</v>
      </c>
      <c r="Q221" s="9">
        <v>45170</v>
      </c>
      <c r="R221" t="s">
        <v>37</v>
      </c>
      <c r="S221" t="s">
        <v>44</v>
      </c>
      <c r="T221" t="s">
        <v>69</v>
      </c>
      <c r="U221" t="s">
        <v>46</v>
      </c>
      <c r="V221" t="s">
        <v>769</v>
      </c>
      <c r="W221">
        <v>27100</v>
      </c>
      <c r="X221" t="s">
        <v>44</v>
      </c>
      <c r="Y221" t="s">
        <v>770</v>
      </c>
      <c r="Z221" t="s">
        <v>49</v>
      </c>
      <c r="AA221" s="10">
        <f>IF(O221&lt;=1,7,7+0.8*ROUNDUP(O221-1,0))</f>
        <v>7</v>
      </c>
      <c r="AB221" s="11">
        <v>0</v>
      </c>
      <c r="AC221" s="11">
        <v>0</v>
      </c>
      <c r="AD221" s="11">
        <v>0</v>
      </c>
      <c r="AE221" s="11">
        <v>0</v>
      </c>
      <c r="AF221" s="11">
        <f t="shared" si="6"/>
        <v>0.42</v>
      </c>
      <c r="AG221" s="11">
        <f t="shared" si="7"/>
        <v>7.42</v>
      </c>
      <c r="AH221" t="s">
        <v>50</v>
      </c>
    </row>
    <row r="222" spans="1:34" ht="15" customHeight="1" x14ac:dyDescent="0.35">
      <c r="A222">
        <v>7547676</v>
      </c>
      <c r="B222">
        <v>690929</v>
      </c>
      <c r="C222" t="s">
        <v>34</v>
      </c>
      <c r="D222" t="s">
        <v>35</v>
      </c>
      <c r="E222" s="6" t="s">
        <v>34</v>
      </c>
      <c r="F222" t="s">
        <v>771</v>
      </c>
      <c r="G222" t="s">
        <v>37</v>
      </c>
      <c r="H222" t="s">
        <v>38</v>
      </c>
      <c r="I222" t="s">
        <v>772</v>
      </c>
      <c r="J222" t="s">
        <v>40</v>
      </c>
      <c r="K222">
        <v>2</v>
      </c>
      <c r="L222" t="s">
        <v>41</v>
      </c>
      <c r="M222" t="s">
        <v>42</v>
      </c>
      <c r="N222" t="s">
        <v>43</v>
      </c>
      <c r="O222" s="7">
        <v>1</v>
      </c>
      <c r="P222" s="8">
        <v>45168.755046296297</v>
      </c>
      <c r="Q222" s="9">
        <v>45170</v>
      </c>
      <c r="R222" t="s">
        <v>37</v>
      </c>
      <c r="S222" t="s">
        <v>44</v>
      </c>
      <c r="T222" t="s">
        <v>69</v>
      </c>
      <c r="U222" t="s">
        <v>139</v>
      </c>
      <c r="V222" t="s">
        <v>773</v>
      </c>
      <c r="W222">
        <v>6010</v>
      </c>
      <c r="X222" t="s">
        <v>44</v>
      </c>
      <c r="Y222" t="s">
        <v>69</v>
      </c>
      <c r="Z222" t="s">
        <v>49</v>
      </c>
      <c r="AA222" s="10">
        <f>IF(O222&lt;=1,7,7+0.8*ROUNDUP(O222-1,0))</f>
        <v>7</v>
      </c>
      <c r="AB222" s="11">
        <v>0</v>
      </c>
      <c r="AC222" s="11">
        <v>0</v>
      </c>
      <c r="AD222" s="11">
        <v>0</v>
      </c>
      <c r="AE222" s="11">
        <v>0</v>
      </c>
      <c r="AF222" s="11">
        <f t="shared" si="6"/>
        <v>0.42</v>
      </c>
      <c r="AG222" s="11">
        <f t="shared" si="7"/>
        <v>7.42</v>
      </c>
      <c r="AH222" t="s">
        <v>50</v>
      </c>
    </row>
    <row r="223" spans="1:34" ht="15" customHeight="1" x14ac:dyDescent="0.35">
      <c r="A223">
        <v>7547676</v>
      </c>
      <c r="B223">
        <v>690929</v>
      </c>
      <c r="C223" t="s">
        <v>34</v>
      </c>
      <c r="D223" t="s">
        <v>35</v>
      </c>
      <c r="E223" s="6" t="s">
        <v>34</v>
      </c>
      <c r="F223" t="s">
        <v>774</v>
      </c>
      <c r="G223" t="s">
        <v>37</v>
      </c>
      <c r="H223" t="s">
        <v>38</v>
      </c>
      <c r="I223" t="s">
        <v>775</v>
      </c>
      <c r="J223" t="s">
        <v>40</v>
      </c>
      <c r="K223">
        <v>2</v>
      </c>
      <c r="L223" t="s">
        <v>41</v>
      </c>
      <c r="M223" t="s">
        <v>42</v>
      </c>
      <c r="N223" t="s">
        <v>43</v>
      </c>
      <c r="O223" s="7">
        <v>1</v>
      </c>
      <c r="P223" s="8">
        <v>45168.408784722225</v>
      </c>
      <c r="Q223" s="9">
        <v>45170</v>
      </c>
      <c r="R223" t="s">
        <v>37</v>
      </c>
      <c r="S223" t="s">
        <v>44</v>
      </c>
      <c r="T223" t="s">
        <v>69</v>
      </c>
      <c r="U223" t="s">
        <v>53</v>
      </c>
      <c r="V223" t="s">
        <v>776</v>
      </c>
      <c r="W223">
        <v>71800</v>
      </c>
      <c r="X223" t="s">
        <v>44</v>
      </c>
      <c r="Y223" t="s">
        <v>94</v>
      </c>
      <c r="Z223" t="s">
        <v>49</v>
      </c>
      <c r="AA223" s="10">
        <f>IF(O223&lt;=1,7,7+0.8*ROUNDUP(O223-1,0))</f>
        <v>7</v>
      </c>
      <c r="AB223" s="11">
        <v>0</v>
      </c>
      <c r="AC223" s="11">
        <v>0</v>
      </c>
      <c r="AD223" s="11">
        <v>0</v>
      </c>
      <c r="AE223" s="11">
        <v>0</v>
      </c>
      <c r="AF223" s="11">
        <f t="shared" si="6"/>
        <v>0.42</v>
      </c>
      <c r="AG223" s="11">
        <f t="shared" si="7"/>
        <v>7.42</v>
      </c>
      <c r="AH223" t="s">
        <v>50</v>
      </c>
    </row>
    <row r="224" spans="1:34" ht="15" customHeight="1" x14ac:dyDescent="0.35">
      <c r="A224">
        <v>7547676</v>
      </c>
      <c r="B224">
        <v>690929</v>
      </c>
      <c r="C224" t="s">
        <v>34</v>
      </c>
      <c r="D224" t="s">
        <v>35</v>
      </c>
      <c r="E224" s="6" t="s">
        <v>34</v>
      </c>
      <c r="F224" t="s">
        <v>777</v>
      </c>
      <c r="G224" t="s">
        <v>37</v>
      </c>
      <c r="H224" t="s">
        <v>38</v>
      </c>
      <c r="I224" t="s">
        <v>778</v>
      </c>
      <c r="J224" t="s">
        <v>40</v>
      </c>
      <c r="K224">
        <v>2</v>
      </c>
      <c r="L224" t="s">
        <v>41</v>
      </c>
      <c r="M224" t="s">
        <v>42</v>
      </c>
      <c r="N224" t="s">
        <v>43</v>
      </c>
      <c r="O224" s="7">
        <v>2</v>
      </c>
      <c r="P224" s="8">
        <v>45167.485497685186</v>
      </c>
      <c r="Q224" s="9">
        <v>45170</v>
      </c>
      <c r="R224" t="s">
        <v>37</v>
      </c>
      <c r="S224" t="s">
        <v>44</v>
      </c>
      <c r="T224" t="s">
        <v>45</v>
      </c>
      <c r="U224" t="s">
        <v>119</v>
      </c>
      <c r="V224" t="s">
        <v>779</v>
      </c>
      <c r="W224">
        <v>75561</v>
      </c>
      <c r="X224" t="s">
        <v>44</v>
      </c>
      <c r="Y224" t="s">
        <v>780</v>
      </c>
      <c r="Z224" t="s">
        <v>49</v>
      </c>
      <c r="AA224" s="10">
        <f>IF(O224&lt;=1,7,7+0.8*ROUNDUP(O224-1,0))</f>
        <v>7.8</v>
      </c>
      <c r="AB224" s="11">
        <v>0</v>
      </c>
      <c r="AC224" s="11">
        <v>0</v>
      </c>
      <c r="AD224" s="11">
        <v>0</v>
      </c>
      <c r="AE224" s="11">
        <v>0</v>
      </c>
      <c r="AF224" s="11">
        <f t="shared" si="6"/>
        <v>0.46799999999999997</v>
      </c>
      <c r="AG224" s="11">
        <f t="shared" si="7"/>
        <v>8.2680000000000007</v>
      </c>
      <c r="AH224" t="s">
        <v>50</v>
      </c>
    </row>
    <row r="225" spans="1:34" ht="15" customHeight="1" x14ac:dyDescent="0.35">
      <c r="A225">
        <v>7547676</v>
      </c>
      <c r="B225">
        <v>690929</v>
      </c>
      <c r="C225" t="s">
        <v>34</v>
      </c>
      <c r="D225" t="s">
        <v>35</v>
      </c>
      <c r="E225" s="6" t="s">
        <v>34</v>
      </c>
      <c r="F225" t="s">
        <v>781</v>
      </c>
      <c r="G225" t="s">
        <v>37</v>
      </c>
      <c r="H225" t="s">
        <v>38</v>
      </c>
      <c r="I225" t="s">
        <v>782</v>
      </c>
      <c r="J225" t="s">
        <v>40</v>
      </c>
      <c r="K225">
        <v>2</v>
      </c>
      <c r="L225" t="s">
        <v>41</v>
      </c>
      <c r="M225" t="s">
        <v>42</v>
      </c>
      <c r="N225" t="s">
        <v>43</v>
      </c>
      <c r="O225" s="7">
        <v>1</v>
      </c>
      <c r="P225" s="8">
        <v>45168.764305555553</v>
      </c>
      <c r="Q225" s="9">
        <v>45170</v>
      </c>
      <c r="R225" t="s">
        <v>37</v>
      </c>
      <c r="S225" t="s">
        <v>44</v>
      </c>
      <c r="T225" t="s">
        <v>69</v>
      </c>
      <c r="U225" t="s">
        <v>53</v>
      </c>
      <c r="V225" t="s">
        <v>783</v>
      </c>
      <c r="W225">
        <v>71800</v>
      </c>
      <c r="X225" t="s">
        <v>44</v>
      </c>
      <c r="Y225" t="s">
        <v>94</v>
      </c>
      <c r="Z225" t="s">
        <v>49</v>
      </c>
      <c r="AA225" s="10">
        <f>IF(O225&lt;=1,7,7+0.8*ROUNDUP(O225-1,0))</f>
        <v>7</v>
      </c>
      <c r="AB225" s="11">
        <v>0</v>
      </c>
      <c r="AC225" s="11">
        <v>0</v>
      </c>
      <c r="AD225" s="11">
        <v>0</v>
      </c>
      <c r="AE225" s="11">
        <v>0</v>
      </c>
      <c r="AF225" s="11">
        <f t="shared" si="6"/>
        <v>0.42</v>
      </c>
      <c r="AG225" s="11">
        <f t="shared" si="7"/>
        <v>7.42</v>
      </c>
      <c r="AH225" t="s">
        <v>50</v>
      </c>
    </row>
    <row r="226" spans="1:34" ht="15" customHeight="1" x14ac:dyDescent="0.35">
      <c r="A226">
        <v>7547676</v>
      </c>
      <c r="B226">
        <v>690929</v>
      </c>
      <c r="C226" t="s">
        <v>34</v>
      </c>
      <c r="D226" t="s">
        <v>35</v>
      </c>
      <c r="E226" s="6" t="s">
        <v>34</v>
      </c>
      <c r="F226" t="s">
        <v>784</v>
      </c>
      <c r="G226" t="s">
        <v>37</v>
      </c>
      <c r="H226" t="s">
        <v>38</v>
      </c>
      <c r="I226" t="s">
        <v>785</v>
      </c>
      <c r="J226" t="s">
        <v>40</v>
      </c>
      <c r="K226">
        <v>2</v>
      </c>
      <c r="L226" t="s">
        <v>41</v>
      </c>
      <c r="M226" t="s">
        <v>42</v>
      </c>
      <c r="N226" t="s">
        <v>43</v>
      </c>
      <c r="O226" s="7">
        <v>2</v>
      </c>
      <c r="P226" s="8">
        <v>45167.485497685186</v>
      </c>
      <c r="Q226" s="9">
        <v>45170</v>
      </c>
      <c r="R226" t="s">
        <v>37</v>
      </c>
      <c r="S226" t="s">
        <v>44</v>
      </c>
      <c r="T226" t="s">
        <v>45</v>
      </c>
      <c r="U226" t="s">
        <v>133</v>
      </c>
      <c r="V226" t="s">
        <v>786</v>
      </c>
      <c r="W226">
        <v>96800</v>
      </c>
      <c r="X226" t="s">
        <v>135</v>
      </c>
      <c r="Y226" t="s">
        <v>69</v>
      </c>
      <c r="Z226" t="s">
        <v>49</v>
      </c>
      <c r="AA226" s="12">
        <f>IF(O226&lt;=1,13,IF(O226&lt;=2,23,IF(O226&lt;=3,35,IF(O226&lt;=4,43,IF(O226&lt;=5,53,IF(O226&lt;=6,63,IF(O226&lt;=7,71,IF(O226&lt;=8,79,IF(O226&lt;=9,87,IF(O226&lt;=10,95,IF(O226&lt;=11,105,IF(O226&lt;=12,114,IF(O226&lt;=13,119,IF(O226&lt;=14,127,IF(O226&lt;=15,135,IF(O226&lt;=16,143,IF(O226&lt;=17,153,IF(O226&lt;=18,163,IF(O226&lt;=19,171,IF(O226&lt;=20,185,IF(O226&lt;=21,193,IF(O226&lt;=22,201,IF(O226&lt;=23,210,IF(O226&lt;=24,220,IF(O226&lt;=25,230,IF(O226&lt;=26,240,IF(O226&lt;=27,250,IF(O226&lt;=28,260,IF(O226&lt;=29,270,IF(O226&lt;=30,280,280+10*ROUNDUP(O226-30,0)))))))))))))))))))))))))))))))</f>
        <v>23</v>
      </c>
      <c r="AB226" s="11">
        <v>0</v>
      </c>
      <c r="AC226" s="11">
        <v>0</v>
      </c>
      <c r="AD226" s="11">
        <v>0</v>
      </c>
      <c r="AE226" s="11">
        <v>0</v>
      </c>
      <c r="AF226" s="11">
        <f t="shared" si="6"/>
        <v>1.38</v>
      </c>
      <c r="AG226" s="11">
        <f t="shared" si="7"/>
        <v>24.38</v>
      </c>
      <c r="AH226" t="s">
        <v>136</v>
      </c>
    </row>
    <row r="227" spans="1:34" ht="15" customHeight="1" x14ac:dyDescent="0.35">
      <c r="A227">
        <v>7547676</v>
      </c>
      <c r="B227">
        <v>690929</v>
      </c>
      <c r="C227" t="s">
        <v>34</v>
      </c>
      <c r="D227" t="s">
        <v>35</v>
      </c>
      <c r="E227" s="6" t="s">
        <v>34</v>
      </c>
      <c r="F227" t="s">
        <v>787</v>
      </c>
      <c r="G227" t="s">
        <v>37</v>
      </c>
      <c r="H227" t="s">
        <v>38</v>
      </c>
      <c r="I227" t="s">
        <v>526</v>
      </c>
      <c r="J227" t="s">
        <v>40</v>
      </c>
      <c r="K227">
        <v>2</v>
      </c>
      <c r="L227" t="s">
        <v>41</v>
      </c>
      <c r="M227" t="s">
        <v>42</v>
      </c>
      <c r="N227" t="s">
        <v>43</v>
      </c>
      <c r="O227" s="7">
        <v>1</v>
      </c>
      <c r="P227" s="8">
        <v>45167.602129629631</v>
      </c>
      <c r="Q227" s="9">
        <v>45171</v>
      </c>
      <c r="R227" t="s">
        <v>37</v>
      </c>
      <c r="S227" t="s">
        <v>44</v>
      </c>
      <c r="T227" t="s">
        <v>45</v>
      </c>
      <c r="U227" t="s">
        <v>139</v>
      </c>
      <c r="V227" t="s">
        <v>788</v>
      </c>
      <c r="W227">
        <v>8000</v>
      </c>
      <c r="X227" t="s">
        <v>44</v>
      </c>
      <c r="Y227" t="s">
        <v>69</v>
      </c>
      <c r="Z227" t="s">
        <v>49</v>
      </c>
      <c r="AA227" s="10">
        <f>IF(O227&lt;=1,7,7+0.8*ROUNDUP(O227-1,0))</f>
        <v>7</v>
      </c>
      <c r="AB227" s="11">
        <v>0</v>
      </c>
      <c r="AC227" s="11">
        <v>0</v>
      </c>
      <c r="AD227" s="11">
        <v>0</v>
      </c>
      <c r="AE227" s="11">
        <v>0</v>
      </c>
      <c r="AF227" s="11">
        <f t="shared" si="6"/>
        <v>0.42</v>
      </c>
      <c r="AG227" s="11">
        <f t="shared" si="7"/>
        <v>7.42</v>
      </c>
      <c r="AH227" t="s">
        <v>50</v>
      </c>
    </row>
    <row r="228" spans="1:34" ht="15" customHeight="1" x14ac:dyDescent="0.35">
      <c r="A228">
        <v>7547676</v>
      </c>
      <c r="B228">
        <v>690929</v>
      </c>
      <c r="C228" t="s">
        <v>34</v>
      </c>
      <c r="D228" t="s">
        <v>35</v>
      </c>
      <c r="E228" s="6" t="s">
        <v>34</v>
      </c>
      <c r="F228" t="s">
        <v>789</v>
      </c>
      <c r="G228" t="s">
        <v>37</v>
      </c>
      <c r="H228" t="s">
        <v>38</v>
      </c>
      <c r="I228" t="s">
        <v>790</v>
      </c>
      <c r="J228" t="s">
        <v>40</v>
      </c>
      <c r="K228">
        <v>2</v>
      </c>
      <c r="L228" t="s">
        <v>41</v>
      </c>
      <c r="M228" t="s">
        <v>42</v>
      </c>
      <c r="N228" t="s">
        <v>43</v>
      </c>
      <c r="O228" s="7">
        <v>3</v>
      </c>
      <c r="P228" s="8">
        <v>45168.764305555553</v>
      </c>
      <c r="Q228" s="9">
        <v>45171</v>
      </c>
      <c r="R228" t="s">
        <v>37</v>
      </c>
      <c r="S228" t="s">
        <v>44</v>
      </c>
      <c r="T228" t="s">
        <v>45</v>
      </c>
      <c r="U228" t="s">
        <v>110</v>
      </c>
      <c r="V228" t="s">
        <v>791</v>
      </c>
      <c r="W228">
        <v>86000</v>
      </c>
      <c r="X228" t="s">
        <v>44</v>
      </c>
      <c r="Y228" t="s">
        <v>316</v>
      </c>
      <c r="Z228" t="s">
        <v>49</v>
      </c>
      <c r="AA228" s="10">
        <f>IF(O228&lt;=1,7,7+0.8*ROUNDUP(O228-1,0))</f>
        <v>8.6</v>
      </c>
      <c r="AB228" s="11">
        <v>0</v>
      </c>
      <c r="AC228" s="11">
        <v>0</v>
      </c>
      <c r="AD228" s="11">
        <v>0</v>
      </c>
      <c r="AE228" s="11">
        <v>0</v>
      </c>
      <c r="AF228" s="11">
        <f t="shared" si="6"/>
        <v>0.51600000000000001</v>
      </c>
      <c r="AG228" s="11">
        <f t="shared" si="7"/>
        <v>9.1159999999999997</v>
      </c>
      <c r="AH228" t="s">
        <v>50</v>
      </c>
    </row>
    <row r="229" spans="1:34" ht="15" customHeight="1" x14ac:dyDescent="0.35">
      <c r="A229">
        <v>7547676</v>
      </c>
      <c r="B229">
        <v>690929</v>
      </c>
      <c r="C229" t="s">
        <v>34</v>
      </c>
      <c r="D229" t="s">
        <v>35</v>
      </c>
      <c r="E229" s="6" t="s">
        <v>34</v>
      </c>
      <c r="F229" t="s">
        <v>792</v>
      </c>
      <c r="G229" t="s">
        <v>37</v>
      </c>
      <c r="H229" t="s">
        <v>38</v>
      </c>
      <c r="I229" t="s">
        <v>793</v>
      </c>
      <c r="J229" t="s">
        <v>40</v>
      </c>
      <c r="K229">
        <v>2</v>
      </c>
      <c r="L229" t="s">
        <v>41</v>
      </c>
      <c r="M229" t="s">
        <v>42</v>
      </c>
      <c r="N229" t="s">
        <v>43</v>
      </c>
      <c r="O229" s="7">
        <v>2</v>
      </c>
      <c r="P229" s="8">
        <v>45167.485497685186</v>
      </c>
      <c r="Q229" s="9">
        <v>45171</v>
      </c>
      <c r="R229" t="s">
        <v>37</v>
      </c>
      <c r="S229" t="s">
        <v>44</v>
      </c>
      <c r="T229" t="s">
        <v>45</v>
      </c>
      <c r="U229" t="s">
        <v>53</v>
      </c>
      <c r="V229" t="s">
        <v>794</v>
      </c>
      <c r="W229">
        <v>71050</v>
      </c>
      <c r="X229" t="s">
        <v>44</v>
      </c>
      <c r="Y229" t="s">
        <v>795</v>
      </c>
      <c r="Z229" t="s">
        <v>49</v>
      </c>
      <c r="AA229" s="10">
        <f>IF(O229&lt;=1,7,7+0.8*ROUNDUP(O229-1,0))</f>
        <v>7.8</v>
      </c>
      <c r="AB229" s="11">
        <v>0</v>
      </c>
      <c r="AC229" s="11">
        <v>0</v>
      </c>
      <c r="AD229" s="11">
        <v>0</v>
      </c>
      <c r="AE229" s="11">
        <v>0</v>
      </c>
      <c r="AF229" s="11">
        <f t="shared" si="6"/>
        <v>0.46799999999999997</v>
      </c>
      <c r="AG229" s="11">
        <f t="shared" si="7"/>
        <v>8.2680000000000007</v>
      </c>
      <c r="AH229" t="s">
        <v>50</v>
      </c>
    </row>
    <row r="230" spans="1:34" ht="15" customHeight="1" x14ac:dyDescent="0.35">
      <c r="A230">
        <v>7547676</v>
      </c>
      <c r="B230">
        <v>690929</v>
      </c>
      <c r="C230" t="s">
        <v>34</v>
      </c>
      <c r="D230" t="s">
        <v>35</v>
      </c>
      <c r="E230" s="6" t="s">
        <v>34</v>
      </c>
      <c r="F230" t="s">
        <v>796</v>
      </c>
      <c r="G230" t="s">
        <v>37</v>
      </c>
      <c r="H230" t="s">
        <v>38</v>
      </c>
      <c r="I230" t="s">
        <v>797</v>
      </c>
      <c r="J230" t="s">
        <v>40</v>
      </c>
      <c r="K230">
        <v>2</v>
      </c>
      <c r="L230" t="s">
        <v>41</v>
      </c>
      <c r="M230" t="s">
        <v>42</v>
      </c>
      <c r="N230" t="s">
        <v>43</v>
      </c>
      <c r="O230" s="7">
        <v>4</v>
      </c>
      <c r="P230" s="8">
        <v>45171.740127314813</v>
      </c>
      <c r="Q230" s="9">
        <v>45172</v>
      </c>
      <c r="R230" t="s">
        <v>37</v>
      </c>
      <c r="S230" t="s">
        <v>44</v>
      </c>
      <c r="T230" t="s">
        <v>45</v>
      </c>
      <c r="U230" t="s">
        <v>46</v>
      </c>
      <c r="V230" t="s">
        <v>798</v>
      </c>
      <c r="W230">
        <v>27200</v>
      </c>
      <c r="X230" t="s">
        <v>44</v>
      </c>
      <c r="Y230" t="s">
        <v>770</v>
      </c>
      <c r="Z230" t="s">
        <v>49</v>
      </c>
      <c r="AA230" s="10">
        <f>IF(O230&lt;=1,7,7+0.8*ROUNDUP(O230-1,0))</f>
        <v>9.4</v>
      </c>
      <c r="AB230" s="11">
        <v>0</v>
      </c>
      <c r="AC230" s="11">
        <v>0</v>
      </c>
      <c r="AD230" s="11">
        <v>0</v>
      </c>
      <c r="AE230" s="11">
        <v>0</v>
      </c>
      <c r="AF230" s="11">
        <f t="shared" si="6"/>
        <v>0.56399999999999995</v>
      </c>
      <c r="AG230" s="11">
        <f t="shared" si="7"/>
        <v>9.9640000000000004</v>
      </c>
      <c r="AH230" t="s">
        <v>50</v>
      </c>
    </row>
    <row r="231" spans="1:34" ht="15" customHeight="1" x14ac:dyDescent="0.35">
      <c r="A231">
        <v>7547676</v>
      </c>
      <c r="B231">
        <v>690929</v>
      </c>
      <c r="C231" t="s">
        <v>34</v>
      </c>
      <c r="D231" t="s">
        <v>35</v>
      </c>
      <c r="E231" s="6" t="s">
        <v>34</v>
      </c>
      <c r="F231" t="s">
        <v>799</v>
      </c>
      <c r="G231" t="s">
        <v>37</v>
      </c>
      <c r="H231" t="s">
        <v>38</v>
      </c>
      <c r="I231" t="s">
        <v>800</v>
      </c>
      <c r="J231" t="s">
        <v>40</v>
      </c>
      <c r="K231">
        <v>2</v>
      </c>
      <c r="L231" t="s">
        <v>41</v>
      </c>
      <c r="M231" t="s">
        <v>42</v>
      </c>
      <c r="N231" t="s">
        <v>43</v>
      </c>
      <c r="O231" s="7">
        <v>16</v>
      </c>
      <c r="P231" s="8">
        <v>45168.58326388889</v>
      </c>
      <c r="Q231" s="9">
        <v>45172</v>
      </c>
      <c r="R231" t="s">
        <v>37</v>
      </c>
      <c r="S231" t="s">
        <v>44</v>
      </c>
      <c r="T231" t="s">
        <v>45</v>
      </c>
      <c r="U231" t="s">
        <v>110</v>
      </c>
      <c r="V231" t="s">
        <v>801</v>
      </c>
      <c r="W231">
        <v>81560</v>
      </c>
      <c r="X231" t="s">
        <v>44</v>
      </c>
      <c r="Y231" t="s">
        <v>302</v>
      </c>
      <c r="Z231" t="s">
        <v>49</v>
      </c>
      <c r="AA231" s="10">
        <f>IF(O231&lt;=1,7,7+0.8*ROUNDUP(O231-1,0))</f>
        <v>19</v>
      </c>
      <c r="AB231" s="11">
        <v>0</v>
      </c>
      <c r="AC231" s="11">
        <v>0</v>
      </c>
      <c r="AD231" s="11">
        <v>0</v>
      </c>
      <c r="AE231" s="11">
        <v>0</v>
      </c>
      <c r="AF231" s="11">
        <f t="shared" si="6"/>
        <v>1.1399999999999999</v>
      </c>
      <c r="AG231" s="11">
        <f t="shared" si="7"/>
        <v>20.14</v>
      </c>
      <c r="AH231" t="s">
        <v>50</v>
      </c>
    </row>
    <row r="232" spans="1:34" ht="15" customHeight="1" x14ac:dyDescent="0.35">
      <c r="A232">
        <v>7547676</v>
      </c>
      <c r="B232">
        <v>690929</v>
      </c>
      <c r="C232" t="s">
        <v>34</v>
      </c>
      <c r="D232" t="s">
        <v>35</v>
      </c>
      <c r="E232" s="6" t="s">
        <v>34</v>
      </c>
      <c r="F232" t="s">
        <v>802</v>
      </c>
      <c r="G232" t="s">
        <v>37</v>
      </c>
      <c r="H232" t="s">
        <v>38</v>
      </c>
      <c r="I232" t="s">
        <v>803</v>
      </c>
      <c r="J232" t="s">
        <v>40</v>
      </c>
      <c r="K232">
        <v>2</v>
      </c>
      <c r="L232" t="s">
        <v>41</v>
      </c>
      <c r="M232" t="s">
        <v>42</v>
      </c>
      <c r="N232" t="s">
        <v>43</v>
      </c>
      <c r="O232" s="7">
        <v>2</v>
      </c>
      <c r="P232" s="8">
        <v>45171.735833333332</v>
      </c>
      <c r="Q232" s="9">
        <v>45173</v>
      </c>
      <c r="R232" t="s">
        <v>37</v>
      </c>
      <c r="S232" t="s">
        <v>44</v>
      </c>
      <c r="T232" t="s">
        <v>69</v>
      </c>
      <c r="U232" t="s">
        <v>119</v>
      </c>
      <c r="V232" t="s">
        <v>804</v>
      </c>
      <c r="W232">
        <v>75000</v>
      </c>
      <c r="X232" t="s">
        <v>44</v>
      </c>
      <c r="Y232" t="s">
        <v>69</v>
      </c>
      <c r="Z232" t="s">
        <v>49</v>
      </c>
      <c r="AA232" s="10">
        <f>IF(O232&lt;=1,7,7+0.8*ROUNDUP(O232-1,0))</f>
        <v>7.8</v>
      </c>
      <c r="AB232" s="11">
        <v>0</v>
      </c>
      <c r="AC232" s="11">
        <v>0</v>
      </c>
      <c r="AD232" s="11">
        <v>0</v>
      </c>
      <c r="AE232" s="11">
        <v>0</v>
      </c>
      <c r="AF232" s="11">
        <f t="shared" si="6"/>
        <v>0.46799999999999997</v>
      </c>
      <c r="AG232" s="11">
        <f t="shared" si="7"/>
        <v>8.2680000000000007</v>
      </c>
      <c r="AH232" t="s">
        <v>50</v>
      </c>
    </row>
    <row r="233" spans="1:34" ht="15" customHeight="1" x14ac:dyDescent="0.35">
      <c r="A233">
        <v>7547676</v>
      </c>
      <c r="B233">
        <v>690929</v>
      </c>
      <c r="C233" t="s">
        <v>34</v>
      </c>
      <c r="D233" t="s">
        <v>35</v>
      </c>
      <c r="E233" s="6" t="s">
        <v>34</v>
      </c>
      <c r="F233" t="s">
        <v>805</v>
      </c>
      <c r="G233" t="s">
        <v>37</v>
      </c>
      <c r="H233" t="s">
        <v>38</v>
      </c>
      <c r="I233" t="s">
        <v>806</v>
      </c>
      <c r="J233" t="s">
        <v>40</v>
      </c>
      <c r="K233">
        <v>2</v>
      </c>
      <c r="L233" t="s">
        <v>41</v>
      </c>
      <c r="M233" t="s">
        <v>42</v>
      </c>
      <c r="N233" t="s">
        <v>43</v>
      </c>
      <c r="O233" s="7">
        <v>2</v>
      </c>
      <c r="P233" s="8">
        <v>45171.541400462964</v>
      </c>
      <c r="Q233" s="9">
        <v>45173</v>
      </c>
      <c r="R233" t="s">
        <v>37</v>
      </c>
      <c r="S233" t="s">
        <v>44</v>
      </c>
      <c r="T233" t="s">
        <v>69</v>
      </c>
      <c r="U233" t="s">
        <v>378</v>
      </c>
      <c r="V233" t="s">
        <v>807</v>
      </c>
      <c r="W233">
        <v>89008</v>
      </c>
      <c r="X233" t="s">
        <v>135</v>
      </c>
      <c r="Y233" t="s">
        <v>69</v>
      </c>
      <c r="Z233" t="s">
        <v>49</v>
      </c>
      <c r="AA233" s="12">
        <f>IF(O233&lt;=1,13,IF(O233&lt;=2,23,IF(O233&lt;=3,35,IF(O233&lt;=4,43,IF(O233&lt;=5,53,IF(O233&lt;=6,63,IF(O233&lt;=7,71,IF(O233&lt;=8,79,IF(O233&lt;=9,87,IF(O233&lt;=10,95,IF(O233&lt;=11,105,IF(O233&lt;=12,114,IF(O233&lt;=13,119,IF(O233&lt;=14,127,IF(O233&lt;=15,135,IF(O233&lt;=16,143,IF(O233&lt;=17,153,IF(O233&lt;=18,163,IF(O233&lt;=19,171,IF(O233&lt;=20,185,IF(O233&lt;=21,193,IF(O233&lt;=22,201,IF(O233&lt;=23,210,IF(O233&lt;=24,220,IF(O233&lt;=25,230,IF(O233&lt;=26,240,IF(O233&lt;=27,250,IF(O233&lt;=28,260,IF(O233&lt;=29,270,IF(O233&lt;=30,280,280+10*ROUNDUP(O233-30,0)))))))))))))))))))))))))))))))</f>
        <v>23</v>
      </c>
      <c r="AB233" s="11">
        <v>0</v>
      </c>
      <c r="AC233" s="11">
        <v>0</v>
      </c>
      <c r="AD233" s="11">
        <v>0</v>
      </c>
      <c r="AE233" s="11">
        <v>0</v>
      </c>
      <c r="AF233" s="11">
        <f t="shared" si="6"/>
        <v>1.38</v>
      </c>
      <c r="AG233" s="11">
        <f t="shared" si="7"/>
        <v>24.38</v>
      </c>
      <c r="AH233" t="s">
        <v>136</v>
      </c>
    </row>
    <row r="234" spans="1:34" ht="15" customHeight="1" x14ac:dyDescent="0.35">
      <c r="A234">
        <v>7547676</v>
      </c>
      <c r="B234">
        <v>690929</v>
      </c>
      <c r="C234" t="s">
        <v>34</v>
      </c>
      <c r="D234" t="s">
        <v>35</v>
      </c>
      <c r="E234" s="6" t="s">
        <v>34</v>
      </c>
      <c r="F234" t="s">
        <v>808</v>
      </c>
      <c r="G234" t="s">
        <v>37</v>
      </c>
      <c r="H234" t="s">
        <v>38</v>
      </c>
      <c r="I234" t="s">
        <v>809</v>
      </c>
      <c r="J234" t="s">
        <v>40</v>
      </c>
      <c r="K234">
        <v>2</v>
      </c>
      <c r="L234" t="s">
        <v>41</v>
      </c>
      <c r="M234" t="s">
        <v>42</v>
      </c>
      <c r="N234" t="s">
        <v>43</v>
      </c>
      <c r="O234" s="7">
        <v>2</v>
      </c>
      <c r="P234" s="8">
        <v>45171.773252314815</v>
      </c>
      <c r="Q234" s="9">
        <v>45173</v>
      </c>
      <c r="R234" t="s">
        <v>37</v>
      </c>
      <c r="S234" t="s">
        <v>44</v>
      </c>
      <c r="T234" t="s">
        <v>69</v>
      </c>
      <c r="U234" t="s">
        <v>284</v>
      </c>
      <c r="V234" t="s">
        <v>810</v>
      </c>
      <c r="W234">
        <v>21300</v>
      </c>
      <c r="X234" t="s">
        <v>44</v>
      </c>
      <c r="Y234" t="s">
        <v>735</v>
      </c>
      <c r="Z234" t="s">
        <v>49</v>
      </c>
      <c r="AA234" s="10">
        <f>IF(O234&lt;=1,7,7+0.8*ROUNDUP(O234-1,0))</f>
        <v>7.8</v>
      </c>
      <c r="AB234" s="11">
        <v>0</v>
      </c>
      <c r="AC234" s="11">
        <v>0</v>
      </c>
      <c r="AD234" s="11">
        <v>0</v>
      </c>
      <c r="AE234" s="11">
        <v>0</v>
      </c>
      <c r="AF234" s="11">
        <f t="shared" si="6"/>
        <v>0.46799999999999997</v>
      </c>
      <c r="AG234" s="11">
        <f t="shared" si="7"/>
        <v>8.2680000000000007</v>
      </c>
      <c r="AH234" t="s">
        <v>50</v>
      </c>
    </row>
    <row r="235" spans="1:34" ht="15" customHeight="1" x14ac:dyDescent="0.35">
      <c r="A235">
        <v>7547676</v>
      </c>
      <c r="B235">
        <v>690929</v>
      </c>
      <c r="C235" t="s">
        <v>34</v>
      </c>
      <c r="D235" t="s">
        <v>35</v>
      </c>
      <c r="E235" s="6" t="s">
        <v>34</v>
      </c>
      <c r="F235" t="s">
        <v>811</v>
      </c>
      <c r="G235" t="s">
        <v>37</v>
      </c>
      <c r="H235" t="s">
        <v>38</v>
      </c>
      <c r="I235" t="s">
        <v>220</v>
      </c>
      <c r="J235" t="s">
        <v>40</v>
      </c>
      <c r="K235">
        <v>2</v>
      </c>
      <c r="L235" t="s">
        <v>41</v>
      </c>
      <c r="M235" t="s">
        <v>42</v>
      </c>
      <c r="N235" t="s">
        <v>43</v>
      </c>
      <c r="O235" s="7">
        <v>1</v>
      </c>
      <c r="P235" s="8">
        <v>45172.705740740741</v>
      </c>
      <c r="Q235" s="9">
        <v>45173</v>
      </c>
      <c r="R235" t="s">
        <v>37</v>
      </c>
      <c r="S235" t="s">
        <v>44</v>
      </c>
      <c r="T235" t="s">
        <v>45</v>
      </c>
      <c r="U235" t="s">
        <v>62</v>
      </c>
      <c r="V235" t="s">
        <v>812</v>
      </c>
      <c r="W235">
        <v>50050</v>
      </c>
      <c r="X235" t="s">
        <v>44</v>
      </c>
      <c r="Y235" t="s">
        <v>69</v>
      </c>
      <c r="Z235" t="s">
        <v>49</v>
      </c>
      <c r="AA235" s="10">
        <f>IF(O235&lt;=1,7,7+0.8*ROUNDUP(O235-1,0))</f>
        <v>7</v>
      </c>
      <c r="AB235" s="11">
        <v>0</v>
      </c>
      <c r="AC235" s="11">
        <v>0</v>
      </c>
      <c r="AD235" s="11">
        <v>0</v>
      </c>
      <c r="AE235" s="11">
        <v>0</v>
      </c>
      <c r="AF235" s="11">
        <f t="shared" si="6"/>
        <v>0.42</v>
      </c>
      <c r="AG235" s="11">
        <f t="shared" si="7"/>
        <v>7.42</v>
      </c>
      <c r="AH235" t="s">
        <v>50</v>
      </c>
    </row>
    <row r="236" spans="1:34" ht="15" customHeight="1" x14ac:dyDescent="0.35">
      <c r="A236">
        <v>7547676</v>
      </c>
      <c r="B236">
        <v>690929</v>
      </c>
      <c r="C236" t="s">
        <v>34</v>
      </c>
      <c r="D236" t="s">
        <v>35</v>
      </c>
      <c r="E236" s="6" t="s">
        <v>34</v>
      </c>
      <c r="F236" t="s">
        <v>813</v>
      </c>
      <c r="G236" t="s">
        <v>37</v>
      </c>
      <c r="H236" t="s">
        <v>38</v>
      </c>
      <c r="I236" t="s">
        <v>814</v>
      </c>
      <c r="J236" t="s">
        <v>40</v>
      </c>
      <c r="K236">
        <v>2</v>
      </c>
      <c r="L236" t="s">
        <v>41</v>
      </c>
      <c r="M236" t="s">
        <v>42</v>
      </c>
      <c r="N236" t="s">
        <v>43</v>
      </c>
      <c r="O236" s="7">
        <v>5</v>
      </c>
      <c r="P236" s="8">
        <v>45171.44127314815</v>
      </c>
      <c r="Q236" s="9">
        <v>45173</v>
      </c>
      <c r="R236" t="s">
        <v>37</v>
      </c>
      <c r="S236" t="s">
        <v>44</v>
      </c>
      <c r="T236" t="s">
        <v>45</v>
      </c>
      <c r="U236" t="s">
        <v>128</v>
      </c>
      <c r="V236" t="s">
        <v>815</v>
      </c>
      <c r="W236">
        <v>2400</v>
      </c>
      <c r="X236" t="s">
        <v>44</v>
      </c>
      <c r="Y236" t="s">
        <v>816</v>
      </c>
      <c r="Z236" t="s">
        <v>49</v>
      </c>
      <c r="AA236" s="10">
        <f>IF(O236&lt;=1,7,7+0.8*ROUNDUP(O236-1,0))</f>
        <v>10.199999999999999</v>
      </c>
      <c r="AB236" s="11">
        <v>0</v>
      </c>
      <c r="AC236" s="11">
        <v>0</v>
      </c>
      <c r="AD236" s="11">
        <v>0</v>
      </c>
      <c r="AE236" s="11">
        <v>0</v>
      </c>
      <c r="AF236" s="11">
        <f t="shared" si="6"/>
        <v>0.61199999999999999</v>
      </c>
      <c r="AG236" s="11">
        <f t="shared" si="7"/>
        <v>10.811999999999999</v>
      </c>
      <c r="AH236" t="s">
        <v>50</v>
      </c>
    </row>
    <row r="237" spans="1:34" ht="15" customHeight="1" x14ac:dyDescent="0.35">
      <c r="A237">
        <v>7547676</v>
      </c>
      <c r="B237">
        <v>690929</v>
      </c>
      <c r="C237" t="s">
        <v>34</v>
      </c>
      <c r="D237" t="s">
        <v>35</v>
      </c>
      <c r="E237" s="6" t="s">
        <v>34</v>
      </c>
      <c r="F237" t="s">
        <v>817</v>
      </c>
      <c r="G237" t="s">
        <v>37</v>
      </c>
      <c r="H237" t="s">
        <v>38</v>
      </c>
      <c r="I237" t="s">
        <v>814</v>
      </c>
      <c r="J237" t="s">
        <v>40</v>
      </c>
      <c r="K237">
        <v>2</v>
      </c>
      <c r="L237" t="s">
        <v>41</v>
      </c>
      <c r="M237" t="s">
        <v>42</v>
      </c>
      <c r="N237" t="s">
        <v>43</v>
      </c>
      <c r="O237" s="7">
        <v>4</v>
      </c>
      <c r="P237" s="8">
        <v>45171.44127314815</v>
      </c>
      <c r="Q237" s="9">
        <v>45173</v>
      </c>
      <c r="R237" t="s">
        <v>37</v>
      </c>
      <c r="S237" t="s">
        <v>44</v>
      </c>
      <c r="T237" t="s">
        <v>45</v>
      </c>
      <c r="U237" t="s">
        <v>128</v>
      </c>
      <c r="V237" t="s">
        <v>815</v>
      </c>
      <c r="W237">
        <v>2400</v>
      </c>
      <c r="X237" t="s">
        <v>44</v>
      </c>
      <c r="Y237" t="s">
        <v>816</v>
      </c>
      <c r="Z237" t="s">
        <v>49</v>
      </c>
      <c r="AA237" s="10">
        <f>IF(O237&lt;=1,7,7+0.8*ROUNDUP(O237-1,0))</f>
        <v>9.4</v>
      </c>
      <c r="AB237" s="11">
        <v>0</v>
      </c>
      <c r="AC237" s="11">
        <v>0</v>
      </c>
      <c r="AD237" s="11">
        <v>0</v>
      </c>
      <c r="AE237" s="11">
        <v>0</v>
      </c>
      <c r="AF237" s="11">
        <f t="shared" si="6"/>
        <v>0.56399999999999995</v>
      </c>
      <c r="AG237" s="11">
        <f t="shared" si="7"/>
        <v>9.9640000000000004</v>
      </c>
      <c r="AH237" t="s">
        <v>50</v>
      </c>
    </row>
    <row r="238" spans="1:34" ht="15" customHeight="1" x14ac:dyDescent="0.35">
      <c r="A238">
        <v>7547676</v>
      </c>
      <c r="B238">
        <v>690929</v>
      </c>
      <c r="C238" t="s">
        <v>34</v>
      </c>
      <c r="D238" t="s">
        <v>35</v>
      </c>
      <c r="E238" s="6" t="s">
        <v>34</v>
      </c>
      <c r="F238" t="s">
        <v>818</v>
      </c>
      <c r="G238" t="s">
        <v>37</v>
      </c>
      <c r="H238" t="s">
        <v>38</v>
      </c>
      <c r="I238" t="s">
        <v>819</v>
      </c>
      <c r="J238" t="s">
        <v>40</v>
      </c>
      <c r="K238">
        <v>2</v>
      </c>
      <c r="L238" t="s">
        <v>41</v>
      </c>
      <c r="M238" t="s">
        <v>42</v>
      </c>
      <c r="N238" t="s">
        <v>43</v>
      </c>
      <c r="O238" s="7">
        <v>1</v>
      </c>
      <c r="P238" s="8">
        <v>45171.46361111111</v>
      </c>
      <c r="Q238" s="9">
        <v>45173</v>
      </c>
      <c r="R238" t="s">
        <v>37</v>
      </c>
      <c r="S238" t="s">
        <v>44</v>
      </c>
      <c r="T238" t="s">
        <v>69</v>
      </c>
      <c r="U238" t="s">
        <v>46</v>
      </c>
      <c r="V238" t="s">
        <v>820</v>
      </c>
      <c r="W238">
        <v>39000</v>
      </c>
      <c r="X238" t="s">
        <v>44</v>
      </c>
      <c r="Y238" t="s">
        <v>48</v>
      </c>
      <c r="Z238" t="s">
        <v>49</v>
      </c>
      <c r="AA238" s="10">
        <f>IF(O238&lt;=1,7,7+0.8*ROUNDUP(O238-1,0))</f>
        <v>7</v>
      </c>
      <c r="AB238" s="11">
        <v>0</v>
      </c>
      <c r="AC238" s="11">
        <v>0</v>
      </c>
      <c r="AD238" s="11">
        <v>0</v>
      </c>
      <c r="AE238" s="11">
        <v>0</v>
      </c>
      <c r="AF238" s="11">
        <f t="shared" si="6"/>
        <v>0.42</v>
      </c>
      <c r="AG238" s="11">
        <f t="shared" si="7"/>
        <v>7.42</v>
      </c>
      <c r="AH238" t="s">
        <v>50</v>
      </c>
    </row>
    <row r="239" spans="1:34" ht="15" customHeight="1" x14ac:dyDescent="0.35">
      <c r="A239">
        <v>7547676</v>
      </c>
      <c r="B239">
        <v>690929</v>
      </c>
      <c r="C239" t="s">
        <v>34</v>
      </c>
      <c r="D239" t="s">
        <v>35</v>
      </c>
      <c r="E239" s="6" t="s">
        <v>34</v>
      </c>
      <c r="F239" t="s">
        <v>821</v>
      </c>
      <c r="G239" t="s">
        <v>37</v>
      </c>
      <c r="H239" t="s">
        <v>38</v>
      </c>
      <c r="I239" t="s">
        <v>822</v>
      </c>
      <c r="J239" t="s">
        <v>40</v>
      </c>
      <c r="K239">
        <v>2</v>
      </c>
      <c r="L239" t="s">
        <v>41</v>
      </c>
      <c r="M239" t="s">
        <v>42</v>
      </c>
      <c r="N239" t="s">
        <v>43</v>
      </c>
      <c r="O239" s="7">
        <v>1</v>
      </c>
      <c r="P239" s="8">
        <v>45171.735833333332</v>
      </c>
      <c r="Q239" s="9">
        <v>45173</v>
      </c>
      <c r="R239" t="s">
        <v>37</v>
      </c>
      <c r="S239" t="s">
        <v>44</v>
      </c>
      <c r="T239" t="s">
        <v>69</v>
      </c>
      <c r="U239" t="s">
        <v>115</v>
      </c>
      <c r="V239" t="s">
        <v>823</v>
      </c>
      <c r="W239">
        <v>16800</v>
      </c>
      <c r="X239" t="s">
        <v>44</v>
      </c>
      <c r="Y239" t="s">
        <v>824</v>
      </c>
      <c r="Z239" t="s">
        <v>49</v>
      </c>
      <c r="AA239" s="10">
        <f>IF(O239&lt;=1,7,7+0.8*ROUNDUP(O239-1,0))</f>
        <v>7</v>
      </c>
      <c r="AB239" s="11">
        <v>0</v>
      </c>
      <c r="AC239" s="11">
        <v>0</v>
      </c>
      <c r="AD239" s="11">
        <v>0</v>
      </c>
      <c r="AE239" s="11">
        <v>0</v>
      </c>
      <c r="AF239" s="11">
        <f t="shared" si="6"/>
        <v>0.42</v>
      </c>
      <c r="AG239" s="11">
        <f t="shared" si="7"/>
        <v>7.42</v>
      </c>
      <c r="AH239" t="s">
        <v>50</v>
      </c>
    </row>
    <row r="240" spans="1:34" ht="15" customHeight="1" x14ac:dyDescent="0.35">
      <c r="A240">
        <v>7547676</v>
      </c>
      <c r="B240">
        <v>690929</v>
      </c>
      <c r="C240" t="s">
        <v>34</v>
      </c>
      <c r="D240" t="s">
        <v>35</v>
      </c>
      <c r="E240" s="6" t="s">
        <v>34</v>
      </c>
      <c r="F240" t="s">
        <v>825</v>
      </c>
      <c r="G240" t="s">
        <v>37</v>
      </c>
      <c r="H240" t="s">
        <v>38</v>
      </c>
      <c r="I240" t="s">
        <v>826</v>
      </c>
      <c r="J240" t="s">
        <v>40</v>
      </c>
      <c r="K240">
        <v>2</v>
      </c>
      <c r="L240" t="s">
        <v>41</v>
      </c>
      <c r="M240" t="s">
        <v>42</v>
      </c>
      <c r="N240" t="s">
        <v>43</v>
      </c>
      <c r="O240" s="7">
        <v>1</v>
      </c>
      <c r="P240" s="8">
        <v>45171.572048611109</v>
      </c>
      <c r="Q240" s="9">
        <v>45173</v>
      </c>
      <c r="R240" t="s">
        <v>37</v>
      </c>
      <c r="S240" t="s">
        <v>44</v>
      </c>
      <c r="T240" t="s">
        <v>69</v>
      </c>
      <c r="U240" t="s">
        <v>133</v>
      </c>
      <c r="V240" t="s">
        <v>827</v>
      </c>
      <c r="W240">
        <v>93050</v>
      </c>
      <c r="X240" t="s">
        <v>135</v>
      </c>
      <c r="Y240" t="s">
        <v>69</v>
      </c>
      <c r="Z240" t="s">
        <v>49</v>
      </c>
      <c r="AA240" s="12">
        <f>IF(O240&lt;=1,13,IF(O240&lt;=2,23,IF(O240&lt;=3,35,IF(O240&lt;=4,43,IF(O240&lt;=5,53,IF(O240&lt;=6,63,IF(O240&lt;=7,71,IF(O240&lt;=8,79,IF(O240&lt;=9,87,IF(O240&lt;=10,95,IF(O240&lt;=11,105,IF(O240&lt;=12,114,IF(O240&lt;=13,119,IF(O240&lt;=14,127,IF(O240&lt;=15,135,IF(O240&lt;=16,143,IF(O240&lt;=17,153,IF(O240&lt;=18,163,IF(O240&lt;=19,171,IF(O240&lt;=20,185,IF(O240&lt;=21,193,IF(O240&lt;=22,201,IF(O240&lt;=23,210,IF(O240&lt;=24,220,IF(O240&lt;=25,230,IF(O240&lt;=26,240,IF(O240&lt;=27,250,IF(O240&lt;=28,260,IF(O240&lt;=29,270,IF(O240&lt;=30,280,280+10*ROUNDUP(O240-30,0)))))))))))))))))))))))))))))))</f>
        <v>13</v>
      </c>
      <c r="AB240" s="11">
        <v>0</v>
      </c>
      <c r="AC240" s="11">
        <v>0</v>
      </c>
      <c r="AD240" s="11">
        <v>0</v>
      </c>
      <c r="AE240" s="11">
        <v>0</v>
      </c>
      <c r="AF240" s="11">
        <f t="shared" si="6"/>
        <v>0.78</v>
      </c>
      <c r="AG240" s="11">
        <f t="shared" si="7"/>
        <v>13.78</v>
      </c>
      <c r="AH240" t="s">
        <v>136</v>
      </c>
    </row>
    <row r="241" spans="1:34" ht="15" customHeight="1" x14ac:dyDescent="0.35">
      <c r="A241">
        <v>7547676</v>
      </c>
      <c r="B241">
        <v>690929</v>
      </c>
      <c r="C241" t="s">
        <v>34</v>
      </c>
      <c r="D241" t="s">
        <v>35</v>
      </c>
      <c r="E241" s="6" t="s">
        <v>34</v>
      </c>
      <c r="F241" t="s">
        <v>828</v>
      </c>
      <c r="G241" t="s">
        <v>37</v>
      </c>
      <c r="H241" t="s">
        <v>38</v>
      </c>
      <c r="I241" t="s">
        <v>829</v>
      </c>
      <c r="J241" t="s">
        <v>40</v>
      </c>
      <c r="K241">
        <v>2</v>
      </c>
      <c r="L241" t="s">
        <v>41</v>
      </c>
      <c r="M241" t="s">
        <v>42</v>
      </c>
      <c r="N241" t="s">
        <v>43</v>
      </c>
      <c r="O241" s="7">
        <v>1</v>
      </c>
      <c r="P241" s="8">
        <v>45171.499722222223</v>
      </c>
      <c r="Q241" s="9">
        <v>45173</v>
      </c>
      <c r="R241" t="s">
        <v>37</v>
      </c>
      <c r="S241" t="s">
        <v>44</v>
      </c>
      <c r="T241" t="s">
        <v>69</v>
      </c>
      <c r="U241" t="s">
        <v>67</v>
      </c>
      <c r="V241" t="s">
        <v>830</v>
      </c>
      <c r="W241">
        <v>41250</v>
      </c>
      <c r="X241" t="s">
        <v>44</v>
      </c>
      <c r="Y241" t="s">
        <v>831</v>
      </c>
      <c r="Z241" t="s">
        <v>49</v>
      </c>
      <c r="AA241" s="10">
        <f>IF(O241&lt;=1,7,7+0.8*ROUNDUP(O241-1,0))</f>
        <v>7</v>
      </c>
      <c r="AB241" s="11">
        <v>0</v>
      </c>
      <c r="AC241" s="11">
        <v>0</v>
      </c>
      <c r="AD241" s="11">
        <v>0</v>
      </c>
      <c r="AE241" s="11">
        <v>0</v>
      </c>
      <c r="AF241" s="11">
        <f t="shared" si="6"/>
        <v>0.42</v>
      </c>
      <c r="AG241" s="11">
        <f t="shared" si="7"/>
        <v>7.42</v>
      </c>
      <c r="AH241" t="s">
        <v>50</v>
      </c>
    </row>
    <row r="242" spans="1:34" ht="15" customHeight="1" x14ac:dyDescent="0.35">
      <c r="A242">
        <v>7547676</v>
      </c>
      <c r="B242">
        <v>690929</v>
      </c>
      <c r="C242" t="s">
        <v>34</v>
      </c>
      <c r="D242" t="s">
        <v>35</v>
      </c>
      <c r="E242" s="6" t="s">
        <v>34</v>
      </c>
      <c r="F242" t="s">
        <v>832</v>
      </c>
      <c r="G242" t="s">
        <v>37</v>
      </c>
      <c r="H242" t="s">
        <v>38</v>
      </c>
      <c r="I242" t="s">
        <v>479</v>
      </c>
      <c r="J242" t="s">
        <v>40</v>
      </c>
      <c r="K242">
        <v>2</v>
      </c>
      <c r="L242" t="s">
        <v>41</v>
      </c>
      <c r="M242" t="s">
        <v>42</v>
      </c>
      <c r="N242" t="s">
        <v>43</v>
      </c>
      <c r="O242" s="7">
        <v>1</v>
      </c>
      <c r="P242" s="8">
        <v>45172.679583333331</v>
      </c>
      <c r="Q242" s="9">
        <v>45173</v>
      </c>
      <c r="R242" t="s">
        <v>37</v>
      </c>
      <c r="S242" t="s">
        <v>44</v>
      </c>
      <c r="T242" t="s">
        <v>45</v>
      </c>
      <c r="U242" t="s">
        <v>67</v>
      </c>
      <c r="V242" t="s">
        <v>833</v>
      </c>
      <c r="W242">
        <v>47100</v>
      </c>
      <c r="X242" t="s">
        <v>44</v>
      </c>
      <c r="Y242" t="s">
        <v>481</v>
      </c>
      <c r="Z242" t="s">
        <v>49</v>
      </c>
      <c r="AA242" s="10">
        <f>IF(O242&lt;=1,7,7+0.8*ROUNDUP(O242-1,0))</f>
        <v>7</v>
      </c>
      <c r="AB242" s="11">
        <v>0</v>
      </c>
      <c r="AC242" s="11">
        <v>0</v>
      </c>
      <c r="AD242" s="11">
        <v>0</v>
      </c>
      <c r="AE242" s="11">
        <v>0</v>
      </c>
      <c r="AF242" s="11">
        <f t="shared" si="6"/>
        <v>0.42</v>
      </c>
      <c r="AG242" s="11">
        <f t="shared" si="7"/>
        <v>7.42</v>
      </c>
      <c r="AH242" t="s">
        <v>50</v>
      </c>
    </row>
    <row r="243" spans="1:34" ht="15" customHeight="1" x14ac:dyDescent="0.35">
      <c r="A243">
        <v>7547676</v>
      </c>
      <c r="B243">
        <v>690929</v>
      </c>
      <c r="C243" t="s">
        <v>34</v>
      </c>
      <c r="D243" t="s">
        <v>35</v>
      </c>
      <c r="E243" s="6" t="s">
        <v>34</v>
      </c>
      <c r="F243" t="s">
        <v>834</v>
      </c>
      <c r="G243" t="s">
        <v>37</v>
      </c>
      <c r="H243" t="s">
        <v>38</v>
      </c>
      <c r="I243" t="s">
        <v>835</v>
      </c>
      <c r="J243" t="s">
        <v>40</v>
      </c>
      <c r="K243">
        <v>2</v>
      </c>
      <c r="L243" t="s">
        <v>41</v>
      </c>
      <c r="M243" t="s">
        <v>42</v>
      </c>
      <c r="N243" t="s">
        <v>43</v>
      </c>
      <c r="O243" s="7">
        <v>1</v>
      </c>
      <c r="P243" s="8">
        <v>45171.646990740737</v>
      </c>
      <c r="Q243" s="9">
        <v>45173</v>
      </c>
      <c r="R243" t="s">
        <v>37</v>
      </c>
      <c r="S243" t="s">
        <v>44</v>
      </c>
      <c r="T243" t="s">
        <v>69</v>
      </c>
      <c r="U243" t="s">
        <v>67</v>
      </c>
      <c r="V243" t="s">
        <v>836</v>
      </c>
      <c r="W243">
        <v>43650</v>
      </c>
      <c r="X243" t="s">
        <v>44</v>
      </c>
      <c r="Y243" t="s">
        <v>369</v>
      </c>
      <c r="Z243" t="s">
        <v>49</v>
      </c>
      <c r="AA243" s="10">
        <f>IF(O243&lt;=1,7,7+0.8*ROUNDUP(O243-1,0))</f>
        <v>7</v>
      </c>
      <c r="AB243" s="11">
        <v>0</v>
      </c>
      <c r="AC243" s="11">
        <v>0</v>
      </c>
      <c r="AD243" s="11">
        <v>3700</v>
      </c>
      <c r="AE243" s="11">
        <f>AD243*1.5%</f>
        <v>55.5</v>
      </c>
      <c r="AF243" s="11">
        <f t="shared" si="6"/>
        <v>3.75</v>
      </c>
      <c r="AG243" s="11">
        <f t="shared" si="7"/>
        <v>66.25</v>
      </c>
      <c r="AH243" t="s">
        <v>50</v>
      </c>
    </row>
    <row r="244" spans="1:34" ht="15" customHeight="1" x14ac:dyDescent="0.35">
      <c r="A244">
        <v>7547676</v>
      </c>
      <c r="B244">
        <v>690929</v>
      </c>
      <c r="C244" t="s">
        <v>34</v>
      </c>
      <c r="D244" t="s">
        <v>35</v>
      </c>
      <c r="E244" s="6" t="s">
        <v>34</v>
      </c>
      <c r="F244" t="s">
        <v>837</v>
      </c>
      <c r="G244" t="s">
        <v>37</v>
      </c>
      <c r="H244" t="s">
        <v>38</v>
      </c>
      <c r="I244" t="s">
        <v>838</v>
      </c>
      <c r="J244" t="s">
        <v>40</v>
      </c>
      <c r="K244">
        <v>2</v>
      </c>
      <c r="L244" t="s">
        <v>41</v>
      </c>
      <c r="M244" t="s">
        <v>42</v>
      </c>
      <c r="N244" t="s">
        <v>43</v>
      </c>
      <c r="O244" s="7">
        <v>1</v>
      </c>
      <c r="P244" s="8">
        <v>45172.702384259261</v>
      </c>
      <c r="Q244" s="9">
        <v>45173</v>
      </c>
      <c r="R244" t="s">
        <v>37</v>
      </c>
      <c r="S244" t="s">
        <v>44</v>
      </c>
      <c r="T244" t="s">
        <v>45</v>
      </c>
      <c r="U244" t="s">
        <v>46</v>
      </c>
      <c r="V244" t="s">
        <v>839</v>
      </c>
      <c r="W244">
        <v>27200</v>
      </c>
      <c r="X244" t="s">
        <v>44</v>
      </c>
      <c r="Y244" t="s">
        <v>45</v>
      </c>
      <c r="Z244" t="s">
        <v>49</v>
      </c>
      <c r="AA244" s="10">
        <f>IF(O244&lt;=1,7,7+0.8*ROUNDUP(O244-1,0))</f>
        <v>7</v>
      </c>
      <c r="AB244" s="11">
        <v>0</v>
      </c>
      <c r="AC244" s="11">
        <v>0</v>
      </c>
      <c r="AD244" s="11">
        <v>0</v>
      </c>
      <c r="AE244" s="11">
        <v>0</v>
      </c>
      <c r="AF244" s="11">
        <f t="shared" si="6"/>
        <v>0.42</v>
      </c>
      <c r="AG244" s="11">
        <f t="shared" si="7"/>
        <v>7.42</v>
      </c>
      <c r="AH244" t="s">
        <v>50</v>
      </c>
    </row>
    <row r="245" spans="1:34" ht="15" customHeight="1" x14ac:dyDescent="0.35">
      <c r="A245">
        <v>7547676</v>
      </c>
      <c r="B245">
        <v>690929</v>
      </c>
      <c r="C245" t="s">
        <v>34</v>
      </c>
      <c r="D245" t="s">
        <v>35</v>
      </c>
      <c r="E245" s="6" t="s">
        <v>34</v>
      </c>
      <c r="F245" t="s">
        <v>840</v>
      </c>
      <c r="G245" t="s">
        <v>37</v>
      </c>
      <c r="H245" t="s">
        <v>38</v>
      </c>
      <c r="I245" t="s">
        <v>841</v>
      </c>
      <c r="J245" t="s">
        <v>40</v>
      </c>
      <c r="K245">
        <v>2</v>
      </c>
      <c r="L245" t="s">
        <v>41</v>
      </c>
      <c r="M245" t="s">
        <v>42</v>
      </c>
      <c r="N245" t="s">
        <v>43</v>
      </c>
      <c r="O245" s="7">
        <v>1</v>
      </c>
      <c r="P245" s="8">
        <v>45172.698298611111</v>
      </c>
      <c r="Q245" s="9">
        <v>45173</v>
      </c>
      <c r="R245" t="s">
        <v>37</v>
      </c>
      <c r="S245" t="s">
        <v>44</v>
      </c>
      <c r="T245" t="s">
        <v>45</v>
      </c>
      <c r="U245" t="s">
        <v>67</v>
      </c>
      <c r="V245" t="s">
        <v>842</v>
      </c>
      <c r="W245">
        <v>41100</v>
      </c>
      <c r="X245" t="s">
        <v>44</v>
      </c>
      <c r="Y245" t="s">
        <v>831</v>
      </c>
      <c r="Z245" t="s">
        <v>49</v>
      </c>
      <c r="AA245" s="10">
        <f>IF(O245&lt;=1,7,7+0.8*ROUNDUP(O245-1,0))</f>
        <v>7</v>
      </c>
      <c r="AB245" s="11">
        <v>0</v>
      </c>
      <c r="AC245" s="11">
        <v>0</v>
      </c>
      <c r="AD245" s="11">
        <v>0</v>
      </c>
      <c r="AE245" s="11">
        <v>0</v>
      </c>
      <c r="AF245" s="11">
        <f t="shared" si="6"/>
        <v>0.42</v>
      </c>
      <c r="AG245" s="11">
        <f t="shared" si="7"/>
        <v>7.42</v>
      </c>
      <c r="AH245" t="s">
        <v>50</v>
      </c>
    </row>
    <row r="246" spans="1:34" ht="15" customHeight="1" x14ac:dyDescent="0.35">
      <c r="A246">
        <v>7547676</v>
      </c>
      <c r="B246">
        <v>690929</v>
      </c>
      <c r="C246" t="s">
        <v>34</v>
      </c>
      <c r="D246" t="s">
        <v>35</v>
      </c>
      <c r="E246" s="6" t="s">
        <v>34</v>
      </c>
      <c r="F246" t="s">
        <v>843</v>
      </c>
      <c r="G246" t="s">
        <v>37</v>
      </c>
      <c r="H246" t="s">
        <v>38</v>
      </c>
      <c r="I246" t="s">
        <v>844</v>
      </c>
      <c r="J246" t="s">
        <v>40</v>
      </c>
      <c r="K246">
        <v>2</v>
      </c>
      <c r="L246" t="s">
        <v>41</v>
      </c>
      <c r="M246" t="s">
        <v>42</v>
      </c>
      <c r="N246" t="s">
        <v>43</v>
      </c>
      <c r="O246" s="7">
        <v>13</v>
      </c>
      <c r="P246" s="8">
        <v>45171.778113425928</v>
      </c>
      <c r="Q246" s="9">
        <v>45173</v>
      </c>
      <c r="R246" t="s">
        <v>37</v>
      </c>
      <c r="S246" t="s">
        <v>44</v>
      </c>
      <c r="T246" t="s">
        <v>45</v>
      </c>
      <c r="U246" t="s">
        <v>67</v>
      </c>
      <c r="V246" t="s">
        <v>845</v>
      </c>
      <c r="W246">
        <v>42000</v>
      </c>
      <c r="X246" t="s">
        <v>44</v>
      </c>
      <c r="Y246" t="s">
        <v>69</v>
      </c>
      <c r="Z246" t="s">
        <v>49</v>
      </c>
      <c r="AA246" s="10">
        <f>IF(O246&lt;=1,7,7+0.8*ROUNDUP(O246-1,0))</f>
        <v>16.600000000000001</v>
      </c>
      <c r="AB246" s="11">
        <v>0</v>
      </c>
      <c r="AC246" s="11">
        <v>0</v>
      </c>
      <c r="AD246" s="11">
        <v>0</v>
      </c>
      <c r="AE246" s="11">
        <v>0</v>
      </c>
      <c r="AF246" s="11">
        <f t="shared" si="6"/>
        <v>0.996</v>
      </c>
      <c r="AG246" s="11">
        <f t="shared" si="7"/>
        <v>17.596</v>
      </c>
      <c r="AH246" t="s">
        <v>50</v>
      </c>
    </row>
    <row r="247" spans="1:34" ht="15" customHeight="1" x14ac:dyDescent="0.35">
      <c r="A247">
        <v>7547676</v>
      </c>
      <c r="B247">
        <v>690929</v>
      </c>
      <c r="C247" t="s">
        <v>34</v>
      </c>
      <c r="D247" t="s">
        <v>35</v>
      </c>
      <c r="E247" s="6" t="s">
        <v>34</v>
      </c>
      <c r="F247" t="s">
        <v>846</v>
      </c>
      <c r="G247" t="s">
        <v>37</v>
      </c>
      <c r="H247" t="s">
        <v>38</v>
      </c>
      <c r="I247" t="s">
        <v>844</v>
      </c>
      <c r="J247" t="s">
        <v>40</v>
      </c>
      <c r="K247">
        <v>2</v>
      </c>
      <c r="L247" t="s">
        <v>41</v>
      </c>
      <c r="M247" t="s">
        <v>42</v>
      </c>
      <c r="N247" t="s">
        <v>43</v>
      </c>
      <c r="O247" s="7">
        <v>9</v>
      </c>
      <c r="P247" s="8">
        <v>45171.782164351855</v>
      </c>
      <c r="Q247" s="9">
        <v>45173</v>
      </c>
      <c r="R247" t="s">
        <v>37</v>
      </c>
      <c r="S247" t="s">
        <v>44</v>
      </c>
      <c r="T247" t="s">
        <v>45</v>
      </c>
      <c r="U247" t="s">
        <v>67</v>
      </c>
      <c r="V247" t="s">
        <v>845</v>
      </c>
      <c r="W247">
        <v>42000</v>
      </c>
      <c r="X247" t="s">
        <v>44</v>
      </c>
      <c r="Y247" t="s">
        <v>69</v>
      </c>
      <c r="Z247" t="s">
        <v>49</v>
      </c>
      <c r="AA247" s="10">
        <f>IF(O247&lt;=1,7,7+0.8*ROUNDUP(O247-1,0))</f>
        <v>13.4</v>
      </c>
      <c r="AB247" s="11">
        <v>0</v>
      </c>
      <c r="AC247" s="11">
        <v>0</v>
      </c>
      <c r="AD247" s="11">
        <v>0</v>
      </c>
      <c r="AE247" s="11">
        <v>0</v>
      </c>
      <c r="AF247" s="11">
        <f t="shared" si="6"/>
        <v>0.80399999999999994</v>
      </c>
      <c r="AG247" s="11">
        <f t="shared" si="7"/>
        <v>14.204000000000001</v>
      </c>
      <c r="AH247" t="s">
        <v>50</v>
      </c>
    </row>
    <row r="248" spans="1:34" ht="15" customHeight="1" x14ac:dyDescent="0.35">
      <c r="A248">
        <v>7547676</v>
      </c>
      <c r="B248">
        <v>690929</v>
      </c>
      <c r="C248" t="s">
        <v>34</v>
      </c>
      <c r="D248" t="s">
        <v>35</v>
      </c>
      <c r="E248" s="6" t="s">
        <v>34</v>
      </c>
      <c r="F248" t="s">
        <v>847</v>
      </c>
      <c r="G248" t="s">
        <v>37</v>
      </c>
      <c r="H248" t="s">
        <v>38</v>
      </c>
      <c r="I248" t="s">
        <v>848</v>
      </c>
      <c r="J248" t="s">
        <v>40</v>
      </c>
      <c r="K248">
        <v>2</v>
      </c>
      <c r="L248" t="s">
        <v>41</v>
      </c>
      <c r="M248" t="s">
        <v>42</v>
      </c>
      <c r="N248" t="s">
        <v>43</v>
      </c>
      <c r="O248" s="7">
        <v>1</v>
      </c>
      <c r="P248" s="8">
        <v>45172.720509259256</v>
      </c>
      <c r="Q248" s="9">
        <v>45173</v>
      </c>
      <c r="R248" t="s">
        <v>37</v>
      </c>
      <c r="S248" t="s">
        <v>44</v>
      </c>
      <c r="T248" t="s">
        <v>45</v>
      </c>
      <c r="U248" t="s">
        <v>67</v>
      </c>
      <c r="V248" t="s">
        <v>849</v>
      </c>
      <c r="W248">
        <v>47830</v>
      </c>
      <c r="X248" t="s">
        <v>44</v>
      </c>
      <c r="Y248" t="s">
        <v>850</v>
      </c>
      <c r="Z248" t="s">
        <v>49</v>
      </c>
      <c r="AA248" s="10">
        <f>IF(O248&lt;=1,7,7+0.8*ROUNDUP(O248-1,0))</f>
        <v>7</v>
      </c>
      <c r="AB248" s="11">
        <v>0</v>
      </c>
      <c r="AC248" s="11">
        <v>0</v>
      </c>
      <c r="AD248" s="11">
        <v>0</v>
      </c>
      <c r="AE248" s="11">
        <v>0</v>
      </c>
      <c r="AF248" s="11">
        <f t="shared" si="6"/>
        <v>0.42</v>
      </c>
      <c r="AG248" s="11">
        <f t="shared" si="7"/>
        <v>7.42</v>
      </c>
      <c r="AH248" t="s">
        <v>50</v>
      </c>
    </row>
    <row r="249" spans="1:34" ht="15" customHeight="1" x14ac:dyDescent="0.35">
      <c r="A249">
        <v>7547676</v>
      </c>
      <c r="B249">
        <v>690929</v>
      </c>
      <c r="C249" t="s">
        <v>34</v>
      </c>
      <c r="D249" t="s">
        <v>35</v>
      </c>
      <c r="E249" s="6" t="s">
        <v>34</v>
      </c>
      <c r="F249" t="s">
        <v>851</v>
      </c>
      <c r="G249" t="s">
        <v>37</v>
      </c>
      <c r="H249" t="s">
        <v>38</v>
      </c>
      <c r="I249" t="s">
        <v>852</v>
      </c>
      <c r="J249" t="s">
        <v>40</v>
      </c>
      <c r="K249">
        <v>2</v>
      </c>
      <c r="L249" t="s">
        <v>41</v>
      </c>
      <c r="M249" t="s">
        <v>42</v>
      </c>
      <c r="N249" t="s">
        <v>43</v>
      </c>
      <c r="O249" s="7">
        <v>1</v>
      </c>
      <c r="P249" s="8">
        <v>45172.654236111113</v>
      </c>
      <c r="Q249" s="9">
        <v>45173</v>
      </c>
      <c r="R249" t="s">
        <v>37</v>
      </c>
      <c r="S249" t="s">
        <v>44</v>
      </c>
      <c r="T249" t="s">
        <v>45</v>
      </c>
      <c r="U249" t="s">
        <v>67</v>
      </c>
      <c r="V249" t="s">
        <v>853</v>
      </c>
      <c r="W249">
        <v>68000</v>
      </c>
      <c r="X249" t="s">
        <v>44</v>
      </c>
      <c r="Y249" t="s">
        <v>84</v>
      </c>
      <c r="Z249" t="s">
        <v>49</v>
      </c>
      <c r="AA249" s="10">
        <f>IF(O249&lt;=1,7,7+0.8*ROUNDUP(O249-1,0))</f>
        <v>7</v>
      </c>
      <c r="AB249" s="11">
        <v>0</v>
      </c>
      <c r="AC249" s="11">
        <v>0</v>
      </c>
      <c r="AD249" s="11">
        <v>0</v>
      </c>
      <c r="AE249" s="11">
        <v>0</v>
      </c>
      <c r="AF249" s="11">
        <f t="shared" si="6"/>
        <v>0.42</v>
      </c>
      <c r="AG249" s="11">
        <f t="shared" si="7"/>
        <v>7.42</v>
      </c>
      <c r="AH249" t="s">
        <v>50</v>
      </c>
    </row>
    <row r="250" spans="1:34" ht="15" customHeight="1" x14ac:dyDescent="0.35">
      <c r="A250">
        <v>7547676</v>
      </c>
      <c r="B250">
        <v>690929</v>
      </c>
      <c r="C250" t="s">
        <v>34</v>
      </c>
      <c r="D250" t="s">
        <v>35</v>
      </c>
      <c r="E250" s="6" t="s">
        <v>34</v>
      </c>
      <c r="F250" t="s">
        <v>854</v>
      </c>
      <c r="G250" t="s">
        <v>37</v>
      </c>
      <c r="H250" t="s">
        <v>38</v>
      </c>
      <c r="I250" t="s">
        <v>855</v>
      </c>
      <c r="J250" t="s">
        <v>40</v>
      </c>
      <c r="K250">
        <v>2</v>
      </c>
      <c r="L250" t="s">
        <v>41</v>
      </c>
      <c r="M250" t="s">
        <v>42</v>
      </c>
      <c r="N250" t="s">
        <v>43</v>
      </c>
      <c r="O250" s="7">
        <v>1</v>
      </c>
      <c r="P250" s="8">
        <v>45171.463206018518</v>
      </c>
      <c r="Q250" s="9">
        <v>45173</v>
      </c>
      <c r="R250" t="s">
        <v>37</v>
      </c>
      <c r="S250" t="s">
        <v>44</v>
      </c>
      <c r="T250" t="s">
        <v>69</v>
      </c>
      <c r="U250" t="s">
        <v>67</v>
      </c>
      <c r="V250" t="s">
        <v>856</v>
      </c>
      <c r="W250">
        <v>41200</v>
      </c>
      <c r="X250" t="s">
        <v>44</v>
      </c>
      <c r="Y250" t="s">
        <v>857</v>
      </c>
      <c r="Z250" t="s">
        <v>49</v>
      </c>
      <c r="AA250" s="10">
        <f>IF(O250&lt;=1,7,7+0.8*ROUNDUP(O250-1,0))</f>
        <v>7</v>
      </c>
      <c r="AB250" s="11">
        <v>0</v>
      </c>
      <c r="AC250" s="11">
        <v>0</v>
      </c>
      <c r="AD250" s="11">
        <v>0</v>
      </c>
      <c r="AE250" s="11">
        <v>0</v>
      </c>
      <c r="AF250" s="11">
        <f t="shared" si="6"/>
        <v>0.42</v>
      </c>
      <c r="AG250" s="11">
        <f t="shared" si="7"/>
        <v>7.42</v>
      </c>
      <c r="AH250" t="s">
        <v>50</v>
      </c>
    </row>
    <row r="251" spans="1:34" ht="15" customHeight="1" x14ac:dyDescent="0.35">
      <c r="A251">
        <v>7547676</v>
      </c>
      <c r="B251">
        <v>690929</v>
      </c>
      <c r="C251" t="s">
        <v>34</v>
      </c>
      <c r="D251" t="s">
        <v>35</v>
      </c>
      <c r="E251" s="6" t="s">
        <v>34</v>
      </c>
      <c r="F251" t="s">
        <v>858</v>
      </c>
      <c r="G251" t="s">
        <v>37</v>
      </c>
      <c r="H251" t="s">
        <v>38</v>
      </c>
      <c r="I251" t="s">
        <v>859</v>
      </c>
      <c r="J251" t="s">
        <v>40</v>
      </c>
      <c r="K251">
        <v>2</v>
      </c>
      <c r="L251" t="s">
        <v>41</v>
      </c>
      <c r="M251" t="s">
        <v>42</v>
      </c>
      <c r="N251" t="s">
        <v>43</v>
      </c>
      <c r="O251" s="7">
        <v>1</v>
      </c>
      <c r="P251" s="8">
        <v>45172.720509259256</v>
      </c>
      <c r="Q251" s="9">
        <v>45173</v>
      </c>
      <c r="R251" t="s">
        <v>37</v>
      </c>
      <c r="S251" t="s">
        <v>44</v>
      </c>
      <c r="T251" t="s">
        <v>45</v>
      </c>
      <c r="U251" t="s">
        <v>67</v>
      </c>
      <c r="V251" t="s">
        <v>860</v>
      </c>
      <c r="W251">
        <v>40150</v>
      </c>
      <c r="X251" t="s">
        <v>44</v>
      </c>
      <c r="Y251" t="s">
        <v>69</v>
      </c>
      <c r="Z251" t="s">
        <v>49</v>
      </c>
      <c r="AA251" s="10">
        <f>IF(O251&lt;=1,7,7+0.8*ROUNDUP(O251-1,0))</f>
        <v>7</v>
      </c>
      <c r="AB251" s="11">
        <v>0</v>
      </c>
      <c r="AC251" s="11">
        <v>0</v>
      </c>
      <c r="AD251" s="11">
        <v>0</v>
      </c>
      <c r="AE251" s="11">
        <v>0</v>
      </c>
      <c r="AF251" s="11">
        <f t="shared" si="6"/>
        <v>0.42</v>
      </c>
      <c r="AG251" s="11">
        <f t="shared" si="7"/>
        <v>7.42</v>
      </c>
      <c r="AH251" t="s">
        <v>50</v>
      </c>
    </row>
    <row r="252" spans="1:34" ht="15" customHeight="1" x14ac:dyDescent="0.35">
      <c r="A252">
        <v>7547676</v>
      </c>
      <c r="B252">
        <v>690929</v>
      </c>
      <c r="C252" t="s">
        <v>34</v>
      </c>
      <c r="D252" t="s">
        <v>35</v>
      </c>
      <c r="E252" s="6" t="s">
        <v>34</v>
      </c>
      <c r="F252" t="s">
        <v>861</v>
      </c>
      <c r="G252" t="s">
        <v>37</v>
      </c>
      <c r="H252" t="s">
        <v>38</v>
      </c>
      <c r="I252" t="s">
        <v>862</v>
      </c>
      <c r="J252" t="s">
        <v>40</v>
      </c>
      <c r="K252">
        <v>2</v>
      </c>
      <c r="L252" t="s">
        <v>41</v>
      </c>
      <c r="M252" t="s">
        <v>42</v>
      </c>
      <c r="N252" t="s">
        <v>43</v>
      </c>
      <c r="O252" s="7">
        <v>1</v>
      </c>
      <c r="P252" s="8">
        <v>45171.58</v>
      </c>
      <c r="Q252" s="9">
        <v>45173</v>
      </c>
      <c r="R252" t="s">
        <v>37</v>
      </c>
      <c r="S252" t="s">
        <v>44</v>
      </c>
      <c r="T252" t="s">
        <v>69</v>
      </c>
      <c r="U252" t="s">
        <v>106</v>
      </c>
      <c r="V252" t="s">
        <v>863</v>
      </c>
      <c r="W252">
        <v>13700</v>
      </c>
      <c r="X252" t="s">
        <v>44</v>
      </c>
      <c r="Y252" t="s">
        <v>864</v>
      </c>
      <c r="Z252" t="s">
        <v>49</v>
      </c>
      <c r="AA252" s="10">
        <f>IF(O252&lt;=1,7,7+0.8*ROUNDUP(O252-1,0))</f>
        <v>7</v>
      </c>
      <c r="AB252" s="11">
        <v>0</v>
      </c>
      <c r="AC252" s="11">
        <v>0</v>
      </c>
      <c r="AD252" s="11">
        <v>0</v>
      </c>
      <c r="AE252" s="11">
        <v>0</v>
      </c>
      <c r="AF252" s="11">
        <f t="shared" si="6"/>
        <v>0.42</v>
      </c>
      <c r="AG252" s="11">
        <f t="shared" si="7"/>
        <v>7.42</v>
      </c>
      <c r="AH252" t="s">
        <v>50</v>
      </c>
    </row>
    <row r="253" spans="1:34" ht="15" customHeight="1" x14ac:dyDescent="0.35">
      <c r="A253">
        <v>7547676</v>
      </c>
      <c r="B253">
        <v>690929</v>
      </c>
      <c r="C253" t="s">
        <v>34</v>
      </c>
      <c r="D253" t="s">
        <v>35</v>
      </c>
      <c r="E253" s="6" t="s">
        <v>34</v>
      </c>
      <c r="F253" t="s">
        <v>865</v>
      </c>
      <c r="G253" t="s">
        <v>37</v>
      </c>
      <c r="H253" t="s">
        <v>38</v>
      </c>
      <c r="I253" t="s">
        <v>866</v>
      </c>
      <c r="J253" t="s">
        <v>40</v>
      </c>
      <c r="K253">
        <v>2</v>
      </c>
      <c r="L253" t="s">
        <v>41</v>
      </c>
      <c r="M253" t="s">
        <v>42</v>
      </c>
      <c r="N253" t="s">
        <v>43</v>
      </c>
      <c r="O253" s="7">
        <v>1</v>
      </c>
      <c r="P253" s="8">
        <v>45172.704282407409</v>
      </c>
      <c r="Q253" s="9">
        <v>45173</v>
      </c>
      <c r="R253" t="s">
        <v>37</v>
      </c>
      <c r="S253" t="s">
        <v>44</v>
      </c>
      <c r="T253" t="s">
        <v>45</v>
      </c>
      <c r="U253" t="s">
        <v>62</v>
      </c>
      <c r="V253" t="s">
        <v>867</v>
      </c>
      <c r="W253">
        <v>47400</v>
      </c>
      <c r="X253" t="s">
        <v>44</v>
      </c>
      <c r="Y253" t="s">
        <v>69</v>
      </c>
      <c r="Z253" t="s">
        <v>49</v>
      </c>
      <c r="AA253" s="10">
        <f>IF(O253&lt;=1,7,7+0.8*ROUNDUP(O253-1,0))</f>
        <v>7</v>
      </c>
      <c r="AB253" s="11">
        <v>0</v>
      </c>
      <c r="AC253" s="11">
        <v>0</v>
      </c>
      <c r="AD253" s="11">
        <v>0</v>
      </c>
      <c r="AE253" s="11">
        <v>0</v>
      </c>
      <c r="AF253" s="11">
        <f t="shared" si="6"/>
        <v>0.42</v>
      </c>
      <c r="AG253" s="11">
        <f t="shared" si="7"/>
        <v>7.42</v>
      </c>
      <c r="AH253" t="s">
        <v>50</v>
      </c>
    </row>
    <row r="254" spans="1:34" ht="15" customHeight="1" x14ac:dyDescent="0.35">
      <c r="A254">
        <v>7547676</v>
      </c>
      <c r="B254">
        <v>690929</v>
      </c>
      <c r="C254" t="s">
        <v>34</v>
      </c>
      <c r="D254" t="s">
        <v>35</v>
      </c>
      <c r="E254" s="6" t="s">
        <v>34</v>
      </c>
      <c r="F254" t="s">
        <v>868</v>
      </c>
      <c r="G254" t="s">
        <v>37</v>
      </c>
      <c r="H254" t="s">
        <v>38</v>
      </c>
      <c r="I254" t="s">
        <v>869</v>
      </c>
      <c r="J254" t="s">
        <v>40</v>
      </c>
      <c r="K254">
        <v>2</v>
      </c>
      <c r="L254" t="s">
        <v>41</v>
      </c>
      <c r="M254" t="s">
        <v>42</v>
      </c>
      <c r="N254" t="s">
        <v>43</v>
      </c>
      <c r="O254" s="7">
        <v>1</v>
      </c>
      <c r="P254" s="8">
        <v>45172.710821759261</v>
      </c>
      <c r="Q254" s="9">
        <v>45174</v>
      </c>
      <c r="R254" t="s">
        <v>37</v>
      </c>
      <c r="S254" t="s">
        <v>44</v>
      </c>
      <c r="T254" t="s">
        <v>45</v>
      </c>
      <c r="U254" t="s">
        <v>106</v>
      </c>
      <c r="V254" t="s">
        <v>870</v>
      </c>
      <c r="W254">
        <v>14100</v>
      </c>
      <c r="X254" t="s">
        <v>44</v>
      </c>
      <c r="Y254" t="s">
        <v>745</v>
      </c>
      <c r="Z254" t="s">
        <v>49</v>
      </c>
      <c r="AA254" s="10">
        <f>IF(O254&lt;=1,7,7+0.8*ROUNDUP(O254-1,0))</f>
        <v>7</v>
      </c>
      <c r="AB254" s="11">
        <v>0</v>
      </c>
      <c r="AC254" s="11">
        <v>0</v>
      </c>
      <c r="AD254" s="11">
        <v>0</v>
      </c>
      <c r="AE254" s="11">
        <v>0</v>
      </c>
      <c r="AF254" s="11">
        <f t="shared" si="6"/>
        <v>0.42</v>
      </c>
      <c r="AG254" s="11">
        <f t="shared" si="7"/>
        <v>7.42</v>
      </c>
      <c r="AH254" t="s">
        <v>50</v>
      </c>
    </row>
    <row r="255" spans="1:34" ht="15" customHeight="1" x14ac:dyDescent="0.35">
      <c r="A255">
        <v>7547676</v>
      </c>
      <c r="B255">
        <v>690929</v>
      </c>
      <c r="C255" t="s">
        <v>34</v>
      </c>
      <c r="D255" t="s">
        <v>35</v>
      </c>
      <c r="E255" s="6" t="s">
        <v>34</v>
      </c>
      <c r="F255" t="s">
        <v>871</v>
      </c>
      <c r="G255" t="s">
        <v>37</v>
      </c>
      <c r="H255" t="s">
        <v>38</v>
      </c>
      <c r="I255" t="s">
        <v>872</v>
      </c>
      <c r="J255" t="s">
        <v>40</v>
      </c>
      <c r="K255">
        <v>2</v>
      </c>
      <c r="L255" t="s">
        <v>41</v>
      </c>
      <c r="M255" t="s">
        <v>42</v>
      </c>
      <c r="N255" t="s">
        <v>43</v>
      </c>
      <c r="O255" s="7">
        <v>1</v>
      </c>
      <c r="P255" s="8">
        <v>45172.679594907408</v>
      </c>
      <c r="Q255" s="9">
        <v>45174</v>
      </c>
      <c r="R255" t="s">
        <v>37</v>
      </c>
      <c r="S255" t="s">
        <v>44</v>
      </c>
      <c r="T255" t="s">
        <v>45</v>
      </c>
      <c r="U255" t="s">
        <v>106</v>
      </c>
      <c r="V255" t="s">
        <v>873</v>
      </c>
      <c r="W255">
        <v>13400</v>
      </c>
      <c r="X255" t="s">
        <v>44</v>
      </c>
      <c r="Y255" t="s">
        <v>69</v>
      </c>
      <c r="Z255" t="s">
        <v>49</v>
      </c>
      <c r="AA255" s="10">
        <f>IF(O255&lt;=1,7,7+0.8*ROUNDUP(O255-1,0))</f>
        <v>7</v>
      </c>
      <c r="AB255" s="11">
        <v>0</v>
      </c>
      <c r="AC255" s="11">
        <v>0</v>
      </c>
      <c r="AD255" s="11">
        <v>0</v>
      </c>
      <c r="AE255" s="11">
        <v>0</v>
      </c>
      <c r="AF255" s="11">
        <f t="shared" si="6"/>
        <v>0.42</v>
      </c>
      <c r="AG255" s="11">
        <f t="shared" si="7"/>
        <v>7.42</v>
      </c>
      <c r="AH255" t="s">
        <v>50</v>
      </c>
    </row>
    <row r="256" spans="1:34" ht="15" customHeight="1" x14ac:dyDescent="0.35">
      <c r="A256">
        <v>7547676</v>
      </c>
      <c r="B256">
        <v>690929</v>
      </c>
      <c r="C256" t="s">
        <v>34</v>
      </c>
      <c r="D256" t="s">
        <v>35</v>
      </c>
      <c r="E256" s="6" t="s">
        <v>34</v>
      </c>
      <c r="F256" t="s">
        <v>874</v>
      </c>
      <c r="G256" t="s">
        <v>37</v>
      </c>
      <c r="H256" t="s">
        <v>38</v>
      </c>
      <c r="I256" t="s">
        <v>875</v>
      </c>
      <c r="J256" t="s">
        <v>40</v>
      </c>
      <c r="K256">
        <v>2</v>
      </c>
      <c r="L256" t="s">
        <v>41</v>
      </c>
      <c r="M256" t="s">
        <v>42</v>
      </c>
      <c r="N256" t="s">
        <v>43</v>
      </c>
      <c r="O256" s="7">
        <v>1</v>
      </c>
      <c r="P256" s="8">
        <v>45172.674409722225</v>
      </c>
      <c r="Q256" s="9">
        <v>45174</v>
      </c>
      <c r="R256" t="s">
        <v>37</v>
      </c>
      <c r="S256" t="s">
        <v>44</v>
      </c>
      <c r="T256" t="s">
        <v>45</v>
      </c>
      <c r="U256" t="s">
        <v>53</v>
      </c>
      <c r="V256" t="s">
        <v>876</v>
      </c>
      <c r="W256">
        <v>70400</v>
      </c>
      <c r="X256" t="s">
        <v>44</v>
      </c>
      <c r="Y256" t="s">
        <v>214</v>
      </c>
      <c r="Z256" t="s">
        <v>49</v>
      </c>
      <c r="AA256" s="10">
        <f>IF(O256&lt;=1,7,7+0.8*ROUNDUP(O256-1,0))</f>
        <v>7</v>
      </c>
      <c r="AB256" s="11">
        <v>0</v>
      </c>
      <c r="AC256" s="11">
        <v>0</v>
      </c>
      <c r="AD256" s="11">
        <v>0</v>
      </c>
      <c r="AE256" s="11">
        <v>0</v>
      </c>
      <c r="AF256" s="11">
        <f t="shared" si="6"/>
        <v>0.42</v>
      </c>
      <c r="AG256" s="11">
        <f t="shared" si="7"/>
        <v>7.42</v>
      </c>
      <c r="AH256" t="s">
        <v>50</v>
      </c>
    </row>
    <row r="257" spans="1:34" ht="15" customHeight="1" x14ac:dyDescent="0.35">
      <c r="A257">
        <v>7547676</v>
      </c>
      <c r="B257">
        <v>690929</v>
      </c>
      <c r="C257" t="s">
        <v>34</v>
      </c>
      <c r="D257" t="s">
        <v>35</v>
      </c>
      <c r="E257" s="6" t="s">
        <v>34</v>
      </c>
      <c r="F257" t="s">
        <v>877</v>
      </c>
      <c r="G257" t="s">
        <v>37</v>
      </c>
      <c r="H257" t="s">
        <v>721</v>
      </c>
      <c r="I257" t="s">
        <v>878</v>
      </c>
      <c r="J257" t="s">
        <v>40</v>
      </c>
      <c r="K257">
        <v>2</v>
      </c>
      <c r="L257" t="s">
        <v>41</v>
      </c>
      <c r="M257" t="s">
        <v>42</v>
      </c>
      <c r="N257" t="s">
        <v>43</v>
      </c>
      <c r="O257" s="7">
        <v>1</v>
      </c>
      <c r="P257" s="8">
        <v>45167.485497685186</v>
      </c>
      <c r="Q257" s="9">
        <v>45174</v>
      </c>
      <c r="R257" t="s">
        <v>37</v>
      </c>
      <c r="S257" t="s">
        <v>44</v>
      </c>
      <c r="T257" t="s">
        <v>45</v>
      </c>
      <c r="U257" t="s">
        <v>67</v>
      </c>
      <c r="V257" t="s">
        <v>879</v>
      </c>
      <c r="W257">
        <v>62520</v>
      </c>
      <c r="X257" t="s">
        <v>44</v>
      </c>
      <c r="Y257" t="s">
        <v>69</v>
      </c>
      <c r="Z257" t="s">
        <v>49</v>
      </c>
      <c r="AA257" s="10">
        <f>IF(O257&lt;=1,7,7+0.8*ROUNDUP(O257-1,0))</f>
        <v>7</v>
      </c>
      <c r="AB257" s="11">
        <v>0</v>
      </c>
      <c r="AC257" s="11">
        <v>0</v>
      </c>
      <c r="AD257" s="11">
        <v>0</v>
      </c>
      <c r="AE257" s="11">
        <v>0</v>
      </c>
      <c r="AF257" s="11">
        <f t="shared" si="6"/>
        <v>0.42</v>
      </c>
      <c r="AG257" s="11">
        <f t="shared" si="7"/>
        <v>7.42</v>
      </c>
      <c r="AH257" t="s">
        <v>50</v>
      </c>
    </row>
    <row r="258" spans="1:34" ht="15" customHeight="1" x14ac:dyDescent="0.35">
      <c r="A258">
        <v>7547676</v>
      </c>
      <c r="B258">
        <v>690929</v>
      </c>
      <c r="C258" t="s">
        <v>34</v>
      </c>
      <c r="D258" t="s">
        <v>35</v>
      </c>
      <c r="E258" s="6" t="s">
        <v>34</v>
      </c>
      <c r="F258" t="s">
        <v>880</v>
      </c>
      <c r="G258" t="s">
        <v>37</v>
      </c>
      <c r="H258" t="s">
        <v>38</v>
      </c>
      <c r="I258" t="s">
        <v>881</v>
      </c>
      <c r="J258" t="s">
        <v>40</v>
      </c>
      <c r="K258">
        <v>2</v>
      </c>
      <c r="L258" t="s">
        <v>41</v>
      </c>
      <c r="M258" t="s">
        <v>42</v>
      </c>
      <c r="N258" t="s">
        <v>43</v>
      </c>
      <c r="O258" s="7">
        <v>1</v>
      </c>
      <c r="P258" s="8">
        <v>45173.605856481481</v>
      </c>
      <c r="Q258" s="9">
        <v>45174</v>
      </c>
      <c r="R258" t="s">
        <v>37</v>
      </c>
      <c r="S258" t="s">
        <v>44</v>
      </c>
      <c r="T258" t="s">
        <v>45</v>
      </c>
      <c r="U258" t="s">
        <v>284</v>
      </c>
      <c r="V258" t="s">
        <v>882</v>
      </c>
      <c r="W258">
        <v>20400</v>
      </c>
      <c r="X258" t="s">
        <v>44</v>
      </c>
      <c r="Y258" t="s">
        <v>45</v>
      </c>
      <c r="Z258" t="s">
        <v>49</v>
      </c>
      <c r="AA258" s="10">
        <f>IF(O258&lt;=1,7,7+0.8*ROUNDUP(O258-1,0))</f>
        <v>7</v>
      </c>
      <c r="AB258" s="11">
        <v>0</v>
      </c>
      <c r="AC258" s="11">
        <v>0</v>
      </c>
      <c r="AD258" s="11">
        <v>0</v>
      </c>
      <c r="AE258" s="11">
        <v>0</v>
      </c>
      <c r="AF258" s="11">
        <f t="shared" ref="AF258:AF321" si="8">(AA258+AC258+AE258)*6%</f>
        <v>0.42</v>
      </c>
      <c r="AG258" s="11">
        <f t="shared" ref="AG258:AG321" si="9">AA258+AC258+AE258+AF258</f>
        <v>7.42</v>
      </c>
      <c r="AH258" t="s">
        <v>50</v>
      </c>
    </row>
    <row r="259" spans="1:34" ht="15" customHeight="1" x14ac:dyDescent="0.35">
      <c r="A259">
        <v>7547676</v>
      </c>
      <c r="B259">
        <v>690929</v>
      </c>
      <c r="C259" t="s">
        <v>34</v>
      </c>
      <c r="D259" t="s">
        <v>35</v>
      </c>
      <c r="E259" s="6" t="s">
        <v>34</v>
      </c>
      <c r="F259" t="s">
        <v>883</v>
      </c>
      <c r="G259" t="s">
        <v>37</v>
      </c>
      <c r="H259" t="s">
        <v>38</v>
      </c>
      <c r="I259" t="s">
        <v>884</v>
      </c>
      <c r="J259" t="s">
        <v>40</v>
      </c>
      <c r="K259">
        <v>2</v>
      </c>
      <c r="L259" t="s">
        <v>41</v>
      </c>
      <c r="M259" t="s">
        <v>42</v>
      </c>
      <c r="N259" t="s">
        <v>43</v>
      </c>
      <c r="O259" s="7">
        <v>4</v>
      </c>
      <c r="P259" s="8">
        <v>45172.754189814812</v>
      </c>
      <c r="Q259" s="9">
        <v>45174</v>
      </c>
      <c r="R259" t="s">
        <v>37</v>
      </c>
      <c r="S259" t="s">
        <v>44</v>
      </c>
      <c r="T259" t="s">
        <v>45</v>
      </c>
      <c r="U259" t="s">
        <v>67</v>
      </c>
      <c r="V259" t="s">
        <v>885</v>
      </c>
      <c r="W259">
        <v>47301</v>
      </c>
      <c r="X259" t="s">
        <v>44</v>
      </c>
      <c r="Y259" t="s">
        <v>228</v>
      </c>
      <c r="Z259" t="s">
        <v>49</v>
      </c>
      <c r="AA259" s="10">
        <f>IF(O259&lt;=1,7,7+0.8*ROUNDUP(O259-1,0))</f>
        <v>9.4</v>
      </c>
      <c r="AB259" s="11">
        <v>0</v>
      </c>
      <c r="AC259" s="11">
        <v>0</v>
      </c>
      <c r="AD259" s="11">
        <v>0</v>
      </c>
      <c r="AE259" s="11">
        <v>0</v>
      </c>
      <c r="AF259" s="11">
        <f t="shared" si="8"/>
        <v>0.56399999999999995</v>
      </c>
      <c r="AG259" s="11">
        <f t="shared" si="9"/>
        <v>9.9640000000000004</v>
      </c>
      <c r="AH259" t="s">
        <v>50</v>
      </c>
    </row>
    <row r="260" spans="1:34" ht="15" customHeight="1" x14ac:dyDescent="0.35">
      <c r="A260">
        <v>7547676</v>
      </c>
      <c r="B260">
        <v>690929</v>
      </c>
      <c r="C260" t="s">
        <v>34</v>
      </c>
      <c r="D260" t="s">
        <v>35</v>
      </c>
      <c r="E260" s="6" t="s">
        <v>34</v>
      </c>
      <c r="F260" t="s">
        <v>886</v>
      </c>
      <c r="G260" t="s">
        <v>37</v>
      </c>
      <c r="H260" t="s">
        <v>38</v>
      </c>
      <c r="I260" t="s">
        <v>887</v>
      </c>
      <c r="J260" t="s">
        <v>40</v>
      </c>
      <c r="K260">
        <v>2</v>
      </c>
      <c r="L260" t="s">
        <v>41</v>
      </c>
      <c r="M260" t="s">
        <v>42</v>
      </c>
      <c r="N260" t="s">
        <v>43</v>
      </c>
      <c r="O260" s="7">
        <v>4</v>
      </c>
      <c r="P260" s="8">
        <v>45173.605856481481</v>
      </c>
      <c r="Q260" s="9">
        <v>45174</v>
      </c>
      <c r="R260" t="s">
        <v>37</v>
      </c>
      <c r="S260" t="s">
        <v>44</v>
      </c>
      <c r="T260" t="s">
        <v>45</v>
      </c>
      <c r="U260" t="s">
        <v>284</v>
      </c>
      <c r="V260" t="s">
        <v>888</v>
      </c>
      <c r="W260">
        <v>20050</v>
      </c>
      <c r="X260" t="s">
        <v>44</v>
      </c>
      <c r="Y260" t="s">
        <v>889</v>
      </c>
      <c r="Z260" t="s">
        <v>49</v>
      </c>
      <c r="AA260" s="10">
        <f>IF(O260&lt;=1,7,7+0.8*ROUNDUP(O260-1,0))</f>
        <v>9.4</v>
      </c>
      <c r="AB260" s="11">
        <v>0</v>
      </c>
      <c r="AC260" s="11">
        <v>0</v>
      </c>
      <c r="AD260" s="11">
        <v>0</v>
      </c>
      <c r="AE260" s="11">
        <v>0</v>
      </c>
      <c r="AF260" s="11">
        <f t="shared" si="8"/>
        <v>0.56399999999999995</v>
      </c>
      <c r="AG260" s="11">
        <f t="shared" si="9"/>
        <v>9.9640000000000004</v>
      </c>
      <c r="AH260" t="s">
        <v>50</v>
      </c>
    </row>
    <row r="261" spans="1:34" ht="15" customHeight="1" x14ac:dyDescent="0.35">
      <c r="A261">
        <v>7547676</v>
      </c>
      <c r="B261">
        <v>690929</v>
      </c>
      <c r="C261" t="s">
        <v>34</v>
      </c>
      <c r="D261" t="s">
        <v>35</v>
      </c>
      <c r="E261" s="6" t="s">
        <v>34</v>
      </c>
      <c r="F261" t="s">
        <v>890</v>
      </c>
      <c r="G261" t="s">
        <v>37</v>
      </c>
      <c r="H261" t="s">
        <v>38</v>
      </c>
      <c r="I261" t="s">
        <v>891</v>
      </c>
      <c r="J261" t="s">
        <v>40</v>
      </c>
      <c r="K261">
        <v>2</v>
      </c>
      <c r="L261" t="s">
        <v>41</v>
      </c>
      <c r="M261" t="s">
        <v>42</v>
      </c>
      <c r="N261" t="s">
        <v>43</v>
      </c>
      <c r="O261" s="7">
        <v>1</v>
      </c>
      <c r="P261" s="8">
        <v>45173.404120370367</v>
      </c>
      <c r="Q261" s="9">
        <v>45174</v>
      </c>
      <c r="R261" t="s">
        <v>37</v>
      </c>
      <c r="S261" t="s">
        <v>44</v>
      </c>
      <c r="T261" t="s">
        <v>45</v>
      </c>
      <c r="U261" t="s">
        <v>62</v>
      </c>
      <c r="V261" t="s">
        <v>892</v>
      </c>
      <c r="W261">
        <v>51200</v>
      </c>
      <c r="X261" t="s">
        <v>44</v>
      </c>
      <c r="Y261" t="s">
        <v>64</v>
      </c>
      <c r="Z261" t="s">
        <v>49</v>
      </c>
      <c r="AA261" s="10">
        <f>IF(O261&lt;=1,7,7+0.8*ROUNDUP(O261-1,0))</f>
        <v>7</v>
      </c>
      <c r="AB261" s="11">
        <v>0</v>
      </c>
      <c r="AC261" s="11">
        <v>0</v>
      </c>
      <c r="AD261" s="11">
        <v>0</v>
      </c>
      <c r="AE261" s="11">
        <v>0</v>
      </c>
      <c r="AF261" s="11">
        <f t="shared" si="8"/>
        <v>0.42</v>
      </c>
      <c r="AG261" s="11">
        <f t="shared" si="9"/>
        <v>7.42</v>
      </c>
      <c r="AH261" t="s">
        <v>50</v>
      </c>
    </row>
    <row r="262" spans="1:34" ht="15" customHeight="1" x14ac:dyDescent="0.35">
      <c r="A262">
        <v>7547676</v>
      </c>
      <c r="B262">
        <v>690929</v>
      </c>
      <c r="C262" t="s">
        <v>34</v>
      </c>
      <c r="D262" t="s">
        <v>35</v>
      </c>
      <c r="E262" s="6" t="s">
        <v>34</v>
      </c>
      <c r="F262" t="s">
        <v>893</v>
      </c>
      <c r="G262" t="s">
        <v>37</v>
      </c>
      <c r="H262" t="s">
        <v>38</v>
      </c>
      <c r="I262" t="s">
        <v>894</v>
      </c>
      <c r="J262" t="s">
        <v>40</v>
      </c>
      <c r="K262">
        <v>2</v>
      </c>
      <c r="L262" t="s">
        <v>41</v>
      </c>
      <c r="M262" t="s">
        <v>42</v>
      </c>
      <c r="N262" t="s">
        <v>43</v>
      </c>
      <c r="O262" s="7">
        <v>1</v>
      </c>
      <c r="P262" s="8">
        <v>45171.536944444444</v>
      </c>
      <c r="Q262" s="9">
        <v>45174</v>
      </c>
      <c r="R262" t="s">
        <v>37</v>
      </c>
      <c r="S262" t="s">
        <v>44</v>
      </c>
      <c r="T262" t="s">
        <v>69</v>
      </c>
      <c r="U262" t="s">
        <v>67</v>
      </c>
      <c r="V262" t="s">
        <v>895</v>
      </c>
      <c r="W262">
        <v>68100</v>
      </c>
      <c r="X262" t="s">
        <v>44</v>
      </c>
      <c r="Y262" t="s">
        <v>341</v>
      </c>
      <c r="Z262" t="s">
        <v>49</v>
      </c>
      <c r="AA262" s="10">
        <f>IF(O262&lt;=1,7,7+0.8*ROUNDUP(O262-1,0))</f>
        <v>7</v>
      </c>
      <c r="AB262" s="11">
        <v>0</v>
      </c>
      <c r="AC262" s="11">
        <v>0</v>
      </c>
      <c r="AD262" s="11">
        <v>0</v>
      </c>
      <c r="AE262" s="11">
        <v>0</v>
      </c>
      <c r="AF262" s="11">
        <f t="shared" si="8"/>
        <v>0.42</v>
      </c>
      <c r="AG262" s="11">
        <f t="shared" si="9"/>
        <v>7.42</v>
      </c>
      <c r="AH262" t="s">
        <v>50</v>
      </c>
    </row>
    <row r="263" spans="1:34" ht="15" customHeight="1" x14ac:dyDescent="0.35">
      <c r="A263">
        <v>7547676</v>
      </c>
      <c r="B263">
        <v>690929</v>
      </c>
      <c r="C263" t="s">
        <v>34</v>
      </c>
      <c r="D263" t="s">
        <v>35</v>
      </c>
      <c r="E263" s="6" t="s">
        <v>34</v>
      </c>
      <c r="F263" t="s">
        <v>896</v>
      </c>
      <c r="G263" t="s">
        <v>37</v>
      </c>
      <c r="H263" t="s">
        <v>38</v>
      </c>
      <c r="I263" t="s">
        <v>897</v>
      </c>
      <c r="J263" t="s">
        <v>40</v>
      </c>
      <c r="K263">
        <v>2</v>
      </c>
      <c r="L263" t="s">
        <v>41</v>
      </c>
      <c r="M263" t="s">
        <v>42</v>
      </c>
      <c r="N263" t="s">
        <v>43</v>
      </c>
      <c r="O263" s="7">
        <v>1</v>
      </c>
      <c r="P263" s="8">
        <v>45174.692731481482</v>
      </c>
      <c r="Q263" s="9">
        <v>45175</v>
      </c>
      <c r="R263" t="s">
        <v>37</v>
      </c>
      <c r="S263" t="s">
        <v>44</v>
      </c>
      <c r="T263" t="s">
        <v>69</v>
      </c>
      <c r="U263" t="s">
        <v>67</v>
      </c>
      <c r="V263" t="s">
        <v>898</v>
      </c>
      <c r="W263">
        <v>54200</v>
      </c>
      <c r="X263" t="s">
        <v>44</v>
      </c>
      <c r="Y263" t="s">
        <v>84</v>
      </c>
      <c r="Z263" t="s">
        <v>49</v>
      </c>
      <c r="AA263" s="10">
        <f>IF(O263&lt;=1,7,7+0.8*ROUNDUP(O263-1,0))</f>
        <v>7</v>
      </c>
      <c r="AB263" s="11">
        <v>0</v>
      </c>
      <c r="AC263" s="11">
        <v>0</v>
      </c>
      <c r="AD263" s="11">
        <v>0</v>
      </c>
      <c r="AE263" s="11">
        <v>0</v>
      </c>
      <c r="AF263" s="11">
        <f t="shared" si="8"/>
        <v>0.42</v>
      </c>
      <c r="AG263" s="11">
        <f t="shared" si="9"/>
        <v>7.42</v>
      </c>
      <c r="AH263" t="s">
        <v>50</v>
      </c>
    </row>
    <row r="264" spans="1:34" ht="15" customHeight="1" x14ac:dyDescent="0.35">
      <c r="A264">
        <v>7547676</v>
      </c>
      <c r="B264">
        <v>690929</v>
      </c>
      <c r="C264" t="s">
        <v>34</v>
      </c>
      <c r="D264" t="s">
        <v>35</v>
      </c>
      <c r="E264" s="6" t="s">
        <v>34</v>
      </c>
      <c r="F264" t="s">
        <v>899</v>
      </c>
      <c r="G264" t="s">
        <v>37</v>
      </c>
      <c r="H264" t="s">
        <v>38</v>
      </c>
      <c r="I264" t="s">
        <v>900</v>
      </c>
      <c r="J264" t="s">
        <v>40</v>
      </c>
      <c r="K264">
        <v>2</v>
      </c>
      <c r="L264" t="s">
        <v>41</v>
      </c>
      <c r="M264" t="s">
        <v>42</v>
      </c>
      <c r="N264" t="s">
        <v>43</v>
      </c>
      <c r="O264" s="7">
        <v>1</v>
      </c>
      <c r="P264" s="8">
        <v>45173.731898148151</v>
      </c>
      <c r="Q264" s="9">
        <v>45175</v>
      </c>
      <c r="R264" t="s">
        <v>37</v>
      </c>
      <c r="S264" t="s">
        <v>44</v>
      </c>
      <c r="T264" t="s">
        <v>45</v>
      </c>
      <c r="U264" t="s">
        <v>139</v>
      </c>
      <c r="V264" t="s">
        <v>901</v>
      </c>
      <c r="W264">
        <v>9000</v>
      </c>
      <c r="X264" t="s">
        <v>44</v>
      </c>
      <c r="Y264" t="s">
        <v>902</v>
      </c>
      <c r="Z264" t="s">
        <v>49</v>
      </c>
      <c r="AA264" s="10">
        <f>IF(O264&lt;=1,7,7+0.8*ROUNDUP(O264-1,0))</f>
        <v>7</v>
      </c>
      <c r="AB264" s="11">
        <v>0</v>
      </c>
      <c r="AC264" s="11">
        <v>0</v>
      </c>
      <c r="AD264" s="11">
        <v>0</v>
      </c>
      <c r="AE264" s="11">
        <v>0</v>
      </c>
      <c r="AF264" s="11">
        <f t="shared" si="8"/>
        <v>0.42</v>
      </c>
      <c r="AG264" s="11">
        <f t="shared" si="9"/>
        <v>7.42</v>
      </c>
      <c r="AH264" t="s">
        <v>50</v>
      </c>
    </row>
    <row r="265" spans="1:34" ht="15" customHeight="1" x14ac:dyDescent="0.35">
      <c r="A265">
        <v>7547676</v>
      </c>
      <c r="B265">
        <v>690929</v>
      </c>
      <c r="C265" t="s">
        <v>34</v>
      </c>
      <c r="D265" t="s">
        <v>35</v>
      </c>
      <c r="E265" s="6" t="s">
        <v>34</v>
      </c>
      <c r="F265" t="s">
        <v>903</v>
      </c>
      <c r="G265" t="s">
        <v>37</v>
      </c>
      <c r="H265" t="s">
        <v>38</v>
      </c>
      <c r="I265" t="s">
        <v>904</v>
      </c>
      <c r="J265" t="s">
        <v>40</v>
      </c>
      <c r="K265">
        <v>2</v>
      </c>
      <c r="L265" t="s">
        <v>41</v>
      </c>
      <c r="M265" t="s">
        <v>42</v>
      </c>
      <c r="N265" t="s">
        <v>43</v>
      </c>
      <c r="O265" s="7">
        <v>1</v>
      </c>
      <c r="P265" s="8">
        <v>45173.605856481481</v>
      </c>
      <c r="Q265" s="9">
        <v>45175</v>
      </c>
      <c r="R265" t="s">
        <v>37</v>
      </c>
      <c r="S265" t="s">
        <v>44</v>
      </c>
      <c r="T265" t="s">
        <v>45</v>
      </c>
      <c r="U265" t="s">
        <v>67</v>
      </c>
      <c r="V265" t="s">
        <v>905</v>
      </c>
      <c r="W265">
        <v>46000</v>
      </c>
      <c r="X265" t="s">
        <v>44</v>
      </c>
      <c r="Y265" t="s">
        <v>69</v>
      </c>
      <c r="Z265" t="s">
        <v>49</v>
      </c>
      <c r="AA265" s="10">
        <f>IF(O265&lt;=1,7,7+0.8*ROUNDUP(O265-1,0))</f>
        <v>7</v>
      </c>
      <c r="AB265" s="11">
        <v>0</v>
      </c>
      <c r="AC265" s="11">
        <v>0</v>
      </c>
      <c r="AD265" s="11">
        <v>0</v>
      </c>
      <c r="AE265" s="11">
        <v>0</v>
      </c>
      <c r="AF265" s="11">
        <f t="shared" si="8"/>
        <v>0.42</v>
      </c>
      <c r="AG265" s="11">
        <f t="shared" si="9"/>
        <v>7.42</v>
      </c>
      <c r="AH265" t="s">
        <v>50</v>
      </c>
    </row>
    <row r="266" spans="1:34" ht="15" customHeight="1" x14ac:dyDescent="0.35">
      <c r="A266">
        <v>7547676</v>
      </c>
      <c r="B266">
        <v>690929</v>
      </c>
      <c r="C266" t="s">
        <v>34</v>
      </c>
      <c r="D266" t="s">
        <v>35</v>
      </c>
      <c r="E266" s="6" t="s">
        <v>34</v>
      </c>
      <c r="F266" t="s">
        <v>906</v>
      </c>
      <c r="G266" t="s">
        <v>37</v>
      </c>
      <c r="H266" t="s">
        <v>38</v>
      </c>
      <c r="I266" t="s">
        <v>573</v>
      </c>
      <c r="J266" t="s">
        <v>40</v>
      </c>
      <c r="K266">
        <v>2</v>
      </c>
      <c r="L266" t="s">
        <v>41</v>
      </c>
      <c r="M266" t="s">
        <v>42</v>
      </c>
      <c r="N266" t="s">
        <v>43</v>
      </c>
      <c r="O266" s="7">
        <v>1</v>
      </c>
      <c r="P266" s="8">
        <v>45173.42082175926</v>
      </c>
      <c r="Q266" s="9">
        <v>45175</v>
      </c>
      <c r="R266" t="s">
        <v>37</v>
      </c>
      <c r="S266" t="s">
        <v>44</v>
      </c>
      <c r="T266" t="s">
        <v>45</v>
      </c>
      <c r="U266" t="s">
        <v>110</v>
      </c>
      <c r="V266" t="s">
        <v>574</v>
      </c>
      <c r="W266">
        <v>81700</v>
      </c>
      <c r="X266" t="s">
        <v>44</v>
      </c>
      <c r="Y266" t="s">
        <v>488</v>
      </c>
      <c r="Z266" t="s">
        <v>49</v>
      </c>
      <c r="AA266" s="10">
        <f>IF(O266&lt;=1,7,7+0.8*ROUNDUP(O266-1,0))</f>
        <v>7</v>
      </c>
      <c r="AB266" s="11">
        <v>0</v>
      </c>
      <c r="AC266" s="11">
        <v>0</v>
      </c>
      <c r="AD266" s="11">
        <v>0</v>
      </c>
      <c r="AE266" s="11">
        <v>0</v>
      </c>
      <c r="AF266" s="11">
        <f t="shared" si="8"/>
        <v>0.42</v>
      </c>
      <c r="AG266" s="11">
        <f t="shared" si="9"/>
        <v>7.42</v>
      </c>
      <c r="AH266" t="s">
        <v>50</v>
      </c>
    </row>
    <row r="267" spans="1:34" ht="15" customHeight="1" x14ac:dyDescent="0.35">
      <c r="A267">
        <v>7547676</v>
      </c>
      <c r="B267">
        <v>690929</v>
      </c>
      <c r="C267" t="s">
        <v>34</v>
      </c>
      <c r="D267" t="s">
        <v>35</v>
      </c>
      <c r="E267" s="6" t="s">
        <v>34</v>
      </c>
      <c r="F267" t="s">
        <v>907</v>
      </c>
      <c r="G267" t="s">
        <v>37</v>
      </c>
      <c r="H267" t="s">
        <v>38</v>
      </c>
      <c r="I267" t="s">
        <v>908</v>
      </c>
      <c r="J267" t="s">
        <v>40</v>
      </c>
      <c r="K267">
        <v>2</v>
      </c>
      <c r="L267" t="s">
        <v>41</v>
      </c>
      <c r="M267" t="s">
        <v>42</v>
      </c>
      <c r="N267" t="s">
        <v>43</v>
      </c>
      <c r="O267" s="7">
        <v>5</v>
      </c>
      <c r="P267" s="8">
        <v>45174.683240740742</v>
      </c>
      <c r="Q267" s="9">
        <v>45175</v>
      </c>
      <c r="R267" t="s">
        <v>37</v>
      </c>
      <c r="S267" t="s">
        <v>44</v>
      </c>
      <c r="T267" t="s">
        <v>45</v>
      </c>
      <c r="U267" t="s">
        <v>284</v>
      </c>
      <c r="V267" t="s">
        <v>909</v>
      </c>
      <c r="W267">
        <v>21100</v>
      </c>
      <c r="X267" t="s">
        <v>44</v>
      </c>
      <c r="Y267" t="s">
        <v>889</v>
      </c>
      <c r="Z267" t="s">
        <v>49</v>
      </c>
      <c r="AA267" s="10">
        <f>IF(O267&lt;=1,7,7+0.8*ROUNDUP(O267-1,0))</f>
        <v>10.199999999999999</v>
      </c>
      <c r="AB267" s="11">
        <v>0</v>
      </c>
      <c r="AC267" s="11">
        <v>0</v>
      </c>
      <c r="AD267" s="11">
        <v>0</v>
      </c>
      <c r="AE267" s="11">
        <v>0</v>
      </c>
      <c r="AF267" s="11">
        <f t="shared" si="8"/>
        <v>0.61199999999999999</v>
      </c>
      <c r="AG267" s="11">
        <f t="shared" si="9"/>
        <v>10.811999999999999</v>
      </c>
      <c r="AH267" t="s">
        <v>50</v>
      </c>
    </row>
    <row r="268" spans="1:34" ht="15" customHeight="1" x14ac:dyDescent="0.35">
      <c r="A268">
        <v>7547676</v>
      </c>
      <c r="B268">
        <v>690929</v>
      </c>
      <c r="C268" t="s">
        <v>34</v>
      </c>
      <c r="D268" t="s">
        <v>35</v>
      </c>
      <c r="E268" s="6" t="s">
        <v>34</v>
      </c>
      <c r="F268" t="s">
        <v>910</v>
      </c>
      <c r="G268" t="s">
        <v>37</v>
      </c>
      <c r="H268" t="s">
        <v>38</v>
      </c>
      <c r="I268" t="s">
        <v>908</v>
      </c>
      <c r="J268" t="s">
        <v>40</v>
      </c>
      <c r="K268">
        <v>2</v>
      </c>
      <c r="L268" t="s">
        <v>41</v>
      </c>
      <c r="M268" t="s">
        <v>42</v>
      </c>
      <c r="N268" t="s">
        <v>43</v>
      </c>
      <c r="O268" s="7">
        <v>6</v>
      </c>
      <c r="P268" s="8">
        <v>45174.683240740742</v>
      </c>
      <c r="Q268" s="9">
        <v>45175</v>
      </c>
      <c r="R268" t="s">
        <v>37</v>
      </c>
      <c r="S268" t="s">
        <v>44</v>
      </c>
      <c r="T268" t="s">
        <v>45</v>
      </c>
      <c r="U268" t="s">
        <v>284</v>
      </c>
      <c r="V268" t="s">
        <v>911</v>
      </c>
      <c r="W268">
        <v>21100</v>
      </c>
      <c r="X268" t="s">
        <v>44</v>
      </c>
      <c r="Y268" t="s">
        <v>889</v>
      </c>
      <c r="Z268" t="s">
        <v>49</v>
      </c>
      <c r="AA268" s="10">
        <f>IF(O268&lt;=1,7,7+0.8*ROUNDUP(O268-1,0))</f>
        <v>11</v>
      </c>
      <c r="AB268" s="11">
        <v>0</v>
      </c>
      <c r="AC268" s="11">
        <v>0</v>
      </c>
      <c r="AD268" s="11">
        <v>0</v>
      </c>
      <c r="AE268" s="11">
        <v>0</v>
      </c>
      <c r="AF268" s="11">
        <f t="shared" si="8"/>
        <v>0.65999999999999992</v>
      </c>
      <c r="AG268" s="11">
        <f t="shared" si="9"/>
        <v>11.66</v>
      </c>
      <c r="AH268" t="s">
        <v>50</v>
      </c>
    </row>
    <row r="269" spans="1:34" ht="15" customHeight="1" x14ac:dyDescent="0.35">
      <c r="A269">
        <v>7547676</v>
      </c>
      <c r="B269">
        <v>690929</v>
      </c>
      <c r="C269" t="s">
        <v>34</v>
      </c>
      <c r="D269" t="s">
        <v>35</v>
      </c>
      <c r="E269" s="6" t="s">
        <v>34</v>
      </c>
      <c r="F269" t="s">
        <v>912</v>
      </c>
      <c r="G269" t="s">
        <v>37</v>
      </c>
      <c r="H269" t="s">
        <v>38</v>
      </c>
      <c r="I269" t="s">
        <v>913</v>
      </c>
      <c r="J269" t="s">
        <v>40</v>
      </c>
      <c r="K269">
        <v>2</v>
      </c>
      <c r="L269" t="s">
        <v>41</v>
      </c>
      <c r="M269" t="s">
        <v>42</v>
      </c>
      <c r="N269" t="s">
        <v>43</v>
      </c>
      <c r="O269" s="7">
        <v>1</v>
      </c>
      <c r="P269" s="8">
        <v>45171.735833333332</v>
      </c>
      <c r="Q269" s="9">
        <v>45175</v>
      </c>
      <c r="R269" t="s">
        <v>37</v>
      </c>
      <c r="S269" t="s">
        <v>44</v>
      </c>
      <c r="T269" t="s">
        <v>69</v>
      </c>
      <c r="U269" t="s">
        <v>139</v>
      </c>
      <c r="V269" t="s">
        <v>914</v>
      </c>
      <c r="W269">
        <v>7000</v>
      </c>
      <c r="X269" t="s">
        <v>44</v>
      </c>
      <c r="Y269" t="s">
        <v>69</v>
      </c>
      <c r="Z269" t="s">
        <v>49</v>
      </c>
      <c r="AA269" s="10">
        <f>IF(O269&lt;=1,7,7+0.8*ROUNDUP(O269-1,0))</f>
        <v>7</v>
      </c>
      <c r="AB269" s="11">
        <v>0</v>
      </c>
      <c r="AC269" s="11">
        <v>0</v>
      </c>
      <c r="AD269" s="11">
        <v>0</v>
      </c>
      <c r="AE269" s="11">
        <v>0</v>
      </c>
      <c r="AF269" s="11">
        <f t="shared" si="8"/>
        <v>0.42</v>
      </c>
      <c r="AG269" s="11">
        <f t="shared" si="9"/>
        <v>7.42</v>
      </c>
      <c r="AH269" t="s">
        <v>50</v>
      </c>
    </row>
    <row r="270" spans="1:34" ht="15" customHeight="1" x14ac:dyDescent="0.35">
      <c r="A270">
        <v>7547676</v>
      </c>
      <c r="B270">
        <v>690929</v>
      </c>
      <c r="C270" t="s">
        <v>34</v>
      </c>
      <c r="D270" t="s">
        <v>35</v>
      </c>
      <c r="E270" s="6" t="s">
        <v>34</v>
      </c>
      <c r="F270" t="s">
        <v>915</v>
      </c>
      <c r="G270" t="s">
        <v>37</v>
      </c>
      <c r="H270" t="s">
        <v>38</v>
      </c>
      <c r="I270" t="s">
        <v>916</v>
      </c>
      <c r="J270" t="s">
        <v>40</v>
      </c>
      <c r="K270">
        <v>2</v>
      </c>
      <c r="L270" t="s">
        <v>41</v>
      </c>
      <c r="M270" t="s">
        <v>42</v>
      </c>
      <c r="N270" t="s">
        <v>43</v>
      </c>
      <c r="O270" s="7">
        <v>4</v>
      </c>
      <c r="P270" s="8">
        <v>45173.485000000001</v>
      </c>
      <c r="Q270" s="9">
        <v>45175</v>
      </c>
      <c r="R270" t="s">
        <v>37</v>
      </c>
      <c r="S270" t="s">
        <v>44</v>
      </c>
      <c r="T270" t="s">
        <v>45</v>
      </c>
      <c r="U270" t="s">
        <v>67</v>
      </c>
      <c r="V270" t="s">
        <v>917</v>
      </c>
      <c r="W270">
        <v>47150</v>
      </c>
      <c r="X270" t="s">
        <v>44</v>
      </c>
      <c r="Y270" t="s">
        <v>190</v>
      </c>
      <c r="Z270" t="s">
        <v>49</v>
      </c>
      <c r="AA270" s="10">
        <f>IF(O270&lt;=1,7,7+0.8*ROUNDUP(O270-1,0))</f>
        <v>9.4</v>
      </c>
      <c r="AB270" s="11">
        <v>0</v>
      </c>
      <c r="AC270" s="11">
        <v>0</v>
      </c>
      <c r="AD270" s="11">
        <v>0</v>
      </c>
      <c r="AE270" s="11">
        <v>0</v>
      </c>
      <c r="AF270" s="11">
        <f t="shared" si="8"/>
        <v>0.56399999999999995</v>
      </c>
      <c r="AG270" s="11">
        <f t="shared" si="9"/>
        <v>9.9640000000000004</v>
      </c>
      <c r="AH270" t="s">
        <v>50</v>
      </c>
    </row>
    <row r="271" spans="1:34" ht="15" customHeight="1" x14ac:dyDescent="0.35">
      <c r="A271">
        <v>7547676</v>
      </c>
      <c r="B271">
        <v>690929</v>
      </c>
      <c r="C271" t="s">
        <v>34</v>
      </c>
      <c r="D271" t="s">
        <v>35</v>
      </c>
      <c r="E271" s="6" t="s">
        <v>34</v>
      </c>
      <c r="F271" t="s">
        <v>918</v>
      </c>
      <c r="G271" t="s">
        <v>37</v>
      </c>
      <c r="H271" t="s">
        <v>38</v>
      </c>
      <c r="I271" t="s">
        <v>919</v>
      </c>
      <c r="J271" t="s">
        <v>40</v>
      </c>
      <c r="K271">
        <v>2</v>
      </c>
      <c r="L271" t="s">
        <v>41</v>
      </c>
      <c r="M271" t="s">
        <v>42</v>
      </c>
      <c r="N271" t="s">
        <v>43</v>
      </c>
      <c r="O271" s="7">
        <v>1</v>
      </c>
      <c r="P271" s="8">
        <v>45174.703217592592</v>
      </c>
      <c r="Q271" s="9">
        <v>45175</v>
      </c>
      <c r="R271" t="s">
        <v>37</v>
      </c>
      <c r="S271" t="s">
        <v>44</v>
      </c>
      <c r="T271" t="s">
        <v>69</v>
      </c>
      <c r="U271" t="s">
        <v>62</v>
      </c>
      <c r="V271" t="s">
        <v>920</v>
      </c>
      <c r="W271">
        <v>59200</v>
      </c>
      <c r="X271" t="s">
        <v>44</v>
      </c>
      <c r="Y271" t="s">
        <v>69</v>
      </c>
      <c r="Z271" t="s">
        <v>49</v>
      </c>
      <c r="AA271" s="10">
        <f>IF(O271&lt;=1,7,7+0.8*ROUNDUP(O271-1,0))</f>
        <v>7</v>
      </c>
      <c r="AB271" s="11">
        <v>0</v>
      </c>
      <c r="AC271" s="11">
        <v>0</v>
      </c>
      <c r="AD271" s="11">
        <v>0</v>
      </c>
      <c r="AE271" s="11">
        <v>0</v>
      </c>
      <c r="AF271" s="11">
        <f t="shared" si="8"/>
        <v>0.42</v>
      </c>
      <c r="AG271" s="11">
        <f t="shared" si="9"/>
        <v>7.42</v>
      </c>
      <c r="AH271" t="s">
        <v>50</v>
      </c>
    </row>
    <row r="272" spans="1:34" ht="15" customHeight="1" x14ac:dyDescent="0.35">
      <c r="A272">
        <v>7547676</v>
      </c>
      <c r="B272">
        <v>690929</v>
      </c>
      <c r="C272" t="s">
        <v>34</v>
      </c>
      <c r="D272" t="s">
        <v>35</v>
      </c>
      <c r="E272" s="6" t="s">
        <v>34</v>
      </c>
      <c r="F272" t="s">
        <v>921</v>
      </c>
      <c r="G272" t="s">
        <v>37</v>
      </c>
      <c r="H272" t="s">
        <v>38</v>
      </c>
      <c r="I272" t="s">
        <v>922</v>
      </c>
      <c r="J272" t="s">
        <v>40</v>
      </c>
      <c r="K272">
        <v>2</v>
      </c>
      <c r="L272" t="s">
        <v>41</v>
      </c>
      <c r="M272" t="s">
        <v>42</v>
      </c>
      <c r="N272" t="s">
        <v>43</v>
      </c>
      <c r="O272" s="7">
        <v>4</v>
      </c>
      <c r="P272" s="8">
        <v>45174.666250000002</v>
      </c>
      <c r="Q272" s="9">
        <v>45175</v>
      </c>
      <c r="R272" t="s">
        <v>37</v>
      </c>
      <c r="S272" t="s">
        <v>44</v>
      </c>
      <c r="T272" t="s">
        <v>45</v>
      </c>
      <c r="U272" t="s">
        <v>67</v>
      </c>
      <c r="V272" t="s">
        <v>923</v>
      </c>
      <c r="W272">
        <v>53100</v>
      </c>
      <c r="X272" t="s">
        <v>44</v>
      </c>
      <c r="Y272" t="s">
        <v>69</v>
      </c>
      <c r="Z272" t="s">
        <v>49</v>
      </c>
      <c r="AA272" s="10">
        <f>IF(O272&lt;=1,7,7+0.8*ROUNDUP(O272-1,0))</f>
        <v>9.4</v>
      </c>
      <c r="AB272" s="11">
        <v>0</v>
      </c>
      <c r="AC272" s="11">
        <v>0</v>
      </c>
      <c r="AD272" s="11">
        <v>0</v>
      </c>
      <c r="AE272" s="11">
        <v>0</v>
      </c>
      <c r="AF272" s="11">
        <f t="shared" si="8"/>
        <v>0.56399999999999995</v>
      </c>
      <c r="AG272" s="11">
        <f t="shared" si="9"/>
        <v>9.9640000000000004</v>
      </c>
      <c r="AH272" t="s">
        <v>50</v>
      </c>
    </row>
    <row r="273" spans="1:34" ht="15" customHeight="1" x14ac:dyDescent="0.35">
      <c r="A273">
        <v>7547676</v>
      </c>
      <c r="B273">
        <v>690929</v>
      </c>
      <c r="C273" t="s">
        <v>34</v>
      </c>
      <c r="D273" t="s">
        <v>35</v>
      </c>
      <c r="E273" s="6" t="s">
        <v>34</v>
      </c>
      <c r="F273" t="s">
        <v>924</v>
      </c>
      <c r="G273" t="s">
        <v>37</v>
      </c>
      <c r="H273" t="s">
        <v>38</v>
      </c>
      <c r="I273" t="s">
        <v>925</v>
      </c>
      <c r="J273" t="s">
        <v>40</v>
      </c>
      <c r="K273">
        <v>2</v>
      </c>
      <c r="L273" t="s">
        <v>41</v>
      </c>
      <c r="M273" t="s">
        <v>42</v>
      </c>
      <c r="N273" t="s">
        <v>43</v>
      </c>
      <c r="O273" s="7">
        <v>1</v>
      </c>
      <c r="P273" s="8">
        <v>45174.717418981483</v>
      </c>
      <c r="Q273" s="9">
        <v>45175</v>
      </c>
      <c r="R273" t="s">
        <v>37</v>
      </c>
      <c r="S273" t="s">
        <v>44</v>
      </c>
      <c r="T273" t="s">
        <v>69</v>
      </c>
      <c r="U273" t="s">
        <v>62</v>
      </c>
      <c r="V273" t="s">
        <v>926</v>
      </c>
      <c r="W273">
        <v>56100</v>
      </c>
      <c r="X273" t="s">
        <v>44</v>
      </c>
      <c r="Y273" t="s">
        <v>667</v>
      </c>
      <c r="Z273" t="s">
        <v>49</v>
      </c>
      <c r="AA273" s="10">
        <f>IF(O273&lt;=1,7,7+0.8*ROUNDUP(O273-1,0))</f>
        <v>7</v>
      </c>
      <c r="AB273" s="11">
        <v>0</v>
      </c>
      <c r="AC273" s="11">
        <v>0</v>
      </c>
      <c r="AD273" s="11">
        <v>0</v>
      </c>
      <c r="AE273" s="11">
        <v>0</v>
      </c>
      <c r="AF273" s="11">
        <f t="shared" si="8"/>
        <v>0.42</v>
      </c>
      <c r="AG273" s="11">
        <f t="shared" si="9"/>
        <v>7.42</v>
      </c>
      <c r="AH273" t="s">
        <v>50</v>
      </c>
    </row>
    <row r="274" spans="1:34" ht="15" customHeight="1" x14ac:dyDescent="0.35">
      <c r="A274">
        <v>7547676</v>
      </c>
      <c r="B274">
        <v>690929</v>
      </c>
      <c r="C274" t="s">
        <v>34</v>
      </c>
      <c r="D274" t="s">
        <v>35</v>
      </c>
      <c r="E274" s="6" t="s">
        <v>34</v>
      </c>
      <c r="F274" t="s">
        <v>927</v>
      </c>
      <c r="G274" t="s">
        <v>37</v>
      </c>
      <c r="H274" t="s">
        <v>38</v>
      </c>
      <c r="I274" t="s">
        <v>928</v>
      </c>
      <c r="J274" t="s">
        <v>40</v>
      </c>
      <c r="K274">
        <v>2</v>
      </c>
      <c r="L274" t="s">
        <v>41</v>
      </c>
      <c r="M274" t="s">
        <v>42</v>
      </c>
      <c r="N274" t="s">
        <v>43</v>
      </c>
      <c r="O274" s="7">
        <v>1</v>
      </c>
      <c r="P274" s="8">
        <v>45175.71738425926</v>
      </c>
      <c r="Q274" s="9">
        <v>45176</v>
      </c>
      <c r="R274" t="s">
        <v>37</v>
      </c>
      <c r="S274" t="s">
        <v>44</v>
      </c>
      <c r="T274" t="s">
        <v>45</v>
      </c>
      <c r="U274" t="s">
        <v>46</v>
      </c>
      <c r="V274" t="s">
        <v>929</v>
      </c>
      <c r="W274">
        <v>25200</v>
      </c>
      <c r="X274" t="s">
        <v>44</v>
      </c>
      <c r="Y274" t="s">
        <v>45</v>
      </c>
      <c r="Z274" t="s">
        <v>49</v>
      </c>
      <c r="AA274" s="10">
        <f>IF(O274&lt;=1,7,7+0.8*ROUNDUP(O274-1,0))</f>
        <v>7</v>
      </c>
      <c r="AB274" s="11">
        <v>0</v>
      </c>
      <c r="AC274" s="11">
        <v>0</v>
      </c>
      <c r="AD274" s="11">
        <v>0</v>
      </c>
      <c r="AE274" s="11">
        <v>0</v>
      </c>
      <c r="AF274" s="11">
        <f t="shared" si="8"/>
        <v>0.42</v>
      </c>
      <c r="AG274" s="11">
        <f t="shared" si="9"/>
        <v>7.42</v>
      </c>
      <c r="AH274" t="s">
        <v>50</v>
      </c>
    </row>
    <row r="275" spans="1:34" ht="15" customHeight="1" x14ac:dyDescent="0.35">
      <c r="A275">
        <v>7547676</v>
      </c>
      <c r="B275">
        <v>690929</v>
      </c>
      <c r="C275" t="s">
        <v>34</v>
      </c>
      <c r="D275" t="s">
        <v>35</v>
      </c>
      <c r="E275" s="6" t="s">
        <v>34</v>
      </c>
      <c r="F275" t="s">
        <v>930</v>
      </c>
      <c r="G275" t="s">
        <v>37</v>
      </c>
      <c r="H275" t="s">
        <v>38</v>
      </c>
      <c r="I275" t="s">
        <v>931</v>
      </c>
      <c r="J275" t="s">
        <v>40</v>
      </c>
      <c r="K275">
        <v>2</v>
      </c>
      <c r="L275" t="s">
        <v>41</v>
      </c>
      <c r="M275" t="s">
        <v>42</v>
      </c>
      <c r="N275" t="s">
        <v>43</v>
      </c>
      <c r="O275" s="7">
        <v>1</v>
      </c>
      <c r="P275" s="8">
        <v>45167.485497685186</v>
      </c>
      <c r="Q275" s="9">
        <v>45176</v>
      </c>
      <c r="R275" t="s">
        <v>37</v>
      </c>
      <c r="S275" t="s">
        <v>44</v>
      </c>
      <c r="T275" t="s">
        <v>45</v>
      </c>
      <c r="U275" t="s">
        <v>378</v>
      </c>
      <c r="V275" t="s">
        <v>932</v>
      </c>
      <c r="W275">
        <v>91100</v>
      </c>
      <c r="X275" t="s">
        <v>135</v>
      </c>
      <c r="Y275" t="s">
        <v>69</v>
      </c>
      <c r="Z275" t="s">
        <v>49</v>
      </c>
      <c r="AA275" s="12">
        <f>IF(O275&lt;=1,13,IF(O275&lt;=2,23,IF(O275&lt;=3,35,IF(O275&lt;=4,43,IF(O275&lt;=5,53,IF(O275&lt;=6,63,IF(O275&lt;=7,71,IF(O275&lt;=8,79,IF(O275&lt;=9,87,IF(O275&lt;=10,95,IF(O275&lt;=11,105,IF(O275&lt;=12,114,IF(O275&lt;=13,119,IF(O275&lt;=14,127,IF(O275&lt;=15,135,IF(O275&lt;=16,143,IF(O275&lt;=17,153,IF(O275&lt;=18,163,IF(O275&lt;=19,171,IF(O275&lt;=20,185,IF(O275&lt;=21,193,IF(O275&lt;=22,201,IF(O275&lt;=23,210,IF(O275&lt;=24,220,IF(O275&lt;=25,230,IF(O275&lt;=26,240,IF(O275&lt;=27,250,IF(O275&lt;=28,260,IF(O275&lt;=29,270,IF(O275&lt;=30,280,280+10*ROUNDUP(O275-30,0)))))))))))))))))))))))))))))))</f>
        <v>13</v>
      </c>
      <c r="AB275" s="11">
        <v>0</v>
      </c>
      <c r="AC275" s="11">
        <v>0</v>
      </c>
      <c r="AD275" s="11">
        <v>0</v>
      </c>
      <c r="AE275" s="11">
        <v>0</v>
      </c>
      <c r="AF275" s="11">
        <f t="shared" si="8"/>
        <v>0.78</v>
      </c>
      <c r="AG275" s="11">
        <f t="shared" si="9"/>
        <v>13.78</v>
      </c>
      <c r="AH275" t="s">
        <v>136</v>
      </c>
    </row>
    <row r="276" spans="1:34" ht="15" customHeight="1" x14ac:dyDescent="0.35">
      <c r="A276">
        <v>7547676</v>
      </c>
      <c r="B276">
        <v>690929</v>
      </c>
      <c r="C276" t="s">
        <v>34</v>
      </c>
      <c r="D276" t="s">
        <v>35</v>
      </c>
      <c r="E276" s="6" t="s">
        <v>34</v>
      </c>
      <c r="F276" t="s">
        <v>933</v>
      </c>
      <c r="G276" t="s">
        <v>37</v>
      </c>
      <c r="H276" t="s">
        <v>38</v>
      </c>
      <c r="I276" t="s">
        <v>934</v>
      </c>
      <c r="J276" t="s">
        <v>40</v>
      </c>
      <c r="K276">
        <v>2</v>
      </c>
      <c r="L276" t="s">
        <v>41</v>
      </c>
      <c r="M276" t="s">
        <v>42</v>
      </c>
      <c r="N276" t="s">
        <v>43</v>
      </c>
      <c r="O276" s="7">
        <v>1</v>
      </c>
      <c r="P276" s="8">
        <v>45175.71738425926</v>
      </c>
      <c r="Q276" s="9">
        <v>45176</v>
      </c>
      <c r="R276" t="s">
        <v>37</v>
      </c>
      <c r="S276" t="s">
        <v>44</v>
      </c>
      <c r="T276" t="s">
        <v>45</v>
      </c>
      <c r="U276" t="s">
        <v>46</v>
      </c>
      <c r="V276" t="s">
        <v>935</v>
      </c>
      <c r="W276">
        <v>27000</v>
      </c>
      <c r="X276" t="s">
        <v>44</v>
      </c>
      <c r="Y276" t="s">
        <v>45</v>
      </c>
      <c r="Z276" t="s">
        <v>49</v>
      </c>
      <c r="AA276" s="10">
        <f>IF(O276&lt;=1,7,7+0.8*ROUNDUP(O276-1,0))</f>
        <v>7</v>
      </c>
      <c r="AB276" s="11">
        <v>0</v>
      </c>
      <c r="AC276" s="11">
        <v>0</v>
      </c>
      <c r="AD276" s="11">
        <v>0</v>
      </c>
      <c r="AE276" s="11">
        <v>0</v>
      </c>
      <c r="AF276" s="11">
        <f t="shared" si="8"/>
        <v>0.42</v>
      </c>
      <c r="AG276" s="11">
        <f t="shared" si="9"/>
        <v>7.42</v>
      </c>
      <c r="AH276" t="s">
        <v>50</v>
      </c>
    </row>
    <row r="277" spans="1:34" ht="15" customHeight="1" x14ac:dyDescent="0.35">
      <c r="A277">
        <v>7547676</v>
      </c>
      <c r="B277">
        <v>690929</v>
      </c>
      <c r="C277" t="s">
        <v>34</v>
      </c>
      <c r="D277" t="s">
        <v>35</v>
      </c>
      <c r="E277" s="6" t="s">
        <v>34</v>
      </c>
      <c r="F277" t="s">
        <v>936</v>
      </c>
      <c r="G277" t="s">
        <v>37</v>
      </c>
      <c r="H277" t="s">
        <v>38</v>
      </c>
      <c r="I277" t="s">
        <v>937</v>
      </c>
      <c r="J277" t="s">
        <v>40</v>
      </c>
      <c r="K277">
        <v>2</v>
      </c>
      <c r="L277" t="s">
        <v>41</v>
      </c>
      <c r="M277" t="s">
        <v>42</v>
      </c>
      <c r="N277" t="s">
        <v>43</v>
      </c>
      <c r="O277" s="7">
        <v>1</v>
      </c>
      <c r="P277" s="8">
        <v>45175.700601851851</v>
      </c>
      <c r="Q277" s="9">
        <v>45176</v>
      </c>
      <c r="R277" t="s">
        <v>37</v>
      </c>
      <c r="S277" t="s">
        <v>44</v>
      </c>
      <c r="T277" t="s">
        <v>45</v>
      </c>
      <c r="U277" t="s">
        <v>115</v>
      </c>
      <c r="V277" t="s">
        <v>938</v>
      </c>
      <c r="W277">
        <v>17000</v>
      </c>
      <c r="X277" t="s">
        <v>44</v>
      </c>
      <c r="Y277" t="s">
        <v>45</v>
      </c>
      <c r="Z277" t="s">
        <v>49</v>
      </c>
      <c r="AA277" s="10">
        <f>IF(O277&lt;=1,7,7+0.8*ROUNDUP(O277-1,0))</f>
        <v>7</v>
      </c>
      <c r="AB277" s="11">
        <v>0</v>
      </c>
      <c r="AC277" s="11">
        <v>0</v>
      </c>
      <c r="AD277" s="11">
        <v>0</v>
      </c>
      <c r="AE277" s="11">
        <v>0</v>
      </c>
      <c r="AF277" s="11">
        <f t="shared" si="8"/>
        <v>0.42</v>
      </c>
      <c r="AG277" s="11">
        <f t="shared" si="9"/>
        <v>7.42</v>
      </c>
      <c r="AH277" t="s">
        <v>50</v>
      </c>
    </row>
    <row r="278" spans="1:34" ht="15" customHeight="1" x14ac:dyDescent="0.35">
      <c r="A278">
        <v>7547676</v>
      </c>
      <c r="B278">
        <v>690929</v>
      </c>
      <c r="C278" t="s">
        <v>34</v>
      </c>
      <c r="D278" t="s">
        <v>35</v>
      </c>
      <c r="E278" s="6" t="s">
        <v>34</v>
      </c>
      <c r="F278" t="s">
        <v>939</v>
      </c>
      <c r="G278" t="s">
        <v>37</v>
      </c>
      <c r="H278" t="s">
        <v>38</v>
      </c>
      <c r="I278" t="s">
        <v>39</v>
      </c>
      <c r="J278" t="s">
        <v>40</v>
      </c>
      <c r="K278">
        <v>2</v>
      </c>
      <c r="L278" t="s">
        <v>41</v>
      </c>
      <c r="M278" t="s">
        <v>42</v>
      </c>
      <c r="N278" t="s">
        <v>43</v>
      </c>
      <c r="O278" s="7">
        <v>3</v>
      </c>
      <c r="P278" s="8">
        <v>45174.632534722223</v>
      </c>
      <c r="Q278" s="9">
        <v>45176</v>
      </c>
      <c r="R278" t="s">
        <v>37</v>
      </c>
      <c r="S278" t="s">
        <v>44</v>
      </c>
      <c r="T278" t="s">
        <v>45</v>
      </c>
      <c r="U278" t="s">
        <v>46</v>
      </c>
      <c r="V278" t="s">
        <v>47</v>
      </c>
      <c r="W278">
        <v>39100</v>
      </c>
      <c r="X278" t="s">
        <v>44</v>
      </c>
      <c r="Y278" t="s">
        <v>48</v>
      </c>
      <c r="Z278" t="s">
        <v>49</v>
      </c>
      <c r="AA278" s="10">
        <f>IF(O278&lt;=1,7,7+0.8*ROUNDUP(O278-1,0))</f>
        <v>8.6</v>
      </c>
      <c r="AB278" s="11">
        <v>0</v>
      </c>
      <c r="AC278" s="11">
        <v>0</v>
      </c>
      <c r="AD278" s="11">
        <v>0</v>
      </c>
      <c r="AE278" s="11">
        <v>0</v>
      </c>
      <c r="AF278" s="11">
        <f t="shared" si="8"/>
        <v>0.51600000000000001</v>
      </c>
      <c r="AG278" s="11">
        <f t="shared" si="9"/>
        <v>9.1159999999999997</v>
      </c>
      <c r="AH278" t="s">
        <v>50</v>
      </c>
    </row>
    <row r="279" spans="1:34" ht="15" customHeight="1" x14ac:dyDescent="0.35">
      <c r="A279">
        <v>7547676</v>
      </c>
      <c r="B279">
        <v>690929</v>
      </c>
      <c r="C279" t="s">
        <v>34</v>
      </c>
      <c r="D279" t="s">
        <v>35</v>
      </c>
      <c r="E279" s="6" t="s">
        <v>34</v>
      </c>
      <c r="F279" t="s">
        <v>940</v>
      </c>
      <c r="G279" t="s">
        <v>37</v>
      </c>
      <c r="H279" t="s">
        <v>38</v>
      </c>
      <c r="I279" t="s">
        <v>941</v>
      </c>
      <c r="J279" t="s">
        <v>40</v>
      </c>
      <c r="K279">
        <v>2</v>
      </c>
      <c r="L279" t="s">
        <v>41</v>
      </c>
      <c r="M279" t="s">
        <v>42</v>
      </c>
      <c r="N279" t="s">
        <v>43</v>
      </c>
      <c r="O279" s="7">
        <v>1</v>
      </c>
      <c r="P279" s="8">
        <v>45175.71738425926</v>
      </c>
      <c r="Q279" s="9">
        <v>45176</v>
      </c>
      <c r="R279" t="s">
        <v>37</v>
      </c>
      <c r="S279" t="s">
        <v>44</v>
      </c>
      <c r="T279" t="s">
        <v>45</v>
      </c>
      <c r="U279" t="s">
        <v>67</v>
      </c>
      <c r="V279" t="s">
        <v>942</v>
      </c>
      <c r="W279">
        <v>43650</v>
      </c>
      <c r="X279" t="s">
        <v>44</v>
      </c>
      <c r="Y279" t="s">
        <v>69</v>
      </c>
      <c r="Z279" t="s">
        <v>49</v>
      </c>
      <c r="AA279" s="10">
        <f>IF(O279&lt;=1,7,7+0.8*ROUNDUP(O279-1,0))</f>
        <v>7</v>
      </c>
      <c r="AB279" s="11">
        <v>0</v>
      </c>
      <c r="AC279" s="11">
        <v>0</v>
      </c>
      <c r="AD279" s="11">
        <v>0</v>
      </c>
      <c r="AE279" s="11">
        <v>0</v>
      </c>
      <c r="AF279" s="11">
        <f t="shared" si="8"/>
        <v>0.42</v>
      </c>
      <c r="AG279" s="11">
        <f t="shared" si="9"/>
        <v>7.42</v>
      </c>
      <c r="AH279" t="s">
        <v>50</v>
      </c>
    </row>
    <row r="280" spans="1:34" ht="15" customHeight="1" x14ac:dyDescent="0.35">
      <c r="A280">
        <v>7547676</v>
      </c>
      <c r="B280">
        <v>690929</v>
      </c>
      <c r="C280" t="s">
        <v>34</v>
      </c>
      <c r="D280" t="s">
        <v>35</v>
      </c>
      <c r="E280" s="6" t="s">
        <v>34</v>
      </c>
      <c r="F280" t="s">
        <v>943</v>
      </c>
      <c r="G280" t="s">
        <v>37</v>
      </c>
      <c r="H280" t="s">
        <v>38</v>
      </c>
      <c r="I280" t="s">
        <v>39</v>
      </c>
      <c r="J280" t="s">
        <v>40</v>
      </c>
      <c r="K280">
        <v>2</v>
      </c>
      <c r="L280" t="s">
        <v>41</v>
      </c>
      <c r="M280" t="s">
        <v>42</v>
      </c>
      <c r="N280" t="s">
        <v>43</v>
      </c>
      <c r="O280" s="7">
        <v>3</v>
      </c>
      <c r="P280" s="8">
        <v>45174.632534722223</v>
      </c>
      <c r="Q280" s="9">
        <v>45176</v>
      </c>
      <c r="R280" t="s">
        <v>37</v>
      </c>
      <c r="S280" t="s">
        <v>44</v>
      </c>
      <c r="T280" t="s">
        <v>45</v>
      </c>
      <c r="U280" t="s">
        <v>46</v>
      </c>
      <c r="V280" t="s">
        <v>47</v>
      </c>
      <c r="W280">
        <v>39100</v>
      </c>
      <c r="X280" t="s">
        <v>44</v>
      </c>
      <c r="Y280" t="s">
        <v>48</v>
      </c>
      <c r="Z280" t="s">
        <v>49</v>
      </c>
      <c r="AA280" s="10">
        <f>IF(O280&lt;=1,7,7+0.8*ROUNDUP(O280-1,0))</f>
        <v>8.6</v>
      </c>
      <c r="AB280" s="11">
        <v>0</v>
      </c>
      <c r="AC280" s="11">
        <v>0</v>
      </c>
      <c r="AD280" s="11">
        <v>0</v>
      </c>
      <c r="AE280" s="11">
        <v>0</v>
      </c>
      <c r="AF280" s="11">
        <f t="shared" si="8"/>
        <v>0.51600000000000001</v>
      </c>
      <c r="AG280" s="11">
        <f t="shared" si="9"/>
        <v>9.1159999999999997</v>
      </c>
      <c r="AH280" t="s">
        <v>50</v>
      </c>
    </row>
    <row r="281" spans="1:34" ht="15" customHeight="1" x14ac:dyDescent="0.35">
      <c r="A281">
        <v>7547676</v>
      </c>
      <c r="B281">
        <v>690929</v>
      </c>
      <c r="C281" t="s">
        <v>34</v>
      </c>
      <c r="D281" t="s">
        <v>35</v>
      </c>
      <c r="E281" s="6" t="s">
        <v>34</v>
      </c>
      <c r="F281" t="s">
        <v>944</v>
      </c>
      <c r="G281" t="s">
        <v>37</v>
      </c>
      <c r="H281" t="s">
        <v>38</v>
      </c>
      <c r="I281" t="s">
        <v>39</v>
      </c>
      <c r="J281" t="s">
        <v>40</v>
      </c>
      <c r="K281">
        <v>2</v>
      </c>
      <c r="L281" t="s">
        <v>41</v>
      </c>
      <c r="M281" t="s">
        <v>42</v>
      </c>
      <c r="N281" t="s">
        <v>43</v>
      </c>
      <c r="O281" s="7">
        <v>3</v>
      </c>
      <c r="P281" s="8">
        <v>45174.632534722223</v>
      </c>
      <c r="Q281" s="9">
        <v>45176</v>
      </c>
      <c r="R281" t="s">
        <v>37</v>
      </c>
      <c r="S281" t="s">
        <v>44</v>
      </c>
      <c r="T281" t="s">
        <v>45</v>
      </c>
      <c r="U281" t="s">
        <v>46</v>
      </c>
      <c r="V281" t="s">
        <v>47</v>
      </c>
      <c r="W281">
        <v>39100</v>
      </c>
      <c r="X281" t="s">
        <v>44</v>
      </c>
      <c r="Y281" t="s">
        <v>48</v>
      </c>
      <c r="Z281" t="s">
        <v>49</v>
      </c>
      <c r="AA281" s="10">
        <f>IF(O281&lt;=1,7,7+0.8*ROUNDUP(O281-1,0))</f>
        <v>8.6</v>
      </c>
      <c r="AB281" s="11">
        <v>0</v>
      </c>
      <c r="AC281" s="11">
        <v>0</v>
      </c>
      <c r="AD281" s="11">
        <v>0</v>
      </c>
      <c r="AE281" s="11">
        <v>0</v>
      </c>
      <c r="AF281" s="11">
        <f t="shared" si="8"/>
        <v>0.51600000000000001</v>
      </c>
      <c r="AG281" s="11">
        <f t="shared" si="9"/>
        <v>9.1159999999999997</v>
      </c>
      <c r="AH281" t="s">
        <v>50</v>
      </c>
    </row>
    <row r="282" spans="1:34" ht="15" customHeight="1" x14ac:dyDescent="0.35">
      <c r="A282">
        <v>7547676</v>
      </c>
      <c r="B282">
        <v>690929</v>
      </c>
      <c r="C282" t="s">
        <v>34</v>
      </c>
      <c r="D282" t="s">
        <v>35</v>
      </c>
      <c r="E282" s="6" t="s">
        <v>34</v>
      </c>
      <c r="F282" t="s">
        <v>945</v>
      </c>
      <c r="G282" t="s">
        <v>37</v>
      </c>
      <c r="H282" t="s">
        <v>38</v>
      </c>
      <c r="I282" t="s">
        <v>946</v>
      </c>
      <c r="J282" t="s">
        <v>40</v>
      </c>
      <c r="K282">
        <v>2</v>
      </c>
      <c r="L282" t="s">
        <v>41</v>
      </c>
      <c r="M282" t="s">
        <v>42</v>
      </c>
      <c r="N282" t="s">
        <v>43</v>
      </c>
      <c r="O282" s="7">
        <v>3</v>
      </c>
      <c r="P282" s="8">
        <v>45175.723136574074</v>
      </c>
      <c r="Q282" s="9">
        <v>45176</v>
      </c>
      <c r="R282" t="s">
        <v>37</v>
      </c>
      <c r="S282" t="s">
        <v>44</v>
      </c>
      <c r="T282" t="s">
        <v>45</v>
      </c>
      <c r="U282" t="s">
        <v>46</v>
      </c>
      <c r="V282" t="s">
        <v>947</v>
      </c>
      <c r="W282">
        <v>26600</v>
      </c>
      <c r="X282" t="s">
        <v>44</v>
      </c>
      <c r="Y282" t="s">
        <v>724</v>
      </c>
      <c r="Z282" t="s">
        <v>49</v>
      </c>
      <c r="AA282" s="10">
        <f>IF(O282&lt;=1,7,7+0.8*ROUNDUP(O282-1,0))</f>
        <v>8.6</v>
      </c>
      <c r="AB282" s="11">
        <v>0</v>
      </c>
      <c r="AC282" s="11">
        <v>0</v>
      </c>
      <c r="AD282" s="11">
        <v>0</v>
      </c>
      <c r="AE282" s="11">
        <v>0</v>
      </c>
      <c r="AF282" s="11">
        <f t="shared" si="8"/>
        <v>0.51600000000000001</v>
      </c>
      <c r="AG282" s="11">
        <f t="shared" si="9"/>
        <v>9.1159999999999997</v>
      </c>
      <c r="AH282" t="s">
        <v>50</v>
      </c>
    </row>
    <row r="283" spans="1:34" ht="15" customHeight="1" x14ac:dyDescent="0.35">
      <c r="A283">
        <v>7547676</v>
      </c>
      <c r="B283">
        <v>690929</v>
      </c>
      <c r="C283" t="s">
        <v>34</v>
      </c>
      <c r="D283" t="s">
        <v>35</v>
      </c>
      <c r="E283" s="6" t="s">
        <v>34</v>
      </c>
      <c r="F283" t="s">
        <v>948</v>
      </c>
      <c r="G283" t="s">
        <v>37</v>
      </c>
      <c r="H283" t="s">
        <v>38</v>
      </c>
      <c r="I283" t="s">
        <v>949</v>
      </c>
      <c r="J283" t="s">
        <v>40</v>
      </c>
      <c r="K283">
        <v>2</v>
      </c>
      <c r="L283" t="s">
        <v>41</v>
      </c>
      <c r="M283" t="s">
        <v>42</v>
      </c>
      <c r="N283" t="s">
        <v>43</v>
      </c>
      <c r="O283" s="7">
        <v>1</v>
      </c>
      <c r="P283" s="8">
        <v>45174.389050925929</v>
      </c>
      <c r="Q283" s="9">
        <v>45176</v>
      </c>
      <c r="R283" t="s">
        <v>37</v>
      </c>
      <c r="S283" t="s">
        <v>44</v>
      </c>
      <c r="T283" t="s">
        <v>69</v>
      </c>
      <c r="U283" t="s">
        <v>115</v>
      </c>
      <c r="V283" t="s">
        <v>950</v>
      </c>
      <c r="W283">
        <v>16150</v>
      </c>
      <c r="X283" t="s">
        <v>44</v>
      </c>
      <c r="Y283" t="s">
        <v>951</v>
      </c>
      <c r="Z283" t="s">
        <v>49</v>
      </c>
      <c r="AA283" s="10">
        <f>IF(O283&lt;=1,7,7+0.8*ROUNDUP(O283-1,0))</f>
        <v>7</v>
      </c>
      <c r="AB283" s="11">
        <v>0</v>
      </c>
      <c r="AC283" s="11">
        <v>0</v>
      </c>
      <c r="AD283" s="11">
        <v>0</v>
      </c>
      <c r="AE283" s="11">
        <v>0</v>
      </c>
      <c r="AF283" s="11">
        <f t="shared" si="8"/>
        <v>0.42</v>
      </c>
      <c r="AG283" s="11">
        <f t="shared" si="9"/>
        <v>7.42</v>
      </c>
      <c r="AH283" t="s">
        <v>50</v>
      </c>
    </row>
    <row r="284" spans="1:34" ht="15" customHeight="1" x14ac:dyDescent="0.35">
      <c r="A284">
        <v>7547676</v>
      </c>
      <c r="B284">
        <v>690929</v>
      </c>
      <c r="C284" t="s">
        <v>34</v>
      </c>
      <c r="D284" t="s">
        <v>35</v>
      </c>
      <c r="E284" s="6" t="s">
        <v>34</v>
      </c>
      <c r="F284" t="s">
        <v>952</v>
      </c>
      <c r="G284" t="s">
        <v>37</v>
      </c>
      <c r="H284" t="s">
        <v>38</v>
      </c>
      <c r="I284" t="s">
        <v>953</v>
      </c>
      <c r="J284" t="s">
        <v>40</v>
      </c>
      <c r="K284">
        <v>2</v>
      </c>
      <c r="L284" t="s">
        <v>41</v>
      </c>
      <c r="M284" t="s">
        <v>42</v>
      </c>
      <c r="N284" t="s">
        <v>43</v>
      </c>
      <c r="O284" s="7">
        <v>1</v>
      </c>
      <c r="P284" s="8">
        <v>45174.717418981483</v>
      </c>
      <c r="Q284" s="9">
        <v>45176</v>
      </c>
      <c r="R284" t="s">
        <v>37</v>
      </c>
      <c r="S284" t="s">
        <v>44</v>
      </c>
      <c r="T284" t="s">
        <v>69</v>
      </c>
      <c r="U284" t="s">
        <v>101</v>
      </c>
      <c r="V284" t="s">
        <v>954</v>
      </c>
      <c r="W284">
        <v>34600</v>
      </c>
      <c r="X284" t="s">
        <v>44</v>
      </c>
      <c r="Y284" t="s">
        <v>145</v>
      </c>
      <c r="Z284" t="s">
        <v>49</v>
      </c>
      <c r="AA284" s="10">
        <f>IF(O284&lt;=1,7,7+0.8*ROUNDUP(O284-1,0))</f>
        <v>7</v>
      </c>
      <c r="AB284" s="11">
        <v>0</v>
      </c>
      <c r="AC284" s="11">
        <v>0</v>
      </c>
      <c r="AD284" s="11">
        <v>0</v>
      </c>
      <c r="AE284" s="11">
        <v>0</v>
      </c>
      <c r="AF284" s="11">
        <f t="shared" si="8"/>
        <v>0.42</v>
      </c>
      <c r="AG284" s="11">
        <f t="shared" si="9"/>
        <v>7.42</v>
      </c>
      <c r="AH284" t="s">
        <v>50</v>
      </c>
    </row>
    <row r="285" spans="1:34" ht="15" customHeight="1" x14ac:dyDescent="0.35">
      <c r="A285">
        <v>7547676</v>
      </c>
      <c r="B285">
        <v>690929</v>
      </c>
      <c r="C285" t="s">
        <v>34</v>
      </c>
      <c r="D285" t="s">
        <v>35</v>
      </c>
      <c r="E285" s="6" t="s">
        <v>34</v>
      </c>
      <c r="F285" t="s">
        <v>955</v>
      </c>
      <c r="G285" t="s">
        <v>37</v>
      </c>
      <c r="H285" t="s">
        <v>38</v>
      </c>
      <c r="I285" t="s">
        <v>956</v>
      </c>
      <c r="J285" t="s">
        <v>40</v>
      </c>
      <c r="K285">
        <v>2</v>
      </c>
      <c r="L285" t="s">
        <v>41</v>
      </c>
      <c r="M285" t="s">
        <v>42</v>
      </c>
      <c r="N285" t="s">
        <v>43</v>
      </c>
      <c r="O285" s="7">
        <v>1</v>
      </c>
      <c r="P285" s="8">
        <v>45175.700613425928</v>
      </c>
      <c r="Q285" s="9">
        <v>45176</v>
      </c>
      <c r="R285" t="s">
        <v>37</v>
      </c>
      <c r="S285" t="s">
        <v>44</v>
      </c>
      <c r="T285" t="s">
        <v>45</v>
      </c>
      <c r="U285" t="s">
        <v>46</v>
      </c>
      <c r="V285" t="s">
        <v>957</v>
      </c>
      <c r="W285">
        <v>26600</v>
      </c>
      <c r="X285" t="s">
        <v>44</v>
      </c>
      <c r="Y285" t="s">
        <v>45</v>
      </c>
      <c r="Z285" t="s">
        <v>49</v>
      </c>
      <c r="AA285" s="10">
        <f>IF(O285&lt;=1,7,7+0.8*ROUNDUP(O285-1,0))</f>
        <v>7</v>
      </c>
      <c r="AB285" s="11">
        <v>0</v>
      </c>
      <c r="AC285" s="11">
        <v>0</v>
      </c>
      <c r="AD285" s="11">
        <v>0</v>
      </c>
      <c r="AE285" s="11">
        <v>0</v>
      </c>
      <c r="AF285" s="11">
        <f t="shared" si="8"/>
        <v>0.42</v>
      </c>
      <c r="AG285" s="11">
        <f t="shared" si="9"/>
        <v>7.42</v>
      </c>
      <c r="AH285" t="s">
        <v>50</v>
      </c>
    </row>
    <row r="286" spans="1:34" ht="15" customHeight="1" x14ac:dyDescent="0.35">
      <c r="A286">
        <v>7547676</v>
      </c>
      <c r="B286">
        <v>690929</v>
      </c>
      <c r="C286" t="s">
        <v>34</v>
      </c>
      <c r="D286" t="s">
        <v>35</v>
      </c>
      <c r="E286" s="6" t="s">
        <v>34</v>
      </c>
      <c r="F286" t="s">
        <v>958</v>
      </c>
      <c r="G286" t="s">
        <v>37</v>
      </c>
      <c r="H286" t="s">
        <v>38</v>
      </c>
      <c r="I286" t="s">
        <v>959</v>
      </c>
      <c r="J286" t="s">
        <v>40</v>
      </c>
      <c r="K286">
        <v>2</v>
      </c>
      <c r="L286" t="s">
        <v>41</v>
      </c>
      <c r="M286" t="s">
        <v>42</v>
      </c>
      <c r="N286" t="s">
        <v>43</v>
      </c>
      <c r="O286" s="7">
        <v>1</v>
      </c>
      <c r="P286" s="8">
        <v>45175.700601851851</v>
      </c>
      <c r="Q286" s="9">
        <v>45176</v>
      </c>
      <c r="R286" t="s">
        <v>37</v>
      </c>
      <c r="S286" t="s">
        <v>44</v>
      </c>
      <c r="T286" t="s">
        <v>45</v>
      </c>
      <c r="U286" t="s">
        <v>46</v>
      </c>
      <c r="V286" t="s">
        <v>960</v>
      </c>
      <c r="W286">
        <v>27150</v>
      </c>
      <c r="X286" t="s">
        <v>44</v>
      </c>
      <c r="Y286" t="s">
        <v>45</v>
      </c>
      <c r="Z286" t="s">
        <v>49</v>
      </c>
      <c r="AA286" s="10">
        <f>IF(O286&lt;=1,7,7+0.8*ROUNDUP(O286-1,0))</f>
        <v>7</v>
      </c>
      <c r="AB286" s="11">
        <v>0</v>
      </c>
      <c r="AC286" s="11">
        <v>0</v>
      </c>
      <c r="AD286" s="11">
        <v>0</v>
      </c>
      <c r="AE286" s="11">
        <v>0</v>
      </c>
      <c r="AF286" s="11">
        <f t="shared" si="8"/>
        <v>0.42</v>
      </c>
      <c r="AG286" s="11">
        <f t="shared" si="9"/>
        <v>7.42</v>
      </c>
      <c r="AH286" t="s">
        <v>50</v>
      </c>
    </row>
    <row r="287" spans="1:34" ht="15" customHeight="1" x14ac:dyDescent="0.35">
      <c r="A287">
        <v>7547676</v>
      </c>
      <c r="B287">
        <v>690929</v>
      </c>
      <c r="C287" t="s">
        <v>34</v>
      </c>
      <c r="D287" t="s">
        <v>35</v>
      </c>
      <c r="E287" s="6" t="s">
        <v>34</v>
      </c>
      <c r="F287" t="s">
        <v>961</v>
      </c>
      <c r="G287" t="s">
        <v>37</v>
      </c>
      <c r="H287" t="s">
        <v>38</v>
      </c>
      <c r="I287" t="s">
        <v>962</v>
      </c>
      <c r="J287" t="s">
        <v>40</v>
      </c>
      <c r="K287">
        <v>2</v>
      </c>
      <c r="L287" t="s">
        <v>41</v>
      </c>
      <c r="M287" t="s">
        <v>42</v>
      </c>
      <c r="N287" t="s">
        <v>43</v>
      </c>
      <c r="O287" s="7">
        <v>1</v>
      </c>
      <c r="P287" s="8">
        <v>45175.700601851851</v>
      </c>
      <c r="Q287" s="9">
        <v>45176</v>
      </c>
      <c r="R287" t="s">
        <v>37</v>
      </c>
      <c r="S287" t="s">
        <v>44</v>
      </c>
      <c r="T287" t="s">
        <v>45</v>
      </c>
      <c r="U287" t="s">
        <v>284</v>
      </c>
      <c r="V287" t="s">
        <v>963</v>
      </c>
      <c r="W287">
        <v>21200</v>
      </c>
      <c r="X287" t="s">
        <v>44</v>
      </c>
      <c r="Y287" t="s">
        <v>45</v>
      </c>
      <c r="Z287" t="s">
        <v>49</v>
      </c>
      <c r="AA287" s="10">
        <f>IF(O287&lt;=1,7,7+0.8*ROUNDUP(O287-1,0))</f>
        <v>7</v>
      </c>
      <c r="AB287" s="11">
        <v>0</v>
      </c>
      <c r="AC287" s="11">
        <v>0</v>
      </c>
      <c r="AD287" s="11">
        <v>0</v>
      </c>
      <c r="AE287" s="11">
        <v>0</v>
      </c>
      <c r="AF287" s="11">
        <f t="shared" si="8"/>
        <v>0.42</v>
      </c>
      <c r="AG287" s="11">
        <f t="shared" si="9"/>
        <v>7.42</v>
      </c>
      <c r="AH287" t="s">
        <v>50</v>
      </c>
    </row>
    <row r="288" spans="1:34" ht="15" customHeight="1" x14ac:dyDescent="0.35">
      <c r="A288">
        <v>7547676</v>
      </c>
      <c r="B288">
        <v>690929</v>
      </c>
      <c r="C288" t="s">
        <v>34</v>
      </c>
      <c r="D288" t="s">
        <v>35</v>
      </c>
      <c r="E288" s="6" t="s">
        <v>34</v>
      </c>
      <c r="F288" t="s">
        <v>964</v>
      </c>
      <c r="G288" t="s">
        <v>37</v>
      </c>
      <c r="H288" t="s">
        <v>38</v>
      </c>
      <c r="I288" t="s">
        <v>965</v>
      </c>
      <c r="J288" t="s">
        <v>40</v>
      </c>
      <c r="K288">
        <v>2</v>
      </c>
      <c r="L288" t="s">
        <v>41</v>
      </c>
      <c r="M288" t="s">
        <v>42</v>
      </c>
      <c r="N288" t="s">
        <v>43</v>
      </c>
      <c r="O288" s="7">
        <v>1</v>
      </c>
      <c r="P288" s="8">
        <v>45175.700601851851</v>
      </c>
      <c r="Q288" s="9">
        <v>45176</v>
      </c>
      <c r="R288" t="s">
        <v>37</v>
      </c>
      <c r="S288" t="s">
        <v>44</v>
      </c>
      <c r="T288" t="s">
        <v>45</v>
      </c>
      <c r="U288" t="s">
        <v>46</v>
      </c>
      <c r="V288" t="s">
        <v>966</v>
      </c>
      <c r="W288">
        <v>26700</v>
      </c>
      <c r="X288" t="s">
        <v>44</v>
      </c>
      <c r="Y288" t="s">
        <v>45</v>
      </c>
      <c r="Z288" t="s">
        <v>49</v>
      </c>
      <c r="AA288" s="10">
        <f>IF(O288&lt;=1,7,7+0.8*ROUNDUP(O288-1,0))</f>
        <v>7</v>
      </c>
      <c r="AB288" s="11">
        <v>0</v>
      </c>
      <c r="AC288" s="11">
        <v>0</v>
      </c>
      <c r="AD288" s="11">
        <v>0</v>
      </c>
      <c r="AE288" s="11">
        <v>0</v>
      </c>
      <c r="AF288" s="11">
        <f t="shared" si="8"/>
        <v>0.42</v>
      </c>
      <c r="AG288" s="11">
        <f t="shared" si="9"/>
        <v>7.42</v>
      </c>
      <c r="AH288" t="s">
        <v>50</v>
      </c>
    </row>
    <row r="289" spans="1:34" ht="15" customHeight="1" x14ac:dyDescent="0.35">
      <c r="A289">
        <v>7547676</v>
      </c>
      <c r="B289">
        <v>690929</v>
      </c>
      <c r="C289" t="s">
        <v>34</v>
      </c>
      <c r="D289" t="s">
        <v>35</v>
      </c>
      <c r="E289" s="6" t="s">
        <v>34</v>
      </c>
      <c r="F289" t="s">
        <v>967</v>
      </c>
      <c r="G289" t="s">
        <v>37</v>
      </c>
      <c r="H289" t="s">
        <v>38</v>
      </c>
      <c r="I289" t="s">
        <v>968</v>
      </c>
      <c r="J289" t="s">
        <v>40</v>
      </c>
      <c r="K289">
        <v>2</v>
      </c>
      <c r="L289" t="s">
        <v>41</v>
      </c>
      <c r="M289" t="s">
        <v>42</v>
      </c>
      <c r="N289" t="s">
        <v>43</v>
      </c>
      <c r="O289" s="7">
        <v>4</v>
      </c>
      <c r="P289" s="8">
        <v>45175.723136574074</v>
      </c>
      <c r="Q289" s="9">
        <v>45176</v>
      </c>
      <c r="R289" t="s">
        <v>37</v>
      </c>
      <c r="S289" t="s">
        <v>44</v>
      </c>
      <c r="T289" t="s">
        <v>45</v>
      </c>
      <c r="U289" t="s">
        <v>67</v>
      </c>
      <c r="V289" t="s">
        <v>969</v>
      </c>
      <c r="W289">
        <v>56100</v>
      </c>
      <c r="X289" t="s">
        <v>44</v>
      </c>
      <c r="Y289" t="s">
        <v>970</v>
      </c>
      <c r="Z289" t="s">
        <v>49</v>
      </c>
      <c r="AA289" s="10">
        <f>IF(O289&lt;=1,7,7+0.8*ROUNDUP(O289-1,0))</f>
        <v>9.4</v>
      </c>
      <c r="AB289" s="11">
        <v>0</v>
      </c>
      <c r="AC289" s="11">
        <v>0</v>
      </c>
      <c r="AD289" s="11">
        <v>0</v>
      </c>
      <c r="AE289" s="11">
        <v>0</v>
      </c>
      <c r="AF289" s="11">
        <f t="shared" si="8"/>
        <v>0.56399999999999995</v>
      </c>
      <c r="AG289" s="11">
        <f t="shared" si="9"/>
        <v>9.9640000000000004</v>
      </c>
      <c r="AH289" t="s">
        <v>50</v>
      </c>
    </row>
    <row r="290" spans="1:34" ht="15" customHeight="1" x14ac:dyDescent="0.35">
      <c r="A290">
        <v>7547676</v>
      </c>
      <c r="B290">
        <v>690929</v>
      </c>
      <c r="C290" t="s">
        <v>34</v>
      </c>
      <c r="D290" t="s">
        <v>35</v>
      </c>
      <c r="E290" s="6" t="s">
        <v>34</v>
      </c>
      <c r="F290" t="s">
        <v>971</v>
      </c>
      <c r="G290" t="s">
        <v>37</v>
      </c>
      <c r="H290" t="s">
        <v>38</v>
      </c>
      <c r="I290" t="s">
        <v>972</v>
      </c>
      <c r="J290" t="s">
        <v>40</v>
      </c>
      <c r="K290">
        <v>2</v>
      </c>
      <c r="L290" t="s">
        <v>41</v>
      </c>
      <c r="M290" t="s">
        <v>42</v>
      </c>
      <c r="N290" t="s">
        <v>43</v>
      </c>
      <c r="O290" s="7">
        <v>1</v>
      </c>
      <c r="P290" s="8">
        <v>45175.71738425926</v>
      </c>
      <c r="Q290" s="9">
        <v>45176</v>
      </c>
      <c r="R290" t="s">
        <v>37</v>
      </c>
      <c r="S290" t="s">
        <v>44</v>
      </c>
      <c r="T290" t="s">
        <v>45</v>
      </c>
      <c r="U290" t="s">
        <v>284</v>
      </c>
      <c r="V290" t="s">
        <v>973</v>
      </c>
      <c r="W290">
        <v>21600</v>
      </c>
      <c r="X290" t="s">
        <v>44</v>
      </c>
      <c r="Y290" t="s">
        <v>45</v>
      </c>
      <c r="Z290" t="s">
        <v>49</v>
      </c>
      <c r="AA290" s="10">
        <f>IF(O290&lt;=1,7,7+0.8*ROUNDUP(O290-1,0))</f>
        <v>7</v>
      </c>
      <c r="AB290" s="11">
        <v>0</v>
      </c>
      <c r="AC290" s="11">
        <v>0</v>
      </c>
      <c r="AD290" s="11">
        <v>0</v>
      </c>
      <c r="AE290" s="11">
        <v>0</v>
      </c>
      <c r="AF290" s="11">
        <f t="shared" si="8"/>
        <v>0.42</v>
      </c>
      <c r="AG290" s="11">
        <f t="shared" si="9"/>
        <v>7.42</v>
      </c>
      <c r="AH290" t="s">
        <v>50</v>
      </c>
    </row>
    <row r="291" spans="1:34" ht="15" customHeight="1" x14ac:dyDescent="0.35">
      <c r="A291">
        <v>7547676</v>
      </c>
      <c r="B291">
        <v>690929</v>
      </c>
      <c r="C291" t="s">
        <v>34</v>
      </c>
      <c r="D291" t="s">
        <v>35</v>
      </c>
      <c r="E291" s="6" t="s">
        <v>34</v>
      </c>
      <c r="F291" t="s">
        <v>974</v>
      </c>
      <c r="G291" t="s">
        <v>37</v>
      </c>
      <c r="H291" t="s">
        <v>38</v>
      </c>
      <c r="I291" t="s">
        <v>975</v>
      </c>
      <c r="J291" t="s">
        <v>40</v>
      </c>
      <c r="K291">
        <v>2</v>
      </c>
      <c r="L291" t="s">
        <v>41</v>
      </c>
      <c r="M291" t="s">
        <v>42</v>
      </c>
      <c r="N291" t="s">
        <v>43</v>
      </c>
      <c r="O291" s="7">
        <v>3</v>
      </c>
      <c r="P291" s="8">
        <v>45175.723124999997</v>
      </c>
      <c r="Q291" s="9">
        <v>45176</v>
      </c>
      <c r="R291" t="s">
        <v>37</v>
      </c>
      <c r="S291" t="s">
        <v>44</v>
      </c>
      <c r="T291" t="s">
        <v>45</v>
      </c>
      <c r="U291" t="s">
        <v>284</v>
      </c>
      <c r="V291" t="s">
        <v>976</v>
      </c>
      <c r="W291">
        <v>21210</v>
      </c>
      <c r="X291" t="s">
        <v>44</v>
      </c>
      <c r="Y291" t="s">
        <v>977</v>
      </c>
      <c r="Z291" t="s">
        <v>49</v>
      </c>
      <c r="AA291" s="10">
        <f>IF(O291&lt;=1,7,7+0.8*ROUNDUP(O291-1,0))</f>
        <v>8.6</v>
      </c>
      <c r="AB291" s="11">
        <v>0</v>
      </c>
      <c r="AC291" s="11">
        <v>0</v>
      </c>
      <c r="AD291" s="11">
        <v>0</v>
      </c>
      <c r="AE291" s="11">
        <v>0</v>
      </c>
      <c r="AF291" s="11">
        <f t="shared" si="8"/>
        <v>0.51600000000000001</v>
      </c>
      <c r="AG291" s="11">
        <f t="shared" si="9"/>
        <v>9.1159999999999997</v>
      </c>
      <c r="AH291" t="s">
        <v>50</v>
      </c>
    </row>
    <row r="292" spans="1:34" ht="15" customHeight="1" x14ac:dyDescent="0.35">
      <c r="A292">
        <v>7547676</v>
      </c>
      <c r="B292">
        <v>690929</v>
      </c>
      <c r="C292" t="s">
        <v>34</v>
      </c>
      <c r="D292" t="s">
        <v>35</v>
      </c>
      <c r="E292" s="6" t="s">
        <v>34</v>
      </c>
      <c r="F292" t="s">
        <v>978</v>
      </c>
      <c r="G292" t="s">
        <v>37</v>
      </c>
      <c r="H292" t="s">
        <v>38</v>
      </c>
      <c r="I292" t="s">
        <v>979</v>
      </c>
      <c r="J292" t="s">
        <v>40</v>
      </c>
      <c r="K292">
        <v>2</v>
      </c>
      <c r="L292" t="s">
        <v>41</v>
      </c>
      <c r="M292" t="s">
        <v>42</v>
      </c>
      <c r="N292" t="s">
        <v>43</v>
      </c>
      <c r="O292" s="7">
        <v>1</v>
      </c>
      <c r="P292" s="8">
        <v>45174.608217592591</v>
      </c>
      <c r="Q292" s="9">
        <v>45176</v>
      </c>
      <c r="R292" t="s">
        <v>37</v>
      </c>
      <c r="S292" t="s">
        <v>44</v>
      </c>
      <c r="T292" t="s">
        <v>69</v>
      </c>
      <c r="U292" t="s">
        <v>115</v>
      </c>
      <c r="V292" t="s">
        <v>980</v>
      </c>
      <c r="W292">
        <v>18300</v>
      </c>
      <c r="X292" t="s">
        <v>44</v>
      </c>
      <c r="Y292" t="s">
        <v>981</v>
      </c>
      <c r="Z292" t="s">
        <v>49</v>
      </c>
      <c r="AA292" s="10">
        <f>IF(O292&lt;=1,7,7+0.8*ROUNDUP(O292-1,0))</f>
        <v>7</v>
      </c>
      <c r="AB292" s="11">
        <v>0</v>
      </c>
      <c r="AC292" s="11">
        <v>0</v>
      </c>
      <c r="AD292" s="11">
        <v>0</v>
      </c>
      <c r="AE292" s="11">
        <v>0</v>
      </c>
      <c r="AF292" s="11">
        <f t="shared" si="8"/>
        <v>0.42</v>
      </c>
      <c r="AG292" s="11">
        <f t="shared" si="9"/>
        <v>7.42</v>
      </c>
      <c r="AH292" t="s">
        <v>50</v>
      </c>
    </row>
    <row r="293" spans="1:34" ht="15" customHeight="1" x14ac:dyDescent="0.35">
      <c r="A293">
        <v>7547676</v>
      </c>
      <c r="B293">
        <v>690929</v>
      </c>
      <c r="C293" t="s">
        <v>34</v>
      </c>
      <c r="D293" t="s">
        <v>35</v>
      </c>
      <c r="E293" s="6" t="s">
        <v>34</v>
      </c>
      <c r="F293" t="s">
        <v>982</v>
      </c>
      <c r="G293" t="s">
        <v>37</v>
      </c>
      <c r="H293" t="s">
        <v>38</v>
      </c>
      <c r="I293" t="s">
        <v>983</v>
      </c>
      <c r="J293" t="s">
        <v>40</v>
      </c>
      <c r="K293">
        <v>2</v>
      </c>
      <c r="L293" t="s">
        <v>41</v>
      </c>
      <c r="M293" t="s">
        <v>42</v>
      </c>
      <c r="N293" t="s">
        <v>43</v>
      </c>
      <c r="O293" s="7">
        <v>1</v>
      </c>
      <c r="P293" s="8">
        <v>45174.640266203707</v>
      </c>
      <c r="Q293" s="9">
        <v>45176</v>
      </c>
      <c r="R293" t="s">
        <v>37</v>
      </c>
      <c r="S293" t="s">
        <v>44</v>
      </c>
      <c r="T293" t="s">
        <v>45</v>
      </c>
      <c r="U293" t="s">
        <v>110</v>
      </c>
      <c r="V293" t="s">
        <v>984</v>
      </c>
      <c r="W293">
        <v>80100</v>
      </c>
      <c r="X293" t="s">
        <v>44</v>
      </c>
      <c r="Y293" t="s">
        <v>985</v>
      </c>
      <c r="Z293" t="s">
        <v>49</v>
      </c>
      <c r="AA293" s="10">
        <f>IF(O293&lt;=1,7,7+0.8*ROUNDUP(O293-1,0))</f>
        <v>7</v>
      </c>
      <c r="AB293" s="11">
        <v>0</v>
      </c>
      <c r="AC293" s="11">
        <v>0</v>
      </c>
      <c r="AD293" s="11">
        <v>0</v>
      </c>
      <c r="AE293" s="11">
        <v>0</v>
      </c>
      <c r="AF293" s="11">
        <f t="shared" si="8"/>
        <v>0.42</v>
      </c>
      <c r="AG293" s="11">
        <f t="shared" si="9"/>
        <v>7.42</v>
      </c>
      <c r="AH293" t="s">
        <v>50</v>
      </c>
    </row>
    <row r="294" spans="1:34" ht="15" customHeight="1" x14ac:dyDescent="0.35">
      <c r="A294">
        <v>7547676</v>
      </c>
      <c r="B294">
        <v>690929</v>
      </c>
      <c r="C294" t="s">
        <v>34</v>
      </c>
      <c r="D294" t="s">
        <v>35</v>
      </c>
      <c r="E294" s="6" t="s">
        <v>34</v>
      </c>
      <c r="F294" t="s">
        <v>986</v>
      </c>
      <c r="G294" t="s">
        <v>37</v>
      </c>
      <c r="H294" t="s">
        <v>38</v>
      </c>
      <c r="I294" t="s">
        <v>987</v>
      </c>
      <c r="J294" t="s">
        <v>40</v>
      </c>
      <c r="K294">
        <v>2</v>
      </c>
      <c r="L294" t="s">
        <v>41</v>
      </c>
      <c r="M294" t="s">
        <v>42</v>
      </c>
      <c r="N294" t="s">
        <v>43</v>
      </c>
      <c r="O294" s="7">
        <v>1</v>
      </c>
      <c r="P294" s="8">
        <v>45175.71738425926</v>
      </c>
      <c r="Q294" s="9">
        <v>45176</v>
      </c>
      <c r="R294" t="s">
        <v>37</v>
      </c>
      <c r="S294" t="s">
        <v>44</v>
      </c>
      <c r="T294" t="s">
        <v>45</v>
      </c>
      <c r="U294" t="s">
        <v>67</v>
      </c>
      <c r="V294" t="s">
        <v>988</v>
      </c>
      <c r="W294">
        <v>40160</v>
      </c>
      <c r="X294" t="s">
        <v>44</v>
      </c>
      <c r="Y294" t="s">
        <v>989</v>
      </c>
      <c r="Z294" t="s">
        <v>49</v>
      </c>
      <c r="AA294" s="10">
        <f>IF(O294&lt;=1,7,7+0.8*ROUNDUP(O294-1,0))</f>
        <v>7</v>
      </c>
      <c r="AB294" s="11">
        <v>0</v>
      </c>
      <c r="AC294" s="11">
        <v>0</v>
      </c>
      <c r="AD294" s="11">
        <v>0</v>
      </c>
      <c r="AE294" s="11">
        <v>0</v>
      </c>
      <c r="AF294" s="11">
        <f t="shared" si="8"/>
        <v>0.42</v>
      </c>
      <c r="AG294" s="11">
        <f t="shared" si="9"/>
        <v>7.42</v>
      </c>
      <c r="AH294" t="s">
        <v>50</v>
      </c>
    </row>
    <row r="295" spans="1:34" ht="15" customHeight="1" x14ac:dyDescent="0.35">
      <c r="A295">
        <v>7547676</v>
      </c>
      <c r="B295">
        <v>690929</v>
      </c>
      <c r="C295" t="s">
        <v>34</v>
      </c>
      <c r="D295" t="s">
        <v>35</v>
      </c>
      <c r="E295" s="6" t="s">
        <v>34</v>
      </c>
      <c r="F295" t="s">
        <v>990</v>
      </c>
      <c r="G295" t="s">
        <v>37</v>
      </c>
      <c r="H295" t="s">
        <v>38</v>
      </c>
      <c r="I295" t="s">
        <v>991</v>
      </c>
      <c r="J295" t="s">
        <v>40</v>
      </c>
      <c r="K295">
        <v>2</v>
      </c>
      <c r="L295" t="s">
        <v>41</v>
      </c>
      <c r="M295" t="s">
        <v>42</v>
      </c>
      <c r="N295" t="s">
        <v>43</v>
      </c>
      <c r="O295" s="7">
        <v>1</v>
      </c>
      <c r="P295" s="8">
        <v>45174.717418981483</v>
      </c>
      <c r="Q295" s="9">
        <v>45176</v>
      </c>
      <c r="R295" t="s">
        <v>37</v>
      </c>
      <c r="S295" t="s">
        <v>44</v>
      </c>
      <c r="T295" t="s">
        <v>69</v>
      </c>
      <c r="U295" t="s">
        <v>284</v>
      </c>
      <c r="V295" t="s">
        <v>992</v>
      </c>
      <c r="W295">
        <v>21450</v>
      </c>
      <c r="X295" t="s">
        <v>44</v>
      </c>
      <c r="Y295" t="s">
        <v>69</v>
      </c>
      <c r="Z295" t="s">
        <v>49</v>
      </c>
      <c r="AA295" s="10">
        <f>IF(O295&lt;=1,7,7+0.8*ROUNDUP(O295-1,0))</f>
        <v>7</v>
      </c>
      <c r="AB295" s="11">
        <v>0</v>
      </c>
      <c r="AC295" s="11">
        <v>0</v>
      </c>
      <c r="AD295" s="11">
        <v>0</v>
      </c>
      <c r="AE295" s="11">
        <v>0</v>
      </c>
      <c r="AF295" s="11">
        <f t="shared" si="8"/>
        <v>0.42</v>
      </c>
      <c r="AG295" s="11">
        <f t="shared" si="9"/>
        <v>7.42</v>
      </c>
      <c r="AH295" t="s">
        <v>50</v>
      </c>
    </row>
    <row r="296" spans="1:34" ht="15" customHeight="1" x14ac:dyDescent="0.35">
      <c r="A296">
        <v>7547676</v>
      </c>
      <c r="B296">
        <v>690929</v>
      </c>
      <c r="C296" t="s">
        <v>34</v>
      </c>
      <c r="D296" t="s">
        <v>35</v>
      </c>
      <c r="E296" s="6" t="s">
        <v>34</v>
      </c>
      <c r="F296" t="s">
        <v>993</v>
      </c>
      <c r="G296" t="s">
        <v>37</v>
      </c>
      <c r="H296" t="s">
        <v>38</v>
      </c>
      <c r="I296" t="s">
        <v>994</v>
      </c>
      <c r="J296" t="s">
        <v>40</v>
      </c>
      <c r="K296">
        <v>2</v>
      </c>
      <c r="L296" t="s">
        <v>41</v>
      </c>
      <c r="M296" t="s">
        <v>42</v>
      </c>
      <c r="N296" t="s">
        <v>43</v>
      </c>
      <c r="O296" s="7">
        <v>1</v>
      </c>
      <c r="P296" s="8">
        <v>45175.676620370374</v>
      </c>
      <c r="Q296" s="9">
        <v>45176</v>
      </c>
      <c r="R296" t="s">
        <v>37</v>
      </c>
      <c r="S296" t="s">
        <v>44</v>
      </c>
      <c r="T296" t="s">
        <v>45</v>
      </c>
      <c r="U296" t="s">
        <v>67</v>
      </c>
      <c r="V296" t="s">
        <v>995</v>
      </c>
      <c r="W296">
        <v>41050</v>
      </c>
      <c r="X296" t="s">
        <v>44</v>
      </c>
      <c r="Y296" t="s">
        <v>501</v>
      </c>
      <c r="Z296" t="s">
        <v>49</v>
      </c>
      <c r="AA296" s="10">
        <f>IF(O296&lt;=1,7,7+0.8*ROUNDUP(O296-1,0))</f>
        <v>7</v>
      </c>
      <c r="AB296" s="11">
        <v>0</v>
      </c>
      <c r="AC296" s="11">
        <v>0</v>
      </c>
      <c r="AD296" s="11">
        <v>0</v>
      </c>
      <c r="AE296" s="11">
        <v>0</v>
      </c>
      <c r="AF296" s="11">
        <f t="shared" si="8"/>
        <v>0.42</v>
      </c>
      <c r="AG296" s="11">
        <f t="shared" si="9"/>
        <v>7.42</v>
      </c>
      <c r="AH296" t="s">
        <v>50</v>
      </c>
    </row>
    <row r="297" spans="1:34" ht="15" customHeight="1" x14ac:dyDescent="0.35">
      <c r="A297">
        <v>7547676</v>
      </c>
      <c r="B297">
        <v>690929</v>
      </c>
      <c r="C297" t="s">
        <v>34</v>
      </c>
      <c r="D297" t="s">
        <v>35</v>
      </c>
      <c r="E297" s="6" t="s">
        <v>34</v>
      </c>
      <c r="F297" t="s">
        <v>996</v>
      </c>
      <c r="G297" t="s">
        <v>37</v>
      </c>
      <c r="H297" t="s">
        <v>38</v>
      </c>
      <c r="I297" t="s">
        <v>997</v>
      </c>
      <c r="J297" t="s">
        <v>40</v>
      </c>
      <c r="K297">
        <v>2</v>
      </c>
      <c r="L297" t="s">
        <v>41</v>
      </c>
      <c r="M297" t="s">
        <v>42</v>
      </c>
      <c r="N297" t="s">
        <v>43</v>
      </c>
      <c r="O297" s="7">
        <v>2</v>
      </c>
      <c r="P297" s="8">
        <v>45174.717418981483</v>
      </c>
      <c r="Q297" s="9">
        <v>45176</v>
      </c>
      <c r="R297" t="s">
        <v>37</v>
      </c>
      <c r="S297" t="s">
        <v>44</v>
      </c>
      <c r="T297" t="s">
        <v>69</v>
      </c>
      <c r="U297" t="s">
        <v>128</v>
      </c>
      <c r="V297" t="s">
        <v>998</v>
      </c>
      <c r="W297">
        <v>2500</v>
      </c>
      <c r="X297" t="s">
        <v>44</v>
      </c>
      <c r="Y297" t="s">
        <v>816</v>
      </c>
      <c r="Z297" t="s">
        <v>49</v>
      </c>
      <c r="AA297" s="10">
        <f>IF(O297&lt;=1,7,7+0.8*ROUNDUP(O297-1,0))</f>
        <v>7.8</v>
      </c>
      <c r="AB297" s="11">
        <v>0</v>
      </c>
      <c r="AC297" s="11">
        <v>0</v>
      </c>
      <c r="AD297" s="11">
        <v>0</v>
      </c>
      <c r="AE297" s="11">
        <v>0</v>
      </c>
      <c r="AF297" s="11">
        <f t="shared" si="8"/>
        <v>0.46799999999999997</v>
      </c>
      <c r="AG297" s="11">
        <f t="shared" si="9"/>
        <v>8.2680000000000007</v>
      </c>
      <c r="AH297" t="s">
        <v>50</v>
      </c>
    </row>
    <row r="298" spans="1:34" ht="15" customHeight="1" x14ac:dyDescent="0.35">
      <c r="A298">
        <v>7547676</v>
      </c>
      <c r="B298">
        <v>690929</v>
      </c>
      <c r="C298" t="s">
        <v>34</v>
      </c>
      <c r="D298" t="s">
        <v>35</v>
      </c>
      <c r="E298" s="6" t="s">
        <v>34</v>
      </c>
      <c r="F298" t="s">
        <v>999</v>
      </c>
      <c r="G298" t="s">
        <v>37</v>
      </c>
      <c r="H298" t="s">
        <v>38</v>
      </c>
      <c r="I298" t="s">
        <v>1000</v>
      </c>
      <c r="J298" t="s">
        <v>40</v>
      </c>
      <c r="K298">
        <v>2</v>
      </c>
      <c r="L298" t="s">
        <v>41</v>
      </c>
      <c r="M298" t="s">
        <v>42</v>
      </c>
      <c r="N298" t="s">
        <v>43</v>
      </c>
      <c r="O298" s="7">
        <v>2</v>
      </c>
      <c r="P298" s="8">
        <v>45175.580601851849</v>
      </c>
      <c r="Q298" s="9">
        <v>45177</v>
      </c>
      <c r="R298" t="s">
        <v>37</v>
      </c>
      <c r="S298" t="s">
        <v>44</v>
      </c>
      <c r="T298" t="s">
        <v>45</v>
      </c>
      <c r="U298" t="s">
        <v>110</v>
      </c>
      <c r="V298" t="s">
        <v>1001</v>
      </c>
      <c r="W298">
        <v>83700</v>
      </c>
      <c r="X298" t="s">
        <v>44</v>
      </c>
      <c r="Y298" t="s">
        <v>628</v>
      </c>
      <c r="Z298" t="s">
        <v>49</v>
      </c>
      <c r="AA298" s="10">
        <f>IF(O298&lt;=1,7,7+0.8*ROUNDUP(O298-1,0))</f>
        <v>7.8</v>
      </c>
      <c r="AB298" s="11">
        <v>0</v>
      </c>
      <c r="AC298" s="11">
        <v>0</v>
      </c>
      <c r="AD298" s="11">
        <v>0</v>
      </c>
      <c r="AE298" s="11">
        <v>0</v>
      </c>
      <c r="AF298" s="11">
        <f t="shared" si="8"/>
        <v>0.46799999999999997</v>
      </c>
      <c r="AG298" s="11">
        <f t="shared" si="9"/>
        <v>8.2680000000000007</v>
      </c>
      <c r="AH298" t="s">
        <v>50</v>
      </c>
    </row>
    <row r="299" spans="1:34" ht="15" customHeight="1" x14ac:dyDescent="0.35">
      <c r="A299">
        <v>7547676</v>
      </c>
      <c r="B299">
        <v>690929</v>
      </c>
      <c r="C299" t="s">
        <v>34</v>
      </c>
      <c r="D299" t="s">
        <v>35</v>
      </c>
      <c r="E299" s="6" t="s">
        <v>34</v>
      </c>
      <c r="F299" t="s">
        <v>1002</v>
      </c>
      <c r="G299" t="s">
        <v>37</v>
      </c>
      <c r="H299" t="s">
        <v>38</v>
      </c>
      <c r="I299" t="s">
        <v>1003</v>
      </c>
      <c r="J299" t="s">
        <v>40</v>
      </c>
      <c r="K299">
        <v>2</v>
      </c>
      <c r="L299" t="s">
        <v>41</v>
      </c>
      <c r="M299" t="s">
        <v>42</v>
      </c>
      <c r="N299" t="s">
        <v>43</v>
      </c>
      <c r="O299" s="7">
        <v>1</v>
      </c>
      <c r="P299" s="8">
        <v>45175.700601851851</v>
      </c>
      <c r="Q299" s="9">
        <v>45177</v>
      </c>
      <c r="R299" t="s">
        <v>37</v>
      </c>
      <c r="S299" t="s">
        <v>44</v>
      </c>
      <c r="T299" t="s">
        <v>45</v>
      </c>
      <c r="U299" t="s">
        <v>110</v>
      </c>
      <c r="V299" t="s">
        <v>1004</v>
      </c>
      <c r="W299">
        <v>85000</v>
      </c>
      <c r="X299" t="s">
        <v>44</v>
      </c>
      <c r="Y299" t="s">
        <v>1005</v>
      </c>
      <c r="Z299" t="s">
        <v>49</v>
      </c>
      <c r="AA299" s="10">
        <f>IF(O299&lt;=1,7,7+0.8*ROUNDUP(O299-1,0))</f>
        <v>7</v>
      </c>
      <c r="AB299" s="11">
        <v>0</v>
      </c>
      <c r="AC299" s="11">
        <v>0</v>
      </c>
      <c r="AD299" s="11">
        <v>0</v>
      </c>
      <c r="AE299" s="11">
        <v>0</v>
      </c>
      <c r="AF299" s="11">
        <f t="shared" si="8"/>
        <v>0.42</v>
      </c>
      <c r="AG299" s="11">
        <f t="shared" si="9"/>
        <v>7.42</v>
      </c>
      <c r="AH299" t="s">
        <v>50</v>
      </c>
    </row>
    <row r="300" spans="1:34" ht="15" customHeight="1" x14ac:dyDescent="0.35">
      <c r="A300">
        <v>7547676</v>
      </c>
      <c r="B300">
        <v>690929</v>
      </c>
      <c r="C300" t="s">
        <v>34</v>
      </c>
      <c r="D300" t="s">
        <v>35</v>
      </c>
      <c r="E300" s="6" t="s">
        <v>34</v>
      </c>
      <c r="F300" t="s">
        <v>1006</v>
      </c>
      <c r="G300" t="s">
        <v>37</v>
      </c>
      <c r="H300" t="s">
        <v>38</v>
      </c>
      <c r="I300" t="s">
        <v>1007</v>
      </c>
      <c r="J300" t="s">
        <v>40</v>
      </c>
      <c r="K300">
        <v>2</v>
      </c>
      <c r="L300" t="s">
        <v>41</v>
      </c>
      <c r="M300" t="s">
        <v>42</v>
      </c>
      <c r="N300" t="s">
        <v>43</v>
      </c>
      <c r="O300" s="7">
        <v>1</v>
      </c>
      <c r="P300" s="8">
        <v>45175.700601851851</v>
      </c>
      <c r="Q300" s="9">
        <v>45177</v>
      </c>
      <c r="R300" t="s">
        <v>37</v>
      </c>
      <c r="S300" t="s">
        <v>44</v>
      </c>
      <c r="T300" t="s">
        <v>45</v>
      </c>
      <c r="U300" t="s">
        <v>110</v>
      </c>
      <c r="V300" t="s">
        <v>1008</v>
      </c>
      <c r="W300">
        <v>81750</v>
      </c>
      <c r="X300" t="s">
        <v>44</v>
      </c>
      <c r="Y300" t="s">
        <v>488</v>
      </c>
      <c r="Z300" t="s">
        <v>49</v>
      </c>
      <c r="AA300" s="10">
        <f>IF(O300&lt;=1,7,7+0.8*ROUNDUP(O300-1,0))</f>
        <v>7</v>
      </c>
      <c r="AB300" s="11">
        <v>0</v>
      </c>
      <c r="AC300" s="11">
        <v>0</v>
      </c>
      <c r="AD300" s="11">
        <v>0</v>
      </c>
      <c r="AE300" s="11">
        <v>0</v>
      </c>
      <c r="AF300" s="11">
        <f t="shared" si="8"/>
        <v>0.42</v>
      </c>
      <c r="AG300" s="11">
        <f t="shared" si="9"/>
        <v>7.42</v>
      </c>
      <c r="AH300" t="s">
        <v>50</v>
      </c>
    </row>
    <row r="301" spans="1:34" ht="15" customHeight="1" x14ac:dyDescent="0.35">
      <c r="A301">
        <v>7547676</v>
      </c>
      <c r="B301">
        <v>690929</v>
      </c>
      <c r="C301" t="s">
        <v>34</v>
      </c>
      <c r="D301" t="s">
        <v>35</v>
      </c>
      <c r="E301" s="6" t="s">
        <v>34</v>
      </c>
      <c r="F301" t="s">
        <v>1009</v>
      </c>
      <c r="G301" t="s">
        <v>37</v>
      </c>
      <c r="H301" t="s">
        <v>38</v>
      </c>
      <c r="I301" t="s">
        <v>192</v>
      </c>
      <c r="J301" t="s">
        <v>40</v>
      </c>
      <c r="K301">
        <v>2</v>
      </c>
      <c r="L301" t="s">
        <v>41</v>
      </c>
      <c r="M301" t="s">
        <v>42</v>
      </c>
      <c r="N301" t="s">
        <v>43</v>
      </c>
      <c r="O301" s="7">
        <v>6</v>
      </c>
      <c r="P301" s="8">
        <v>45176.731828703705</v>
      </c>
      <c r="Q301" s="9">
        <v>45177</v>
      </c>
      <c r="R301" t="s">
        <v>37</v>
      </c>
      <c r="S301" t="s">
        <v>44</v>
      </c>
      <c r="T301" t="s">
        <v>45</v>
      </c>
      <c r="U301" t="s">
        <v>119</v>
      </c>
      <c r="V301" t="s">
        <v>193</v>
      </c>
      <c r="W301">
        <v>75460</v>
      </c>
      <c r="X301" t="s">
        <v>44</v>
      </c>
      <c r="Y301" t="s">
        <v>121</v>
      </c>
      <c r="Z301" t="s">
        <v>49</v>
      </c>
      <c r="AA301" s="10">
        <f>IF(O301&lt;=1,7,7+0.8*ROUNDUP(O301-1,0))</f>
        <v>11</v>
      </c>
      <c r="AB301" s="11">
        <v>0</v>
      </c>
      <c r="AC301" s="11">
        <v>0</v>
      </c>
      <c r="AD301" s="11">
        <v>0</v>
      </c>
      <c r="AE301" s="11">
        <v>0</v>
      </c>
      <c r="AF301" s="11">
        <f t="shared" si="8"/>
        <v>0.65999999999999992</v>
      </c>
      <c r="AG301" s="11">
        <f t="shared" si="9"/>
        <v>11.66</v>
      </c>
      <c r="AH301" t="s">
        <v>50</v>
      </c>
    </row>
    <row r="302" spans="1:34" ht="15" customHeight="1" x14ac:dyDescent="0.35">
      <c r="A302">
        <v>7547676</v>
      </c>
      <c r="B302">
        <v>690929</v>
      </c>
      <c r="C302" t="s">
        <v>34</v>
      </c>
      <c r="D302" t="s">
        <v>35</v>
      </c>
      <c r="E302" s="6" t="s">
        <v>34</v>
      </c>
      <c r="F302" t="s">
        <v>1010</v>
      </c>
      <c r="G302" t="s">
        <v>37</v>
      </c>
      <c r="H302" t="s">
        <v>38</v>
      </c>
      <c r="I302" t="s">
        <v>1011</v>
      </c>
      <c r="J302" t="s">
        <v>40</v>
      </c>
      <c r="K302">
        <v>2</v>
      </c>
      <c r="L302" t="s">
        <v>41</v>
      </c>
      <c r="M302" t="s">
        <v>42</v>
      </c>
      <c r="N302" t="s">
        <v>43</v>
      </c>
      <c r="O302" s="7">
        <v>1</v>
      </c>
      <c r="P302" s="8">
        <v>45176.751226851855</v>
      </c>
      <c r="Q302" s="9">
        <v>45177</v>
      </c>
      <c r="R302" t="s">
        <v>37</v>
      </c>
      <c r="S302" t="s">
        <v>44</v>
      </c>
      <c r="T302" t="s">
        <v>45</v>
      </c>
      <c r="U302" t="s">
        <v>67</v>
      </c>
      <c r="V302" t="s">
        <v>1012</v>
      </c>
      <c r="W302">
        <v>47000</v>
      </c>
      <c r="X302" t="s">
        <v>44</v>
      </c>
      <c r="Y302" t="s">
        <v>243</v>
      </c>
      <c r="Z302" t="s">
        <v>49</v>
      </c>
      <c r="AA302" s="10">
        <f>IF(O302&lt;=1,7,7+0.8*ROUNDUP(O302-1,0))</f>
        <v>7</v>
      </c>
      <c r="AB302" s="11">
        <v>0</v>
      </c>
      <c r="AC302" s="11">
        <v>0</v>
      </c>
      <c r="AD302" s="11">
        <v>0</v>
      </c>
      <c r="AE302" s="11">
        <v>0</v>
      </c>
      <c r="AF302" s="11">
        <f t="shared" si="8"/>
        <v>0.42</v>
      </c>
      <c r="AG302" s="11">
        <f t="shared" si="9"/>
        <v>7.42</v>
      </c>
      <c r="AH302" t="s">
        <v>50</v>
      </c>
    </row>
    <row r="303" spans="1:34" ht="15" customHeight="1" x14ac:dyDescent="0.35">
      <c r="A303">
        <v>7547676</v>
      </c>
      <c r="B303">
        <v>690929</v>
      </c>
      <c r="C303" t="s">
        <v>34</v>
      </c>
      <c r="D303" t="s">
        <v>35</v>
      </c>
      <c r="E303" s="6" t="s">
        <v>34</v>
      </c>
      <c r="F303" t="s">
        <v>1013</v>
      </c>
      <c r="G303" t="s">
        <v>37</v>
      </c>
      <c r="H303" t="s">
        <v>38</v>
      </c>
      <c r="I303" t="s">
        <v>1014</v>
      </c>
      <c r="J303" t="s">
        <v>40</v>
      </c>
      <c r="K303">
        <v>2</v>
      </c>
      <c r="L303" t="s">
        <v>41</v>
      </c>
      <c r="M303" t="s">
        <v>42</v>
      </c>
      <c r="N303" t="s">
        <v>43</v>
      </c>
      <c r="O303" s="7">
        <v>1</v>
      </c>
      <c r="P303" s="8">
        <v>45175.700601851851</v>
      </c>
      <c r="Q303" s="9">
        <v>45177</v>
      </c>
      <c r="R303" t="s">
        <v>37</v>
      </c>
      <c r="S303" t="s">
        <v>44</v>
      </c>
      <c r="T303" t="s">
        <v>45</v>
      </c>
      <c r="U303" t="s">
        <v>110</v>
      </c>
      <c r="V303" t="s">
        <v>1015</v>
      </c>
      <c r="W303">
        <v>81200</v>
      </c>
      <c r="X303" t="s">
        <v>44</v>
      </c>
      <c r="Y303" t="s">
        <v>69</v>
      </c>
      <c r="Z303" t="s">
        <v>49</v>
      </c>
      <c r="AA303" s="10">
        <f>IF(O303&lt;=1,7,7+0.8*ROUNDUP(O303-1,0))</f>
        <v>7</v>
      </c>
      <c r="AB303" s="11">
        <v>0</v>
      </c>
      <c r="AC303" s="11">
        <v>0</v>
      </c>
      <c r="AD303" s="11">
        <v>0</v>
      </c>
      <c r="AE303" s="11">
        <v>0</v>
      </c>
      <c r="AF303" s="11">
        <f t="shared" si="8"/>
        <v>0.42</v>
      </c>
      <c r="AG303" s="11">
        <f t="shared" si="9"/>
        <v>7.42</v>
      </c>
      <c r="AH303" t="s">
        <v>50</v>
      </c>
    </row>
    <row r="304" spans="1:34" ht="15" customHeight="1" x14ac:dyDescent="0.35">
      <c r="A304">
        <v>7547676</v>
      </c>
      <c r="B304">
        <v>690929</v>
      </c>
      <c r="C304" t="s">
        <v>34</v>
      </c>
      <c r="D304" t="s">
        <v>35</v>
      </c>
      <c r="E304" s="6" t="s">
        <v>34</v>
      </c>
      <c r="F304" t="s">
        <v>1016</v>
      </c>
      <c r="G304" t="s">
        <v>37</v>
      </c>
      <c r="H304" t="s">
        <v>38</v>
      </c>
      <c r="I304" t="s">
        <v>1017</v>
      </c>
      <c r="J304" t="s">
        <v>40</v>
      </c>
      <c r="K304">
        <v>2</v>
      </c>
      <c r="L304" t="s">
        <v>41</v>
      </c>
      <c r="M304" t="s">
        <v>42</v>
      </c>
      <c r="N304" t="s">
        <v>43</v>
      </c>
      <c r="O304" s="7">
        <v>1</v>
      </c>
      <c r="P304" s="8">
        <v>45175.717395833337</v>
      </c>
      <c r="Q304" s="9">
        <v>45177</v>
      </c>
      <c r="R304" t="s">
        <v>37</v>
      </c>
      <c r="S304" t="s">
        <v>44</v>
      </c>
      <c r="T304" t="s">
        <v>45</v>
      </c>
      <c r="U304" t="s">
        <v>101</v>
      </c>
      <c r="V304" t="s">
        <v>1018</v>
      </c>
      <c r="W304">
        <v>31900</v>
      </c>
      <c r="X304" t="s">
        <v>44</v>
      </c>
      <c r="Y304" t="s">
        <v>546</v>
      </c>
      <c r="Z304" t="s">
        <v>49</v>
      </c>
      <c r="AA304" s="10">
        <f>IF(O304&lt;=1,7,7+0.8*ROUNDUP(O304-1,0))</f>
        <v>7</v>
      </c>
      <c r="AB304" s="11">
        <v>0</v>
      </c>
      <c r="AC304" s="11">
        <v>0</v>
      </c>
      <c r="AD304" s="11">
        <v>0</v>
      </c>
      <c r="AE304" s="11">
        <v>0</v>
      </c>
      <c r="AF304" s="11">
        <f t="shared" si="8"/>
        <v>0.42</v>
      </c>
      <c r="AG304" s="11">
        <f t="shared" si="9"/>
        <v>7.42</v>
      </c>
      <c r="AH304" t="s">
        <v>50</v>
      </c>
    </row>
    <row r="305" spans="1:34" ht="15" customHeight="1" x14ac:dyDescent="0.35">
      <c r="A305">
        <v>7547676</v>
      </c>
      <c r="B305">
        <v>690929</v>
      </c>
      <c r="C305" t="s">
        <v>34</v>
      </c>
      <c r="D305" t="s">
        <v>35</v>
      </c>
      <c r="E305" s="6" t="s">
        <v>34</v>
      </c>
      <c r="F305" t="s">
        <v>1019</v>
      </c>
      <c r="G305" t="s">
        <v>37</v>
      </c>
      <c r="H305" t="s">
        <v>38</v>
      </c>
      <c r="I305" t="s">
        <v>1020</v>
      </c>
      <c r="J305" t="s">
        <v>40</v>
      </c>
      <c r="K305">
        <v>2</v>
      </c>
      <c r="L305" t="s">
        <v>41</v>
      </c>
      <c r="M305" t="s">
        <v>42</v>
      </c>
      <c r="N305" t="s">
        <v>43</v>
      </c>
      <c r="O305" s="7">
        <v>1</v>
      </c>
      <c r="P305" s="8">
        <v>45176.445983796293</v>
      </c>
      <c r="Q305" s="9">
        <v>45177</v>
      </c>
      <c r="R305" t="s">
        <v>37</v>
      </c>
      <c r="S305" t="s">
        <v>44</v>
      </c>
      <c r="T305" t="s">
        <v>45</v>
      </c>
      <c r="U305" t="s">
        <v>67</v>
      </c>
      <c r="V305" t="s">
        <v>1021</v>
      </c>
      <c r="W305">
        <v>68000</v>
      </c>
      <c r="X305" t="s">
        <v>44</v>
      </c>
      <c r="Y305" t="s">
        <v>69</v>
      </c>
      <c r="Z305" t="s">
        <v>49</v>
      </c>
      <c r="AA305" s="10">
        <f>IF(O305&lt;=1,7,7+0.8*ROUNDUP(O305-1,0))</f>
        <v>7</v>
      </c>
      <c r="AB305" s="11">
        <v>0</v>
      </c>
      <c r="AC305" s="11">
        <v>0</v>
      </c>
      <c r="AD305" s="11">
        <v>0</v>
      </c>
      <c r="AE305" s="11">
        <v>0</v>
      </c>
      <c r="AF305" s="11">
        <f t="shared" si="8"/>
        <v>0.42</v>
      </c>
      <c r="AG305" s="11">
        <f t="shared" si="9"/>
        <v>7.42</v>
      </c>
      <c r="AH305" t="s">
        <v>50</v>
      </c>
    </row>
    <row r="306" spans="1:34" ht="15" customHeight="1" x14ac:dyDescent="0.35">
      <c r="A306">
        <v>7547676</v>
      </c>
      <c r="B306">
        <v>690929</v>
      </c>
      <c r="C306" t="s">
        <v>34</v>
      </c>
      <c r="D306" t="s">
        <v>35</v>
      </c>
      <c r="E306" s="6" t="s">
        <v>34</v>
      </c>
      <c r="F306" t="s">
        <v>1022</v>
      </c>
      <c r="G306" t="s">
        <v>37</v>
      </c>
      <c r="H306" t="s">
        <v>38</v>
      </c>
      <c r="I306" t="s">
        <v>1023</v>
      </c>
      <c r="J306" t="s">
        <v>40</v>
      </c>
      <c r="K306">
        <v>2</v>
      </c>
      <c r="L306" t="s">
        <v>41</v>
      </c>
      <c r="M306" t="s">
        <v>42</v>
      </c>
      <c r="N306" t="s">
        <v>43</v>
      </c>
      <c r="O306" s="7">
        <v>3</v>
      </c>
      <c r="P306" s="8">
        <v>45175.700601851851</v>
      </c>
      <c r="Q306" s="9">
        <v>45177</v>
      </c>
      <c r="R306" t="s">
        <v>37</v>
      </c>
      <c r="S306" t="s">
        <v>44</v>
      </c>
      <c r="T306" t="s">
        <v>45</v>
      </c>
      <c r="U306" t="s">
        <v>110</v>
      </c>
      <c r="V306" t="s">
        <v>1024</v>
      </c>
      <c r="W306">
        <v>82100</v>
      </c>
      <c r="X306" t="s">
        <v>44</v>
      </c>
      <c r="Y306" t="s">
        <v>707</v>
      </c>
      <c r="Z306" t="s">
        <v>49</v>
      </c>
      <c r="AA306" s="10">
        <f>IF(O306&lt;=1,7,7+0.8*ROUNDUP(O306-1,0))</f>
        <v>8.6</v>
      </c>
      <c r="AB306" s="11">
        <v>0</v>
      </c>
      <c r="AC306" s="11">
        <v>0</v>
      </c>
      <c r="AD306" s="11">
        <v>0</v>
      </c>
      <c r="AE306" s="11">
        <v>0</v>
      </c>
      <c r="AF306" s="11">
        <f t="shared" si="8"/>
        <v>0.51600000000000001</v>
      </c>
      <c r="AG306" s="11">
        <f t="shared" si="9"/>
        <v>9.1159999999999997</v>
      </c>
      <c r="AH306" t="s">
        <v>50</v>
      </c>
    </row>
    <row r="307" spans="1:34" ht="15" customHeight="1" x14ac:dyDescent="0.35">
      <c r="A307">
        <v>7547676</v>
      </c>
      <c r="B307">
        <v>690929</v>
      </c>
      <c r="C307" t="s">
        <v>34</v>
      </c>
      <c r="D307" t="s">
        <v>35</v>
      </c>
      <c r="E307" s="6" t="s">
        <v>34</v>
      </c>
      <c r="F307" t="s">
        <v>1025</v>
      </c>
      <c r="G307" t="s">
        <v>37</v>
      </c>
      <c r="H307" t="s">
        <v>38</v>
      </c>
      <c r="I307" t="s">
        <v>1026</v>
      </c>
      <c r="J307" t="s">
        <v>40</v>
      </c>
      <c r="K307">
        <v>2</v>
      </c>
      <c r="L307" t="s">
        <v>41</v>
      </c>
      <c r="M307" t="s">
        <v>42</v>
      </c>
      <c r="N307" t="s">
        <v>43</v>
      </c>
      <c r="O307" s="7">
        <v>1</v>
      </c>
      <c r="P307" s="8">
        <v>45175.811412037037</v>
      </c>
      <c r="Q307" s="9">
        <v>45177</v>
      </c>
      <c r="R307" t="s">
        <v>37</v>
      </c>
      <c r="S307" t="s">
        <v>44</v>
      </c>
      <c r="T307" t="s">
        <v>45</v>
      </c>
      <c r="U307" t="s">
        <v>115</v>
      </c>
      <c r="V307" t="s">
        <v>1027</v>
      </c>
      <c r="W307">
        <v>16100</v>
      </c>
      <c r="X307" t="s">
        <v>44</v>
      </c>
      <c r="Y307" t="s">
        <v>45</v>
      </c>
      <c r="Z307" t="s">
        <v>49</v>
      </c>
      <c r="AA307" s="10">
        <f>IF(O307&lt;=1,7,7+0.8*ROUNDUP(O307-1,0))</f>
        <v>7</v>
      </c>
      <c r="AB307" s="11">
        <v>0</v>
      </c>
      <c r="AC307" s="11">
        <v>0</v>
      </c>
      <c r="AD307" s="11">
        <v>0</v>
      </c>
      <c r="AE307" s="11">
        <v>0</v>
      </c>
      <c r="AF307" s="11">
        <f t="shared" si="8"/>
        <v>0.42</v>
      </c>
      <c r="AG307" s="11">
        <f t="shared" si="9"/>
        <v>7.42</v>
      </c>
      <c r="AH307" t="s">
        <v>50</v>
      </c>
    </row>
    <row r="308" spans="1:34" ht="15" customHeight="1" x14ac:dyDescent="0.35">
      <c r="A308">
        <v>7547676</v>
      </c>
      <c r="B308">
        <v>690929</v>
      </c>
      <c r="C308" t="s">
        <v>34</v>
      </c>
      <c r="D308" t="s">
        <v>35</v>
      </c>
      <c r="E308" s="6" t="s">
        <v>34</v>
      </c>
      <c r="F308" t="s">
        <v>1028</v>
      </c>
      <c r="G308" t="s">
        <v>37</v>
      </c>
      <c r="H308" t="s">
        <v>38</v>
      </c>
      <c r="I308" t="s">
        <v>1029</v>
      </c>
      <c r="J308" t="s">
        <v>40</v>
      </c>
      <c r="K308">
        <v>2</v>
      </c>
      <c r="L308" t="s">
        <v>41</v>
      </c>
      <c r="M308" t="s">
        <v>42</v>
      </c>
      <c r="N308" t="s">
        <v>43</v>
      </c>
      <c r="O308" s="7">
        <v>1</v>
      </c>
      <c r="P308" s="8">
        <v>45175.700601851851</v>
      </c>
      <c r="Q308" s="9">
        <v>45177</v>
      </c>
      <c r="R308" t="s">
        <v>37</v>
      </c>
      <c r="S308" t="s">
        <v>44</v>
      </c>
      <c r="T308" t="s">
        <v>45</v>
      </c>
      <c r="U308" t="s">
        <v>101</v>
      </c>
      <c r="V308" t="s">
        <v>1030</v>
      </c>
      <c r="W308">
        <v>34400</v>
      </c>
      <c r="X308" t="s">
        <v>44</v>
      </c>
      <c r="Y308" t="s">
        <v>1031</v>
      </c>
      <c r="Z308" t="s">
        <v>49</v>
      </c>
      <c r="AA308" s="10">
        <f>IF(O308&lt;=1,7,7+0.8*ROUNDUP(O308-1,0))</f>
        <v>7</v>
      </c>
      <c r="AB308" s="11">
        <v>0</v>
      </c>
      <c r="AC308" s="11">
        <v>0</v>
      </c>
      <c r="AD308" s="11">
        <v>0</v>
      </c>
      <c r="AE308" s="11">
        <v>0</v>
      </c>
      <c r="AF308" s="11">
        <f t="shared" si="8"/>
        <v>0.42</v>
      </c>
      <c r="AG308" s="11">
        <f t="shared" si="9"/>
        <v>7.42</v>
      </c>
      <c r="AH308" t="s">
        <v>50</v>
      </c>
    </row>
    <row r="309" spans="1:34" ht="15" customHeight="1" x14ac:dyDescent="0.35">
      <c r="A309">
        <v>7547676</v>
      </c>
      <c r="B309">
        <v>690929</v>
      </c>
      <c r="C309" t="s">
        <v>34</v>
      </c>
      <c r="D309" t="s">
        <v>35</v>
      </c>
      <c r="E309" s="6" t="s">
        <v>34</v>
      </c>
      <c r="F309" t="s">
        <v>1032</v>
      </c>
      <c r="G309" t="s">
        <v>37</v>
      </c>
      <c r="H309" t="s">
        <v>38</v>
      </c>
      <c r="I309" t="s">
        <v>1033</v>
      </c>
      <c r="J309" t="s">
        <v>40</v>
      </c>
      <c r="K309">
        <v>2</v>
      </c>
      <c r="L309" t="s">
        <v>41</v>
      </c>
      <c r="M309" t="s">
        <v>42</v>
      </c>
      <c r="N309" t="s">
        <v>43</v>
      </c>
      <c r="O309" s="7">
        <v>1</v>
      </c>
      <c r="P309" s="8">
        <v>45176.545740740738</v>
      </c>
      <c r="Q309" s="9">
        <v>45177</v>
      </c>
      <c r="R309" t="s">
        <v>37</v>
      </c>
      <c r="S309" t="s">
        <v>44</v>
      </c>
      <c r="T309" t="s">
        <v>45</v>
      </c>
      <c r="U309" t="s">
        <v>67</v>
      </c>
      <c r="V309" t="s">
        <v>1034</v>
      </c>
      <c r="W309">
        <v>43000</v>
      </c>
      <c r="X309" t="s">
        <v>44</v>
      </c>
      <c r="Y309" t="s">
        <v>369</v>
      </c>
      <c r="Z309" t="s">
        <v>49</v>
      </c>
      <c r="AA309" s="10">
        <f>IF(O309&lt;=1,7,7+0.8*ROUNDUP(O309-1,0))</f>
        <v>7</v>
      </c>
      <c r="AB309" s="11">
        <v>0</v>
      </c>
      <c r="AC309" s="11">
        <v>0</v>
      </c>
      <c r="AD309" s="11">
        <v>0</v>
      </c>
      <c r="AE309" s="11">
        <v>0</v>
      </c>
      <c r="AF309" s="11">
        <f t="shared" si="8"/>
        <v>0.42</v>
      </c>
      <c r="AG309" s="11">
        <f t="shared" si="9"/>
        <v>7.42</v>
      </c>
      <c r="AH309" t="s">
        <v>50</v>
      </c>
    </row>
    <row r="310" spans="1:34" ht="15" customHeight="1" x14ac:dyDescent="0.35">
      <c r="A310">
        <v>7547676</v>
      </c>
      <c r="B310">
        <v>690929</v>
      </c>
      <c r="C310" t="s">
        <v>34</v>
      </c>
      <c r="D310" t="s">
        <v>35</v>
      </c>
      <c r="E310" s="6" t="s">
        <v>34</v>
      </c>
      <c r="F310" t="s">
        <v>1035</v>
      </c>
      <c r="G310" t="s">
        <v>37</v>
      </c>
      <c r="H310" t="s">
        <v>38</v>
      </c>
      <c r="I310" t="s">
        <v>1036</v>
      </c>
      <c r="J310" t="s">
        <v>40</v>
      </c>
      <c r="K310">
        <v>2</v>
      </c>
      <c r="L310" t="s">
        <v>41</v>
      </c>
      <c r="M310" t="s">
        <v>42</v>
      </c>
      <c r="N310" t="s">
        <v>43</v>
      </c>
      <c r="O310" s="7">
        <v>1</v>
      </c>
      <c r="P310" s="8">
        <v>45175.71738425926</v>
      </c>
      <c r="Q310" s="9">
        <v>45177</v>
      </c>
      <c r="R310" t="s">
        <v>37</v>
      </c>
      <c r="S310" t="s">
        <v>44</v>
      </c>
      <c r="T310" t="s">
        <v>45</v>
      </c>
      <c r="U310" t="s">
        <v>110</v>
      </c>
      <c r="V310" t="s">
        <v>1037</v>
      </c>
      <c r="W310">
        <v>81750</v>
      </c>
      <c r="X310" t="s">
        <v>44</v>
      </c>
      <c r="Y310" t="s">
        <v>488</v>
      </c>
      <c r="Z310" t="s">
        <v>49</v>
      </c>
      <c r="AA310" s="10">
        <f>IF(O310&lt;=1,7,7+0.8*ROUNDUP(O310-1,0))</f>
        <v>7</v>
      </c>
      <c r="AB310" s="11">
        <v>0</v>
      </c>
      <c r="AC310" s="11">
        <v>0</v>
      </c>
      <c r="AD310" s="11">
        <v>0</v>
      </c>
      <c r="AE310" s="11">
        <v>0</v>
      </c>
      <c r="AF310" s="11">
        <f t="shared" si="8"/>
        <v>0.42</v>
      </c>
      <c r="AG310" s="11">
        <f t="shared" si="9"/>
        <v>7.42</v>
      </c>
      <c r="AH310" t="s">
        <v>50</v>
      </c>
    </row>
    <row r="311" spans="1:34" ht="15" customHeight="1" x14ac:dyDescent="0.35">
      <c r="A311">
        <v>7547676</v>
      </c>
      <c r="B311">
        <v>690929</v>
      </c>
      <c r="C311" t="s">
        <v>34</v>
      </c>
      <c r="D311" t="s">
        <v>35</v>
      </c>
      <c r="E311" s="6" t="s">
        <v>34</v>
      </c>
      <c r="F311" t="s">
        <v>1038</v>
      </c>
      <c r="G311" t="s">
        <v>37</v>
      </c>
      <c r="H311" t="s">
        <v>38</v>
      </c>
      <c r="I311" t="s">
        <v>1039</v>
      </c>
      <c r="J311" t="s">
        <v>40</v>
      </c>
      <c r="K311">
        <v>2</v>
      </c>
      <c r="L311" t="s">
        <v>41</v>
      </c>
      <c r="M311" t="s">
        <v>42</v>
      </c>
      <c r="N311" t="s">
        <v>43</v>
      </c>
      <c r="O311" s="7">
        <v>1</v>
      </c>
      <c r="P311" s="8">
        <v>45175.811412037037</v>
      </c>
      <c r="Q311" s="9">
        <v>45177</v>
      </c>
      <c r="R311" t="s">
        <v>37</v>
      </c>
      <c r="S311" t="s">
        <v>44</v>
      </c>
      <c r="T311" t="s">
        <v>45</v>
      </c>
      <c r="U311" t="s">
        <v>284</v>
      </c>
      <c r="V311" t="s">
        <v>1040</v>
      </c>
      <c r="W311">
        <v>22200</v>
      </c>
      <c r="X311" t="s">
        <v>44</v>
      </c>
      <c r="Y311" t="s">
        <v>45</v>
      </c>
      <c r="Z311" t="s">
        <v>49</v>
      </c>
      <c r="AA311" s="10">
        <f>IF(O311&lt;=1,7,7+0.8*ROUNDUP(O311-1,0))</f>
        <v>7</v>
      </c>
      <c r="AB311" s="11">
        <v>0</v>
      </c>
      <c r="AC311" s="11">
        <v>0</v>
      </c>
      <c r="AD311" s="11">
        <v>0</v>
      </c>
      <c r="AE311" s="11">
        <v>0</v>
      </c>
      <c r="AF311" s="11">
        <f t="shared" si="8"/>
        <v>0.42</v>
      </c>
      <c r="AG311" s="11">
        <f t="shared" si="9"/>
        <v>7.42</v>
      </c>
      <c r="AH311" t="s">
        <v>50</v>
      </c>
    </row>
    <row r="312" spans="1:34" ht="15" customHeight="1" x14ac:dyDescent="0.35">
      <c r="A312">
        <v>7547676</v>
      </c>
      <c r="B312">
        <v>690929</v>
      </c>
      <c r="C312" t="s">
        <v>34</v>
      </c>
      <c r="D312" t="s">
        <v>35</v>
      </c>
      <c r="E312" s="6" t="s">
        <v>34</v>
      </c>
      <c r="F312" t="s">
        <v>1041</v>
      </c>
      <c r="G312" t="s">
        <v>37</v>
      </c>
      <c r="H312" t="s">
        <v>38</v>
      </c>
      <c r="I312" t="s">
        <v>1042</v>
      </c>
      <c r="J312" t="s">
        <v>40</v>
      </c>
      <c r="K312">
        <v>2</v>
      </c>
      <c r="L312" t="s">
        <v>41</v>
      </c>
      <c r="M312" t="s">
        <v>42</v>
      </c>
      <c r="N312" t="s">
        <v>43</v>
      </c>
      <c r="O312" s="7">
        <v>2</v>
      </c>
      <c r="P312" s="8">
        <v>45175.700601851851</v>
      </c>
      <c r="Q312" s="9">
        <v>45177</v>
      </c>
      <c r="R312" t="s">
        <v>37</v>
      </c>
      <c r="S312" t="s">
        <v>44</v>
      </c>
      <c r="T312" t="s">
        <v>45</v>
      </c>
      <c r="U312" t="s">
        <v>110</v>
      </c>
      <c r="V312" t="s">
        <v>1043</v>
      </c>
      <c r="W312">
        <v>82000</v>
      </c>
      <c r="X312" t="s">
        <v>44</v>
      </c>
      <c r="Y312" t="s">
        <v>69</v>
      </c>
      <c r="Z312" t="s">
        <v>49</v>
      </c>
      <c r="AA312" s="10">
        <f>IF(O312&lt;=1,7,7+0.8*ROUNDUP(O312-1,0))</f>
        <v>7.8</v>
      </c>
      <c r="AB312" s="11">
        <v>0</v>
      </c>
      <c r="AC312" s="11">
        <v>0</v>
      </c>
      <c r="AD312" s="11">
        <v>0</v>
      </c>
      <c r="AE312" s="11">
        <v>0</v>
      </c>
      <c r="AF312" s="11">
        <f t="shared" si="8"/>
        <v>0.46799999999999997</v>
      </c>
      <c r="AG312" s="11">
        <f t="shared" si="9"/>
        <v>8.2680000000000007</v>
      </c>
      <c r="AH312" t="s">
        <v>50</v>
      </c>
    </row>
    <row r="313" spans="1:34" ht="15" customHeight="1" x14ac:dyDescent="0.35">
      <c r="A313">
        <v>7547676</v>
      </c>
      <c r="B313">
        <v>690929</v>
      </c>
      <c r="C313" t="s">
        <v>34</v>
      </c>
      <c r="D313" t="s">
        <v>35</v>
      </c>
      <c r="E313" s="6" t="s">
        <v>34</v>
      </c>
      <c r="F313" t="s">
        <v>1044</v>
      </c>
      <c r="G313" t="s">
        <v>37</v>
      </c>
      <c r="H313" t="s">
        <v>38</v>
      </c>
      <c r="I313" t="s">
        <v>1042</v>
      </c>
      <c r="J313" t="s">
        <v>40</v>
      </c>
      <c r="K313">
        <v>2</v>
      </c>
      <c r="L313" t="s">
        <v>41</v>
      </c>
      <c r="M313" t="s">
        <v>42</v>
      </c>
      <c r="N313" t="s">
        <v>43</v>
      </c>
      <c r="O313" s="7">
        <v>3</v>
      </c>
      <c r="P313" s="8">
        <v>45175.700601851851</v>
      </c>
      <c r="Q313" s="9">
        <v>45177</v>
      </c>
      <c r="R313" t="s">
        <v>37</v>
      </c>
      <c r="S313" t="s">
        <v>44</v>
      </c>
      <c r="T313" t="s">
        <v>45</v>
      </c>
      <c r="U313" t="s">
        <v>110</v>
      </c>
      <c r="V313" t="s">
        <v>1045</v>
      </c>
      <c r="W313">
        <v>82000</v>
      </c>
      <c r="X313" t="s">
        <v>44</v>
      </c>
      <c r="Y313" t="s">
        <v>707</v>
      </c>
      <c r="Z313" t="s">
        <v>49</v>
      </c>
      <c r="AA313" s="10">
        <f>IF(O313&lt;=1,7,7+0.8*ROUNDUP(O313-1,0))</f>
        <v>8.6</v>
      </c>
      <c r="AB313" s="11">
        <v>0</v>
      </c>
      <c r="AC313" s="11">
        <v>0</v>
      </c>
      <c r="AD313" s="11">
        <v>0</v>
      </c>
      <c r="AE313" s="11">
        <v>0</v>
      </c>
      <c r="AF313" s="11">
        <f t="shared" si="8"/>
        <v>0.51600000000000001</v>
      </c>
      <c r="AG313" s="11">
        <f t="shared" si="9"/>
        <v>9.1159999999999997</v>
      </c>
      <c r="AH313" t="s">
        <v>50</v>
      </c>
    </row>
    <row r="314" spans="1:34" ht="15" customHeight="1" x14ac:dyDescent="0.35">
      <c r="A314">
        <v>7547676</v>
      </c>
      <c r="B314">
        <v>690929</v>
      </c>
      <c r="C314" t="s">
        <v>34</v>
      </c>
      <c r="D314" t="s">
        <v>35</v>
      </c>
      <c r="E314" s="6" t="s">
        <v>34</v>
      </c>
      <c r="F314" t="s">
        <v>1046</v>
      </c>
      <c r="G314" t="s">
        <v>37</v>
      </c>
      <c r="H314" t="s">
        <v>38</v>
      </c>
      <c r="I314" t="s">
        <v>1047</v>
      </c>
      <c r="J314" t="s">
        <v>40</v>
      </c>
      <c r="K314">
        <v>2</v>
      </c>
      <c r="L314" t="s">
        <v>41</v>
      </c>
      <c r="M314" t="s">
        <v>42</v>
      </c>
      <c r="N314" t="s">
        <v>43</v>
      </c>
      <c r="O314" s="7">
        <v>2</v>
      </c>
      <c r="P314" s="8">
        <v>45176.470486111109</v>
      </c>
      <c r="Q314" s="9">
        <v>45177</v>
      </c>
      <c r="R314" t="s">
        <v>37</v>
      </c>
      <c r="S314" t="s">
        <v>44</v>
      </c>
      <c r="T314" t="s">
        <v>45</v>
      </c>
      <c r="U314" t="s">
        <v>46</v>
      </c>
      <c r="V314" t="s">
        <v>1048</v>
      </c>
      <c r="W314">
        <v>25200</v>
      </c>
      <c r="X314" t="s">
        <v>44</v>
      </c>
      <c r="Y314" t="s">
        <v>45</v>
      </c>
      <c r="Z314" t="s">
        <v>49</v>
      </c>
      <c r="AA314" s="10">
        <f>IF(O314&lt;=1,7,7+0.8*ROUNDUP(O314-1,0))</f>
        <v>7.8</v>
      </c>
      <c r="AB314" s="11">
        <v>0</v>
      </c>
      <c r="AC314" s="11">
        <v>0</v>
      </c>
      <c r="AD314" s="11">
        <v>0</v>
      </c>
      <c r="AE314" s="11">
        <v>0</v>
      </c>
      <c r="AF314" s="11">
        <f t="shared" si="8"/>
        <v>0.46799999999999997</v>
      </c>
      <c r="AG314" s="11">
        <f t="shared" si="9"/>
        <v>8.2680000000000007</v>
      </c>
      <c r="AH314" t="s">
        <v>50</v>
      </c>
    </row>
    <row r="315" spans="1:34" ht="15" customHeight="1" x14ac:dyDescent="0.35">
      <c r="A315">
        <v>7547676</v>
      </c>
      <c r="B315">
        <v>690929</v>
      </c>
      <c r="C315" t="s">
        <v>34</v>
      </c>
      <c r="D315" t="s">
        <v>35</v>
      </c>
      <c r="E315" s="6" t="s">
        <v>34</v>
      </c>
      <c r="F315" t="s">
        <v>1049</v>
      </c>
      <c r="G315" t="s">
        <v>37</v>
      </c>
      <c r="H315" t="s">
        <v>721</v>
      </c>
      <c r="I315" t="s">
        <v>1050</v>
      </c>
      <c r="J315" t="s">
        <v>40</v>
      </c>
      <c r="K315">
        <v>2</v>
      </c>
      <c r="L315" t="s">
        <v>41</v>
      </c>
      <c r="M315" t="s">
        <v>42</v>
      </c>
      <c r="N315" t="s">
        <v>43</v>
      </c>
      <c r="O315" s="7">
        <v>2</v>
      </c>
      <c r="P315" s="8">
        <v>45167.485497685186</v>
      </c>
      <c r="Q315" s="9">
        <v>45177</v>
      </c>
      <c r="R315" t="s">
        <v>37</v>
      </c>
      <c r="S315" t="s">
        <v>44</v>
      </c>
      <c r="T315" t="s">
        <v>45</v>
      </c>
      <c r="U315" t="s">
        <v>62</v>
      </c>
      <c r="V315" t="s">
        <v>1051</v>
      </c>
      <c r="W315">
        <v>50560</v>
      </c>
      <c r="X315" t="s">
        <v>44</v>
      </c>
      <c r="Y315" t="s">
        <v>452</v>
      </c>
      <c r="Z315" t="s">
        <v>49</v>
      </c>
      <c r="AA315" s="10">
        <f>IF(O315&lt;=1,7,7+0.8*ROUNDUP(O315-1,0))</f>
        <v>7.8</v>
      </c>
      <c r="AB315" s="11">
        <v>0</v>
      </c>
      <c r="AC315" s="11">
        <v>0</v>
      </c>
      <c r="AD315" s="11">
        <v>0</v>
      </c>
      <c r="AE315" s="11">
        <v>0</v>
      </c>
      <c r="AF315" s="11">
        <f t="shared" si="8"/>
        <v>0.46799999999999997</v>
      </c>
      <c r="AG315" s="11">
        <f t="shared" si="9"/>
        <v>8.2680000000000007</v>
      </c>
      <c r="AH315" t="s">
        <v>50</v>
      </c>
    </row>
    <row r="316" spans="1:34" ht="15" customHeight="1" x14ac:dyDescent="0.35">
      <c r="A316">
        <v>7547676</v>
      </c>
      <c r="B316">
        <v>690929</v>
      </c>
      <c r="C316" t="s">
        <v>34</v>
      </c>
      <c r="D316" t="s">
        <v>35</v>
      </c>
      <c r="E316" s="6" t="s">
        <v>34</v>
      </c>
      <c r="F316" t="s">
        <v>1052</v>
      </c>
      <c r="G316" t="s">
        <v>37</v>
      </c>
      <c r="H316" t="s">
        <v>721</v>
      </c>
      <c r="I316" t="s">
        <v>1053</v>
      </c>
      <c r="J316" t="s">
        <v>40</v>
      </c>
      <c r="K316">
        <v>2</v>
      </c>
      <c r="L316" t="s">
        <v>41</v>
      </c>
      <c r="M316" t="s">
        <v>42</v>
      </c>
      <c r="N316" t="s">
        <v>43</v>
      </c>
      <c r="O316" s="7">
        <v>2</v>
      </c>
      <c r="P316" s="8">
        <v>45167.485497685186</v>
      </c>
      <c r="Q316" s="9">
        <v>45177</v>
      </c>
      <c r="R316" t="s">
        <v>37</v>
      </c>
      <c r="S316" t="s">
        <v>44</v>
      </c>
      <c r="T316" t="s">
        <v>45</v>
      </c>
      <c r="U316" t="s">
        <v>62</v>
      </c>
      <c r="V316" t="s">
        <v>1051</v>
      </c>
      <c r="W316">
        <v>50560</v>
      </c>
      <c r="X316" t="s">
        <v>44</v>
      </c>
      <c r="Y316" t="s">
        <v>452</v>
      </c>
      <c r="Z316" t="s">
        <v>49</v>
      </c>
      <c r="AA316" s="10">
        <f>IF(O316&lt;=1,7,7+0.8*ROUNDUP(O316-1,0))</f>
        <v>7.8</v>
      </c>
      <c r="AB316" s="11">
        <v>0</v>
      </c>
      <c r="AC316" s="11">
        <v>0</v>
      </c>
      <c r="AD316" s="11">
        <v>0</v>
      </c>
      <c r="AE316" s="11">
        <v>0</v>
      </c>
      <c r="AF316" s="11">
        <f t="shared" si="8"/>
        <v>0.46799999999999997</v>
      </c>
      <c r="AG316" s="11">
        <f t="shared" si="9"/>
        <v>8.2680000000000007</v>
      </c>
      <c r="AH316" t="s">
        <v>50</v>
      </c>
    </row>
    <row r="317" spans="1:34" ht="15" customHeight="1" x14ac:dyDescent="0.35">
      <c r="A317">
        <v>7547676</v>
      </c>
      <c r="B317">
        <v>690929</v>
      </c>
      <c r="C317" t="s">
        <v>34</v>
      </c>
      <c r="D317" t="s">
        <v>35</v>
      </c>
      <c r="E317" s="6" t="s">
        <v>34</v>
      </c>
      <c r="F317" t="s">
        <v>1054</v>
      </c>
      <c r="G317" t="s">
        <v>37</v>
      </c>
      <c r="H317" t="s">
        <v>38</v>
      </c>
      <c r="I317" t="s">
        <v>1055</v>
      </c>
      <c r="J317" t="s">
        <v>40</v>
      </c>
      <c r="K317">
        <v>2</v>
      </c>
      <c r="L317" t="s">
        <v>41</v>
      </c>
      <c r="M317" t="s">
        <v>42</v>
      </c>
      <c r="N317" t="s">
        <v>43</v>
      </c>
      <c r="O317" s="7">
        <v>1</v>
      </c>
      <c r="P317" s="8">
        <v>45176.444108796299</v>
      </c>
      <c r="Q317" s="9">
        <v>45177</v>
      </c>
      <c r="R317" t="s">
        <v>37</v>
      </c>
      <c r="S317" t="s">
        <v>44</v>
      </c>
      <c r="T317" t="s">
        <v>45</v>
      </c>
      <c r="U317" t="s">
        <v>115</v>
      </c>
      <c r="V317" t="s">
        <v>1056</v>
      </c>
      <c r="W317">
        <v>17610</v>
      </c>
      <c r="X317" t="s">
        <v>44</v>
      </c>
      <c r="Y317" t="s">
        <v>45</v>
      </c>
      <c r="Z317" t="s">
        <v>49</v>
      </c>
      <c r="AA317" s="10">
        <f>IF(O317&lt;=1,7,7+0.8*ROUNDUP(O317-1,0))</f>
        <v>7</v>
      </c>
      <c r="AB317" s="11">
        <v>0</v>
      </c>
      <c r="AC317" s="11">
        <v>0</v>
      </c>
      <c r="AD317" s="11">
        <v>0</v>
      </c>
      <c r="AE317" s="11">
        <v>0</v>
      </c>
      <c r="AF317" s="11">
        <f t="shared" si="8"/>
        <v>0.42</v>
      </c>
      <c r="AG317" s="11">
        <f t="shared" si="9"/>
        <v>7.42</v>
      </c>
      <c r="AH317" t="s">
        <v>50</v>
      </c>
    </row>
    <row r="318" spans="1:34" ht="15" customHeight="1" x14ac:dyDescent="0.35">
      <c r="A318">
        <v>7547676</v>
      </c>
      <c r="B318">
        <v>690929</v>
      </c>
      <c r="C318" t="s">
        <v>34</v>
      </c>
      <c r="D318" t="s">
        <v>35</v>
      </c>
      <c r="E318" s="6" t="s">
        <v>34</v>
      </c>
      <c r="F318" t="s">
        <v>1057</v>
      </c>
      <c r="G318" t="s">
        <v>37</v>
      </c>
      <c r="H318" t="s">
        <v>38</v>
      </c>
      <c r="I318" t="s">
        <v>1058</v>
      </c>
      <c r="J318" t="s">
        <v>40</v>
      </c>
      <c r="K318">
        <v>2</v>
      </c>
      <c r="L318" t="s">
        <v>41</v>
      </c>
      <c r="M318" t="s">
        <v>42</v>
      </c>
      <c r="N318" t="s">
        <v>43</v>
      </c>
      <c r="O318" s="7">
        <v>1</v>
      </c>
      <c r="P318" s="8">
        <v>45175.700601851851</v>
      </c>
      <c r="Q318" s="9">
        <v>45177</v>
      </c>
      <c r="R318" t="s">
        <v>37</v>
      </c>
      <c r="S318" t="s">
        <v>44</v>
      </c>
      <c r="T318" t="s">
        <v>45</v>
      </c>
      <c r="U318" t="s">
        <v>110</v>
      </c>
      <c r="V318" t="s">
        <v>1059</v>
      </c>
      <c r="W318">
        <v>81200</v>
      </c>
      <c r="X318" t="s">
        <v>44</v>
      </c>
      <c r="Y318" t="s">
        <v>69</v>
      </c>
      <c r="Z318" t="s">
        <v>49</v>
      </c>
      <c r="AA318" s="10">
        <f>IF(O318&lt;=1,7,7+0.8*ROUNDUP(O318-1,0))</f>
        <v>7</v>
      </c>
      <c r="AB318" s="11">
        <v>0</v>
      </c>
      <c r="AC318" s="11">
        <v>0</v>
      </c>
      <c r="AD318" s="11">
        <v>0</v>
      </c>
      <c r="AE318" s="11">
        <v>0</v>
      </c>
      <c r="AF318" s="11">
        <f t="shared" si="8"/>
        <v>0.42</v>
      </c>
      <c r="AG318" s="11">
        <f t="shared" si="9"/>
        <v>7.42</v>
      </c>
      <c r="AH318" t="s">
        <v>50</v>
      </c>
    </row>
    <row r="319" spans="1:34" ht="15" customHeight="1" x14ac:dyDescent="0.35">
      <c r="A319">
        <v>7547676</v>
      </c>
      <c r="B319">
        <v>690929</v>
      </c>
      <c r="C319" t="s">
        <v>34</v>
      </c>
      <c r="D319" t="s">
        <v>35</v>
      </c>
      <c r="E319" s="6" t="s">
        <v>34</v>
      </c>
      <c r="F319" t="s">
        <v>1060</v>
      </c>
      <c r="G319" t="s">
        <v>37</v>
      </c>
      <c r="H319" t="s">
        <v>38</v>
      </c>
      <c r="I319" t="s">
        <v>1061</v>
      </c>
      <c r="J319" t="s">
        <v>40</v>
      </c>
      <c r="K319">
        <v>2</v>
      </c>
      <c r="L319" t="s">
        <v>41</v>
      </c>
      <c r="M319" t="s">
        <v>42</v>
      </c>
      <c r="N319" t="s">
        <v>43</v>
      </c>
      <c r="O319" s="7">
        <v>1</v>
      </c>
      <c r="P319" s="8">
        <v>45175.700601851851</v>
      </c>
      <c r="Q319" s="9">
        <v>45177</v>
      </c>
      <c r="R319" t="s">
        <v>37</v>
      </c>
      <c r="S319" t="s">
        <v>44</v>
      </c>
      <c r="T319" t="s">
        <v>45</v>
      </c>
      <c r="U319" t="s">
        <v>106</v>
      </c>
      <c r="V319" t="s">
        <v>1062</v>
      </c>
      <c r="W319">
        <v>11900</v>
      </c>
      <c r="X319" t="s">
        <v>44</v>
      </c>
      <c r="Y319" t="s">
        <v>1063</v>
      </c>
      <c r="Z319" t="s">
        <v>49</v>
      </c>
      <c r="AA319" s="10">
        <f>IF(O319&lt;=1,7,7+0.8*ROUNDUP(O319-1,0))</f>
        <v>7</v>
      </c>
      <c r="AB319" s="11">
        <v>0</v>
      </c>
      <c r="AC319" s="11">
        <v>0</v>
      </c>
      <c r="AD319" s="11">
        <v>0</v>
      </c>
      <c r="AE319" s="11">
        <v>0</v>
      </c>
      <c r="AF319" s="11">
        <f t="shared" si="8"/>
        <v>0.42</v>
      </c>
      <c r="AG319" s="11">
        <f t="shared" si="9"/>
        <v>7.42</v>
      </c>
      <c r="AH319" t="s">
        <v>50</v>
      </c>
    </row>
    <row r="320" spans="1:34" ht="15" customHeight="1" x14ac:dyDescent="0.35">
      <c r="A320">
        <v>7547676</v>
      </c>
      <c r="B320">
        <v>690929</v>
      </c>
      <c r="C320" t="s">
        <v>34</v>
      </c>
      <c r="D320" t="s">
        <v>35</v>
      </c>
      <c r="E320" s="6" t="s">
        <v>34</v>
      </c>
      <c r="F320" t="s">
        <v>1064</v>
      </c>
      <c r="G320" t="s">
        <v>37</v>
      </c>
      <c r="H320" t="s">
        <v>38</v>
      </c>
      <c r="I320" t="s">
        <v>1065</v>
      </c>
      <c r="J320" t="s">
        <v>40</v>
      </c>
      <c r="K320">
        <v>2</v>
      </c>
      <c r="L320" t="s">
        <v>41</v>
      </c>
      <c r="M320" t="s">
        <v>42</v>
      </c>
      <c r="N320" t="s">
        <v>43</v>
      </c>
      <c r="O320" s="7">
        <v>1</v>
      </c>
      <c r="P320" s="8">
        <v>45176.699629629627</v>
      </c>
      <c r="Q320" s="9">
        <v>45178</v>
      </c>
      <c r="R320" t="s">
        <v>37</v>
      </c>
      <c r="S320" t="s">
        <v>44</v>
      </c>
      <c r="T320" t="s">
        <v>45</v>
      </c>
      <c r="U320" t="s">
        <v>101</v>
      </c>
      <c r="V320" t="s">
        <v>1066</v>
      </c>
      <c r="W320">
        <v>30020</v>
      </c>
      <c r="X320" t="s">
        <v>44</v>
      </c>
      <c r="Y320" t="s">
        <v>204</v>
      </c>
      <c r="Z320" t="s">
        <v>49</v>
      </c>
      <c r="AA320" s="10">
        <f>IF(O320&lt;=1,7,7+0.8*ROUNDUP(O320-1,0))</f>
        <v>7</v>
      </c>
      <c r="AB320" s="11">
        <v>0</v>
      </c>
      <c r="AC320" s="11">
        <v>0</v>
      </c>
      <c r="AD320" s="11">
        <v>0</v>
      </c>
      <c r="AE320" s="11">
        <v>0</v>
      </c>
      <c r="AF320" s="11">
        <f t="shared" si="8"/>
        <v>0.42</v>
      </c>
      <c r="AG320" s="11">
        <f t="shared" si="9"/>
        <v>7.42</v>
      </c>
      <c r="AH320" t="s">
        <v>50</v>
      </c>
    </row>
    <row r="321" spans="1:34" ht="15" customHeight="1" x14ac:dyDescent="0.35">
      <c r="A321">
        <v>7547676</v>
      </c>
      <c r="B321">
        <v>690929</v>
      </c>
      <c r="C321" t="s">
        <v>34</v>
      </c>
      <c r="D321" t="s">
        <v>35</v>
      </c>
      <c r="E321" s="6" t="s">
        <v>34</v>
      </c>
      <c r="F321" t="s">
        <v>1067</v>
      </c>
      <c r="G321" t="s">
        <v>37</v>
      </c>
      <c r="H321" t="s">
        <v>38</v>
      </c>
      <c r="I321" t="s">
        <v>1068</v>
      </c>
      <c r="J321" t="s">
        <v>40</v>
      </c>
      <c r="K321">
        <v>2</v>
      </c>
      <c r="L321" t="s">
        <v>41</v>
      </c>
      <c r="M321" t="s">
        <v>42</v>
      </c>
      <c r="N321" t="s">
        <v>43</v>
      </c>
      <c r="O321" s="7">
        <v>1</v>
      </c>
      <c r="P321" s="8">
        <v>45176.73574074074</v>
      </c>
      <c r="Q321" s="9">
        <v>45178</v>
      </c>
      <c r="R321" t="s">
        <v>37</v>
      </c>
      <c r="S321" t="s">
        <v>44</v>
      </c>
      <c r="T321" t="s">
        <v>45</v>
      </c>
      <c r="U321" t="s">
        <v>110</v>
      </c>
      <c r="V321" t="s">
        <v>1069</v>
      </c>
      <c r="W321">
        <v>85300</v>
      </c>
      <c r="X321" t="s">
        <v>44</v>
      </c>
      <c r="Y321" t="s">
        <v>69</v>
      </c>
      <c r="Z321" t="s">
        <v>49</v>
      </c>
      <c r="AA321" s="10">
        <f>IF(O321&lt;=1,7,7+0.8*ROUNDUP(O321-1,0))</f>
        <v>7</v>
      </c>
      <c r="AB321" s="11">
        <v>0</v>
      </c>
      <c r="AC321" s="11">
        <v>0</v>
      </c>
      <c r="AD321" s="11">
        <v>0</v>
      </c>
      <c r="AE321" s="11">
        <v>0</v>
      </c>
      <c r="AF321" s="11">
        <f t="shared" si="8"/>
        <v>0.42</v>
      </c>
      <c r="AG321" s="11">
        <f t="shared" si="9"/>
        <v>7.42</v>
      </c>
      <c r="AH321" t="s">
        <v>50</v>
      </c>
    </row>
    <row r="322" spans="1:34" ht="15" customHeight="1" x14ac:dyDescent="0.35">
      <c r="A322">
        <v>7547676</v>
      </c>
      <c r="B322">
        <v>690929</v>
      </c>
      <c r="C322" t="s">
        <v>34</v>
      </c>
      <c r="D322" t="s">
        <v>35</v>
      </c>
      <c r="E322" s="6" t="s">
        <v>34</v>
      </c>
      <c r="F322" t="s">
        <v>1070</v>
      </c>
      <c r="G322" t="s">
        <v>37</v>
      </c>
      <c r="H322" t="s">
        <v>38</v>
      </c>
      <c r="I322" t="s">
        <v>1071</v>
      </c>
      <c r="J322" t="s">
        <v>40</v>
      </c>
      <c r="K322">
        <v>2</v>
      </c>
      <c r="L322" t="s">
        <v>41</v>
      </c>
      <c r="M322" t="s">
        <v>42</v>
      </c>
      <c r="N322" t="s">
        <v>43</v>
      </c>
      <c r="O322" s="7">
        <v>1</v>
      </c>
      <c r="P322" s="8">
        <v>45175.811412037037</v>
      </c>
      <c r="Q322" s="9">
        <v>45178</v>
      </c>
      <c r="R322" t="s">
        <v>37</v>
      </c>
      <c r="S322" t="s">
        <v>44</v>
      </c>
      <c r="T322" t="s">
        <v>45</v>
      </c>
      <c r="U322" t="s">
        <v>119</v>
      </c>
      <c r="V322" t="s">
        <v>1072</v>
      </c>
      <c r="W322">
        <v>78200</v>
      </c>
      <c r="X322" t="s">
        <v>44</v>
      </c>
      <c r="Y322" t="s">
        <v>69</v>
      </c>
      <c r="Z322" t="s">
        <v>49</v>
      </c>
      <c r="AA322" s="10">
        <f>IF(O322&lt;=1,7,7+0.8*ROUNDUP(O322-1,0))</f>
        <v>7</v>
      </c>
      <c r="AB322" s="11">
        <v>0</v>
      </c>
      <c r="AC322" s="11">
        <v>0</v>
      </c>
      <c r="AD322" s="11">
        <v>0</v>
      </c>
      <c r="AE322" s="11">
        <v>0</v>
      </c>
      <c r="AF322" s="11">
        <f t="shared" ref="AF322:AF385" si="10">(AA322+AC322+AE322)*6%</f>
        <v>0.42</v>
      </c>
      <c r="AG322" s="11">
        <f t="shared" ref="AG322:AG385" si="11">AA322+AC322+AE322+AF322</f>
        <v>7.42</v>
      </c>
      <c r="AH322" t="s">
        <v>50</v>
      </c>
    </row>
    <row r="323" spans="1:34" ht="15" customHeight="1" x14ac:dyDescent="0.35">
      <c r="A323">
        <v>7547676</v>
      </c>
      <c r="B323">
        <v>690929</v>
      </c>
      <c r="C323" t="s">
        <v>34</v>
      </c>
      <c r="D323" t="s">
        <v>35</v>
      </c>
      <c r="E323" s="6" t="s">
        <v>34</v>
      </c>
      <c r="F323" t="s">
        <v>1073</v>
      </c>
      <c r="G323" t="s">
        <v>37</v>
      </c>
      <c r="H323" t="s">
        <v>38</v>
      </c>
      <c r="I323" t="s">
        <v>1074</v>
      </c>
      <c r="J323" t="s">
        <v>40</v>
      </c>
      <c r="K323">
        <v>2</v>
      </c>
      <c r="L323" t="s">
        <v>41</v>
      </c>
      <c r="M323" t="s">
        <v>42</v>
      </c>
      <c r="N323" t="s">
        <v>43</v>
      </c>
      <c r="O323" s="7">
        <v>1</v>
      </c>
      <c r="P323" s="8">
        <v>45175.700601851851</v>
      </c>
      <c r="Q323" s="9">
        <v>45178</v>
      </c>
      <c r="R323" t="s">
        <v>37</v>
      </c>
      <c r="S323" t="s">
        <v>44</v>
      </c>
      <c r="T323" t="s">
        <v>45</v>
      </c>
      <c r="U323" t="s">
        <v>101</v>
      </c>
      <c r="V323" t="s">
        <v>1075</v>
      </c>
      <c r="W323">
        <v>34300</v>
      </c>
      <c r="X323" t="s">
        <v>44</v>
      </c>
      <c r="Y323" t="s">
        <v>84</v>
      </c>
      <c r="Z323" t="s">
        <v>49</v>
      </c>
      <c r="AA323" s="10">
        <f>IF(O323&lt;=1,7,7+0.8*ROUNDUP(O323-1,0))</f>
        <v>7</v>
      </c>
      <c r="AB323" s="11">
        <v>0</v>
      </c>
      <c r="AC323" s="11">
        <v>0</v>
      </c>
      <c r="AD323" s="11">
        <v>0</v>
      </c>
      <c r="AE323" s="11">
        <v>0</v>
      </c>
      <c r="AF323" s="11">
        <f t="shared" si="10"/>
        <v>0.42</v>
      </c>
      <c r="AG323" s="11">
        <f t="shared" si="11"/>
        <v>7.42</v>
      </c>
      <c r="AH323" t="s">
        <v>50</v>
      </c>
    </row>
    <row r="324" spans="1:34" ht="15" customHeight="1" x14ac:dyDescent="0.35">
      <c r="A324">
        <v>7547676</v>
      </c>
      <c r="B324">
        <v>690929</v>
      </c>
      <c r="C324" t="s">
        <v>34</v>
      </c>
      <c r="D324" t="s">
        <v>35</v>
      </c>
      <c r="E324" s="6" t="s">
        <v>34</v>
      </c>
      <c r="F324" t="s">
        <v>1076</v>
      </c>
      <c r="G324" t="s">
        <v>37</v>
      </c>
      <c r="H324" t="s">
        <v>38</v>
      </c>
      <c r="I324" t="s">
        <v>1077</v>
      </c>
      <c r="J324" t="s">
        <v>40</v>
      </c>
      <c r="K324">
        <v>2</v>
      </c>
      <c r="L324" t="s">
        <v>41</v>
      </c>
      <c r="M324" t="s">
        <v>42</v>
      </c>
      <c r="N324" t="s">
        <v>43</v>
      </c>
      <c r="O324" s="7">
        <v>1</v>
      </c>
      <c r="P324" s="8">
        <v>45175.811412037037</v>
      </c>
      <c r="Q324" s="9">
        <v>45178</v>
      </c>
      <c r="R324" t="s">
        <v>37</v>
      </c>
      <c r="S324" t="s">
        <v>44</v>
      </c>
      <c r="T324" t="s">
        <v>45</v>
      </c>
      <c r="U324" t="s">
        <v>119</v>
      </c>
      <c r="V324" t="s">
        <v>1078</v>
      </c>
      <c r="W324">
        <v>75250</v>
      </c>
      <c r="X324" t="s">
        <v>44</v>
      </c>
      <c r="Y324" t="s">
        <v>1079</v>
      </c>
      <c r="Z324" t="s">
        <v>49</v>
      </c>
      <c r="AA324" s="10">
        <f>IF(O324&lt;=1,7,7+0.8*ROUNDUP(O324-1,0))</f>
        <v>7</v>
      </c>
      <c r="AB324" s="11">
        <v>0</v>
      </c>
      <c r="AC324" s="11">
        <v>0</v>
      </c>
      <c r="AD324" s="11">
        <v>0</v>
      </c>
      <c r="AE324" s="11">
        <v>0</v>
      </c>
      <c r="AF324" s="11">
        <f t="shared" si="10"/>
        <v>0.42</v>
      </c>
      <c r="AG324" s="11">
        <f t="shared" si="11"/>
        <v>7.42</v>
      </c>
      <c r="AH324" t="s">
        <v>50</v>
      </c>
    </row>
    <row r="325" spans="1:34" ht="15" customHeight="1" x14ac:dyDescent="0.35">
      <c r="A325">
        <v>7547676</v>
      </c>
      <c r="B325">
        <v>690929</v>
      </c>
      <c r="C325" t="s">
        <v>34</v>
      </c>
      <c r="D325" t="s">
        <v>35</v>
      </c>
      <c r="E325" s="6" t="s">
        <v>34</v>
      </c>
      <c r="F325" t="s">
        <v>1080</v>
      </c>
      <c r="G325" t="s">
        <v>37</v>
      </c>
      <c r="H325" t="s">
        <v>38</v>
      </c>
      <c r="I325" t="s">
        <v>1081</v>
      </c>
      <c r="J325" t="s">
        <v>40</v>
      </c>
      <c r="K325">
        <v>2</v>
      </c>
      <c r="L325" t="s">
        <v>41</v>
      </c>
      <c r="M325" t="s">
        <v>42</v>
      </c>
      <c r="N325" t="s">
        <v>43</v>
      </c>
      <c r="O325" s="7">
        <v>10</v>
      </c>
      <c r="P325" s="8">
        <v>45176.673171296294</v>
      </c>
      <c r="Q325" s="9">
        <v>45178</v>
      </c>
      <c r="R325" t="s">
        <v>37</v>
      </c>
      <c r="S325" t="s">
        <v>44</v>
      </c>
      <c r="T325" t="s">
        <v>45</v>
      </c>
      <c r="U325" t="s">
        <v>101</v>
      </c>
      <c r="V325" t="s">
        <v>1082</v>
      </c>
      <c r="W325">
        <v>31000</v>
      </c>
      <c r="X325" t="s">
        <v>44</v>
      </c>
      <c r="Y325" t="s">
        <v>1083</v>
      </c>
      <c r="Z325" t="s">
        <v>49</v>
      </c>
      <c r="AA325" s="10">
        <f>IF(O325&lt;=1,7,7+0.8*ROUNDUP(O325-1,0))</f>
        <v>14.2</v>
      </c>
      <c r="AB325" s="11">
        <v>0</v>
      </c>
      <c r="AC325" s="11">
        <v>0</v>
      </c>
      <c r="AD325" s="11">
        <v>0</v>
      </c>
      <c r="AE325" s="11">
        <v>0</v>
      </c>
      <c r="AF325" s="11">
        <f t="shared" si="10"/>
        <v>0.85199999999999998</v>
      </c>
      <c r="AG325" s="11">
        <f t="shared" si="11"/>
        <v>15.052</v>
      </c>
      <c r="AH325" t="s">
        <v>50</v>
      </c>
    </row>
    <row r="326" spans="1:34" ht="15" customHeight="1" x14ac:dyDescent="0.35">
      <c r="A326">
        <v>7547676</v>
      </c>
      <c r="B326">
        <v>690929</v>
      </c>
      <c r="C326" t="s">
        <v>34</v>
      </c>
      <c r="D326" t="s">
        <v>35</v>
      </c>
      <c r="E326" s="6" t="s">
        <v>34</v>
      </c>
      <c r="F326" t="s">
        <v>1084</v>
      </c>
      <c r="G326" t="s">
        <v>37</v>
      </c>
      <c r="H326" t="s">
        <v>38</v>
      </c>
      <c r="I326" t="s">
        <v>1085</v>
      </c>
      <c r="J326" t="s">
        <v>40</v>
      </c>
      <c r="K326">
        <v>2</v>
      </c>
      <c r="L326" t="s">
        <v>41</v>
      </c>
      <c r="M326" t="s">
        <v>42</v>
      </c>
      <c r="N326" t="s">
        <v>43</v>
      </c>
      <c r="O326" s="7">
        <v>1</v>
      </c>
      <c r="P326" s="8">
        <v>45175.811412037037</v>
      </c>
      <c r="Q326" s="9">
        <v>45178</v>
      </c>
      <c r="R326" t="s">
        <v>37</v>
      </c>
      <c r="S326" t="s">
        <v>44</v>
      </c>
      <c r="T326" t="s">
        <v>45</v>
      </c>
      <c r="U326" t="s">
        <v>46</v>
      </c>
      <c r="V326" t="s">
        <v>1086</v>
      </c>
      <c r="W326">
        <v>28050</v>
      </c>
      <c r="X326" t="s">
        <v>44</v>
      </c>
      <c r="Y326" t="s">
        <v>45</v>
      </c>
      <c r="Z326" t="s">
        <v>49</v>
      </c>
      <c r="AA326" s="10">
        <f>IF(O326&lt;=1,7,7+0.8*ROUNDUP(O326-1,0))</f>
        <v>7</v>
      </c>
      <c r="AB326" s="11">
        <v>0</v>
      </c>
      <c r="AC326" s="11">
        <v>0</v>
      </c>
      <c r="AD326" s="11">
        <v>0</v>
      </c>
      <c r="AE326" s="11">
        <v>0</v>
      </c>
      <c r="AF326" s="11">
        <f t="shared" si="10"/>
        <v>0.42</v>
      </c>
      <c r="AG326" s="11">
        <f t="shared" si="11"/>
        <v>7.42</v>
      </c>
      <c r="AH326" t="s">
        <v>50</v>
      </c>
    </row>
    <row r="327" spans="1:34" ht="15" customHeight="1" x14ac:dyDescent="0.35">
      <c r="A327">
        <v>7547676</v>
      </c>
      <c r="B327">
        <v>690929</v>
      </c>
      <c r="C327" t="s">
        <v>34</v>
      </c>
      <c r="D327" t="s">
        <v>35</v>
      </c>
      <c r="E327" s="6" t="s">
        <v>34</v>
      </c>
      <c r="F327" t="s">
        <v>1087</v>
      </c>
      <c r="G327" t="s">
        <v>37</v>
      </c>
      <c r="H327" t="s">
        <v>38</v>
      </c>
      <c r="I327" t="s">
        <v>1088</v>
      </c>
      <c r="J327" t="s">
        <v>40</v>
      </c>
      <c r="K327">
        <v>2</v>
      </c>
      <c r="L327" t="s">
        <v>41</v>
      </c>
      <c r="M327" t="s">
        <v>42</v>
      </c>
      <c r="N327" t="s">
        <v>43</v>
      </c>
      <c r="O327" s="7">
        <v>1</v>
      </c>
      <c r="P327" s="8">
        <v>45177.475208333337</v>
      </c>
      <c r="Q327" s="9">
        <v>45178</v>
      </c>
      <c r="R327" t="s">
        <v>37</v>
      </c>
      <c r="S327" t="s">
        <v>44</v>
      </c>
      <c r="T327" t="s">
        <v>114</v>
      </c>
      <c r="U327" t="s">
        <v>101</v>
      </c>
      <c r="V327" t="s">
        <v>1089</v>
      </c>
      <c r="W327">
        <v>34700</v>
      </c>
      <c r="X327" t="s">
        <v>44</v>
      </c>
      <c r="Y327" t="s">
        <v>145</v>
      </c>
      <c r="Z327" t="s">
        <v>49</v>
      </c>
      <c r="AA327" s="10">
        <f>IF(O327&lt;=1,7,7+0.8*ROUNDUP(O327-1,0))</f>
        <v>7</v>
      </c>
      <c r="AB327" s="11">
        <v>0</v>
      </c>
      <c r="AC327" s="11">
        <v>0</v>
      </c>
      <c r="AD327" s="11">
        <v>0</v>
      </c>
      <c r="AE327" s="11">
        <v>0</v>
      </c>
      <c r="AF327" s="11">
        <f t="shared" si="10"/>
        <v>0.42</v>
      </c>
      <c r="AG327" s="11">
        <f t="shared" si="11"/>
        <v>7.42</v>
      </c>
      <c r="AH327" t="s">
        <v>50</v>
      </c>
    </row>
    <row r="328" spans="1:34" ht="15" customHeight="1" x14ac:dyDescent="0.35">
      <c r="A328">
        <v>7547676</v>
      </c>
      <c r="B328">
        <v>690929</v>
      </c>
      <c r="C328" t="s">
        <v>34</v>
      </c>
      <c r="D328" t="s">
        <v>35</v>
      </c>
      <c r="E328" s="6" t="s">
        <v>34</v>
      </c>
      <c r="F328" t="s">
        <v>1090</v>
      </c>
      <c r="G328" t="s">
        <v>37</v>
      </c>
      <c r="H328" t="s">
        <v>38</v>
      </c>
      <c r="I328" t="s">
        <v>1091</v>
      </c>
      <c r="J328" t="s">
        <v>40</v>
      </c>
      <c r="K328">
        <v>2</v>
      </c>
      <c r="L328" t="s">
        <v>41</v>
      </c>
      <c r="M328" t="s">
        <v>42</v>
      </c>
      <c r="N328" t="s">
        <v>43</v>
      </c>
      <c r="O328" s="7">
        <v>1</v>
      </c>
      <c r="P328" s="8">
        <v>45175.811412037037</v>
      </c>
      <c r="Q328" s="9">
        <v>45178</v>
      </c>
      <c r="R328" t="s">
        <v>37</v>
      </c>
      <c r="S328" t="s">
        <v>44</v>
      </c>
      <c r="T328" t="s">
        <v>45</v>
      </c>
      <c r="U328" t="s">
        <v>110</v>
      </c>
      <c r="V328" t="s">
        <v>1092</v>
      </c>
      <c r="W328">
        <v>86400</v>
      </c>
      <c r="X328" t="s">
        <v>44</v>
      </c>
      <c r="Y328" t="s">
        <v>69</v>
      </c>
      <c r="Z328" t="s">
        <v>49</v>
      </c>
      <c r="AA328" s="10">
        <f>IF(O328&lt;=1,7,7+0.8*ROUNDUP(O328-1,0))</f>
        <v>7</v>
      </c>
      <c r="AB328" s="11">
        <v>0</v>
      </c>
      <c r="AC328" s="11">
        <v>0</v>
      </c>
      <c r="AD328" s="11">
        <v>0</v>
      </c>
      <c r="AE328" s="11">
        <v>0</v>
      </c>
      <c r="AF328" s="11">
        <f t="shared" si="10"/>
        <v>0.42</v>
      </c>
      <c r="AG328" s="11">
        <f t="shared" si="11"/>
        <v>7.42</v>
      </c>
      <c r="AH328" t="s">
        <v>50</v>
      </c>
    </row>
    <row r="329" spans="1:34" ht="15" customHeight="1" x14ac:dyDescent="0.35">
      <c r="A329">
        <v>7547676</v>
      </c>
      <c r="B329">
        <v>690929</v>
      </c>
      <c r="C329" t="s">
        <v>34</v>
      </c>
      <c r="D329" t="s">
        <v>35</v>
      </c>
      <c r="E329" s="6" t="s">
        <v>34</v>
      </c>
      <c r="F329" t="s">
        <v>1093</v>
      </c>
      <c r="G329" t="s">
        <v>37</v>
      </c>
      <c r="H329" t="s">
        <v>38</v>
      </c>
      <c r="I329" t="s">
        <v>1094</v>
      </c>
      <c r="J329" t="s">
        <v>40</v>
      </c>
      <c r="K329">
        <v>2</v>
      </c>
      <c r="L329" t="s">
        <v>41</v>
      </c>
      <c r="M329" t="s">
        <v>42</v>
      </c>
      <c r="N329" t="s">
        <v>43</v>
      </c>
      <c r="O329" s="7">
        <v>1</v>
      </c>
      <c r="P329" s="8">
        <v>45175.817731481482</v>
      </c>
      <c r="Q329" s="9">
        <v>45178</v>
      </c>
      <c r="R329" t="s">
        <v>37</v>
      </c>
      <c r="S329" t="s">
        <v>44</v>
      </c>
      <c r="T329" t="s">
        <v>45</v>
      </c>
      <c r="U329" t="s">
        <v>139</v>
      </c>
      <c r="V329" t="s">
        <v>1095</v>
      </c>
      <c r="W329">
        <v>5050</v>
      </c>
      <c r="X329" t="s">
        <v>44</v>
      </c>
      <c r="Y329" t="s">
        <v>433</v>
      </c>
      <c r="Z329" t="s">
        <v>49</v>
      </c>
      <c r="AA329" s="10">
        <f>IF(O329&lt;=1,7,7+0.8*ROUNDUP(O329-1,0))</f>
        <v>7</v>
      </c>
      <c r="AB329" s="11">
        <v>0</v>
      </c>
      <c r="AC329" s="11">
        <v>0</v>
      </c>
      <c r="AD329" s="11">
        <v>0</v>
      </c>
      <c r="AE329" s="11">
        <v>0</v>
      </c>
      <c r="AF329" s="11">
        <f t="shared" si="10"/>
        <v>0.42</v>
      </c>
      <c r="AG329" s="11">
        <f t="shared" si="11"/>
        <v>7.42</v>
      </c>
      <c r="AH329" t="s">
        <v>50</v>
      </c>
    </row>
    <row r="330" spans="1:34" ht="15" customHeight="1" x14ac:dyDescent="0.35">
      <c r="A330">
        <v>7547676</v>
      </c>
      <c r="B330">
        <v>690929</v>
      </c>
      <c r="C330" t="s">
        <v>34</v>
      </c>
      <c r="D330" t="s">
        <v>35</v>
      </c>
      <c r="E330" s="6" t="s">
        <v>34</v>
      </c>
      <c r="F330" t="s">
        <v>1096</v>
      </c>
      <c r="G330" t="s">
        <v>37</v>
      </c>
      <c r="H330" t="s">
        <v>38</v>
      </c>
      <c r="I330" t="s">
        <v>1097</v>
      </c>
      <c r="J330" t="s">
        <v>40</v>
      </c>
      <c r="K330">
        <v>2</v>
      </c>
      <c r="L330" t="s">
        <v>41</v>
      </c>
      <c r="M330" t="s">
        <v>42</v>
      </c>
      <c r="N330" t="s">
        <v>43</v>
      </c>
      <c r="O330" s="7">
        <v>1</v>
      </c>
      <c r="P330" s="8">
        <v>45176.748611111114</v>
      </c>
      <c r="Q330" s="9">
        <v>45178</v>
      </c>
      <c r="R330" t="s">
        <v>37</v>
      </c>
      <c r="S330" t="s">
        <v>44</v>
      </c>
      <c r="T330" t="s">
        <v>45</v>
      </c>
      <c r="U330" t="s">
        <v>110</v>
      </c>
      <c r="V330" t="s">
        <v>1098</v>
      </c>
      <c r="W330">
        <v>86000</v>
      </c>
      <c r="X330" t="s">
        <v>44</v>
      </c>
      <c r="Y330" t="s">
        <v>316</v>
      </c>
      <c r="Z330" t="s">
        <v>49</v>
      </c>
      <c r="AA330" s="10">
        <f>IF(O330&lt;=1,7,7+0.8*ROUNDUP(O330-1,0))</f>
        <v>7</v>
      </c>
      <c r="AB330" s="11">
        <v>0</v>
      </c>
      <c r="AC330" s="11">
        <v>0</v>
      </c>
      <c r="AD330" s="11">
        <v>0</v>
      </c>
      <c r="AE330" s="11">
        <v>0</v>
      </c>
      <c r="AF330" s="11">
        <f t="shared" si="10"/>
        <v>0.42</v>
      </c>
      <c r="AG330" s="11">
        <f t="shared" si="11"/>
        <v>7.42</v>
      </c>
      <c r="AH330" t="s">
        <v>50</v>
      </c>
    </row>
    <row r="331" spans="1:34" ht="15" customHeight="1" x14ac:dyDescent="0.35">
      <c r="A331">
        <v>7547676</v>
      </c>
      <c r="B331">
        <v>690929</v>
      </c>
      <c r="C331" t="s">
        <v>34</v>
      </c>
      <c r="D331" t="s">
        <v>35</v>
      </c>
      <c r="E331" s="6" t="s">
        <v>34</v>
      </c>
      <c r="F331" t="s">
        <v>1099</v>
      </c>
      <c r="G331" t="s">
        <v>37</v>
      </c>
      <c r="H331" t="s">
        <v>38</v>
      </c>
      <c r="I331" t="s">
        <v>1100</v>
      </c>
      <c r="J331" t="s">
        <v>40</v>
      </c>
      <c r="K331">
        <v>2</v>
      </c>
      <c r="L331" t="s">
        <v>41</v>
      </c>
      <c r="M331" t="s">
        <v>42</v>
      </c>
      <c r="N331" t="s">
        <v>43</v>
      </c>
      <c r="O331" s="7">
        <v>1</v>
      </c>
      <c r="P331" s="8">
        <v>45176.716111111113</v>
      </c>
      <c r="Q331" s="9">
        <v>45178</v>
      </c>
      <c r="R331" t="s">
        <v>37</v>
      </c>
      <c r="S331" t="s">
        <v>44</v>
      </c>
      <c r="T331" t="s">
        <v>45</v>
      </c>
      <c r="U331" t="s">
        <v>67</v>
      </c>
      <c r="V331" t="s">
        <v>1101</v>
      </c>
      <c r="W331">
        <v>43500</v>
      </c>
      <c r="X331" t="s">
        <v>44</v>
      </c>
      <c r="Y331" t="s">
        <v>69</v>
      </c>
      <c r="Z331" t="s">
        <v>49</v>
      </c>
      <c r="AA331" s="10">
        <f>IF(O331&lt;=1,7,7+0.8*ROUNDUP(O331-1,0))</f>
        <v>7</v>
      </c>
      <c r="AB331" s="11">
        <v>0</v>
      </c>
      <c r="AC331" s="11">
        <v>0</v>
      </c>
      <c r="AD331" s="11">
        <v>0</v>
      </c>
      <c r="AE331" s="11">
        <v>0</v>
      </c>
      <c r="AF331" s="11">
        <f t="shared" si="10"/>
        <v>0.42</v>
      </c>
      <c r="AG331" s="11">
        <f t="shared" si="11"/>
        <v>7.42</v>
      </c>
      <c r="AH331" t="s">
        <v>50</v>
      </c>
    </row>
    <row r="332" spans="1:34" ht="15" customHeight="1" x14ac:dyDescent="0.35">
      <c r="A332">
        <v>7547676</v>
      </c>
      <c r="B332">
        <v>690929</v>
      </c>
      <c r="C332" t="s">
        <v>34</v>
      </c>
      <c r="D332" t="s">
        <v>35</v>
      </c>
      <c r="E332" s="6" t="s">
        <v>34</v>
      </c>
      <c r="F332" t="s">
        <v>1102</v>
      </c>
      <c r="G332" t="s">
        <v>37</v>
      </c>
      <c r="H332" t="s">
        <v>38</v>
      </c>
      <c r="I332" t="s">
        <v>1103</v>
      </c>
      <c r="J332" t="s">
        <v>40</v>
      </c>
      <c r="K332">
        <v>2</v>
      </c>
      <c r="L332" t="s">
        <v>41</v>
      </c>
      <c r="M332" t="s">
        <v>42</v>
      </c>
      <c r="N332" t="s">
        <v>43</v>
      </c>
      <c r="O332" s="7">
        <v>1</v>
      </c>
      <c r="P332" s="8">
        <v>45177.45585648148</v>
      </c>
      <c r="Q332" s="9">
        <v>45179</v>
      </c>
      <c r="R332" t="s">
        <v>37</v>
      </c>
      <c r="S332" t="s">
        <v>44</v>
      </c>
      <c r="T332" t="s">
        <v>114</v>
      </c>
      <c r="U332" t="s">
        <v>115</v>
      </c>
      <c r="V332" t="s">
        <v>1104</v>
      </c>
      <c r="W332">
        <v>15200</v>
      </c>
      <c r="X332" t="s">
        <v>44</v>
      </c>
      <c r="Y332" t="s">
        <v>114</v>
      </c>
      <c r="Z332" t="s">
        <v>49</v>
      </c>
      <c r="AA332" s="10">
        <f>IF(O332&lt;=1,7,7+0.8*ROUNDUP(O332-1,0))</f>
        <v>7</v>
      </c>
      <c r="AB332" s="11">
        <v>0</v>
      </c>
      <c r="AC332" s="11">
        <v>0</v>
      </c>
      <c r="AD332" s="11">
        <v>0</v>
      </c>
      <c r="AE332" s="11">
        <v>0</v>
      </c>
      <c r="AF332" s="11">
        <f t="shared" si="10"/>
        <v>0.42</v>
      </c>
      <c r="AG332" s="11">
        <f t="shared" si="11"/>
        <v>7.42</v>
      </c>
      <c r="AH332" t="s">
        <v>50</v>
      </c>
    </row>
    <row r="333" spans="1:34" ht="15" customHeight="1" x14ac:dyDescent="0.35">
      <c r="A333">
        <v>7547676</v>
      </c>
      <c r="B333">
        <v>690929</v>
      </c>
      <c r="C333" t="s">
        <v>34</v>
      </c>
      <c r="D333" t="s">
        <v>35</v>
      </c>
      <c r="E333" s="6" t="s">
        <v>34</v>
      </c>
      <c r="F333" t="s">
        <v>1105</v>
      </c>
      <c r="G333" t="s">
        <v>37</v>
      </c>
      <c r="H333" t="s">
        <v>38</v>
      </c>
      <c r="I333" t="s">
        <v>393</v>
      </c>
      <c r="J333" t="s">
        <v>40</v>
      </c>
      <c r="K333">
        <v>2</v>
      </c>
      <c r="L333" t="s">
        <v>41</v>
      </c>
      <c r="M333" t="s">
        <v>42</v>
      </c>
      <c r="N333" t="s">
        <v>43</v>
      </c>
      <c r="O333" s="7">
        <v>2</v>
      </c>
      <c r="P333" s="8">
        <v>45178.743472222224</v>
      </c>
      <c r="Q333" s="9">
        <v>45179</v>
      </c>
      <c r="R333" t="s">
        <v>37</v>
      </c>
      <c r="S333" t="s">
        <v>44</v>
      </c>
      <c r="T333" t="s">
        <v>114</v>
      </c>
      <c r="U333" t="s">
        <v>115</v>
      </c>
      <c r="V333" t="s">
        <v>394</v>
      </c>
      <c r="W333">
        <v>18300</v>
      </c>
      <c r="X333" t="s">
        <v>44</v>
      </c>
      <c r="Y333" t="s">
        <v>114</v>
      </c>
      <c r="Z333" t="s">
        <v>49</v>
      </c>
      <c r="AA333" s="10">
        <f>IF(O333&lt;=1,7,7+0.8*ROUNDUP(O333-1,0))</f>
        <v>7.8</v>
      </c>
      <c r="AB333" s="11">
        <v>0</v>
      </c>
      <c r="AC333" s="11">
        <v>0</v>
      </c>
      <c r="AD333" s="11">
        <v>0</v>
      </c>
      <c r="AE333" s="11">
        <v>0</v>
      </c>
      <c r="AF333" s="11">
        <f t="shared" si="10"/>
        <v>0.46799999999999997</v>
      </c>
      <c r="AG333" s="11">
        <f t="shared" si="11"/>
        <v>8.2680000000000007</v>
      </c>
      <c r="AH333" t="s">
        <v>50</v>
      </c>
    </row>
    <row r="334" spans="1:34" ht="15" customHeight="1" x14ac:dyDescent="0.35">
      <c r="A334">
        <v>7547676</v>
      </c>
      <c r="B334">
        <v>690929</v>
      </c>
      <c r="C334" t="s">
        <v>34</v>
      </c>
      <c r="D334" t="s">
        <v>35</v>
      </c>
      <c r="E334" s="6" t="s">
        <v>34</v>
      </c>
      <c r="F334" t="s">
        <v>1106</v>
      </c>
      <c r="G334" t="s">
        <v>37</v>
      </c>
      <c r="H334" t="s">
        <v>38</v>
      </c>
      <c r="I334" t="s">
        <v>1107</v>
      </c>
      <c r="J334" t="s">
        <v>40</v>
      </c>
      <c r="K334">
        <v>2</v>
      </c>
      <c r="L334" t="s">
        <v>41</v>
      </c>
      <c r="M334" t="s">
        <v>42</v>
      </c>
      <c r="N334" t="s">
        <v>43</v>
      </c>
      <c r="O334" s="7">
        <v>2</v>
      </c>
      <c r="P334" s="8">
        <v>45178.717766203707</v>
      </c>
      <c r="Q334" s="9">
        <v>45179</v>
      </c>
      <c r="R334" t="s">
        <v>37</v>
      </c>
      <c r="S334" t="s">
        <v>44</v>
      </c>
      <c r="T334" t="s">
        <v>114</v>
      </c>
      <c r="U334" t="s">
        <v>115</v>
      </c>
      <c r="V334" t="s">
        <v>1108</v>
      </c>
      <c r="W334">
        <v>16210</v>
      </c>
      <c r="X334" t="s">
        <v>44</v>
      </c>
      <c r="Y334" t="s">
        <v>114</v>
      </c>
      <c r="Z334" t="s">
        <v>49</v>
      </c>
      <c r="AA334" s="10">
        <f>IF(O334&lt;=1,7,7+0.8*ROUNDUP(O334-1,0))</f>
        <v>7.8</v>
      </c>
      <c r="AB334" s="11">
        <v>0</v>
      </c>
      <c r="AC334" s="11">
        <v>0</v>
      </c>
      <c r="AD334" s="11">
        <v>0</v>
      </c>
      <c r="AE334" s="11">
        <v>0</v>
      </c>
      <c r="AF334" s="11">
        <f t="shared" si="10"/>
        <v>0.46799999999999997</v>
      </c>
      <c r="AG334" s="11">
        <f t="shared" si="11"/>
        <v>8.2680000000000007</v>
      </c>
      <c r="AH334" t="s">
        <v>50</v>
      </c>
    </row>
    <row r="335" spans="1:34" ht="15" customHeight="1" x14ac:dyDescent="0.35">
      <c r="A335">
        <v>7547676</v>
      </c>
      <c r="B335">
        <v>690929</v>
      </c>
      <c r="C335" t="s">
        <v>34</v>
      </c>
      <c r="D335" t="s">
        <v>35</v>
      </c>
      <c r="E335" s="6" t="s">
        <v>34</v>
      </c>
      <c r="F335" t="s">
        <v>1109</v>
      </c>
      <c r="G335" t="s">
        <v>37</v>
      </c>
      <c r="H335" t="s">
        <v>38</v>
      </c>
      <c r="I335" t="s">
        <v>1110</v>
      </c>
      <c r="J335" t="s">
        <v>40</v>
      </c>
      <c r="K335">
        <v>2</v>
      </c>
      <c r="L335" t="s">
        <v>41</v>
      </c>
      <c r="M335" t="s">
        <v>42</v>
      </c>
      <c r="N335" t="s">
        <v>43</v>
      </c>
      <c r="O335" s="7">
        <v>11</v>
      </c>
      <c r="P335" s="8">
        <v>45178.662210648145</v>
      </c>
      <c r="Q335" s="9">
        <v>45179</v>
      </c>
      <c r="R335" t="s">
        <v>37</v>
      </c>
      <c r="S335" t="s">
        <v>44</v>
      </c>
      <c r="T335" t="s">
        <v>45</v>
      </c>
      <c r="U335" t="s">
        <v>115</v>
      </c>
      <c r="V335" t="s">
        <v>1111</v>
      </c>
      <c r="W335">
        <v>18300</v>
      </c>
      <c r="X335" t="s">
        <v>44</v>
      </c>
      <c r="Y335" t="s">
        <v>981</v>
      </c>
      <c r="Z335" t="s">
        <v>49</v>
      </c>
      <c r="AA335" s="10">
        <f>IF(O335&lt;=1,7,7+0.8*ROUNDUP(O335-1,0))</f>
        <v>15</v>
      </c>
      <c r="AB335" s="11">
        <v>0</v>
      </c>
      <c r="AC335" s="11">
        <v>0</v>
      </c>
      <c r="AD335" s="11">
        <v>0</v>
      </c>
      <c r="AE335" s="11">
        <v>0</v>
      </c>
      <c r="AF335" s="11">
        <f t="shared" si="10"/>
        <v>0.89999999999999991</v>
      </c>
      <c r="AG335" s="11">
        <f t="shared" si="11"/>
        <v>15.9</v>
      </c>
      <c r="AH335" t="s">
        <v>50</v>
      </c>
    </row>
    <row r="336" spans="1:34" ht="15" customHeight="1" x14ac:dyDescent="0.35">
      <c r="A336">
        <v>7547676</v>
      </c>
      <c r="B336">
        <v>690929</v>
      </c>
      <c r="C336" t="s">
        <v>34</v>
      </c>
      <c r="D336" t="s">
        <v>35</v>
      </c>
      <c r="E336" s="6" t="s">
        <v>34</v>
      </c>
      <c r="F336" t="s">
        <v>1112</v>
      </c>
      <c r="G336" t="s">
        <v>37</v>
      </c>
      <c r="H336" t="s">
        <v>38</v>
      </c>
      <c r="I336" t="s">
        <v>1113</v>
      </c>
      <c r="J336" t="s">
        <v>40</v>
      </c>
      <c r="K336">
        <v>2</v>
      </c>
      <c r="L336" t="s">
        <v>41</v>
      </c>
      <c r="M336" t="s">
        <v>42</v>
      </c>
      <c r="N336" t="s">
        <v>43</v>
      </c>
      <c r="O336" s="7">
        <v>1</v>
      </c>
      <c r="P336" s="8">
        <v>45175.700601851851</v>
      </c>
      <c r="Q336" s="9">
        <v>45179</v>
      </c>
      <c r="R336" t="s">
        <v>37</v>
      </c>
      <c r="S336" t="s">
        <v>44</v>
      </c>
      <c r="T336" t="s">
        <v>45</v>
      </c>
      <c r="U336" t="s">
        <v>378</v>
      </c>
      <c r="V336" t="s">
        <v>1114</v>
      </c>
      <c r="W336">
        <v>89500</v>
      </c>
      <c r="X336" t="s">
        <v>135</v>
      </c>
      <c r="Y336" t="s">
        <v>69</v>
      </c>
      <c r="Z336" t="s">
        <v>49</v>
      </c>
      <c r="AA336" s="12">
        <f>IF(O336&lt;=1,13,IF(O336&lt;=2,23,IF(O336&lt;=3,35,IF(O336&lt;=4,43,IF(O336&lt;=5,53,IF(O336&lt;=6,63,IF(O336&lt;=7,71,IF(O336&lt;=8,79,IF(O336&lt;=9,87,IF(O336&lt;=10,95,IF(O336&lt;=11,105,IF(O336&lt;=12,114,IF(O336&lt;=13,119,IF(O336&lt;=14,127,IF(O336&lt;=15,135,IF(O336&lt;=16,143,IF(O336&lt;=17,153,IF(O336&lt;=18,163,IF(O336&lt;=19,171,IF(O336&lt;=20,185,IF(O336&lt;=21,193,IF(O336&lt;=22,201,IF(O336&lt;=23,210,IF(O336&lt;=24,220,IF(O336&lt;=25,230,IF(O336&lt;=26,240,IF(O336&lt;=27,250,IF(O336&lt;=28,260,IF(O336&lt;=29,270,IF(O336&lt;=30,280,280+10*ROUNDUP(O336-30,0)))))))))))))))))))))))))))))))</f>
        <v>13</v>
      </c>
      <c r="AB336" s="11">
        <v>0</v>
      </c>
      <c r="AC336" s="11">
        <v>0</v>
      </c>
      <c r="AD336" s="11">
        <v>0</v>
      </c>
      <c r="AE336" s="11">
        <v>0</v>
      </c>
      <c r="AF336" s="11">
        <f t="shared" si="10"/>
        <v>0.78</v>
      </c>
      <c r="AG336" s="11">
        <f t="shared" si="11"/>
        <v>13.78</v>
      </c>
      <c r="AH336" t="s">
        <v>136</v>
      </c>
    </row>
    <row r="337" spans="1:34" ht="15" customHeight="1" x14ac:dyDescent="0.35">
      <c r="A337">
        <v>7547676</v>
      </c>
      <c r="B337">
        <v>690929</v>
      </c>
      <c r="C337" t="s">
        <v>34</v>
      </c>
      <c r="D337" t="s">
        <v>35</v>
      </c>
      <c r="E337" s="6" t="s">
        <v>34</v>
      </c>
      <c r="F337" t="s">
        <v>1115</v>
      </c>
      <c r="G337" t="s">
        <v>37</v>
      </c>
      <c r="H337" t="s">
        <v>38</v>
      </c>
      <c r="I337" t="s">
        <v>1116</v>
      </c>
      <c r="J337" t="s">
        <v>40</v>
      </c>
      <c r="K337">
        <v>2</v>
      </c>
      <c r="L337" t="s">
        <v>41</v>
      </c>
      <c r="M337" t="s">
        <v>42</v>
      </c>
      <c r="N337" t="s">
        <v>43</v>
      </c>
      <c r="O337" s="7">
        <v>1</v>
      </c>
      <c r="P337" s="8">
        <v>45178.717766203707</v>
      </c>
      <c r="Q337" s="9">
        <v>45179</v>
      </c>
      <c r="R337" t="s">
        <v>37</v>
      </c>
      <c r="S337" t="s">
        <v>44</v>
      </c>
      <c r="T337" t="s">
        <v>114</v>
      </c>
      <c r="U337" t="s">
        <v>115</v>
      </c>
      <c r="V337" t="s">
        <v>1117</v>
      </c>
      <c r="W337">
        <v>15000</v>
      </c>
      <c r="X337" t="s">
        <v>44</v>
      </c>
      <c r="Y337" t="s">
        <v>114</v>
      </c>
      <c r="Z337" t="s">
        <v>49</v>
      </c>
      <c r="AA337" s="10">
        <f>IF(O337&lt;=1,7,7+0.8*ROUNDUP(O337-1,0))</f>
        <v>7</v>
      </c>
      <c r="AB337" s="11">
        <v>0</v>
      </c>
      <c r="AC337" s="11">
        <v>0</v>
      </c>
      <c r="AD337" s="11">
        <v>0</v>
      </c>
      <c r="AE337" s="11">
        <v>0</v>
      </c>
      <c r="AF337" s="11">
        <f t="shared" si="10"/>
        <v>0.42</v>
      </c>
      <c r="AG337" s="11">
        <f t="shared" si="11"/>
        <v>7.42</v>
      </c>
      <c r="AH337" t="s">
        <v>50</v>
      </c>
    </row>
    <row r="338" spans="1:34" ht="15" customHeight="1" x14ac:dyDescent="0.35">
      <c r="A338">
        <v>7547676</v>
      </c>
      <c r="B338">
        <v>690929</v>
      </c>
      <c r="C338" t="s">
        <v>34</v>
      </c>
      <c r="D338" t="s">
        <v>35</v>
      </c>
      <c r="E338" s="6" t="s">
        <v>34</v>
      </c>
      <c r="F338" t="s">
        <v>1118</v>
      </c>
      <c r="G338" t="s">
        <v>37</v>
      </c>
      <c r="H338" t="s">
        <v>38</v>
      </c>
      <c r="I338" t="s">
        <v>1119</v>
      </c>
      <c r="J338" t="s">
        <v>40</v>
      </c>
      <c r="K338">
        <v>2</v>
      </c>
      <c r="L338" t="s">
        <v>41</v>
      </c>
      <c r="M338" t="s">
        <v>42</v>
      </c>
      <c r="N338" t="s">
        <v>43</v>
      </c>
      <c r="O338" s="7">
        <v>10</v>
      </c>
      <c r="P338" s="8">
        <v>45178.759259259263</v>
      </c>
      <c r="Q338" s="9">
        <v>45180</v>
      </c>
      <c r="R338" t="s">
        <v>37</v>
      </c>
      <c r="S338" t="s">
        <v>44</v>
      </c>
      <c r="T338" t="s">
        <v>45</v>
      </c>
      <c r="U338" t="s">
        <v>378</v>
      </c>
      <c r="V338" t="s">
        <v>1120</v>
      </c>
      <c r="W338">
        <v>91207</v>
      </c>
      <c r="X338" t="s">
        <v>135</v>
      </c>
      <c r="Y338" t="s">
        <v>1121</v>
      </c>
      <c r="Z338" t="s">
        <v>49</v>
      </c>
      <c r="AA338" s="12">
        <f>IF(O338&lt;=1,13,IF(O338&lt;=2,23,IF(O338&lt;=3,35,IF(O338&lt;=4,43,IF(O338&lt;=5,53,IF(O338&lt;=6,63,IF(O338&lt;=7,71,IF(O338&lt;=8,79,IF(O338&lt;=9,87,IF(O338&lt;=10,95,IF(O338&lt;=11,105,IF(O338&lt;=12,114,IF(O338&lt;=13,119,IF(O338&lt;=14,127,IF(O338&lt;=15,135,IF(O338&lt;=16,143,IF(O338&lt;=17,153,IF(O338&lt;=18,163,IF(O338&lt;=19,171,IF(O338&lt;=20,185,IF(O338&lt;=21,193,IF(O338&lt;=22,201,IF(O338&lt;=23,210,IF(O338&lt;=24,220,IF(O338&lt;=25,230,IF(O338&lt;=26,240,IF(O338&lt;=27,250,IF(O338&lt;=28,260,IF(O338&lt;=29,270,IF(O338&lt;=30,280,280+10*ROUNDUP(O338-30,0)))))))))))))))))))))))))))))))</f>
        <v>95</v>
      </c>
      <c r="AB338" s="11">
        <v>0</v>
      </c>
      <c r="AC338" s="11">
        <v>0</v>
      </c>
      <c r="AD338" s="11">
        <v>300</v>
      </c>
      <c r="AE338" s="11">
        <f>AD338*1.5%</f>
        <v>4.5</v>
      </c>
      <c r="AF338" s="11">
        <f t="shared" si="10"/>
        <v>5.97</v>
      </c>
      <c r="AG338" s="11">
        <f t="shared" si="11"/>
        <v>105.47</v>
      </c>
      <c r="AH338" t="s">
        <v>136</v>
      </c>
    </row>
    <row r="339" spans="1:34" ht="15" customHeight="1" x14ac:dyDescent="0.35">
      <c r="A339">
        <v>7547676</v>
      </c>
      <c r="B339">
        <v>690929</v>
      </c>
      <c r="C339" t="s">
        <v>34</v>
      </c>
      <c r="D339" t="s">
        <v>35</v>
      </c>
      <c r="E339" s="6" t="s">
        <v>34</v>
      </c>
      <c r="F339" t="s">
        <v>1122</v>
      </c>
      <c r="G339" t="s">
        <v>37</v>
      </c>
      <c r="H339" t="s">
        <v>38</v>
      </c>
      <c r="I339" t="s">
        <v>1123</v>
      </c>
      <c r="J339" t="s">
        <v>40</v>
      </c>
      <c r="K339">
        <v>2</v>
      </c>
      <c r="L339" t="s">
        <v>41</v>
      </c>
      <c r="M339" t="s">
        <v>42</v>
      </c>
      <c r="N339" t="s">
        <v>43</v>
      </c>
      <c r="O339" s="7">
        <v>1</v>
      </c>
      <c r="P339" s="8">
        <v>45178.649212962962</v>
      </c>
      <c r="Q339" s="9">
        <v>45180</v>
      </c>
      <c r="R339" t="s">
        <v>37</v>
      </c>
      <c r="S339" t="s">
        <v>44</v>
      </c>
      <c r="T339" t="s">
        <v>114</v>
      </c>
      <c r="U339" t="s">
        <v>101</v>
      </c>
      <c r="V339" t="s">
        <v>1124</v>
      </c>
      <c r="W339">
        <v>32040</v>
      </c>
      <c r="X339" t="s">
        <v>44</v>
      </c>
      <c r="Y339" t="s">
        <v>624</v>
      </c>
      <c r="Z339" t="s">
        <v>49</v>
      </c>
      <c r="AA339" s="10">
        <f>IF(O339&lt;=1,7,7+0.8*ROUNDUP(O339-1,0))</f>
        <v>7</v>
      </c>
      <c r="AB339" s="11">
        <v>0</v>
      </c>
      <c r="AC339" s="11">
        <v>0</v>
      </c>
      <c r="AD339" s="11">
        <v>0</v>
      </c>
      <c r="AE339" s="11">
        <v>0</v>
      </c>
      <c r="AF339" s="11">
        <f t="shared" si="10"/>
        <v>0.42</v>
      </c>
      <c r="AG339" s="11">
        <f t="shared" si="11"/>
        <v>7.42</v>
      </c>
      <c r="AH339" t="s">
        <v>50</v>
      </c>
    </row>
    <row r="340" spans="1:34" ht="15" customHeight="1" x14ac:dyDescent="0.35">
      <c r="A340">
        <v>7547676</v>
      </c>
      <c r="B340">
        <v>690929</v>
      </c>
      <c r="C340" t="s">
        <v>34</v>
      </c>
      <c r="D340" t="s">
        <v>35</v>
      </c>
      <c r="E340" s="6" t="s">
        <v>34</v>
      </c>
      <c r="F340" t="s">
        <v>1125</v>
      </c>
      <c r="G340" t="s">
        <v>37</v>
      </c>
      <c r="H340" t="s">
        <v>38</v>
      </c>
      <c r="I340" t="s">
        <v>1126</v>
      </c>
      <c r="J340" t="s">
        <v>40</v>
      </c>
      <c r="K340">
        <v>2</v>
      </c>
      <c r="L340" t="s">
        <v>41</v>
      </c>
      <c r="M340" t="s">
        <v>42</v>
      </c>
      <c r="N340" t="s">
        <v>43</v>
      </c>
      <c r="O340" s="7">
        <v>1</v>
      </c>
      <c r="P340" s="8">
        <v>45178.649212962962</v>
      </c>
      <c r="Q340" s="9">
        <v>45180</v>
      </c>
      <c r="R340" t="s">
        <v>37</v>
      </c>
      <c r="S340" t="s">
        <v>44</v>
      </c>
      <c r="T340" t="s">
        <v>45</v>
      </c>
      <c r="U340" t="s">
        <v>115</v>
      </c>
      <c r="V340" t="s">
        <v>1127</v>
      </c>
      <c r="W340">
        <v>16450</v>
      </c>
      <c r="X340" t="s">
        <v>44</v>
      </c>
      <c r="Y340" t="s">
        <v>45</v>
      </c>
      <c r="Z340" t="s">
        <v>49</v>
      </c>
      <c r="AA340" s="10">
        <f>IF(O340&lt;=1,7,7+0.8*ROUNDUP(O340-1,0))</f>
        <v>7</v>
      </c>
      <c r="AB340" s="11">
        <v>0</v>
      </c>
      <c r="AC340" s="11">
        <v>0</v>
      </c>
      <c r="AD340" s="11">
        <v>0</v>
      </c>
      <c r="AE340" s="11">
        <v>0</v>
      </c>
      <c r="AF340" s="11">
        <f t="shared" si="10"/>
        <v>0.42</v>
      </c>
      <c r="AG340" s="11">
        <f t="shared" si="11"/>
        <v>7.42</v>
      </c>
      <c r="AH340" t="s">
        <v>50</v>
      </c>
    </row>
    <row r="341" spans="1:34" ht="15" customHeight="1" x14ac:dyDescent="0.35">
      <c r="A341">
        <v>7547676</v>
      </c>
      <c r="B341">
        <v>690929</v>
      </c>
      <c r="C341" t="s">
        <v>34</v>
      </c>
      <c r="D341" t="s">
        <v>35</v>
      </c>
      <c r="E341" s="6" t="s">
        <v>34</v>
      </c>
      <c r="F341" t="s">
        <v>1128</v>
      </c>
      <c r="G341" t="s">
        <v>37</v>
      </c>
      <c r="H341" t="s">
        <v>38</v>
      </c>
      <c r="I341" t="s">
        <v>1129</v>
      </c>
      <c r="J341" t="s">
        <v>40</v>
      </c>
      <c r="K341">
        <v>2</v>
      </c>
      <c r="L341" t="s">
        <v>41</v>
      </c>
      <c r="M341" t="s">
        <v>42</v>
      </c>
      <c r="N341" t="s">
        <v>43</v>
      </c>
      <c r="O341" s="7">
        <v>1</v>
      </c>
      <c r="P341" s="8">
        <v>45178.649212962962</v>
      </c>
      <c r="Q341" s="9">
        <v>45180</v>
      </c>
      <c r="R341" t="s">
        <v>37</v>
      </c>
      <c r="S341" t="s">
        <v>44</v>
      </c>
      <c r="T341" t="s">
        <v>114</v>
      </c>
      <c r="U341" t="s">
        <v>284</v>
      </c>
      <c r="V341" t="s">
        <v>1130</v>
      </c>
      <c r="W341">
        <v>21030</v>
      </c>
      <c r="X341" t="s">
        <v>44</v>
      </c>
      <c r="Y341" t="s">
        <v>114</v>
      </c>
      <c r="Z341" t="s">
        <v>49</v>
      </c>
      <c r="AA341" s="10">
        <f>IF(O341&lt;=1,7,7+0.8*ROUNDUP(O341-1,0))</f>
        <v>7</v>
      </c>
      <c r="AB341" s="11">
        <v>0</v>
      </c>
      <c r="AC341" s="11">
        <v>0</v>
      </c>
      <c r="AD341" s="11">
        <v>0</v>
      </c>
      <c r="AE341" s="11">
        <v>0</v>
      </c>
      <c r="AF341" s="11">
        <f t="shared" si="10"/>
        <v>0.42</v>
      </c>
      <c r="AG341" s="11">
        <f t="shared" si="11"/>
        <v>7.42</v>
      </c>
      <c r="AH341" t="s">
        <v>50</v>
      </c>
    </row>
    <row r="342" spans="1:34" ht="15" customHeight="1" x14ac:dyDescent="0.35">
      <c r="A342">
        <v>7547676</v>
      </c>
      <c r="B342">
        <v>690929</v>
      </c>
      <c r="C342" t="s">
        <v>34</v>
      </c>
      <c r="D342" t="s">
        <v>35</v>
      </c>
      <c r="E342" s="6" t="s">
        <v>34</v>
      </c>
      <c r="F342" t="s">
        <v>1131</v>
      </c>
      <c r="G342" t="s">
        <v>37</v>
      </c>
      <c r="H342" t="s">
        <v>38</v>
      </c>
      <c r="I342" t="s">
        <v>1132</v>
      </c>
      <c r="J342" t="s">
        <v>40</v>
      </c>
      <c r="K342">
        <v>2</v>
      </c>
      <c r="L342" t="s">
        <v>41</v>
      </c>
      <c r="M342" t="s">
        <v>42</v>
      </c>
      <c r="N342" t="s">
        <v>43</v>
      </c>
      <c r="O342" s="7">
        <v>1</v>
      </c>
      <c r="P342" s="8">
        <v>45178.649201388886</v>
      </c>
      <c r="Q342" s="9">
        <v>45180</v>
      </c>
      <c r="R342" t="s">
        <v>37</v>
      </c>
      <c r="S342" t="s">
        <v>44</v>
      </c>
      <c r="T342" t="s">
        <v>114</v>
      </c>
      <c r="U342" t="s">
        <v>284</v>
      </c>
      <c r="V342" t="s">
        <v>1133</v>
      </c>
      <c r="W342">
        <v>20300</v>
      </c>
      <c r="X342" t="s">
        <v>44</v>
      </c>
      <c r="Y342" t="s">
        <v>114</v>
      </c>
      <c r="Z342" t="s">
        <v>49</v>
      </c>
      <c r="AA342" s="10">
        <f>IF(O342&lt;=1,7,7+0.8*ROUNDUP(O342-1,0))</f>
        <v>7</v>
      </c>
      <c r="AB342" s="11">
        <v>0</v>
      </c>
      <c r="AC342" s="11">
        <v>0</v>
      </c>
      <c r="AD342" s="11">
        <v>0</v>
      </c>
      <c r="AE342" s="11">
        <v>0</v>
      </c>
      <c r="AF342" s="11">
        <f t="shared" si="10"/>
        <v>0.42</v>
      </c>
      <c r="AG342" s="11">
        <f t="shared" si="11"/>
        <v>7.42</v>
      </c>
      <c r="AH342" t="s">
        <v>50</v>
      </c>
    </row>
    <row r="343" spans="1:34" ht="15" customHeight="1" x14ac:dyDescent="0.35">
      <c r="A343">
        <v>7547676</v>
      </c>
      <c r="B343">
        <v>690929</v>
      </c>
      <c r="C343" t="s">
        <v>34</v>
      </c>
      <c r="D343" t="s">
        <v>35</v>
      </c>
      <c r="E343" s="6" t="s">
        <v>34</v>
      </c>
      <c r="F343" t="s">
        <v>1134</v>
      </c>
      <c r="G343" t="s">
        <v>37</v>
      </c>
      <c r="H343" t="s">
        <v>38</v>
      </c>
      <c r="I343" t="s">
        <v>1135</v>
      </c>
      <c r="J343" t="s">
        <v>40</v>
      </c>
      <c r="K343">
        <v>2</v>
      </c>
      <c r="L343" t="s">
        <v>41</v>
      </c>
      <c r="M343" t="s">
        <v>42</v>
      </c>
      <c r="N343" t="s">
        <v>43</v>
      </c>
      <c r="O343" s="7">
        <v>1</v>
      </c>
      <c r="P343" s="8">
        <v>45178.649212962962</v>
      </c>
      <c r="Q343" s="9">
        <v>45180</v>
      </c>
      <c r="R343" t="s">
        <v>37</v>
      </c>
      <c r="S343" t="s">
        <v>44</v>
      </c>
      <c r="T343" t="s">
        <v>114</v>
      </c>
      <c r="U343" t="s">
        <v>46</v>
      </c>
      <c r="V343" t="s">
        <v>1136</v>
      </c>
      <c r="W343">
        <v>25200</v>
      </c>
      <c r="X343" t="s">
        <v>44</v>
      </c>
      <c r="Y343" t="s">
        <v>114</v>
      </c>
      <c r="Z343" t="s">
        <v>49</v>
      </c>
      <c r="AA343" s="10">
        <f>IF(O343&lt;=1,7,7+0.8*ROUNDUP(O343-1,0))</f>
        <v>7</v>
      </c>
      <c r="AB343" s="11">
        <v>0</v>
      </c>
      <c r="AC343" s="11">
        <v>0</v>
      </c>
      <c r="AD343" s="11">
        <v>0</v>
      </c>
      <c r="AE343" s="11">
        <v>0</v>
      </c>
      <c r="AF343" s="11">
        <f t="shared" si="10"/>
        <v>0.42</v>
      </c>
      <c r="AG343" s="11">
        <f t="shared" si="11"/>
        <v>7.42</v>
      </c>
      <c r="AH343" t="s">
        <v>50</v>
      </c>
    </row>
    <row r="344" spans="1:34" ht="15" customHeight="1" x14ac:dyDescent="0.35">
      <c r="A344">
        <v>7547676</v>
      </c>
      <c r="B344">
        <v>690929</v>
      </c>
      <c r="C344" t="s">
        <v>34</v>
      </c>
      <c r="D344" t="s">
        <v>35</v>
      </c>
      <c r="E344" s="6" t="s">
        <v>34</v>
      </c>
      <c r="F344" t="s">
        <v>1137</v>
      </c>
      <c r="G344" t="s">
        <v>37</v>
      </c>
      <c r="H344" t="s">
        <v>38</v>
      </c>
      <c r="I344" t="s">
        <v>1138</v>
      </c>
      <c r="J344" t="s">
        <v>40</v>
      </c>
      <c r="K344">
        <v>2</v>
      </c>
      <c r="L344" t="s">
        <v>41</v>
      </c>
      <c r="M344" t="s">
        <v>42</v>
      </c>
      <c r="N344" t="s">
        <v>43</v>
      </c>
      <c r="O344" s="7">
        <v>1</v>
      </c>
      <c r="P344" s="8">
        <v>45178.649212962962</v>
      </c>
      <c r="Q344" s="9">
        <v>45180</v>
      </c>
      <c r="R344" t="s">
        <v>37</v>
      </c>
      <c r="S344" t="s">
        <v>44</v>
      </c>
      <c r="T344" t="s">
        <v>114</v>
      </c>
      <c r="U344" t="s">
        <v>110</v>
      </c>
      <c r="V344" t="s">
        <v>1139</v>
      </c>
      <c r="W344">
        <v>84000</v>
      </c>
      <c r="X344" t="s">
        <v>44</v>
      </c>
      <c r="Y344" t="s">
        <v>693</v>
      </c>
      <c r="Z344" t="s">
        <v>49</v>
      </c>
      <c r="AA344" s="10">
        <f>IF(O344&lt;=1,7,7+0.8*ROUNDUP(O344-1,0))</f>
        <v>7</v>
      </c>
      <c r="AB344" s="11">
        <v>0</v>
      </c>
      <c r="AC344" s="11">
        <v>0</v>
      </c>
      <c r="AD344" s="11">
        <v>0</v>
      </c>
      <c r="AE344" s="11">
        <v>0</v>
      </c>
      <c r="AF344" s="11">
        <f t="shared" si="10"/>
        <v>0.42</v>
      </c>
      <c r="AG344" s="11">
        <f t="shared" si="11"/>
        <v>7.42</v>
      </c>
      <c r="AH344" t="s">
        <v>50</v>
      </c>
    </row>
    <row r="345" spans="1:34" ht="15" customHeight="1" x14ac:dyDescent="0.35">
      <c r="A345">
        <v>7547676</v>
      </c>
      <c r="B345">
        <v>690929</v>
      </c>
      <c r="C345" t="s">
        <v>34</v>
      </c>
      <c r="D345" t="s">
        <v>35</v>
      </c>
      <c r="E345" s="6" t="s">
        <v>34</v>
      </c>
      <c r="F345" t="s">
        <v>1140</v>
      </c>
      <c r="G345" t="s">
        <v>37</v>
      </c>
      <c r="H345" t="s">
        <v>38</v>
      </c>
      <c r="I345" t="s">
        <v>1141</v>
      </c>
      <c r="J345" t="s">
        <v>40</v>
      </c>
      <c r="K345">
        <v>2</v>
      </c>
      <c r="L345" t="s">
        <v>41</v>
      </c>
      <c r="M345" t="s">
        <v>42</v>
      </c>
      <c r="N345" t="s">
        <v>43</v>
      </c>
      <c r="O345" s="7">
        <v>1</v>
      </c>
      <c r="P345" s="8">
        <v>45177.44740740741</v>
      </c>
      <c r="Q345" s="9">
        <v>45180</v>
      </c>
      <c r="R345" t="s">
        <v>37</v>
      </c>
      <c r="S345" t="s">
        <v>44</v>
      </c>
      <c r="T345" t="s">
        <v>114</v>
      </c>
      <c r="U345" t="s">
        <v>62</v>
      </c>
      <c r="V345" t="s">
        <v>1142</v>
      </c>
      <c r="W345">
        <v>51100</v>
      </c>
      <c r="X345" t="s">
        <v>44</v>
      </c>
      <c r="Y345" t="s">
        <v>64</v>
      </c>
      <c r="Z345" t="s">
        <v>49</v>
      </c>
      <c r="AA345" s="10">
        <f>IF(O345&lt;=1,7,7+0.8*ROUNDUP(O345-1,0))</f>
        <v>7</v>
      </c>
      <c r="AB345" s="11">
        <v>0</v>
      </c>
      <c r="AC345" s="11">
        <v>0</v>
      </c>
      <c r="AD345" s="11">
        <v>0</v>
      </c>
      <c r="AE345" s="11">
        <v>0</v>
      </c>
      <c r="AF345" s="11">
        <f t="shared" si="10"/>
        <v>0.42</v>
      </c>
      <c r="AG345" s="11">
        <f t="shared" si="11"/>
        <v>7.42</v>
      </c>
      <c r="AH345" t="s">
        <v>50</v>
      </c>
    </row>
    <row r="346" spans="1:34" ht="15" customHeight="1" x14ac:dyDescent="0.35">
      <c r="A346">
        <v>7547676</v>
      </c>
      <c r="B346">
        <v>690929</v>
      </c>
      <c r="C346" t="s">
        <v>34</v>
      </c>
      <c r="D346" t="s">
        <v>35</v>
      </c>
      <c r="E346" s="6" t="s">
        <v>34</v>
      </c>
      <c r="F346" t="s">
        <v>1143</v>
      </c>
      <c r="G346" t="s">
        <v>37</v>
      </c>
      <c r="H346" t="s">
        <v>38</v>
      </c>
      <c r="I346" t="s">
        <v>953</v>
      </c>
      <c r="J346" t="s">
        <v>40</v>
      </c>
      <c r="K346">
        <v>2</v>
      </c>
      <c r="L346" t="s">
        <v>41</v>
      </c>
      <c r="M346" t="s">
        <v>42</v>
      </c>
      <c r="N346" t="s">
        <v>43</v>
      </c>
      <c r="O346" s="7">
        <v>1</v>
      </c>
      <c r="P346" s="8">
        <v>45178.649212962962</v>
      </c>
      <c r="Q346" s="9">
        <v>45180</v>
      </c>
      <c r="R346" t="s">
        <v>37</v>
      </c>
      <c r="S346" t="s">
        <v>44</v>
      </c>
      <c r="T346" t="s">
        <v>114</v>
      </c>
      <c r="U346" t="s">
        <v>101</v>
      </c>
      <c r="V346" t="s">
        <v>954</v>
      </c>
      <c r="W346">
        <v>34600</v>
      </c>
      <c r="X346" t="s">
        <v>44</v>
      </c>
      <c r="Y346" t="s">
        <v>69</v>
      </c>
      <c r="Z346" t="s">
        <v>49</v>
      </c>
      <c r="AA346" s="10">
        <f>IF(O346&lt;=1,7,7+0.8*ROUNDUP(O346-1,0))</f>
        <v>7</v>
      </c>
      <c r="AB346" s="11">
        <v>0</v>
      </c>
      <c r="AC346" s="11">
        <v>0</v>
      </c>
      <c r="AD346" s="11">
        <v>0</v>
      </c>
      <c r="AE346" s="11">
        <v>0</v>
      </c>
      <c r="AF346" s="11">
        <f t="shared" si="10"/>
        <v>0.42</v>
      </c>
      <c r="AG346" s="11">
        <f t="shared" si="11"/>
        <v>7.42</v>
      </c>
      <c r="AH346" t="s">
        <v>50</v>
      </c>
    </row>
    <row r="347" spans="1:34" ht="15" customHeight="1" x14ac:dyDescent="0.35">
      <c r="A347">
        <v>7547676</v>
      </c>
      <c r="B347">
        <v>690929</v>
      </c>
      <c r="C347" t="s">
        <v>34</v>
      </c>
      <c r="D347" t="s">
        <v>35</v>
      </c>
      <c r="E347" s="6" t="s">
        <v>34</v>
      </c>
      <c r="F347" t="s">
        <v>1144</v>
      </c>
      <c r="G347" t="s">
        <v>37</v>
      </c>
      <c r="H347" t="s">
        <v>38</v>
      </c>
      <c r="I347" t="s">
        <v>1145</v>
      </c>
      <c r="J347" t="s">
        <v>40</v>
      </c>
      <c r="K347">
        <v>2</v>
      </c>
      <c r="L347" t="s">
        <v>41</v>
      </c>
      <c r="M347" t="s">
        <v>42</v>
      </c>
      <c r="N347" t="s">
        <v>43</v>
      </c>
      <c r="O347" s="7">
        <v>1</v>
      </c>
      <c r="P347" s="8">
        <v>45178.649201388886</v>
      </c>
      <c r="Q347" s="9">
        <v>45180</v>
      </c>
      <c r="R347" t="s">
        <v>37</v>
      </c>
      <c r="S347" t="s">
        <v>44</v>
      </c>
      <c r="T347" t="s">
        <v>114</v>
      </c>
      <c r="U347" t="s">
        <v>67</v>
      </c>
      <c r="V347" t="s">
        <v>1146</v>
      </c>
      <c r="W347">
        <v>40200</v>
      </c>
      <c r="X347" t="s">
        <v>44</v>
      </c>
      <c r="Y347" t="s">
        <v>415</v>
      </c>
      <c r="Z347" t="s">
        <v>49</v>
      </c>
      <c r="AA347" s="10">
        <f>IF(O347&lt;=1,7,7+0.8*ROUNDUP(O347-1,0))</f>
        <v>7</v>
      </c>
      <c r="AB347" s="11">
        <v>0</v>
      </c>
      <c r="AC347" s="11">
        <v>0</v>
      </c>
      <c r="AD347" s="11">
        <v>0</v>
      </c>
      <c r="AE347" s="11">
        <v>0</v>
      </c>
      <c r="AF347" s="11">
        <f t="shared" si="10"/>
        <v>0.42</v>
      </c>
      <c r="AG347" s="11">
        <f t="shared" si="11"/>
        <v>7.42</v>
      </c>
      <c r="AH347" t="s">
        <v>50</v>
      </c>
    </row>
    <row r="348" spans="1:34" ht="15" customHeight="1" x14ac:dyDescent="0.35">
      <c r="A348">
        <v>7547676</v>
      </c>
      <c r="B348">
        <v>690929</v>
      </c>
      <c r="C348" t="s">
        <v>34</v>
      </c>
      <c r="D348" t="s">
        <v>35</v>
      </c>
      <c r="E348" s="6" t="s">
        <v>34</v>
      </c>
      <c r="F348" t="s">
        <v>1147</v>
      </c>
      <c r="G348" t="s">
        <v>37</v>
      </c>
      <c r="H348" t="s">
        <v>38</v>
      </c>
      <c r="I348" t="s">
        <v>1148</v>
      </c>
      <c r="J348" t="s">
        <v>40</v>
      </c>
      <c r="K348">
        <v>2</v>
      </c>
      <c r="L348" t="s">
        <v>41</v>
      </c>
      <c r="M348" t="s">
        <v>42</v>
      </c>
      <c r="N348" t="s">
        <v>43</v>
      </c>
      <c r="O348" s="7">
        <v>1</v>
      </c>
      <c r="P348" s="8">
        <v>45178.649212962962</v>
      </c>
      <c r="Q348" s="9">
        <v>45180</v>
      </c>
      <c r="R348" t="s">
        <v>37</v>
      </c>
      <c r="S348" t="s">
        <v>44</v>
      </c>
      <c r="T348" t="s">
        <v>114</v>
      </c>
      <c r="U348" t="s">
        <v>101</v>
      </c>
      <c r="V348" t="s">
        <v>1149</v>
      </c>
      <c r="W348">
        <v>34600</v>
      </c>
      <c r="X348" t="s">
        <v>44</v>
      </c>
      <c r="Y348" t="s">
        <v>145</v>
      </c>
      <c r="Z348" t="s">
        <v>49</v>
      </c>
      <c r="AA348" s="10">
        <f>IF(O348&lt;=1,7,7+0.8*ROUNDUP(O348-1,0))</f>
        <v>7</v>
      </c>
      <c r="AB348" s="11">
        <v>0</v>
      </c>
      <c r="AC348" s="11">
        <v>0</v>
      </c>
      <c r="AD348" s="11">
        <v>0</v>
      </c>
      <c r="AE348" s="11">
        <v>0</v>
      </c>
      <c r="AF348" s="11">
        <f t="shared" si="10"/>
        <v>0.42</v>
      </c>
      <c r="AG348" s="11">
        <f t="shared" si="11"/>
        <v>7.42</v>
      </c>
      <c r="AH348" t="s">
        <v>50</v>
      </c>
    </row>
    <row r="349" spans="1:34" ht="15" customHeight="1" x14ac:dyDescent="0.35">
      <c r="A349">
        <v>7547676</v>
      </c>
      <c r="B349">
        <v>690929</v>
      </c>
      <c r="C349" t="s">
        <v>34</v>
      </c>
      <c r="D349" t="s">
        <v>35</v>
      </c>
      <c r="E349" s="6" t="s">
        <v>34</v>
      </c>
      <c r="F349" t="s">
        <v>1150</v>
      </c>
      <c r="G349" t="s">
        <v>37</v>
      </c>
      <c r="H349" t="s">
        <v>38</v>
      </c>
      <c r="I349" t="s">
        <v>1151</v>
      </c>
      <c r="J349" t="s">
        <v>40</v>
      </c>
      <c r="K349">
        <v>2</v>
      </c>
      <c r="L349" t="s">
        <v>41</v>
      </c>
      <c r="M349" t="s">
        <v>42</v>
      </c>
      <c r="N349" t="s">
        <v>43</v>
      </c>
      <c r="O349" s="7">
        <v>5</v>
      </c>
      <c r="P349" s="8">
        <v>45176.608495370368</v>
      </c>
      <c r="Q349" s="9">
        <v>45180</v>
      </c>
      <c r="R349" t="s">
        <v>37</v>
      </c>
      <c r="S349" t="s">
        <v>44</v>
      </c>
      <c r="T349" t="s">
        <v>45</v>
      </c>
      <c r="U349" t="s">
        <v>67</v>
      </c>
      <c r="V349" t="s">
        <v>1152</v>
      </c>
      <c r="W349">
        <v>62604</v>
      </c>
      <c r="X349" t="s">
        <v>44</v>
      </c>
      <c r="Y349" t="s">
        <v>1153</v>
      </c>
      <c r="Z349" t="s">
        <v>49</v>
      </c>
      <c r="AA349" s="10">
        <f>IF(O349&lt;=1,7,7+0.8*ROUNDUP(O349-1,0))</f>
        <v>10.199999999999999</v>
      </c>
      <c r="AB349" s="11">
        <v>0</v>
      </c>
      <c r="AC349" s="11">
        <v>0</v>
      </c>
      <c r="AD349" s="11">
        <v>0</v>
      </c>
      <c r="AE349" s="11">
        <v>0</v>
      </c>
      <c r="AF349" s="11">
        <f t="shared" si="10"/>
        <v>0.61199999999999999</v>
      </c>
      <c r="AG349" s="11">
        <f t="shared" si="11"/>
        <v>10.811999999999999</v>
      </c>
      <c r="AH349" t="s">
        <v>50</v>
      </c>
    </row>
    <row r="350" spans="1:34" ht="15" customHeight="1" x14ac:dyDescent="0.35">
      <c r="A350">
        <v>7547676</v>
      </c>
      <c r="B350">
        <v>690929</v>
      </c>
      <c r="C350" t="s">
        <v>34</v>
      </c>
      <c r="D350" t="s">
        <v>35</v>
      </c>
      <c r="E350" s="6" t="s">
        <v>34</v>
      </c>
      <c r="F350" t="s">
        <v>1154</v>
      </c>
      <c r="G350" t="s">
        <v>37</v>
      </c>
      <c r="H350" t="s">
        <v>38</v>
      </c>
      <c r="I350" t="s">
        <v>1155</v>
      </c>
      <c r="J350" t="s">
        <v>40</v>
      </c>
      <c r="K350">
        <v>2</v>
      </c>
      <c r="L350" t="s">
        <v>41</v>
      </c>
      <c r="M350" t="s">
        <v>42</v>
      </c>
      <c r="N350" t="s">
        <v>43</v>
      </c>
      <c r="O350" s="7">
        <v>1</v>
      </c>
      <c r="P350" s="8">
        <v>45178.488171296296</v>
      </c>
      <c r="Q350" s="9">
        <v>45180</v>
      </c>
      <c r="R350" t="s">
        <v>37</v>
      </c>
      <c r="S350" t="s">
        <v>44</v>
      </c>
      <c r="T350" t="s">
        <v>114</v>
      </c>
      <c r="U350" t="s">
        <v>53</v>
      </c>
      <c r="V350" t="s">
        <v>1156</v>
      </c>
      <c r="W350">
        <v>71800</v>
      </c>
      <c r="X350" t="s">
        <v>44</v>
      </c>
      <c r="Y350" t="s">
        <v>94</v>
      </c>
      <c r="Z350" t="s">
        <v>49</v>
      </c>
      <c r="AA350" s="10">
        <f>IF(O350&lt;=1,7,7+0.8*ROUNDUP(O350-1,0))</f>
        <v>7</v>
      </c>
      <c r="AB350" s="11">
        <v>0</v>
      </c>
      <c r="AC350" s="11">
        <v>0</v>
      </c>
      <c r="AD350" s="11">
        <v>0</v>
      </c>
      <c r="AE350" s="11">
        <v>0</v>
      </c>
      <c r="AF350" s="11">
        <f t="shared" si="10"/>
        <v>0.42</v>
      </c>
      <c r="AG350" s="11">
        <f t="shared" si="11"/>
        <v>7.42</v>
      </c>
      <c r="AH350" t="s">
        <v>50</v>
      </c>
    </row>
    <row r="351" spans="1:34" ht="15" customHeight="1" x14ac:dyDescent="0.35">
      <c r="A351">
        <v>7547676</v>
      </c>
      <c r="B351">
        <v>690929</v>
      </c>
      <c r="C351" t="s">
        <v>34</v>
      </c>
      <c r="D351" t="s">
        <v>35</v>
      </c>
      <c r="E351" s="6" t="s">
        <v>34</v>
      </c>
      <c r="F351" t="s">
        <v>1157</v>
      </c>
      <c r="G351" t="s">
        <v>37</v>
      </c>
      <c r="H351" t="s">
        <v>38</v>
      </c>
      <c r="I351" t="s">
        <v>1158</v>
      </c>
      <c r="J351" t="s">
        <v>40</v>
      </c>
      <c r="K351">
        <v>2</v>
      </c>
      <c r="L351" t="s">
        <v>41</v>
      </c>
      <c r="M351" t="s">
        <v>42</v>
      </c>
      <c r="N351" t="s">
        <v>43</v>
      </c>
      <c r="O351" s="7">
        <v>1</v>
      </c>
      <c r="P351" s="8">
        <v>45179.442442129628</v>
      </c>
      <c r="Q351" s="9">
        <v>45180</v>
      </c>
      <c r="R351" t="s">
        <v>37</v>
      </c>
      <c r="S351" t="s">
        <v>44</v>
      </c>
      <c r="T351" t="s">
        <v>45</v>
      </c>
      <c r="U351" t="s">
        <v>115</v>
      </c>
      <c r="V351" t="s">
        <v>1159</v>
      </c>
      <c r="W351">
        <v>16080</v>
      </c>
      <c r="X351" t="s">
        <v>44</v>
      </c>
      <c r="Y351" t="s">
        <v>45</v>
      </c>
      <c r="Z351" t="s">
        <v>49</v>
      </c>
      <c r="AA351" s="10">
        <f>IF(O351&lt;=1,7,7+0.8*ROUNDUP(O351-1,0))</f>
        <v>7</v>
      </c>
      <c r="AB351" s="11">
        <v>0</v>
      </c>
      <c r="AC351" s="11">
        <v>0</v>
      </c>
      <c r="AD351" s="11">
        <v>0</v>
      </c>
      <c r="AE351" s="11">
        <v>0</v>
      </c>
      <c r="AF351" s="11">
        <f t="shared" si="10"/>
        <v>0.42</v>
      </c>
      <c r="AG351" s="11">
        <f t="shared" si="11"/>
        <v>7.42</v>
      </c>
      <c r="AH351" t="s">
        <v>50</v>
      </c>
    </row>
    <row r="352" spans="1:34" ht="15" customHeight="1" x14ac:dyDescent="0.35">
      <c r="A352">
        <v>7547676</v>
      </c>
      <c r="B352">
        <v>690929</v>
      </c>
      <c r="C352" t="s">
        <v>34</v>
      </c>
      <c r="D352" t="s">
        <v>35</v>
      </c>
      <c r="E352" s="6" t="s">
        <v>34</v>
      </c>
      <c r="F352" t="s">
        <v>1160</v>
      </c>
      <c r="G352" t="s">
        <v>37</v>
      </c>
      <c r="H352" t="s">
        <v>38</v>
      </c>
      <c r="I352" t="s">
        <v>1161</v>
      </c>
      <c r="J352" t="s">
        <v>40</v>
      </c>
      <c r="K352">
        <v>2</v>
      </c>
      <c r="L352" t="s">
        <v>41</v>
      </c>
      <c r="M352" t="s">
        <v>42</v>
      </c>
      <c r="N352" t="s">
        <v>43</v>
      </c>
      <c r="O352" s="7">
        <v>1</v>
      </c>
      <c r="P352" s="8">
        <v>45179.587604166663</v>
      </c>
      <c r="Q352" s="9">
        <v>45180</v>
      </c>
      <c r="R352" t="s">
        <v>37</v>
      </c>
      <c r="S352" t="s">
        <v>44</v>
      </c>
      <c r="T352" t="s">
        <v>45</v>
      </c>
      <c r="U352" t="s">
        <v>62</v>
      </c>
      <c r="V352" t="s">
        <v>1162</v>
      </c>
      <c r="W352">
        <v>46200</v>
      </c>
      <c r="X352" t="s">
        <v>44</v>
      </c>
      <c r="Y352" t="s">
        <v>1163</v>
      </c>
      <c r="Z352" t="s">
        <v>49</v>
      </c>
      <c r="AA352" s="10">
        <f>IF(O352&lt;=1,7,7+0.8*ROUNDUP(O352-1,0))</f>
        <v>7</v>
      </c>
      <c r="AB352" s="11">
        <v>0</v>
      </c>
      <c r="AC352" s="11">
        <v>0</v>
      </c>
      <c r="AD352" s="11">
        <v>0</v>
      </c>
      <c r="AE352" s="11">
        <v>0</v>
      </c>
      <c r="AF352" s="11">
        <f t="shared" si="10"/>
        <v>0.42</v>
      </c>
      <c r="AG352" s="11">
        <f t="shared" si="11"/>
        <v>7.42</v>
      </c>
      <c r="AH352" t="s">
        <v>50</v>
      </c>
    </row>
    <row r="353" spans="1:34" ht="15" customHeight="1" x14ac:dyDescent="0.35">
      <c r="A353">
        <v>7547676</v>
      </c>
      <c r="B353">
        <v>690929</v>
      </c>
      <c r="C353" t="s">
        <v>34</v>
      </c>
      <c r="D353" t="s">
        <v>35</v>
      </c>
      <c r="E353" s="6" t="s">
        <v>34</v>
      </c>
      <c r="F353" t="s">
        <v>1164</v>
      </c>
      <c r="G353" t="s">
        <v>37</v>
      </c>
      <c r="H353" t="s">
        <v>38</v>
      </c>
      <c r="I353" t="s">
        <v>1165</v>
      </c>
      <c r="J353" t="s">
        <v>40</v>
      </c>
      <c r="K353">
        <v>2</v>
      </c>
      <c r="L353" t="s">
        <v>41</v>
      </c>
      <c r="M353" t="s">
        <v>42</v>
      </c>
      <c r="N353" t="s">
        <v>43</v>
      </c>
      <c r="O353" s="7">
        <v>1</v>
      </c>
      <c r="P353" s="8">
        <v>45177.635844907411</v>
      </c>
      <c r="Q353" s="9">
        <v>45180</v>
      </c>
      <c r="R353" t="s">
        <v>37</v>
      </c>
      <c r="S353" t="s">
        <v>44</v>
      </c>
      <c r="T353" t="s">
        <v>114</v>
      </c>
      <c r="U353" t="s">
        <v>284</v>
      </c>
      <c r="V353" t="s">
        <v>1166</v>
      </c>
      <c r="W353">
        <v>23050</v>
      </c>
      <c r="X353" t="s">
        <v>44</v>
      </c>
      <c r="Y353" t="s">
        <v>114</v>
      </c>
      <c r="Z353" t="s">
        <v>49</v>
      </c>
      <c r="AA353" s="10">
        <f>IF(O353&lt;=1,7,7+0.8*ROUNDUP(O353-1,0))</f>
        <v>7</v>
      </c>
      <c r="AB353" s="11">
        <v>0</v>
      </c>
      <c r="AC353" s="11">
        <v>0</v>
      </c>
      <c r="AD353" s="11">
        <v>0</v>
      </c>
      <c r="AE353" s="11">
        <v>0</v>
      </c>
      <c r="AF353" s="11">
        <f t="shared" si="10"/>
        <v>0.42</v>
      </c>
      <c r="AG353" s="11">
        <f t="shared" si="11"/>
        <v>7.42</v>
      </c>
      <c r="AH353" t="s">
        <v>50</v>
      </c>
    </row>
    <row r="354" spans="1:34" ht="15" customHeight="1" x14ac:dyDescent="0.35">
      <c r="A354">
        <v>7547676</v>
      </c>
      <c r="B354">
        <v>690929</v>
      </c>
      <c r="C354" t="s">
        <v>34</v>
      </c>
      <c r="D354" t="s">
        <v>35</v>
      </c>
      <c r="E354" s="6" t="s">
        <v>34</v>
      </c>
      <c r="F354" t="s">
        <v>1167</v>
      </c>
      <c r="G354" t="s">
        <v>37</v>
      </c>
      <c r="H354" t="s">
        <v>38</v>
      </c>
      <c r="I354" t="s">
        <v>1168</v>
      </c>
      <c r="J354" t="s">
        <v>40</v>
      </c>
      <c r="K354">
        <v>2</v>
      </c>
      <c r="L354" t="s">
        <v>41</v>
      </c>
      <c r="M354" t="s">
        <v>42</v>
      </c>
      <c r="N354" t="s">
        <v>43</v>
      </c>
      <c r="O354" s="7">
        <v>2</v>
      </c>
      <c r="P354" s="8">
        <v>45179.702974537038</v>
      </c>
      <c r="Q354" s="9">
        <v>45180</v>
      </c>
      <c r="R354" t="s">
        <v>37</v>
      </c>
      <c r="S354" t="s">
        <v>44</v>
      </c>
      <c r="T354" t="s">
        <v>45</v>
      </c>
      <c r="U354" t="s">
        <v>67</v>
      </c>
      <c r="V354" t="s">
        <v>1169</v>
      </c>
      <c r="W354">
        <v>47000</v>
      </c>
      <c r="X354" t="s">
        <v>44</v>
      </c>
      <c r="Y354" t="s">
        <v>243</v>
      </c>
      <c r="Z354" t="s">
        <v>49</v>
      </c>
      <c r="AA354" s="10">
        <f>IF(O354&lt;=1,7,7+0.8*ROUNDUP(O354-1,0))</f>
        <v>7.8</v>
      </c>
      <c r="AB354" s="11">
        <v>0</v>
      </c>
      <c r="AC354" s="11">
        <v>0</v>
      </c>
      <c r="AD354" s="11">
        <v>0</v>
      </c>
      <c r="AE354" s="11">
        <v>0</v>
      </c>
      <c r="AF354" s="11">
        <f t="shared" si="10"/>
        <v>0.46799999999999997</v>
      </c>
      <c r="AG354" s="11">
        <f t="shared" si="11"/>
        <v>8.2680000000000007</v>
      </c>
      <c r="AH354" t="s">
        <v>50</v>
      </c>
    </row>
    <row r="355" spans="1:34" ht="15" customHeight="1" x14ac:dyDescent="0.35">
      <c r="A355">
        <v>7547676</v>
      </c>
      <c r="B355">
        <v>690929</v>
      </c>
      <c r="C355" t="s">
        <v>34</v>
      </c>
      <c r="D355" t="s">
        <v>35</v>
      </c>
      <c r="E355" s="6" t="s">
        <v>34</v>
      </c>
      <c r="F355" t="s">
        <v>1170</v>
      </c>
      <c r="G355" t="s">
        <v>37</v>
      </c>
      <c r="H355" t="s">
        <v>38</v>
      </c>
      <c r="I355" t="s">
        <v>1171</v>
      </c>
      <c r="J355" t="s">
        <v>40</v>
      </c>
      <c r="K355">
        <v>2</v>
      </c>
      <c r="L355" t="s">
        <v>41</v>
      </c>
      <c r="M355" t="s">
        <v>42</v>
      </c>
      <c r="N355" t="s">
        <v>43</v>
      </c>
      <c r="O355" s="7">
        <v>10</v>
      </c>
      <c r="P355" s="8">
        <v>45178.48542824074</v>
      </c>
      <c r="Q355" s="9">
        <v>45180</v>
      </c>
      <c r="R355" t="s">
        <v>37</v>
      </c>
      <c r="S355" t="s">
        <v>44</v>
      </c>
      <c r="T355" t="s">
        <v>45</v>
      </c>
      <c r="U355" t="s">
        <v>46</v>
      </c>
      <c r="V355" t="s">
        <v>1172</v>
      </c>
      <c r="W355">
        <v>39100</v>
      </c>
      <c r="X355" t="s">
        <v>44</v>
      </c>
      <c r="Y355" t="s">
        <v>69</v>
      </c>
      <c r="Z355" t="s">
        <v>49</v>
      </c>
      <c r="AA355" s="10">
        <f>IF(O355&lt;=1,7,7+0.8*ROUNDUP(O355-1,0))</f>
        <v>14.2</v>
      </c>
      <c r="AB355" s="11">
        <v>0</v>
      </c>
      <c r="AC355" s="11">
        <v>0</v>
      </c>
      <c r="AD355" s="11">
        <v>0</v>
      </c>
      <c r="AE355" s="11">
        <v>0</v>
      </c>
      <c r="AF355" s="11">
        <f t="shared" si="10"/>
        <v>0.85199999999999998</v>
      </c>
      <c r="AG355" s="11">
        <f t="shared" si="11"/>
        <v>15.052</v>
      </c>
      <c r="AH355" t="s">
        <v>50</v>
      </c>
    </row>
    <row r="356" spans="1:34" ht="15" customHeight="1" x14ac:dyDescent="0.35">
      <c r="A356">
        <v>7547676</v>
      </c>
      <c r="B356">
        <v>690929</v>
      </c>
      <c r="C356" t="s">
        <v>34</v>
      </c>
      <c r="D356" t="s">
        <v>35</v>
      </c>
      <c r="E356" s="6" t="s">
        <v>34</v>
      </c>
      <c r="F356" t="s">
        <v>1173</v>
      </c>
      <c r="G356" t="s">
        <v>37</v>
      </c>
      <c r="H356" t="s">
        <v>38</v>
      </c>
      <c r="I356" t="s">
        <v>318</v>
      </c>
      <c r="J356" t="s">
        <v>40</v>
      </c>
      <c r="K356">
        <v>2</v>
      </c>
      <c r="L356" t="s">
        <v>41</v>
      </c>
      <c r="M356" t="s">
        <v>42</v>
      </c>
      <c r="N356" t="s">
        <v>43</v>
      </c>
      <c r="O356" s="7">
        <v>1</v>
      </c>
      <c r="P356" s="8">
        <v>45179.677673611113</v>
      </c>
      <c r="Q356" s="9">
        <v>45180</v>
      </c>
      <c r="R356" t="s">
        <v>37</v>
      </c>
      <c r="S356" t="s">
        <v>44</v>
      </c>
      <c r="T356" t="s">
        <v>45</v>
      </c>
      <c r="U356" t="s">
        <v>46</v>
      </c>
      <c r="V356" t="s">
        <v>1174</v>
      </c>
      <c r="W356">
        <v>27100</v>
      </c>
      <c r="X356" t="s">
        <v>44</v>
      </c>
      <c r="Y356" t="s">
        <v>45</v>
      </c>
      <c r="Z356" t="s">
        <v>49</v>
      </c>
      <c r="AA356" s="10">
        <f>IF(O356&lt;=1,7,7+0.8*ROUNDUP(O356-1,0))</f>
        <v>7</v>
      </c>
      <c r="AB356" s="11">
        <v>0</v>
      </c>
      <c r="AC356" s="11">
        <v>0</v>
      </c>
      <c r="AD356" s="11">
        <v>0</v>
      </c>
      <c r="AE356" s="11">
        <v>0</v>
      </c>
      <c r="AF356" s="11">
        <f t="shared" si="10"/>
        <v>0.42</v>
      </c>
      <c r="AG356" s="11">
        <f t="shared" si="11"/>
        <v>7.42</v>
      </c>
      <c r="AH356" t="s">
        <v>50</v>
      </c>
    </row>
    <row r="357" spans="1:34" ht="15" customHeight="1" x14ac:dyDescent="0.35">
      <c r="A357">
        <v>7547676</v>
      </c>
      <c r="B357">
        <v>690929</v>
      </c>
      <c r="C357" t="s">
        <v>34</v>
      </c>
      <c r="D357" t="s">
        <v>35</v>
      </c>
      <c r="E357" s="6" t="s">
        <v>34</v>
      </c>
      <c r="F357" t="s">
        <v>1175</v>
      </c>
      <c r="G357" t="s">
        <v>37</v>
      </c>
      <c r="H357" t="s">
        <v>38</v>
      </c>
      <c r="I357" t="s">
        <v>1176</v>
      </c>
      <c r="J357" t="s">
        <v>40</v>
      </c>
      <c r="K357">
        <v>2</v>
      </c>
      <c r="L357" t="s">
        <v>41</v>
      </c>
      <c r="M357" t="s">
        <v>42</v>
      </c>
      <c r="N357" t="s">
        <v>43</v>
      </c>
      <c r="O357" s="7">
        <v>1</v>
      </c>
      <c r="P357" s="8">
        <v>45179.691817129627</v>
      </c>
      <c r="Q357" s="9">
        <v>45180</v>
      </c>
      <c r="R357" t="s">
        <v>37</v>
      </c>
      <c r="S357" t="s">
        <v>44</v>
      </c>
      <c r="T357" t="s">
        <v>45</v>
      </c>
      <c r="U357" t="s">
        <v>115</v>
      </c>
      <c r="V357" t="s">
        <v>1177</v>
      </c>
      <c r="W357">
        <v>16030</v>
      </c>
      <c r="X357" t="s">
        <v>44</v>
      </c>
      <c r="Y357" t="s">
        <v>45</v>
      </c>
      <c r="Z357" t="s">
        <v>49</v>
      </c>
      <c r="AA357" s="10">
        <f>IF(O357&lt;=1,7,7+0.8*ROUNDUP(O357-1,0))</f>
        <v>7</v>
      </c>
      <c r="AB357" s="11">
        <v>0</v>
      </c>
      <c r="AC357" s="11">
        <v>0</v>
      </c>
      <c r="AD357" s="11">
        <v>0</v>
      </c>
      <c r="AE357" s="11">
        <v>0</v>
      </c>
      <c r="AF357" s="11">
        <f t="shared" si="10"/>
        <v>0.42</v>
      </c>
      <c r="AG357" s="11">
        <f t="shared" si="11"/>
        <v>7.42</v>
      </c>
      <c r="AH357" t="s">
        <v>50</v>
      </c>
    </row>
    <row r="358" spans="1:34" ht="15" customHeight="1" x14ac:dyDescent="0.35">
      <c r="A358">
        <v>7547676</v>
      </c>
      <c r="B358">
        <v>690929</v>
      </c>
      <c r="C358" t="s">
        <v>34</v>
      </c>
      <c r="D358" t="s">
        <v>35</v>
      </c>
      <c r="E358" s="6" t="s">
        <v>34</v>
      </c>
      <c r="F358" t="s">
        <v>1178</v>
      </c>
      <c r="G358" t="s">
        <v>37</v>
      </c>
      <c r="H358" t="s">
        <v>38</v>
      </c>
      <c r="I358" t="s">
        <v>1179</v>
      </c>
      <c r="J358" t="s">
        <v>40</v>
      </c>
      <c r="K358">
        <v>2</v>
      </c>
      <c r="L358" t="s">
        <v>41</v>
      </c>
      <c r="M358" t="s">
        <v>42</v>
      </c>
      <c r="N358" t="s">
        <v>43</v>
      </c>
      <c r="O358" s="7">
        <v>1</v>
      </c>
      <c r="P358" s="8">
        <v>45178.649212962962</v>
      </c>
      <c r="Q358" s="9">
        <v>45180</v>
      </c>
      <c r="R358" t="s">
        <v>37</v>
      </c>
      <c r="S358" t="s">
        <v>44</v>
      </c>
      <c r="T358" t="s">
        <v>114</v>
      </c>
      <c r="U358" t="s">
        <v>110</v>
      </c>
      <c r="V358" t="s">
        <v>1180</v>
      </c>
      <c r="W358">
        <v>84600</v>
      </c>
      <c r="X358" t="s">
        <v>44</v>
      </c>
      <c r="Y358" t="s">
        <v>69</v>
      </c>
      <c r="Z358" t="s">
        <v>49</v>
      </c>
      <c r="AA358" s="10">
        <f>IF(O358&lt;=1,7,7+0.8*ROUNDUP(O358-1,0))</f>
        <v>7</v>
      </c>
      <c r="AB358" s="11">
        <v>0</v>
      </c>
      <c r="AC358" s="11">
        <v>0</v>
      </c>
      <c r="AD358" s="11">
        <v>0</v>
      </c>
      <c r="AE358" s="11">
        <v>0</v>
      </c>
      <c r="AF358" s="11">
        <f t="shared" si="10"/>
        <v>0.42</v>
      </c>
      <c r="AG358" s="11">
        <f t="shared" si="11"/>
        <v>7.42</v>
      </c>
      <c r="AH358" t="s">
        <v>50</v>
      </c>
    </row>
    <row r="359" spans="1:34" ht="15" customHeight="1" x14ac:dyDescent="0.35">
      <c r="A359">
        <v>7547676</v>
      </c>
      <c r="B359">
        <v>690929</v>
      </c>
      <c r="C359" t="s">
        <v>34</v>
      </c>
      <c r="D359" t="s">
        <v>35</v>
      </c>
      <c r="E359" s="6" t="s">
        <v>34</v>
      </c>
      <c r="F359" t="s">
        <v>1181</v>
      </c>
      <c r="G359" t="s">
        <v>37</v>
      </c>
      <c r="H359" t="s">
        <v>38</v>
      </c>
      <c r="I359" t="s">
        <v>1182</v>
      </c>
      <c r="J359" t="s">
        <v>40</v>
      </c>
      <c r="K359">
        <v>2</v>
      </c>
      <c r="L359" t="s">
        <v>41</v>
      </c>
      <c r="M359" t="s">
        <v>42</v>
      </c>
      <c r="N359" t="s">
        <v>43</v>
      </c>
      <c r="O359" s="7">
        <v>1</v>
      </c>
      <c r="P359" s="8">
        <v>45178.773368055554</v>
      </c>
      <c r="Q359" s="9">
        <v>45180</v>
      </c>
      <c r="R359" t="s">
        <v>37</v>
      </c>
      <c r="S359" t="s">
        <v>44</v>
      </c>
      <c r="T359" t="s">
        <v>45</v>
      </c>
      <c r="U359" t="s">
        <v>284</v>
      </c>
      <c r="V359" t="s">
        <v>1183</v>
      </c>
      <c r="W359">
        <v>21600</v>
      </c>
      <c r="X359" t="s">
        <v>44</v>
      </c>
      <c r="Y359" t="s">
        <v>45</v>
      </c>
      <c r="Z359" t="s">
        <v>49</v>
      </c>
      <c r="AA359" s="10">
        <f>IF(O359&lt;=1,7,7+0.8*ROUNDUP(O359-1,0))</f>
        <v>7</v>
      </c>
      <c r="AB359" s="11">
        <v>0</v>
      </c>
      <c r="AC359" s="11">
        <v>0</v>
      </c>
      <c r="AD359" s="11">
        <v>0</v>
      </c>
      <c r="AE359" s="11">
        <v>0</v>
      </c>
      <c r="AF359" s="11">
        <f t="shared" si="10"/>
        <v>0.42</v>
      </c>
      <c r="AG359" s="11">
        <f t="shared" si="11"/>
        <v>7.42</v>
      </c>
      <c r="AH359" t="s">
        <v>50</v>
      </c>
    </row>
    <row r="360" spans="1:34" ht="15" customHeight="1" x14ac:dyDescent="0.35">
      <c r="A360">
        <v>7547676</v>
      </c>
      <c r="B360">
        <v>690929</v>
      </c>
      <c r="C360" t="s">
        <v>34</v>
      </c>
      <c r="D360" t="s">
        <v>35</v>
      </c>
      <c r="E360" s="6" t="s">
        <v>34</v>
      </c>
      <c r="F360" t="s">
        <v>1184</v>
      </c>
      <c r="G360" t="s">
        <v>37</v>
      </c>
      <c r="H360" t="s">
        <v>38</v>
      </c>
      <c r="I360" t="s">
        <v>1185</v>
      </c>
      <c r="J360" t="s">
        <v>40</v>
      </c>
      <c r="K360">
        <v>2</v>
      </c>
      <c r="L360" t="s">
        <v>41</v>
      </c>
      <c r="M360" t="s">
        <v>42</v>
      </c>
      <c r="N360" t="s">
        <v>43</v>
      </c>
      <c r="O360" s="7">
        <v>1</v>
      </c>
      <c r="P360" s="8">
        <v>45178.649201388886</v>
      </c>
      <c r="Q360" s="9">
        <v>45180</v>
      </c>
      <c r="R360" t="s">
        <v>37</v>
      </c>
      <c r="S360" t="s">
        <v>44</v>
      </c>
      <c r="T360" t="s">
        <v>114</v>
      </c>
      <c r="U360" t="s">
        <v>46</v>
      </c>
      <c r="V360" t="s">
        <v>1186</v>
      </c>
      <c r="W360">
        <v>27200</v>
      </c>
      <c r="X360" t="s">
        <v>44</v>
      </c>
      <c r="Y360" t="s">
        <v>114</v>
      </c>
      <c r="Z360" t="s">
        <v>49</v>
      </c>
      <c r="AA360" s="10">
        <f>IF(O360&lt;=1,7,7+0.8*ROUNDUP(O360-1,0))</f>
        <v>7</v>
      </c>
      <c r="AB360" s="11">
        <v>0</v>
      </c>
      <c r="AC360" s="11">
        <v>0</v>
      </c>
      <c r="AD360" s="11">
        <v>0</v>
      </c>
      <c r="AE360" s="11">
        <v>0</v>
      </c>
      <c r="AF360" s="11">
        <f t="shared" si="10"/>
        <v>0.42</v>
      </c>
      <c r="AG360" s="11">
        <f t="shared" si="11"/>
        <v>7.42</v>
      </c>
      <c r="AH360" t="s">
        <v>50</v>
      </c>
    </row>
    <row r="361" spans="1:34" ht="15" customHeight="1" x14ac:dyDescent="0.35">
      <c r="A361">
        <v>7547676</v>
      </c>
      <c r="B361">
        <v>690929</v>
      </c>
      <c r="C361" t="s">
        <v>34</v>
      </c>
      <c r="D361" t="s">
        <v>35</v>
      </c>
      <c r="E361" s="6" t="s">
        <v>34</v>
      </c>
      <c r="F361" t="s">
        <v>1187</v>
      </c>
      <c r="G361" t="s">
        <v>37</v>
      </c>
      <c r="H361" t="s">
        <v>38</v>
      </c>
      <c r="I361" t="s">
        <v>1188</v>
      </c>
      <c r="J361" t="s">
        <v>40</v>
      </c>
      <c r="K361">
        <v>2</v>
      </c>
      <c r="L361" t="s">
        <v>41</v>
      </c>
      <c r="M361" t="s">
        <v>42</v>
      </c>
      <c r="N361" t="s">
        <v>43</v>
      </c>
      <c r="O361" s="7">
        <v>7</v>
      </c>
      <c r="P361" s="8">
        <v>45179.615300925929</v>
      </c>
      <c r="Q361" s="9">
        <v>45180</v>
      </c>
      <c r="R361" t="s">
        <v>37</v>
      </c>
      <c r="S361" t="s">
        <v>44</v>
      </c>
      <c r="T361" t="s">
        <v>45</v>
      </c>
      <c r="U361" t="s">
        <v>67</v>
      </c>
      <c r="V361" t="s">
        <v>1189</v>
      </c>
      <c r="W361">
        <v>40150</v>
      </c>
      <c r="X361" t="s">
        <v>44</v>
      </c>
      <c r="Y361" t="s">
        <v>989</v>
      </c>
      <c r="Z361" t="s">
        <v>49</v>
      </c>
      <c r="AA361" s="10">
        <f>IF(O361&lt;=1,7,7+0.8*ROUNDUP(O361-1,0))</f>
        <v>11.8</v>
      </c>
      <c r="AB361" s="11">
        <v>0</v>
      </c>
      <c r="AC361" s="11">
        <v>0</v>
      </c>
      <c r="AD361" s="11">
        <v>0</v>
      </c>
      <c r="AE361" s="11">
        <v>0</v>
      </c>
      <c r="AF361" s="11">
        <f t="shared" si="10"/>
        <v>0.70799999999999996</v>
      </c>
      <c r="AG361" s="11">
        <f t="shared" si="11"/>
        <v>12.508000000000001</v>
      </c>
      <c r="AH361" t="s">
        <v>50</v>
      </c>
    </row>
    <row r="362" spans="1:34" ht="15" customHeight="1" x14ac:dyDescent="0.35">
      <c r="A362">
        <v>7547676</v>
      </c>
      <c r="B362">
        <v>690929</v>
      </c>
      <c r="C362" t="s">
        <v>34</v>
      </c>
      <c r="D362" t="s">
        <v>35</v>
      </c>
      <c r="E362" s="6" t="s">
        <v>34</v>
      </c>
      <c r="F362" t="s">
        <v>1190</v>
      </c>
      <c r="G362" t="s">
        <v>37</v>
      </c>
      <c r="H362" t="s">
        <v>38</v>
      </c>
      <c r="I362" t="s">
        <v>1191</v>
      </c>
      <c r="J362" t="s">
        <v>40</v>
      </c>
      <c r="K362">
        <v>2</v>
      </c>
      <c r="L362" t="s">
        <v>41</v>
      </c>
      <c r="M362" t="s">
        <v>42</v>
      </c>
      <c r="N362" t="s">
        <v>43</v>
      </c>
      <c r="O362" s="7">
        <v>1</v>
      </c>
      <c r="P362" s="8">
        <v>45179.653136574074</v>
      </c>
      <c r="Q362" s="9">
        <v>45180</v>
      </c>
      <c r="R362" t="s">
        <v>37</v>
      </c>
      <c r="S362" t="s">
        <v>44</v>
      </c>
      <c r="T362" t="s">
        <v>45</v>
      </c>
      <c r="U362" t="s">
        <v>115</v>
      </c>
      <c r="V362" t="s">
        <v>1192</v>
      </c>
      <c r="W362">
        <v>16800</v>
      </c>
      <c r="X362" t="s">
        <v>44</v>
      </c>
      <c r="Y362" t="s">
        <v>45</v>
      </c>
      <c r="Z362" t="s">
        <v>49</v>
      </c>
      <c r="AA362" s="10">
        <f>IF(O362&lt;=1,7,7+0.8*ROUNDUP(O362-1,0))</f>
        <v>7</v>
      </c>
      <c r="AB362" s="11">
        <v>0</v>
      </c>
      <c r="AC362" s="11">
        <v>0</v>
      </c>
      <c r="AD362" s="11">
        <v>0</v>
      </c>
      <c r="AE362" s="11">
        <v>0</v>
      </c>
      <c r="AF362" s="11">
        <f t="shared" si="10"/>
        <v>0.42</v>
      </c>
      <c r="AG362" s="11">
        <f t="shared" si="11"/>
        <v>7.42</v>
      </c>
      <c r="AH362" t="s">
        <v>50</v>
      </c>
    </row>
    <row r="363" spans="1:34" ht="15" customHeight="1" x14ac:dyDescent="0.35">
      <c r="A363">
        <v>7547676</v>
      </c>
      <c r="B363">
        <v>690929</v>
      </c>
      <c r="C363" t="s">
        <v>34</v>
      </c>
      <c r="D363" t="s">
        <v>35</v>
      </c>
      <c r="E363" s="6" t="s">
        <v>34</v>
      </c>
      <c r="F363" t="s">
        <v>1193</v>
      </c>
      <c r="G363" t="s">
        <v>37</v>
      </c>
      <c r="H363" t="s">
        <v>38</v>
      </c>
      <c r="I363" t="s">
        <v>1194</v>
      </c>
      <c r="J363" t="s">
        <v>40</v>
      </c>
      <c r="K363">
        <v>2</v>
      </c>
      <c r="L363" t="s">
        <v>41</v>
      </c>
      <c r="M363" t="s">
        <v>42</v>
      </c>
      <c r="N363" t="s">
        <v>43</v>
      </c>
      <c r="O363" s="7">
        <v>1</v>
      </c>
      <c r="P363" s="8">
        <v>45178.734050925923</v>
      </c>
      <c r="Q363" s="9">
        <v>45180</v>
      </c>
      <c r="R363" t="s">
        <v>37</v>
      </c>
      <c r="S363" t="s">
        <v>44</v>
      </c>
      <c r="T363" t="s">
        <v>114</v>
      </c>
      <c r="U363" t="s">
        <v>62</v>
      </c>
      <c r="V363" t="s">
        <v>1195</v>
      </c>
      <c r="W363">
        <v>55100</v>
      </c>
      <c r="X363" t="s">
        <v>44</v>
      </c>
      <c r="Y363" t="s">
        <v>667</v>
      </c>
      <c r="Z363" t="s">
        <v>49</v>
      </c>
      <c r="AA363" s="10">
        <f>IF(O363&lt;=1,7,7+0.8*ROUNDUP(O363-1,0))</f>
        <v>7</v>
      </c>
      <c r="AB363" s="11">
        <v>0</v>
      </c>
      <c r="AC363" s="11">
        <v>0</v>
      </c>
      <c r="AD363" s="11">
        <v>0</v>
      </c>
      <c r="AE363" s="11">
        <v>0</v>
      </c>
      <c r="AF363" s="11">
        <f t="shared" si="10"/>
        <v>0.42</v>
      </c>
      <c r="AG363" s="11">
        <f t="shared" si="11"/>
        <v>7.42</v>
      </c>
      <c r="AH363" t="s">
        <v>50</v>
      </c>
    </row>
    <row r="364" spans="1:34" ht="15" customHeight="1" x14ac:dyDescent="0.35">
      <c r="A364">
        <v>7547676</v>
      </c>
      <c r="B364">
        <v>690929</v>
      </c>
      <c r="C364" t="s">
        <v>34</v>
      </c>
      <c r="D364" t="s">
        <v>35</v>
      </c>
      <c r="E364" s="6" t="s">
        <v>34</v>
      </c>
      <c r="F364" t="s">
        <v>1196</v>
      </c>
      <c r="G364" t="s">
        <v>37</v>
      </c>
      <c r="H364" t="s">
        <v>38</v>
      </c>
      <c r="I364" t="s">
        <v>1197</v>
      </c>
      <c r="J364" t="s">
        <v>40</v>
      </c>
      <c r="K364">
        <v>2</v>
      </c>
      <c r="L364" t="s">
        <v>41</v>
      </c>
      <c r="M364" t="s">
        <v>42</v>
      </c>
      <c r="N364" t="s">
        <v>43</v>
      </c>
      <c r="O364" s="7">
        <v>1</v>
      </c>
      <c r="P364" s="8">
        <v>45179.668622685182</v>
      </c>
      <c r="Q364" s="9">
        <v>45181</v>
      </c>
      <c r="R364" t="s">
        <v>37</v>
      </c>
      <c r="S364" t="s">
        <v>44</v>
      </c>
      <c r="T364" t="s">
        <v>45</v>
      </c>
      <c r="U364" t="s">
        <v>110</v>
      </c>
      <c r="V364" t="s">
        <v>1198</v>
      </c>
      <c r="W364">
        <v>86400</v>
      </c>
      <c r="X364" t="s">
        <v>44</v>
      </c>
      <c r="Y364" t="s">
        <v>69</v>
      </c>
      <c r="Z364" t="s">
        <v>49</v>
      </c>
      <c r="AA364" s="10">
        <f>IF(O364&lt;=1,7,7+0.8*ROUNDUP(O364-1,0))</f>
        <v>7</v>
      </c>
      <c r="AB364" s="11">
        <v>0</v>
      </c>
      <c r="AC364" s="11">
        <v>0</v>
      </c>
      <c r="AD364" s="11">
        <v>0</v>
      </c>
      <c r="AE364" s="11">
        <v>0</v>
      </c>
      <c r="AF364" s="11">
        <f t="shared" si="10"/>
        <v>0.42</v>
      </c>
      <c r="AG364" s="11">
        <f t="shared" si="11"/>
        <v>7.42</v>
      </c>
      <c r="AH364" t="s">
        <v>50</v>
      </c>
    </row>
    <row r="365" spans="1:34" ht="15" customHeight="1" x14ac:dyDescent="0.35">
      <c r="A365">
        <v>7547676</v>
      </c>
      <c r="B365">
        <v>690929</v>
      </c>
      <c r="C365" t="s">
        <v>34</v>
      </c>
      <c r="D365" t="s">
        <v>35</v>
      </c>
      <c r="E365" s="6" t="s">
        <v>34</v>
      </c>
      <c r="F365" t="s">
        <v>1199</v>
      </c>
      <c r="G365" t="s">
        <v>37</v>
      </c>
      <c r="H365" t="s">
        <v>38</v>
      </c>
      <c r="I365" t="s">
        <v>1200</v>
      </c>
      <c r="J365" t="s">
        <v>40</v>
      </c>
      <c r="K365">
        <v>2</v>
      </c>
      <c r="L365" t="s">
        <v>41</v>
      </c>
      <c r="M365" t="s">
        <v>42</v>
      </c>
      <c r="N365" t="s">
        <v>43</v>
      </c>
      <c r="O365" s="7">
        <v>1</v>
      </c>
      <c r="P365" s="8">
        <v>45175.817939814813</v>
      </c>
      <c r="Q365" s="9">
        <v>45181</v>
      </c>
      <c r="R365" t="s">
        <v>37</v>
      </c>
      <c r="S365" t="s">
        <v>44</v>
      </c>
      <c r="T365" t="s">
        <v>45</v>
      </c>
      <c r="U365" t="s">
        <v>139</v>
      </c>
      <c r="V365" t="s">
        <v>1201</v>
      </c>
      <c r="W365">
        <v>7000</v>
      </c>
      <c r="X365" t="s">
        <v>44</v>
      </c>
      <c r="Y365" t="s">
        <v>69</v>
      </c>
      <c r="Z365" t="s">
        <v>49</v>
      </c>
      <c r="AA365" s="10">
        <f>IF(O365&lt;=1,7,7+0.8*ROUNDUP(O365-1,0))</f>
        <v>7</v>
      </c>
      <c r="AB365" s="11">
        <v>0</v>
      </c>
      <c r="AC365" s="11">
        <v>0</v>
      </c>
      <c r="AD365" s="11">
        <v>0</v>
      </c>
      <c r="AE365" s="11">
        <v>0</v>
      </c>
      <c r="AF365" s="11">
        <f t="shared" si="10"/>
        <v>0.42</v>
      </c>
      <c r="AG365" s="11">
        <f t="shared" si="11"/>
        <v>7.42</v>
      </c>
      <c r="AH365" t="s">
        <v>50</v>
      </c>
    </row>
    <row r="366" spans="1:34" ht="15" customHeight="1" x14ac:dyDescent="0.35">
      <c r="A366">
        <v>7547676</v>
      </c>
      <c r="B366">
        <v>690929</v>
      </c>
      <c r="C366" t="s">
        <v>34</v>
      </c>
      <c r="D366" t="s">
        <v>35</v>
      </c>
      <c r="E366" s="6" t="s">
        <v>34</v>
      </c>
      <c r="F366" t="s">
        <v>1202</v>
      </c>
      <c r="G366" t="s">
        <v>37</v>
      </c>
      <c r="H366" t="s">
        <v>38</v>
      </c>
      <c r="I366" t="s">
        <v>1203</v>
      </c>
      <c r="J366" t="s">
        <v>40</v>
      </c>
      <c r="K366">
        <v>2</v>
      </c>
      <c r="L366" t="s">
        <v>41</v>
      </c>
      <c r="M366" t="s">
        <v>42</v>
      </c>
      <c r="N366" t="s">
        <v>43</v>
      </c>
      <c r="O366" s="7">
        <v>1</v>
      </c>
      <c r="P366" s="8">
        <v>45180.66510416667</v>
      </c>
      <c r="Q366" s="9">
        <v>45181</v>
      </c>
      <c r="R366" t="s">
        <v>37</v>
      </c>
      <c r="S366" t="s">
        <v>44</v>
      </c>
      <c r="T366" t="s">
        <v>45</v>
      </c>
      <c r="U366" t="s">
        <v>284</v>
      </c>
      <c r="V366" t="s">
        <v>1204</v>
      </c>
      <c r="W366">
        <v>21020</v>
      </c>
      <c r="X366" t="s">
        <v>44</v>
      </c>
      <c r="Y366" t="s">
        <v>45</v>
      </c>
      <c r="Z366" t="s">
        <v>49</v>
      </c>
      <c r="AA366" s="10">
        <f>IF(O366&lt;=1,7,7+0.8*ROUNDUP(O366-1,0))</f>
        <v>7</v>
      </c>
      <c r="AB366" s="11">
        <v>0</v>
      </c>
      <c r="AC366" s="11">
        <v>0</v>
      </c>
      <c r="AD366" s="11">
        <v>0</v>
      </c>
      <c r="AE366" s="11">
        <v>0</v>
      </c>
      <c r="AF366" s="11">
        <f t="shared" si="10"/>
        <v>0.42</v>
      </c>
      <c r="AG366" s="11">
        <f t="shared" si="11"/>
        <v>7.42</v>
      </c>
      <c r="AH366" t="s">
        <v>50</v>
      </c>
    </row>
    <row r="367" spans="1:34" ht="15" customHeight="1" x14ac:dyDescent="0.35">
      <c r="A367">
        <v>7547676</v>
      </c>
      <c r="B367">
        <v>690929</v>
      </c>
      <c r="C367" t="s">
        <v>34</v>
      </c>
      <c r="D367" t="s">
        <v>35</v>
      </c>
      <c r="E367" s="6" t="s">
        <v>34</v>
      </c>
      <c r="F367" t="s">
        <v>1205</v>
      </c>
      <c r="G367" t="s">
        <v>37</v>
      </c>
      <c r="H367" t="s">
        <v>38</v>
      </c>
      <c r="I367" t="s">
        <v>1206</v>
      </c>
      <c r="J367" t="s">
        <v>40</v>
      </c>
      <c r="K367">
        <v>2</v>
      </c>
      <c r="L367" t="s">
        <v>41</v>
      </c>
      <c r="M367" t="s">
        <v>42</v>
      </c>
      <c r="N367" t="s">
        <v>43</v>
      </c>
      <c r="O367" s="7">
        <v>1</v>
      </c>
      <c r="P367" s="8">
        <v>45179.702974537038</v>
      </c>
      <c r="Q367" s="9">
        <v>45181</v>
      </c>
      <c r="R367" t="s">
        <v>37</v>
      </c>
      <c r="S367" t="s">
        <v>44</v>
      </c>
      <c r="T367" t="s">
        <v>45</v>
      </c>
      <c r="U367" t="s">
        <v>106</v>
      </c>
      <c r="V367" t="s">
        <v>1207</v>
      </c>
      <c r="W367">
        <v>11900</v>
      </c>
      <c r="X367" t="s">
        <v>44</v>
      </c>
      <c r="Y367" t="s">
        <v>1063</v>
      </c>
      <c r="Z367" t="s">
        <v>49</v>
      </c>
      <c r="AA367" s="10">
        <f>IF(O367&lt;=1,7,7+0.8*ROUNDUP(O367-1,0))</f>
        <v>7</v>
      </c>
      <c r="AB367" s="11">
        <v>0</v>
      </c>
      <c r="AC367" s="11">
        <v>0</v>
      </c>
      <c r="AD367" s="11">
        <v>0</v>
      </c>
      <c r="AE367" s="11">
        <v>0</v>
      </c>
      <c r="AF367" s="11">
        <f t="shared" si="10"/>
        <v>0.42</v>
      </c>
      <c r="AG367" s="11">
        <f t="shared" si="11"/>
        <v>7.42</v>
      </c>
      <c r="AH367" t="s">
        <v>50</v>
      </c>
    </row>
    <row r="368" spans="1:34" ht="15" customHeight="1" x14ac:dyDescent="0.35">
      <c r="A368">
        <v>7547676</v>
      </c>
      <c r="B368">
        <v>690929</v>
      </c>
      <c r="C368" t="s">
        <v>34</v>
      </c>
      <c r="D368" t="s">
        <v>35</v>
      </c>
      <c r="E368" s="6" t="s">
        <v>34</v>
      </c>
      <c r="F368" t="s">
        <v>1208</v>
      </c>
      <c r="G368" t="s">
        <v>37</v>
      </c>
      <c r="H368" t="s">
        <v>38</v>
      </c>
      <c r="I368" t="s">
        <v>1209</v>
      </c>
      <c r="J368" t="s">
        <v>40</v>
      </c>
      <c r="K368">
        <v>2</v>
      </c>
      <c r="L368" t="s">
        <v>41</v>
      </c>
      <c r="M368" t="s">
        <v>42</v>
      </c>
      <c r="N368" t="s">
        <v>43</v>
      </c>
      <c r="O368" s="7">
        <v>1</v>
      </c>
      <c r="P368" s="8">
        <v>45179.681863425925</v>
      </c>
      <c r="Q368" s="9">
        <v>45181</v>
      </c>
      <c r="R368" t="s">
        <v>37</v>
      </c>
      <c r="S368" t="s">
        <v>44</v>
      </c>
      <c r="T368" t="s">
        <v>45</v>
      </c>
      <c r="U368" t="s">
        <v>139</v>
      </c>
      <c r="V368" t="s">
        <v>1210</v>
      </c>
      <c r="W368">
        <v>9400</v>
      </c>
      <c r="X368" t="s">
        <v>44</v>
      </c>
      <c r="Y368" t="s">
        <v>902</v>
      </c>
      <c r="Z368" t="s">
        <v>49</v>
      </c>
      <c r="AA368" s="10">
        <f>IF(O368&lt;=1,7,7+0.8*ROUNDUP(O368-1,0))</f>
        <v>7</v>
      </c>
      <c r="AB368" s="11">
        <v>0</v>
      </c>
      <c r="AC368" s="11">
        <v>0</v>
      </c>
      <c r="AD368" s="11">
        <v>0</v>
      </c>
      <c r="AE368" s="11">
        <v>0</v>
      </c>
      <c r="AF368" s="11">
        <f t="shared" si="10"/>
        <v>0.42</v>
      </c>
      <c r="AG368" s="11">
        <f t="shared" si="11"/>
        <v>7.42</v>
      </c>
      <c r="AH368" t="s">
        <v>50</v>
      </c>
    </row>
    <row r="369" spans="1:34" ht="15" customHeight="1" x14ac:dyDescent="0.35">
      <c r="A369">
        <v>7547676</v>
      </c>
      <c r="B369">
        <v>690929</v>
      </c>
      <c r="C369" t="s">
        <v>34</v>
      </c>
      <c r="D369" t="s">
        <v>35</v>
      </c>
      <c r="E369" s="6" t="s">
        <v>34</v>
      </c>
      <c r="F369" t="s">
        <v>1211</v>
      </c>
      <c r="G369" t="s">
        <v>37</v>
      </c>
      <c r="H369" t="s">
        <v>38</v>
      </c>
      <c r="I369" t="s">
        <v>1212</v>
      </c>
      <c r="J369" t="s">
        <v>40</v>
      </c>
      <c r="K369">
        <v>2</v>
      </c>
      <c r="L369" t="s">
        <v>41</v>
      </c>
      <c r="M369" t="s">
        <v>42</v>
      </c>
      <c r="N369" t="s">
        <v>43</v>
      </c>
      <c r="O369" s="7">
        <v>1</v>
      </c>
      <c r="P369" s="8">
        <v>45179.685312499998</v>
      </c>
      <c r="Q369" s="9">
        <v>45181</v>
      </c>
      <c r="R369" t="s">
        <v>37</v>
      </c>
      <c r="S369" t="s">
        <v>44</v>
      </c>
      <c r="T369" t="s">
        <v>45</v>
      </c>
      <c r="U369" t="s">
        <v>110</v>
      </c>
      <c r="V369" t="s">
        <v>1213</v>
      </c>
      <c r="W369">
        <v>81200</v>
      </c>
      <c r="X369" t="s">
        <v>44</v>
      </c>
      <c r="Y369" t="s">
        <v>607</v>
      </c>
      <c r="Z369" t="s">
        <v>49</v>
      </c>
      <c r="AA369" s="10">
        <f>IF(O369&lt;=1,7,7+0.8*ROUNDUP(O369-1,0))</f>
        <v>7</v>
      </c>
      <c r="AB369" s="11">
        <v>0</v>
      </c>
      <c r="AC369" s="11">
        <v>0</v>
      </c>
      <c r="AD369" s="11">
        <v>0</v>
      </c>
      <c r="AE369" s="11">
        <v>0</v>
      </c>
      <c r="AF369" s="11">
        <f t="shared" si="10"/>
        <v>0.42</v>
      </c>
      <c r="AG369" s="11">
        <f t="shared" si="11"/>
        <v>7.42</v>
      </c>
      <c r="AH369" t="s">
        <v>50</v>
      </c>
    </row>
    <row r="370" spans="1:34" ht="15" customHeight="1" x14ac:dyDescent="0.35">
      <c r="A370">
        <v>7547676</v>
      </c>
      <c r="B370">
        <v>690929</v>
      </c>
      <c r="C370" t="s">
        <v>34</v>
      </c>
      <c r="D370" t="s">
        <v>35</v>
      </c>
      <c r="E370" s="6" t="s">
        <v>34</v>
      </c>
      <c r="F370" t="s">
        <v>1214</v>
      </c>
      <c r="G370" t="s">
        <v>37</v>
      </c>
      <c r="H370" t="s">
        <v>38</v>
      </c>
      <c r="I370" t="s">
        <v>1215</v>
      </c>
      <c r="J370" t="s">
        <v>40</v>
      </c>
      <c r="K370">
        <v>2</v>
      </c>
      <c r="L370" t="s">
        <v>41</v>
      </c>
      <c r="M370" t="s">
        <v>42</v>
      </c>
      <c r="N370" t="s">
        <v>43</v>
      </c>
      <c r="O370" s="7">
        <v>1</v>
      </c>
      <c r="P370" s="8">
        <v>45179.388032407405</v>
      </c>
      <c r="Q370" s="9">
        <v>45181</v>
      </c>
      <c r="R370" t="s">
        <v>37</v>
      </c>
      <c r="S370" t="s">
        <v>44</v>
      </c>
      <c r="T370" t="s">
        <v>45</v>
      </c>
      <c r="U370" t="s">
        <v>119</v>
      </c>
      <c r="V370" t="s">
        <v>1216</v>
      </c>
      <c r="W370">
        <v>76100</v>
      </c>
      <c r="X370" t="s">
        <v>44</v>
      </c>
      <c r="Y370" t="s">
        <v>1217</v>
      </c>
      <c r="Z370" t="s">
        <v>49</v>
      </c>
      <c r="AA370" s="10">
        <f>IF(O370&lt;=1,7,7+0.8*ROUNDUP(O370-1,0))</f>
        <v>7</v>
      </c>
      <c r="AB370" s="11">
        <v>0</v>
      </c>
      <c r="AC370" s="11">
        <v>0</v>
      </c>
      <c r="AD370" s="11">
        <v>0</v>
      </c>
      <c r="AE370" s="11">
        <v>0</v>
      </c>
      <c r="AF370" s="11">
        <f t="shared" si="10"/>
        <v>0.42</v>
      </c>
      <c r="AG370" s="11">
        <f t="shared" si="11"/>
        <v>7.42</v>
      </c>
      <c r="AH370" t="s">
        <v>50</v>
      </c>
    </row>
    <row r="371" spans="1:34" ht="15" customHeight="1" x14ac:dyDescent="0.35">
      <c r="A371">
        <v>7547676</v>
      </c>
      <c r="B371">
        <v>690929</v>
      </c>
      <c r="C371" t="s">
        <v>34</v>
      </c>
      <c r="D371" t="s">
        <v>35</v>
      </c>
      <c r="E371" s="6" t="s">
        <v>34</v>
      </c>
      <c r="F371" t="s">
        <v>1218</v>
      </c>
      <c r="G371" t="s">
        <v>37</v>
      </c>
      <c r="H371" t="s">
        <v>38</v>
      </c>
      <c r="I371" t="s">
        <v>160</v>
      </c>
      <c r="J371" t="s">
        <v>40</v>
      </c>
      <c r="K371">
        <v>2</v>
      </c>
      <c r="L371" t="s">
        <v>41</v>
      </c>
      <c r="M371" t="s">
        <v>42</v>
      </c>
      <c r="N371" t="s">
        <v>43</v>
      </c>
      <c r="O371" s="7">
        <v>1</v>
      </c>
      <c r="P371" s="8">
        <v>45179.702974537038</v>
      </c>
      <c r="Q371" s="9">
        <v>45181</v>
      </c>
      <c r="R371" t="s">
        <v>37</v>
      </c>
      <c r="S371" t="s">
        <v>44</v>
      </c>
      <c r="T371" t="s">
        <v>45</v>
      </c>
      <c r="U371" t="s">
        <v>101</v>
      </c>
      <c r="V371" t="s">
        <v>1219</v>
      </c>
      <c r="W371">
        <v>35910</v>
      </c>
      <c r="X371" t="s">
        <v>44</v>
      </c>
      <c r="Y371" t="s">
        <v>69</v>
      </c>
      <c r="Z371" t="s">
        <v>49</v>
      </c>
      <c r="AA371" s="10">
        <f>IF(O371&lt;=1,7,7+0.8*ROUNDUP(O371-1,0))</f>
        <v>7</v>
      </c>
      <c r="AB371" s="11">
        <v>0</v>
      </c>
      <c r="AC371" s="11">
        <v>0</v>
      </c>
      <c r="AD371" s="11">
        <v>0</v>
      </c>
      <c r="AE371" s="11">
        <v>0</v>
      </c>
      <c r="AF371" s="11">
        <f t="shared" si="10"/>
        <v>0.42</v>
      </c>
      <c r="AG371" s="11">
        <f t="shared" si="11"/>
        <v>7.42</v>
      </c>
      <c r="AH371" t="s">
        <v>50</v>
      </c>
    </row>
    <row r="372" spans="1:34" ht="15" customHeight="1" x14ac:dyDescent="0.35">
      <c r="A372">
        <v>7547676</v>
      </c>
      <c r="B372">
        <v>690929</v>
      </c>
      <c r="C372" t="s">
        <v>34</v>
      </c>
      <c r="D372" t="s">
        <v>35</v>
      </c>
      <c r="E372" s="6" t="s">
        <v>34</v>
      </c>
      <c r="F372" t="s">
        <v>1220</v>
      </c>
      <c r="G372" t="s">
        <v>37</v>
      </c>
      <c r="H372" t="s">
        <v>38</v>
      </c>
      <c r="I372" t="s">
        <v>1221</v>
      </c>
      <c r="J372" t="s">
        <v>40</v>
      </c>
      <c r="K372">
        <v>2</v>
      </c>
      <c r="L372" t="s">
        <v>41</v>
      </c>
      <c r="M372" t="s">
        <v>42</v>
      </c>
      <c r="N372" t="s">
        <v>43</v>
      </c>
      <c r="O372" s="7">
        <v>5</v>
      </c>
      <c r="P372" s="8">
        <v>45179.500243055554</v>
      </c>
      <c r="Q372" s="9">
        <v>45181</v>
      </c>
      <c r="R372" t="s">
        <v>37</v>
      </c>
      <c r="S372" t="s">
        <v>44</v>
      </c>
      <c r="T372" t="s">
        <v>45</v>
      </c>
      <c r="U372" t="s">
        <v>110</v>
      </c>
      <c r="V372" t="s">
        <v>1222</v>
      </c>
      <c r="W372">
        <v>83000</v>
      </c>
      <c r="X372" t="s">
        <v>44</v>
      </c>
      <c r="Y372" t="s">
        <v>508</v>
      </c>
      <c r="Z372" t="s">
        <v>49</v>
      </c>
      <c r="AA372" s="10">
        <f>IF(O372&lt;=1,7,7+0.8*ROUNDUP(O372-1,0))</f>
        <v>10.199999999999999</v>
      </c>
      <c r="AB372" s="11">
        <v>0</v>
      </c>
      <c r="AC372" s="11">
        <v>0</v>
      </c>
      <c r="AD372" s="11">
        <v>0</v>
      </c>
      <c r="AE372" s="11">
        <v>0</v>
      </c>
      <c r="AF372" s="11">
        <f t="shared" si="10"/>
        <v>0.61199999999999999</v>
      </c>
      <c r="AG372" s="11">
        <f t="shared" si="11"/>
        <v>10.811999999999999</v>
      </c>
      <c r="AH372" t="s">
        <v>50</v>
      </c>
    </row>
    <row r="373" spans="1:34" ht="15" customHeight="1" x14ac:dyDescent="0.35">
      <c r="A373">
        <v>7547676</v>
      </c>
      <c r="B373">
        <v>690929</v>
      </c>
      <c r="C373" t="s">
        <v>34</v>
      </c>
      <c r="D373" t="s">
        <v>35</v>
      </c>
      <c r="E373" s="6" t="s">
        <v>34</v>
      </c>
      <c r="F373" t="s">
        <v>1223</v>
      </c>
      <c r="G373" t="s">
        <v>37</v>
      </c>
      <c r="H373" t="s">
        <v>38</v>
      </c>
      <c r="I373" t="s">
        <v>1224</v>
      </c>
      <c r="J373" t="s">
        <v>40</v>
      </c>
      <c r="K373">
        <v>2</v>
      </c>
      <c r="L373" t="s">
        <v>41</v>
      </c>
      <c r="M373" t="s">
        <v>42</v>
      </c>
      <c r="N373" t="s">
        <v>43</v>
      </c>
      <c r="O373" s="7">
        <v>1</v>
      </c>
      <c r="P373" s="8">
        <v>45179.702974537038</v>
      </c>
      <c r="Q373" s="9">
        <v>45181</v>
      </c>
      <c r="R373" t="s">
        <v>37</v>
      </c>
      <c r="S373" t="s">
        <v>44</v>
      </c>
      <c r="T373" t="s">
        <v>45</v>
      </c>
      <c r="U373" t="s">
        <v>106</v>
      </c>
      <c r="V373" t="s">
        <v>1225</v>
      </c>
      <c r="W373">
        <v>13600</v>
      </c>
      <c r="X373" t="s">
        <v>44</v>
      </c>
      <c r="Y373" t="s">
        <v>520</v>
      </c>
      <c r="Z373" t="s">
        <v>49</v>
      </c>
      <c r="AA373" s="10">
        <f>IF(O373&lt;=1,7,7+0.8*ROUNDUP(O373-1,0))</f>
        <v>7</v>
      </c>
      <c r="AB373" s="11">
        <v>0</v>
      </c>
      <c r="AC373" s="11">
        <v>0</v>
      </c>
      <c r="AD373" s="11">
        <v>0</v>
      </c>
      <c r="AE373" s="11">
        <v>0</v>
      </c>
      <c r="AF373" s="11">
        <f t="shared" si="10"/>
        <v>0.42</v>
      </c>
      <c r="AG373" s="11">
        <f t="shared" si="11"/>
        <v>7.42</v>
      </c>
      <c r="AH373" t="s">
        <v>50</v>
      </c>
    </row>
    <row r="374" spans="1:34" ht="15" customHeight="1" x14ac:dyDescent="0.35">
      <c r="A374">
        <v>7547676</v>
      </c>
      <c r="B374">
        <v>690929</v>
      </c>
      <c r="C374" t="s">
        <v>34</v>
      </c>
      <c r="D374" t="s">
        <v>35</v>
      </c>
      <c r="E374" s="6" t="s">
        <v>34</v>
      </c>
      <c r="F374" t="s">
        <v>1226</v>
      </c>
      <c r="G374" t="s">
        <v>37</v>
      </c>
      <c r="H374" t="s">
        <v>38</v>
      </c>
      <c r="I374" t="s">
        <v>1227</v>
      </c>
      <c r="J374" t="s">
        <v>40</v>
      </c>
      <c r="K374">
        <v>2</v>
      </c>
      <c r="L374" t="s">
        <v>41</v>
      </c>
      <c r="M374" t="s">
        <v>42</v>
      </c>
      <c r="N374" t="s">
        <v>43</v>
      </c>
      <c r="O374" s="7">
        <v>1</v>
      </c>
      <c r="P374" s="8">
        <v>45180.695416666669</v>
      </c>
      <c r="Q374" s="9">
        <v>45181</v>
      </c>
      <c r="R374" t="s">
        <v>37</v>
      </c>
      <c r="S374" t="s">
        <v>44</v>
      </c>
      <c r="T374" t="s">
        <v>45</v>
      </c>
      <c r="U374" t="s">
        <v>46</v>
      </c>
      <c r="V374" t="s">
        <v>1228</v>
      </c>
      <c r="W374">
        <v>27200</v>
      </c>
      <c r="X374" t="s">
        <v>44</v>
      </c>
      <c r="Y374" t="s">
        <v>45</v>
      </c>
      <c r="Z374" t="s">
        <v>49</v>
      </c>
      <c r="AA374" s="10">
        <f>IF(O374&lt;=1,7,7+0.8*ROUNDUP(O374-1,0))</f>
        <v>7</v>
      </c>
      <c r="AB374" s="11">
        <v>0</v>
      </c>
      <c r="AC374" s="11">
        <v>0</v>
      </c>
      <c r="AD374" s="11">
        <v>0</v>
      </c>
      <c r="AE374" s="11">
        <v>0</v>
      </c>
      <c r="AF374" s="11">
        <f t="shared" si="10"/>
        <v>0.42</v>
      </c>
      <c r="AG374" s="11">
        <f t="shared" si="11"/>
        <v>7.42</v>
      </c>
      <c r="AH374" t="s">
        <v>50</v>
      </c>
    </row>
    <row r="375" spans="1:34" ht="15" customHeight="1" x14ac:dyDescent="0.35">
      <c r="A375">
        <v>7547676</v>
      </c>
      <c r="B375">
        <v>690929</v>
      </c>
      <c r="C375" t="s">
        <v>34</v>
      </c>
      <c r="D375" t="s">
        <v>35</v>
      </c>
      <c r="E375" s="6" t="s">
        <v>34</v>
      </c>
      <c r="F375" t="s">
        <v>1229</v>
      </c>
      <c r="G375" t="s">
        <v>37</v>
      </c>
      <c r="H375" t="s">
        <v>38</v>
      </c>
      <c r="I375" t="s">
        <v>1230</v>
      </c>
      <c r="J375" t="s">
        <v>40</v>
      </c>
      <c r="K375">
        <v>2</v>
      </c>
      <c r="L375" t="s">
        <v>41</v>
      </c>
      <c r="M375" t="s">
        <v>42</v>
      </c>
      <c r="N375" t="s">
        <v>43</v>
      </c>
      <c r="O375" s="7">
        <v>1</v>
      </c>
      <c r="P375" s="8">
        <v>45180.722534722219</v>
      </c>
      <c r="Q375" s="9">
        <v>45181</v>
      </c>
      <c r="R375" t="s">
        <v>37</v>
      </c>
      <c r="S375" t="s">
        <v>44</v>
      </c>
      <c r="T375" t="s">
        <v>45</v>
      </c>
      <c r="U375" t="s">
        <v>46</v>
      </c>
      <c r="V375" t="s">
        <v>1231</v>
      </c>
      <c r="W375">
        <v>25200</v>
      </c>
      <c r="X375" t="s">
        <v>44</v>
      </c>
      <c r="Y375" t="s">
        <v>45</v>
      </c>
      <c r="Z375" t="s">
        <v>49</v>
      </c>
      <c r="AA375" s="10">
        <f>IF(O375&lt;=1,7,7+0.8*ROUNDUP(O375-1,0))</f>
        <v>7</v>
      </c>
      <c r="AB375" s="11">
        <v>0</v>
      </c>
      <c r="AC375" s="11">
        <v>0</v>
      </c>
      <c r="AD375" s="11">
        <v>0</v>
      </c>
      <c r="AE375" s="11">
        <v>0</v>
      </c>
      <c r="AF375" s="11">
        <f t="shared" si="10"/>
        <v>0.42</v>
      </c>
      <c r="AG375" s="11">
        <f t="shared" si="11"/>
        <v>7.42</v>
      </c>
      <c r="AH375" t="s">
        <v>50</v>
      </c>
    </row>
    <row r="376" spans="1:34" ht="15" customHeight="1" x14ac:dyDescent="0.35">
      <c r="A376">
        <v>7547676</v>
      </c>
      <c r="B376">
        <v>690929</v>
      </c>
      <c r="C376" t="s">
        <v>34</v>
      </c>
      <c r="D376" t="s">
        <v>35</v>
      </c>
      <c r="E376" s="6" t="s">
        <v>34</v>
      </c>
      <c r="F376" t="s">
        <v>1232</v>
      </c>
      <c r="G376" t="s">
        <v>37</v>
      </c>
      <c r="H376" t="s">
        <v>38</v>
      </c>
      <c r="I376" t="s">
        <v>1233</v>
      </c>
      <c r="J376" t="s">
        <v>40</v>
      </c>
      <c r="K376">
        <v>2</v>
      </c>
      <c r="L376" t="s">
        <v>41</v>
      </c>
      <c r="M376" t="s">
        <v>42</v>
      </c>
      <c r="N376" t="s">
        <v>43</v>
      </c>
      <c r="O376" s="7">
        <v>7</v>
      </c>
      <c r="P376" s="8">
        <v>45179.708773148152</v>
      </c>
      <c r="Q376" s="9">
        <v>45181</v>
      </c>
      <c r="R376" t="s">
        <v>37</v>
      </c>
      <c r="S376" t="s">
        <v>44</v>
      </c>
      <c r="T376" t="s">
        <v>45</v>
      </c>
      <c r="U376" t="s">
        <v>46</v>
      </c>
      <c r="V376" t="s">
        <v>1234</v>
      </c>
      <c r="W376">
        <v>25050</v>
      </c>
      <c r="X376" t="s">
        <v>44</v>
      </c>
      <c r="Y376" t="s">
        <v>1235</v>
      </c>
      <c r="Z376" t="s">
        <v>49</v>
      </c>
      <c r="AA376" s="10">
        <f>IF(O376&lt;=1,7,7+0.8*ROUNDUP(O376-1,0))</f>
        <v>11.8</v>
      </c>
      <c r="AB376" s="11">
        <v>0</v>
      </c>
      <c r="AC376" s="11">
        <v>0</v>
      </c>
      <c r="AD376" s="11">
        <v>0</v>
      </c>
      <c r="AE376" s="11">
        <v>0</v>
      </c>
      <c r="AF376" s="11">
        <f t="shared" si="10"/>
        <v>0.70799999999999996</v>
      </c>
      <c r="AG376" s="11">
        <f t="shared" si="11"/>
        <v>12.508000000000001</v>
      </c>
      <c r="AH376" t="s">
        <v>50</v>
      </c>
    </row>
    <row r="377" spans="1:34" ht="15" customHeight="1" x14ac:dyDescent="0.35">
      <c r="A377">
        <v>7547676</v>
      </c>
      <c r="B377">
        <v>690929</v>
      </c>
      <c r="C377" t="s">
        <v>34</v>
      </c>
      <c r="D377" t="s">
        <v>35</v>
      </c>
      <c r="E377" s="6" t="s">
        <v>34</v>
      </c>
      <c r="F377" t="s">
        <v>1236</v>
      </c>
      <c r="G377" t="s">
        <v>37</v>
      </c>
      <c r="H377" t="s">
        <v>38</v>
      </c>
      <c r="I377" t="s">
        <v>1237</v>
      </c>
      <c r="J377" t="s">
        <v>40</v>
      </c>
      <c r="K377">
        <v>2</v>
      </c>
      <c r="L377" t="s">
        <v>41</v>
      </c>
      <c r="M377" t="s">
        <v>42</v>
      </c>
      <c r="N377" t="s">
        <v>43</v>
      </c>
      <c r="O377" s="7">
        <v>1</v>
      </c>
      <c r="P377" s="8">
        <v>45179.785162037035</v>
      </c>
      <c r="Q377" s="9">
        <v>45181</v>
      </c>
      <c r="R377" t="s">
        <v>37</v>
      </c>
      <c r="S377" t="s">
        <v>44</v>
      </c>
      <c r="T377" t="s">
        <v>45</v>
      </c>
      <c r="U377" t="s">
        <v>67</v>
      </c>
      <c r="V377" t="s">
        <v>1238</v>
      </c>
      <c r="W377">
        <v>41100</v>
      </c>
      <c r="X377" t="s">
        <v>44</v>
      </c>
      <c r="Y377" t="s">
        <v>831</v>
      </c>
      <c r="Z377" t="s">
        <v>49</v>
      </c>
      <c r="AA377" s="10">
        <f>IF(O377&lt;=1,7,7+0.8*ROUNDUP(O377-1,0))</f>
        <v>7</v>
      </c>
      <c r="AB377" s="11">
        <v>0</v>
      </c>
      <c r="AC377" s="11">
        <v>0</v>
      </c>
      <c r="AD377" s="11">
        <v>0</v>
      </c>
      <c r="AE377" s="11">
        <v>0</v>
      </c>
      <c r="AF377" s="11">
        <f t="shared" si="10"/>
        <v>0.42</v>
      </c>
      <c r="AG377" s="11">
        <f t="shared" si="11"/>
        <v>7.42</v>
      </c>
      <c r="AH377" t="s">
        <v>50</v>
      </c>
    </row>
    <row r="378" spans="1:34" ht="15" customHeight="1" x14ac:dyDescent="0.35">
      <c r="A378">
        <v>7547676</v>
      </c>
      <c r="B378">
        <v>690929</v>
      </c>
      <c r="C378" t="s">
        <v>34</v>
      </c>
      <c r="D378" t="s">
        <v>35</v>
      </c>
      <c r="E378" s="6" t="s">
        <v>34</v>
      </c>
      <c r="F378" t="s">
        <v>1239</v>
      </c>
      <c r="G378" t="s">
        <v>37</v>
      </c>
      <c r="H378" t="s">
        <v>38</v>
      </c>
      <c r="I378" t="s">
        <v>1240</v>
      </c>
      <c r="J378" t="s">
        <v>40</v>
      </c>
      <c r="K378">
        <v>2</v>
      </c>
      <c r="L378" t="s">
        <v>41</v>
      </c>
      <c r="M378" t="s">
        <v>42</v>
      </c>
      <c r="N378" t="s">
        <v>43</v>
      </c>
      <c r="O378" s="7">
        <v>1</v>
      </c>
      <c r="P378" s="8">
        <v>45179.785162037035</v>
      </c>
      <c r="Q378" s="9">
        <v>45181</v>
      </c>
      <c r="R378" t="s">
        <v>37</v>
      </c>
      <c r="S378" t="s">
        <v>44</v>
      </c>
      <c r="T378" t="s">
        <v>45</v>
      </c>
      <c r="U378" t="s">
        <v>284</v>
      </c>
      <c r="V378" t="s">
        <v>1241</v>
      </c>
      <c r="W378">
        <v>21030</v>
      </c>
      <c r="X378" t="s">
        <v>44</v>
      </c>
      <c r="Y378" t="s">
        <v>45</v>
      </c>
      <c r="Z378" t="s">
        <v>49</v>
      </c>
      <c r="AA378" s="10">
        <f>IF(O378&lt;=1,7,7+0.8*ROUNDUP(O378-1,0))</f>
        <v>7</v>
      </c>
      <c r="AB378" s="11">
        <v>0</v>
      </c>
      <c r="AC378" s="11">
        <v>0</v>
      </c>
      <c r="AD378" s="11">
        <v>0</v>
      </c>
      <c r="AE378" s="11">
        <v>0</v>
      </c>
      <c r="AF378" s="11">
        <f t="shared" si="10"/>
        <v>0.42</v>
      </c>
      <c r="AG378" s="11">
        <f t="shared" si="11"/>
        <v>7.42</v>
      </c>
      <c r="AH378" t="s">
        <v>50</v>
      </c>
    </row>
    <row r="379" spans="1:34" ht="15" customHeight="1" x14ac:dyDescent="0.35">
      <c r="A379">
        <v>7547676</v>
      </c>
      <c r="B379">
        <v>690929</v>
      </c>
      <c r="C379" t="s">
        <v>34</v>
      </c>
      <c r="D379" t="s">
        <v>35</v>
      </c>
      <c r="E379" s="6" t="s">
        <v>34</v>
      </c>
      <c r="F379" t="s">
        <v>1242</v>
      </c>
      <c r="G379" t="s">
        <v>37</v>
      </c>
      <c r="H379" t="s">
        <v>38</v>
      </c>
      <c r="I379" t="s">
        <v>1243</v>
      </c>
      <c r="J379" t="s">
        <v>40</v>
      </c>
      <c r="K379">
        <v>2</v>
      </c>
      <c r="L379" t="s">
        <v>41</v>
      </c>
      <c r="M379" t="s">
        <v>42</v>
      </c>
      <c r="N379" t="s">
        <v>43</v>
      </c>
      <c r="O379" s="7">
        <v>1</v>
      </c>
      <c r="P379" s="8">
        <v>45179.653136574074</v>
      </c>
      <c r="Q379" s="9">
        <v>45181</v>
      </c>
      <c r="R379" t="s">
        <v>37</v>
      </c>
      <c r="S379" t="s">
        <v>44</v>
      </c>
      <c r="T379" t="s">
        <v>45</v>
      </c>
      <c r="U379" t="s">
        <v>139</v>
      </c>
      <c r="V379" t="s">
        <v>1244</v>
      </c>
      <c r="W379">
        <v>9700</v>
      </c>
      <c r="X379" t="s">
        <v>44</v>
      </c>
      <c r="Y379" t="s">
        <v>902</v>
      </c>
      <c r="Z379" t="s">
        <v>49</v>
      </c>
      <c r="AA379" s="10">
        <f>IF(O379&lt;=1,7,7+0.8*ROUNDUP(O379-1,0))</f>
        <v>7</v>
      </c>
      <c r="AB379" s="11">
        <v>0</v>
      </c>
      <c r="AC379" s="11">
        <v>0</v>
      </c>
      <c r="AD379" s="11">
        <v>0</v>
      </c>
      <c r="AE379" s="11">
        <v>0</v>
      </c>
      <c r="AF379" s="11">
        <f t="shared" si="10"/>
        <v>0.42</v>
      </c>
      <c r="AG379" s="11">
        <f t="shared" si="11"/>
        <v>7.42</v>
      </c>
      <c r="AH379" t="s">
        <v>50</v>
      </c>
    </row>
    <row r="380" spans="1:34" ht="15" customHeight="1" x14ac:dyDescent="0.35">
      <c r="A380">
        <v>7547676</v>
      </c>
      <c r="B380">
        <v>690929</v>
      </c>
      <c r="C380" t="s">
        <v>34</v>
      </c>
      <c r="D380" t="s">
        <v>35</v>
      </c>
      <c r="E380" s="6" t="s">
        <v>34</v>
      </c>
      <c r="F380" t="s">
        <v>1245</v>
      </c>
      <c r="G380" t="s">
        <v>37</v>
      </c>
      <c r="H380" t="s">
        <v>38</v>
      </c>
      <c r="I380" t="s">
        <v>1246</v>
      </c>
      <c r="J380" t="s">
        <v>40</v>
      </c>
      <c r="K380">
        <v>2</v>
      </c>
      <c r="L380" t="s">
        <v>41</v>
      </c>
      <c r="M380" t="s">
        <v>42</v>
      </c>
      <c r="N380" t="s">
        <v>43</v>
      </c>
      <c r="O380" s="7">
        <v>1</v>
      </c>
      <c r="P380" s="8">
        <v>45180.450856481482</v>
      </c>
      <c r="Q380" s="9">
        <v>45181</v>
      </c>
      <c r="R380" t="s">
        <v>37</v>
      </c>
      <c r="S380" t="s">
        <v>44</v>
      </c>
      <c r="T380" t="s">
        <v>45</v>
      </c>
      <c r="U380" t="s">
        <v>67</v>
      </c>
      <c r="V380" t="s">
        <v>1247</v>
      </c>
      <c r="W380">
        <v>42610</v>
      </c>
      <c r="X380" t="s">
        <v>44</v>
      </c>
      <c r="Y380" t="s">
        <v>398</v>
      </c>
      <c r="Z380" t="s">
        <v>49</v>
      </c>
      <c r="AA380" s="10">
        <f>IF(O380&lt;=1,7,7+0.8*ROUNDUP(O380-1,0))</f>
        <v>7</v>
      </c>
      <c r="AB380" s="11">
        <v>0</v>
      </c>
      <c r="AC380" s="11">
        <v>0</v>
      </c>
      <c r="AD380" s="11">
        <v>0</v>
      </c>
      <c r="AE380" s="11">
        <v>0</v>
      </c>
      <c r="AF380" s="11">
        <f t="shared" si="10"/>
        <v>0.42</v>
      </c>
      <c r="AG380" s="11">
        <f t="shared" si="11"/>
        <v>7.42</v>
      </c>
      <c r="AH380" t="s">
        <v>50</v>
      </c>
    </row>
    <row r="381" spans="1:34" ht="15" customHeight="1" x14ac:dyDescent="0.35">
      <c r="A381">
        <v>7547676</v>
      </c>
      <c r="B381">
        <v>690929</v>
      </c>
      <c r="C381" t="s">
        <v>34</v>
      </c>
      <c r="D381" t="s">
        <v>35</v>
      </c>
      <c r="E381" s="6" t="s">
        <v>34</v>
      </c>
      <c r="F381" t="s">
        <v>1248</v>
      </c>
      <c r="G381" t="s">
        <v>37</v>
      </c>
      <c r="H381" t="s">
        <v>38</v>
      </c>
      <c r="I381" t="s">
        <v>1249</v>
      </c>
      <c r="J381" t="s">
        <v>40</v>
      </c>
      <c r="K381">
        <v>2</v>
      </c>
      <c r="L381" t="s">
        <v>41</v>
      </c>
      <c r="M381" t="s">
        <v>42</v>
      </c>
      <c r="N381" t="s">
        <v>43</v>
      </c>
      <c r="O381" s="7">
        <v>1</v>
      </c>
      <c r="P381" s="8">
        <v>45180.587916666664</v>
      </c>
      <c r="Q381" s="9">
        <v>45181</v>
      </c>
      <c r="R381" t="s">
        <v>37</v>
      </c>
      <c r="S381" t="s">
        <v>44</v>
      </c>
      <c r="T381" t="s">
        <v>45</v>
      </c>
      <c r="U381" t="s">
        <v>67</v>
      </c>
      <c r="V381" t="s">
        <v>1250</v>
      </c>
      <c r="W381">
        <v>43500</v>
      </c>
      <c r="X381" t="s">
        <v>44</v>
      </c>
      <c r="Y381" t="s">
        <v>356</v>
      </c>
      <c r="Z381" t="s">
        <v>49</v>
      </c>
      <c r="AA381" s="10">
        <f>IF(O381&lt;=1,7,7+0.8*ROUNDUP(O381-1,0))</f>
        <v>7</v>
      </c>
      <c r="AB381" s="11">
        <v>0</v>
      </c>
      <c r="AC381" s="11">
        <v>0</v>
      </c>
      <c r="AD381" s="11">
        <v>0</v>
      </c>
      <c r="AE381" s="11">
        <v>0</v>
      </c>
      <c r="AF381" s="11">
        <f t="shared" si="10"/>
        <v>0.42</v>
      </c>
      <c r="AG381" s="11">
        <f t="shared" si="11"/>
        <v>7.42</v>
      </c>
      <c r="AH381" t="s">
        <v>50</v>
      </c>
    </row>
    <row r="382" spans="1:34" ht="15" customHeight="1" x14ac:dyDescent="0.35">
      <c r="A382">
        <v>7547676</v>
      </c>
      <c r="B382">
        <v>690929</v>
      </c>
      <c r="C382" t="s">
        <v>34</v>
      </c>
      <c r="D382" t="s">
        <v>35</v>
      </c>
      <c r="E382" s="6" t="s">
        <v>34</v>
      </c>
      <c r="F382" t="s">
        <v>1251</v>
      </c>
      <c r="G382" t="s">
        <v>37</v>
      </c>
      <c r="H382" t="s">
        <v>38</v>
      </c>
      <c r="I382" t="s">
        <v>1252</v>
      </c>
      <c r="J382" t="s">
        <v>40</v>
      </c>
      <c r="K382">
        <v>2</v>
      </c>
      <c r="L382" t="s">
        <v>41</v>
      </c>
      <c r="M382" t="s">
        <v>42</v>
      </c>
      <c r="N382" t="s">
        <v>43</v>
      </c>
      <c r="O382" s="7">
        <v>1</v>
      </c>
      <c r="P382" s="8">
        <v>45180.691435185188</v>
      </c>
      <c r="Q382" s="9">
        <v>45181</v>
      </c>
      <c r="R382" t="s">
        <v>37</v>
      </c>
      <c r="S382" t="s">
        <v>44</v>
      </c>
      <c r="T382" t="s">
        <v>45</v>
      </c>
      <c r="U382" t="s">
        <v>115</v>
      </c>
      <c r="V382" t="s">
        <v>1253</v>
      </c>
      <c r="W382">
        <v>17610</v>
      </c>
      <c r="X382" t="s">
        <v>44</v>
      </c>
      <c r="Y382" t="s">
        <v>45</v>
      </c>
      <c r="Z382" t="s">
        <v>49</v>
      </c>
      <c r="AA382" s="10">
        <f>IF(O382&lt;=1,7,7+0.8*ROUNDUP(O382-1,0))</f>
        <v>7</v>
      </c>
      <c r="AB382" s="11">
        <v>0</v>
      </c>
      <c r="AC382" s="11">
        <v>0</v>
      </c>
      <c r="AD382" s="11">
        <v>0</v>
      </c>
      <c r="AE382" s="11">
        <v>0</v>
      </c>
      <c r="AF382" s="11">
        <f t="shared" si="10"/>
        <v>0.42</v>
      </c>
      <c r="AG382" s="11">
        <f t="shared" si="11"/>
        <v>7.42</v>
      </c>
      <c r="AH382" t="s">
        <v>50</v>
      </c>
    </row>
    <row r="383" spans="1:34" ht="15" customHeight="1" x14ac:dyDescent="0.35">
      <c r="A383">
        <v>7547676</v>
      </c>
      <c r="B383">
        <v>690929</v>
      </c>
      <c r="C383" t="s">
        <v>34</v>
      </c>
      <c r="D383" t="s">
        <v>35</v>
      </c>
      <c r="E383" s="6" t="s">
        <v>34</v>
      </c>
      <c r="F383" t="s">
        <v>1254</v>
      </c>
      <c r="G383" t="s">
        <v>37</v>
      </c>
      <c r="H383" t="s">
        <v>38</v>
      </c>
      <c r="I383" t="s">
        <v>1255</v>
      </c>
      <c r="J383" t="s">
        <v>40</v>
      </c>
      <c r="K383">
        <v>2</v>
      </c>
      <c r="L383" t="s">
        <v>41</v>
      </c>
      <c r="M383" t="s">
        <v>42</v>
      </c>
      <c r="N383" t="s">
        <v>43</v>
      </c>
      <c r="O383" s="7">
        <v>1</v>
      </c>
      <c r="P383" s="8">
        <v>45180.560567129629</v>
      </c>
      <c r="Q383" s="9">
        <v>45181</v>
      </c>
      <c r="R383" t="s">
        <v>37</v>
      </c>
      <c r="S383" t="s">
        <v>44</v>
      </c>
      <c r="T383" t="s">
        <v>69</v>
      </c>
      <c r="U383" t="s">
        <v>67</v>
      </c>
      <c r="V383" t="s">
        <v>1256</v>
      </c>
      <c r="W383">
        <v>68000</v>
      </c>
      <c r="X383" t="s">
        <v>44</v>
      </c>
      <c r="Y383" t="s">
        <v>69</v>
      </c>
      <c r="Z383" t="s">
        <v>49</v>
      </c>
      <c r="AA383" s="10">
        <f>IF(O383&lt;=1,7,7+0.8*ROUNDUP(O383-1,0))</f>
        <v>7</v>
      </c>
      <c r="AB383" s="11">
        <v>0</v>
      </c>
      <c r="AC383" s="11">
        <v>0</v>
      </c>
      <c r="AD383" s="11">
        <v>0</v>
      </c>
      <c r="AE383" s="11">
        <v>0</v>
      </c>
      <c r="AF383" s="11">
        <f t="shared" si="10"/>
        <v>0.42</v>
      </c>
      <c r="AG383" s="11">
        <f t="shared" si="11"/>
        <v>7.42</v>
      </c>
      <c r="AH383" t="s">
        <v>50</v>
      </c>
    </row>
    <row r="384" spans="1:34" ht="15" customHeight="1" x14ac:dyDescent="0.35">
      <c r="A384">
        <v>7547676</v>
      </c>
      <c r="B384">
        <v>690929</v>
      </c>
      <c r="C384" t="s">
        <v>34</v>
      </c>
      <c r="D384" t="s">
        <v>35</v>
      </c>
      <c r="E384" s="6" t="s">
        <v>34</v>
      </c>
      <c r="F384" t="s">
        <v>1257</v>
      </c>
      <c r="G384" t="s">
        <v>37</v>
      </c>
      <c r="H384" t="s">
        <v>38</v>
      </c>
      <c r="I384" t="s">
        <v>1258</v>
      </c>
      <c r="J384" t="s">
        <v>40</v>
      </c>
      <c r="K384">
        <v>2</v>
      </c>
      <c r="L384" t="s">
        <v>41</v>
      </c>
      <c r="M384" t="s">
        <v>42</v>
      </c>
      <c r="N384" t="s">
        <v>43</v>
      </c>
      <c r="O384" s="7">
        <v>1</v>
      </c>
      <c r="P384" s="8">
        <v>45181.559837962966</v>
      </c>
      <c r="Q384" s="9">
        <v>45182</v>
      </c>
      <c r="R384" t="s">
        <v>37</v>
      </c>
      <c r="S384" t="s">
        <v>44</v>
      </c>
      <c r="T384" t="s">
        <v>45</v>
      </c>
      <c r="U384" t="s">
        <v>67</v>
      </c>
      <c r="V384" t="s">
        <v>1259</v>
      </c>
      <c r="W384">
        <v>43000</v>
      </c>
      <c r="X384" t="s">
        <v>44</v>
      </c>
      <c r="Y384" t="s">
        <v>1260</v>
      </c>
      <c r="Z384" t="s">
        <v>49</v>
      </c>
      <c r="AA384" s="10">
        <f>IF(O384&lt;=1,7,7+0.8*ROUNDUP(O384-1,0))</f>
        <v>7</v>
      </c>
      <c r="AB384" s="11">
        <v>0</v>
      </c>
      <c r="AC384" s="11">
        <v>0</v>
      </c>
      <c r="AD384" s="11">
        <v>0</v>
      </c>
      <c r="AE384" s="11">
        <v>0</v>
      </c>
      <c r="AF384" s="11">
        <f t="shared" si="10"/>
        <v>0.42</v>
      </c>
      <c r="AG384" s="11">
        <f t="shared" si="11"/>
        <v>7.42</v>
      </c>
      <c r="AH384" t="s">
        <v>50</v>
      </c>
    </row>
    <row r="385" spans="1:34" ht="15" customHeight="1" x14ac:dyDescent="0.35">
      <c r="A385">
        <v>7547676</v>
      </c>
      <c r="B385">
        <v>690929</v>
      </c>
      <c r="C385" t="s">
        <v>34</v>
      </c>
      <c r="D385" t="s">
        <v>35</v>
      </c>
      <c r="E385" s="6" t="s">
        <v>34</v>
      </c>
      <c r="F385" t="s">
        <v>1261</v>
      </c>
      <c r="G385" t="s">
        <v>37</v>
      </c>
      <c r="H385" t="s">
        <v>38</v>
      </c>
      <c r="I385" t="s">
        <v>1262</v>
      </c>
      <c r="J385" t="s">
        <v>40</v>
      </c>
      <c r="K385">
        <v>2</v>
      </c>
      <c r="L385" t="s">
        <v>41</v>
      </c>
      <c r="M385" t="s">
        <v>42</v>
      </c>
      <c r="N385" t="s">
        <v>43</v>
      </c>
      <c r="O385" s="7">
        <v>1</v>
      </c>
      <c r="P385" s="8">
        <v>45181.559837962966</v>
      </c>
      <c r="Q385" s="9">
        <v>45182</v>
      </c>
      <c r="R385" t="s">
        <v>37</v>
      </c>
      <c r="S385" t="s">
        <v>44</v>
      </c>
      <c r="T385" t="s">
        <v>45</v>
      </c>
      <c r="U385" t="s">
        <v>62</v>
      </c>
      <c r="V385" t="s">
        <v>1263</v>
      </c>
      <c r="W385">
        <v>54200</v>
      </c>
      <c r="X385" t="s">
        <v>44</v>
      </c>
      <c r="Y385" t="s">
        <v>69</v>
      </c>
      <c r="Z385" t="s">
        <v>49</v>
      </c>
      <c r="AA385" s="10">
        <f>IF(O385&lt;=1,7,7+0.8*ROUNDUP(O385-1,0))</f>
        <v>7</v>
      </c>
      <c r="AB385" s="11">
        <v>0</v>
      </c>
      <c r="AC385" s="11">
        <v>0</v>
      </c>
      <c r="AD385" s="11">
        <v>0</v>
      </c>
      <c r="AE385" s="11">
        <v>0</v>
      </c>
      <c r="AF385" s="11">
        <f t="shared" si="10"/>
        <v>0.42</v>
      </c>
      <c r="AG385" s="11">
        <f t="shared" si="11"/>
        <v>7.42</v>
      </c>
      <c r="AH385" t="s">
        <v>50</v>
      </c>
    </row>
    <row r="386" spans="1:34" ht="15" customHeight="1" x14ac:dyDescent="0.35">
      <c r="A386">
        <v>7547676</v>
      </c>
      <c r="B386">
        <v>690929</v>
      </c>
      <c r="C386" t="s">
        <v>34</v>
      </c>
      <c r="D386" t="s">
        <v>35</v>
      </c>
      <c r="E386" s="6" t="s">
        <v>34</v>
      </c>
      <c r="F386" t="s">
        <v>1264</v>
      </c>
      <c r="G386" t="s">
        <v>37</v>
      </c>
      <c r="H386" t="s">
        <v>38</v>
      </c>
      <c r="I386" t="s">
        <v>1265</v>
      </c>
      <c r="J386" t="s">
        <v>40</v>
      </c>
      <c r="K386">
        <v>2</v>
      </c>
      <c r="L386" t="s">
        <v>41</v>
      </c>
      <c r="M386" t="s">
        <v>42</v>
      </c>
      <c r="N386" t="s">
        <v>43</v>
      </c>
      <c r="O386" s="7">
        <v>1</v>
      </c>
      <c r="P386" s="8">
        <v>45180.529560185183</v>
      </c>
      <c r="Q386" s="9">
        <v>45182</v>
      </c>
      <c r="R386" t="s">
        <v>37</v>
      </c>
      <c r="S386" t="s">
        <v>44</v>
      </c>
      <c r="T386" t="s">
        <v>45</v>
      </c>
      <c r="U386" t="s">
        <v>110</v>
      </c>
      <c r="V386" t="s">
        <v>1266</v>
      </c>
      <c r="W386">
        <v>81200</v>
      </c>
      <c r="X386" t="s">
        <v>44</v>
      </c>
      <c r="Y386" t="s">
        <v>607</v>
      </c>
      <c r="Z386" t="s">
        <v>49</v>
      </c>
      <c r="AA386" s="10">
        <f>IF(O386&lt;=1,7,7+0.8*ROUNDUP(O386-1,0))</f>
        <v>7</v>
      </c>
      <c r="AB386" s="11">
        <v>0</v>
      </c>
      <c r="AC386" s="11">
        <v>0</v>
      </c>
      <c r="AD386" s="11">
        <v>0</v>
      </c>
      <c r="AE386" s="11">
        <v>0</v>
      </c>
      <c r="AF386" s="11">
        <f t="shared" ref="AF386:AF408" si="12">(AA386+AC386+AE386)*6%</f>
        <v>0.42</v>
      </c>
      <c r="AG386" s="11">
        <f t="shared" ref="AG386:AG408" si="13">AA386+AC386+AE386+AF386</f>
        <v>7.42</v>
      </c>
      <c r="AH386" t="s">
        <v>50</v>
      </c>
    </row>
    <row r="387" spans="1:34" ht="15" customHeight="1" x14ac:dyDescent="0.35">
      <c r="A387">
        <v>7547676</v>
      </c>
      <c r="B387">
        <v>690929</v>
      </c>
      <c r="C387" t="s">
        <v>34</v>
      </c>
      <c r="D387" t="s">
        <v>35</v>
      </c>
      <c r="E387" s="6" t="s">
        <v>34</v>
      </c>
      <c r="F387" t="s">
        <v>1267</v>
      </c>
      <c r="G387" t="s">
        <v>37</v>
      </c>
      <c r="H387" t="s">
        <v>38</v>
      </c>
      <c r="I387" t="s">
        <v>1268</v>
      </c>
      <c r="J387" t="s">
        <v>40</v>
      </c>
      <c r="K387">
        <v>2</v>
      </c>
      <c r="L387" t="s">
        <v>41</v>
      </c>
      <c r="M387" t="s">
        <v>42</v>
      </c>
      <c r="N387" t="s">
        <v>43</v>
      </c>
      <c r="O387" s="7">
        <v>1</v>
      </c>
      <c r="P387" s="8">
        <v>45181.582233796296</v>
      </c>
      <c r="Q387" s="9">
        <v>45182</v>
      </c>
      <c r="R387" t="s">
        <v>37</v>
      </c>
      <c r="S387" t="s">
        <v>44</v>
      </c>
      <c r="T387" t="s">
        <v>45</v>
      </c>
      <c r="U387" t="s">
        <v>46</v>
      </c>
      <c r="V387" t="s">
        <v>1269</v>
      </c>
      <c r="W387">
        <v>26070</v>
      </c>
      <c r="X387" t="s">
        <v>44</v>
      </c>
      <c r="Y387" t="s">
        <v>45</v>
      </c>
      <c r="Z387" t="s">
        <v>49</v>
      </c>
      <c r="AA387" s="10">
        <f>IF(O387&lt;=1,7,7+0.8*ROUNDUP(O387-1,0))</f>
        <v>7</v>
      </c>
      <c r="AB387" s="11">
        <v>0</v>
      </c>
      <c r="AC387" s="11">
        <v>0</v>
      </c>
      <c r="AD387" s="11">
        <v>0</v>
      </c>
      <c r="AE387" s="11">
        <v>0</v>
      </c>
      <c r="AF387" s="11">
        <f t="shared" si="12"/>
        <v>0.42</v>
      </c>
      <c r="AG387" s="11">
        <f t="shared" si="13"/>
        <v>7.42</v>
      </c>
      <c r="AH387" t="s">
        <v>50</v>
      </c>
    </row>
    <row r="388" spans="1:34" ht="15" customHeight="1" x14ac:dyDescent="0.35">
      <c r="A388">
        <v>7547676</v>
      </c>
      <c r="B388">
        <v>690929</v>
      </c>
      <c r="C388" t="s">
        <v>34</v>
      </c>
      <c r="D388" t="s">
        <v>35</v>
      </c>
      <c r="E388" s="6" t="s">
        <v>34</v>
      </c>
      <c r="F388" t="s">
        <v>1270</v>
      </c>
      <c r="G388" t="s">
        <v>37</v>
      </c>
      <c r="H388" t="s">
        <v>38</v>
      </c>
      <c r="I388" t="s">
        <v>1271</v>
      </c>
      <c r="J388" t="s">
        <v>40</v>
      </c>
      <c r="K388">
        <v>2</v>
      </c>
      <c r="L388" t="s">
        <v>41</v>
      </c>
      <c r="M388" t="s">
        <v>42</v>
      </c>
      <c r="N388" t="s">
        <v>43</v>
      </c>
      <c r="O388" s="7">
        <v>1</v>
      </c>
      <c r="P388" s="8">
        <v>45181.607349537036</v>
      </c>
      <c r="Q388" s="9">
        <v>45182</v>
      </c>
      <c r="R388" t="s">
        <v>37</v>
      </c>
      <c r="S388" t="s">
        <v>44</v>
      </c>
      <c r="T388" t="s">
        <v>45</v>
      </c>
      <c r="U388" t="s">
        <v>115</v>
      </c>
      <c r="V388" t="s">
        <v>1272</v>
      </c>
      <c r="W388">
        <v>18300</v>
      </c>
      <c r="X388" t="s">
        <v>44</v>
      </c>
      <c r="Y388" t="s">
        <v>981</v>
      </c>
      <c r="Z388" t="s">
        <v>49</v>
      </c>
      <c r="AA388" s="10">
        <f>IF(O388&lt;=1,7,7+0.8*ROUNDUP(O388-1,0))</f>
        <v>7</v>
      </c>
      <c r="AB388" s="11">
        <v>0</v>
      </c>
      <c r="AC388" s="11">
        <v>0</v>
      </c>
      <c r="AD388" s="11">
        <v>0</v>
      </c>
      <c r="AE388" s="11">
        <v>0</v>
      </c>
      <c r="AF388" s="11">
        <f t="shared" si="12"/>
        <v>0.42</v>
      </c>
      <c r="AG388" s="11">
        <f t="shared" si="13"/>
        <v>7.42</v>
      </c>
      <c r="AH388" t="s">
        <v>50</v>
      </c>
    </row>
    <row r="389" spans="1:34" ht="15" customHeight="1" x14ac:dyDescent="0.35">
      <c r="A389">
        <v>7547676</v>
      </c>
      <c r="B389">
        <v>690929</v>
      </c>
      <c r="C389" t="s">
        <v>34</v>
      </c>
      <c r="D389" t="s">
        <v>35</v>
      </c>
      <c r="E389" s="6" t="s">
        <v>34</v>
      </c>
      <c r="F389" t="s">
        <v>1273</v>
      </c>
      <c r="G389" t="s">
        <v>37</v>
      </c>
      <c r="H389" t="s">
        <v>38</v>
      </c>
      <c r="I389" t="s">
        <v>1274</v>
      </c>
      <c r="J389" t="s">
        <v>40</v>
      </c>
      <c r="K389">
        <v>2</v>
      </c>
      <c r="L389" t="s">
        <v>41</v>
      </c>
      <c r="M389" t="s">
        <v>42</v>
      </c>
      <c r="N389" t="s">
        <v>43</v>
      </c>
      <c r="O389" s="7">
        <v>1</v>
      </c>
      <c r="P389" s="8">
        <v>45180.735682870371</v>
      </c>
      <c r="Q389" s="9">
        <v>45182</v>
      </c>
      <c r="R389" t="s">
        <v>37</v>
      </c>
      <c r="S389" t="s">
        <v>44</v>
      </c>
      <c r="T389" t="s">
        <v>45</v>
      </c>
      <c r="U389" t="s">
        <v>62</v>
      </c>
      <c r="V389" t="s">
        <v>1275</v>
      </c>
      <c r="W389">
        <v>58200</v>
      </c>
      <c r="X389" t="s">
        <v>44</v>
      </c>
      <c r="Y389" t="s">
        <v>69</v>
      </c>
      <c r="Z389" t="s">
        <v>49</v>
      </c>
      <c r="AA389" s="10">
        <f>IF(O389&lt;=1,7,7+0.8*ROUNDUP(O389-1,0))</f>
        <v>7</v>
      </c>
      <c r="AB389" s="11">
        <v>0</v>
      </c>
      <c r="AC389" s="11">
        <v>0</v>
      </c>
      <c r="AD389" s="11">
        <v>0</v>
      </c>
      <c r="AE389" s="11">
        <v>0</v>
      </c>
      <c r="AF389" s="11">
        <f t="shared" si="12"/>
        <v>0.42</v>
      </c>
      <c r="AG389" s="11">
        <f t="shared" si="13"/>
        <v>7.42</v>
      </c>
      <c r="AH389" t="s">
        <v>50</v>
      </c>
    </row>
    <row r="390" spans="1:34" ht="15" customHeight="1" x14ac:dyDescent="0.35">
      <c r="A390">
        <v>7547676</v>
      </c>
      <c r="B390">
        <v>690929</v>
      </c>
      <c r="C390" t="s">
        <v>34</v>
      </c>
      <c r="D390" t="s">
        <v>35</v>
      </c>
      <c r="E390" s="6" t="s">
        <v>34</v>
      </c>
      <c r="F390" t="s">
        <v>1276</v>
      </c>
      <c r="G390" t="s">
        <v>37</v>
      </c>
      <c r="H390" t="s">
        <v>38</v>
      </c>
      <c r="I390" t="s">
        <v>1277</v>
      </c>
      <c r="J390" t="s">
        <v>40</v>
      </c>
      <c r="K390">
        <v>2</v>
      </c>
      <c r="L390" t="s">
        <v>41</v>
      </c>
      <c r="M390" t="s">
        <v>42</v>
      </c>
      <c r="N390" t="s">
        <v>43</v>
      </c>
      <c r="O390" s="7">
        <v>1</v>
      </c>
      <c r="P390" s="8">
        <v>45181.559837962966</v>
      </c>
      <c r="Q390" s="9">
        <v>45182</v>
      </c>
      <c r="R390" t="s">
        <v>37</v>
      </c>
      <c r="S390" t="s">
        <v>44</v>
      </c>
      <c r="T390" t="s">
        <v>45</v>
      </c>
      <c r="U390" t="s">
        <v>67</v>
      </c>
      <c r="V390" t="s">
        <v>1278</v>
      </c>
      <c r="W390">
        <v>68100</v>
      </c>
      <c r="X390" t="s">
        <v>44</v>
      </c>
      <c r="Y390" t="s">
        <v>182</v>
      </c>
      <c r="Z390" t="s">
        <v>49</v>
      </c>
      <c r="AA390" s="10">
        <f>IF(O390&lt;=1,7,7+0.8*ROUNDUP(O390-1,0))</f>
        <v>7</v>
      </c>
      <c r="AB390" s="11">
        <v>0</v>
      </c>
      <c r="AC390" s="11">
        <v>0</v>
      </c>
      <c r="AD390" s="11">
        <v>0</v>
      </c>
      <c r="AE390" s="11">
        <v>0</v>
      </c>
      <c r="AF390" s="11">
        <f t="shared" si="12"/>
        <v>0.42</v>
      </c>
      <c r="AG390" s="11">
        <f t="shared" si="13"/>
        <v>7.42</v>
      </c>
      <c r="AH390" t="s">
        <v>50</v>
      </c>
    </row>
    <row r="391" spans="1:34" ht="15" customHeight="1" x14ac:dyDescent="0.35">
      <c r="A391">
        <v>7547676</v>
      </c>
      <c r="B391">
        <v>690929</v>
      </c>
      <c r="C391" t="s">
        <v>34</v>
      </c>
      <c r="D391" t="s">
        <v>35</v>
      </c>
      <c r="E391" s="6" t="s">
        <v>34</v>
      </c>
      <c r="F391" t="s">
        <v>1279</v>
      </c>
      <c r="G391" t="s">
        <v>37</v>
      </c>
      <c r="H391" t="s">
        <v>38</v>
      </c>
      <c r="I391" t="s">
        <v>1280</v>
      </c>
      <c r="J391" t="s">
        <v>40</v>
      </c>
      <c r="K391">
        <v>2</v>
      </c>
      <c r="L391" t="s">
        <v>41</v>
      </c>
      <c r="M391" t="s">
        <v>42</v>
      </c>
      <c r="N391" t="s">
        <v>43</v>
      </c>
      <c r="O391" s="7">
        <v>2</v>
      </c>
      <c r="P391" s="8">
        <v>45179.430937500001</v>
      </c>
      <c r="Q391" s="9">
        <v>45182</v>
      </c>
      <c r="R391" t="s">
        <v>37</v>
      </c>
      <c r="S391" t="s">
        <v>44</v>
      </c>
      <c r="T391" t="s">
        <v>45</v>
      </c>
      <c r="U391" t="s">
        <v>133</v>
      </c>
      <c r="V391" t="s">
        <v>1281</v>
      </c>
      <c r="W391">
        <v>93050</v>
      </c>
      <c r="X391" t="s">
        <v>135</v>
      </c>
      <c r="Y391" t="s">
        <v>1282</v>
      </c>
      <c r="Z391" t="s">
        <v>49</v>
      </c>
      <c r="AA391" s="12">
        <f>IF(O391&lt;=1,13,IF(O391&lt;=2,23,IF(O391&lt;=3,35,IF(O391&lt;=4,43,IF(O391&lt;=5,53,IF(O391&lt;=6,63,IF(O391&lt;=7,71,IF(O391&lt;=8,79,IF(O391&lt;=9,87,IF(O391&lt;=10,95,IF(O391&lt;=11,105,IF(O391&lt;=12,114,IF(O391&lt;=13,119,IF(O391&lt;=14,127,IF(O391&lt;=15,135,IF(O391&lt;=16,143,IF(O391&lt;=17,153,IF(O391&lt;=18,163,IF(O391&lt;=19,171,IF(O391&lt;=20,185,IF(O391&lt;=21,193,IF(O391&lt;=22,201,IF(O391&lt;=23,210,IF(O391&lt;=24,220,IF(O391&lt;=25,230,IF(O391&lt;=26,240,IF(O391&lt;=27,250,IF(O391&lt;=28,260,IF(O391&lt;=29,270,IF(O391&lt;=30,280,280+10*ROUNDUP(O391-30,0)))))))))))))))))))))))))))))))</f>
        <v>23</v>
      </c>
      <c r="AB391" s="11">
        <v>0</v>
      </c>
      <c r="AC391" s="11">
        <v>0</v>
      </c>
      <c r="AD391" s="11">
        <v>0</v>
      </c>
      <c r="AE391" s="11">
        <v>0</v>
      </c>
      <c r="AF391" s="11">
        <f t="shared" si="12"/>
        <v>1.38</v>
      </c>
      <c r="AG391" s="11">
        <f t="shared" si="13"/>
        <v>24.38</v>
      </c>
      <c r="AH391" t="s">
        <v>136</v>
      </c>
    </row>
    <row r="392" spans="1:34" ht="15" customHeight="1" x14ac:dyDescent="0.35">
      <c r="A392">
        <v>7547676</v>
      </c>
      <c r="B392">
        <v>690929</v>
      </c>
      <c r="C392" t="s">
        <v>34</v>
      </c>
      <c r="D392" t="s">
        <v>35</v>
      </c>
      <c r="E392" s="6" t="s">
        <v>34</v>
      </c>
      <c r="F392" t="s">
        <v>1283</v>
      </c>
      <c r="G392" t="s">
        <v>37</v>
      </c>
      <c r="H392" t="s">
        <v>38</v>
      </c>
      <c r="I392" t="s">
        <v>1284</v>
      </c>
      <c r="J392" t="s">
        <v>40</v>
      </c>
      <c r="K392">
        <v>2</v>
      </c>
      <c r="L392" t="s">
        <v>41</v>
      </c>
      <c r="M392" t="s">
        <v>42</v>
      </c>
      <c r="N392" t="s">
        <v>43</v>
      </c>
      <c r="O392" s="7">
        <v>1</v>
      </c>
      <c r="P392" s="8">
        <v>45182.729050925926</v>
      </c>
      <c r="Q392" s="9">
        <v>45183</v>
      </c>
      <c r="R392" t="s">
        <v>37</v>
      </c>
      <c r="S392" t="s">
        <v>44</v>
      </c>
      <c r="T392" t="s">
        <v>45</v>
      </c>
      <c r="U392" t="s">
        <v>67</v>
      </c>
      <c r="V392" t="s">
        <v>1285</v>
      </c>
      <c r="W392">
        <v>62604</v>
      </c>
      <c r="X392" t="s">
        <v>44</v>
      </c>
      <c r="Y392" t="s">
        <v>1153</v>
      </c>
      <c r="Z392" t="s">
        <v>49</v>
      </c>
      <c r="AA392" s="10">
        <f>IF(O392&lt;=1,7,7+0.8*ROUNDUP(O392-1,0))</f>
        <v>7</v>
      </c>
      <c r="AB392" s="11">
        <v>0</v>
      </c>
      <c r="AC392" s="11">
        <v>0</v>
      </c>
      <c r="AD392" s="11">
        <v>0</v>
      </c>
      <c r="AE392" s="11">
        <v>0</v>
      </c>
      <c r="AF392" s="11">
        <f t="shared" si="12"/>
        <v>0.42</v>
      </c>
      <c r="AG392" s="11">
        <f t="shared" si="13"/>
        <v>7.42</v>
      </c>
      <c r="AH392" t="s">
        <v>50</v>
      </c>
    </row>
    <row r="393" spans="1:34" ht="15" customHeight="1" x14ac:dyDescent="0.35">
      <c r="A393">
        <v>7547676</v>
      </c>
      <c r="B393">
        <v>690929</v>
      </c>
      <c r="C393" t="s">
        <v>34</v>
      </c>
      <c r="D393" t="s">
        <v>35</v>
      </c>
      <c r="E393" s="6" t="s">
        <v>34</v>
      </c>
      <c r="F393" t="s">
        <v>1286</v>
      </c>
      <c r="G393" t="s">
        <v>37</v>
      </c>
      <c r="H393" t="s">
        <v>38</v>
      </c>
      <c r="I393" t="s">
        <v>1287</v>
      </c>
      <c r="J393" t="s">
        <v>40</v>
      </c>
      <c r="K393">
        <v>2</v>
      </c>
      <c r="L393" t="s">
        <v>41</v>
      </c>
      <c r="M393" t="s">
        <v>42</v>
      </c>
      <c r="N393" t="s">
        <v>43</v>
      </c>
      <c r="O393" s="7">
        <v>1</v>
      </c>
      <c r="P393" s="8">
        <v>45181.721886574072</v>
      </c>
      <c r="Q393" s="9">
        <v>45183</v>
      </c>
      <c r="R393" t="s">
        <v>37</v>
      </c>
      <c r="S393" t="s">
        <v>44</v>
      </c>
      <c r="T393" t="s">
        <v>45</v>
      </c>
      <c r="U393" t="s">
        <v>139</v>
      </c>
      <c r="V393" t="s">
        <v>1288</v>
      </c>
      <c r="W393">
        <v>9000</v>
      </c>
      <c r="X393" t="s">
        <v>44</v>
      </c>
      <c r="Y393" t="s">
        <v>69</v>
      </c>
      <c r="Z393" t="s">
        <v>49</v>
      </c>
      <c r="AA393" s="10">
        <f>IF(O393&lt;=1,7,7+0.8*ROUNDUP(O393-1,0))</f>
        <v>7</v>
      </c>
      <c r="AB393" s="11">
        <v>0</v>
      </c>
      <c r="AC393" s="11">
        <v>0</v>
      </c>
      <c r="AD393" s="11">
        <v>0</v>
      </c>
      <c r="AE393" s="11">
        <v>0</v>
      </c>
      <c r="AF393" s="11">
        <f t="shared" si="12"/>
        <v>0.42</v>
      </c>
      <c r="AG393" s="11">
        <f t="shared" si="13"/>
        <v>7.42</v>
      </c>
      <c r="AH393" t="s">
        <v>50</v>
      </c>
    </row>
    <row r="394" spans="1:34" ht="15" customHeight="1" x14ac:dyDescent="0.35">
      <c r="A394">
        <v>7547676</v>
      </c>
      <c r="B394">
        <v>690929</v>
      </c>
      <c r="C394" t="s">
        <v>34</v>
      </c>
      <c r="D394" t="s">
        <v>35</v>
      </c>
      <c r="E394" s="6" t="s">
        <v>34</v>
      </c>
      <c r="F394" t="s">
        <v>1289</v>
      </c>
      <c r="G394" t="s">
        <v>37</v>
      </c>
      <c r="H394" t="s">
        <v>38</v>
      </c>
      <c r="I394" t="s">
        <v>1290</v>
      </c>
      <c r="J394" t="s">
        <v>40</v>
      </c>
      <c r="K394">
        <v>2</v>
      </c>
      <c r="L394" t="s">
        <v>41</v>
      </c>
      <c r="M394" t="s">
        <v>42</v>
      </c>
      <c r="N394" t="s">
        <v>43</v>
      </c>
      <c r="O394" s="7">
        <v>1</v>
      </c>
      <c r="P394" s="8">
        <v>45181.559837962966</v>
      </c>
      <c r="Q394" s="9">
        <v>45183</v>
      </c>
      <c r="R394" t="s">
        <v>37</v>
      </c>
      <c r="S394" t="s">
        <v>44</v>
      </c>
      <c r="T394" t="s">
        <v>45</v>
      </c>
      <c r="U394" t="s">
        <v>101</v>
      </c>
      <c r="V394" t="s">
        <v>1291</v>
      </c>
      <c r="W394">
        <v>31600</v>
      </c>
      <c r="X394" t="s">
        <v>44</v>
      </c>
      <c r="Y394" t="s">
        <v>69</v>
      </c>
      <c r="Z394" t="s">
        <v>49</v>
      </c>
      <c r="AA394" s="10">
        <f>IF(O394&lt;=1,7,7+0.8*ROUNDUP(O394-1,0))</f>
        <v>7</v>
      </c>
      <c r="AB394" s="11">
        <v>0</v>
      </c>
      <c r="AC394" s="11">
        <v>0</v>
      </c>
      <c r="AD394" s="11">
        <v>0</v>
      </c>
      <c r="AE394" s="11">
        <v>0</v>
      </c>
      <c r="AF394" s="11">
        <f t="shared" si="12"/>
        <v>0.42</v>
      </c>
      <c r="AG394" s="11">
        <f t="shared" si="13"/>
        <v>7.42</v>
      </c>
      <c r="AH394" t="s">
        <v>50</v>
      </c>
    </row>
    <row r="395" spans="1:34" ht="15" customHeight="1" x14ac:dyDescent="0.35">
      <c r="A395">
        <v>7547676</v>
      </c>
      <c r="B395">
        <v>690929</v>
      </c>
      <c r="C395" t="s">
        <v>34</v>
      </c>
      <c r="D395" t="s">
        <v>35</v>
      </c>
      <c r="E395" s="6" t="s">
        <v>34</v>
      </c>
      <c r="F395" t="s">
        <v>1292</v>
      </c>
      <c r="G395" t="s">
        <v>37</v>
      </c>
      <c r="H395" t="s">
        <v>38</v>
      </c>
      <c r="I395" t="s">
        <v>1293</v>
      </c>
      <c r="J395" t="s">
        <v>40</v>
      </c>
      <c r="K395">
        <v>2</v>
      </c>
      <c r="L395" t="s">
        <v>41</v>
      </c>
      <c r="M395" t="s">
        <v>42</v>
      </c>
      <c r="N395" t="s">
        <v>43</v>
      </c>
      <c r="O395" s="7">
        <v>1</v>
      </c>
      <c r="P395" s="8">
        <v>45182.425219907411</v>
      </c>
      <c r="Q395" s="9">
        <v>45183</v>
      </c>
      <c r="R395" t="s">
        <v>37</v>
      </c>
      <c r="S395" t="s">
        <v>44</v>
      </c>
      <c r="T395" t="s">
        <v>45</v>
      </c>
      <c r="U395" t="s">
        <v>53</v>
      </c>
      <c r="V395" t="s">
        <v>1294</v>
      </c>
      <c r="W395">
        <v>70450</v>
      </c>
      <c r="X395" t="s">
        <v>44</v>
      </c>
      <c r="Y395" t="s">
        <v>422</v>
      </c>
      <c r="Z395" t="s">
        <v>49</v>
      </c>
      <c r="AA395" s="10">
        <f>IF(O395&lt;=1,7,7+0.8*ROUNDUP(O395-1,0))</f>
        <v>7</v>
      </c>
      <c r="AB395" s="11">
        <v>0</v>
      </c>
      <c r="AC395" s="11">
        <v>0</v>
      </c>
      <c r="AD395" s="11">
        <v>0</v>
      </c>
      <c r="AE395" s="11">
        <v>0</v>
      </c>
      <c r="AF395" s="11">
        <f t="shared" si="12"/>
        <v>0.42</v>
      </c>
      <c r="AG395" s="11">
        <f t="shared" si="13"/>
        <v>7.42</v>
      </c>
      <c r="AH395" t="s">
        <v>50</v>
      </c>
    </row>
    <row r="396" spans="1:34" ht="15" customHeight="1" x14ac:dyDescent="0.35">
      <c r="A396">
        <v>7547676</v>
      </c>
      <c r="B396">
        <v>690929</v>
      </c>
      <c r="C396" t="s">
        <v>34</v>
      </c>
      <c r="D396" t="s">
        <v>35</v>
      </c>
      <c r="E396" s="6" t="s">
        <v>34</v>
      </c>
      <c r="F396" t="s">
        <v>1295</v>
      </c>
      <c r="G396" t="s">
        <v>37</v>
      </c>
      <c r="H396" t="s">
        <v>38</v>
      </c>
      <c r="I396" t="s">
        <v>1296</v>
      </c>
      <c r="J396" t="s">
        <v>40</v>
      </c>
      <c r="K396">
        <v>2</v>
      </c>
      <c r="L396" t="s">
        <v>41</v>
      </c>
      <c r="M396" t="s">
        <v>42</v>
      </c>
      <c r="N396" t="s">
        <v>43</v>
      </c>
      <c r="O396" s="7">
        <v>3</v>
      </c>
      <c r="P396" s="8">
        <v>45181.762083333335</v>
      </c>
      <c r="Q396" s="9">
        <v>45183</v>
      </c>
      <c r="R396" t="s">
        <v>37</v>
      </c>
      <c r="S396" t="s">
        <v>44</v>
      </c>
      <c r="T396" t="s">
        <v>45</v>
      </c>
      <c r="U396" t="s">
        <v>110</v>
      </c>
      <c r="V396" t="s">
        <v>1297</v>
      </c>
      <c r="W396">
        <v>86600</v>
      </c>
      <c r="X396" t="s">
        <v>44</v>
      </c>
      <c r="Y396" t="s">
        <v>316</v>
      </c>
      <c r="Z396" t="s">
        <v>49</v>
      </c>
      <c r="AA396" s="10">
        <f>IF(O396&lt;=1,7,7+0.8*ROUNDUP(O396-1,0))</f>
        <v>8.6</v>
      </c>
      <c r="AB396" s="11">
        <v>0</v>
      </c>
      <c r="AC396" s="11">
        <v>0</v>
      </c>
      <c r="AD396" s="11">
        <v>0</v>
      </c>
      <c r="AE396" s="11">
        <v>0</v>
      </c>
      <c r="AF396" s="11">
        <f t="shared" si="12"/>
        <v>0.51600000000000001</v>
      </c>
      <c r="AG396" s="11">
        <f t="shared" si="13"/>
        <v>9.1159999999999997</v>
      </c>
      <c r="AH396" t="s">
        <v>50</v>
      </c>
    </row>
    <row r="397" spans="1:34" ht="15" customHeight="1" x14ac:dyDescent="0.35">
      <c r="A397">
        <v>7547676</v>
      </c>
      <c r="B397">
        <v>690929</v>
      </c>
      <c r="C397" t="s">
        <v>34</v>
      </c>
      <c r="D397" t="s">
        <v>35</v>
      </c>
      <c r="E397" s="6" t="s">
        <v>34</v>
      </c>
      <c r="F397" t="s">
        <v>1298</v>
      </c>
      <c r="G397" t="s">
        <v>37</v>
      </c>
      <c r="H397" t="s">
        <v>38</v>
      </c>
      <c r="I397" t="s">
        <v>1299</v>
      </c>
      <c r="J397" t="s">
        <v>40</v>
      </c>
      <c r="K397">
        <v>2</v>
      </c>
      <c r="L397" t="s">
        <v>41</v>
      </c>
      <c r="M397" t="s">
        <v>42</v>
      </c>
      <c r="N397" t="s">
        <v>43</v>
      </c>
      <c r="O397" s="7">
        <v>1</v>
      </c>
      <c r="P397" s="8">
        <v>45181.559837962966</v>
      </c>
      <c r="Q397" s="9">
        <v>45183</v>
      </c>
      <c r="R397" t="s">
        <v>37</v>
      </c>
      <c r="S397" t="s">
        <v>44</v>
      </c>
      <c r="T397" t="s">
        <v>45</v>
      </c>
      <c r="U397" t="s">
        <v>110</v>
      </c>
      <c r="V397" t="s">
        <v>1300</v>
      </c>
      <c r="W397">
        <v>83000</v>
      </c>
      <c r="X397" t="s">
        <v>44</v>
      </c>
      <c r="Y397" t="s">
        <v>69</v>
      </c>
      <c r="Z397" t="s">
        <v>49</v>
      </c>
      <c r="AA397" s="10">
        <f>IF(O397&lt;=1,7,7+0.8*ROUNDUP(O397-1,0))</f>
        <v>7</v>
      </c>
      <c r="AB397" s="11">
        <v>0</v>
      </c>
      <c r="AC397" s="11">
        <v>0</v>
      </c>
      <c r="AD397" s="11">
        <v>0</v>
      </c>
      <c r="AE397" s="11">
        <v>0</v>
      </c>
      <c r="AF397" s="11">
        <f t="shared" si="12"/>
        <v>0.42</v>
      </c>
      <c r="AG397" s="11">
        <f t="shared" si="13"/>
        <v>7.42</v>
      </c>
      <c r="AH397" t="s">
        <v>50</v>
      </c>
    </row>
    <row r="398" spans="1:34" ht="15" customHeight="1" x14ac:dyDescent="0.35">
      <c r="A398">
        <v>7547676</v>
      </c>
      <c r="B398">
        <v>690929</v>
      </c>
      <c r="C398" t="s">
        <v>34</v>
      </c>
      <c r="D398" t="s">
        <v>35</v>
      </c>
      <c r="E398" s="6" t="s">
        <v>34</v>
      </c>
      <c r="F398" t="s">
        <v>1301</v>
      </c>
      <c r="G398" t="s">
        <v>37</v>
      </c>
      <c r="H398" t="s">
        <v>38</v>
      </c>
      <c r="I398" t="s">
        <v>1302</v>
      </c>
      <c r="J398" t="s">
        <v>40</v>
      </c>
      <c r="K398">
        <v>2</v>
      </c>
      <c r="L398" t="s">
        <v>41</v>
      </c>
      <c r="M398" t="s">
        <v>42</v>
      </c>
      <c r="N398" t="s">
        <v>43</v>
      </c>
      <c r="O398" s="7">
        <v>1</v>
      </c>
      <c r="P398" s="8">
        <v>45182.766886574071</v>
      </c>
      <c r="Q398" s="9">
        <v>45183</v>
      </c>
      <c r="R398" t="s">
        <v>37</v>
      </c>
      <c r="S398" t="s">
        <v>44</v>
      </c>
      <c r="T398" t="s">
        <v>45</v>
      </c>
      <c r="U398" t="s">
        <v>284</v>
      </c>
      <c r="V398" t="s">
        <v>1303</v>
      </c>
      <c r="W398">
        <v>21200</v>
      </c>
      <c r="X398" t="s">
        <v>44</v>
      </c>
      <c r="Y398" t="s">
        <v>298</v>
      </c>
      <c r="Z398" t="s">
        <v>49</v>
      </c>
      <c r="AA398" s="10">
        <f>IF(O398&lt;=1,7,7+0.8*ROUNDUP(O398-1,0))</f>
        <v>7</v>
      </c>
      <c r="AB398" s="11">
        <v>0</v>
      </c>
      <c r="AC398" s="11">
        <v>0</v>
      </c>
      <c r="AD398" s="11">
        <v>0</v>
      </c>
      <c r="AE398" s="11">
        <v>0</v>
      </c>
      <c r="AF398" s="11">
        <f t="shared" si="12"/>
        <v>0.42</v>
      </c>
      <c r="AG398" s="11">
        <f t="shared" si="13"/>
        <v>7.42</v>
      </c>
      <c r="AH398" t="s">
        <v>50</v>
      </c>
    </row>
    <row r="399" spans="1:34" ht="15" customHeight="1" x14ac:dyDescent="0.35">
      <c r="A399">
        <v>7547676</v>
      </c>
      <c r="B399">
        <v>690929</v>
      </c>
      <c r="C399" t="s">
        <v>34</v>
      </c>
      <c r="D399" t="s">
        <v>35</v>
      </c>
      <c r="E399" s="6" t="s">
        <v>34</v>
      </c>
      <c r="F399" t="s">
        <v>1304</v>
      </c>
      <c r="G399" t="s">
        <v>37</v>
      </c>
      <c r="H399" t="s">
        <v>38</v>
      </c>
      <c r="I399" t="s">
        <v>1305</v>
      </c>
      <c r="J399" t="s">
        <v>40</v>
      </c>
      <c r="K399">
        <v>2</v>
      </c>
      <c r="L399" t="s">
        <v>41</v>
      </c>
      <c r="M399" t="s">
        <v>42</v>
      </c>
      <c r="N399" t="s">
        <v>43</v>
      </c>
      <c r="O399" s="7">
        <v>2</v>
      </c>
      <c r="P399" s="8">
        <v>45182.694814814815</v>
      </c>
      <c r="Q399" s="9">
        <v>45183</v>
      </c>
      <c r="R399" t="s">
        <v>37</v>
      </c>
      <c r="S399" t="s">
        <v>44</v>
      </c>
      <c r="T399" t="s">
        <v>45</v>
      </c>
      <c r="U399" t="s">
        <v>284</v>
      </c>
      <c r="V399" t="s">
        <v>1306</v>
      </c>
      <c r="W399">
        <v>22000</v>
      </c>
      <c r="X399" t="s">
        <v>44</v>
      </c>
      <c r="Y399" t="s">
        <v>114</v>
      </c>
      <c r="Z399" t="s">
        <v>49</v>
      </c>
      <c r="AA399" s="10">
        <f>IF(O399&lt;=1,7,7+0.8*ROUNDUP(O399-1,0))</f>
        <v>7.8</v>
      </c>
      <c r="AB399" s="11">
        <v>0</v>
      </c>
      <c r="AC399" s="11">
        <v>0</v>
      </c>
      <c r="AD399" s="11">
        <v>0</v>
      </c>
      <c r="AE399" s="11">
        <v>0</v>
      </c>
      <c r="AF399" s="11">
        <f t="shared" si="12"/>
        <v>0.46799999999999997</v>
      </c>
      <c r="AG399" s="11">
        <f t="shared" si="13"/>
        <v>8.2680000000000007</v>
      </c>
      <c r="AH399" t="s">
        <v>50</v>
      </c>
    </row>
    <row r="400" spans="1:34" ht="15" customHeight="1" x14ac:dyDescent="0.35">
      <c r="A400">
        <v>7547676</v>
      </c>
      <c r="B400">
        <v>690929</v>
      </c>
      <c r="C400" t="s">
        <v>34</v>
      </c>
      <c r="D400" t="s">
        <v>35</v>
      </c>
      <c r="E400" s="6" t="s">
        <v>34</v>
      </c>
      <c r="F400" t="s">
        <v>1307</v>
      </c>
      <c r="G400" t="s">
        <v>37</v>
      </c>
      <c r="H400" t="s">
        <v>38</v>
      </c>
      <c r="I400" t="s">
        <v>1308</v>
      </c>
      <c r="J400" t="s">
        <v>40</v>
      </c>
      <c r="K400">
        <v>2</v>
      </c>
      <c r="L400" t="s">
        <v>41</v>
      </c>
      <c r="M400" t="s">
        <v>42</v>
      </c>
      <c r="N400" t="s">
        <v>43</v>
      </c>
      <c r="O400" s="7">
        <v>2</v>
      </c>
      <c r="P400" s="8">
        <v>45182.694814814815</v>
      </c>
      <c r="Q400" s="9">
        <v>45183</v>
      </c>
      <c r="R400" t="s">
        <v>37</v>
      </c>
      <c r="S400" t="s">
        <v>44</v>
      </c>
      <c r="T400" t="s">
        <v>45</v>
      </c>
      <c r="U400" t="s">
        <v>284</v>
      </c>
      <c r="V400" t="s">
        <v>1309</v>
      </c>
      <c r="W400">
        <v>21400</v>
      </c>
      <c r="X400" t="s">
        <v>44</v>
      </c>
      <c r="Y400" t="s">
        <v>298</v>
      </c>
      <c r="Z400" t="s">
        <v>49</v>
      </c>
      <c r="AA400" s="10">
        <f>IF(O400&lt;=1,7,7+0.8*ROUNDUP(O400-1,0))</f>
        <v>7.8</v>
      </c>
      <c r="AB400" s="11">
        <v>0</v>
      </c>
      <c r="AC400" s="11">
        <v>0</v>
      </c>
      <c r="AD400" s="11">
        <v>0</v>
      </c>
      <c r="AE400" s="11">
        <v>0</v>
      </c>
      <c r="AF400" s="11">
        <f t="shared" si="12"/>
        <v>0.46799999999999997</v>
      </c>
      <c r="AG400" s="11">
        <f t="shared" si="13"/>
        <v>8.2680000000000007</v>
      </c>
      <c r="AH400" t="s">
        <v>50</v>
      </c>
    </row>
    <row r="401" spans="1:34" ht="15" customHeight="1" x14ac:dyDescent="0.35">
      <c r="A401">
        <v>7547676</v>
      </c>
      <c r="B401">
        <v>690929</v>
      </c>
      <c r="C401" t="s">
        <v>34</v>
      </c>
      <c r="D401" t="s">
        <v>35</v>
      </c>
      <c r="E401" s="6" t="s">
        <v>34</v>
      </c>
      <c r="F401" t="s">
        <v>1310</v>
      </c>
      <c r="G401" t="s">
        <v>37</v>
      </c>
      <c r="H401" t="s">
        <v>38</v>
      </c>
      <c r="I401" t="s">
        <v>1311</v>
      </c>
      <c r="J401" t="s">
        <v>40</v>
      </c>
      <c r="K401">
        <v>2</v>
      </c>
      <c r="L401" t="s">
        <v>41</v>
      </c>
      <c r="M401" t="s">
        <v>42</v>
      </c>
      <c r="N401" t="s">
        <v>43</v>
      </c>
      <c r="O401" s="7">
        <v>1</v>
      </c>
      <c r="P401" s="8">
        <v>45180.776342592595</v>
      </c>
      <c r="Q401" s="9">
        <v>45183</v>
      </c>
      <c r="R401" t="s">
        <v>37</v>
      </c>
      <c r="S401" t="s">
        <v>44</v>
      </c>
      <c r="T401" t="s">
        <v>45</v>
      </c>
      <c r="U401" t="s">
        <v>119</v>
      </c>
      <c r="V401" t="s">
        <v>1312</v>
      </c>
      <c r="W401">
        <v>75400</v>
      </c>
      <c r="X401" t="s">
        <v>44</v>
      </c>
      <c r="Y401" t="s">
        <v>69</v>
      </c>
      <c r="Z401" t="s">
        <v>49</v>
      </c>
      <c r="AA401" s="10">
        <f>IF(O401&lt;=1,7,7+0.8*ROUNDUP(O401-1,0))</f>
        <v>7</v>
      </c>
      <c r="AB401" s="11">
        <v>0</v>
      </c>
      <c r="AC401" s="11">
        <v>0</v>
      </c>
      <c r="AD401" s="11">
        <v>0</v>
      </c>
      <c r="AE401" s="11">
        <v>0</v>
      </c>
      <c r="AF401" s="11">
        <f t="shared" si="12"/>
        <v>0.42</v>
      </c>
      <c r="AG401" s="11">
        <f t="shared" si="13"/>
        <v>7.42</v>
      </c>
      <c r="AH401" t="s">
        <v>50</v>
      </c>
    </row>
    <row r="402" spans="1:34" ht="15" customHeight="1" x14ac:dyDescent="0.35">
      <c r="A402">
        <v>7547676</v>
      </c>
      <c r="B402">
        <v>690929</v>
      </c>
      <c r="C402" t="s">
        <v>34</v>
      </c>
      <c r="D402" t="s">
        <v>35</v>
      </c>
      <c r="E402" s="6" t="s">
        <v>34</v>
      </c>
      <c r="F402" t="s">
        <v>1313</v>
      </c>
      <c r="G402" t="s">
        <v>37</v>
      </c>
      <c r="H402" t="s">
        <v>38</v>
      </c>
      <c r="I402" t="s">
        <v>1314</v>
      </c>
      <c r="J402" t="s">
        <v>40</v>
      </c>
      <c r="K402">
        <v>2</v>
      </c>
      <c r="L402" t="s">
        <v>41</v>
      </c>
      <c r="M402" t="s">
        <v>42</v>
      </c>
      <c r="N402" t="s">
        <v>43</v>
      </c>
      <c r="O402" s="7">
        <v>1</v>
      </c>
      <c r="P402" s="8">
        <v>45182.425219907411</v>
      </c>
      <c r="Q402" s="9">
        <v>45183</v>
      </c>
      <c r="R402" t="s">
        <v>37</v>
      </c>
      <c r="S402" t="s">
        <v>44</v>
      </c>
      <c r="T402" t="s">
        <v>45</v>
      </c>
      <c r="U402" t="s">
        <v>115</v>
      </c>
      <c r="V402" t="s">
        <v>1315</v>
      </c>
      <c r="W402">
        <v>16070</v>
      </c>
      <c r="X402" t="s">
        <v>44</v>
      </c>
      <c r="Y402" t="s">
        <v>114</v>
      </c>
      <c r="Z402" t="s">
        <v>49</v>
      </c>
      <c r="AA402" s="10">
        <f>IF(O402&lt;=1,7,7+0.8*ROUNDUP(O402-1,0))</f>
        <v>7</v>
      </c>
      <c r="AB402" s="11">
        <v>0</v>
      </c>
      <c r="AC402" s="11">
        <v>0</v>
      </c>
      <c r="AD402" s="11">
        <v>0</v>
      </c>
      <c r="AE402" s="11">
        <v>0</v>
      </c>
      <c r="AF402" s="11">
        <f t="shared" si="12"/>
        <v>0.42</v>
      </c>
      <c r="AG402" s="11">
        <f t="shared" si="13"/>
        <v>7.42</v>
      </c>
      <c r="AH402" t="s">
        <v>50</v>
      </c>
    </row>
    <row r="403" spans="1:34" ht="15" customHeight="1" x14ac:dyDescent="0.35">
      <c r="A403">
        <v>7547676</v>
      </c>
      <c r="B403">
        <v>690929</v>
      </c>
      <c r="C403" t="s">
        <v>34</v>
      </c>
      <c r="D403" t="s">
        <v>35</v>
      </c>
      <c r="E403" s="6" t="s">
        <v>34</v>
      </c>
      <c r="F403" t="s">
        <v>1316</v>
      </c>
      <c r="G403" t="s">
        <v>37</v>
      </c>
      <c r="H403" t="s">
        <v>38</v>
      </c>
      <c r="I403" t="s">
        <v>1317</v>
      </c>
      <c r="J403" t="s">
        <v>40</v>
      </c>
      <c r="K403">
        <v>2</v>
      </c>
      <c r="L403" t="s">
        <v>41</v>
      </c>
      <c r="M403" t="s">
        <v>42</v>
      </c>
      <c r="N403" t="s">
        <v>43</v>
      </c>
      <c r="O403" s="7">
        <v>1</v>
      </c>
      <c r="P403" s="8">
        <v>45182.727222222224</v>
      </c>
      <c r="Q403" s="9">
        <v>45183</v>
      </c>
      <c r="R403" t="s">
        <v>37</v>
      </c>
      <c r="S403" t="s">
        <v>44</v>
      </c>
      <c r="T403" t="s">
        <v>45</v>
      </c>
      <c r="U403" t="s">
        <v>46</v>
      </c>
      <c r="V403" t="s">
        <v>1318</v>
      </c>
      <c r="W403">
        <v>28500</v>
      </c>
      <c r="X403" t="s">
        <v>44</v>
      </c>
      <c r="Y403" t="s">
        <v>59</v>
      </c>
      <c r="Z403" t="s">
        <v>49</v>
      </c>
      <c r="AA403" s="10">
        <f>IF(O403&lt;=1,7,7+0.8*ROUNDUP(O403-1,0))</f>
        <v>7</v>
      </c>
      <c r="AB403" s="11">
        <v>0</v>
      </c>
      <c r="AC403" s="11">
        <v>0</v>
      </c>
      <c r="AD403" s="11">
        <v>0</v>
      </c>
      <c r="AE403" s="11">
        <v>0</v>
      </c>
      <c r="AF403" s="11">
        <f t="shared" si="12"/>
        <v>0.42</v>
      </c>
      <c r="AG403" s="11">
        <f t="shared" si="13"/>
        <v>7.42</v>
      </c>
      <c r="AH403" t="s">
        <v>50</v>
      </c>
    </row>
    <row r="404" spans="1:34" ht="15" customHeight="1" x14ac:dyDescent="0.35">
      <c r="A404">
        <v>7547676</v>
      </c>
      <c r="B404">
        <v>690929</v>
      </c>
      <c r="C404" t="s">
        <v>34</v>
      </c>
      <c r="D404" t="s">
        <v>35</v>
      </c>
      <c r="E404" s="6" t="s">
        <v>34</v>
      </c>
      <c r="F404" t="s">
        <v>1319</v>
      </c>
      <c r="G404" t="s">
        <v>37</v>
      </c>
      <c r="H404" t="s">
        <v>38</v>
      </c>
      <c r="I404" t="s">
        <v>1320</v>
      </c>
      <c r="J404" t="s">
        <v>40</v>
      </c>
      <c r="K404">
        <v>2</v>
      </c>
      <c r="L404" t="s">
        <v>41</v>
      </c>
      <c r="M404" t="s">
        <v>42</v>
      </c>
      <c r="N404" t="s">
        <v>43</v>
      </c>
      <c r="O404" s="7">
        <v>7</v>
      </c>
      <c r="P404" s="8">
        <v>45183.761412037034</v>
      </c>
      <c r="Q404" s="9">
        <v>45184</v>
      </c>
      <c r="R404" t="s">
        <v>37</v>
      </c>
      <c r="S404" t="s">
        <v>44</v>
      </c>
      <c r="T404" t="s">
        <v>45</v>
      </c>
      <c r="U404" t="s">
        <v>67</v>
      </c>
      <c r="V404" t="s">
        <v>1321</v>
      </c>
      <c r="W404">
        <v>43800</v>
      </c>
      <c r="X404" t="s">
        <v>44</v>
      </c>
      <c r="Y404" t="s">
        <v>1260</v>
      </c>
      <c r="Z404" t="s">
        <v>49</v>
      </c>
      <c r="AA404" s="10">
        <f>IF(O404&lt;=1,7,7+0.8*ROUNDUP(O404-1,0))</f>
        <v>11.8</v>
      </c>
      <c r="AB404" s="11">
        <v>0</v>
      </c>
      <c r="AC404" s="11">
        <v>0</v>
      </c>
      <c r="AD404" s="11">
        <v>0</v>
      </c>
      <c r="AE404" s="11">
        <v>0</v>
      </c>
      <c r="AF404" s="11">
        <f t="shared" si="12"/>
        <v>0.70799999999999996</v>
      </c>
      <c r="AG404" s="11">
        <f t="shared" si="13"/>
        <v>12.508000000000001</v>
      </c>
      <c r="AH404" t="s">
        <v>50</v>
      </c>
    </row>
    <row r="405" spans="1:34" ht="15" customHeight="1" x14ac:dyDescent="0.35">
      <c r="A405">
        <v>7547676</v>
      </c>
      <c r="B405">
        <v>690929</v>
      </c>
      <c r="C405" t="s">
        <v>34</v>
      </c>
      <c r="D405" t="s">
        <v>35</v>
      </c>
      <c r="E405" s="6" t="s">
        <v>34</v>
      </c>
      <c r="F405" t="s">
        <v>1322</v>
      </c>
      <c r="G405" t="s">
        <v>37</v>
      </c>
      <c r="H405" t="s">
        <v>38</v>
      </c>
      <c r="I405" t="s">
        <v>1323</v>
      </c>
      <c r="J405" t="s">
        <v>40</v>
      </c>
      <c r="K405">
        <v>2</v>
      </c>
      <c r="L405" t="s">
        <v>41</v>
      </c>
      <c r="M405" t="s">
        <v>42</v>
      </c>
      <c r="N405" t="s">
        <v>43</v>
      </c>
      <c r="O405" s="7">
        <v>8</v>
      </c>
      <c r="P405" s="8">
        <v>45182.819837962961</v>
      </c>
      <c r="Q405" s="9">
        <v>45184</v>
      </c>
      <c r="R405" t="s">
        <v>37</v>
      </c>
      <c r="S405" t="s">
        <v>44</v>
      </c>
      <c r="T405" t="s">
        <v>45</v>
      </c>
      <c r="U405" t="s">
        <v>67</v>
      </c>
      <c r="V405" t="s">
        <v>1324</v>
      </c>
      <c r="W405">
        <v>40150</v>
      </c>
      <c r="X405" t="s">
        <v>44</v>
      </c>
      <c r="Y405" t="s">
        <v>524</v>
      </c>
      <c r="Z405" t="s">
        <v>49</v>
      </c>
      <c r="AA405" s="10">
        <f>IF(O405&lt;=1,7,7+0.8*ROUNDUP(O405-1,0))</f>
        <v>12.600000000000001</v>
      </c>
      <c r="AB405" s="11">
        <v>0</v>
      </c>
      <c r="AC405" s="11">
        <v>0</v>
      </c>
      <c r="AD405" s="11">
        <v>0</v>
      </c>
      <c r="AE405" s="11">
        <v>0</v>
      </c>
      <c r="AF405" s="11">
        <f t="shared" si="12"/>
        <v>0.75600000000000001</v>
      </c>
      <c r="AG405" s="11">
        <f t="shared" si="13"/>
        <v>13.356000000000002</v>
      </c>
      <c r="AH405" t="s">
        <v>50</v>
      </c>
    </row>
    <row r="406" spans="1:34" ht="15" customHeight="1" x14ac:dyDescent="0.35">
      <c r="A406">
        <v>7547676</v>
      </c>
      <c r="B406">
        <v>690929</v>
      </c>
      <c r="C406" t="s">
        <v>34</v>
      </c>
      <c r="D406" t="s">
        <v>35</v>
      </c>
      <c r="E406" s="6" t="s">
        <v>34</v>
      </c>
      <c r="F406" t="s">
        <v>1325</v>
      </c>
      <c r="G406" t="s">
        <v>37</v>
      </c>
      <c r="H406" t="s">
        <v>38</v>
      </c>
      <c r="I406" t="s">
        <v>1326</v>
      </c>
      <c r="J406" t="s">
        <v>40</v>
      </c>
      <c r="K406">
        <v>2</v>
      </c>
      <c r="L406" t="s">
        <v>41</v>
      </c>
      <c r="M406" t="s">
        <v>42</v>
      </c>
      <c r="N406" t="s">
        <v>43</v>
      </c>
      <c r="O406" s="7">
        <v>1</v>
      </c>
      <c r="P406" s="8">
        <v>45183.75545138889</v>
      </c>
      <c r="Q406" s="9">
        <v>45184</v>
      </c>
      <c r="R406" t="s">
        <v>37</v>
      </c>
      <c r="S406" t="s">
        <v>44</v>
      </c>
      <c r="T406" t="s">
        <v>45</v>
      </c>
      <c r="U406" t="s">
        <v>67</v>
      </c>
      <c r="V406" t="s">
        <v>1327</v>
      </c>
      <c r="W406">
        <v>47150</v>
      </c>
      <c r="X406" t="s">
        <v>44</v>
      </c>
      <c r="Y406" t="s">
        <v>218</v>
      </c>
      <c r="Z406" t="s">
        <v>49</v>
      </c>
      <c r="AA406" s="10">
        <f>IF(O406&lt;=1,7,7+0.8*ROUNDUP(O406-1,0))</f>
        <v>7</v>
      </c>
      <c r="AB406" s="11">
        <v>0</v>
      </c>
      <c r="AC406" s="11">
        <v>0</v>
      </c>
      <c r="AD406" s="11">
        <v>0</v>
      </c>
      <c r="AE406" s="11">
        <v>0</v>
      </c>
      <c r="AF406" s="11">
        <f t="shared" si="12"/>
        <v>0.42</v>
      </c>
      <c r="AG406" s="11">
        <f t="shared" si="13"/>
        <v>7.42</v>
      </c>
      <c r="AH406" t="s">
        <v>50</v>
      </c>
    </row>
    <row r="407" spans="1:34" ht="15" customHeight="1" x14ac:dyDescent="0.35">
      <c r="A407">
        <v>7547676</v>
      </c>
      <c r="B407">
        <v>690929</v>
      </c>
      <c r="C407" t="s">
        <v>34</v>
      </c>
      <c r="D407" t="s">
        <v>35</v>
      </c>
      <c r="E407" s="6" t="s">
        <v>34</v>
      </c>
      <c r="F407" t="s">
        <v>1328</v>
      </c>
      <c r="G407" t="s">
        <v>37</v>
      </c>
      <c r="H407" t="s">
        <v>38</v>
      </c>
      <c r="I407" t="s">
        <v>1329</v>
      </c>
      <c r="J407" t="s">
        <v>40</v>
      </c>
      <c r="K407">
        <v>2</v>
      </c>
      <c r="L407" t="s">
        <v>41</v>
      </c>
      <c r="M407" t="s">
        <v>42</v>
      </c>
      <c r="N407" t="s">
        <v>43</v>
      </c>
      <c r="O407" s="7">
        <v>1</v>
      </c>
      <c r="P407" s="8">
        <v>45183.730624999997</v>
      </c>
      <c r="Q407" s="9">
        <v>45184</v>
      </c>
      <c r="R407" t="s">
        <v>37</v>
      </c>
      <c r="S407" t="s">
        <v>44</v>
      </c>
      <c r="T407" t="s">
        <v>45</v>
      </c>
      <c r="U407" t="s">
        <v>46</v>
      </c>
      <c r="V407" t="s">
        <v>1330</v>
      </c>
      <c r="W407">
        <v>28000</v>
      </c>
      <c r="X407" t="s">
        <v>44</v>
      </c>
      <c r="Y407" t="s">
        <v>59</v>
      </c>
      <c r="Z407" t="s">
        <v>49</v>
      </c>
      <c r="AA407" s="10">
        <f>IF(O407&lt;=1,7,7+0.8*ROUNDUP(O407-1,0))</f>
        <v>7</v>
      </c>
      <c r="AB407" s="11">
        <v>0</v>
      </c>
      <c r="AC407" s="11">
        <v>0</v>
      </c>
      <c r="AD407" s="11">
        <v>0</v>
      </c>
      <c r="AE407" s="11">
        <v>0</v>
      </c>
      <c r="AF407" s="11">
        <f t="shared" si="12"/>
        <v>0.42</v>
      </c>
      <c r="AG407" s="11">
        <f t="shared" si="13"/>
        <v>7.42</v>
      </c>
      <c r="AH407" t="s">
        <v>50</v>
      </c>
    </row>
    <row r="408" spans="1:34" ht="15" customHeight="1" x14ac:dyDescent="0.35">
      <c r="A408">
        <v>7547676</v>
      </c>
      <c r="B408">
        <v>690929</v>
      </c>
      <c r="C408" t="s">
        <v>34</v>
      </c>
      <c r="D408" t="s">
        <v>35</v>
      </c>
      <c r="E408" s="6" t="s">
        <v>34</v>
      </c>
      <c r="F408" t="s">
        <v>1331</v>
      </c>
      <c r="G408" t="s">
        <v>37</v>
      </c>
      <c r="H408" t="s">
        <v>38</v>
      </c>
      <c r="I408" t="s">
        <v>1332</v>
      </c>
      <c r="J408" t="s">
        <v>40</v>
      </c>
      <c r="K408">
        <v>2</v>
      </c>
      <c r="L408" t="s">
        <v>41</v>
      </c>
      <c r="M408" t="s">
        <v>42</v>
      </c>
      <c r="N408" t="s">
        <v>43</v>
      </c>
      <c r="O408" s="7">
        <v>2</v>
      </c>
      <c r="P408" s="8">
        <v>45182.694814814815</v>
      </c>
      <c r="Q408" s="9">
        <v>45184</v>
      </c>
      <c r="R408" t="s">
        <v>37</v>
      </c>
      <c r="S408" t="s">
        <v>44</v>
      </c>
      <c r="T408" t="s">
        <v>45</v>
      </c>
      <c r="U408" t="s">
        <v>101</v>
      </c>
      <c r="V408" t="s">
        <v>1333</v>
      </c>
      <c r="W408">
        <v>30020</v>
      </c>
      <c r="X408" t="s">
        <v>44</v>
      </c>
      <c r="Y408" t="s">
        <v>204</v>
      </c>
      <c r="Z408" t="s">
        <v>49</v>
      </c>
      <c r="AA408" s="10">
        <f>IF(O408&lt;=1,7,7+0.8*ROUNDUP(O408-1,0))</f>
        <v>7.8</v>
      </c>
      <c r="AB408" s="11">
        <v>0</v>
      </c>
      <c r="AC408" s="11">
        <v>0</v>
      </c>
      <c r="AD408" s="11">
        <v>0</v>
      </c>
      <c r="AE408" s="11">
        <v>0</v>
      </c>
      <c r="AF408" s="11">
        <f t="shared" si="12"/>
        <v>0.46799999999999997</v>
      </c>
      <c r="AG408" s="11">
        <f t="shared" si="13"/>
        <v>8.2680000000000007</v>
      </c>
      <c r="AH408" t="s">
        <v>50</v>
      </c>
    </row>
    <row r="410" spans="1:34" x14ac:dyDescent="0.35">
      <c r="AA410" s="13">
        <f>SUM(AA2:AA408)</f>
        <v>3579.8000000000011</v>
      </c>
      <c r="AB410" s="13">
        <f>SUM(AB2:AB408)</f>
        <v>0</v>
      </c>
      <c r="AC410" s="13">
        <f>SUM(AC2:AC408)</f>
        <v>0</v>
      </c>
      <c r="AD410" s="13">
        <f>SUM(AD2:AD408)</f>
        <v>4000</v>
      </c>
      <c r="AE410" s="13">
        <f>SUM(AE2:AE408)</f>
        <v>60</v>
      </c>
      <c r="AF410" s="13">
        <f>SUM(AF2:AF408)</f>
        <v>218.38799999999839</v>
      </c>
      <c r="AG410" s="13">
        <f>SUM(AG2:AG408)</f>
        <v>3858.1880000000128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Bukhari</dc:creator>
  <cp:lastModifiedBy>Ahmad Bukhari</cp:lastModifiedBy>
  <dcterms:created xsi:type="dcterms:W3CDTF">2023-10-03T09:47:45Z</dcterms:created>
  <dcterms:modified xsi:type="dcterms:W3CDTF">2023-10-03T09:47:45Z</dcterms:modified>
</cp:coreProperties>
</file>