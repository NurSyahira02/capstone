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javan\Downloads\Ahmad Work\ASN Walk-in + 4PL Sep'24\"/>
    </mc:Choice>
  </mc:AlternateContent>
  <xr:revisionPtr revIDLastSave="0" documentId="8_{158A2361-3CE9-429F-AF15-C775FE89C40E}" xr6:coauthVersionLast="47" xr6:coauthVersionMax="47" xr10:uidLastSave="{00000000-0000-0000-0000-000000000000}"/>
  <bookViews>
    <workbookView xWindow="-110" yWindow="-110" windowWidth="38620" windowHeight="21220" xr2:uid="{C7143E0C-70B4-45DC-A5B5-31197AEA6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04" i="1" l="1"/>
  <c r="AH604" i="1"/>
  <c r="AG604" i="1"/>
  <c r="AF604" i="1"/>
  <c r="AE604" i="1"/>
  <c r="AD604" i="1"/>
  <c r="AC604" i="1"/>
  <c r="AB604" i="1"/>
  <c r="AA604" i="1"/>
  <c r="Z604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AF587" i="1"/>
  <c r="Z587" i="1"/>
  <c r="Z586" i="1"/>
  <c r="Z585" i="1"/>
  <c r="Z584" i="1"/>
  <c r="Z583" i="1"/>
  <c r="Z582" i="1"/>
  <c r="Z581" i="1"/>
  <c r="AF580" i="1"/>
  <c r="Z580" i="1"/>
  <c r="AF579" i="1"/>
  <c r="Z579" i="1"/>
  <c r="Z578" i="1"/>
  <c r="Z577" i="1"/>
  <c r="AF576" i="1"/>
  <c r="Z576" i="1"/>
  <c r="AF575" i="1"/>
  <c r="Z575" i="1"/>
  <c r="Z574" i="1"/>
  <c r="Z573" i="1"/>
  <c r="AF572" i="1"/>
  <c r="Z572" i="1"/>
  <c r="Z571" i="1"/>
  <c r="Z570" i="1"/>
  <c r="Z569" i="1"/>
  <c r="AF568" i="1"/>
  <c r="Z568" i="1"/>
  <c r="Z567" i="1"/>
  <c r="Z566" i="1"/>
  <c r="Z565" i="1"/>
  <c r="Z564" i="1"/>
  <c r="AF563" i="1"/>
  <c r="Z563" i="1"/>
  <c r="Z562" i="1"/>
  <c r="Z561" i="1"/>
  <c r="AF560" i="1"/>
  <c r="Z560" i="1"/>
  <c r="Z559" i="1"/>
  <c r="Z558" i="1"/>
  <c r="Z557" i="1"/>
  <c r="AF556" i="1"/>
  <c r="Z556" i="1"/>
  <c r="AF555" i="1"/>
  <c r="Z555" i="1"/>
  <c r="AG555" i="1" s="1"/>
  <c r="AI555" i="1" s="1"/>
  <c r="Z554" i="1"/>
  <c r="Z553" i="1"/>
  <c r="Z552" i="1"/>
  <c r="Z551" i="1"/>
  <c r="Z550" i="1"/>
  <c r="Z549" i="1"/>
  <c r="AF548" i="1"/>
  <c r="Z548" i="1"/>
  <c r="AF547" i="1"/>
  <c r="Z547" i="1"/>
  <c r="AG547" i="1" s="1"/>
  <c r="AI547" i="1" s="1"/>
  <c r="Z546" i="1"/>
  <c r="Z545" i="1"/>
  <c r="Z544" i="1"/>
  <c r="Z543" i="1"/>
  <c r="AF543" i="1" s="1"/>
  <c r="AG543" i="1" s="1"/>
  <c r="AI543" i="1" s="1"/>
  <c r="Z542" i="1"/>
  <c r="Z541" i="1"/>
  <c r="AF540" i="1"/>
  <c r="Z540" i="1"/>
  <c r="AG539" i="1"/>
  <c r="AI539" i="1" s="1"/>
  <c r="AF539" i="1"/>
  <c r="Z539" i="1"/>
  <c r="Z538" i="1"/>
  <c r="Z537" i="1"/>
  <c r="Z536" i="1"/>
  <c r="AI535" i="1"/>
  <c r="AG535" i="1"/>
  <c r="AF535" i="1"/>
  <c r="Z535" i="1"/>
  <c r="Z534" i="1"/>
  <c r="Z533" i="1"/>
  <c r="AF532" i="1"/>
  <c r="Z532" i="1"/>
  <c r="AF531" i="1"/>
  <c r="AG531" i="1" s="1"/>
  <c r="AI531" i="1" s="1"/>
  <c r="Z531" i="1"/>
  <c r="Z530" i="1"/>
  <c r="Z529" i="1"/>
  <c r="AF528" i="1"/>
  <c r="Z528" i="1"/>
  <c r="Z527" i="1"/>
  <c r="Z526" i="1"/>
  <c r="Z525" i="1"/>
  <c r="AF524" i="1"/>
  <c r="Z524" i="1"/>
  <c r="AF523" i="1"/>
  <c r="Z523" i="1"/>
  <c r="AG523" i="1" s="1"/>
  <c r="AI523" i="1" s="1"/>
  <c r="Z522" i="1"/>
  <c r="Z521" i="1"/>
  <c r="Z520" i="1"/>
  <c r="Z519" i="1"/>
  <c r="Z518" i="1"/>
  <c r="Z517" i="1"/>
  <c r="AF516" i="1"/>
  <c r="Z516" i="1"/>
  <c r="AF515" i="1"/>
  <c r="Z515" i="1"/>
  <c r="AG515" i="1" s="1"/>
  <c r="AI515" i="1" s="1"/>
  <c r="Z514" i="1"/>
  <c r="Z513" i="1"/>
  <c r="Z512" i="1"/>
  <c r="Z511" i="1"/>
  <c r="AF511" i="1" s="1"/>
  <c r="AG511" i="1" s="1"/>
  <c r="AI511" i="1" s="1"/>
  <c r="Z510" i="1"/>
  <c r="Z509" i="1"/>
  <c r="AF508" i="1"/>
  <c r="Z508" i="1"/>
  <c r="AG507" i="1"/>
  <c r="AI507" i="1" s="1"/>
  <c r="AF507" i="1"/>
  <c r="Z507" i="1"/>
  <c r="Z506" i="1"/>
  <c r="Z505" i="1"/>
  <c r="Z504" i="1"/>
  <c r="AI503" i="1"/>
  <c r="AG503" i="1"/>
  <c r="AF503" i="1"/>
  <c r="Z503" i="1"/>
  <c r="Z502" i="1"/>
  <c r="Z501" i="1"/>
  <c r="AF500" i="1"/>
  <c r="Z500" i="1"/>
  <c r="AF499" i="1"/>
  <c r="AG499" i="1" s="1"/>
  <c r="AI499" i="1" s="1"/>
  <c r="Z499" i="1"/>
  <c r="Z498" i="1"/>
  <c r="Z497" i="1"/>
  <c r="AF496" i="1"/>
  <c r="Z496" i="1"/>
  <c r="Z495" i="1"/>
  <c r="Z494" i="1"/>
  <c r="Z493" i="1"/>
  <c r="AF492" i="1"/>
  <c r="Z492" i="1"/>
  <c r="AF491" i="1"/>
  <c r="Z491" i="1"/>
  <c r="AG491" i="1" s="1"/>
  <c r="AI491" i="1" s="1"/>
  <c r="Z490" i="1"/>
  <c r="Z489" i="1"/>
  <c r="Z488" i="1"/>
  <c r="Z487" i="1"/>
  <c r="Z486" i="1"/>
  <c r="Z485" i="1"/>
  <c r="AF484" i="1"/>
  <c r="Z484" i="1"/>
  <c r="AF483" i="1"/>
  <c r="AG483" i="1" s="1"/>
  <c r="AI483" i="1" s="1"/>
  <c r="Z483" i="1"/>
  <c r="Z482" i="1"/>
  <c r="Z481" i="1"/>
  <c r="Z480" i="1"/>
  <c r="Z479" i="1"/>
  <c r="AF479" i="1" s="1"/>
  <c r="AG479" i="1" s="1"/>
  <c r="AI479" i="1" s="1"/>
  <c r="Z478" i="1"/>
  <c r="Z477" i="1"/>
  <c r="AF476" i="1"/>
  <c r="Z476" i="1"/>
  <c r="AG475" i="1"/>
  <c r="AI475" i="1" s="1"/>
  <c r="AF475" i="1"/>
  <c r="Z475" i="1"/>
  <c r="Z474" i="1"/>
  <c r="Z473" i="1"/>
  <c r="Z472" i="1"/>
  <c r="AG471" i="1"/>
  <c r="AI471" i="1" s="1"/>
  <c r="AF471" i="1"/>
  <c r="Z471" i="1"/>
  <c r="Z470" i="1"/>
  <c r="Z469" i="1"/>
  <c r="AF468" i="1"/>
  <c r="Z468" i="1"/>
  <c r="AF467" i="1"/>
  <c r="AG467" i="1" s="1"/>
  <c r="AI467" i="1" s="1"/>
  <c r="Z467" i="1"/>
  <c r="Z466" i="1"/>
  <c r="Z465" i="1"/>
  <c r="AF464" i="1"/>
  <c r="Z464" i="1"/>
  <c r="Z463" i="1"/>
  <c r="Z462" i="1"/>
  <c r="Z461" i="1"/>
  <c r="AF460" i="1"/>
  <c r="Z460" i="1"/>
  <c r="Z459" i="1"/>
  <c r="Z458" i="1"/>
  <c r="Z457" i="1"/>
  <c r="Z456" i="1"/>
  <c r="Z455" i="1"/>
  <c r="Z454" i="1"/>
  <c r="Z453" i="1"/>
  <c r="Z452" i="1"/>
  <c r="AF451" i="1"/>
  <c r="AG451" i="1" s="1"/>
  <c r="AI451" i="1" s="1"/>
  <c r="Z451" i="1"/>
  <c r="Z450" i="1"/>
  <c r="Z449" i="1"/>
  <c r="Z448" i="1"/>
  <c r="Z447" i="1"/>
  <c r="AF447" i="1" s="1"/>
  <c r="AG447" i="1" s="1"/>
  <c r="AI447" i="1" s="1"/>
  <c r="Z446" i="1"/>
  <c r="Z445" i="1"/>
  <c r="AF444" i="1"/>
  <c r="Z444" i="1"/>
  <c r="AG443" i="1"/>
  <c r="AI443" i="1" s="1"/>
  <c r="AF443" i="1"/>
  <c r="Z443" i="1"/>
  <c r="Z442" i="1"/>
  <c r="Z441" i="1"/>
  <c r="Z440" i="1"/>
  <c r="AG439" i="1"/>
  <c r="AI439" i="1" s="1"/>
  <c r="AF439" i="1"/>
  <c r="Z439" i="1"/>
  <c r="Z438" i="1"/>
  <c r="Z437" i="1"/>
  <c r="AF436" i="1"/>
  <c r="Z436" i="1"/>
  <c r="AG435" i="1"/>
  <c r="AI435" i="1" s="1"/>
  <c r="AF435" i="1"/>
  <c r="Z435" i="1"/>
  <c r="Z434" i="1"/>
  <c r="Z433" i="1"/>
  <c r="AF432" i="1"/>
  <c r="Z432" i="1"/>
  <c r="Z431" i="1"/>
  <c r="Z430" i="1"/>
  <c r="Z429" i="1"/>
  <c r="AF428" i="1"/>
  <c r="Z428" i="1"/>
  <c r="Z427" i="1"/>
  <c r="Z426" i="1"/>
  <c r="Z425" i="1"/>
  <c r="Z424" i="1"/>
  <c r="Z423" i="1"/>
  <c r="Z422" i="1"/>
  <c r="Z421" i="1"/>
  <c r="Z420" i="1"/>
  <c r="AF419" i="1"/>
  <c r="AG419" i="1" s="1"/>
  <c r="AI419" i="1" s="1"/>
  <c r="Z419" i="1"/>
  <c r="Z418" i="1"/>
  <c r="Z417" i="1"/>
  <c r="Z416" i="1"/>
  <c r="Z415" i="1"/>
  <c r="AF415" i="1" s="1"/>
  <c r="AG415" i="1" s="1"/>
  <c r="AI415" i="1" s="1"/>
  <c r="Z414" i="1"/>
  <c r="Z413" i="1"/>
  <c r="AF412" i="1"/>
  <c r="Z412" i="1"/>
  <c r="AF411" i="1"/>
  <c r="AG411" i="1" s="1"/>
  <c r="AI411" i="1" s="1"/>
  <c r="Z411" i="1"/>
  <c r="Z410" i="1"/>
  <c r="Z409" i="1"/>
  <c r="Z408" i="1"/>
  <c r="AG407" i="1"/>
  <c r="AI407" i="1" s="1"/>
  <c r="AF407" i="1"/>
  <c r="Z407" i="1"/>
  <c r="Z406" i="1"/>
  <c r="Z405" i="1"/>
  <c r="AF404" i="1"/>
  <c r="Z404" i="1"/>
  <c r="AG403" i="1"/>
  <c r="AI403" i="1" s="1"/>
  <c r="AF403" i="1"/>
  <c r="Z403" i="1"/>
  <c r="Z402" i="1"/>
  <c r="Z401" i="1"/>
  <c r="AF400" i="1"/>
  <c r="Z400" i="1"/>
  <c r="Z399" i="1"/>
  <c r="Z398" i="1"/>
  <c r="Z397" i="1"/>
  <c r="AF396" i="1"/>
  <c r="Z396" i="1"/>
  <c r="Z395" i="1"/>
  <c r="Z394" i="1"/>
  <c r="Z393" i="1"/>
  <c r="Z392" i="1"/>
  <c r="Z391" i="1"/>
  <c r="Z390" i="1"/>
  <c r="Z389" i="1"/>
  <c r="Z388" i="1"/>
  <c r="AF387" i="1"/>
  <c r="AG387" i="1" s="1"/>
  <c r="AI387" i="1" s="1"/>
  <c r="Z387" i="1"/>
  <c r="Z386" i="1"/>
  <c r="Z385" i="1"/>
  <c r="Z384" i="1"/>
  <c r="AI383" i="1"/>
  <c r="Z383" i="1"/>
  <c r="AF383" i="1" s="1"/>
  <c r="AG383" i="1" s="1"/>
  <c r="Z382" i="1"/>
  <c r="Z381" i="1"/>
  <c r="AF380" i="1"/>
  <c r="Z380" i="1"/>
  <c r="AF379" i="1"/>
  <c r="AG379" i="1" s="1"/>
  <c r="AI379" i="1" s="1"/>
  <c r="Z379" i="1"/>
  <c r="Z378" i="1"/>
  <c r="Z377" i="1"/>
  <c r="Z376" i="1"/>
  <c r="AG375" i="1"/>
  <c r="AI375" i="1" s="1"/>
  <c r="AF375" i="1"/>
  <c r="Z375" i="1"/>
  <c r="Z374" i="1"/>
  <c r="Z373" i="1"/>
  <c r="AF372" i="1"/>
  <c r="Z372" i="1"/>
  <c r="AF371" i="1"/>
  <c r="AG371" i="1" s="1"/>
  <c r="AI371" i="1" s="1"/>
  <c r="Z371" i="1"/>
  <c r="Z370" i="1"/>
  <c r="Z369" i="1"/>
  <c r="AF368" i="1"/>
  <c r="Z368" i="1"/>
  <c r="Z367" i="1"/>
  <c r="Z366" i="1"/>
  <c r="Z365" i="1"/>
  <c r="AF364" i="1"/>
  <c r="Z364" i="1"/>
  <c r="Z363" i="1"/>
  <c r="Z362" i="1"/>
  <c r="Z361" i="1"/>
  <c r="Z360" i="1"/>
  <c r="Z359" i="1"/>
  <c r="Z358" i="1"/>
  <c r="Z357" i="1"/>
  <c r="Z356" i="1"/>
  <c r="AF355" i="1"/>
  <c r="AG355" i="1" s="1"/>
  <c r="AI355" i="1" s="1"/>
  <c r="Z355" i="1"/>
  <c r="Z354" i="1"/>
  <c r="Z353" i="1"/>
  <c r="Z352" i="1"/>
  <c r="Z351" i="1"/>
  <c r="AF351" i="1" s="1"/>
  <c r="AG351" i="1" s="1"/>
  <c r="AI351" i="1" s="1"/>
  <c r="Z350" i="1"/>
  <c r="Z349" i="1"/>
  <c r="AF348" i="1"/>
  <c r="Z348" i="1"/>
  <c r="AF347" i="1"/>
  <c r="AG347" i="1" s="1"/>
  <c r="AI347" i="1" s="1"/>
  <c r="Z347" i="1"/>
  <c r="Z346" i="1"/>
  <c r="Z345" i="1"/>
  <c r="Z344" i="1"/>
  <c r="AG343" i="1"/>
  <c r="AI343" i="1" s="1"/>
  <c r="AF343" i="1"/>
  <c r="Z343" i="1"/>
  <c r="Z342" i="1"/>
  <c r="Z341" i="1"/>
  <c r="AF340" i="1"/>
  <c r="Z340" i="1"/>
  <c r="AG339" i="1"/>
  <c r="AI339" i="1" s="1"/>
  <c r="AF339" i="1"/>
  <c r="Z339" i="1"/>
  <c r="Z338" i="1"/>
  <c r="Z337" i="1"/>
  <c r="AF336" i="1"/>
  <c r="Z336" i="1"/>
  <c r="Z335" i="1"/>
  <c r="Z334" i="1"/>
  <c r="Z333" i="1"/>
  <c r="AF332" i="1"/>
  <c r="Z332" i="1"/>
  <c r="Z331" i="1"/>
  <c r="Z330" i="1"/>
  <c r="Z329" i="1"/>
  <c r="Z328" i="1"/>
  <c r="Z327" i="1"/>
  <c r="Z326" i="1"/>
  <c r="Z325" i="1"/>
  <c r="Z324" i="1"/>
  <c r="AF323" i="1"/>
  <c r="AG323" i="1" s="1"/>
  <c r="AI323" i="1" s="1"/>
  <c r="Z323" i="1"/>
  <c r="Z322" i="1"/>
  <c r="Z321" i="1"/>
  <c r="Z320" i="1"/>
  <c r="Z319" i="1"/>
  <c r="AF319" i="1" s="1"/>
  <c r="AG319" i="1" s="1"/>
  <c r="AI319" i="1" s="1"/>
  <c r="Z318" i="1"/>
  <c r="Z317" i="1"/>
  <c r="AF316" i="1"/>
  <c r="Z316" i="1"/>
  <c r="AF315" i="1"/>
  <c r="AG315" i="1" s="1"/>
  <c r="AI315" i="1" s="1"/>
  <c r="Z315" i="1"/>
  <c r="Z314" i="1"/>
  <c r="Z313" i="1"/>
  <c r="Z312" i="1"/>
  <c r="Z311" i="1"/>
  <c r="AF311" i="1" s="1"/>
  <c r="AG311" i="1" s="1"/>
  <c r="AI311" i="1" s="1"/>
  <c r="Z310" i="1"/>
  <c r="Z309" i="1"/>
  <c r="Z308" i="1"/>
  <c r="Z307" i="1"/>
  <c r="AF307" i="1" s="1"/>
  <c r="AG307" i="1" s="1"/>
  <c r="AI307" i="1" s="1"/>
  <c r="Z306" i="1"/>
  <c r="Z305" i="1"/>
  <c r="Z304" i="1"/>
  <c r="AG303" i="1"/>
  <c r="AI303" i="1" s="1"/>
  <c r="AF303" i="1"/>
  <c r="Z303" i="1"/>
  <c r="Z302" i="1"/>
  <c r="Z301" i="1"/>
  <c r="Z300" i="1"/>
  <c r="AF299" i="1"/>
  <c r="AG299" i="1" s="1"/>
  <c r="AI299" i="1" s="1"/>
  <c r="Z299" i="1"/>
  <c r="Z298" i="1"/>
  <c r="Z297" i="1"/>
  <c r="Z296" i="1"/>
  <c r="Z295" i="1"/>
  <c r="Z294" i="1"/>
  <c r="Z293" i="1"/>
  <c r="AF292" i="1"/>
  <c r="Z292" i="1"/>
  <c r="AG291" i="1"/>
  <c r="AI291" i="1" s="1"/>
  <c r="Z291" i="1"/>
  <c r="AF291" i="1" s="1"/>
  <c r="Z290" i="1"/>
  <c r="Z289" i="1"/>
  <c r="AF288" i="1"/>
  <c r="AG288" i="1" s="1"/>
  <c r="AI288" i="1" s="1"/>
  <c r="Z288" i="1"/>
  <c r="Z287" i="1"/>
  <c r="Z286" i="1"/>
  <c r="Z285" i="1"/>
  <c r="AF284" i="1"/>
  <c r="AG284" i="1" s="1"/>
  <c r="AI284" i="1" s="1"/>
  <c r="Z284" i="1"/>
  <c r="AF283" i="1"/>
  <c r="Z283" i="1"/>
  <c r="Z282" i="1"/>
  <c r="Z281" i="1"/>
  <c r="Z280" i="1"/>
  <c r="AF279" i="1"/>
  <c r="Z279" i="1"/>
  <c r="Z278" i="1"/>
  <c r="Z277" i="1"/>
  <c r="AG276" i="1"/>
  <c r="AI276" i="1" s="1"/>
  <c r="AF276" i="1"/>
  <c r="Z276" i="1"/>
  <c r="Z275" i="1"/>
  <c r="Z274" i="1"/>
  <c r="Z273" i="1"/>
  <c r="AG272" i="1"/>
  <c r="AI272" i="1" s="1"/>
  <c r="AF272" i="1"/>
  <c r="Z272" i="1"/>
  <c r="AF271" i="1"/>
  <c r="AG271" i="1" s="1"/>
  <c r="AI271" i="1" s="1"/>
  <c r="Z271" i="1"/>
  <c r="Z270" i="1"/>
  <c r="Z269" i="1"/>
  <c r="Z268" i="1"/>
  <c r="AF267" i="1"/>
  <c r="AG267" i="1" s="1"/>
  <c r="AI267" i="1" s="1"/>
  <c r="Z267" i="1"/>
  <c r="Z266" i="1"/>
  <c r="Z265" i="1"/>
  <c r="Z264" i="1"/>
  <c r="AF264" i="1" s="1"/>
  <c r="AG264" i="1" s="1"/>
  <c r="AI264" i="1" s="1"/>
  <c r="AF263" i="1"/>
  <c r="Z263" i="1"/>
  <c r="AG263" i="1" s="1"/>
  <c r="AI263" i="1" s="1"/>
  <c r="Z262" i="1"/>
  <c r="Z261" i="1"/>
  <c r="Z260" i="1"/>
  <c r="AF260" i="1" s="1"/>
  <c r="AG260" i="1" s="1"/>
  <c r="AI260" i="1" s="1"/>
  <c r="AF259" i="1"/>
  <c r="AG259" i="1" s="1"/>
  <c r="AI259" i="1" s="1"/>
  <c r="Z259" i="1"/>
  <c r="AF258" i="1"/>
  <c r="Z258" i="1"/>
  <c r="Z257" i="1"/>
  <c r="Z256" i="1"/>
  <c r="AF256" i="1" s="1"/>
  <c r="AG256" i="1" s="1"/>
  <c r="AI256" i="1" s="1"/>
  <c r="Z255" i="1"/>
  <c r="Z254" i="1"/>
  <c r="Z253" i="1"/>
  <c r="Z252" i="1"/>
  <c r="AF252" i="1" s="1"/>
  <c r="AG252" i="1" s="1"/>
  <c r="AI252" i="1" s="1"/>
  <c r="Z251" i="1"/>
  <c r="AF250" i="1"/>
  <c r="Z250" i="1"/>
  <c r="Z249" i="1"/>
  <c r="Z248" i="1"/>
  <c r="AF248" i="1" s="1"/>
  <c r="AG248" i="1" s="1"/>
  <c r="AI248" i="1" s="1"/>
  <c r="AF247" i="1"/>
  <c r="Z247" i="1"/>
  <c r="AG247" i="1" s="1"/>
  <c r="AI247" i="1" s="1"/>
  <c r="Z246" i="1"/>
  <c r="AF246" i="1" s="1"/>
  <c r="Z245" i="1"/>
  <c r="AI244" i="1"/>
  <c r="Z244" i="1"/>
  <c r="AF244" i="1" s="1"/>
  <c r="AG244" i="1" s="1"/>
  <c r="Z243" i="1"/>
  <c r="AF242" i="1"/>
  <c r="Z242" i="1"/>
  <c r="Z241" i="1"/>
  <c r="Z240" i="1"/>
  <c r="AF240" i="1" s="1"/>
  <c r="AG240" i="1" s="1"/>
  <c r="AI240" i="1" s="1"/>
  <c r="Z239" i="1"/>
  <c r="AF238" i="1"/>
  <c r="Z238" i="1"/>
  <c r="Z237" i="1"/>
  <c r="AI236" i="1"/>
  <c r="Z236" i="1"/>
  <c r="AF236" i="1" s="1"/>
  <c r="AG236" i="1" s="1"/>
  <c r="Z235" i="1"/>
  <c r="AF235" i="1" s="1"/>
  <c r="AG235" i="1" s="1"/>
  <c r="AI235" i="1" s="1"/>
  <c r="Z234" i="1"/>
  <c r="Z233" i="1"/>
  <c r="Z232" i="1"/>
  <c r="AF232" i="1" s="1"/>
  <c r="AG232" i="1" s="1"/>
  <c r="AI232" i="1" s="1"/>
  <c r="Z231" i="1"/>
  <c r="Z230" i="1"/>
  <c r="Z229" i="1"/>
  <c r="Z228" i="1"/>
  <c r="AF228" i="1" s="1"/>
  <c r="AG228" i="1" s="1"/>
  <c r="AI228" i="1" s="1"/>
  <c r="Z227" i="1"/>
  <c r="Z226" i="1"/>
  <c r="Z225" i="1"/>
  <c r="AG224" i="1"/>
  <c r="AI224" i="1" s="1"/>
  <c r="Z224" i="1"/>
  <c r="AF224" i="1" s="1"/>
  <c r="AF223" i="1"/>
  <c r="Z223" i="1"/>
  <c r="AG223" i="1" s="1"/>
  <c r="AI223" i="1" s="1"/>
  <c r="Z222" i="1"/>
  <c r="Z221" i="1"/>
  <c r="Z220" i="1"/>
  <c r="AF220" i="1" s="1"/>
  <c r="AG220" i="1" s="1"/>
  <c r="AI220" i="1" s="1"/>
  <c r="AF219" i="1"/>
  <c r="Z219" i="1"/>
  <c r="AG219" i="1" s="1"/>
  <c r="AI219" i="1" s="1"/>
  <c r="AF218" i="1"/>
  <c r="Z218" i="1"/>
  <c r="Z217" i="1"/>
  <c r="Z216" i="1"/>
  <c r="AF216" i="1" s="1"/>
  <c r="AG216" i="1" s="1"/>
  <c r="AI216" i="1" s="1"/>
  <c r="AF215" i="1"/>
  <c r="Z215" i="1"/>
  <c r="AG215" i="1" s="1"/>
  <c r="AI215" i="1" s="1"/>
  <c r="Z214" i="1"/>
  <c r="Z213" i="1"/>
  <c r="Z212" i="1"/>
  <c r="AF212" i="1" s="1"/>
  <c r="AG212" i="1" s="1"/>
  <c r="AI212" i="1" s="1"/>
  <c r="AG211" i="1"/>
  <c r="AI211" i="1" s="1"/>
  <c r="AF211" i="1"/>
  <c r="Z211" i="1"/>
  <c r="AF210" i="1"/>
  <c r="Z210" i="1"/>
  <c r="AG210" i="1" s="1"/>
  <c r="AI210" i="1" s="1"/>
  <c r="Z209" i="1"/>
  <c r="Z208" i="1"/>
  <c r="AF208" i="1" s="1"/>
  <c r="AG208" i="1" s="1"/>
  <c r="AI208" i="1" s="1"/>
  <c r="Z207" i="1"/>
  <c r="AG206" i="1"/>
  <c r="AI206" i="1" s="1"/>
  <c r="AF206" i="1"/>
  <c r="Z206" i="1"/>
  <c r="Z205" i="1"/>
  <c r="Z204" i="1"/>
  <c r="AF204" i="1" s="1"/>
  <c r="AG204" i="1" s="1"/>
  <c r="AI204" i="1" s="1"/>
  <c r="Z203" i="1"/>
  <c r="Z202" i="1"/>
  <c r="Z201" i="1"/>
  <c r="Z200" i="1"/>
  <c r="AF200" i="1" s="1"/>
  <c r="AG200" i="1" s="1"/>
  <c r="AI200" i="1" s="1"/>
  <c r="AF199" i="1"/>
  <c r="Z199" i="1"/>
  <c r="AG199" i="1" s="1"/>
  <c r="AI199" i="1" s="1"/>
  <c r="Z198" i="1"/>
  <c r="Z197" i="1"/>
  <c r="Z196" i="1"/>
  <c r="AF196" i="1" s="1"/>
  <c r="AG196" i="1" s="1"/>
  <c r="AI196" i="1" s="1"/>
  <c r="Z195" i="1"/>
  <c r="AF195" i="1" s="1"/>
  <c r="AG195" i="1" s="1"/>
  <c r="AI195" i="1" s="1"/>
  <c r="AF194" i="1"/>
  <c r="Z194" i="1"/>
  <c r="AG194" i="1" s="1"/>
  <c r="AI194" i="1" s="1"/>
  <c r="Z193" i="1"/>
  <c r="Z192" i="1"/>
  <c r="AF192" i="1" s="1"/>
  <c r="AG192" i="1" s="1"/>
  <c r="AI192" i="1" s="1"/>
  <c r="Z191" i="1"/>
  <c r="AG190" i="1"/>
  <c r="AI190" i="1" s="1"/>
  <c r="AF190" i="1"/>
  <c r="Z190" i="1"/>
  <c r="Z189" i="1"/>
  <c r="Z188" i="1"/>
  <c r="AF188" i="1" s="1"/>
  <c r="AG188" i="1" s="1"/>
  <c r="AI188" i="1" s="1"/>
  <c r="Z187" i="1"/>
  <c r="Z186" i="1"/>
  <c r="Z185" i="1"/>
  <c r="Z184" i="1"/>
  <c r="AF184" i="1" s="1"/>
  <c r="AG184" i="1" s="1"/>
  <c r="AI184" i="1" s="1"/>
  <c r="AF183" i="1"/>
  <c r="AG183" i="1" s="1"/>
  <c r="AI183" i="1" s="1"/>
  <c r="Z183" i="1"/>
  <c r="Z182" i="1"/>
  <c r="Z181" i="1"/>
  <c r="Z180" i="1"/>
  <c r="AF180" i="1" s="1"/>
  <c r="AG180" i="1" s="1"/>
  <c r="AI180" i="1" s="1"/>
  <c r="Z179" i="1"/>
  <c r="AF179" i="1" s="1"/>
  <c r="AG179" i="1" s="1"/>
  <c r="AI179" i="1" s="1"/>
  <c r="AF178" i="1"/>
  <c r="AG178" i="1" s="1"/>
  <c r="AI178" i="1" s="1"/>
  <c r="Z178" i="1"/>
  <c r="Z177" i="1"/>
  <c r="Z176" i="1"/>
  <c r="AF176" i="1" s="1"/>
  <c r="AG176" i="1" s="1"/>
  <c r="AI176" i="1" s="1"/>
  <c r="Z175" i="1"/>
  <c r="Z174" i="1"/>
  <c r="AF174" i="1" s="1"/>
  <c r="AG174" i="1" s="1"/>
  <c r="AI174" i="1" s="1"/>
  <c r="Z173" i="1"/>
  <c r="Z172" i="1"/>
  <c r="AF172" i="1" s="1"/>
  <c r="Z171" i="1"/>
  <c r="Z170" i="1"/>
  <c r="Z169" i="1"/>
  <c r="Z168" i="1"/>
  <c r="AF168" i="1" s="1"/>
  <c r="AF167" i="1"/>
  <c r="AG167" i="1" s="1"/>
  <c r="AI167" i="1" s="1"/>
  <c r="Z167" i="1"/>
  <c r="Z166" i="1"/>
  <c r="Z165" i="1"/>
  <c r="Z164" i="1"/>
  <c r="AF164" i="1" s="1"/>
  <c r="Z163" i="1"/>
  <c r="AF163" i="1" s="1"/>
  <c r="AG163" i="1" s="1"/>
  <c r="AI163" i="1" s="1"/>
  <c r="AF162" i="1"/>
  <c r="AG162" i="1" s="1"/>
  <c r="AI162" i="1" s="1"/>
  <c r="Z162" i="1"/>
  <c r="Z161" i="1"/>
  <c r="Z160" i="1"/>
  <c r="AF160" i="1" s="1"/>
  <c r="AF159" i="1"/>
  <c r="Z159" i="1"/>
  <c r="AG159" i="1" s="1"/>
  <c r="AI159" i="1" s="1"/>
  <c r="Z158" i="1"/>
  <c r="AF158" i="1" s="1"/>
  <c r="AG158" i="1" s="1"/>
  <c r="AI158" i="1" s="1"/>
  <c r="Z157" i="1"/>
  <c r="Z156" i="1"/>
  <c r="AF156" i="1" s="1"/>
  <c r="Z155" i="1"/>
  <c r="AF154" i="1"/>
  <c r="Z154" i="1"/>
  <c r="AG154" i="1" s="1"/>
  <c r="AI154" i="1" s="1"/>
  <c r="Z153" i="1"/>
  <c r="Z152" i="1"/>
  <c r="AF152" i="1" s="1"/>
  <c r="AF151" i="1"/>
  <c r="AG151" i="1" s="1"/>
  <c r="AI151" i="1" s="1"/>
  <c r="Z151" i="1"/>
  <c r="Z150" i="1"/>
  <c r="Z149" i="1"/>
  <c r="Z148" i="1"/>
  <c r="AF148" i="1" s="1"/>
  <c r="Z147" i="1"/>
  <c r="AF147" i="1" s="1"/>
  <c r="AG147" i="1" s="1"/>
  <c r="AI147" i="1" s="1"/>
  <c r="AF146" i="1"/>
  <c r="AG146" i="1" s="1"/>
  <c r="AI146" i="1" s="1"/>
  <c r="Z146" i="1"/>
  <c r="Z145" i="1"/>
  <c r="Z144" i="1"/>
  <c r="AF144" i="1" s="1"/>
  <c r="AF143" i="1"/>
  <c r="Z143" i="1"/>
  <c r="AG143" i="1" s="1"/>
  <c r="AI143" i="1" s="1"/>
  <c r="Z142" i="1"/>
  <c r="AF142" i="1" s="1"/>
  <c r="AG142" i="1" s="1"/>
  <c r="AI142" i="1" s="1"/>
  <c r="Z141" i="1"/>
  <c r="Z140" i="1"/>
  <c r="AF140" i="1" s="1"/>
  <c r="Z139" i="1"/>
  <c r="AF138" i="1"/>
  <c r="Z138" i="1"/>
  <c r="AG138" i="1" s="1"/>
  <c r="AI138" i="1" s="1"/>
  <c r="Z137" i="1"/>
  <c r="Z136" i="1"/>
  <c r="AF136" i="1" s="1"/>
  <c r="AF135" i="1"/>
  <c r="AG135" i="1" s="1"/>
  <c r="AI135" i="1" s="1"/>
  <c r="Z135" i="1"/>
  <c r="Z134" i="1"/>
  <c r="Z133" i="1"/>
  <c r="Z132" i="1"/>
  <c r="AF132" i="1" s="1"/>
  <c r="Z131" i="1"/>
  <c r="AF131" i="1" s="1"/>
  <c r="AG131" i="1" s="1"/>
  <c r="AI131" i="1" s="1"/>
  <c r="AF130" i="1"/>
  <c r="AG130" i="1" s="1"/>
  <c r="AI130" i="1" s="1"/>
  <c r="Z130" i="1"/>
  <c r="Z129" i="1"/>
  <c r="Z128" i="1"/>
  <c r="AF128" i="1" s="1"/>
  <c r="AF127" i="1"/>
  <c r="Z127" i="1"/>
  <c r="AG127" i="1" s="1"/>
  <c r="AI127" i="1" s="1"/>
  <c r="Z126" i="1"/>
  <c r="AF126" i="1" s="1"/>
  <c r="AG126" i="1" s="1"/>
  <c r="AI126" i="1" s="1"/>
  <c r="Z125" i="1"/>
  <c r="Z124" i="1"/>
  <c r="AF124" i="1" s="1"/>
  <c r="Z123" i="1"/>
  <c r="AF122" i="1"/>
  <c r="Z122" i="1"/>
  <c r="AG122" i="1" s="1"/>
  <c r="AI122" i="1" s="1"/>
  <c r="Z121" i="1"/>
  <c r="Z120" i="1"/>
  <c r="AF120" i="1" s="1"/>
  <c r="AF119" i="1"/>
  <c r="AG119" i="1" s="1"/>
  <c r="AI119" i="1" s="1"/>
  <c r="Z119" i="1"/>
  <c r="Z118" i="1"/>
  <c r="Z117" i="1"/>
  <c r="Z116" i="1"/>
  <c r="AF116" i="1" s="1"/>
  <c r="Z115" i="1"/>
  <c r="AF115" i="1" s="1"/>
  <c r="AG115" i="1" s="1"/>
  <c r="AI115" i="1" s="1"/>
  <c r="AF114" i="1"/>
  <c r="AG114" i="1" s="1"/>
  <c r="AI114" i="1" s="1"/>
  <c r="Z114" i="1"/>
  <c r="Z113" i="1"/>
  <c r="Z112" i="1"/>
  <c r="AF112" i="1" s="1"/>
  <c r="AF111" i="1"/>
  <c r="Z111" i="1"/>
  <c r="AG111" i="1" s="1"/>
  <c r="AI111" i="1" s="1"/>
  <c r="Z110" i="1"/>
  <c r="AF110" i="1" s="1"/>
  <c r="AG110" i="1" s="1"/>
  <c r="AI110" i="1" s="1"/>
  <c r="Z109" i="1"/>
  <c r="Z108" i="1"/>
  <c r="AF108" i="1" s="1"/>
  <c r="Z107" i="1"/>
  <c r="AF106" i="1"/>
  <c r="Z106" i="1"/>
  <c r="AG106" i="1" s="1"/>
  <c r="AI106" i="1" s="1"/>
  <c r="Z105" i="1"/>
  <c r="Z104" i="1"/>
  <c r="AF104" i="1" s="1"/>
  <c r="AF103" i="1"/>
  <c r="AG103" i="1" s="1"/>
  <c r="AI103" i="1" s="1"/>
  <c r="Z103" i="1"/>
  <c r="Z102" i="1"/>
  <c r="Z101" i="1"/>
  <c r="Z100" i="1"/>
  <c r="AF100" i="1" s="1"/>
  <c r="Z99" i="1"/>
  <c r="AF99" i="1" s="1"/>
  <c r="AG99" i="1" s="1"/>
  <c r="AI99" i="1" s="1"/>
  <c r="AF98" i="1"/>
  <c r="AG98" i="1" s="1"/>
  <c r="AI98" i="1" s="1"/>
  <c r="Z98" i="1"/>
  <c r="Z97" i="1"/>
  <c r="Z96" i="1"/>
  <c r="AF96" i="1" s="1"/>
  <c r="AF95" i="1"/>
  <c r="Z95" i="1"/>
  <c r="AG95" i="1" s="1"/>
  <c r="AI95" i="1" s="1"/>
  <c r="Z94" i="1"/>
  <c r="AF94" i="1" s="1"/>
  <c r="AG94" i="1" s="1"/>
  <c r="AI94" i="1" s="1"/>
  <c r="Z93" i="1"/>
  <c r="Z92" i="1"/>
  <c r="AF92" i="1" s="1"/>
  <c r="Z91" i="1"/>
  <c r="AF90" i="1"/>
  <c r="Z90" i="1"/>
  <c r="AG90" i="1" s="1"/>
  <c r="AI90" i="1" s="1"/>
  <c r="Z89" i="1"/>
  <c r="Z88" i="1"/>
  <c r="AF88" i="1" s="1"/>
  <c r="AF87" i="1"/>
  <c r="AG87" i="1" s="1"/>
  <c r="AI87" i="1" s="1"/>
  <c r="Z87" i="1"/>
  <c r="Z86" i="1"/>
  <c r="Z85" i="1"/>
  <c r="Z84" i="1"/>
  <c r="AF84" i="1" s="1"/>
  <c r="Z83" i="1"/>
  <c r="Z82" i="1"/>
  <c r="AF82" i="1" s="1"/>
  <c r="AG82" i="1" s="1"/>
  <c r="AI82" i="1" s="1"/>
  <c r="Z81" i="1"/>
  <c r="Z80" i="1"/>
  <c r="Z79" i="1"/>
  <c r="Z78" i="1"/>
  <c r="AF78" i="1" s="1"/>
  <c r="AG78" i="1" s="1"/>
  <c r="AI78" i="1" s="1"/>
  <c r="Z77" i="1"/>
  <c r="Z76" i="1"/>
  <c r="Z75" i="1"/>
  <c r="Z74" i="1"/>
  <c r="AF74" i="1" s="1"/>
  <c r="AG74" i="1" s="1"/>
  <c r="AI74" i="1" s="1"/>
  <c r="Z73" i="1"/>
  <c r="Z72" i="1"/>
  <c r="Z71" i="1"/>
  <c r="Z70" i="1"/>
  <c r="AF70" i="1" s="1"/>
  <c r="AG70" i="1" s="1"/>
  <c r="AI70" i="1" s="1"/>
  <c r="Z69" i="1"/>
  <c r="Z68" i="1"/>
  <c r="Z67" i="1"/>
  <c r="Z66" i="1"/>
  <c r="AF66" i="1" s="1"/>
  <c r="AG66" i="1" s="1"/>
  <c r="AI66" i="1" s="1"/>
  <c r="Z65" i="1"/>
  <c r="Z64" i="1"/>
  <c r="Z63" i="1"/>
  <c r="Z62" i="1"/>
  <c r="AF62" i="1" s="1"/>
  <c r="AG62" i="1" s="1"/>
  <c r="AI62" i="1" s="1"/>
  <c r="Z61" i="1"/>
  <c r="Z60" i="1"/>
  <c r="Z59" i="1"/>
  <c r="Z58" i="1"/>
  <c r="AF58" i="1" s="1"/>
  <c r="AG58" i="1" s="1"/>
  <c r="AI58" i="1" s="1"/>
  <c r="Z57" i="1"/>
  <c r="Z56" i="1"/>
  <c r="Z55" i="1"/>
  <c r="Z54" i="1"/>
  <c r="AF54" i="1" s="1"/>
  <c r="AG54" i="1" s="1"/>
  <c r="AI54" i="1" s="1"/>
  <c r="Z53" i="1"/>
  <c r="Z52" i="1"/>
  <c r="Z51" i="1"/>
  <c r="Z50" i="1"/>
  <c r="AF50" i="1" s="1"/>
  <c r="AG50" i="1" s="1"/>
  <c r="AI50" i="1" s="1"/>
  <c r="Z49" i="1"/>
  <c r="Z48" i="1"/>
  <c r="Z47" i="1"/>
  <c r="Z46" i="1"/>
  <c r="AF46" i="1" s="1"/>
  <c r="AG46" i="1" s="1"/>
  <c r="AI46" i="1" s="1"/>
  <c r="Z45" i="1"/>
  <c r="Z44" i="1"/>
  <c r="Z43" i="1"/>
  <c r="Z42" i="1"/>
  <c r="AF42" i="1" s="1"/>
  <c r="AG42" i="1" s="1"/>
  <c r="AI42" i="1" s="1"/>
  <c r="Z41" i="1"/>
  <c r="Z40" i="1"/>
  <c r="Z39" i="1"/>
  <c r="Z38" i="1"/>
  <c r="AF38" i="1" s="1"/>
  <c r="AG38" i="1" s="1"/>
  <c r="AI38" i="1" s="1"/>
  <c r="Z37" i="1"/>
  <c r="Z36" i="1"/>
  <c r="Z35" i="1"/>
  <c r="Z34" i="1"/>
  <c r="AF34" i="1" s="1"/>
  <c r="AG34" i="1" s="1"/>
  <c r="AI34" i="1" s="1"/>
  <c r="Z33" i="1"/>
  <c r="Z32" i="1"/>
  <c r="Z31" i="1"/>
  <c r="Z30" i="1"/>
  <c r="AF30" i="1" s="1"/>
  <c r="AG30" i="1" s="1"/>
  <c r="AI30" i="1" s="1"/>
  <c r="Z29" i="1"/>
  <c r="Z28" i="1"/>
  <c r="Z27" i="1"/>
  <c r="Z26" i="1"/>
  <c r="AF26" i="1" s="1"/>
  <c r="AG26" i="1" s="1"/>
  <c r="AI26" i="1" s="1"/>
  <c r="Z25" i="1"/>
  <c r="Z24" i="1"/>
  <c r="Z23" i="1"/>
  <c r="Z22" i="1"/>
  <c r="AF22" i="1" s="1"/>
  <c r="AG22" i="1" s="1"/>
  <c r="AI22" i="1" s="1"/>
  <c r="Z21" i="1"/>
  <c r="Z20" i="1"/>
  <c r="Z19" i="1"/>
  <c r="Z18" i="1"/>
  <c r="AF18" i="1" s="1"/>
  <c r="AG18" i="1" s="1"/>
  <c r="AI18" i="1" s="1"/>
  <c r="Z17" i="1"/>
  <c r="Z16" i="1"/>
  <c r="Z15" i="1"/>
  <c r="Z14" i="1"/>
  <c r="AF14" i="1" s="1"/>
  <c r="AG14" i="1" s="1"/>
  <c r="AI14" i="1" s="1"/>
  <c r="Z13" i="1"/>
  <c r="Z12" i="1"/>
  <c r="Z11" i="1"/>
  <c r="Z10" i="1"/>
  <c r="AF10" i="1" s="1"/>
  <c r="AG10" i="1" s="1"/>
  <c r="AI10" i="1" s="1"/>
  <c r="Z9" i="1"/>
  <c r="Z8" i="1"/>
  <c r="Z7" i="1"/>
  <c r="Z6" i="1"/>
  <c r="AF6" i="1" s="1"/>
  <c r="AG6" i="1" s="1"/>
  <c r="AI6" i="1" s="1"/>
  <c r="Z5" i="1"/>
  <c r="Z4" i="1"/>
  <c r="Z3" i="1"/>
  <c r="Z2" i="1"/>
  <c r="AF2" i="1" s="1"/>
  <c r="AG2" i="1" s="1"/>
  <c r="AI2" i="1" s="1"/>
  <c r="AG86" i="1" l="1"/>
  <c r="AI86" i="1" s="1"/>
  <c r="AG203" i="1"/>
  <c r="AI203" i="1" s="1"/>
  <c r="AG239" i="1"/>
  <c r="AI239" i="1" s="1"/>
  <c r="AG4" i="1"/>
  <c r="AI4" i="1" s="1"/>
  <c r="AG8" i="1"/>
  <c r="AI8" i="1" s="1"/>
  <c r="AG72" i="1"/>
  <c r="AI72" i="1" s="1"/>
  <c r="AG227" i="1"/>
  <c r="AI227" i="1" s="1"/>
  <c r="AG9" i="1"/>
  <c r="AI9" i="1" s="1"/>
  <c r="AG12" i="1"/>
  <c r="AI12" i="1" s="1"/>
  <c r="AG28" i="1"/>
  <c r="AI28" i="1" s="1"/>
  <c r="AG207" i="1"/>
  <c r="AI207" i="1" s="1"/>
  <c r="AG61" i="1"/>
  <c r="AI61" i="1" s="1"/>
  <c r="AG91" i="1"/>
  <c r="AI91" i="1" s="1"/>
  <c r="AG118" i="1"/>
  <c r="AI118" i="1" s="1"/>
  <c r="AG65" i="1"/>
  <c r="AI65" i="1" s="1"/>
  <c r="AF105" i="1"/>
  <c r="AG105" i="1" s="1"/>
  <c r="AI105" i="1" s="1"/>
  <c r="AF321" i="1"/>
  <c r="AG321" i="1" s="1"/>
  <c r="AI321" i="1" s="1"/>
  <c r="AF231" i="1"/>
  <c r="AG231" i="1" s="1"/>
  <c r="AI231" i="1" s="1"/>
  <c r="AF4" i="1"/>
  <c r="AF8" i="1"/>
  <c r="AF12" i="1"/>
  <c r="AF16" i="1"/>
  <c r="AG16" i="1" s="1"/>
  <c r="AI16" i="1" s="1"/>
  <c r="AF20" i="1"/>
  <c r="AG20" i="1" s="1"/>
  <c r="AI20" i="1" s="1"/>
  <c r="AF24" i="1"/>
  <c r="AG24" i="1" s="1"/>
  <c r="AI24" i="1" s="1"/>
  <c r="AF28" i="1"/>
  <c r="AF32" i="1"/>
  <c r="AG32" i="1" s="1"/>
  <c r="AI32" i="1" s="1"/>
  <c r="AF36" i="1"/>
  <c r="AG36" i="1" s="1"/>
  <c r="AI36" i="1" s="1"/>
  <c r="AF40" i="1"/>
  <c r="AG40" i="1" s="1"/>
  <c r="AI40" i="1" s="1"/>
  <c r="AF44" i="1"/>
  <c r="AG44" i="1" s="1"/>
  <c r="AI44" i="1" s="1"/>
  <c r="AF48" i="1"/>
  <c r="AG48" i="1" s="1"/>
  <c r="AI48" i="1" s="1"/>
  <c r="AF52" i="1"/>
  <c r="AG52" i="1" s="1"/>
  <c r="AI52" i="1" s="1"/>
  <c r="AF56" i="1"/>
  <c r="AG56" i="1" s="1"/>
  <c r="AI56" i="1" s="1"/>
  <c r="AF60" i="1"/>
  <c r="AG60" i="1" s="1"/>
  <c r="AI60" i="1" s="1"/>
  <c r="AF64" i="1"/>
  <c r="AG64" i="1" s="1"/>
  <c r="AI64" i="1" s="1"/>
  <c r="AF68" i="1"/>
  <c r="AG68" i="1" s="1"/>
  <c r="AI68" i="1" s="1"/>
  <c r="AF72" i="1"/>
  <c r="AF76" i="1"/>
  <c r="AG76" i="1" s="1"/>
  <c r="AI76" i="1" s="1"/>
  <c r="AF80" i="1"/>
  <c r="AG80" i="1" s="1"/>
  <c r="AI80" i="1" s="1"/>
  <c r="AG84" i="1"/>
  <c r="AI84" i="1" s="1"/>
  <c r="AG100" i="1"/>
  <c r="AI100" i="1" s="1"/>
  <c r="AG116" i="1"/>
  <c r="AI116" i="1" s="1"/>
  <c r="AG132" i="1"/>
  <c r="AI132" i="1" s="1"/>
  <c r="AG148" i="1"/>
  <c r="AI148" i="1" s="1"/>
  <c r="AG164" i="1"/>
  <c r="AI164" i="1" s="1"/>
  <c r="AF225" i="1"/>
  <c r="AG225" i="1" s="1"/>
  <c r="AI225" i="1" s="1"/>
  <c r="AF253" i="1"/>
  <c r="AG253" i="1" s="1"/>
  <c r="AI253" i="1" s="1"/>
  <c r="AG275" i="1"/>
  <c r="AI275" i="1" s="1"/>
  <c r="AG283" i="1"/>
  <c r="AI283" i="1" s="1"/>
  <c r="AG292" i="1"/>
  <c r="AI292" i="1" s="1"/>
  <c r="AF302" i="1"/>
  <c r="AG302" i="1" s="1"/>
  <c r="AI302" i="1" s="1"/>
  <c r="AG345" i="1"/>
  <c r="AI345" i="1" s="1"/>
  <c r="AF345" i="1"/>
  <c r="AF391" i="1"/>
  <c r="AG391" i="1" s="1"/>
  <c r="AI391" i="1" s="1"/>
  <c r="AF137" i="1"/>
  <c r="AG137" i="1" s="1"/>
  <c r="AI137" i="1" s="1"/>
  <c r="AF170" i="1"/>
  <c r="AG170" i="1" s="1"/>
  <c r="AI170" i="1" s="1"/>
  <c r="AF175" i="1"/>
  <c r="AG175" i="1" s="1"/>
  <c r="AI175" i="1" s="1"/>
  <c r="AF186" i="1"/>
  <c r="AG186" i="1" s="1"/>
  <c r="AI186" i="1" s="1"/>
  <c r="AF191" i="1"/>
  <c r="AG191" i="1" s="1"/>
  <c r="AI191" i="1" s="1"/>
  <c r="AF202" i="1"/>
  <c r="AG202" i="1" s="1"/>
  <c r="AI202" i="1" s="1"/>
  <c r="AF207" i="1"/>
  <c r="AF239" i="1"/>
  <c r="AF268" i="1"/>
  <c r="AG268" i="1" s="1"/>
  <c r="AI268" i="1" s="1"/>
  <c r="AF275" i="1"/>
  <c r="AG313" i="1"/>
  <c r="AI313" i="1" s="1"/>
  <c r="AF313" i="1"/>
  <c r="AF480" i="1"/>
  <c r="AG480" i="1" s="1"/>
  <c r="AI480" i="1" s="1"/>
  <c r="AG591" i="1"/>
  <c r="AI591" i="1" s="1"/>
  <c r="AF85" i="1"/>
  <c r="AG85" i="1" s="1"/>
  <c r="AI85" i="1" s="1"/>
  <c r="AG101" i="1"/>
  <c r="AI101" i="1" s="1"/>
  <c r="AF101" i="1"/>
  <c r="AF117" i="1"/>
  <c r="AG117" i="1" s="1"/>
  <c r="AI117" i="1" s="1"/>
  <c r="AF133" i="1"/>
  <c r="AG133" i="1" s="1"/>
  <c r="AI133" i="1" s="1"/>
  <c r="AF149" i="1"/>
  <c r="AG149" i="1" s="1"/>
  <c r="AI149" i="1" s="1"/>
  <c r="AG165" i="1"/>
  <c r="AI165" i="1" s="1"/>
  <c r="AF165" i="1"/>
  <c r="AG181" i="1"/>
  <c r="AI181" i="1" s="1"/>
  <c r="AF181" i="1"/>
  <c r="AF197" i="1"/>
  <c r="AG197" i="1" s="1"/>
  <c r="AI197" i="1" s="1"/>
  <c r="AF213" i="1"/>
  <c r="AG213" i="1" s="1"/>
  <c r="AI213" i="1" s="1"/>
  <c r="AF226" i="1"/>
  <c r="AG226" i="1" s="1"/>
  <c r="AI226" i="1" s="1"/>
  <c r="AF254" i="1"/>
  <c r="AG254" i="1" s="1"/>
  <c r="AI254" i="1" s="1"/>
  <c r="AF261" i="1"/>
  <c r="AG261" i="1" s="1"/>
  <c r="AI261" i="1" s="1"/>
  <c r="AF358" i="1"/>
  <c r="AG358" i="1" s="1"/>
  <c r="AI358" i="1" s="1"/>
  <c r="AF512" i="1"/>
  <c r="AG512" i="1" s="1"/>
  <c r="AI512" i="1" s="1"/>
  <c r="AF591" i="1"/>
  <c r="AG233" i="1"/>
  <c r="AI233" i="1" s="1"/>
  <c r="AF233" i="1"/>
  <c r="AF294" i="1"/>
  <c r="AG294" i="1" s="1"/>
  <c r="AI294" i="1" s="1"/>
  <c r="AF359" i="1"/>
  <c r="AG359" i="1" s="1"/>
  <c r="AI359" i="1" s="1"/>
  <c r="AG448" i="1"/>
  <c r="AI448" i="1" s="1"/>
  <c r="AF448" i="1"/>
  <c r="AG544" i="1"/>
  <c r="AI544" i="1" s="1"/>
  <c r="AF544" i="1"/>
  <c r="AF5" i="1"/>
  <c r="AG5" i="1" s="1"/>
  <c r="AI5" i="1" s="1"/>
  <c r="AF9" i="1"/>
  <c r="AF13" i="1"/>
  <c r="AG13" i="1" s="1"/>
  <c r="AI13" i="1" s="1"/>
  <c r="AF17" i="1"/>
  <c r="AG17" i="1" s="1"/>
  <c r="AI17" i="1" s="1"/>
  <c r="AF21" i="1"/>
  <c r="AG21" i="1" s="1"/>
  <c r="AI21" i="1" s="1"/>
  <c r="AF25" i="1"/>
  <c r="AG25" i="1" s="1"/>
  <c r="AI25" i="1" s="1"/>
  <c r="AF29" i="1"/>
  <c r="AG29" i="1" s="1"/>
  <c r="AI29" i="1" s="1"/>
  <c r="AF33" i="1"/>
  <c r="AG33" i="1" s="1"/>
  <c r="AI33" i="1" s="1"/>
  <c r="AF37" i="1"/>
  <c r="AG37" i="1" s="1"/>
  <c r="AI37" i="1" s="1"/>
  <c r="AF41" i="1"/>
  <c r="AG41" i="1" s="1"/>
  <c r="AI41" i="1" s="1"/>
  <c r="AF45" i="1"/>
  <c r="AG45" i="1" s="1"/>
  <c r="AI45" i="1" s="1"/>
  <c r="AF49" i="1"/>
  <c r="AG49" i="1" s="1"/>
  <c r="AI49" i="1" s="1"/>
  <c r="AF53" i="1"/>
  <c r="AG53" i="1" s="1"/>
  <c r="AI53" i="1" s="1"/>
  <c r="AF57" i="1"/>
  <c r="AG57" i="1" s="1"/>
  <c r="AI57" i="1" s="1"/>
  <c r="AF61" i="1"/>
  <c r="AF65" i="1"/>
  <c r="AF69" i="1"/>
  <c r="AG69" i="1" s="1"/>
  <c r="AI69" i="1" s="1"/>
  <c r="AF73" i="1"/>
  <c r="AG73" i="1" s="1"/>
  <c r="AI73" i="1" s="1"/>
  <c r="AF77" i="1"/>
  <c r="AG77" i="1" s="1"/>
  <c r="AI77" i="1" s="1"/>
  <c r="AF81" i="1"/>
  <c r="AG81" i="1" s="1"/>
  <c r="AI81" i="1" s="1"/>
  <c r="AG96" i="1"/>
  <c r="AI96" i="1" s="1"/>
  <c r="AG112" i="1"/>
  <c r="AI112" i="1" s="1"/>
  <c r="AG128" i="1"/>
  <c r="AI128" i="1" s="1"/>
  <c r="AG144" i="1"/>
  <c r="AI144" i="1" s="1"/>
  <c r="AG160" i="1"/>
  <c r="AI160" i="1" s="1"/>
  <c r="AF214" i="1"/>
  <c r="AG214" i="1" s="1"/>
  <c r="AI214" i="1" s="1"/>
  <c r="AG234" i="1"/>
  <c r="AI234" i="1" s="1"/>
  <c r="AF262" i="1"/>
  <c r="AG262" i="1" s="1"/>
  <c r="AI262" i="1" s="1"/>
  <c r="AF86" i="1"/>
  <c r="AF91" i="1"/>
  <c r="AF102" i="1"/>
  <c r="AG102" i="1" s="1"/>
  <c r="AI102" i="1" s="1"/>
  <c r="AF107" i="1"/>
  <c r="AG107" i="1" s="1"/>
  <c r="AI107" i="1" s="1"/>
  <c r="AF118" i="1"/>
  <c r="AF123" i="1"/>
  <c r="AG123" i="1" s="1"/>
  <c r="AI123" i="1" s="1"/>
  <c r="AF134" i="1"/>
  <c r="AG134" i="1" s="1"/>
  <c r="AI134" i="1" s="1"/>
  <c r="AF139" i="1"/>
  <c r="AG139" i="1" s="1"/>
  <c r="AI139" i="1" s="1"/>
  <c r="AF150" i="1"/>
  <c r="AG150" i="1" s="1"/>
  <c r="AI150" i="1" s="1"/>
  <c r="AF155" i="1"/>
  <c r="AG155" i="1" s="1"/>
  <c r="AI155" i="1" s="1"/>
  <c r="AF166" i="1"/>
  <c r="AG166" i="1" s="1"/>
  <c r="AI166" i="1" s="1"/>
  <c r="AF171" i="1"/>
  <c r="AG171" i="1" s="1"/>
  <c r="AI171" i="1" s="1"/>
  <c r="AF182" i="1"/>
  <c r="AG182" i="1" s="1"/>
  <c r="AI182" i="1" s="1"/>
  <c r="AF187" i="1"/>
  <c r="AG187" i="1" s="1"/>
  <c r="AI187" i="1" s="1"/>
  <c r="AF198" i="1"/>
  <c r="AG198" i="1" s="1"/>
  <c r="AI198" i="1" s="1"/>
  <c r="AF203" i="1"/>
  <c r="AF227" i="1"/>
  <c r="AF234" i="1"/>
  <c r="AF241" i="1"/>
  <c r="AG241" i="1" s="1"/>
  <c r="AI241" i="1" s="1"/>
  <c r="AF255" i="1"/>
  <c r="AG255" i="1" s="1"/>
  <c r="AI255" i="1" s="1"/>
  <c r="AG285" i="1"/>
  <c r="AI285" i="1" s="1"/>
  <c r="AF285" i="1"/>
  <c r="AF326" i="1"/>
  <c r="AG326" i="1" s="1"/>
  <c r="AI326" i="1" s="1"/>
  <c r="AF416" i="1"/>
  <c r="AG416" i="1" s="1"/>
  <c r="AI416" i="1" s="1"/>
  <c r="AG463" i="1"/>
  <c r="AI463" i="1" s="1"/>
  <c r="AF97" i="1"/>
  <c r="AG97" i="1" s="1"/>
  <c r="AI97" i="1" s="1"/>
  <c r="AF113" i="1"/>
  <c r="AG113" i="1" s="1"/>
  <c r="AI113" i="1" s="1"/>
  <c r="AG129" i="1"/>
  <c r="AI129" i="1" s="1"/>
  <c r="AF129" i="1"/>
  <c r="AF145" i="1"/>
  <c r="AG145" i="1" s="1"/>
  <c r="AI145" i="1" s="1"/>
  <c r="AF161" i="1"/>
  <c r="AG161" i="1" s="1"/>
  <c r="AI161" i="1" s="1"/>
  <c r="AF177" i="1"/>
  <c r="AG177" i="1" s="1"/>
  <c r="AI177" i="1" s="1"/>
  <c r="AF193" i="1"/>
  <c r="AG193" i="1" s="1"/>
  <c r="AI193" i="1" s="1"/>
  <c r="AG209" i="1"/>
  <c r="AI209" i="1" s="1"/>
  <c r="AF209" i="1"/>
  <c r="AF221" i="1"/>
  <c r="AG221" i="1" s="1"/>
  <c r="AI221" i="1" s="1"/>
  <c r="AG242" i="1"/>
  <c r="AI242" i="1" s="1"/>
  <c r="AF296" i="1"/>
  <c r="AG296" i="1" s="1"/>
  <c r="AI296" i="1" s="1"/>
  <c r="AG327" i="1"/>
  <c r="AI327" i="1" s="1"/>
  <c r="AF327" i="1"/>
  <c r="AF153" i="1"/>
  <c r="AG153" i="1" s="1"/>
  <c r="AI153" i="1" s="1"/>
  <c r="AG222" i="1"/>
  <c r="AI222" i="1" s="1"/>
  <c r="AF249" i="1"/>
  <c r="AG249" i="1" s="1"/>
  <c r="AI249" i="1" s="1"/>
  <c r="AG286" i="1"/>
  <c r="AI286" i="1" s="1"/>
  <c r="AF286" i="1"/>
  <c r="AF441" i="1"/>
  <c r="AG441" i="1" s="1"/>
  <c r="AI441" i="1" s="1"/>
  <c r="AF582" i="1"/>
  <c r="AG582" i="1" s="1"/>
  <c r="AI582" i="1" s="1"/>
  <c r="AG92" i="1"/>
  <c r="AI92" i="1" s="1"/>
  <c r="AG108" i="1"/>
  <c r="AI108" i="1" s="1"/>
  <c r="AG124" i="1"/>
  <c r="AI124" i="1" s="1"/>
  <c r="AG140" i="1"/>
  <c r="AI140" i="1" s="1"/>
  <c r="AG156" i="1"/>
  <c r="AI156" i="1" s="1"/>
  <c r="AG172" i="1"/>
  <c r="AI172" i="1" s="1"/>
  <c r="AF222" i="1"/>
  <c r="AG250" i="1"/>
  <c r="AI250" i="1" s="1"/>
  <c r="AG279" i="1"/>
  <c r="AI279" i="1" s="1"/>
  <c r="AF287" i="1"/>
  <c r="AG287" i="1" s="1"/>
  <c r="AI287" i="1" s="1"/>
  <c r="AG297" i="1"/>
  <c r="AI297" i="1" s="1"/>
  <c r="AF297" i="1"/>
  <c r="AF384" i="1"/>
  <c r="AG384" i="1" s="1"/>
  <c r="AI384" i="1" s="1"/>
  <c r="AG572" i="1"/>
  <c r="AI572" i="1" s="1"/>
  <c r="AF257" i="1"/>
  <c r="AG257" i="1" s="1"/>
  <c r="AI257" i="1" s="1"/>
  <c r="AF486" i="1"/>
  <c r="AG486" i="1" s="1"/>
  <c r="AI486" i="1" s="1"/>
  <c r="AG89" i="1"/>
  <c r="AI89" i="1" s="1"/>
  <c r="AF89" i="1"/>
  <c r="AF201" i="1"/>
  <c r="AG201" i="1" s="1"/>
  <c r="AI201" i="1" s="1"/>
  <c r="AF274" i="1"/>
  <c r="AG274" i="1" s="1"/>
  <c r="AI274" i="1" s="1"/>
  <c r="AF93" i="1"/>
  <c r="AG93" i="1" s="1"/>
  <c r="AI93" i="1" s="1"/>
  <c r="AG109" i="1"/>
  <c r="AI109" i="1" s="1"/>
  <c r="AF109" i="1"/>
  <c r="AF125" i="1"/>
  <c r="AG125" i="1" s="1"/>
  <c r="AI125" i="1" s="1"/>
  <c r="AF141" i="1"/>
  <c r="AG141" i="1" s="1"/>
  <c r="AI141" i="1" s="1"/>
  <c r="AF157" i="1"/>
  <c r="AG157" i="1" s="1"/>
  <c r="AI157" i="1" s="1"/>
  <c r="AG173" i="1"/>
  <c r="AI173" i="1" s="1"/>
  <c r="AF173" i="1"/>
  <c r="AF189" i="1"/>
  <c r="AG189" i="1" s="1"/>
  <c r="AI189" i="1" s="1"/>
  <c r="AF205" i="1"/>
  <c r="AG205" i="1" s="1"/>
  <c r="AI205" i="1" s="1"/>
  <c r="AF229" i="1"/>
  <c r="AG229" i="1" s="1"/>
  <c r="AI229" i="1" s="1"/>
  <c r="AF243" i="1"/>
  <c r="AG243" i="1" s="1"/>
  <c r="AI243" i="1" s="1"/>
  <c r="AG258" i="1"/>
  <c r="AI258" i="1" s="1"/>
  <c r="AF409" i="1"/>
  <c r="AG409" i="1" s="1"/>
  <c r="AI409" i="1" s="1"/>
  <c r="AF454" i="1"/>
  <c r="AG454" i="1" s="1"/>
  <c r="AI454" i="1" s="1"/>
  <c r="AG487" i="1"/>
  <c r="AI487" i="1" s="1"/>
  <c r="AF487" i="1"/>
  <c r="AF518" i="1"/>
  <c r="AG518" i="1" s="1"/>
  <c r="AI518" i="1" s="1"/>
  <c r="AF265" i="1"/>
  <c r="AG265" i="1" s="1"/>
  <c r="AI265" i="1" s="1"/>
  <c r="AG308" i="1"/>
  <c r="AI308" i="1" s="1"/>
  <c r="AF308" i="1"/>
  <c r="AF352" i="1"/>
  <c r="AG352" i="1" s="1"/>
  <c r="AI352" i="1" s="1"/>
  <c r="AF455" i="1"/>
  <c r="AG455" i="1" s="1"/>
  <c r="AI455" i="1" s="1"/>
  <c r="AF519" i="1"/>
  <c r="AG519" i="1" s="1"/>
  <c r="AI519" i="1" s="1"/>
  <c r="AF550" i="1"/>
  <c r="AG550" i="1" s="1"/>
  <c r="AI550" i="1" s="1"/>
  <c r="AG169" i="1"/>
  <c r="AI169" i="1" s="1"/>
  <c r="AF169" i="1"/>
  <c r="AF3" i="1"/>
  <c r="AG3" i="1" s="1"/>
  <c r="AI3" i="1" s="1"/>
  <c r="AF7" i="1"/>
  <c r="AG7" i="1" s="1"/>
  <c r="AI7" i="1" s="1"/>
  <c r="AF11" i="1"/>
  <c r="AG11" i="1" s="1"/>
  <c r="AI11" i="1" s="1"/>
  <c r="AF15" i="1"/>
  <c r="AG15" i="1" s="1"/>
  <c r="AI15" i="1" s="1"/>
  <c r="AF19" i="1"/>
  <c r="AG19" i="1" s="1"/>
  <c r="AI19" i="1" s="1"/>
  <c r="AF23" i="1"/>
  <c r="AG23" i="1" s="1"/>
  <c r="AI23" i="1" s="1"/>
  <c r="AF27" i="1"/>
  <c r="AG27" i="1" s="1"/>
  <c r="AI27" i="1" s="1"/>
  <c r="AF31" i="1"/>
  <c r="AG31" i="1" s="1"/>
  <c r="AI31" i="1" s="1"/>
  <c r="AF35" i="1"/>
  <c r="AG35" i="1" s="1"/>
  <c r="AI35" i="1" s="1"/>
  <c r="AF39" i="1"/>
  <c r="AG39" i="1" s="1"/>
  <c r="AI39" i="1" s="1"/>
  <c r="AF43" i="1"/>
  <c r="AG43" i="1" s="1"/>
  <c r="AI43" i="1" s="1"/>
  <c r="AF47" i="1"/>
  <c r="AG47" i="1" s="1"/>
  <c r="AI47" i="1" s="1"/>
  <c r="AF51" i="1"/>
  <c r="AG51" i="1" s="1"/>
  <c r="AI51" i="1" s="1"/>
  <c r="AF55" i="1"/>
  <c r="AG55" i="1" s="1"/>
  <c r="AI55" i="1" s="1"/>
  <c r="AF59" i="1"/>
  <c r="AG59" i="1" s="1"/>
  <c r="AI59" i="1" s="1"/>
  <c r="AF63" i="1"/>
  <c r="AG63" i="1" s="1"/>
  <c r="AI63" i="1" s="1"/>
  <c r="AF67" i="1"/>
  <c r="AG67" i="1" s="1"/>
  <c r="AI67" i="1" s="1"/>
  <c r="AF71" i="1"/>
  <c r="AG71" i="1" s="1"/>
  <c r="AI71" i="1" s="1"/>
  <c r="AF75" i="1"/>
  <c r="AG75" i="1" s="1"/>
  <c r="AI75" i="1" s="1"/>
  <c r="AF79" i="1"/>
  <c r="AG79" i="1" s="1"/>
  <c r="AI79" i="1" s="1"/>
  <c r="AF83" i="1"/>
  <c r="AG83" i="1" s="1"/>
  <c r="AI83" i="1" s="1"/>
  <c r="AG88" i="1"/>
  <c r="AI88" i="1" s="1"/>
  <c r="AG104" i="1"/>
  <c r="AI104" i="1" s="1"/>
  <c r="AG120" i="1"/>
  <c r="AI120" i="1" s="1"/>
  <c r="AG136" i="1"/>
  <c r="AI136" i="1" s="1"/>
  <c r="AG152" i="1"/>
  <c r="AI152" i="1" s="1"/>
  <c r="AG168" i="1"/>
  <c r="AI168" i="1" s="1"/>
  <c r="AF217" i="1"/>
  <c r="AG217" i="1" s="1"/>
  <c r="AI217" i="1" s="1"/>
  <c r="AF230" i="1"/>
  <c r="AG230" i="1" s="1"/>
  <c r="AI230" i="1" s="1"/>
  <c r="AF237" i="1"/>
  <c r="AG237" i="1" s="1"/>
  <c r="AI237" i="1" s="1"/>
  <c r="AF251" i="1"/>
  <c r="AG251" i="1" s="1"/>
  <c r="AI251" i="1" s="1"/>
  <c r="AF280" i="1"/>
  <c r="AG280" i="1" s="1"/>
  <c r="AI280" i="1" s="1"/>
  <c r="AF290" i="1"/>
  <c r="AG290" i="1" s="1"/>
  <c r="AI290" i="1" s="1"/>
  <c r="AG422" i="1"/>
  <c r="AI422" i="1" s="1"/>
  <c r="AF422" i="1"/>
  <c r="AF551" i="1"/>
  <c r="AG551" i="1" s="1"/>
  <c r="AI551" i="1" s="1"/>
  <c r="AF121" i="1"/>
  <c r="AG121" i="1" s="1"/>
  <c r="AI121" i="1" s="1"/>
  <c r="AF185" i="1"/>
  <c r="AG185" i="1" s="1"/>
  <c r="AI185" i="1" s="1"/>
  <c r="AG245" i="1"/>
  <c r="AI245" i="1" s="1"/>
  <c r="AF245" i="1"/>
  <c r="AG246" i="1"/>
  <c r="AI246" i="1" s="1"/>
  <c r="AF390" i="1"/>
  <c r="AG390" i="1" s="1"/>
  <c r="AI390" i="1" s="1"/>
  <c r="AG218" i="1"/>
  <c r="AI218" i="1" s="1"/>
  <c r="AG238" i="1"/>
  <c r="AI238" i="1" s="1"/>
  <c r="AG300" i="1"/>
  <c r="AI300" i="1" s="1"/>
  <c r="AF300" i="1"/>
  <c r="AF309" i="1"/>
  <c r="AG309" i="1" s="1"/>
  <c r="AI309" i="1" s="1"/>
  <c r="AF320" i="1"/>
  <c r="AG320" i="1" s="1"/>
  <c r="AI320" i="1" s="1"/>
  <c r="AF377" i="1"/>
  <c r="AG377" i="1" s="1"/>
  <c r="AI377" i="1" s="1"/>
  <c r="AG423" i="1"/>
  <c r="AI423" i="1" s="1"/>
  <c r="AF423" i="1"/>
  <c r="AF278" i="1"/>
  <c r="AG278" i="1" s="1"/>
  <c r="AI278" i="1" s="1"/>
  <c r="AF301" i="1"/>
  <c r="AG301" i="1" s="1"/>
  <c r="AI301" i="1" s="1"/>
  <c r="AG332" i="1"/>
  <c r="AI332" i="1" s="1"/>
  <c r="AG364" i="1"/>
  <c r="AI364" i="1" s="1"/>
  <c r="AG396" i="1"/>
  <c r="AI396" i="1" s="1"/>
  <c r="AG428" i="1"/>
  <c r="AI428" i="1" s="1"/>
  <c r="AG460" i="1"/>
  <c r="AI460" i="1" s="1"/>
  <c r="AG492" i="1"/>
  <c r="AI492" i="1" s="1"/>
  <c r="AG524" i="1"/>
  <c r="AI524" i="1" s="1"/>
  <c r="AG556" i="1"/>
  <c r="AI556" i="1" s="1"/>
  <c r="AG563" i="1"/>
  <c r="AI563" i="1" s="1"/>
  <c r="AF590" i="1"/>
  <c r="AG590" i="1" s="1"/>
  <c r="AI590" i="1" s="1"/>
  <c r="AG273" i="1"/>
  <c r="AI273" i="1" s="1"/>
  <c r="AF273" i="1"/>
  <c r="AF314" i="1"/>
  <c r="AG314" i="1" s="1"/>
  <c r="AI314" i="1" s="1"/>
  <c r="AF333" i="1"/>
  <c r="AG333" i="1" s="1"/>
  <c r="AI333" i="1" s="1"/>
  <c r="AG346" i="1"/>
  <c r="AI346" i="1" s="1"/>
  <c r="AF346" i="1"/>
  <c r="AF365" i="1"/>
  <c r="AG365" i="1" s="1"/>
  <c r="AI365" i="1" s="1"/>
  <c r="AF378" i="1"/>
  <c r="AG378" i="1" s="1"/>
  <c r="AI378" i="1" s="1"/>
  <c r="AF397" i="1"/>
  <c r="AG397" i="1" s="1"/>
  <c r="AI397" i="1" s="1"/>
  <c r="AF410" i="1"/>
  <c r="AG410" i="1" s="1"/>
  <c r="AI410" i="1" s="1"/>
  <c r="AG429" i="1"/>
  <c r="AI429" i="1" s="1"/>
  <c r="AF429" i="1"/>
  <c r="AG442" i="1"/>
  <c r="AI442" i="1" s="1"/>
  <c r="AF442" i="1"/>
  <c r="AF461" i="1"/>
  <c r="AG461" i="1" s="1"/>
  <c r="AI461" i="1" s="1"/>
  <c r="AG474" i="1"/>
  <c r="AI474" i="1" s="1"/>
  <c r="AF474" i="1"/>
  <c r="AF506" i="1"/>
  <c r="AG506" i="1" s="1"/>
  <c r="AI506" i="1" s="1"/>
  <c r="AF538" i="1"/>
  <c r="AG538" i="1" s="1"/>
  <c r="AI538" i="1" s="1"/>
  <c r="AG564" i="1"/>
  <c r="AI564" i="1" s="1"/>
  <c r="AG592" i="1"/>
  <c r="AI592" i="1" s="1"/>
  <c r="AF592" i="1"/>
  <c r="AG340" i="1"/>
  <c r="AI340" i="1" s="1"/>
  <c r="AG372" i="1"/>
  <c r="AI372" i="1" s="1"/>
  <c r="AG404" i="1"/>
  <c r="AI404" i="1" s="1"/>
  <c r="AG436" i="1"/>
  <c r="AI436" i="1" s="1"/>
  <c r="AG468" i="1"/>
  <c r="AI468" i="1" s="1"/>
  <c r="AG500" i="1"/>
  <c r="AI500" i="1" s="1"/>
  <c r="AG532" i="1"/>
  <c r="AI532" i="1" s="1"/>
  <c r="AF564" i="1"/>
  <c r="AF574" i="1"/>
  <c r="AG574" i="1" s="1"/>
  <c r="AI574" i="1" s="1"/>
  <c r="AF583" i="1"/>
  <c r="AG583" i="1" s="1"/>
  <c r="AI583" i="1" s="1"/>
  <c r="AG593" i="1"/>
  <c r="AI593" i="1" s="1"/>
  <c r="AG334" i="1"/>
  <c r="AI334" i="1" s="1"/>
  <c r="AF334" i="1"/>
  <c r="AG353" i="1"/>
  <c r="AI353" i="1" s="1"/>
  <c r="AF353" i="1"/>
  <c r="AF366" i="1"/>
  <c r="AG366" i="1" s="1"/>
  <c r="AI366" i="1" s="1"/>
  <c r="AG385" i="1"/>
  <c r="AI385" i="1" s="1"/>
  <c r="AF385" i="1"/>
  <c r="AF398" i="1"/>
  <c r="AG398" i="1" s="1"/>
  <c r="AI398" i="1" s="1"/>
  <c r="AF417" i="1"/>
  <c r="AG417" i="1" s="1"/>
  <c r="AI417" i="1" s="1"/>
  <c r="AF430" i="1"/>
  <c r="AG430" i="1" s="1"/>
  <c r="AI430" i="1" s="1"/>
  <c r="AF449" i="1"/>
  <c r="AG449" i="1" s="1"/>
  <c r="AI449" i="1" s="1"/>
  <c r="AG462" i="1"/>
  <c r="AI462" i="1" s="1"/>
  <c r="AF462" i="1"/>
  <c r="AF494" i="1"/>
  <c r="AG494" i="1" s="1"/>
  <c r="AI494" i="1" s="1"/>
  <c r="AG526" i="1"/>
  <c r="AI526" i="1" s="1"/>
  <c r="AF526" i="1"/>
  <c r="AF558" i="1"/>
  <c r="AG558" i="1" s="1"/>
  <c r="AI558" i="1" s="1"/>
  <c r="AG575" i="1"/>
  <c r="AI575" i="1" s="1"/>
  <c r="AF594" i="1"/>
  <c r="AG594" i="1" s="1"/>
  <c r="AI594" i="1" s="1"/>
  <c r="AG360" i="1"/>
  <c r="AI360" i="1" s="1"/>
  <c r="AG392" i="1"/>
  <c r="AI392" i="1" s="1"/>
  <c r="AG456" i="1"/>
  <c r="AI456" i="1" s="1"/>
  <c r="AG520" i="1"/>
  <c r="AI520" i="1" s="1"/>
  <c r="AG566" i="1"/>
  <c r="AI566" i="1" s="1"/>
  <c r="AF566" i="1"/>
  <c r="AF298" i="1"/>
  <c r="AG298" i="1" s="1"/>
  <c r="AI298" i="1" s="1"/>
  <c r="AF322" i="1"/>
  <c r="AG322" i="1" s="1"/>
  <c r="AI322" i="1" s="1"/>
  <c r="AF328" i="1"/>
  <c r="AG328" i="1" s="1"/>
  <c r="AI328" i="1" s="1"/>
  <c r="AF335" i="1"/>
  <c r="AG335" i="1" s="1"/>
  <c r="AI335" i="1" s="1"/>
  <c r="AG341" i="1"/>
  <c r="AI341" i="1" s="1"/>
  <c r="AF341" i="1"/>
  <c r="AG354" i="1"/>
  <c r="AI354" i="1" s="1"/>
  <c r="AF354" i="1"/>
  <c r="AF360" i="1"/>
  <c r="AF367" i="1"/>
  <c r="AG367" i="1" s="1"/>
  <c r="AI367" i="1" s="1"/>
  <c r="AG373" i="1"/>
  <c r="AI373" i="1" s="1"/>
  <c r="AF373" i="1"/>
  <c r="AF386" i="1"/>
  <c r="AG386" i="1" s="1"/>
  <c r="AI386" i="1" s="1"/>
  <c r="AF392" i="1"/>
  <c r="AF399" i="1"/>
  <c r="AG399" i="1" s="1"/>
  <c r="AI399" i="1" s="1"/>
  <c r="AF405" i="1"/>
  <c r="AG405" i="1" s="1"/>
  <c r="AI405" i="1" s="1"/>
  <c r="AF418" i="1"/>
  <c r="AG418" i="1" s="1"/>
  <c r="AI418" i="1" s="1"/>
  <c r="AF424" i="1"/>
  <c r="AG424" i="1" s="1"/>
  <c r="AI424" i="1" s="1"/>
  <c r="AF431" i="1"/>
  <c r="AG431" i="1" s="1"/>
  <c r="AI431" i="1" s="1"/>
  <c r="AG437" i="1"/>
  <c r="AI437" i="1" s="1"/>
  <c r="AF437" i="1"/>
  <c r="AF450" i="1"/>
  <c r="AG450" i="1" s="1"/>
  <c r="AI450" i="1" s="1"/>
  <c r="AF456" i="1"/>
  <c r="AF463" i="1"/>
  <c r="AF469" i="1"/>
  <c r="AG469" i="1" s="1"/>
  <c r="AI469" i="1" s="1"/>
  <c r="AF482" i="1"/>
  <c r="AG482" i="1" s="1"/>
  <c r="AI482" i="1" s="1"/>
  <c r="AF488" i="1"/>
  <c r="AG488" i="1" s="1"/>
  <c r="AI488" i="1" s="1"/>
  <c r="AF495" i="1"/>
  <c r="AG495" i="1" s="1"/>
  <c r="AI495" i="1" s="1"/>
  <c r="AG514" i="1"/>
  <c r="AI514" i="1" s="1"/>
  <c r="AF514" i="1"/>
  <c r="AF520" i="1"/>
  <c r="AF527" i="1"/>
  <c r="AG527" i="1" s="1"/>
  <c r="AI527" i="1" s="1"/>
  <c r="AF546" i="1"/>
  <c r="AG546" i="1" s="1"/>
  <c r="AI546" i="1" s="1"/>
  <c r="AF552" i="1"/>
  <c r="AG552" i="1" s="1"/>
  <c r="AI552" i="1" s="1"/>
  <c r="AF559" i="1"/>
  <c r="AG559" i="1" s="1"/>
  <c r="AI559" i="1" s="1"/>
  <c r="AF584" i="1"/>
  <c r="AG584" i="1" s="1"/>
  <c r="AI584" i="1" s="1"/>
  <c r="AF595" i="1"/>
  <c r="AG595" i="1" s="1"/>
  <c r="AI595" i="1" s="1"/>
  <c r="AF269" i="1"/>
  <c r="AG269" i="1" s="1"/>
  <c r="AI269" i="1" s="1"/>
  <c r="AF304" i="1"/>
  <c r="AG304" i="1" s="1"/>
  <c r="AI304" i="1" s="1"/>
  <c r="AF310" i="1"/>
  <c r="AG310" i="1" s="1"/>
  <c r="AI310" i="1" s="1"/>
  <c r="AG316" i="1"/>
  <c r="AI316" i="1" s="1"/>
  <c r="AG348" i="1"/>
  <c r="AI348" i="1" s="1"/>
  <c r="AG380" i="1"/>
  <c r="AI380" i="1" s="1"/>
  <c r="AG412" i="1"/>
  <c r="AI412" i="1" s="1"/>
  <c r="AG444" i="1"/>
  <c r="AI444" i="1" s="1"/>
  <c r="AG476" i="1"/>
  <c r="AI476" i="1" s="1"/>
  <c r="AG508" i="1"/>
  <c r="AI508" i="1" s="1"/>
  <c r="AG540" i="1"/>
  <c r="AI540" i="1" s="1"/>
  <c r="AF567" i="1"/>
  <c r="AG567" i="1" s="1"/>
  <c r="AI567" i="1" s="1"/>
  <c r="AG576" i="1"/>
  <c r="AI576" i="1" s="1"/>
  <c r="AF596" i="1"/>
  <c r="AG596" i="1" s="1"/>
  <c r="AI596" i="1" s="1"/>
  <c r="AF281" i="1"/>
  <c r="AG281" i="1" s="1"/>
  <c r="AI281" i="1" s="1"/>
  <c r="AG329" i="1"/>
  <c r="AI329" i="1" s="1"/>
  <c r="AF329" i="1"/>
  <c r="AF342" i="1"/>
  <c r="AG342" i="1" s="1"/>
  <c r="AI342" i="1" s="1"/>
  <c r="AF361" i="1"/>
  <c r="AG361" i="1" s="1"/>
  <c r="AI361" i="1" s="1"/>
  <c r="AF374" i="1"/>
  <c r="AG374" i="1" s="1"/>
  <c r="AI374" i="1" s="1"/>
  <c r="AG393" i="1"/>
  <c r="AI393" i="1" s="1"/>
  <c r="AF393" i="1"/>
  <c r="AG406" i="1"/>
  <c r="AI406" i="1" s="1"/>
  <c r="AF406" i="1"/>
  <c r="AF425" i="1"/>
  <c r="AG425" i="1" s="1"/>
  <c r="AI425" i="1" s="1"/>
  <c r="AF438" i="1"/>
  <c r="AG438" i="1" s="1"/>
  <c r="AI438" i="1" s="1"/>
  <c r="AG457" i="1"/>
  <c r="AI457" i="1" s="1"/>
  <c r="AF457" i="1"/>
  <c r="AF470" i="1"/>
  <c r="AG470" i="1" s="1"/>
  <c r="AI470" i="1" s="1"/>
  <c r="AF502" i="1"/>
  <c r="AG502" i="1" s="1"/>
  <c r="AI502" i="1" s="1"/>
  <c r="AG534" i="1"/>
  <c r="AI534" i="1" s="1"/>
  <c r="AF534" i="1"/>
  <c r="AG553" i="1"/>
  <c r="AI553" i="1" s="1"/>
  <c r="AF586" i="1"/>
  <c r="AG586" i="1" s="1"/>
  <c r="AI586" i="1" s="1"/>
  <c r="AG597" i="1"/>
  <c r="AI597" i="1" s="1"/>
  <c r="AF270" i="1"/>
  <c r="AG270" i="1" s="1"/>
  <c r="AI270" i="1" s="1"/>
  <c r="AG293" i="1"/>
  <c r="AI293" i="1" s="1"/>
  <c r="AF293" i="1"/>
  <c r="AG336" i="1"/>
  <c r="AI336" i="1" s="1"/>
  <c r="AG368" i="1"/>
  <c r="AI368" i="1" s="1"/>
  <c r="AG400" i="1"/>
  <c r="AI400" i="1" s="1"/>
  <c r="AG432" i="1"/>
  <c r="AI432" i="1" s="1"/>
  <c r="AG464" i="1"/>
  <c r="AI464" i="1" s="1"/>
  <c r="AG496" i="1"/>
  <c r="AI496" i="1" s="1"/>
  <c r="AG528" i="1"/>
  <c r="AI528" i="1" s="1"/>
  <c r="AG560" i="1"/>
  <c r="AI560" i="1" s="1"/>
  <c r="AG568" i="1"/>
  <c r="AI568" i="1" s="1"/>
  <c r="AG587" i="1"/>
  <c r="AI587" i="1" s="1"/>
  <c r="AF282" i="1"/>
  <c r="AG282" i="1" s="1"/>
  <c r="AI282" i="1" s="1"/>
  <c r="AG305" i="1"/>
  <c r="AI305" i="1" s="1"/>
  <c r="AF305" i="1"/>
  <c r="AF317" i="1"/>
  <c r="AG317" i="1" s="1"/>
  <c r="AI317" i="1" s="1"/>
  <c r="AF330" i="1"/>
  <c r="AG330" i="1" s="1"/>
  <c r="AI330" i="1" s="1"/>
  <c r="AF349" i="1"/>
  <c r="AG349" i="1" s="1"/>
  <c r="AI349" i="1" s="1"/>
  <c r="AG362" i="1"/>
  <c r="AI362" i="1" s="1"/>
  <c r="AF362" i="1"/>
  <c r="AG381" i="1"/>
  <c r="AI381" i="1" s="1"/>
  <c r="AF381" i="1"/>
  <c r="AF394" i="1"/>
  <c r="AG394" i="1" s="1"/>
  <c r="AI394" i="1" s="1"/>
  <c r="AF413" i="1"/>
  <c r="AG413" i="1" s="1"/>
  <c r="AI413" i="1" s="1"/>
  <c r="AG426" i="1"/>
  <c r="AI426" i="1" s="1"/>
  <c r="AF426" i="1"/>
  <c r="AF445" i="1"/>
  <c r="AG445" i="1" s="1"/>
  <c r="AI445" i="1" s="1"/>
  <c r="AF458" i="1"/>
  <c r="AG458" i="1" s="1"/>
  <c r="AI458" i="1" s="1"/>
  <c r="AG490" i="1"/>
  <c r="AI490" i="1" s="1"/>
  <c r="AF490" i="1"/>
  <c r="AG522" i="1"/>
  <c r="AI522" i="1" s="1"/>
  <c r="AF522" i="1"/>
  <c r="AF554" i="1"/>
  <c r="AG554" i="1" s="1"/>
  <c r="AI554" i="1" s="1"/>
  <c r="AF578" i="1"/>
  <c r="AG578" i="1" s="1"/>
  <c r="AI578" i="1" s="1"/>
  <c r="AG599" i="1"/>
  <c r="AI599" i="1" s="1"/>
  <c r="AG356" i="1"/>
  <c r="AI356" i="1" s="1"/>
  <c r="AG452" i="1"/>
  <c r="AI452" i="1" s="1"/>
  <c r="AG484" i="1"/>
  <c r="AI484" i="1" s="1"/>
  <c r="AG516" i="1"/>
  <c r="AI516" i="1" s="1"/>
  <c r="AG548" i="1"/>
  <c r="AI548" i="1" s="1"/>
  <c r="AG579" i="1"/>
  <c r="AI579" i="1" s="1"/>
  <c r="AF599" i="1"/>
  <c r="AF306" i="1"/>
  <c r="AG306" i="1" s="1"/>
  <c r="AI306" i="1" s="1"/>
  <c r="AF318" i="1"/>
  <c r="AG318" i="1" s="1"/>
  <c r="AI318" i="1" s="1"/>
  <c r="AF324" i="1"/>
  <c r="AG324" i="1" s="1"/>
  <c r="AI324" i="1" s="1"/>
  <c r="AF331" i="1"/>
  <c r="AG331" i="1" s="1"/>
  <c r="AI331" i="1" s="1"/>
  <c r="AG337" i="1"/>
  <c r="AI337" i="1" s="1"/>
  <c r="AF337" i="1"/>
  <c r="AF350" i="1"/>
  <c r="AG350" i="1" s="1"/>
  <c r="AI350" i="1" s="1"/>
  <c r="AF356" i="1"/>
  <c r="AF363" i="1"/>
  <c r="AG363" i="1" s="1"/>
  <c r="AI363" i="1" s="1"/>
  <c r="AF369" i="1"/>
  <c r="AG369" i="1" s="1"/>
  <c r="AI369" i="1" s="1"/>
  <c r="AF382" i="1"/>
  <c r="AG382" i="1" s="1"/>
  <c r="AI382" i="1" s="1"/>
  <c r="AF388" i="1"/>
  <c r="AG388" i="1" s="1"/>
  <c r="AI388" i="1" s="1"/>
  <c r="AF395" i="1"/>
  <c r="AG395" i="1" s="1"/>
  <c r="AI395" i="1" s="1"/>
  <c r="AF401" i="1"/>
  <c r="AG401" i="1" s="1"/>
  <c r="AI401" i="1" s="1"/>
  <c r="AG414" i="1"/>
  <c r="AI414" i="1" s="1"/>
  <c r="AF414" i="1"/>
  <c r="AF420" i="1"/>
  <c r="AG420" i="1" s="1"/>
  <c r="AI420" i="1" s="1"/>
  <c r="AF427" i="1"/>
  <c r="AG427" i="1" s="1"/>
  <c r="AI427" i="1" s="1"/>
  <c r="AF433" i="1"/>
  <c r="AG433" i="1" s="1"/>
  <c r="AI433" i="1" s="1"/>
  <c r="AG446" i="1"/>
  <c r="AI446" i="1" s="1"/>
  <c r="AF446" i="1"/>
  <c r="AF452" i="1"/>
  <c r="AF459" i="1"/>
  <c r="AG459" i="1" s="1"/>
  <c r="AI459" i="1" s="1"/>
  <c r="AF465" i="1"/>
  <c r="AG465" i="1" s="1"/>
  <c r="AI465" i="1" s="1"/>
  <c r="AF478" i="1"/>
  <c r="AG478" i="1" s="1"/>
  <c r="AI478" i="1" s="1"/>
  <c r="AG497" i="1"/>
  <c r="AI497" i="1" s="1"/>
  <c r="AG510" i="1"/>
  <c r="AI510" i="1" s="1"/>
  <c r="AF510" i="1"/>
  <c r="AG542" i="1"/>
  <c r="AI542" i="1" s="1"/>
  <c r="AF542" i="1"/>
  <c r="AF570" i="1"/>
  <c r="AG570" i="1" s="1"/>
  <c r="AI570" i="1" s="1"/>
  <c r="AF277" i="1"/>
  <c r="AG277" i="1" s="1"/>
  <c r="AI277" i="1" s="1"/>
  <c r="AF295" i="1"/>
  <c r="AG295" i="1" s="1"/>
  <c r="AI295" i="1" s="1"/>
  <c r="AF312" i="1"/>
  <c r="AG312" i="1" s="1"/>
  <c r="AI312" i="1" s="1"/>
  <c r="AG376" i="1"/>
  <c r="AI376" i="1" s="1"/>
  <c r="AG408" i="1"/>
  <c r="AI408" i="1" s="1"/>
  <c r="AG504" i="1"/>
  <c r="AI504" i="1" s="1"/>
  <c r="AF588" i="1"/>
  <c r="AG588" i="1" s="1"/>
  <c r="AI588" i="1" s="1"/>
  <c r="AG266" i="1"/>
  <c r="AI266" i="1" s="1"/>
  <c r="AF266" i="1"/>
  <c r="AF289" i="1"/>
  <c r="AG289" i="1" s="1"/>
  <c r="AI289" i="1" s="1"/>
  <c r="AF325" i="1"/>
  <c r="AG325" i="1" s="1"/>
  <c r="AI325" i="1" s="1"/>
  <c r="AF338" i="1"/>
  <c r="AG338" i="1" s="1"/>
  <c r="AI338" i="1" s="1"/>
  <c r="AF344" i="1"/>
  <c r="AG344" i="1" s="1"/>
  <c r="AI344" i="1" s="1"/>
  <c r="AG357" i="1"/>
  <c r="AI357" i="1" s="1"/>
  <c r="AF357" i="1"/>
  <c r="AG370" i="1"/>
  <c r="AI370" i="1" s="1"/>
  <c r="AF370" i="1"/>
  <c r="AF376" i="1"/>
  <c r="AF389" i="1"/>
  <c r="AG389" i="1" s="1"/>
  <c r="AI389" i="1" s="1"/>
  <c r="AG402" i="1"/>
  <c r="AI402" i="1" s="1"/>
  <c r="AF402" i="1"/>
  <c r="AF408" i="1"/>
  <c r="AF421" i="1"/>
  <c r="AG421" i="1" s="1"/>
  <c r="AI421" i="1" s="1"/>
  <c r="AF434" i="1"/>
  <c r="AG434" i="1" s="1"/>
  <c r="AI434" i="1" s="1"/>
  <c r="AF440" i="1"/>
  <c r="AG440" i="1" s="1"/>
  <c r="AI440" i="1" s="1"/>
  <c r="AG453" i="1"/>
  <c r="AI453" i="1" s="1"/>
  <c r="AF453" i="1"/>
  <c r="AF466" i="1"/>
  <c r="AG466" i="1" s="1"/>
  <c r="AI466" i="1" s="1"/>
  <c r="AF472" i="1"/>
  <c r="AG472" i="1" s="1"/>
  <c r="AI472" i="1" s="1"/>
  <c r="AG485" i="1"/>
  <c r="AI485" i="1" s="1"/>
  <c r="AF498" i="1"/>
  <c r="AG498" i="1" s="1"/>
  <c r="AI498" i="1" s="1"/>
  <c r="AF504" i="1"/>
  <c r="AF530" i="1"/>
  <c r="AG530" i="1" s="1"/>
  <c r="AI530" i="1" s="1"/>
  <c r="AF536" i="1"/>
  <c r="AG536" i="1" s="1"/>
  <c r="AI536" i="1" s="1"/>
  <c r="AG549" i="1"/>
  <c r="AI549" i="1" s="1"/>
  <c r="AF562" i="1"/>
  <c r="AG562" i="1" s="1"/>
  <c r="AI562" i="1" s="1"/>
  <c r="AF571" i="1"/>
  <c r="AG571" i="1" s="1"/>
  <c r="AI571" i="1" s="1"/>
  <c r="AG580" i="1"/>
  <c r="AI580" i="1" s="1"/>
  <c r="AG602" i="1"/>
  <c r="AI602" i="1" s="1"/>
  <c r="AF600" i="1"/>
  <c r="AG600" i="1" s="1"/>
  <c r="AI600" i="1" s="1"/>
  <c r="AF473" i="1"/>
  <c r="AG473" i="1" s="1"/>
  <c r="AI473" i="1" s="1"/>
  <c r="AF477" i="1"/>
  <c r="AG477" i="1" s="1"/>
  <c r="AI477" i="1" s="1"/>
  <c r="AF481" i="1"/>
  <c r="AG481" i="1" s="1"/>
  <c r="AI481" i="1" s="1"/>
  <c r="AF485" i="1"/>
  <c r="AF489" i="1"/>
  <c r="AG489" i="1" s="1"/>
  <c r="AI489" i="1" s="1"/>
  <c r="AF493" i="1"/>
  <c r="AG493" i="1" s="1"/>
  <c r="AI493" i="1" s="1"/>
  <c r="AF497" i="1"/>
  <c r="AF501" i="1"/>
  <c r="AG501" i="1" s="1"/>
  <c r="AI501" i="1" s="1"/>
  <c r="AF505" i="1"/>
  <c r="AG505" i="1" s="1"/>
  <c r="AI505" i="1" s="1"/>
  <c r="AF509" i="1"/>
  <c r="AG509" i="1" s="1"/>
  <c r="AI509" i="1" s="1"/>
  <c r="AF513" i="1"/>
  <c r="AG513" i="1" s="1"/>
  <c r="AI513" i="1" s="1"/>
  <c r="AF517" i="1"/>
  <c r="AG517" i="1" s="1"/>
  <c r="AI517" i="1" s="1"/>
  <c r="AF521" i="1"/>
  <c r="AG521" i="1" s="1"/>
  <c r="AI521" i="1" s="1"/>
  <c r="AF525" i="1"/>
  <c r="AG525" i="1" s="1"/>
  <c r="AI525" i="1" s="1"/>
  <c r="AF529" i="1"/>
  <c r="AG529" i="1" s="1"/>
  <c r="AI529" i="1" s="1"/>
  <c r="AF533" i="1"/>
  <c r="AG533" i="1" s="1"/>
  <c r="AI533" i="1" s="1"/>
  <c r="AF537" i="1"/>
  <c r="AG537" i="1" s="1"/>
  <c r="AI537" i="1" s="1"/>
  <c r="AF541" i="1"/>
  <c r="AG541" i="1" s="1"/>
  <c r="AI541" i="1" s="1"/>
  <c r="AF545" i="1"/>
  <c r="AG545" i="1" s="1"/>
  <c r="AI545" i="1" s="1"/>
  <c r="AF549" i="1"/>
  <c r="AF553" i="1"/>
  <c r="AF557" i="1"/>
  <c r="AG557" i="1" s="1"/>
  <c r="AI557" i="1" s="1"/>
  <c r="AF561" i="1"/>
  <c r="AG561" i="1" s="1"/>
  <c r="AI561" i="1" s="1"/>
  <c r="AF565" i="1"/>
  <c r="AG565" i="1" s="1"/>
  <c r="AI565" i="1" s="1"/>
  <c r="AF569" i="1"/>
  <c r="AG569" i="1" s="1"/>
  <c r="AI569" i="1" s="1"/>
  <c r="AF573" i="1"/>
  <c r="AG573" i="1" s="1"/>
  <c r="AI573" i="1" s="1"/>
  <c r="AF577" i="1"/>
  <c r="AG577" i="1" s="1"/>
  <c r="AI577" i="1" s="1"/>
  <c r="AF581" i="1"/>
  <c r="AG581" i="1" s="1"/>
  <c r="AI581" i="1" s="1"/>
  <c r="AF585" i="1"/>
  <c r="AG585" i="1" s="1"/>
  <c r="AI585" i="1" s="1"/>
  <c r="AF589" i="1"/>
  <c r="AG589" i="1" s="1"/>
  <c r="AI589" i="1" s="1"/>
  <c r="AF593" i="1"/>
  <c r="AF597" i="1"/>
  <c r="AF601" i="1"/>
  <c r="AG601" i="1" s="1"/>
  <c r="AI601" i="1" s="1"/>
  <c r="AF598" i="1"/>
  <c r="AG598" i="1" s="1"/>
  <c r="AI598" i="1" s="1"/>
  <c r="AF602" i="1"/>
</calcChain>
</file>

<file path=xl/sharedStrings.xml><?xml version="1.0" encoding="utf-8"?>
<sst xmlns="http://schemas.openxmlformats.org/spreadsheetml/2006/main" count="12049" uniqueCount="1886">
  <si>
    <t>Global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</si>
  <si>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</si>
  <si>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</si>
  <si>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</si>
  <si>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</si>
  <si>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</si>
  <si>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</si>
  <si>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</si>
  <si>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</si>
  <si>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</si>
  <si>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</si>
  <si>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</si>
  <si>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</si>
  <si>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</si>
  <si>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</si>
  <si>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</si>
  <si>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</si>
  <si>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</si>
  <si>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</si>
  <si>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</si>
  <si>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</si>
  <si>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</si>
  <si>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</si>
  <si>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</si>
  <si>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</si>
  <si>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</si>
  <si>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</si>
  <si>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Flat Discount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</si>
  <si>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</si>
  <si>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</si>
  <si>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</si>
  <si>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</si>
  <si>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</si>
  <si>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</si>
  <si>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</si>
  <si>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Country</t>
  </si>
  <si>
    <t>ASN - Ninja Van at Pengkalan Chepa</t>
  </si>
  <si>
    <t>NAHKHODA LINK EXPRESS</t>
  </si>
  <si>
    <t>NVMY34535000014308</t>
  </si>
  <si>
    <t/>
  </si>
  <si>
    <t>Completed</t>
  </si>
  <si>
    <t>ATIKA NAZRI</t>
  </si>
  <si>
    <t>DELIVERY_THREE_DAYS_ANYTIME</t>
  </si>
  <si>
    <t>Parcel</t>
  </si>
  <si>
    <t>STANDARD</t>
  </si>
  <si>
    <t>SMALL</t>
  </si>
  <si>
    <t>Kota Bharu</t>
  </si>
  <si>
    <t>WMSIA</t>
  </si>
  <si>
    <t>PT 1128, Perumahan PKINK Pengkalan Chepa, Kelantan</t>
  </si>
  <si>
    <t>Putrajaya</t>
  </si>
  <si>
    <t>MENARA PJH, NO 2, JLN TUN ABDUL RAZAK, PRECINT 2, 62100 PUTRAJAYA</t>
  </si>
  <si>
    <t>MM-MM</t>
  </si>
  <si>
    <t>AHMAD RETAIL</t>
  </si>
  <si>
    <t>WM</t>
  </si>
  <si>
    <t>NVMY34535000014321</t>
  </si>
  <si>
    <t>AHMAD MUKHLIS B MOHD SUBRI</t>
  </si>
  <si>
    <t>Kedah</t>
  </si>
  <si>
    <t xml:space="preserve">MADRASAH MUHAMMADIAH PONDOK CAROK TALA JENERI 08200 SIK KEDAH </t>
  </si>
  <si>
    <t>A3-SIK-21-215</t>
  </si>
  <si>
    <t>NVMY34535000014373</t>
  </si>
  <si>
    <t>Nurul Fatihah Bt Ali</t>
  </si>
  <si>
    <t>Terengganu</t>
  </si>
  <si>
    <t>No 758 Kg Gong Rusila , 21600 Marang , Terengganu</t>
  </si>
  <si>
    <t>TGG-TGG</t>
  </si>
  <si>
    <t>NVMY34535000014335</t>
  </si>
  <si>
    <t>AINUR SHAHRIYAH</t>
  </si>
  <si>
    <t>Johor</t>
  </si>
  <si>
    <t>NO 29 JALAN DELIMA 10 TAMAN DELIMA 2, 86000 KLUANG JOHOR</t>
  </si>
  <si>
    <t>C2-KLU-5-76</t>
  </si>
  <si>
    <t>NVMY34535000014322</t>
  </si>
  <si>
    <t>RESOLUTION ERROR : (2.99347000, 100.84966300)</t>
  </si>
  <si>
    <t>NVMY34535000014323</t>
  </si>
  <si>
    <t>NVMY34535000014324</t>
  </si>
  <si>
    <t>NVMY34535000014351</t>
  </si>
  <si>
    <t>ABDULLAH BIN YACOB</t>
  </si>
  <si>
    <t>Kelantan</t>
  </si>
  <si>
    <t xml:space="preserve">NO 05 BLOK 04 FELDA CIKU 06 , 18300 GUA MUSANG KELANTAN </t>
  </si>
  <si>
    <t>AB1-GUA-27-10</t>
  </si>
  <si>
    <t>NVMY34535000014297</t>
  </si>
  <si>
    <t>MOHD AZROL GHANI</t>
  </si>
  <si>
    <t>Pulau Pinang</t>
  </si>
  <si>
    <t>8-3-3 FLAT JLN TENGAH BAYAN BARU 11950 BAYAN LEPAS PULAU PINANG</t>
  </si>
  <si>
    <t>B2-BAY-15-45</t>
  </si>
  <si>
    <t>NVMY34535000014310</t>
  </si>
  <si>
    <t>Aniz</t>
  </si>
  <si>
    <t>46, Jalan Indah 22/5, Taman Bukit Indah 2, 81200 Johor Bahru, Johor, Malaysia</t>
  </si>
  <si>
    <t>C1-GLG-9-64</t>
  </si>
  <si>
    <t>NVMY34535000014207</t>
  </si>
  <si>
    <t>Mohd Yaser</t>
  </si>
  <si>
    <t>Machang</t>
  </si>
  <si>
    <t>Sabah</t>
  </si>
  <si>
    <t>Yaser Trading, Lot 9, Mile 10, Jalan Tuaran, Sepanggar Bay, 88450, Kota Kinabalu, Sabah.</t>
  </si>
  <si>
    <t>EMSIA</t>
  </si>
  <si>
    <t>E1-INM-1-147</t>
  </si>
  <si>
    <t>EM</t>
  </si>
  <si>
    <t>NVMY34535000014261</t>
  </si>
  <si>
    <t>BUNGA</t>
  </si>
  <si>
    <t>LOT G 55 &amp; 56 GROUND FLOOR KOMPLEKS KARAMUNSING 88300 KOTA KINABALU, SABAH</t>
  </si>
  <si>
    <t>NVMY34535000014336</t>
  </si>
  <si>
    <t>SOFEKA IKA BINTI ABAS</t>
  </si>
  <si>
    <t>SK KOPOK JALAN HIJRAH UTAMA KG KOPOK BARU 81700 PASIR GUDANG, JOHOR</t>
  </si>
  <si>
    <t>C1-MAS-7-70</t>
  </si>
  <si>
    <t>NVMY34535000014349</t>
  </si>
  <si>
    <t>ATTN MS TAN HUEY JUEN</t>
  </si>
  <si>
    <t>Melaka</t>
  </si>
  <si>
    <t>XEPA SOUL PATTINSON INDUSTRIAL ESTATE 1-5, JALAN TTC 1, TAMAN TEKNOLOGI CHENG 75250 CHENG, MELAKA</t>
  </si>
  <si>
    <t>NVMY34535000014332</t>
  </si>
  <si>
    <t>SUKI</t>
  </si>
  <si>
    <t>NO 13, JALAN DESA PUTEH 4 TAMAN DESA PUTEH 83700 YONG PENG, JOHOR</t>
  </si>
  <si>
    <t>C2-HTM-5-81</t>
  </si>
  <si>
    <t>NVMY34535000014379</t>
  </si>
  <si>
    <t>NASRIAH BT ABDUL HALIM</t>
  </si>
  <si>
    <t xml:space="preserve">NO 293-i , JALAN PERAK 10150 GEORGETOWN , PULAU PINANG </t>
  </si>
  <si>
    <t>B2-GEO-15-44</t>
  </si>
  <si>
    <t>NVMY34535000014331</t>
  </si>
  <si>
    <t>LINA</t>
  </si>
  <si>
    <t>NO 50 KAMPUNG BINJUL DALAM 09310 KUALA KETIL, KEDAH</t>
  </si>
  <si>
    <t>NVMY34535000014360</t>
  </si>
  <si>
    <t>Lisa amanda</t>
  </si>
  <si>
    <t>No32 jln pe2/5 Taman pulai emas 81300 johor bahru</t>
  </si>
  <si>
    <t>C1-SEN-7-73</t>
  </si>
  <si>
    <t>NVMY34535000014358</t>
  </si>
  <si>
    <t>ANISAH</t>
  </si>
  <si>
    <t>Selangor</t>
  </si>
  <si>
    <t>PT 48354-6 JALAN ORKID BATU 7 IJOK BESTARI JAYA ( RUMAH DEPAN RUMAH SEDEREK WARNA PUTIH ) KUALA SELANGOR 45620 SELANGOR</t>
  </si>
  <si>
    <t>D3-KSR-14-119</t>
  </si>
  <si>
    <t>NVMY34535000014381</t>
  </si>
  <si>
    <t>CHEMPAKA EMALIN PAHAMIN</t>
  </si>
  <si>
    <t>Kuala Lumpur</t>
  </si>
  <si>
    <t>BUSTANU PAHAMIN LOT 2789-4 JALAN SERI PENCHALA 1 SUNGAI PENCHALA 60000 KUALA LUMPUR</t>
  </si>
  <si>
    <t>D1-DAM-26-97</t>
  </si>
  <si>
    <t>NVMY34535000014307</t>
  </si>
  <si>
    <t>ADAWIYAH COLLECTION</t>
  </si>
  <si>
    <t>TB 171 TINGKAT BAWAH JALAN BELIAN 9100 TAWAU SABAH</t>
  </si>
  <si>
    <t>NVMY34535000014378</t>
  </si>
  <si>
    <t>NORISYAH BT MOHD ISMAIL</t>
  </si>
  <si>
    <t>Perak</t>
  </si>
  <si>
    <t xml:space="preserve">NO 5 PERSIARAN DESA TAMBUN 6 , TAMAN TAMBUN 31400 IPOH PERAK </t>
  </si>
  <si>
    <t>B3-IPH-11-61</t>
  </si>
  <si>
    <t>NVMY34535000014302</t>
  </si>
  <si>
    <t>ZAHIDAH SAMSUL BAHARI</t>
  </si>
  <si>
    <t>LOT 103 FASA 2 TAMAN SEMPAUL JALAN BUBUL 91300 SEMPORNA SABAH</t>
  </si>
  <si>
    <t>NVMY34535000014376</t>
  </si>
  <si>
    <t>AFIQAH NUR HANAN BT ABDULLAH</t>
  </si>
  <si>
    <t xml:space="preserve">PT 1009 , JALAN TG CHIK HAJI KG RAJA , 22200 BESUT TERENGGANU </t>
  </si>
  <si>
    <t>KEL-KEL</t>
  </si>
  <si>
    <t>NVMY34535000014362</t>
  </si>
  <si>
    <t>MICHAEL CHIN</t>
  </si>
  <si>
    <t>25 JALAN DELIMA 1/3, BATU 3, SUBANG HI-TECH INDUSTRIAL PARK 40000 SHAH ALAM, SELANGOR</t>
  </si>
  <si>
    <t>D2-HTC-16-114</t>
  </si>
  <si>
    <t>NVMY34535000014369</t>
  </si>
  <si>
    <t>MOHD FAIZAL BIN HAMDAN</t>
  </si>
  <si>
    <t>NO 206 LORONG INSANIAH 6/11 TAMAN INSANIAH 2, 09300 KUALA KETIL, KEDAH</t>
  </si>
  <si>
    <t>NVMY34535000014383</t>
  </si>
  <si>
    <t>HANAWI AHMED</t>
  </si>
  <si>
    <t>NO 66, JALAN WARISAN INDAH 8/14, KOTA WARISAN 43900 SEPANG SELANGOR</t>
  </si>
  <si>
    <t>NVMY34535000014368</t>
  </si>
  <si>
    <t>NOR SYAKIRAH BINTI ABU MANSOR</t>
  </si>
  <si>
    <t xml:space="preserve">KAMPUNG CHAROK TOK UBAN 08200 SIK KEDAH </t>
  </si>
  <si>
    <t>NVMY34535000014377</t>
  </si>
  <si>
    <t>SITI NOR HIDAYAH</t>
  </si>
  <si>
    <t>A3-9-31 RESIDENSI IDAMAN SELANGORKU , 63300  CYBERJAYA SELANGOR</t>
  </si>
  <si>
    <t>D4-CJY-8-132</t>
  </si>
  <si>
    <t>NVMY34535000014367</t>
  </si>
  <si>
    <t>WAN MUHAMAD HANIF BIN WAN HAMKA</t>
  </si>
  <si>
    <t>BLOK H INSTITUT PENDIDIKAN GURU KAMPUS IPOH ULU KINTA 31150 IPOH, PERAK</t>
  </si>
  <si>
    <t>NVMY34535000014370</t>
  </si>
  <si>
    <t>Ina</t>
  </si>
  <si>
    <t>No 08 jln permas 2/14, bandar baru permas jaya, 81750, masai, johor bahru</t>
  </si>
  <si>
    <t>C1-PSG-9-68</t>
  </si>
  <si>
    <t>NVMY34535000014374</t>
  </si>
  <si>
    <t>sri rezeki</t>
  </si>
  <si>
    <t>no 6c lot 1351 lorong haji salam sungai pinang klang Selangor 41400</t>
  </si>
  <si>
    <t>D5-RPG-2-144</t>
  </si>
  <si>
    <t>NVMY34535000014375</t>
  </si>
  <si>
    <t>NOR RASHIDAH</t>
  </si>
  <si>
    <t>KLINIK PERGIGIAN BANDAR TUN RAZAK 18A JALAN JUJUR 3, 56000 CHERAS KUALA LUMPUR</t>
  </si>
  <si>
    <t>D3-BTR-12-125</t>
  </si>
  <si>
    <t>NVMY34535000014314</t>
  </si>
  <si>
    <t>AISHAH AMINUDIN</t>
  </si>
  <si>
    <t>LOT 14720-3  KAMPUNG ULU PULAI 81560 GELANG PATAH JOHOR</t>
  </si>
  <si>
    <t>NVMY34535000014382</t>
  </si>
  <si>
    <t>ROSINIWATI YAACOB</t>
  </si>
  <si>
    <t>1 LORONG 14/47B, 46100 PETALING JAYA SELANGOR</t>
  </si>
  <si>
    <t>D1-PJY-22-102</t>
  </si>
  <si>
    <t>NVMY34535000014399</t>
  </si>
  <si>
    <t>ENGKU ROHAIDA BT ENGKU ISMAIL</t>
  </si>
  <si>
    <t xml:space="preserve">632 TAMAN BAIDURI GELIGA 24000 KEMAMAN TERENGGANU </t>
  </si>
  <si>
    <t>KBR1-KBR1</t>
  </si>
  <si>
    <t>NVMY34535000014392</t>
  </si>
  <si>
    <t>NUR DILLA BINTI ALIAS</t>
  </si>
  <si>
    <t>88, JALAN SUMAZAU 4/KU5, BANDAR BUKIT RAJA, 41050 KLANG, SELANGOR</t>
  </si>
  <si>
    <t>D4-ALM-6-136</t>
  </si>
  <si>
    <t>NVMY34535000014380</t>
  </si>
  <si>
    <t>NURAINI BT AB RAHIM</t>
  </si>
  <si>
    <t>E-6 KUARTERS HOSPITAL KUALA NERANG 06300 KUALA NERANG, KEDAH</t>
  </si>
  <si>
    <t>A3-PSN-23-20</t>
  </si>
  <si>
    <t>NVMY34535000014384</t>
  </si>
  <si>
    <t>Ria</t>
  </si>
  <si>
    <t>blok 11 05/54 Taman cempaka Johor Bahru 81200</t>
  </si>
  <si>
    <t>C1-KEM-7-74</t>
  </si>
  <si>
    <t>NVMY34535000014386</t>
  </si>
  <si>
    <t>ZAKIAH BT YAHYA</t>
  </si>
  <si>
    <t xml:space="preserve">ZAKIAH BT YAHYA  NO. 226  TAMAN PULASAN  06000 JITRA  , KEDAH </t>
  </si>
  <si>
    <t>A3-JIT-21-24</t>
  </si>
  <si>
    <t>NVMY34535000014387</t>
  </si>
  <si>
    <t>NUR EIZZATIE</t>
  </si>
  <si>
    <t>TINGKAT 2 (HOT MARKET) KTCC MALL 20000 KUALA TERENGGANU, TERENGGANU</t>
  </si>
  <si>
    <t>NVMY34535000014388</t>
  </si>
  <si>
    <t>PARVIN</t>
  </si>
  <si>
    <t>Negeri Sembilan</t>
  </si>
  <si>
    <t>203 JALAN SPRINGHILL 7/7, BANDAR SPRINGHILL 71010 PORT DICKSON NEGERI SEMBILAN</t>
  </si>
  <si>
    <t>C4-PDS-28-90</t>
  </si>
  <si>
    <t>NVMY34535000014407</t>
  </si>
  <si>
    <t>NVMY34535000014389</t>
  </si>
  <si>
    <t>SITI ZALEHA BT JAINI</t>
  </si>
  <si>
    <t xml:space="preserve">UNIT KAWALAN INFEKSI HOSPITAL PONTIAN 80200 PONTIAN , JOHOR </t>
  </si>
  <si>
    <t>C1-PTN-9-66</t>
  </si>
  <si>
    <t>NVMY34535000014408</t>
  </si>
  <si>
    <t>BOY RASHID</t>
  </si>
  <si>
    <t xml:space="preserve">BLOK C , WAD CCU / CRW ( KARDIOLOGI ) TINGKAT 1 HOSPITAL SULTANAH AMINAH , JALAN PERSISIRAN ABU BAKAR , 80100 JOHOR BAHRU </t>
  </si>
  <si>
    <t>NVMY34535000014415</t>
  </si>
  <si>
    <t>HALIDA MOHD</t>
  </si>
  <si>
    <t>C-1-3 PANGSA KOS RENDAH NILAI PERDANA, JALAN NILAI PERDANA 1/2, 71800 NILAI NEGERI SEMBILAN</t>
  </si>
  <si>
    <t>NVMY34535000014405</t>
  </si>
  <si>
    <t>NUR ATHIRAH NAJWA BT JAHARI</t>
  </si>
  <si>
    <t xml:space="preserve">54 , KM7 KAMPUNG TELUK KECHAI , JALAN KUALA KEDAH 06600 KUALA KEDAH , KEDAH </t>
  </si>
  <si>
    <t>A3-AOR-21-25</t>
  </si>
  <si>
    <t>NVMY34535000014406</t>
  </si>
  <si>
    <t>PUAN SHIKIN</t>
  </si>
  <si>
    <t xml:space="preserve">AR&amp;PARTNERSD ( NF 1233 ) 3A-16 , FLOOR 3A , SAVILLE KAJANG , JALAN REKO 43000 KAJANG SELANGOR </t>
  </si>
  <si>
    <t>MM-INTL</t>
  </si>
  <si>
    <t>NVMY34535000014393</t>
  </si>
  <si>
    <t>IZWAN</t>
  </si>
  <si>
    <t>No.8, jalan duku 3, taman seri medan, 42500 Telok panglima garang, selangor</t>
  </si>
  <si>
    <t>D5-RBY-2-143</t>
  </si>
  <si>
    <t>NVMY34535000014390</t>
  </si>
  <si>
    <t>NOOR FAZIELA BT MOHAMMAD</t>
  </si>
  <si>
    <t>NO 1 TAMAN KOLEK HULU BERNAM 35900 TANJONG MALIM PERAK</t>
  </si>
  <si>
    <t>NVMY34535000014397</t>
  </si>
  <si>
    <t>TENGKU MAHSURI</t>
  </si>
  <si>
    <t>Perlis</t>
  </si>
  <si>
    <t xml:space="preserve">MINI MART PELADANG KAWASAN BESERI KM 11 JALAN KAKI BUKIT 02400 JANGAR PERLIS </t>
  </si>
  <si>
    <t>NVMY34535000014398</t>
  </si>
  <si>
    <t>A3-BSR-23-22</t>
  </si>
  <si>
    <t>NVMY34535000014395</t>
  </si>
  <si>
    <t>EN . SUHARNI</t>
  </si>
  <si>
    <t>METRO HOME FURNITURE , NO 7 JALAN CHEGAR MEWAH 1 , TAMAN CHEGAR MEWAH , 35500 BIDOR PERAK</t>
  </si>
  <si>
    <t>NVMY34535000014396</t>
  </si>
  <si>
    <t>NVMY34535000014404</t>
  </si>
  <si>
    <t>HUSNA NADIRAH</t>
  </si>
  <si>
    <t>KAMPUNG TELUK KANGAR BONGOR BALING KEDAH 09100 BALING, KEDAH</t>
  </si>
  <si>
    <t>A3-BAL-21-27</t>
  </si>
  <si>
    <t>NVMY34535000014402</t>
  </si>
  <si>
    <t>IRLIETA BEAUTY &amp; SPA</t>
  </si>
  <si>
    <t>23-C KAMPUNG GONG KIAT, 21400 KUALA TERENGGANU, TERENGGANU</t>
  </si>
  <si>
    <t>NVMY34535000014353</t>
  </si>
  <si>
    <t>UPM</t>
  </si>
  <si>
    <t xml:space="preserve">BAHAGIAN KEMASUKAN DAN BAHAGIAN URUS TADBIR AKADEMIK , UNIVERSITI PUTRA MALYSIA . 43400 UPM SERDANG SELANGOR DARUL EHSAN </t>
  </si>
  <si>
    <t>NVMY34535000014359</t>
  </si>
  <si>
    <t>JERRY CHUA</t>
  </si>
  <si>
    <t>L-3A-1, BLOCK L, 1ST FLOOR SETIA WALK, PERSIARAN WAWASAN PUSAT BANDAR PUCHONG 47160 PUCHONG, SELANGOR</t>
  </si>
  <si>
    <t>D2-TPK-20-106</t>
  </si>
  <si>
    <t>NVMY34535000014394</t>
  </si>
  <si>
    <t>ATTN OOI ZI HAN</t>
  </si>
  <si>
    <t>101 &amp; 102, TAMAN BUNGA SENA, JALAN POKOK SENA, 06400 POKOK SENA, KEDAH</t>
  </si>
  <si>
    <t>NVMY34535000014414</t>
  </si>
  <si>
    <t>jihan</t>
  </si>
  <si>
    <t>A-2-9 Pangsapuri Peringgit Permai  Melaka Peringgit Height Jalan Tun Fatimah Kampung Batu Hampar 75400 Melaka Tengah Melaka</t>
  </si>
  <si>
    <t>C3-PIA-3-86</t>
  </si>
  <si>
    <t>NVMY34535000014416</t>
  </si>
  <si>
    <t>Noorshazila bte zainal abidin</t>
  </si>
  <si>
    <t>No4 jln d,areca2 Taman Bandar senawang 70450 Seremban N.sembilan</t>
  </si>
  <si>
    <t>NVMY34535000014385</t>
  </si>
  <si>
    <t>HARTINA MAPPIATI MILL 1 (AINUN)</t>
  </si>
  <si>
    <t>Lot 4 Kimbell Light Industrial Centre Mill 2 Jalan Dam 91100 Lahad Datu Sabah</t>
  </si>
  <si>
    <t>NVMY34535000014409</t>
  </si>
  <si>
    <t>FAIZAL AMRI CHE YUSOFF</t>
  </si>
  <si>
    <t>Pahang</t>
  </si>
  <si>
    <t>LOT 2589 KPG PAYA LUAS KUALA KRAU 28050 TEMERLOH, PAHANG</t>
  </si>
  <si>
    <t>NVMY34535000014413</t>
  </si>
  <si>
    <t>NUR FARAHANI MAHMOOR</t>
  </si>
  <si>
    <t>A-11-03A, RESINDENSI TASIK MAS JALAN 9/118 B, DESA TUN RAZAK 56000 KUALA LUMPUR MALAYSIA</t>
  </si>
  <si>
    <t>NVMY34535000014391</t>
  </si>
  <si>
    <t>SALINA BT LEMAN</t>
  </si>
  <si>
    <t>NO 18 (JPAM LAMA) JALAN UTAMA, BANDAR SERI ISKANDAR 32610 SERI ISKANDAR PERAK</t>
  </si>
  <si>
    <t>B3-GAJ-13-49</t>
  </si>
  <si>
    <t>NVMY34535000014401</t>
  </si>
  <si>
    <t>ZARINA</t>
  </si>
  <si>
    <t>LOT 8219A, LORONG MELOR BUKIT UNGGUL JENDERAM HILIR 43800 DENGKIL, SELANGOR</t>
  </si>
  <si>
    <t>D4-BSP-8-133</t>
  </si>
  <si>
    <t>NVMY34535000014434</t>
  </si>
  <si>
    <t>SHAHIRUL ADLY</t>
  </si>
  <si>
    <t>NO 5, LORONG SG ULAR JAYA 2, TAMAN PANTAI BALOK AMAN KUANTAN 26080 PAHANG</t>
  </si>
  <si>
    <t>NVMY34535000014424</t>
  </si>
  <si>
    <t>NVMY34535000014430</t>
  </si>
  <si>
    <t>AMY RIDUAN</t>
  </si>
  <si>
    <t>DELEUM CHEMICAL SDN BHD, LOT 4019 KAWASAN PERINDUSTRIAN TELUK KALONG KEMAMAN 24007 TERENGGANU</t>
  </si>
  <si>
    <t>NVMY34535000014419</t>
  </si>
  <si>
    <t>NVMY34535000014350</t>
  </si>
  <si>
    <t>SHAZWAN</t>
  </si>
  <si>
    <t xml:space="preserve">NO 26-1 JALAN KNMP 2 KOMPLEKS MELAKA PERDANA 75450 AYER KEROH ,ELAKA </t>
  </si>
  <si>
    <t>C3-MTG-3-84</t>
  </si>
  <si>
    <t>NVMY34535000014427</t>
  </si>
  <si>
    <t>NVMY34535000014403</t>
  </si>
  <si>
    <t>LINA HASSAN</t>
  </si>
  <si>
    <t>NO 4, JALAN PP 3/2, TAMAN PUTRA PERDANA 47130 PUCHONG, SELANGOR</t>
  </si>
  <si>
    <t>NVMY34535000014420</t>
  </si>
  <si>
    <t>NUR ALFILAIL BT ABDUL MANAN</t>
  </si>
  <si>
    <t xml:space="preserve">NO 50 JALAN ECOHILL 1/3 J , SETIA ECOHILL 43500 SEMENYIH SELANGOR </t>
  </si>
  <si>
    <t>D4-SYH-8-131</t>
  </si>
  <si>
    <t>NVMY34535000014439</t>
  </si>
  <si>
    <t>uMie razali</t>
  </si>
  <si>
    <t>Lot 5928 taman koperat peradong, jalan banggol kampung  lapang sira,manir 21200,kuala terengganu.</t>
  </si>
  <si>
    <t>NVMY34535000014422</t>
  </si>
  <si>
    <t>NVMY34535000014436</t>
  </si>
  <si>
    <t>WAN KHAZIMAH</t>
  </si>
  <si>
    <t>NO 52 LORONG PERMATANG BADAK MAJU 12 PERMATANG BADAK 25100 KUANTAN PAHANG</t>
  </si>
  <si>
    <t>NVMY34535000014421</t>
  </si>
  <si>
    <t>NVMY34535000014425</t>
  </si>
  <si>
    <t>MS HIDAYAH HASHIMI</t>
  </si>
  <si>
    <t>A-13-11, V RESIDENSI 2 JALAN BUDIMAN 22/1, SEKSYEN 22, 40300 SHAH ALAM, SELANGOR</t>
  </si>
  <si>
    <t>NVMY34535000014354</t>
  </si>
  <si>
    <t>USM</t>
  </si>
  <si>
    <t xml:space="preserve">UNIT OENGAMBILAN PELAJAR BAHAGIAN PENGURUSAN AKADEMIK JABATAN PENDAFTAR , ARAS 2 , BANGUNAN CANSELORI UNIVERSITI SAINS MALAYISA 11800 USM PULAU PINANG </t>
  </si>
  <si>
    <t>B2-FLM-15-46</t>
  </si>
  <si>
    <t>NVMY34535000014410</t>
  </si>
  <si>
    <t>MOHAMAD DARWISY BIN MAT</t>
  </si>
  <si>
    <t>KG SINDUMAN BARU , SIPITING , SABAH 89850</t>
  </si>
  <si>
    <t>NVMY34535000014440</t>
  </si>
  <si>
    <t>Febi</t>
  </si>
  <si>
    <t>No.27 Taman Ria 2 Jenjarom,Kuala Langat,Selangor Malaysia 42600</t>
  </si>
  <si>
    <t>NVMY34535000014400</t>
  </si>
  <si>
    <t>MUN YEE</t>
  </si>
  <si>
    <t>ALPINE PAPER &amp; STATIONERY SDN BHD, NO 7 LEBUH GEREJA (CRURCH STREET) 10200 PENANG</t>
  </si>
  <si>
    <t>NVMY34535000014356</t>
  </si>
  <si>
    <t>UNIT PENDAFTARAN PEPASANGAN SURUHANJAYA TENAGA</t>
  </si>
  <si>
    <t>PEJABAT KAWASAN NEGERI SELANGOR &amp; WP (KL&amp;PUTRAJAYA) TINGKAT 10A, MENARA PKNS-PJ 17, JALAN YONG SHOOK LIN 46050 PETALING JAYA, SELANGOR</t>
  </si>
  <si>
    <t>NVMY34535000014438</t>
  </si>
  <si>
    <t>Nurul Athirah</t>
  </si>
  <si>
    <t>No 38 Lorong Shahzan , Im3 , Taman Shahzan Bandar Indera Mahkota ,  25200 Kuantan , Pahang</t>
  </si>
  <si>
    <t>NVMY34535000014355</t>
  </si>
  <si>
    <t>UITM</t>
  </si>
  <si>
    <t>AKADEMI PENGAJIAN BAHASA ( APB ) UNIVERSITI TEKNOLOGI MARA SHAH ALAM 40450 SHAH ALAM SELANGOR</t>
  </si>
  <si>
    <t>NVMY34535000014428</t>
  </si>
  <si>
    <t>NIZAM</t>
  </si>
  <si>
    <t xml:space="preserve">DPC READYMIX SDN BHD , PT14022 KAWASAN PERINDUSTRIAN GUA MUSANG , 18300 GUA MUSANG KELANTAN </t>
  </si>
  <si>
    <t>NVMY34535000014461</t>
  </si>
  <si>
    <t>IZZA</t>
  </si>
  <si>
    <t xml:space="preserve">NO 18 JALAN RU 9 TAMAN RAMBAI UTARA BUKIT RAMBAI 75250 MELAKA </t>
  </si>
  <si>
    <t>C3-MYK-3-82</t>
  </si>
  <si>
    <t>NVMY34535000014411</t>
  </si>
  <si>
    <t>AFIZAH BINTI AWANG</t>
  </si>
  <si>
    <t xml:space="preserve">TAMAN KENARI BATU 7 . BLOK 31 . LOT 360 90000 SANDAKAN SABAH </t>
  </si>
  <si>
    <t>NVMY34535000014480</t>
  </si>
  <si>
    <t>SUZIE W</t>
  </si>
  <si>
    <t>VISTA MAGNA BLOCK C , 38-3-2 JALAN PRIMA METOR PRIMA KEPONG 52100 KUALA LUMPUR</t>
  </si>
  <si>
    <t>D1-KEP-22-103</t>
  </si>
  <si>
    <t>NVMY34535000014423</t>
  </si>
  <si>
    <t>ATTN MISS SIEW</t>
  </si>
  <si>
    <t>BTK INTEGRATED TRANSPORT SDN BHD LOT 999 &amp; 1454, JALAN KUALA KANGSAR JALAN SIMPANG 34700 SIMPANG TAIPING, PERAK DARUL RIDZUAN</t>
  </si>
  <si>
    <t>NVMY34535000014464</t>
  </si>
  <si>
    <t>NORDIANA ZULAIKHA BT DAMHA</t>
  </si>
  <si>
    <t xml:space="preserve">PT 4 LORONG PEJABAT KADO 16800 PASIR PUTEH KELANTAN </t>
  </si>
  <si>
    <t>NVMY34535000014431</t>
  </si>
  <si>
    <t>AINURRIZAL BIN RASHID</t>
  </si>
  <si>
    <t>LOT 418A TC 5, KAMPUNG JAWA 81900 KOTA TINGGI, JOHOR</t>
  </si>
  <si>
    <t>NVMY34535000014484</t>
  </si>
  <si>
    <t>FATIN SHAHITA</t>
  </si>
  <si>
    <t xml:space="preserve">P03-02-11 PANGSAPURI SERI PINANG , PERSIARAN SETIA GEMILANG , SETIA ALAM 40170 SHAH ALAM SELANGOR </t>
  </si>
  <si>
    <t>NVMY34535000014493</t>
  </si>
  <si>
    <t>NORAFINI BT HASSIM</t>
  </si>
  <si>
    <t xml:space="preserve">KEDAI RUNCIT ANUAR KAMPUNG TELAGA LAMA 16080 PENGKALAN KUBUR TUMPAT KELANTAN </t>
  </si>
  <si>
    <t>NVMY34535000014451</t>
  </si>
  <si>
    <t>ROSMAIDIEL ADHA</t>
  </si>
  <si>
    <t xml:space="preserve">LORT 261 KG CHAT KUBUR 17010 PASIR MAS KELANTAN </t>
  </si>
  <si>
    <t>NVMY34535000014426</t>
  </si>
  <si>
    <t>WAN MOHAMAD ALIF SAFWAN</t>
  </si>
  <si>
    <t>NO 23, LORONG TD2 TAMAN TEKAH DAMAI 34000 TAIPING , PERAK</t>
  </si>
  <si>
    <t>B3-TPG-11-59</t>
  </si>
  <si>
    <t>NVMY34535000014487</t>
  </si>
  <si>
    <t>MOHD FAZIRA AGOS</t>
  </si>
  <si>
    <t xml:space="preserve">NO 283 JALAN MASJID KG TENGAH 22300 KUALA BESUT TERENGGANU </t>
  </si>
  <si>
    <t>NVMY34535000014482</t>
  </si>
  <si>
    <t>AIMAN HAKIM BIN HARUN</t>
  </si>
  <si>
    <t xml:space="preserve">954-4 BATU 5 , JALAN PENGKALAN BINJAI 24000 KEMAMAN TERENGGANU </t>
  </si>
  <si>
    <t>NVMY34535000014441</t>
  </si>
  <si>
    <t>ANIM AMILIA</t>
  </si>
  <si>
    <t>LOT 1147, LORONG BUKIT DUYONG 8, BUKIT KATIL 75450, MELAKA</t>
  </si>
  <si>
    <t>NVMY34535000014504</t>
  </si>
  <si>
    <t>Zainun Abd Aziz</t>
  </si>
  <si>
    <t>No. 28, Jln Meranti Bunga 9, Tmn Sri Mewah, Off Jln Pekan Meru,41050 Klang Selangor DE</t>
  </si>
  <si>
    <t>D3-MRU-10-127</t>
  </si>
  <si>
    <t>NVMY34535000014443</t>
  </si>
  <si>
    <t>ERAVIND</t>
  </si>
  <si>
    <t xml:space="preserve">NO 28 LORONG SETIA 1B TAMAN SETIA KLANG 41200 KLANG SELANGOR </t>
  </si>
  <si>
    <t>D5-BTK-4-139</t>
  </si>
  <si>
    <t>NVMY34535000014412</t>
  </si>
  <si>
    <t>MATYIE</t>
  </si>
  <si>
    <t>SEK RENDAH KEB PADANG MATSIRAT 07000 LANGKAWI, KEDAH</t>
  </si>
  <si>
    <t>NVMY34535000014494</t>
  </si>
  <si>
    <t>PEJABAT URUS BANGUNAN BUILDING LINDUNGAN SDN BHD</t>
  </si>
  <si>
    <t>TINGKAT BAWAH WISMA PERSEKUTUAN, JALAN SULTAN ISMAIL, 20200 KUALA TERENGGANU, TERENGGANU</t>
  </si>
  <si>
    <t>NVMY34535000014437</t>
  </si>
  <si>
    <t>Salmi Suhana binti Mohd Yunus</t>
  </si>
  <si>
    <t xml:space="preserve"> no 98 A kg Tangjung luas air panas 333100 peng kalan hulu Perak</t>
  </si>
  <si>
    <t>B3-GER-11-56</t>
  </si>
  <si>
    <t>NVMY34535000014454</t>
  </si>
  <si>
    <t>SYAFIQAH</t>
  </si>
  <si>
    <t xml:space="preserve">LORONG CEROH TOKSIAH , LOT 951A BELAKANG TAMAN SERI CHEDERING , KG KUBANG IKAN , 21080 , KUALA TERENGGANU </t>
  </si>
  <si>
    <t>NVMY34535000014458</t>
  </si>
  <si>
    <t>DANISH FARHAN</t>
  </si>
  <si>
    <t xml:space="preserve">NO 174 SURA GATE , 23000 DUNGUN TERENGGANU </t>
  </si>
  <si>
    <t>NVMY34535000014503</t>
  </si>
  <si>
    <t>AHDIAH ISMAIL</t>
  </si>
  <si>
    <t>10, TAMAN JALAN TK 2 TAMAN TUN KUDU, MELAKA TENGAH 75450, MELAKA</t>
  </si>
  <si>
    <t>NVMY34535000014488</t>
  </si>
  <si>
    <t>MUHAMAD AMMIRUL HARITH</t>
  </si>
  <si>
    <t xml:space="preserve">LOT 1221-A KAMPUNG SURAU PENDEK JALAN SALOR 15100 KOTA BHARU KELANTAN </t>
  </si>
  <si>
    <t>NVMY34535000014477</t>
  </si>
  <si>
    <t>FALIQ</t>
  </si>
  <si>
    <t xml:space="preserve">KAMPUNG BENDANG IKAN 17200 RANTAU PANJANG KELANTAN ( WAKAF PAKDO ) </t>
  </si>
  <si>
    <t>NVMY34535000014476</t>
  </si>
  <si>
    <t>AZREEN LEE</t>
  </si>
  <si>
    <t>1004 LADANG TITIAN , 20000 KUALA TERENGGANU , TERENGGANU</t>
  </si>
  <si>
    <t>NVMY34535000014500</t>
  </si>
  <si>
    <t>Samurai attack trading</t>
  </si>
  <si>
    <t>D/a DC 7 motor sport,Lot 4030 kg semuba kangkong,17040 pasir mas</t>
  </si>
  <si>
    <t>NVMY34535000014453</t>
  </si>
  <si>
    <t>NUR FATIHAH IRDINA</t>
  </si>
  <si>
    <t xml:space="preserve">LOT 6235 BATU 36 KAMPUNG BUKIT CHANGGANG 42700 BANTING SELANGOR </t>
  </si>
  <si>
    <t>D4-BAN-6-137</t>
  </si>
  <si>
    <t>NVMY34535000014463</t>
  </si>
  <si>
    <t>NURSYAMIMI RASYIDAH</t>
  </si>
  <si>
    <t xml:space="preserve">NO 31 KAMPUNG ANAK AIR DURIAN DAUN PONDOI , 73000 TAMPIN NEGERI SEMBILAN </t>
  </si>
  <si>
    <t>C3-AGH-3-83</t>
  </si>
  <si>
    <t>NVMY34535000014471</t>
  </si>
  <si>
    <t>AISAR SULAIMAN</t>
  </si>
  <si>
    <t xml:space="preserve">TAMAN SRI BAYU , JALAN GEMERSIK 5 , PT 3075 TUMPAT 16200 KELANTAN </t>
  </si>
  <si>
    <t>NVMY34535000014462</t>
  </si>
  <si>
    <t>RAMLAH</t>
  </si>
  <si>
    <t xml:space="preserve">397 LRG 4 KG TANAH MERAH JAYA 76400 TG KLING MELAKA </t>
  </si>
  <si>
    <t>NVMY34535000014447</t>
  </si>
  <si>
    <t>LAILATUL AKMAL</t>
  </si>
  <si>
    <t xml:space="preserve">LOT 126 JALAN MASJID KG SEBERANG PASIR MAS SALOR , 15100 KOTA BHARU KELANTAN </t>
  </si>
  <si>
    <t>NVMY34535000014490</t>
  </si>
  <si>
    <t>ALIFF DANIA</t>
  </si>
  <si>
    <t>8690-I KG BANGGOL TOK JIRING 21060 KULA NERUS, TERENGGANU</t>
  </si>
  <si>
    <t>NVMY34535000014497</t>
  </si>
  <si>
    <t>ABAB</t>
  </si>
  <si>
    <t>A1-10-02 NORDICA RESIDENCE GRAVIT8, KOTA BAYUEMAS 41200 KLANG, SELANGOR</t>
  </si>
  <si>
    <t>NVMY34535000014459</t>
  </si>
  <si>
    <t>MAK FIRAS</t>
  </si>
  <si>
    <t xml:space="preserve">WISMA UNIKEB BANGI UKM , RUANG LEGAR , LOT 02 MSG / COL , SEBELUM HANTAR , ULU LANGAT SELANGOR </t>
  </si>
  <si>
    <t>D5-BGI-4-140</t>
  </si>
  <si>
    <t>NVMY34535000014466</t>
  </si>
  <si>
    <t>NOOR SAFIKA BINTI ALI OTHMAN</t>
  </si>
  <si>
    <t xml:space="preserve">NO 91 SP 7/13 BANDAR SAUJANA PUTRA 42610 JENJAROM SELANGOR </t>
  </si>
  <si>
    <t>NVMY34535000014450</t>
  </si>
  <si>
    <t>KAKCHIK</t>
  </si>
  <si>
    <t xml:space="preserve">101 JALAN 1 TAMAN SRI JELOK 43000 KAJANG SELANGOR </t>
  </si>
  <si>
    <t>D2-KAJ-16-117</t>
  </si>
  <si>
    <t>NVMY34535000014491</t>
  </si>
  <si>
    <t>IZZAT</t>
  </si>
  <si>
    <t>NO 4771-A, JALAN LIMBONG KAMPUNG DARAT LIMBONG 23100 KUALA PAKA DUNGUN, TERENGGANU</t>
  </si>
  <si>
    <t>NVMY34535000014483</t>
  </si>
  <si>
    <t>FATIHAH NADSIR</t>
  </si>
  <si>
    <t xml:space="preserve">LOT 1424 , KAMPUNG BINJAI BERAMBU , 10050 KUALA TERENGGANU </t>
  </si>
  <si>
    <t>NVMY34535000014475</t>
  </si>
  <si>
    <t>ROSMAWATI BT MUSTAFA ALBAKRI</t>
  </si>
  <si>
    <t xml:space="preserve">130A LORONG MASJID HAJI KADIR PASIR PANJANG 21100 KUALA TERENGGANU </t>
  </si>
  <si>
    <t>NVMY34535000014479</t>
  </si>
  <si>
    <t>NFAA SUCCES EMPIRE</t>
  </si>
  <si>
    <t xml:space="preserve">G5-5-8 QUATERS POLIS IPPD GOMBAK JALAN BIDARA , TAMAN BUKIT IDAMAN , 68100 BATU CAVE , GOMBAK SELANGOR </t>
  </si>
  <si>
    <t>D5-SLG-2-142</t>
  </si>
  <si>
    <t>NVMY34535000014498</t>
  </si>
  <si>
    <t>YANA KADRI</t>
  </si>
  <si>
    <t>338 FELDA KOTA GELANGGI SATU 27000 JERANTUT PAHANG DARUL MAKMUR</t>
  </si>
  <si>
    <t>NVMY34535000014481</t>
  </si>
  <si>
    <t>NORMALA MOHD RAMLAN</t>
  </si>
  <si>
    <t>NO 19 JALAN DESA MAWAR 2/3 , TAMANN DESA MAWAR 45500 TANJUNG KARANG SELANGOR</t>
  </si>
  <si>
    <t>NVMY34535000014502</t>
  </si>
  <si>
    <t>HELEN LIKIN</t>
  </si>
  <si>
    <t>TINGKAT 1, KLINIK PERGIGIAN DATO' KERAMAT PT 1199 JALAN ENGGANG SELATAN TAMAN KERAMAT 54200 KUALA LUMPUR</t>
  </si>
  <si>
    <t>D5-MLT-4-141</t>
  </si>
  <si>
    <t>NVMY34535000014456</t>
  </si>
  <si>
    <t>MUHAMMAD DINIE HAFIZUL</t>
  </si>
  <si>
    <t xml:space="preserve">PT 10761 JALAN BELAKANG TAMAN RAKYAT KAMPUNG PAYA BALAI BESAR DUNGUN , TERENGGANU </t>
  </si>
  <si>
    <t>NVMY34535000014473</t>
  </si>
  <si>
    <t>MUHAMMAD SYAFIQ BIN ISMAIL</t>
  </si>
  <si>
    <t xml:space="preserve">BATU 17 SUARAU SOLOK , IMAN TAHIR KAMPUNG SOLOK DUKU 78300 MASJID TANAH MELAKA </t>
  </si>
  <si>
    <t>NVMY34535000014435</t>
  </si>
  <si>
    <t>SALINA BINTI LEMAN</t>
  </si>
  <si>
    <t>NO 18, (JPAM LAMA) JALAN UTAMA BANDAR SERI ISKANDAR 32610 SERI ISKANDAR, PERAK</t>
  </si>
  <si>
    <t>NVMY34535000014465</t>
  </si>
  <si>
    <t>MOHAMAD FAHMIN</t>
  </si>
  <si>
    <t xml:space="preserve">PT 1174 KAMPUNG SEMUT API LORONG TABIKA BALQIS , PANTAI CAHAYA BULAN 15350 KOTA BHARU KELANTAN </t>
  </si>
  <si>
    <t>NVMY34535000014417</t>
  </si>
  <si>
    <t>JUDITH STEPHENS</t>
  </si>
  <si>
    <t xml:space="preserve">55 , LORONG RAJA UDANG 14 , KINGFISHER PARK KOTA KINABALU 88450 SABAH </t>
  </si>
  <si>
    <t>NVMY34535000014448</t>
  </si>
  <si>
    <t>SITI NURUL FARAHIN BINTI SULAIMAN</t>
  </si>
  <si>
    <t xml:space="preserve">NO 53 JALAN ECOHILL 9/1K SETIA ECOHILL 2 , 43500 SEMENYIH SELANGOR </t>
  </si>
  <si>
    <t>NVMY34535000014449</t>
  </si>
  <si>
    <t>TUAN MOHD FAIZAL</t>
  </si>
  <si>
    <t xml:space="preserve">KAMPUNG PADANG TAPONG 22000 JERTEH TERENGGANU </t>
  </si>
  <si>
    <t>NVMY34535000014468</t>
  </si>
  <si>
    <t>NUR HIDAYAH BINTI MOHAMAD HAMBALI</t>
  </si>
  <si>
    <t xml:space="preserve">AWANI SAWIT ENTERPRISE JALAN BAHAGIA APRIT BARU 45100 SG AYER TAWAR , SABAK BERNAM SELANGOR </t>
  </si>
  <si>
    <t>D3-SBR-14-120</t>
  </si>
  <si>
    <t>NVMY34535000014433</t>
  </si>
  <si>
    <t>MURSYID SALAM</t>
  </si>
  <si>
    <t>NO 127, JALAN KEMPAS 1, TAMAN DESARU UTAMA (AMANSARI HOTEL DESARU) 81930 KOTA TINGGI JOHOR</t>
  </si>
  <si>
    <t>NVMY34535000014445</t>
  </si>
  <si>
    <t>QAYYAUM RAHMAN</t>
  </si>
  <si>
    <t xml:space="preserve">NO 323 BLOK 8/2 JALAN KIAMBANG FELAD SELANGOR 3 , 26700 MUADZAM SHAH PAHANG </t>
  </si>
  <si>
    <t>NVMY34535000014489</t>
  </si>
  <si>
    <t>NUR MAWARDAH</t>
  </si>
  <si>
    <t xml:space="preserve">LOT 254 KAMPUNG PERMATANG PUSU 16400 MELOR KELANTAN </t>
  </si>
  <si>
    <t>NVMY34535000014508</t>
  </si>
  <si>
    <t>AZLINA HASAN</t>
  </si>
  <si>
    <t>NO 881 JLN 2/7 TMN TUAKU JAAFAR 71450 SEREMBAN N.SEMBILAN</t>
  </si>
  <si>
    <t>NVMY34535000014495</t>
  </si>
  <si>
    <t>ALESYA BOUTIQUE</t>
  </si>
  <si>
    <t>692-LORONG PERDA UTAMA 3 TAMAN PROMINENCE BUKIT MERTAJAM 14000 PULAU PINANG</t>
  </si>
  <si>
    <t>B2-BWH-15-41</t>
  </si>
  <si>
    <t>NVMY34535000014478</t>
  </si>
  <si>
    <t>SARJID KAUR</t>
  </si>
  <si>
    <t>NO 5 JALAN 2 TAMAN BIDOR INTAN PERAK 35500</t>
  </si>
  <si>
    <t>B3-TAP-13-51</t>
  </si>
  <si>
    <t>NVMY34535000014470</t>
  </si>
  <si>
    <t>PURMIHAR BINTI AMI</t>
  </si>
  <si>
    <t>Labuan</t>
  </si>
  <si>
    <t xml:space="preserve">MILE GAS SUPPLY LOT AI , JALAN ARSAT LIGHT INDUSTRIAL , ESTATE , P. O BOX 391 , 87000 W. P LABUAN </t>
  </si>
  <si>
    <t>NVMY34535000014531</t>
  </si>
  <si>
    <t>NVMY34535000014501</t>
  </si>
  <si>
    <t>SITI HAIDA BINTI NORDIN</t>
  </si>
  <si>
    <t>NO 589, LORONG KUCAI 10, TAMAN KUCAI LUNAS 09600 KEDAH</t>
  </si>
  <si>
    <t>B2-KLM-15-40</t>
  </si>
  <si>
    <t>NVMY34535000014530</t>
  </si>
  <si>
    <t>NVMY34535000014469</t>
  </si>
  <si>
    <t>LEE HAN YA</t>
  </si>
  <si>
    <t xml:space="preserve">KAMPUNG SUNGAI KAP , MUKIM TEKAI KIRI , 08210 SIK KEDAH </t>
  </si>
  <si>
    <t>NVMY34535000014505</t>
  </si>
  <si>
    <t>Hasanah BT marican</t>
  </si>
  <si>
    <t>Kg baru bukit chabang 02100 titi tinggi Perlis</t>
  </si>
  <si>
    <t>NVMY34535000014496</t>
  </si>
  <si>
    <t>HANI LIN</t>
  </si>
  <si>
    <t>A1-3A-7 QUINTTET CAMERON HIGHLANDS 39000 TANAH RATA PAHANG</t>
  </si>
  <si>
    <t>NVMY34535000014532</t>
  </si>
  <si>
    <t>AKI LEOW</t>
  </si>
  <si>
    <t xml:space="preserve">F-06-07 STARPARC POINT PUSAT KOMERSIAL SETAPAK , NO 68 JALAN TAMAN IBU KOTA  SETAPAK KUALA LUMPUR </t>
  </si>
  <si>
    <t>NVMY34535000014512</t>
  </si>
  <si>
    <t>FARAH RADZALI</t>
  </si>
  <si>
    <t xml:space="preserve">B15-07 THE CHANCELLOR CONDOMINIUM , JALAN KOSAS 2/4 TAMAN KOSAS 68000 AMPANG SELANGOR </t>
  </si>
  <si>
    <t>D1-AMP-26-96</t>
  </si>
  <si>
    <t>NVMY34535000014452</t>
  </si>
  <si>
    <t>AQILAH</t>
  </si>
  <si>
    <t xml:space="preserve">NO 34 JLAN SERANGKAI 30 , TAMAN BUKIT DAHLIA , 81700 PASIR GUDANG JOHOR BAHRU </t>
  </si>
  <si>
    <t>NVMY34535000014444</t>
  </si>
  <si>
    <t>SHAHIRA</t>
  </si>
  <si>
    <t>104 , LORONG 3 KAMPUNG TENGAH , KUALA KEDAH 06600</t>
  </si>
  <si>
    <t>NVMY34535000014455</t>
  </si>
  <si>
    <t>MOHD HELMY</t>
  </si>
  <si>
    <t xml:space="preserve">NO 20 PETI SURAT 115 , KAMPUNG KUBANG KENYENG , NAKA , 06350 ALOR STERAR KEDAH </t>
  </si>
  <si>
    <t>NVMY34535000014474</t>
  </si>
  <si>
    <t>MOMAHAMAD FARHAN BIN MAHARI</t>
  </si>
  <si>
    <t xml:space="preserve">PEJABAT KESIHATAN DAERAH HULU PERAK , ARAS 3 BANGUNAN PERSEKUTUAN GERIK , JALAN INTAH 33300 GERIK PERAK </t>
  </si>
  <si>
    <t>NVMY34535000014467</t>
  </si>
  <si>
    <t>DAMIA</t>
  </si>
  <si>
    <t xml:space="preserve">NO 32 TAMAN MAHKOTA 06000 KEDAH </t>
  </si>
  <si>
    <t>NVMY34535000014514</t>
  </si>
  <si>
    <t>NURUL AMIRA BINTI BADRUL HISHAM</t>
  </si>
  <si>
    <t xml:space="preserve">HUMAN RESOURCE / CORPORATE HEALTH TOP GLOVE CORPORATION BHD TOP GLOVE TOWER , LEVEL L23 TOP GLOVE TOWER , 16 , PERISARAN SETIA DAGANG , SETIA SHAH ALAM , SEKSYEN U13 , 40170 SHAH ALAM SELANGOR </t>
  </si>
  <si>
    <t>NVMY34535000014499</t>
  </si>
  <si>
    <t>AZILA BINTI ISMAIL</t>
  </si>
  <si>
    <t>NO 84, JALAN SS 2/5, TAMAN SRI SAUJANA, 81900 KOTA TINGGI, JOHOR DARUL TAKZIM</t>
  </si>
  <si>
    <t>C1-TGI-9-62</t>
  </si>
  <si>
    <t>NVMY34535000014507</t>
  </si>
  <si>
    <t>AZRUL NIZAM</t>
  </si>
  <si>
    <t>MB-07-01, PANGSAPURI DELIMA INTAN , TAMAN SERI DELIMA JURU 14000 PULAU PINANG</t>
  </si>
  <si>
    <t>B2-BKM-15-47</t>
  </si>
  <si>
    <t>NVMY34535000014509</t>
  </si>
  <si>
    <t>TS ERLY AZMIZI BIN DERAMAN</t>
  </si>
  <si>
    <t xml:space="preserve">KEMENTERIAN PENDIDIKAN MALAYSIA BAHAGIAN PEMBANGUNAN ARAS 3 &amp; 6 BLOK E2 KOMPLEKS E, PUSAT PENTADBIRAN KERAJAAN PERSEKUTUAN PRESINT 1, 62604 WILAYAH PERSEKUTUAN PUTRAJAYA </t>
  </si>
  <si>
    <t>NVMY34535000014525</t>
  </si>
  <si>
    <t>EnBamRezz</t>
  </si>
  <si>
    <t>A2 jalan kijal kg merbau menyusut 21500 setiu terengganu</t>
  </si>
  <si>
    <t>NVMY34535000014506</t>
  </si>
  <si>
    <t>NURIN</t>
  </si>
  <si>
    <t>FIS YTP KOPERASI KOLEJ MARA KULIM JALAN JUNJONG 09200 KULIM, KEDAH</t>
  </si>
  <si>
    <t>NVMY34535000014520</t>
  </si>
  <si>
    <t>MOHD FAUZI BIN ZAMROD</t>
  </si>
  <si>
    <t>F-05-06, APARTMENT DESA PERANGSANG, JALAN PJS 3/56, TAMAN MEDAN 46000 PETALING JAYA, SELANGOR</t>
  </si>
  <si>
    <t>D1-SUN-24-101</t>
  </si>
  <si>
    <t>NVMY34535000014460</t>
  </si>
  <si>
    <t>MOHD RAHMAT BIN ZAINUDIN</t>
  </si>
  <si>
    <t xml:space="preserve">KAMPUNG BELUKAR MUKIM TELAGA MAS 06400 POKOK SENA KEDAH </t>
  </si>
  <si>
    <t>NVMY34535000014536</t>
  </si>
  <si>
    <t>FURUI-WAREHOUSE</t>
  </si>
  <si>
    <t>LOT 29643(PT16951), 36B, JALAN TELOK MENGKUANG KAWASAN PERINDUSTRIAN TELOK MENGKUANG, TELOK PANGLIMA GARANG, KUALA LANGAT 42500 TELOK PANGLIMA GARANG, SELANGOR</t>
  </si>
  <si>
    <t>NVMY34535000014521</t>
  </si>
  <si>
    <t>PAKNGOH</t>
  </si>
  <si>
    <t>LOT 1972-C KAMPUNG PANCHOR KEMUMIN 16100 KOTA BHARU KELANTAN</t>
  </si>
  <si>
    <t>A1-KBR-29-4</t>
  </si>
  <si>
    <t>NVMY34535000014519</t>
  </si>
  <si>
    <t>NOORAZILIN ROSLI</t>
  </si>
  <si>
    <t>A-3A-20 PV5, PLATINUM HILL, JALAN MELATI UTAMA 2, MELATI UTAMA 53100, SETAPAK WP KUALA LUMPUR</t>
  </si>
  <si>
    <t>D2-DNK-16-116</t>
  </si>
  <si>
    <t>NVMY34535000014523</t>
  </si>
  <si>
    <t>Nor Azmiza Bt Yusuf</t>
  </si>
  <si>
    <t>Lot 1730 Kg chat , 16040 Palekbang . Tumpat, kelantan</t>
  </si>
  <si>
    <t>NVMY34535000014510</t>
  </si>
  <si>
    <t>NORIDA</t>
  </si>
  <si>
    <t xml:space="preserve">NO 20 LORONG TKI 10 , TAMAN KRAU INDAH , 28050 TEMERLOH PAHANG </t>
  </si>
  <si>
    <t>B1-JER-19-33</t>
  </si>
  <si>
    <t>NVMY34535000014457</t>
  </si>
  <si>
    <t>ROHANI HARUN</t>
  </si>
  <si>
    <t xml:space="preserve">NO 4 JALAN RIANG 21 KAWASAN PERINDUSTRIAN TAMAN GEMBIRA JOHOR BAHRU </t>
  </si>
  <si>
    <t>NVMY34535000014446</t>
  </si>
  <si>
    <t>AZWA AHMAD</t>
  </si>
  <si>
    <t xml:space="preserve">BLOK A 298 TAMAN WIRA MERGONG 0535 ALOR SETAR KEDAH </t>
  </si>
  <si>
    <t>NVMY34535000014522</t>
  </si>
  <si>
    <t>FATIN MELISSA</t>
  </si>
  <si>
    <t>INFINITI 3 RESIDENSI B-15-8, JLN SERI WANGSA 2, WANGSA MAJU 53300 KUALA LUMPUR</t>
  </si>
  <si>
    <t>NVMY34535000014486</t>
  </si>
  <si>
    <t>AIFAN</t>
  </si>
  <si>
    <t>NO 21 LORONG 1 TAMAN SERI MENGKUANG BUKIT MERTAJAM PULAU PINANG 14400</t>
  </si>
  <si>
    <t>NVMY34535000014472</t>
  </si>
  <si>
    <t>SITI NUR KHAIRUL ANISA BINTI MUHAMMAD TAUFIQ</t>
  </si>
  <si>
    <t xml:space="preserve">557 MUKIM 2 KAMPUNG RAWAI TELUK BAHANG 11050 BALIK PULAI , PULAU PINANG </t>
  </si>
  <si>
    <t>NVMY34535000014429</t>
  </si>
  <si>
    <t>HASBOLAH BIN ABDULLAH</t>
  </si>
  <si>
    <t xml:space="preserve">RUMAH WARGA TUA AIR PANAS PETI SURAT 353 91007 TAWAU SABAH </t>
  </si>
  <si>
    <t>NVMY34535000014526</t>
  </si>
  <si>
    <t>LIA</t>
  </si>
  <si>
    <t>NO 2 JALAN PERJIRANAN 15/8 BANDAR DATO ONN 81100 JOHOR BAHRU, JOHOR.</t>
  </si>
  <si>
    <t>C1-AUS-9-67</t>
  </si>
  <si>
    <t>NVMY34535000014534</t>
  </si>
  <si>
    <t>MOKHTAR BIN BUJANG</t>
  </si>
  <si>
    <t xml:space="preserve">KEDAI MARA NO 3 , FELDA SERTING HILIR , 72120 SERTING HILIR JEMPOL , NEGERI SEMBILAN </t>
  </si>
  <si>
    <t>C4-BHU-28-88</t>
  </si>
  <si>
    <t>NVMY34535000014442</t>
  </si>
  <si>
    <t>NORAZIMA SAIDINA</t>
  </si>
  <si>
    <t>Sarawak</t>
  </si>
  <si>
    <t>12/56 , KAMPUNG HULU KABONG , SARATOK , 94650 SARAWAK</t>
  </si>
  <si>
    <t>E3-TOK-1-175</t>
  </si>
  <si>
    <t>NVMY34535000014542</t>
  </si>
  <si>
    <t>Tuan Sarifah BT Tuan Losin</t>
  </si>
  <si>
    <t>No 16jalan Ambar 2, taman Ambar 43800 Dengkil Sepang Selangor</t>
  </si>
  <si>
    <t>D4-STG-8-130</t>
  </si>
  <si>
    <t>NVMY34535000014515</t>
  </si>
  <si>
    <t>NO. 84, JALAN SS2/5 TAMAN SRI SAUJANA 81900 KOTA TINGGI JOHOR</t>
  </si>
  <si>
    <t>NVMY34535000014528</t>
  </si>
  <si>
    <t>EMELIANA RAHAYU BT MUHARAM</t>
  </si>
  <si>
    <t>KM 19,KG TEDONG BARAT,JLN PENGHULU AHIM,77300 MERLIMAU,MELAKA</t>
  </si>
  <si>
    <t>C3-MLM-3-87</t>
  </si>
  <si>
    <t>NVMY34535000014541</t>
  </si>
  <si>
    <t>NUR NAJWA ZAFIRAH BINTI MOHD ZAKI</t>
  </si>
  <si>
    <t>B 1239, KAMPUNG BUKIT TUNGGAL 21200 KUALA TERENGGANU</t>
  </si>
  <si>
    <t>NVMY34535000014492</t>
  </si>
  <si>
    <t>SUFIAN HADI</t>
  </si>
  <si>
    <t>KAMPUNG BATU 16 1/2 HADAPAN PUSAT PERKHIDMATAN VETERINAR, JALAN AIR PUTIH 24050 KEMAMAN TERENGGANU</t>
  </si>
  <si>
    <t>NVMY34535000014535</t>
  </si>
  <si>
    <t>NIK HASBOLLAH</t>
  </si>
  <si>
    <t>NIK IKAN BAKAR NO 1 MEDAN SELERA MASJID KAYANGAN BRINCHANG 39100 CAMERON HIGHLANDS PAHANG</t>
  </si>
  <si>
    <t>B3-CMN-13-54</t>
  </si>
  <si>
    <t>NVMY34535000014527</t>
  </si>
  <si>
    <t>NUR SHAHIRA MOHAMAD</t>
  </si>
  <si>
    <t>NO 23 JALAN RESAK 2 TAMAN IMPIAN EHSAN BALAKONG 43300 SERI KEMBANGAN SELANGOR</t>
  </si>
  <si>
    <t>NVMY34535000014511</t>
  </si>
  <si>
    <t>NADIA SYAHIRAH</t>
  </si>
  <si>
    <t xml:space="preserve">A2 , LOT 223 , JALAN JELUTONG 1 , JELUTONG TENGAH 815500 GELANG PATAH </t>
  </si>
  <si>
    <t>NVMY34535000014537</t>
  </si>
  <si>
    <t>RADDY MAXWELL</t>
  </si>
  <si>
    <t>NO 2D, LORONG ECO GARDEN 11, 96000 SIBU SARAWAK</t>
  </si>
  <si>
    <t>E3-SBW-1-169</t>
  </si>
  <si>
    <t>NVMY34535000014540</t>
  </si>
  <si>
    <t>Nurul nabihah ahmad rosli</t>
  </si>
  <si>
    <t>No 33 jalan wira 4, Taman maluri kampung pandan, 55100 wilayah persekutuan kuala lumpur</t>
  </si>
  <si>
    <t>D3-SHM-10-128</t>
  </si>
  <si>
    <t>NVMY34535000014485</t>
  </si>
  <si>
    <t>MUHAMMAD NOR HAIKAL BIN ZAINAL ABIDIN</t>
  </si>
  <si>
    <t xml:space="preserve">97 REJIMEN SEMBOYAN PEPERANGAN ELEKTRONIK , 47000 KEM PAYAJARAS SUNGAI BULUH , SELANGOR </t>
  </si>
  <si>
    <t>D4-RWG-6-134</t>
  </si>
  <si>
    <t>NVMY34535000014518</t>
  </si>
  <si>
    <t>SURESH NELSON</t>
  </si>
  <si>
    <t>A-15-3A, GATEWAY KIARAMAS RESIDENCE, JALAN KIARA 5, MONT KIARA 50480 KUALA LUMPUR, MALAYSIA</t>
  </si>
  <si>
    <t>D2-SEG-20-107</t>
  </si>
  <si>
    <t>NVMY34535000014555</t>
  </si>
  <si>
    <t>MOHD FIRDAUS BIN IRWAN</t>
  </si>
  <si>
    <t xml:space="preserve">NO 13543 K TAMAN PERMIT MAKMUR JALAN GONG BADAK 21300 KUALA TERENGGANU , TEERNGGANU </t>
  </si>
  <si>
    <t>NVMY34535000014513</t>
  </si>
  <si>
    <t>FARAH ADIBAH</t>
  </si>
  <si>
    <t xml:space="preserve">TS 7169 MUKIM 5 , BUKIT INDERA MUDA , KUBANG SEMANG 14400 MUKIM 5 ( SEBERANG PERAI TENGAH ) SEBERANG PERAI TENGAH 13500 PULAU PINANG </t>
  </si>
  <si>
    <t>NVMY34535000014517</t>
  </si>
  <si>
    <t>Hasmanilah bt Deraman</t>
  </si>
  <si>
    <t>No 406 Blok B3, Seksyen 10 Wangsa Maju 53300 KL</t>
  </si>
  <si>
    <t>D1-WMJ-24-98</t>
  </si>
  <si>
    <t>NVMY34535000014548</t>
  </si>
  <si>
    <t>ARSYAD ISMAIK BIN SANUZI</t>
  </si>
  <si>
    <t xml:space="preserve">NO 23 JALAN KIAMBANG 3A TAMAN DESA KIAMBANG , 48200 SERENDAH , SELANGOR </t>
  </si>
  <si>
    <t>NVMY34535000014544</t>
  </si>
  <si>
    <t>NOOR AZMAWATI</t>
  </si>
  <si>
    <t xml:space="preserve">PT 4843 , KG BANGGOL KATONG SERADA 20050 KUALA TERENGGANU </t>
  </si>
  <si>
    <t>NVMY34535000014539</t>
  </si>
  <si>
    <t>DIDAM SCARF</t>
  </si>
  <si>
    <t>LOT 15636 PERUMAHAN TANAH KELOMPOK KAMPUNG PINTU PADANG 27600 RAUB PAHANG</t>
  </si>
  <si>
    <t>D3-RUB-12-123</t>
  </si>
  <si>
    <t>NVMY34535000014549</t>
  </si>
  <si>
    <t>MOHD YUSREE ROSLI</t>
  </si>
  <si>
    <t xml:space="preserve">NO 19 JALAN SAUJANA KLIA 3/4 TAMAN SAUJANA KLIA 43900 SEPANG SELANGOR </t>
  </si>
  <si>
    <t>NVMY34535000014524</t>
  </si>
  <si>
    <t>faizzah bt roslan</t>
  </si>
  <si>
    <t>block 12-02-08 taman desa tun razak 76300 sungai udang melaka</t>
  </si>
  <si>
    <t>NVMY34535000014543</t>
  </si>
  <si>
    <t>TUAN ROSNADIA</t>
  </si>
  <si>
    <t xml:space="preserve">UNIT SAJIAN HOSPITAL GUA MUSANG 18300 GUA MUSANG KELANTAN </t>
  </si>
  <si>
    <t>NVMY34535000014516</t>
  </si>
  <si>
    <t>NUR HANANI</t>
  </si>
  <si>
    <t>NO 110A, JALAN HAJI ABDUL RAHMAN KAMPUNG BARU BENTONG 28700 PAHANG</t>
  </si>
  <si>
    <t>D3-BEN-12-122</t>
  </si>
  <si>
    <t>NVMY34535000014418</t>
  </si>
  <si>
    <t>ANIS IMRAN</t>
  </si>
  <si>
    <t xml:space="preserve">NO 99 , JALAN SEMERBAK 13 TAMAN BUKIT DAHLIA , 81700 PASIR GUDANG JOHOR BAHRU </t>
  </si>
  <si>
    <t>B1-PKN-17-36</t>
  </si>
  <si>
    <t>NVMY34535000014432</t>
  </si>
  <si>
    <t>CLARENCE CHARLES FUNG</t>
  </si>
  <si>
    <t>NO D4-8, BLOCK D LEVEL 8, PUTATAN PLATINUM APARTMENT JALAN PUTATAN, 88200 KOTA KINABALU, SABAH</t>
  </si>
  <si>
    <t>NVMY34535000014551</t>
  </si>
  <si>
    <t xml:space="preserve">768 , JALAN BATU PAHAT , 86100 AYER HITAM JOHOR </t>
  </si>
  <si>
    <t>NVMY34535000014566</t>
  </si>
  <si>
    <t>MOHAMAD IZZDUIN BIN RAMLI</t>
  </si>
  <si>
    <t xml:space="preserve">LOT 33 KAMPUNG TELUK KETAPANG SEBERANG TAKIR 21300 KUALA TERENGGANU , TERENGGANU </t>
  </si>
  <si>
    <t>NVMY34535000014550</t>
  </si>
  <si>
    <t>ZAI ABD TALIB</t>
  </si>
  <si>
    <t>NO 25 JALAN PEKAKA 8/1B SEKSYEN 8, KOTA DAMANSARA 47810 PETALING JAYA SELANGOR</t>
  </si>
  <si>
    <t>NVMY34535000014581</t>
  </si>
  <si>
    <t>AINAKAMARUDIN</t>
  </si>
  <si>
    <t>PT15435, KG MAK CHILI PAYA JALAN BUKIT TAKAL 24000 CHUKAI, KEMAMAN TERENGGANU</t>
  </si>
  <si>
    <t>B1-CHU-19-29</t>
  </si>
  <si>
    <t>NVMY34535000014582</t>
  </si>
  <si>
    <t>NUR FARAH DIANA BINTI ABDUL GHANI</t>
  </si>
  <si>
    <t>PT 7840, POLITEKNIK BESUT TERENGGANU, JALAN BUKIT KELUANG BESUT 22200 TERENGGANU</t>
  </si>
  <si>
    <t>NVMY34535000014583</t>
  </si>
  <si>
    <t>Norfarahiyah</t>
  </si>
  <si>
    <t>Kampung Enggong Kuala Krai Kelantan , 18000</t>
  </si>
  <si>
    <t>NVMY34535000014552</t>
  </si>
  <si>
    <t>MUHAMMAD FAIRUZ BIN ABD RAHMAN</t>
  </si>
  <si>
    <t>GOMBAK HORSE RIDING CLUB , LOT 5639 , JALAN SG PASU , KAMPUNG SUNGAI PASU , 53100 KUALA LUMPUR , Kuala Lumpur, Hulu Langat, -, 53100</t>
  </si>
  <si>
    <t>D1-CAV-24-99</t>
  </si>
  <si>
    <t>NVMY34535000014533</t>
  </si>
  <si>
    <t>JASWANT &amp; LOH</t>
  </si>
  <si>
    <t xml:space="preserve">561A JALAN PASIR PUTIH 31650 IPOH PERAK DARUL RIDZUAN </t>
  </si>
  <si>
    <t>B3-HLD-13-48</t>
  </si>
  <si>
    <t>NVMY34535000014545</t>
  </si>
  <si>
    <t>MS . SAKILA BANU</t>
  </si>
  <si>
    <t>B-28-05/06 MUTIARA HEIGHTS LINTANG HAJJAH REHMAH 11600 JELUTONG PENANG ( BANDARAYA GEORGETOWN TIMUR )</t>
  </si>
  <si>
    <t>NVMY34535000014554</t>
  </si>
  <si>
    <t>NURUL IZZATULNAJWA</t>
  </si>
  <si>
    <t>POLITEKNIK SULTAN SALAHUDDIN ABDUL AZIZ SHAH PERSIARAN USAHAWAN SEKSYEN U1, 40150 SHAH ALAM, SELANGOR</t>
  </si>
  <si>
    <t>NVMY34535000014560</t>
  </si>
  <si>
    <t>HASUNA BINTI ZULKIFLI</t>
  </si>
  <si>
    <t xml:space="preserve">NO 39 TAMAN LIPIS 27200 KUALA LIPIS PAHANG DARUL MAKMUR </t>
  </si>
  <si>
    <t>NVMY34535000014553</t>
  </si>
  <si>
    <t>INA</t>
  </si>
  <si>
    <t>No 08 jln permas 2/14, bandar baru permas jaya, 81750, masai, johor bahru, Johor, Masai, 81750</t>
  </si>
  <si>
    <t>NVMY34535000014547</t>
  </si>
  <si>
    <t>MOHAMAD FAKHRUL</t>
  </si>
  <si>
    <t xml:space="preserve">TL 81A KAMPUNG PARIT HAJI BASRI , SIMPANG RENGGAM , 86200 KLUANG JOHOR </t>
  </si>
  <si>
    <t>NVMY34535000014564</t>
  </si>
  <si>
    <t>SYAIRAH ZAMRI</t>
  </si>
  <si>
    <t xml:space="preserve">1277 P ( O ) KUATERS JPJ BANDAR TUN RAZAK 26900 PAHANG </t>
  </si>
  <si>
    <t>B1-MSH-17-37</t>
  </si>
  <si>
    <t>NVMY34535000014546</t>
  </si>
  <si>
    <t>AYU</t>
  </si>
  <si>
    <t xml:space="preserve">NO 187 LORONG TOK SIDIK KAMPUNG TEMELONG 33400 LENGGONG PERAK </t>
  </si>
  <si>
    <t>NVMY34535000014529</t>
  </si>
  <si>
    <t>NVMY34535000014538</t>
  </si>
  <si>
    <t>KUMPULAN WANG PERSARAAN (DIPERBADANKAN)</t>
  </si>
  <si>
    <t>JABATAN PERKHIDMATAN PERSARAAN, ARAS 11, SKYTECH TOWER 2, MKN EMBASSY TECHZONE JALAN TEKNOKRAT 2, CYBER 4, 63000 CYBERJAYA SELANGOR</t>
  </si>
  <si>
    <t>NVMY34535000014556</t>
  </si>
  <si>
    <t>MOHD ADAM</t>
  </si>
  <si>
    <t>LOT 128-17B JLN GOMBAK BT 8 KG SG CHINCHIN 53100 GOMBAK WP KUALA LUMPUR</t>
  </si>
  <si>
    <t>NVMY34535000014585</t>
  </si>
  <si>
    <t>Jumatia Asnai</t>
  </si>
  <si>
    <t>B1-B-08 PERUMAHAN POLIS DESA BAIDURI LORONG TAN SRI ABDUL RAHMAN HASHIM 1 . 56000 CHERAS KUALA LUMPUR</t>
  </si>
  <si>
    <t>D2-CHE-18-111</t>
  </si>
  <si>
    <t>NVMY34535000014605</t>
  </si>
  <si>
    <t>NVMY34535000014595</t>
  </si>
  <si>
    <t>Maysara malik</t>
  </si>
  <si>
    <t>B 2931 taman angkasa  Jln air putih 2 25300 kuantan pahang</t>
  </si>
  <si>
    <t>NVMY34535000014592</t>
  </si>
  <si>
    <t>TARMIZIE</t>
  </si>
  <si>
    <t xml:space="preserve">PT 9721 JALAN GONG PASIR LORONG 2 KANAN 23000 DUNGUN TERENGGANU </t>
  </si>
  <si>
    <t>A2-DGN-25-16</t>
  </si>
  <si>
    <t>NVMY34535000014558</t>
  </si>
  <si>
    <t xml:space="preserve">10 TAAMN JALAN TK2 , TAMAN TUN KUDU , MELAKA TENGAH 75450 MELAKA </t>
  </si>
  <si>
    <t>NVMY34535000014577</t>
  </si>
  <si>
    <t>MOTOR CITY AUTO PARTS SDN BHD</t>
  </si>
  <si>
    <t xml:space="preserve">2455 JALAN IKS BUKIT MINYAK IKS , BUKIT MINYAK 14100 BUKIT MERTAJAM PULAU PINANG </t>
  </si>
  <si>
    <t>NVMY34535000014576</t>
  </si>
  <si>
    <t>2455 JALAN IKS BUKIT MINYAK IKS , BUKIT MINYAK 14100 BUKIT MERTAJAM PULAU PINANG</t>
  </si>
  <si>
    <t>NVMY34535000014579</t>
  </si>
  <si>
    <t>ANIQ NASHRI</t>
  </si>
  <si>
    <t>NO 22, JALAN DD 3A/8 JALAN DATO DEMANG 43300 SERI KEMBANGAN, SELANGOR</t>
  </si>
  <si>
    <t>D3-SRD-10-126</t>
  </si>
  <si>
    <t>NVMY34535000014575</t>
  </si>
  <si>
    <t>NVMY34535000014593</t>
  </si>
  <si>
    <t>SITI AISHAH BINTI SUBRI</t>
  </si>
  <si>
    <t>A-42-05, SUNWAY AVILA RESIDENCES, NO 2, JALAN SERI WANGSA 2TAMAN SRI RAMPAI WANGSA MAJU 53300 KUALA LUMPUR WP KUALA LUMPUR</t>
  </si>
  <si>
    <t>NVMY34535000014578</t>
  </si>
  <si>
    <t>NVMY34535000014609</t>
  </si>
  <si>
    <t>SYAFIQAH LIYANA</t>
  </si>
  <si>
    <t>NO 5 JALAN TP 1F, TAMAN TUAH PERDANA 75450 MELAKA</t>
  </si>
  <si>
    <t>NVMY34535000014607</t>
  </si>
  <si>
    <t>SAIDATUL ADAWIYAH</t>
  </si>
  <si>
    <t>LOT 1306-C, JALAN GAJAH 4 KAMPUNG KUBU GAJAH 43700 SUNGAI BULOH, SELANGOR</t>
  </si>
  <si>
    <t>D3-SGB-14-121</t>
  </si>
  <si>
    <t>NVMY34535000014588</t>
  </si>
  <si>
    <t>NVMY34535000014603</t>
  </si>
  <si>
    <t>NORLIAE BT MOHAMAD NOOR</t>
  </si>
  <si>
    <t xml:space="preserve">NO 68 JALAN BIYUKU TAMAN ALAM MEGAH , 27/64 SEKSYEN 27 40400 SHAH ALAM </t>
  </si>
  <si>
    <t>D2-HGT-16-115</t>
  </si>
  <si>
    <t>NVMY34535000014599</t>
  </si>
  <si>
    <t>ROHANA BINTI BORHAN</t>
  </si>
  <si>
    <t>BATU 4,KAMPUNG SIMPANG GELAMI KUALA KLAWANG 71600 JELEBU NEGERI SEMBILAN</t>
  </si>
  <si>
    <t>NVMY34535000014598</t>
  </si>
  <si>
    <t>Aishah Hairuddin</t>
  </si>
  <si>
    <t>232,Jalan Pahang  Felda Padang Piol,  27040 Jerantut  Pahang  Darul Makmur.</t>
  </si>
  <si>
    <t>NVMY34535000014602</t>
  </si>
  <si>
    <t>BUTIK PENGANTIN LEVEL 1 DALAM HOTEL</t>
  </si>
  <si>
    <t xml:space="preserve">HOTEL ROYALE CHULAN KL RETAIL LOT 2&amp;3 LEVEL 1 NO 5 JALAN CONLAY 50450 KL ( DALAM HOTEL LEVEL 1 ) </t>
  </si>
  <si>
    <t>D2-CKT-18-112</t>
  </si>
  <si>
    <t>NVMY34535000014574</t>
  </si>
  <si>
    <t>NORIHA BINTI MUHAMMAD</t>
  </si>
  <si>
    <t xml:space="preserve">NO 4 , JALAN DAMAI BAKTI 7 ALAM DAMAI , 56000 CHERAS KUALA LUMPUR </t>
  </si>
  <si>
    <t>NVMY34535000014596</t>
  </si>
  <si>
    <t>Nurjanah</t>
  </si>
  <si>
    <t xml:space="preserve">Blok 1-0-8 taman miharja cheras  55200 Kuala Lumpur </t>
  </si>
  <si>
    <t>NVMY34535000014608</t>
  </si>
  <si>
    <t>ROZAIDI BINTI ABU HASAN</t>
  </si>
  <si>
    <t>NO 505 JALAN TEMALIAN, FELDA SUNGAI RETANG, 27000 JERANTUT, PAHANG DARUL MAKMUR</t>
  </si>
  <si>
    <t>NVMY34535000014594</t>
  </si>
  <si>
    <t>Nurul ain bt mohd rosdi</t>
  </si>
  <si>
    <t>Lot 2949-B kg belukar wakaf bharu 16250 tumpat kelantan</t>
  </si>
  <si>
    <t>NVMY34535000014589</t>
  </si>
  <si>
    <t>AISHAH ZAKARIA</t>
  </si>
  <si>
    <t xml:space="preserve">NO 9JALAN KOTA PUTERI 8/13B SEKSYEN 8 KOTA PUTERI 48100 HPMBAK , RAWANG SELANGOR </t>
  </si>
  <si>
    <t>D3-PCK-14-118</t>
  </si>
  <si>
    <t>NVMY34535000014568</t>
  </si>
  <si>
    <t>FURIU - WAREHOUSE</t>
  </si>
  <si>
    <t>NVMY34535000014561</t>
  </si>
  <si>
    <t>NOOR AZLIN BINTI ISHAK</t>
  </si>
  <si>
    <t xml:space="preserve">NO 05-502 BLOK 28 , RUMAH PANGSAPURI FLAT PKNS , JALAN PLUMBUM 7/97 , SEKSYEN 7 40000 SHAH ALAM SELANGOR , PETALING SELANGOR </t>
  </si>
  <si>
    <t>D1-KLG-22-105</t>
  </si>
  <si>
    <t>NVMY34535000014604</t>
  </si>
  <si>
    <t>NIK NURSYAHIRA BINTI NIK ALWI</t>
  </si>
  <si>
    <t xml:space="preserve">2B-02-08 DESA IMPIANA , JALAN PUCHONG PRIMA , PUCHONG 47150 SELANGOR </t>
  </si>
  <si>
    <t>D1-PUC-22-104</t>
  </si>
  <si>
    <t>NVMY34535000014573</t>
  </si>
  <si>
    <t>KHAIRATUL HANIS</t>
  </si>
  <si>
    <t xml:space="preserve">KOLEJ KEDIAMAN DATO RAZALI ISMAIL ( KKDRI ) INSTITUT PENDIDIKAN GURU KAMPUS BAHASA MELAYU , LINGKUNGAN BUDI , 59100 LEMBAH SIREH PANTAI , WILAYAH PERSEKUTUAN KUALA LUMPUR </t>
  </si>
  <si>
    <t>D5-SPH-4-138</t>
  </si>
  <si>
    <t>NVMY34535000014572</t>
  </si>
  <si>
    <t>FATIN ARLINA</t>
  </si>
  <si>
    <t xml:space="preserve">KOLEJ KEDIAMAN DATO RAZALI ISMAIL , IPG KAMPUS BAHASA MELAYU , JALAN PANTAI BAHARU, 59990 LEMBAH PERAI </t>
  </si>
  <si>
    <t>NVMY34535000014621</t>
  </si>
  <si>
    <t>Mejar Mamat Mat Hasan</t>
  </si>
  <si>
    <t>Lot 6477, Taman Perumahan Bukit Murtaja, 21700 Kuala Berang, Terengganu</t>
  </si>
  <si>
    <t>NVMY34535000014562</t>
  </si>
  <si>
    <t>RYZA</t>
  </si>
  <si>
    <t xml:space="preserve">8-2-14 KA;AN 6/112A TAMAN BUKIT ANGKASA PANTAI DALAM 59200 KUALA LUMPUR </t>
  </si>
  <si>
    <t>NVMY34535000014567</t>
  </si>
  <si>
    <t>ZURINA BINTI SELAMAT</t>
  </si>
  <si>
    <t xml:space="preserve">NO 40 BATU 3 PARIT JAWA 34300 BAGAN SERAI PERAK </t>
  </si>
  <si>
    <t>NVMY34535000014587</t>
  </si>
  <si>
    <t>Wan Zuriani Ashikin</t>
  </si>
  <si>
    <t>No147 lorong jaya kiri Kpg jaya setia 45600 btg berjuntai Selangor</t>
  </si>
  <si>
    <t>NVMY34535000014628</t>
  </si>
  <si>
    <t>NVMY34535000014570</t>
  </si>
  <si>
    <t>NURUL NAZREENA</t>
  </si>
  <si>
    <t>JSK8 JLN SENGKANG BATU16 BUKIT GAMBIR 84900 TANGKAK JOHOR</t>
  </si>
  <si>
    <t>C2-GMR-5-78</t>
  </si>
  <si>
    <t>NVMY34535000014559</t>
  </si>
  <si>
    <t>AME UZA</t>
  </si>
  <si>
    <t xml:space="preserve">NO 8 JALAN LARKIN JAYA , 80350 JOHOR BAHRU JOHOR </t>
  </si>
  <si>
    <t>C1-LKN-7-72</t>
  </si>
  <si>
    <t>NVMY34535000014557</t>
  </si>
  <si>
    <t>MAKZALIZA BT MHOTAR</t>
  </si>
  <si>
    <t>NO 658 JALAN KENANGA 7 PERSIARAN AMANJAYA 7 , AMBANGAN HEIGHT 08000 SG PETANI KEDAH</t>
  </si>
  <si>
    <t>A3-GRN-23-21</t>
  </si>
  <si>
    <t>NVMY34535000014626</t>
  </si>
  <si>
    <t>NORJULAINA BT ARIFFADILAH</t>
  </si>
  <si>
    <t>TNB PUTRAJAYA&amp;CYBERJAYA BLOK 4802-0-7, JALAN PERDANA CBD PERDANA 63000 CYBERJAYA, SELANGOR</t>
  </si>
  <si>
    <t>NVMY34535000014617</t>
  </si>
  <si>
    <t>NUR FARAH DILLA BT ZAINUDIN</t>
  </si>
  <si>
    <t>NO 100, JALAN INDAH 7/3, TAMAN INDAH TAMPIN 73000 NEGERI SEMBILAN</t>
  </si>
  <si>
    <t>NVMY34535000014584</t>
  </si>
  <si>
    <t>NVMY34535000014590</t>
  </si>
  <si>
    <t>NURLIYANA BINTI IDRIS</t>
  </si>
  <si>
    <t>UNIT DIETETIK DAN SAJIAN HOSPITAL KOTA TINGGI 81900 KOTA TINGGI, JOHOR</t>
  </si>
  <si>
    <t>NVMY34535000014565</t>
  </si>
  <si>
    <t>NUR LIYANA</t>
  </si>
  <si>
    <t xml:space="preserve">NO 162 TAMAN IMPIAN KOTA SARANG SEMUT 06800 ALOR SETAR , KEDAH </t>
  </si>
  <si>
    <t>A3-PDG-21-26</t>
  </si>
  <si>
    <t>NVMY34535000014627</t>
  </si>
  <si>
    <t>MAT NASHIR BIN ISMAIL</t>
  </si>
  <si>
    <t xml:space="preserve">PT 7153 JALAN TANJUNG TAMAN ANEKA JAYA 39 BUKIT KUANG , 24000 KEMAMAN TERENGGANU </t>
  </si>
  <si>
    <t>NVMY34535000014580</t>
  </si>
  <si>
    <t>Rozita binti Mahmood</t>
  </si>
  <si>
    <t>Rozita binti Mahmood No 4 Jalan Kecapi Taman PKEINJ, Kebun Teh, 80250 Johor Bahru</t>
  </si>
  <si>
    <t>NVMY34535000014613</t>
  </si>
  <si>
    <t>AMZAR</t>
  </si>
  <si>
    <t>RUMAH KLINIK SG KOYAN 1, FELDA SG KOYAN 27650 LIPIS, PAHANG</t>
  </si>
  <si>
    <t>NVMY34535000014569</t>
  </si>
  <si>
    <t>Teeta othman</t>
  </si>
  <si>
    <t>No. 234 Manjung Point, Seksyen 1 32040Seri Manjung Perak</t>
  </si>
  <si>
    <t>NVMY34535000014563</t>
  </si>
  <si>
    <t>ANISA</t>
  </si>
  <si>
    <t xml:space="preserve">777B , 619 JALAN KUNDANG SATU , KAMPUNG PADANG JAWA 41300 KLANG SELANGOR </t>
  </si>
  <si>
    <t>NVMY34535000014610</t>
  </si>
  <si>
    <t>AISHAH BT AZAMI</t>
  </si>
  <si>
    <t xml:space="preserve">KOMPLEKS DEWAN BAHASA DAN PUSTAKA , LOT 1037 JALAN AU3/1 , 54200 AMPANG , HULU KELANG SELANGOR </t>
  </si>
  <si>
    <t>NVMY34535000014601</t>
  </si>
  <si>
    <t>NVMY34535000014625</t>
  </si>
  <si>
    <t>NOR IZANI IBRAHIM</t>
  </si>
  <si>
    <t>NO. 32 G, JALAN AIRPORT CITY 2, AIRPORT CITY BUSSINUSS CENTRE, KOTA WARISAN, 43900 SEPANG, SELANGOR</t>
  </si>
  <si>
    <t>NVMY34535000014606</t>
  </si>
  <si>
    <t>Mohd Kamil Bin Ujang</t>
  </si>
  <si>
    <t>No 2, Lorong 20, Taman Cempaka Fasa 2, Senawang, 70450 Seremban, Negeri Sembilan</t>
  </si>
  <si>
    <t>C4-SWG-28-89</t>
  </si>
  <si>
    <t>NVMY34535000014623</t>
  </si>
  <si>
    <t>Rokimah binti mohd zain</t>
  </si>
  <si>
    <t>SS 10 perumahan kilang ,felda kertah 6 23300 ketengah jaya Dugun terengganu</t>
  </si>
  <si>
    <t>NVMY34535000014597</t>
  </si>
  <si>
    <t>TINI MAZLI</t>
  </si>
  <si>
    <t>20-1-4 TERATAI 20 JLN 5/56 AU3 KERAMAT HULU KLANG 54200 KUALA LUMPUR</t>
  </si>
  <si>
    <t>NVMY34535000014630</t>
  </si>
  <si>
    <t>WAN AZIZAH BINTI WAN HASSAN</t>
  </si>
  <si>
    <t>NO 6 JLN BSE 4/17 BANDAR SERI EHSAN 42700 BANTING, SELANGOR</t>
  </si>
  <si>
    <t>NVMY34535000014616</t>
  </si>
  <si>
    <t>SABARIAH BINTI AB AZIZ</t>
  </si>
  <si>
    <t>KLINIK KESIHATAN PAYA BESAR JALAN KUATAN BY PASS 25150 KUANTAN PAHANG</t>
  </si>
  <si>
    <t>NVMY34535000014571</t>
  </si>
  <si>
    <t>KAMILAH BINTI JONO</t>
  </si>
  <si>
    <t>JALAN MENANTI 2, KAMPUNH SRI MENANTI BATU 22 SENGKANG 84800 BUKIT GAMBIR TANGKAK JOHOR DARUL TAKZIM</t>
  </si>
  <si>
    <t>NVMY34535000014619</t>
  </si>
  <si>
    <t>NOR AZMAH SUHAIMI</t>
  </si>
  <si>
    <t xml:space="preserve">LOT 75 KAMPUNG BETA CHEKEL , 15100 KOTA BHARU KELANTAN </t>
  </si>
  <si>
    <t>NVMY34535000014618</t>
  </si>
  <si>
    <t>MUNIRA BT JAYA @ SIDEK</t>
  </si>
  <si>
    <t xml:space="preserve">D KAMPUNG PINANG BARU DUNGUN TERENGGANU , TERENGGANU 23000 DUNGUN TERENGGANU </t>
  </si>
  <si>
    <t>NVMY34535000014586</t>
  </si>
  <si>
    <t>Nor msread</t>
  </si>
  <si>
    <t>Lot G03 ground floor, Aeon mall Tebrau city No 1 jalan desa tebrau, Taman desa tebrau  81100 Johor Bahru</t>
  </si>
  <si>
    <t>NVMY34535000014611</t>
  </si>
  <si>
    <t>NOR HAKIDAH</t>
  </si>
  <si>
    <t>NO 20 KAMPUNG BURUNG BARU 23000 DUNGUN, TERENGGANU</t>
  </si>
  <si>
    <t>NVMY34535000014614</t>
  </si>
  <si>
    <t>AMELIZA</t>
  </si>
  <si>
    <t>NO 8, JALAN TIONG LARKIN JAYA 80350 JOHOR BAHRU, JOHOR</t>
  </si>
  <si>
    <t>NVMY34535000014629</t>
  </si>
  <si>
    <t>SHANTY</t>
  </si>
  <si>
    <t xml:space="preserve">126M PEKAN TIKAM BATU 08600 SUNGAI PETANI KEDAH </t>
  </si>
  <si>
    <t>A3-SPT-23-18</t>
  </si>
  <si>
    <t>NVMY34535000014634</t>
  </si>
  <si>
    <t>MIZAN</t>
  </si>
  <si>
    <t>NO 41, JALAN PIKOLO 33/14, TAMAN ALAM INDAH, SEKSYEN 33, 40400 SHAH ALAM, SELANGOR</t>
  </si>
  <si>
    <t>NVMY34535000014631</t>
  </si>
  <si>
    <t>ATTN TRADE OPERATIONS SECTION</t>
  </si>
  <si>
    <t>BANK PERTANIAH MALAYSIA BERHAD (AGRO BANK), TRADE FINANCE DEPARTMENT, SUITE 8.0, 8TH FLOOR WISMA MARAN, NO 28, MEDAN PASAR 50050 KUALA LUMPUR</t>
  </si>
  <si>
    <t>NVMY34535000014600</t>
  </si>
  <si>
    <t>NURUL FAZLINA BT CHE MUSA</t>
  </si>
  <si>
    <t>BLOK 9-2-1 APARTMENT TAMAN CEMPAKA 1@ 2, BANDAR BARU NILAI SEREMBAN , NEGERI SEMBILAN ,</t>
  </si>
  <si>
    <t>NVMY34535000014591</t>
  </si>
  <si>
    <t>REJOL LAMUDIN</t>
  </si>
  <si>
    <t>WINAWANG SDN BHD, LOT 5-2, 2ND FLOOR LINTAS PLAZA, 88300 KOTA KINABALU, SABAH</t>
  </si>
  <si>
    <t>NVMY34535000014612</t>
  </si>
  <si>
    <t>NORIAH CHE NAS</t>
  </si>
  <si>
    <t>NO 18, LORONG TELOK JAMBU BINTONG 01000 KANGAR PERLIS</t>
  </si>
  <si>
    <t>NVMY34535000014636</t>
  </si>
  <si>
    <t>WATI</t>
  </si>
  <si>
    <t>LOT 2770-12A, KAMPUNG PADANG BALANG SENTUL 51100 KUALA LUMPUR</t>
  </si>
  <si>
    <t>NVMY34535000014635</t>
  </si>
  <si>
    <t>VANITHA</t>
  </si>
  <si>
    <t>77-03-26, BANDAR BARU SENTUL, KUALA LUMPUR 51000 WP KUALA LUMPUR</t>
  </si>
  <si>
    <t>NVMY34535000014615</t>
  </si>
  <si>
    <t>SITI ROKIAH ROZANI</t>
  </si>
  <si>
    <t>NO 38-C KUARTERS ANTI MALARIA LUBUK TAMANG CAMERON HIGHLANDS 39000 PAHANG</t>
  </si>
  <si>
    <t>NVMY34535000014622</t>
  </si>
  <si>
    <t>Norazilah binti khahar</t>
  </si>
  <si>
    <t>No. 54 Jln Cengal 2 Tmn Desaru Utama 81930 Kota Tinggi Johor.</t>
  </si>
  <si>
    <t>C1-PWR-9-63</t>
  </si>
  <si>
    <t>NVMY34535000014039</t>
  </si>
  <si>
    <t>VIVIEN</t>
  </si>
  <si>
    <t xml:space="preserve">NO5 , JALAN MELATI , AIR HITAM ,86100 AYER HITAM JOHOR </t>
  </si>
  <si>
    <t>NVMY34535000014044</t>
  </si>
  <si>
    <t>NGU KAN HOAU</t>
  </si>
  <si>
    <t>35, JALAN SS 21/29, DAMANSARA UTAMA, 47400 PETALING JAYA, SELANGOR</t>
  </si>
  <si>
    <t>NVMY34535000014054</t>
  </si>
  <si>
    <t>MOHD KUSHAIMI MD ZALE</t>
  </si>
  <si>
    <t>NO 94, LORONG 8 KENANGA 8, AMBANGAN HEIGHT 08000 SUNGAI PETANI, KEDAH</t>
  </si>
  <si>
    <t>NVMY34535000014071</t>
  </si>
  <si>
    <t>NURUL HUSNAJIHAH BT HUSSEIN</t>
  </si>
  <si>
    <t>KAWASAN FELCRA BENDANG BESAR KM 1 JALAN TANJUNG TUALANG 26800 KAMPUNG GAJAH PERAK</t>
  </si>
  <si>
    <t>B3-TIN-13-53</t>
  </si>
  <si>
    <t>NVMY34535000014062</t>
  </si>
  <si>
    <t>NOR AZIELA BINTI MOHD RAMLI</t>
  </si>
  <si>
    <t xml:space="preserve"> SK TELOK GADONG  JALAN YADI  41250 KLANG SELANGOR.</t>
  </si>
  <si>
    <t>D5-PKL-2-146</t>
  </si>
  <si>
    <t>NVMY34535000014058</t>
  </si>
  <si>
    <t>Norhayati kassim</t>
  </si>
  <si>
    <t>No 42 Jln Meranti Putih 4 , off Jln Meru , Taman Permai 2 , 41050 Klang . Selangor</t>
  </si>
  <si>
    <t>NVMY34535000014046</t>
  </si>
  <si>
    <t>NORFAIZAH IBRAHIM</t>
  </si>
  <si>
    <t>NO 16, TAMAN SERI TEMENGGONG AHMAD 84000 MUAR, JOHOR</t>
  </si>
  <si>
    <t>YPG-YPG</t>
  </si>
  <si>
    <t>NVMY34535000014048</t>
  </si>
  <si>
    <t>ORISSA BIN BAHARUM</t>
  </si>
  <si>
    <t>B-06-13 PANGSAPURI SRi PENARA JALAN SRi PERMAISURI 1 BANDAR SRI PERMAISURI 56000 KUALA LUMPUR</t>
  </si>
  <si>
    <t>D5-ECO-2-145</t>
  </si>
  <si>
    <t>NVMY34535000014063</t>
  </si>
  <si>
    <t>NVMY34535000014060</t>
  </si>
  <si>
    <t>NADHIRAH BT NASURODDIN</t>
  </si>
  <si>
    <t>NO 16 PERSIARAN SUNGAI PARI 1 RPT BUNTONG 2 30100 IPOH PERAK DARUL RIDZUAN</t>
  </si>
  <si>
    <t>NVMY34535000014032</t>
  </si>
  <si>
    <t>NUR ERA LEILY</t>
  </si>
  <si>
    <t>20, JALAN LAHAT INDAH 13, TAMAN LAHAT INDAH 31500 IPOH, PERAK</t>
  </si>
  <si>
    <t>NVMY34535000014051</t>
  </si>
  <si>
    <t>NIK IZNAN MUSYAHMI</t>
  </si>
  <si>
    <t>377 JALAN KELISA RIA 5/18 TAMAN KELISA RIA 08000 SUNGAI PETANI KEDAH</t>
  </si>
  <si>
    <t>NVMY34535000014045</t>
  </si>
  <si>
    <t>MOHD AMIR</t>
  </si>
  <si>
    <t xml:space="preserve">19-5 JALAN PJS 3/48 , TAMAN SRI MANJA 46000 PETALING JAYA , SELANGOR </t>
  </si>
  <si>
    <t>NVMY34535000014069</t>
  </si>
  <si>
    <t>NIK SOM</t>
  </si>
  <si>
    <t>NO 92 JLN SENTOSA KAMPUNG BUKTI PAYONG 22010 JERTIH, TERENGGANU</t>
  </si>
  <si>
    <t>NVMY34535000014038</t>
  </si>
  <si>
    <t>No 08 jln permas 2/14, bandar baru permas jaya, 81750, masai, johor, Johor, Masai, 81750</t>
  </si>
  <si>
    <t>NVMY34535000014070</t>
  </si>
  <si>
    <t>AYU ( 2 )</t>
  </si>
  <si>
    <t>1258-1 KG TITIAN BERAYUN KIJAL TERENGGANU KEMAMAN 21400</t>
  </si>
  <si>
    <t>NVMY34535000014055</t>
  </si>
  <si>
    <t>RAFEAH BINTI OTHMAN</t>
  </si>
  <si>
    <t>BLOK A-1-1 TAMAN BUKIT JAMBUL 11900 BAYAN LEPAS PULAU PINANG</t>
  </si>
  <si>
    <t>NVMY34535000014056</t>
  </si>
  <si>
    <t>Myra syahira</t>
  </si>
  <si>
    <t>C-25-09, City of Green Condominium, Jalan PBS 14/2, Taman Perindustrian Bukit Serdang, 43300 Seri Kembangan, Selangor</t>
  </si>
  <si>
    <t>NVMY34535000014059</t>
  </si>
  <si>
    <t>Noorimawaty bt abd rahaman</t>
  </si>
  <si>
    <t>No 33 jalan sg 7/8  Taman Sri Gombak 68100 Batu Caves selangor.</t>
  </si>
  <si>
    <t>NVMY34535000014061</t>
  </si>
  <si>
    <t>Noor Aini Bt Rahman</t>
  </si>
  <si>
    <t>No 54 Jln Muhibbah,Tman  muhibbah 43000 Kajang Selangor</t>
  </si>
  <si>
    <t>NVMY34535000014035</t>
  </si>
  <si>
    <t>MOHD AIDIL IKHWAN BIN AZLAN</t>
  </si>
  <si>
    <t>JALAN SURIA MUFAKAT UTAMA , EPIC RESIDENCE TAMAN SURIA MUAFAKAT , 81200 JOHOR BAHRU JOHOR</t>
  </si>
  <si>
    <t>C1-TSK-7-184</t>
  </si>
  <si>
    <t>NVMY34535000014053</t>
  </si>
  <si>
    <t>EN MUHAMMAD NAIM</t>
  </si>
  <si>
    <t>PETI TENDER PADIBERAS NASIONAL BERHAD NO 1, JALAN MAJISTRET U1/26, HICOM GLENMARIE INDUSTRIAL PARK, 40150 SHAH ALAM SELANGOR DARUL EHSAN</t>
  </si>
  <si>
    <t>NVMY34535000014067</t>
  </si>
  <si>
    <t>ZAKIAH (DENTAL)</t>
  </si>
  <si>
    <t>KLINIK KESIHATAN NILAI, JALAN PEKA NILAI 71800 NILAI NEGERI SEMBILAN</t>
  </si>
  <si>
    <t>C4-NIL-28-93</t>
  </si>
  <si>
    <t>NVMY34535000014052</t>
  </si>
  <si>
    <t>NVMY34535000014036</t>
  </si>
  <si>
    <t>ROSPALILA BT MOHD CHUKI</t>
  </si>
  <si>
    <t xml:space="preserve">KLINIK KESIHATAN PASIR PUTEH 16800 PASIR PUTEH KELANTAN </t>
  </si>
  <si>
    <t>NVMY34535000014028</t>
  </si>
  <si>
    <t>TRIUMPH MOTORCYCLES PETALING JAYA</t>
  </si>
  <si>
    <t>(U/P ENCIK ISMAIL), TOWER B PASIFIC TOWER, JLN 13/6 PJS 13, 46200 PETALING JAYA SELANGOR</t>
  </si>
  <si>
    <t>NVMY34535000014091</t>
  </si>
  <si>
    <t>AMSYAR</t>
  </si>
  <si>
    <t>Petaling</t>
  </si>
  <si>
    <t>PERUMAHAN POLIS IPD MELANG B-1-11 BLOK B KUALA PILAH NEGERI SEMBILAN</t>
  </si>
  <si>
    <t>NVMY34535000014066</t>
  </si>
  <si>
    <t>NOOR FARADINA BINTI MASNAN</t>
  </si>
  <si>
    <t>NO 24 JALAN SP 1/7 BANDAR SAUJANA PUTRA 42610 JENJAROM, SELANGOR</t>
  </si>
  <si>
    <t>NVMY34535000014094</t>
  </si>
  <si>
    <t>RAJA NORLIE AZWANIE BINTI RAJA ZULKEPLI</t>
  </si>
  <si>
    <t>94 JALAN PASIR AKAR KAMPUNG GONG DUEK 22000 Jerteh Terengganu</t>
  </si>
  <si>
    <t>NVMY34535000014084</t>
  </si>
  <si>
    <t>NUR AL-FANISA YA</t>
  </si>
  <si>
    <t>NO 55 KAMPUNG KEDAP 17200 RANTAU PANJANG, KELANTAN</t>
  </si>
  <si>
    <t>NVMY34535000014031</t>
  </si>
  <si>
    <t>NUR HUSNA BT YUSOFF</t>
  </si>
  <si>
    <t>NO 255 BAGAN NYIOR JURU 14000 BUKIT MERTAJAM PULAU PINANG</t>
  </si>
  <si>
    <t>NVMY34535000014081</t>
  </si>
  <si>
    <t>NORFADLINA BINTI MOHD SALIM</t>
  </si>
  <si>
    <t>LOT 10591 KG BUKIT RANG PULAU TAWAR 27050 JERANTUT PAHANG</t>
  </si>
  <si>
    <t>NVMY34535000014096</t>
  </si>
  <si>
    <t>Rohana bt Gah</t>
  </si>
  <si>
    <t>Lot 4038 Kampung Pinang Baru , 23000 Dungun,  Terengganu</t>
  </si>
  <si>
    <t>NVMY34535000014086</t>
  </si>
  <si>
    <t>MARUDDIN BIN MOHAMED PUSAT</t>
  </si>
  <si>
    <t xml:space="preserve">KOREKSIONAL DUNGUN 23200 BUKIT BESI DUNGUN TERENGGANU </t>
  </si>
  <si>
    <t>NVMY34535000014041</t>
  </si>
  <si>
    <t>Yana ( Kak husna)</t>
  </si>
  <si>
    <t>No 25-01 , The Haute Gurney KL, No 3, Jln Bkt Keramat, Kg Datuk Keramat, 54000 Kuala Lumpur</t>
  </si>
  <si>
    <t>NVMY34535000014087</t>
  </si>
  <si>
    <t>MS . HASNIZA</t>
  </si>
  <si>
    <t xml:space="preserve">69 JALAN TIANG SERI U8/73A , BUKIT JELUTONG , 40150 SHAH ALAM SELANGOR </t>
  </si>
  <si>
    <t>NVMY34535000014079</t>
  </si>
  <si>
    <t>SITI ZAINU BINTI YAHAYA</t>
  </si>
  <si>
    <t xml:space="preserve">KAMPUNG PULAU SETULU , 18300 BERTAM GUA MUSANG , KELANTAN </t>
  </si>
  <si>
    <t>NVMY34535000014049</t>
  </si>
  <si>
    <t>IKRAM</t>
  </si>
  <si>
    <t>NO 15, LOT 2757, JALAN BALANG 8, KAMPUNG PADANG BALANG 53300 SETAPAK WILAYAH PERSEKUTUAN KUALA LUMPUR</t>
  </si>
  <si>
    <t>NVMY34535000014019</t>
  </si>
  <si>
    <t>NO 2D LORONG ECO GARDEN 11, 96000 SIBU SARAWAK</t>
  </si>
  <si>
    <t>NVMY34535000014105</t>
  </si>
  <si>
    <t>NVMY34535000014101</t>
  </si>
  <si>
    <t>WAN NUR FARHANA BINTI WAN ISMAIL</t>
  </si>
  <si>
    <t>PT5954 TAMAN SAUJANA HARMONI JALAN BALAU 1/4, 18300 GUA MUSANG KELANTAN</t>
  </si>
  <si>
    <t>NVMY34535000014083</t>
  </si>
  <si>
    <t>RUDINI BINTI ABDULLAH</t>
  </si>
  <si>
    <t>LOT 66 JALAN KILANG BATIK KG SRI KEMUNTING GUNONG 16090 BACHOK KELANTAN</t>
  </si>
  <si>
    <t>A1-PTH-27-8</t>
  </si>
  <si>
    <t>NVMY34535000014097</t>
  </si>
  <si>
    <t>Nur Athirah</t>
  </si>
  <si>
    <t>135,KM3,KG KERIANG PULAU,LEBUHRAYA SULTAN ABDUL HALIM,05400 ALOR SETAR,KEDAH</t>
  </si>
  <si>
    <t>NVMY34535000014080</t>
  </si>
  <si>
    <t>Winawang sdn bhd, lot 5-2 2nd floor lintas plaza, 88300 kota kinabalu,sabah</t>
  </si>
  <si>
    <t>NVMY34535000014068</t>
  </si>
  <si>
    <t>SITI HASNIZA BINTI ABDUL HALIM (EXT:4814)</t>
  </si>
  <si>
    <t>MAYBANK DOCUMENTATION, 23RD FLOOR MENARA MAYBANK 100 JALAN TUN PERAK, 50050 KUALA LUMPUR</t>
  </si>
  <si>
    <t>NVMY34535000014075</t>
  </si>
  <si>
    <t>SURI SAIDATUL FAHMI BT HASHIM</t>
  </si>
  <si>
    <t xml:space="preserve">NO 86 JALAN TSN 5 , TAMAN SALAM NADIAH , 71350 KOTA NEGERI SEMBILAN </t>
  </si>
  <si>
    <t>NVMY34535000014082</t>
  </si>
  <si>
    <t>WAN SARAH ZULAIKHA</t>
  </si>
  <si>
    <t xml:space="preserve">LORONG 19- NO 16 TAMAN BAGAN LALANG 134020 BUTTERWORTH PULAU PINANG </t>
  </si>
  <si>
    <t>NVMY34535000014090</t>
  </si>
  <si>
    <t>MD FADZLI</t>
  </si>
  <si>
    <t>20 JALAN MELAWIS 1 TAMAN MELAWIS HANG TUAH JAYA 75450 AYER KEROH MELAKA</t>
  </si>
  <si>
    <t>NVMY34535000014077</t>
  </si>
  <si>
    <t>HASLINDA MOHD</t>
  </si>
  <si>
    <t xml:space="preserve">C-1-3 PANGSA KOS RENDAH NILAI PERDANA M JALAN NILAI PERDANA 1/2 71800 NEGERI SEMBILAN </t>
  </si>
  <si>
    <t>NVMY34535000014047</t>
  </si>
  <si>
    <t>GOMBAK HORSE RIDING CLUB , LOT 5639 , JALAN SG PASU , KAMPUNG SUNGAI PASU , 53100 KUALA LUMPUR</t>
  </si>
  <si>
    <t>NVMY34535000014088</t>
  </si>
  <si>
    <t>NORIZAN BT MUHAMMAD</t>
  </si>
  <si>
    <t xml:space="preserve">BLOK 1 -0-H SD APPT 1 PERSIARAN MERANTI BANDAR SRI DAMANSARA 52200 KUALA LUMPUR </t>
  </si>
  <si>
    <t>NVMY34535000014072</t>
  </si>
  <si>
    <t>FISYA SOPHIA</t>
  </si>
  <si>
    <t>RKAT BLOK G1 TINGKAT PINTU NO 3 KEM RASCOM BATU 10 JALAN OYA 96000 SIBU SARAWAK</t>
  </si>
  <si>
    <t>NVMY34535000014078</t>
  </si>
  <si>
    <t>NUR SHAHIRAH SOLAHUDDIN</t>
  </si>
  <si>
    <t xml:space="preserve">LOT 2235 KG BARU BUKIT JENUN 06720 PENDANG , KEDAH </t>
  </si>
  <si>
    <t>NVMY34535000014076</t>
  </si>
  <si>
    <t>ROHANI ROSMAN</t>
  </si>
  <si>
    <t xml:space="preserve">NNO 2 , JALAN PUTERA INDAH 7/13 BANDAR PUTERA INDAH , 83010 TONGKANG PECHAH BATU PAHAT JOHOR </t>
  </si>
  <si>
    <t>C2-BPT-5-80</t>
  </si>
  <si>
    <t>NVMY34535000014073</t>
  </si>
  <si>
    <t>SITI AISHAH AUNIE ROSLAN</t>
  </si>
  <si>
    <t>INSTITUT LATIHAN KEM KESIHATAN MALAYSIA, JALAN PERSIARAN KEMPAS TEBRAU 81200 JOHOR BAHRU JOHOR</t>
  </si>
  <si>
    <t>NVMY34535000014074</t>
  </si>
  <si>
    <t>NVMY34535000014114</t>
  </si>
  <si>
    <t>EDDIE LUBRILCANTS S/B</t>
  </si>
  <si>
    <t>LOT PT 29680 ILAN GONG BADAK 21300 KUALA TERENGGANU, TERENGGANU DARUL IMAN</t>
  </si>
  <si>
    <t>NVMY34535000014111</t>
  </si>
  <si>
    <t>SITI ZAHARAH BINTI ITHNAIN</t>
  </si>
  <si>
    <t>311 BAHAGIAN TENGAH LADANG GEDDES, 72120 BANDAR SERI JEMPOL NEGERI SEMBILAN</t>
  </si>
  <si>
    <t>NVMY34535000014092</t>
  </si>
  <si>
    <t>NOR IZZATI BT ROSLAN</t>
  </si>
  <si>
    <t>NO 17 JALAN KJ 39 TAMAN KRUBONG JAYA 75250 MELAKA</t>
  </si>
  <si>
    <t>NVMY34535000014108</t>
  </si>
  <si>
    <t>HASANAH SAAD</t>
  </si>
  <si>
    <t>NO 11 JALAN KMP 1/5 KOTA MALIM PRIMA 35900 TANJUNG MALIM, PERAK</t>
  </si>
  <si>
    <t>B3-SLM-13-50</t>
  </si>
  <si>
    <t>NVMY34535000014095</t>
  </si>
  <si>
    <t>Amirrah Binti Mat Ali</t>
  </si>
  <si>
    <t>JB 3726, Jalan Nyalas Permai 2, Taman Nyalas Permai, 77100 Asahan, Melaka</t>
  </si>
  <si>
    <t>C3-JAS-3-85</t>
  </si>
  <si>
    <t>NVMY34535000014110</t>
  </si>
  <si>
    <t>FAKARUDIN HAZIZI</t>
  </si>
  <si>
    <t>Lot,998  jalan cherodok  Blkg hospital besar machang 18500 machang kelantan</t>
  </si>
  <si>
    <t>NVMY34535000014089</t>
  </si>
  <si>
    <t>AJIM</t>
  </si>
  <si>
    <t>28, PERSIARAN KLEBANG SELATAN 7A, PANORAMA TAWAS SAVANA 3120 CHEMOR PERAK</t>
  </si>
  <si>
    <t>NVMY34535000014100</t>
  </si>
  <si>
    <t>Noraiza bte Hassan</t>
  </si>
  <si>
    <t>No 17, Block B, Rancangan Perumahan Awan 2, 31700 Malim Nawar, Perak</t>
  </si>
  <si>
    <t>NVMY34535000014107</t>
  </si>
  <si>
    <t>BTK INTEGRATED TRANSPORT SDN BHD</t>
  </si>
  <si>
    <t>LOT 999 &amp; 1454, JALAN KUALA KANGSAR JALAN SIMPANG 34700 SIMPANG PERAK DARUL RIDZUAN</t>
  </si>
  <si>
    <t>NVMY34535000014104</t>
  </si>
  <si>
    <t>NVMY34535000014103</t>
  </si>
  <si>
    <t>SYED KHAIRIL ANUAR BIN SYED ZAINUDIN</t>
  </si>
  <si>
    <t xml:space="preserve">PEJABAT PESURUHANJAYA SUMPAH 43A-1-11 , JALAN 1/48A , SENTUL PERDANA , BANDAR BARU SENTUL 51000 KUALA LUMPUR </t>
  </si>
  <si>
    <t>NVMY34535000014126</t>
  </si>
  <si>
    <t>Rohaya ab rahman</t>
  </si>
  <si>
    <t>C 29 felda jengka 17 26400 bandar jengka Pahang</t>
  </si>
  <si>
    <t>NVMY34535000014140</t>
  </si>
  <si>
    <t>Aqma Hanim</t>
  </si>
  <si>
    <t>A407 , Jalan seksyen 3/1, Apartment cemara, Taman kajang utama, 43000, kajang, selangor</t>
  </si>
  <si>
    <t>NVMY34535000014142</t>
  </si>
  <si>
    <t>ROHANA ABDULLAH</t>
  </si>
  <si>
    <t>NO 21 JALAN SP 2/5B, BANDAR SERI PUTRA BANGI 43000 KAJANG SELANGOR</t>
  </si>
  <si>
    <t>NVMY34535000014093</t>
  </si>
  <si>
    <t>RASHIDAH IKHWAN</t>
  </si>
  <si>
    <t>NO 942, JLN MERPATI 2, TAMAN WAWASAN, KELAPA SAWIT 81000 KULAI JOHOR</t>
  </si>
  <si>
    <t>NVMY34535000014085</t>
  </si>
  <si>
    <t>MOHD DZULARJUNA JAMALUDIN</t>
  </si>
  <si>
    <t xml:space="preserve">C-07-07 , RESIDENSI SEMARAK PLATINUM KUALA LUMPUR , NO 4 JALAN LESTARI , KAMPUNG PADANGF TEMBAK , 54100 KL </t>
  </si>
  <si>
    <t>NVMY34535000014106</t>
  </si>
  <si>
    <t>MUHAMMAD AYDIL</t>
  </si>
  <si>
    <t>NO 03-17 BLOK T JLN TASEK 64, BANDAR BARU SERI ALAM 81750 MASAI JOHOR</t>
  </si>
  <si>
    <t>NVMY34535000014102</t>
  </si>
  <si>
    <t>NUR FATIN NADIA</t>
  </si>
  <si>
    <t xml:space="preserve">LOT 425 , JALAN DEWAN KG NGULANG 02400 KANGAR PERLIS </t>
  </si>
  <si>
    <t>NVMY34535000014145</t>
  </si>
  <si>
    <t>ROSIDA BINTI ABDUL GHANI</t>
  </si>
  <si>
    <t>KAMPUNG TEMANGAN LAMA 18400 MACHANG, KELANTAN</t>
  </si>
  <si>
    <t>NVMY34535000014141</t>
  </si>
  <si>
    <t>MARSITA BINTI HASHIM</t>
  </si>
  <si>
    <t>MC4 1006 BLOCK TERATAI TAMAN TUN TEJA 48000 RAWANG SELANGOR</t>
  </si>
  <si>
    <t>NVMY34535000014153</t>
  </si>
  <si>
    <t>NVMY34535000014115</t>
  </si>
  <si>
    <t>Nik Nur Hazwanie</t>
  </si>
  <si>
    <t>UNIT HAEMODIALISIS ARAS 3 BILIK 3 BANGUNAN PAKAR HARIAN SCACC HOSPITAL KUALA LUMPUR JALAN PAHANG 50586 KL</t>
  </si>
  <si>
    <t>NVMY34535000014127</t>
  </si>
  <si>
    <t>NVMY34535000014154</t>
  </si>
  <si>
    <t>NURSERA BUTIK</t>
  </si>
  <si>
    <t xml:space="preserve">NO 15 , JALAN INDAH 2A , TAMAN AMPANG INDAH , 68000 , AMPANG SELANGOR </t>
  </si>
  <si>
    <t>NVMY34535000014118</t>
  </si>
  <si>
    <t>NO 942 JALAN MERPATI 2, TAMAN WAWASAN KELAPA SAWIT 81000 KULAI JOHOR</t>
  </si>
  <si>
    <t>C1-KLI-7-69</t>
  </si>
  <si>
    <t>NVMY34535000014124</t>
  </si>
  <si>
    <t>Shuhaimi sueaid</t>
  </si>
  <si>
    <t>3289, NO 250 LORONG 8 TAMAN DESA CINTA SAYANG PADANG SERAI 09410 SIDAM KANAN KULIM KEDAH</t>
  </si>
  <si>
    <t>NVMY34535000014164</t>
  </si>
  <si>
    <t>NAJWA SYAFIQA</t>
  </si>
  <si>
    <t>01-04-12, Pangsapuri Seri Seraya, Persiaran Puncak Bestari 2, Puncak Bestari, 42300 Bandar Puncak Alam, Kuala Selangor, Selangor</t>
  </si>
  <si>
    <t>NVMY34535000014147</t>
  </si>
  <si>
    <t>Maimunah maawal</t>
  </si>
  <si>
    <t>Sekolah rendah bukit jalor.gemencheh negeri sembilan..73200</t>
  </si>
  <si>
    <t>C4-GMS-28-92</t>
  </si>
  <si>
    <t>NVMY34535000014112</t>
  </si>
  <si>
    <t>HAEL HAIDHAR</t>
  </si>
  <si>
    <t>105 BLOK CENGAL PANGSAPURI PKNS JALAN RAYA 7/1 TAMAN SERDANG JAYA 43300 SERI KEMBANGAN, SELANGOR</t>
  </si>
  <si>
    <t>NVMY34535000014135</t>
  </si>
  <si>
    <t>SITI AISYAH BT IBRAHIM</t>
  </si>
  <si>
    <t>KG LALANG CHOPIR 08200 SIK, KEDAH</t>
  </si>
  <si>
    <t>NVMY34535000014158</t>
  </si>
  <si>
    <t>HARTINI BINTI AMRI</t>
  </si>
  <si>
    <t>NO 36 JLN SJ 1 TAMAN SAUJANA JAYA BUKIT KATIL 75450 BUKIT KATIL, MELAKA</t>
  </si>
  <si>
    <t>NVMY34535000014161</t>
  </si>
  <si>
    <t>MOHD HAFIZ</t>
  </si>
  <si>
    <t>MQCARS, LOT 135 JALAN RAJA MUDA ABDUL AZIZ, KAMPUNG BARU 50300 KUALA LIUMPUR</t>
  </si>
  <si>
    <t>NVMY34535000014151</t>
  </si>
  <si>
    <t>SHAHRIZAL SAAD</t>
  </si>
  <si>
    <t>NO 124 BLOK 6 FELDA MEMPAGA SATU 28600 KARAK, PAHANG</t>
  </si>
  <si>
    <t>NVMY34535000014144</t>
  </si>
  <si>
    <t>WAN AKMAL HAKIM BIN ABD RAZAK</t>
  </si>
  <si>
    <t>NO 23, JALAN SETIA PERDANA U13/27A, 40170 SHAH ALAM, SELANGOR</t>
  </si>
  <si>
    <t>NVMY34535000014146</t>
  </si>
  <si>
    <t>LISDAWATI ABDULLAH</t>
  </si>
  <si>
    <t xml:space="preserve">NO 12 TAMAN SRI FAJAR JALAN LENCONG BARAT 05400 ALOR SETAR KEDAH </t>
  </si>
  <si>
    <t>NVMY34535000014133</t>
  </si>
  <si>
    <t>NURUL RAMLI</t>
  </si>
  <si>
    <t xml:space="preserve">BLOK C MOD 3 , RKAT BATALION KE 3 , REJIMAN SEMPADAN , KEM PENGKALAN HULU , 33100 PENGKALAN HULU PERAK </t>
  </si>
  <si>
    <t>NVMY34535000014116</t>
  </si>
  <si>
    <t>Nooraini Binti Mohamad</t>
  </si>
  <si>
    <t>Unit Pentadbiran,Institut Latihan Kementerian Kesihatan Malaysia Sultan Azlan Shah Ulu Kinta, 31250 Tanjung Rambutan,Perak.</t>
  </si>
  <si>
    <t>NVMY34535000014120</t>
  </si>
  <si>
    <t>VIPRO MOBILE</t>
  </si>
  <si>
    <t>NO 6-1 JALAN PUTRA MAHKOTA 7/5B, PUTRA HEIGHTS 47650 SUBANG JAYA SELANGOR</t>
  </si>
  <si>
    <t>NVMY34535000014162</t>
  </si>
  <si>
    <t>REHAN SIDIK</t>
  </si>
  <si>
    <t>37 SEBERANG PASIR MAS SALOR 15100 KOTA BHARU KELANTAN</t>
  </si>
  <si>
    <t>A1-KET-29-2</t>
  </si>
  <si>
    <t>NVMY34535000014117</t>
  </si>
  <si>
    <t>NATIQAH BINTI ABDUL MAHAT</t>
  </si>
  <si>
    <t>BB4 JALAN VISTA BELIMBING UTAMA TAMAN VISTA BELIMBING 76100 DURIAN TUNGGAL, MELAKA</t>
  </si>
  <si>
    <t>NVMY34535000014134</t>
  </si>
  <si>
    <t>FATIN NABILA BT MD ZALI</t>
  </si>
  <si>
    <t>NO 2643 JALAN JOGET 2 TAMAN RIA JAYA 08000 SUNGAI PETANI, KEDAH</t>
  </si>
  <si>
    <t>NVMY34535000014119</t>
  </si>
  <si>
    <t>SAKIROH BT ZAINAL</t>
  </si>
  <si>
    <t>UNIT SAJIAN HOSPITAL SIK, JALAN HOSPITAL SIK 08200 SIK, KEDAH</t>
  </si>
  <si>
    <t>NVMY34535000014138</t>
  </si>
  <si>
    <t>PN . SALMI</t>
  </si>
  <si>
    <t>LOT NO 9&amp;11 JALAN TUKANG 16/4 KAWASAN PERINDUSTRIAN SEKSYEN 16, 40000  SHAH ALAM SELANGOR</t>
  </si>
  <si>
    <t>NVMY34535000014172</t>
  </si>
  <si>
    <t>ARENI JULIA</t>
  </si>
  <si>
    <t>NO 4 LORONG KAMPUNG PADANG PERMAI 22, KAMPUNG PERMAI 25200 KUANTAN PAHANG</t>
  </si>
  <si>
    <t>NVMY34535000014159</t>
  </si>
  <si>
    <t>NUR A'EISYAH HANUM BINTI MOHD NASIR</t>
  </si>
  <si>
    <t>T1-24-16 LAKEFRONT HOMES PERSIARAN SEPANG CYBER 11 63000 CYBERJAYA SELANGOR</t>
  </si>
  <si>
    <t>NVMY34535000014136</t>
  </si>
  <si>
    <t>DYA</t>
  </si>
  <si>
    <t xml:space="preserve">NO 6 , GERAI MAJLIS MPBT JALAN ULU CHOH , 81150 JOHOR </t>
  </si>
  <si>
    <t>NVMY34535000014121</t>
  </si>
  <si>
    <t>NASIRDEN BIN ABDUL GHANI RAJENDRAN</t>
  </si>
  <si>
    <t>23B JALAN LEMBAH RAJA 13210 KEPALA BATAS PULAU PINANG</t>
  </si>
  <si>
    <t>B2-BTS-15-42</t>
  </si>
  <si>
    <t>NVMY34535000014099</t>
  </si>
  <si>
    <t>TINI MADU</t>
  </si>
  <si>
    <t>Kampung Baru Cina 96300 Dalat Sarawak</t>
  </si>
  <si>
    <t>NVMY34535000014122</t>
  </si>
  <si>
    <t xml:space="preserve">NO 47 LRG PENAGA 28 TAMAN PENAGA 13100 SEBERANG PERAI UTARA PULAU PINANG </t>
  </si>
  <si>
    <t>NVMY34535000014098</t>
  </si>
  <si>
    <t>NVMY34535000014171</t>
  </si>
  <si>
    <t>SA'ADAH BT MOHAMAD</t>
  </si>
  <si>
    <t>PT 29919 KG SEMPAM RAUB (SEBELAH LORONG 14) 27600 RAUB PAHANG</t>
  </si>
  <si>
    <t>NVMY34535000014131</t>
  </si>
  <si>
    <t>SITI FARISHA</t>
  </si>
  <si>
    <t xml:space="preserve">BLOK H-7-6 APARTMENT GOLDEN VILLA , JALAN TEMENGGONG 37 , TAMAN SENTOSA PERDANA 41000 KLANG SELANGOR </t>
  </si>
  <si>
    <t>NVMY34535000014123</t>
  </si>
  <si>
    <t>SHAFIQAH</t>
  </si>
  <si>
    <t xml:space="preserve">BLOCK A-15-10 RESIDENSI OHAKA , JALAN PIPIT , BUKIT TANDANG , 47170 PUCHONG SELANGOR </t>
  </si>
  <si>
    <t>NVMY34535000014163</t>
  </si>
  <si>
    <t>anis hanafi</t>
  </si>
  <si>
    <t>962B Kampung Guchil Jalan Bayam 15200 Kota Bharu Kelantan (elyn burger)</t>
  </si>
  <si>
    <t>NVMY34535000014155</t>
  </si>
  <si>
    <t>MS , KONG</t>
  </si>
  <si>
    <t>TS PLASTICS SDN BHD PT 30130-30131, OFF JALAN JOHAN 2/1A, ESTET PERINDUSTRIAN PENGKALAN II, 31550 PUSING PERAK, MALAYSIA</t>
  </si>
  <si>
    <t>NVMY34535000014182</t>
  </si>
  <si>
    <t>ROHANA BINTI ZAHARI</t>
  </si>
  <si>
    <t xml:space="preserve">TENAGA NASIONAL BERHAD JALAN SRI JAAFAR 28700 BENTONG PAHANG </t>
  </si>
  <si>
    <t>NVMY34535000014150</t>
  </si>
  <si>
    <t>Faridah Binti Dawood</t>
  </si>
  <si>
    <t>No 1020 Jalan 2/5G Bandar Seremban Selatan 71450 Seremban Negeri Sembilan</t>
  </si>
  <si>
    <t>NVMY34535000014198</t>
  </si>
  <si>
    <t>MOHAMMAD IZZUDDIN B RAMLI</t>
  </si>
  <si>
    <t>A2-GBK-25-11</t>
  </si>
  <si>
    <t>NVMY34535000014132</t>
  </si>
  <si>
    <t>MOHAMAD AZIZI</t>
  </si>
  <si>
    <t xml:space="preserve">NO 41 JALAN MUTIARA 1 , TAMAN IMPIAN CASA MUTIARA 34950 BANDAR BAHARU KEDAH </t>
  </si>
  <si>
    <t>NVMY34535000014165</t>
  </si>
  <si>
    <t>Aju</t>
  </si>
  <si>
    <t xml:space="preserve">A3-t01-u08 pangsapuri putra harmoni presint 9,62250  putrajaya </t>
  </si>
  <si>
    <t>NVMY34535000014148</t>
  </si>
  <si>
    <t>Marianiza Abu Bakar</t>
  </si>
  <si>
    <t>No 9, Taman Sri Manis 2, 01000 Kangar, Perlis.</t>
  </si>
  <si>
    <t>A3-KGR-21-23</t>
  </si>
  <si>
    <t>NVMY34535000014143</t>
  </si>
  <si>
    <t>Alvin</t>
  </si>
  <si>
    <t>No 11 Jalan Zuhrah U5/154 Bandar Pinggiran Subang 40150 Shah Alam</t>
  </si>
  <si>
    <t>NVMY34535000014177</t>
  </si>
  <si>
    <t>ASMANI</t>
  </si>
  <si>
    <t xml:space="preserve"> 368 Lengkok Kanan 11,Tanah Putih Baru,25150 Kuantan,Pahang Darul Makmur.</t>
  </si>
  <si>
    <t>NVMY34535000014202</t>
  </si>
  <si>
    <t>SURAYA NORDIN</t>
  </si>
  <si>
    <t>NO 5 LOT 16219 JALAN BESAR JENGKA 15 , 26400 , BANDAR JENGKA PUSAT PAHANG</t>
  </si>
  <si>
    <t>NVMY34535000014149</t>
  </si>
  <si>
    <t>NVMY34535000014109</t>
  </si>
  <si>
    <t>ASMAH BINTI AHMAD</t>
  </si>
  <si>
    <t>NO 532 JALAN SERI 19, TAMAN SRI BAKRI 3, BAKRI 84200 MUAR JOHOR</t>
  </si>
  <si>
    <t>C2-MUA-5-79</t>
  </si>
  <si>
    <t>NVMY34535000014139</t>
  </si>
  <si>
    <t>NATALIE LOKMAN</t>
  </si>
  <si>
    <t>NO 28 JALAN PJU 10/16A SUTERA DAMANSARA 47830 PETALING JAYA SELANGOR</t>
  </si>
  <si>
    <t>NVMY34535000014186</t>
  </si>
  <si>
    <t>NVMY34535000014156</t>
  </si>
  <si>
    <t>NANA</t>
  </si>
  <si>
    <t xml:space="preserve">DELI BAKING INGREDIENT SDN BHD , 3 173-G , 4&amp;5 JALAN BURMA 10050 GEORGE TOWN PULAU PINANG </t>
  </si>
  <si>
    <t>NVMY34535000014169</t>
  </si>
  <si>
    <t>ROSMINA IDRUS</t>
  </si>
  <si>
    <t>27, JLN TIMUR 5/1D TIMUR ENSTEK 71760 BANDAR ENSTEK, NEGERI SEMBILAN</t>
  </si>
  <si>
    <t>NVMY34535000014152</t>
  </si>
  <si>
    <t>OLIVER WONG</t>
  </si>
  <si>
    <t>NO 36-2 JALAN EQUINE 18, TAMAN EQUINE 43300 SELANGOR</t>
  </si>
  <si>
    <t>NVMY34535000014197</t>
  </si>
  <si>
    <t>MOHAMAD HAFIZAN BIN MOHD SALI</t>
  </si>
  <si>
    <t>LOT 5661 JALAN 8A RTB LABU LANJUT 43900 SEPANG SELANGOR</t>
  </si>
  <si>
    <t>NVMY34535000014183</t>
  </si>
  <si>
    <t>AHMAD AKHIMULLAH</t>
  </si>
  <si>
    <t xml:space="preserve">H1-3-2 KUATERS , JALAN MERANTI SD 13/14 PJU 9 , 52000 KUALA LUMPUR ( WILAYAH ) KUALA LUMPUR </t>
  </si>
  <si>
    <t>NVMY34535000014166</t>
  </si>
  <si>
    <t>SABILA BINTI FATE MUHAMMAD</t>
  </si>
  <si>
    <t>NO 77 BLOK K,TAMAN SRI JERAI 2,08300 GURUN,KEDAH</t>
  </si>
  <si>
    <t>NVMY34535000014178</t>
  </si>
  <si>
    <t>NOR HAZILA BT ISMAIL</t>
  </si>
  <si>
    <t xml:space="preserve">LOT 2686 C KG PAYA MARANG , 21600 MARANG TERENGGANU </t>
  </si>
  <si>
    <t>NVMY34535000014130</t>
  </si>
  <si>
    <t>HISHAMUDIN</t>
  </si>
  <si>
    <t xml:space="preserve">NO 16 JALAN 6F/KU 4 , TAMAN SORI RANTAU , RANTAU PANJANG 42100 KLANG SELANAGOR </t>
  </si>
  <si>
    <t>NVMY34535000014192</t>
  </si>
  <si>
    <t>AINA KAMARUDIN</t>
  </si>
  <si>
    <t xml:space="preserve">PT 15435, KG MAK CILI PAYA JALAN BUKIT TAKAL 24000 CHUKAI KEMAMAN TERENGGANU </t>
  </si>
  <si>
    <t>NVMY34535000014203</t>
  </si>
  <si>
    <t>Wan Noraini bt Wan Salleh</t>
  </si>
  <si>
    <t>Lot 958 Kg Tok Limin 17020 pasir mas kelantan</t>
  </si>
  <si>
    <t>NVMY34535000014128</t>
  </si>
  <si>
    <t>ANIZAH BINTI RAHMAT</t>
  </si>
  <si>
    <t xml:space="preserve">NO 57 JALAN PLATINUM 7/55 SEKSYEN 7 , 40000 , SHAH ALAM </t>
  </si>
  <si>
    <t>NVMY34535000014200</t>
  </si>
  <si>
    <t>Zaleha Wahab</t>
  </si>
  <si>
    <t>Lot 1880c lorong 10 rumah hijau coklat kg merbau sempak 47000 sg buloh Selangor</t>
  </si>
  <si>
    <t>NVMY34535000014129</t>
  </si>
  <si>
    <t>MOHAMED HASAN</t>
  </si>
  <si>
    <t xml:space="preserve">H-03A-02 , JALAN PJU 8/9 FLORA DAMANSARA 47820 PETALING JAYA SELANGOR </t>
  </si>
  <si>
    <t>NVMY34535000014191</t>
  </si>
  <si>
    <t>RYAN ROSS BIN RUDY</t>
  </si>
  <si>
    <t>20, JALAN MR 1/20, TAMAN M-RESIDENSI 48020 RAWANG SELANGOR</t>
  </si>
  <si>
    <t>NVMY34535000014167</t>
  </si>
  <si>
    <t>ZAIMAH BINTI ABDUL RAHMAN</t>
  </si>
  <si>
    <t>15, JALAN 8A/2, PRESINT 8, 62250 PUTRAJAYA</t>
  </si>
  <si>
    <t>NVMY34535000014190</t>
  </si>
  <si>
    <t>NVMY34535000014209</t>
  </si>
  <si>
    <t>Nur Syafikah</t>
  </si>
  <si>
    <t>NO 72B, Jalan Panglima Raja, Kampung Gong Serapat, 16800 Pasir Puteh, Kelantan</t>
  </si>
  <si>
    <t>NVMY34535000014179</t>
  </si>
  <si>
    <t>MOHD HAFIDZAL BIN ABU BAKAR</t>
  </si>
  <si>
    <t>NO 23, JLN DANGA 18/39, SEKSYEN 18, 40200 SHAH ALAM, SELANGOR</t>
  </si>
  <si>
    <t>NVMY34535000014189</t>
  </si>
  <si>
    <t>NVMY34535000014185</t>
  </si>
  <si>
    <t>NVMY34535000014180</t>
  </si>
  <si>
    <t>NO 5, JALAN MELATI AIR HITAM 86100 AYER HITAM JOHOR</t>
  </si>
  <si>
    <t>NVMY34535000014193</t>
  </si>
  <si>
    <t>SUHAILA</t>
  </si>
  <si>
    <t>NUAIM CORPORATION(M) SDN BHD 35 JALAN TIARA SENTRAL 2 NILAI 71800 SETUL SEREMBAN NEGERI SEMBILAN</t>
  </si>
  <si>
    <t>NVMY34535000014181</t>
  </si>
  <si>
    <t>HAMIDAH BINTI DAUD</t>
  </si>
  <si>
    <t xml:space="preserve">5377 JALAN MATAHARI 34/1 TAMAN INDAHPURA 81000 KULAI JOHOR </t>
  </si>
  <si>
    <t>NVMY34535000014194</t>
  </si>
  <si>
    <t>TYLIM</t>
  </si>
  <si>
    <t>LOT M1-2-01 MERPATI A APARTMENT  JALAN PANDAN INDAH 6/1 PANDAN INDAH 55100 KUALA LUMPUR</t>
  </si>
  <si>
    <t>NVMY34535000014184</t>
  </si>
  <si>
    <t>JOHN LEE</t>
  </si>
  <si>
    <t>NO 1 , JALAN LEMBAH 61 , SERI ALAM , 81750 ,MASAI JOHOR BAHRU</t>
  </si>
  <si>
    <t>NVMY34535000014170</t>
  </si>
  <si>
    <t>HANI HAZWANI BT MOHD PAZAI</t>
  </si>
  <si>
    <t>NO 82, TAMAN HELANG PERDANA JALAN 2A, 07000 LANGKAWI KEDAH</t>
  </si>
  <si>
    <t>NVMY34535000014195</t>
  </si>
  <si>
    <t>LUI YUEN KIEW</t>
  </si>
  <si>
    <t xml:space="preserve">120 JALAN SELINGSING 6 TAMAN CITY (28-19) TUAN RESIDENCY 51200 KUALA LUMPUR </t>
  </si>
  <si>
    <t>NVMY34535000014205</t>
  </si>
  <si>
    <t>haziela hamzah</t>
  </si>
  <si>
    <t>no.153,jalan gate kuarters jba/hl 43000 kajang selangor</t>
  </si>
  <si>
    <t>NVMY34535000014157</t>
  </si>
  <si>
    <t>NURUL QUSHIEDA BT ABDULLAH</t>
  </si>
  <si>
    <t>LOT 2898, LORONG MERBAU 5A RAMPANGI FASA 2 93050 KUCHING, SARAWAK</t>
  </si>
  <si>
    <t>NVMY34535000014176</t>
  </si>
  <si>
    <t>AMIR</t>
  </si>
  <si>
    <t>LOT 177565, JALAN GUA KEK LOOK TONG, GUNUNG RAPAT, 31350 IPOH, PERAK</t>
  </si>
  <si>
    <t>NVMY34535000014168</t>
  </si>
  <si>
    <t>JENNY LANPOM</t>
  </si>
  <si>
    <t>SMK KENINGAU PETI SURAT 89008 KENINGAU SABAH</t>
  </si>
  <si>
    <t>NVMY34535000014187</t>
  </si>
  <si>
    <t>GB ANIS</t>
  </si>
  <si>
    <t xml:space="preserve">NO 19 JALAN KAJANG IMPIAN 1/11 TAMAN KAJANG IMPIAN 43650 BANDAR BARU BANGI SELANGOR </t>
  </si>
  <si>
    <t>NVMY34535000014125</t>
  </si>
  <si>
    <t>AZMY BIN MIN</t>
  </si>
  <si>
    <t>BANDAR LETAT JAYA LOT S 55 LORONG 9 MILE 4 JALAN LINTAS UTARA 90000 SANDAKAN SABAH</t>
  </si>
  <si>
    <t>NVMY34535000014174</t>
  </si>
  <si>
    <t>NORASHIKIN ISMAIL</t>
  </si>
  <si>
    <t>203 JALAN TUN RAZAK, KUALA LUMPUR 50400 WILAYAH PERSEKUTUAN KUALA LUMPUR</t>
  </si>
  <si>
    <t>NVMY34535000014199</t>
  </si>
  <si>
    <t>LYDIA BT ABDUL RANI</t>
  </si>
  <si>
    <t>BLOK A 20 16 KOMPLEKS KEDIAMAN KAKITANGAN AWAM  JALAN COCHRANE 55100 WILAYAH PERSEKUTUAN KUALA LUMPUR</t>
  </si>
  <si>
    <t>NVMY34535000014204</t>
  </si>
  <si>
    <t>SITI NURJANNAH ROSLAN</t>
  </si>
  <si>
    <t>NO 28, LORONG BLM 6/6 BANDAR LAGUNA MERBOK 08000 SUNGAI PETANI, KEDAH</t>
  </si>
  <si>
    <t>NVMY34535000014196</t>
  </si>
  <si>
    <t>MOHD IZUAN BIN MOHD SALLEH</t>
  </si>
  <si>
    <t>NO 33 JALAN SP3/19 BANDAR SAUJANA PUTRA 42610 JENJAROM SELANGOR</t>
  </si>
  <si>
    <t>NVMY34535000014188</t>
  </si>
  <si>
    <t>MUHAMMAD HARITS BIN WAN MOHD</t>
  </si>
  <si>
    <t>No19, Jalan Berlian 4, Taman Nora, 81800 Ulu Tiram, Johor</t>
  </si>
  <si>
    <t>C1-TRM-7-71</t>
  </si>
  <si>
    <t>NVMY34535000014113</t>
  </si>
  <si>
    <t>MOHD FADHLY BIN MOHAMAD NAWI</t>
  </si>
  <si>
    <t>N0 13, TAMAN BONGAWAN RIA, 89700 BONGAWAN PAPAR, SABAH</t>
  </si>
  <si>
    <t>NVMY34535000014206</t>
  </si>
  <si>
    <t>shahirah aripen</t>
  </si>
  <si>
    <t>no 330,jalan gambir perdana 17,taman gambir perdana 84800 bukit gambir,johor</t>
  </si>
  <si>
    <t>NVMY34535000014208</t>
  </si>
  <si>
    <t>ATIKAH BINTI AHMAD</t>
  </si>
  <si>
    <t xml:space="preserve"> 110 B LORONG SENA 13 KAMPUNG SENA 02600 ARAU PERLIS </t>
  </si>
  <si>
    <t>NVMY34535000014210</t>
  </si>
  <si>
    <t>NUR AZILA BINTI AZAMI</t>
  </si>
  <si>
    <t>B1-3 KUARTERS GURU SMK SULTAN AZLAN SHAH CHANGKAT BERANGAN 33400 LENGGONG, PERAK</t>
  </si>
  <si>
    <t>NVMY34535000014220</t>
  </si>
  <si>
    <t>HAZANAH BT MAT RAHAT</t>
  </si>
  <si>
    <t>JLN PADANG TAPU, KAMPUNG TEMIANG 21600 MARANG TERENGGANU</t>
  </si>
  <si>
    <t>NVMY34535000014216</t>
  </si>
  <si>
    <t>MOHD SABRI BIN MAMAT</t>
  </si>
  <si>
    <t>NO 10 FELDA CHINI TIMUR 02, 26690 CHINI PAHANG</t>
  </si>
  <si>
    <t>NVMY34535000014219</t>
  </si>
  <si>
    <t>NOR ASYIRAH BT MOHAMAD</t>
  </si>
  <si>
    <t>KLINIK KESIHATAN ARING FELDA ARING 1 18300 GUA MUSANG KELANTAN</t>
  </si>
  <si>
    <t>NVMY34535000014211</t>
  </si>
  <si>
    <t>SITI ZAINUN BT MAT RIMIN</t>
  </si>
  <si>
    <t>NO 319 KAWASAN RAWA KAMPUNG TENGKU ABDUL RAHMAN 17610 JELI KELANTAN</t>
  </si>
  <si>
    <t>NVMY34535000014230</t>
  </si>
  <si>
    <t>ROSITAH MARIAM SULAIMAN</t>
  </si>
  <si>
    <t>CIMB FOUNDATION 17TH FLOOR MENARA CIMB NO 1, JALAN STESEN CENTRAL 2, KUALA LUMPUR 50470 KL</t>
  </si>
  <si>
    <t>NVMY34535000014160</t>
  </si>
  <si>
    <t>FATIN</t>
  </si>
  <si>
    <t>SA41</t>
  </si>
  <si>
    <t>NVMY34535000014235</t>
  </si>
  <si>
    <t>ASH POR</t>
  </si>
  <si>
    <t>NO 53 (GRO FLR) JALAN USJ 8/26, USJ 8, PETALING JAYA 47610 SELANGOR</t>
  </si>
  <si>
    <t>NVMY34535000014237</t>
  </si>
  <si>
    <t>Ryns Rashid</t>
  </si>
  <si>
    <t>344 mk21 padang Temusu  14400 bukit mertajam  Pulau pinang.</t>
  </si>
  <si>
    <t>NVMY34535000014223</t>
  </si>
  <si>
    <t>AIDIL SYAFRI</t>
  </si>
  <si>
    <t>12B-02 CASA ARA, 11900 SUNGAI ARA, BAYAN LEPAS, PULAU PINANG</t>
  </si>
  <si>
    <t>NVMY34535000014238</t>
  </si>
  <si>
    <t>NORLIN BTE MOIN</t>
  </si>
  <si>
    <t>HOUSE OF PRESENTATION BANGSAR VILLAGE LOT G12 BANGSAR VILLAGE SHOPPING CENTRE JALAN TELAWI BANGSAR BARU 59100 KUALA LUMPUR</t>
  </si>
  <si>
    <t>NVMY34535000014240</t>
  </si>
  <si>
    <t>NORLIZA BT TAMJIS</t>
  </si>
  <si>
    <t>LOT 30964, JALAN ABDUL RASHID KAMPUNG SERI DAMAI 25150 KUANTAN PAHANG</t>
  </si>
  <si>
    <t>PHG-PHG</t>
  </si>
  <si>
    <t>NVMY34535000014234</t>
  </si>
  <si>
    <t>AZUA ABDUL GAFAR</t>
  </si>
  <si>
    <t>NO 208 LORONG 1/17 TAMAN DESA IXORA 70450 SEREMBAN, NEGERI SEMBILAN</t>
  </si>
  <si>
    <t>NVMY34535000014255</t>
  </si>
  <si>
    <t>NUR FATIHAH BT ABD RASHID</t>
  </si>
  <si>
    <t>LOT 2246, TAMAN SRI PENGGAWA BATU 8 BATANG MERBAU 17500 TANAH MERAH KELANTAN (RUMAH WARNA OREN COKLAT ADA KERETA ATOS PUTIH)</t>
  </si>
  <si>
    <t>NVMY34535000014217</t>
  </si>
  <si>
    <t>ELLA</t>
  </si>
  <si>
    <t>NO 15 JALAN 5/189 KOTA PUTERI 48100 BATU ARANG SELANGOR</t>
  </si>
  <si>
    <t>NVMY34535000014265</t>
  </si>
  <si>
    <t>Nurul ezzati bt mokhtar</t>
  </si>
  <si>
    <t>LOT NO 2431 DEPAN KUBUR KAMPUNG PADANG ROKMA 16250 WAKAF BHARU KELANTAN</t>
  </si>
  <si>
    <t>NVMY34535000014254</t>
  </si>
  <si>
    <t>NVMY34535000014266</t>
  </si>
  <si>
    <t>Sahenal erwizal</t>
  </si>
  <si>
    <t xml:space="preserve">Lot 2860B kg batang merbau jalan tepi sekolah memandu  Tanah merah  Kelantan </t>
  </si>
  <si>
    <t>NVMY34535000014173</t>
  </si>
  <si>
    <t>SITI NABIHAH</t>
  </si>
  <si>
    <t xml:space="preserve">FEMALE MEDICAL WARD LEVEL 6 HOSPITAL QUEEN ELIZABETH 2 LAYANG DAMAI , 88450 KOTA KINABALU SABAH </t>
  </si>
  <si>
    <t>NVMY34535000014218</t>
  </si>
  <si>
    <t>MIRA</t>
  </si>
  <si>
    <t>NO 248 JALAN 26 KG SELAYANG 68100 BATU CAVES 68100 SELANGOR</t>
  </si>
  <si>
    <t>NVMY34535000014248</t>
  </si>
  <si>
    <t>PROF MADYA AR DR MOHD FARID MOHAMED</t>
  </si>
  <si>
    <t>PUSAT PENGURUSAN PENJANAAN UKM (JANA@UKM) PEJABAT PRO-NAIB CANSELOR (PENJANAAN &amp; PRASARANA) ARAS 4, BANGUNAN CANSELORI UNIVERSITI KEBANGSAAN MALAYSIA 43600 UKM BANGI SELANGOR DARUL EHSAN, MALAYSIA</t>
  </si>
  <si>
    <t>NVMY34535000014249</t>
  </si>
  <si>
    <t>ILMAN AFIQ</t>
  </si>
  <si>
    <t>LOT 2835 KAMPUNG SUNGAI PINANG GELUGUR KEDAI 20050 KUALA TERENGGANU, TERENGGANU</t>
  </si>
  <si>
    <t>NVMY34535000014267</t>
  </si>
  <si>
    <t>NUR FAZIRA AZREEN</t>
  </si>
  <si>
    <t>PT616 TAMAN JINTAN JALAN SUNGAI KELADI,CHETOK 17060 PASIR MAS KELANTAN</t>
  </si>
  <si>
    <t>NVMY34535000014233</t>
  </si>
  <si>
    <t>NAZIRATUL AIN</t>
  </si>
  <si>
    <t>NO 57 TAMAN BERTAM INDAH JALAN BERTAM INDAH II, 76450, MELAKA</t>
  </si>
  <si>
    <t>NVMY34535000014137</t>
  </si>
  <si>
    <t>CHOIZES CONCEPT STORE SDN BHD</t>
  </si>
  <si>
    <t>UNIT NO D6-3A-17 BANGUNAN PERDAGANGAN D6, SENTUL RAYA, 801 JLN SENTUL 51100 KUALA LUMPUR</t>
  </si>
  <si>
    <t>NVMY34535000014228</t>
  </si>
  <si>
    <t>ABDUL HAKIM BIN MOHAMED</t>
  </si>
  <si>
    <t xml:space="preserve">NO 15 LORONG SS3 , TAMAN SEMSTI SELESA 36000 TELUK  INTAN PERAK </t>
  </si>
  <si>
    <t>B3-HML-13-52</t>
  </si>
  <si>
    <t>NVMY34535000014229</t>
  </si>
  <si>
    <t>NVMY34535000014250</t>
  </si>
  <si>
    <t>EN WAN AHMAD FAIZ BIN WAN AB'ALLAH ZAWAWI</t>
  </si>
  <si>
    <t>KESEDAR HOLDING SDN BHD BZ-13 HENTIAN KESEDAR PUTRA 18300 GUA MUSANG, KELANTAN</t>
  </si>
  <si>
    <t>NVMY34535000014236</t>
  </si>
  <si>
    <t>AZWATI BT AWANG KECHIK</t>
  </si>
  <si>
    <t>KLINIK IBU DAN ANAK BUTTERWORTH JALAN PANTAI 12000 BUTTERWORTH PULAU PINANG</t>
  </si>
  <si>
    <t>NVMY34535000014175</t>
  </si>
  <si>
    <t>SITI MASLIZA BT ABD SAMAD</t>
  </si>
  <si>
    <t xml:space="preserve">LOT 1352 JALAN KENANGA SI JANGKANG TELOK PANGLIMA GARANG 42500 SELANGOR </t>
  </si>
  <si>
    <t>NVMY34535000014231</t>
  </si>
  <si>
    <t>NISHAH FAISAL</t>
  </si>
  <si>
    <t>NO 10 JALAN LEMBING 18, TAMAN PUTERI WANGSA 81800 ULU TIRAM, JOHOR</t>
  </si>
  <si>
    <t>NVMY34535000014213</t>
  </si>
  <si>
    <t>Nik Fatin Syahirah Bt Muhamad</t>
  </si>
  <si>
    <t>Smk sungai kertas Kg sg kertas 68100 batu caves,selangor</t>
  </si>
  <si>
    <t>NVMY34535000014227</t>
  </si>
  <si>
    <t>ZALINAWATI BINTI MUHAMAD</t>
  </si>
  <si>
    <t>RUMAH FELO BLOK E KAMSIS AL GHAZALI POLITEKNIK SULTAN HJ AHMAD SHAH, 25350 KUANTAN PAHANG</t>
  </si>
  <si>
    <t>B1-KUA-19-28</t>
  </si>
  <si>
    <t>NVMY34535000014232</t>
  </si>
  <si>
    <t>NUR AISHAH BINTI ABD HALIM</t>
  </si>
  <si>
    <t>KANAN 352 MK C PERMATANG PASIR BALIK PULAU 11010 PULAU PINANG</t>
  </si>
  <si>
    <t>NVMY34535000014212</t>
  </si>
  <si>
    <t>MS ORGANIZO MALAYSIA</t>
  </si>
  <si>
    <t>LOT 2650-B, JALAN WELFARE, KAMPUNG BARU SEKSYEN U19, SUNGAI BULOH 40160 SHAH ALAM SELANGOR</t>
  </si>
  <si>
    <t>D1-SZB-26-94</t>
  </si>
  <si>
    <t>NVMY34535000014226</t>
  </si>
  <si>
    <t>NVMY34535000014201</t>
  </si>
  <si>
    <t>Rosliana binti Mohd Razi</t>
  </si>
  <si>
    <t>No 50A,Rumah kediaman lombong B,kg batu 16,serdang kedah</t>
  </si>
  <si>
    <t>NVMY34535000014225</t>
  </si>
  <si>
    <t>MAHMOOD BIN MUSTAPHA</t>
  </si>
  <si>
    <t>285 JLN PERSIARAN 12 TMN EMAS JAYA 33000 KUALA KANGSAR PERAK</t>
  </si>
  <si>
    <t>B3-SAR-11-57</t>
  </si>
  <si>
    <t>NVMY34535000014288</t>
  </si>
  <si>
    <t>NUR AIMI NABILA BT NAZRI</t>
  </si>
  <si>
    <t>NO 34 LORONG SG KARANG DARAT 12 PERKARANGAN KARAS DARAT 26100 KUANTAN PAHANG</t>
  </si>
  <si>
    <t>NVMY34535000014262</t>
  </si>
  <si>
    <t>irah</t>
  </si>
  <si>
    <t xml:space="preserve">14 JALAN GP 18 , TAMAN GADONG PERDANA , 75250 , MELAKA </t>
  </si>
  <si>
    <t>NVMY34535000014246</t>
  </si>
  <si>
    <t>CHOON VOON TET</t>
  </si>
  <si>
    <t xml:space="preserve">SIN KONG AUTOPARTS 13-17 , PERSIARAN KANTHAN DTI SATU TAMAN PERINDUSTRIAN DTI 31200 CHEMOR , PERAK </t>
  </si>
  <si>
    <t>NVMY34535000014290</t>
  </si>
  <si>
    <t>MULYATI MOHD</t>
  </si>
  <si>
    <t>NO 5774 KG JOH LABOK 18500 MACHANG KELANTAN</t>
  </si>
  <si>
    <t>NVMY34535000014244</t>
  </si>
  <si>
    <t>NVMY34535000014245</t>
  </si>
  <si>
    <t>NVMY34535000014292</t>
  </si>
  <si>
    <t>TUAN AZUHAR</t>
  </si>
  <si>
    <t>KLINIK KESIHATAN JOH, KG JOH 18500 MACHANG KELANTAN</t>
  </si>
  <si>
    <t>NVMY34535000014280</t>
  </si>
  <si>
    <t>NVMY34535000014273</t>
  </si>
  <si>
    <t>MOHD SHAMSURI MAHMOOD</t>
  </si>
  <si>
    <t xml:space="preserve">BALAI POLIS PASIR AKAR 22010 JERTEH TERENGGANU </t>
  </si>
  <si>
    <t>NVMY34535000014260</t>
  </si>
  <si>
    <t>LOT128-17B JLN GOMBAK BT 8 KG SG CHINCHIN 53100 GOMBAK KUALA LUMPUR</t>
  </si>
  <si>
    <t>NVMY34535000014241</t>
  </si>
  <si>
    <t>MAAH BT MOHAMED</t>
  </si>
  <si>
    <t xml:space="preserve">NO 166 LORONG 9 TAMAN SELASIH KUALA PILAH 72000 NEGERI SEMBILAN </t>
  </si>
  <si>
    <t>NVMY34535000014222</t>
  </si>
  <si>
    <t>ATIQAH</t>
  </si>
  <si>
    <t>BLOK N-04-08 TAMAN DESARIA FASA 5B, JALAN PJS 5/17, 46000 PETALING JAYA SELANGOR</t>
  </si>
  <si>
    <t>NVMY34535000014215</t>
  </si>
  <si>
    <t>Mohd arshad sabki</t>
  </si>
  <si>
    <t>Nur azmina cafe No 37 pasar baru mukah 96400 mukah sarawak</t>
  </si>
  <si>
    <t>NVMY34535000014257</t>
  </si>
  <si>
    <t>CIK WAN</t>
  </si>
  <si>
    <t>A-03-03 PUTRA RESIDENTS PUTRA HEIGHTS, JALAN PUTRA MURNI 3/1, 47650 SUBANG JAYA SELANGOR</t>
  </si>
  <si>
    <t>NVMY34535000014221</t>
  </si>
  <si>
    <t>SHIDA MAT</t>
  </si>
  <si>
    <t>BLOK A 17-03 KUARTERS INTEGRASI HOSPITAL SUNGAI BULOH 47000 SUNGAI BULOH SELANGOR</t>
  </si>
  <si>
    <t>NVMY34535000014214</t>
  </si>
  <si>
    <t>MUHAMMAD ( Pharmacist )</t>
  </si>
  <si>
    <t>NO. 45-G, JALAN SUNGAI CHANDONG 8, BANDAR ARMADA PUTRA, PULAU INDAH, 42920, PELABUHAN KLANG, SELANGOR ( FARMASI MEDUCATION GLOBAL )</t>
  </si>
  <si>
    <t>NVMY34535000014258</t>
  </si>
  <si>
    <t>MOHD IQBAL BIN MOKHTAR</t>
  </si>
  <si>
    <t>G-19 AYAM GEPUK MENARA SHAFTBURY PUTRAJAYA JALAN ALAMANDA PRESINT 1, 62000 PUTRAJAYA</t>
  </si>
  <si>
    <t>NVMY34535000014263</t>
  </si>
  <si>
    <t>ARISA SOFIYYA BINTI YUSOF</t>
  </si>
  <si>
    <t xml:space="preserve">4539, JALAN BUNGA TANJUNG, TAMAN MAJU, 77000 JASIN , MELAKA </t>
  </si>
  <si>
    <t>NVMY34535000014247</t>
  </si>
  <si>
    <t>LINDA</t>
  </si>
  <si>
    <t>NVMY34535000014291</t>
  </si>
  <si>
    <t>HABIBAH MOHAMED</t>
  </si>
  <si>
    <t>NO 17 LORONG CEMPAKA 6, PERUMAHAN CEMPAKA 26060 KUANTAN PAHANG</t>
  </si>
  <si>
    <t>NVMY34535000014224</t>
  </si>
  <si>
    <t>HANIS NASIR</t>
  </si>
  <si>
    <t>NO 98, SAYONG LEMBAH 33040 KUALA KANGSAR, PERAK</t>
  </si>
  <si>
    <t>NVMY34535000014252</t>
  </si>
  <si>
    <t>No 08 jln permas 2/14, bandar baru permas jaya, 81750, masai, johor</t>
  </si>
  <si>
    <t>NVMY34535000014264</t>
  </si>
  <si>
    <t>ayu farhana</t>
  </si>
  <si>
    <t>no 75 jalan satu krubong taman satu krubong 75260 melaka</t>
  </si>
  <si>
    <t>NVMY34535000014253</t>
  </si>
  <si>
    <t>AYNUL HAYATI</t>
  </si>
  <si>
    <t>C-2-7 BLOK C TUNAS RESIDENSI PERSIARAN NADA BIDARA 2 TAMAN NADA BIDARA 71950 SEREMBAN NEGERI SEMBILAN</t>
  </si>
  <si>
    <t>NVMY34535000014293</t>
  </si>
  <si>
    <t>ZAINAB BT ABDUL GHANI</t>
  </si>
  <si>
    <t>LOT 2598 KAMPONG CHERAS HANGUS 17000 PASIR MAS, KELANTAN</t>
  </si>
  <si>
    <t>NVMY34535000014243</t>
  </si>
  <si>
    <t>AHMAD FAIZAL BIN AB RAHMAN</t>
  </si>
  <si>
    <t>A-12-02 BLOK HARMONI KUARTERS HOSPITAL KUALA LUMPUR LORONG RAJA MUDA 50400 KUALA LUMPUR</t>
  </si>
  <si>
    <t>NVMY34535000014270</t>
  </si>
  <si>
    <t>MOHD NOR</t>
  </si>
  <si>
    <t>NO 20 JALAN 8 TAMAN MERU INDAH 41050 KLANG, SELANGOR</t>
  </si>
  <si>
    <t>NVMY34535000014251</t>
  </si>
  <si>
    <t>NVMY34535000014283</t>
  </si>
  <si>
    <t>FAUZIAH AL BAKRI BINTI BAKRI</t>
  </si>
  <si>
    <t>NO 46 JALAN DATUK ABDULLAH YASSIN SUNGAI BARU KAMPUNG BARU 50300 KUALA LUMPUR</t>
  </si>
  <si>
    <t>NVMY34535000014300</t>
  </si>
  <si>
    <t>MOHD HASRUL BIN LAZIM</t>
  </si>
  <si>
    <t>PT 11683 JALAN BUKIT TOKBAT TAMAN SRI SENTOSA 21700 KUALA BERANG TERENGGANU</t>
  </si>
  <si>
    <t>NVMY34535000014287</t>
  </si>
  <si>
    <t>400 C TAMAN FARIDAH BUKIT BERUANG 75450 MELAKA</t>
  </si>
  <si>
    <t>NVMY34535000014272</t>
  </si>
  <si>
    <t>MOHAMAD SAPUAN B IBRAHIM</t>
  </si>
  <si>
    <t>NO 15 LALUAN TRONOH JAYA 7 DESA TRONOH JAYA , 31750 TRONOH PERAK</t>
  </si>
  <si>
    <t>NVMY34535000014303</t>
  </si>
  <si>
    <t>SITI AMIRAH BT AB RAHMAN</t>
  </si>
  <si>
    <t>B362 KAMPUNG SUNGAI RENGAS MASJID LAMA 20050 KUALA TERENGGANU, TERENGGANU</t>
  </si>
  <si>
    <t>NVMY34535000014269</t>
  </si>
  <si>
    <t>Jamilah Latif</t>
  </si>
  <si>
    <t>N0 11A, LORONG NIRWANA 2,  TAMAN NIRWANA ALMA,14000 BUKIT MERTAJAM, PENANG</t>
  </si>
  <si>
    <t>NVMY34535000014268</t>
  </si>
  <si>
    <t>ALIZAH BINTI MOHD ALI</t>
  </si>
  <si>
    <t>NO 19A-1-1 &amp; 19A-1-2 LEVEL 1 WISMA UOA CENTER 19 JALAN PINANG 50450 KUALA LUMPUR</t>
  </si>
  <si>
    <t>NVMY34535000014305</t>
  </si>
  <si>
    <t>NORAINI NAWI</t>
  </si>
  <si>
    <t>NO 712 KAMPUNG BUKIT GOH 26050 KUANTAN, PAHANG</t>
  </si>
  <si>
    <t>NVMY34535000014284</t>
  </si>
  <si>
    <t>NOR ZIAH BT MUSTAFA</t>
  </si>
  <si>
    <t>NO 48 JALAN PELADANG JAYA, TAMAN PELADANG 02000 KUALA PERLIS, PERLIS</t>
  </si>
  <si>
    <t>NVMY34535000014276</t>
  </si>
  <si>
    <t>SITI ROKIAH BT JUSOH</t>
  </si>
  <si>
    <t xml:space="preserve">NO 16 , MAHAGONI 2C/46 TAMU HILL PARK BANDAR UTAMA BATANG KALI 44300 BATANG KALI SELANGOR </t>
  </si>
  <si>
    <t>D3-KKB-12-124</t>
  </si>
  <si>
    <t>NVMY34535000014294</t>
  </si>
  <si>
    <t>LIZAWATI BT ABDULLAH</t>
  </si>
  <si>
    <t>NO 12 TAMAN SRI FAJAR JALAN LENCONG BARAT 05400 ALOR SETAR, KEDAH</t>
  </si>
  <si>
    <t>NVMY34535000014275</t>
  </si>
  <si>
    <t>NORMALA HANIM BT ABDUL HAMID</t>
  </si>
  <si>
    <t xml:space="preserve">NO 27 , JALAN INDAH PUTERA 6 TAMAN DESA INDAH PUTERA 43900 SEPANG SELANGOR </t>
  </si>
  <si>
    <t>NVMY34535000014281</t>
  </si>
  <si>
    <t>NVMY34535000014285</t>
  </si>
  <si>
    <t>BONNIE FAMILY SDN</t>
  </si>
  <si>
    <t>BRANCH BAHAU NSK (BNK 07) NO 15 JALAN KEMPAS 1, PUSAT PERNIAGAAN 72100 BAHAU, NEGERI SEMBILAN</t>
  </si>
  <si>
    <t>NVMY34535000014277</t>
  </si>
  <si>
    <t>RYNA ANNUAR</t>
  </si>
  <si>
    <t xml:space="preserve">NO 15 JALAN FREKUENSI U16/112 ELMINA EAST , SEKSYEN U16 40160 SHAH ALAM SELANGOR </t>
  </si>
  <si>
    <t>NVMY34535000014274</t>
  </si>
  <si>
    <t>NUR AKMA</t>
  </si>
  <si>
    <t xml:space="preserve">UNIT NO A-12-05 SELAYANG POINT CONDOMINIUM , JALAN SP1 68100 BATU CAVES , SELANGOR </t>
  </si>
  <si>
    <t>NVMY34535000014242</t>
  </si>
  <si>
    <t>NORBAITIE BT HASAN</t>
  </si>
  <si>
    <t xml:space="preserve">NO 11116 PERMATANG KERAI KECIL JALAN POKOK SENA 13220 KEPALA BATAS PULAU PINANG </t>
  </si>
  <si>
    <t>NVMY34535000014304</t>
  </si>
  <si>
    <t>RUGAYAH</t>
  </si>
  <si>
    <t xml:space="preserve">PEMBINAAN JERTEH SND BHD , LOT 2909 KAWASAN PERINDUSTRIAN GONG MEDANG , JAKIN TEMBILA 22200 BESUT TERENGGANU </t>
  </si>
  <si>
    <t>NVMY34535000014259</t>
  </si>
  <si>
    <t>MOHD HAFIZ B HASSANNUDIN</t>
  </si>
  <si>
    <t xml:space="preserve">NO 9 JALAN SERJAHTERA 8A/KUB TAMAN MERU SEJAHTERA MERU </t>
  </si>
  <si>
    <t>NVMY34535000014256</t>
  </si>
  <si>
    <t>CHANG MUI FUI</t>
  </si>
  <si>
    <t>B3-2-41 KEPAYAN RIDGE, BLOCK B3, NO 41, LORONG BUNGA SEMARAK 2, 88200 KOTA KINABALU, SABAH</t>
  </si>
  <si>
    <t>NVMY34535000014286</t>
  </si>
  <si>
    <t>NUR AIN</t>
  </si>
  <si>
    <t>NO 1684, JALAN WARISAN PUTERI A57 PRECINT 6, 70400 SEREMBAN NEGERI SEMBILAN</t>
  </si>
  <si>
    <t>C4-SBN-28-91</t>
  </si>
  <si>
    <t>NVMY34535000014306</t>
  </si>
  <si>
    <t>AHMAD KHUZIR</t>
  </si>
  <si>
    <t xml:space="preserve">DIVERSATECH MALAYSIA SDN BHD , NO 21A , JALAN PERIGI NENAS 7/1 KAWASANA PERINDUSTRIAN PULAU INDAH , 42920 PULAU INDAH ,. SELANGOR DARUL EHSAN </t>
  </si>
  <si>
    <t>NVMY34535000014299</t>
  </si>
  <si>
    <t>HANIF BIN ZAKARIA</t>
  </si>
  <si>
    <t>LOT 5404-J JALAN MASJID AS SYARIF BATU 6 3/4 JALAN GOMBAK 53100 KUALA LUMPUR</t>
  </si>
  <si>
    <t>NVMY34535000014271</t>
  </si>
  <si>
    <t>RAZA FAIZAL BINTI RAJA ARIS</t>
  </si>
  <si>
    <t xml:space="preserve">583A-2-3 PERUMAHAN PEGAWAI KANAN POLIS SUNGAI DUA , 11700 GELUGOR PULAU PINANG </t>
  </si>
  <si>
    <t>NVMY34535000014289</t>
  </si>
  <si>
    <t>LULU KIDS STUDIO</t>
  </si>
  <si>
    <t>NO 11 TINGKAT 1, JALAN TANGKAK JAYA 7 TAMAN TANGKAK JAYA 84900 TANGKAK JOHOR</t>
  </si>
  <si>
    <t>NVMY34535000014279</t>
  </si>
  <si>
    <t>WAN MUHD HARIS FATHI B WAN HAMKA</t>
  </si>
  <si>
    <t xml:space="preserve">BLOK D12 PENGKALAN TLDM 32200 LUMUT , MANJUNG  PERAK </t>
  </si>
  <si>
    <t>NVMY34535000014239</t>
  </si>
  <si>
    <t>ZILKIFLI BIN LATIP</t>
  </si>
  <si>
    <t xml:space="preserve">NO 1912 KG GERSIK 87000 WILAYAH PERSEKUTUAN LABUAN </t>
  </si>
  <si>
    <t>NVMY34535000014278</t>
  </si>
  <si>
    <t>NUR HAZWANIE</t>
  </si>
  <si>
    <t xml:space="preserve">9-5-5 ABADI INDAH APARTMENT , JALAN 3/109C , TAMAN ABADI INDAH , OFF JALAN KLANG LAMA , 58100 KUALA LUMPUR </t>
  </si>
  <si>
    <t>D2-DSA-20-109</t>
  </si>
  <si>
    <t>NVMY34535000014333</t>
  </si>
  <si>
    <t>KLINIK ANDA TANAH MERAH</t>
  </si>
  <si>
    <t xml:space="preserve">LOT 16378 ( TINGKAT BAWAH ) TAMAN KOTA HARMONI 16500 TANAH MERAH KELANTAN </t>
  </si>
  <si>
    <t>NVMY34535000014337</t>
  </si>
  <si>
    <t>Wan nurfarhana bt wan Mohd nasir</t>
  </si>
  <si>
    <t>No 9 Jalan ST 11 Taman Saujana Tehel  77200 Melaka</t>
  </si>
  <si>
    <t>NVMY34535000014318</t>
  </si>
  <si>
    <t>AZIZUL KHIAIRI ABDULLAH</t>
  </si>
  <si>
    <t>NO 212 JALAN 1A/5, BANDAR BARU SUNGAI BULOH 47000 SUNGAI BULOH SELANGOR</t>
  </si>
  <si>
    <t>NVMY34535000014315</t>
  </si>
  <si>
    <t>Norliana binti abdul majid</t>
  </si>
  <si>
    <t>Pt11661 taman sri sentosa 21700 kuala berang Terengganu</t>
  </si>
  <si>
    <t>NVMY34535000014295</t>
  </si>
  <si>
    <t>PUAN AZILA BINTI AHMAD</t>
  </si>
  <si>
    <t xml:space="preserve">KEMENTERIAN KESIHATAN MALAYSIA , BAHAGIAN PERKHIDMATAN KEJURUTERAAN SEKTOR IMPLEMENTASI PROJEK ARAS 3-7 , BLOK E3 , KOMPLEKS E PUSAT PENTADBIRAN KERAJAAN PERSEKUTUAN 62590 PUTRAJAYA MALAYSIA </t>
  </si>
  <si>
    <t>NVMY34535000014347</t>
  </si>
  <si>
    <t>Fatihah</t>
  </si>
  <si>
    <t>Lot 2860, Taman sri permai, binjai, 16150 kota bharu, kelantan.</t>
  </si>
  <si>
    <t>NVMY34535000014344</t>
  </si>
  <si>
    <t>NOR FATIHA ZAINUDIN</t>
  </si>
  <si>
    <t>No. 20, JLN PINGGIRAN PUTRA 1/10, DESA PINGGIRAN PUTRA 43000 KAJANG</t>
  </si>
  <si>
    <t>NVMY34535000014343</t>
  </si>
  <si>
    <t>NVMY34535000014327</t>
  </si>
  <si>
    <t>MUHAMMAD TARMIZI</t>
  </si>
  <si>
    <t>NO 87 JALAN 14/30 PETALING JAYA 46100 SELANGOR</t>
  </si>
  <si>
    <t>NVMY34535000014328</t>
  </si>
  <si>
    <t>MY-SUTERA SDN BHD, LOT NO 9&amp;11, JALAN TUKANG 16/4 KAWASAN PERINDUSTRIAN SEKSYEN 16, 40000 SHAH ALAM, SELANGOR</t>
  </si>
  <si>
    <t>NVMY34535000014338</t>
  </si>
  <si>
    <t>Nur atika bt mohd noor</t>
  </si>
  <si>
    <t xml:space="preserve">No 8 lorong seri damai perdana 33 batu 6 jalan gambang 25150 kuantan pahang </t>
  </si>
  <si>
    <t>NVMY34535000014341</t>
  </si>
  <si>
    <t>NUR ANNISA BINTI SAUMI</t>
  </si>
  <si>
    <t>(TOLONG HANTAR BARANG SAMPAI TINGKAT 3), NO 5-3-B JALAN SERI TANMING 1G, TAMAN SRI TANMING 56000 CHERAS KUALA LUMPUR</t>
  </si>
  <si>
    <t>NVMY34535000014334</t>
  </si>
  <si>
    <t>U/P DATUK IR MEGAT JALALUDDIN BIN MEGAT HASSAN</t>
  </si>
  <si>
    <t>CHIEF EXECUTIVE OFFICER TENAGA NASIONAL BERHAD TNB PLATINUM NO 3 JALAN BUKIT PANTAI BANGSAR 59100 KUALA LUMPUR</t>
  </si>
  <si>
    <t>NVMY34535000014325</t>
  </si>
  <si>
    <t>NVMY34535000014329</t>
  </si>
  <si>
    <t>NVMY34535000014316</t>
  </si>
  <si>
    <t>SHAHERA ZULAIKA</t>
  </si>
  <si>
    <t>C6, JALAN PANTAI RUMAH MURAH KIJAL 24100 KEMAMAN, TERENGGANU</t>
  </si>
  <si>
    <t>NVMY34535000014298</t>
  </si>
  <si>
    <t>PN AMIRAH / MARIZA (MAHMOOD SECURITY (M) SDN BHD)</t>
  </si>
  <si>
    <t xml:space="preserve">NO 12 TINGKAT 3 JALAN DANG WANGI 50100 KUALA LUMPUR </t>
  </si>
  <si>
    <t>NVMY34535000014309</t>
  </si>
  <si>
    <t>nurul anuar</t>
  </si>
  <si>
    <t>kg bukit tuku 17000 pasir mas kelantan</t>
  </si>
  <si>
    <t>NVMY34535000014301</t>
  </si>
  <si>
    <t>ISMAZILAWATI BINTI ISMAIL</t>
  </si>
  <si>
    <t>SK SRI SERDANG 43300 SERI KEMBANGAN, SELANGOR</t>
  </si>
  <si>
    <t>NVMY34535000014282</t>
  </si>
  <si>
    <t>MARILYN SILMUN</t>
  </si>
  <si>
    <t>KAMPUNG TELUPID P/S 29, 89320 TELUPID, SABAH</t>
  </si>
  <si>
    <t>NVMY34535000014296</t>
  </si>
  <si>
    <t>MOHAMAD ASHRAF AZMI</t>
  </si>
  <si>
    <t>BLOK 3-31-3, NO 4 LTAT-PPA1M PAHLAWAN 4, JALAN BUKIT JALIL INDAH 4, 57000 WILAYAH PERSEKUTUAN KUALA LUMPUR</t>
  </si>
  <si>
    <t>NVMY34535000014346</t>
  </si>
  <si>
    <t>Puan Harnain Haris AlHajj</t>
  </si>
  <si>
    <t>Lot 2174-D Kampung Jenderam Hulu 43800 Dengkil Selangor D E</t>
  </si>
  <si>
    <t>NVMY34535000014340</t>
  </si>
  <si>
    <t>AQILAH MUNIRAH</t>
  </si>
  <si>
    <t>LOT 2200 KAMPUNG LUNDANG PAKU 16450 KETEREH KELANTAN</t>
  </si>
  <si>
    <t>NVMY34535000014345</t>
  </si>
  <si>
    <t>NURUL SHAZIRA AZMI</t>
  </si>
  <si>
    <t xml:space="preserve">NO 17 , JALAN SERI SIANTAN 38 TAMAN SRI ANDALAS , 41000 KLANG SELANGOR </t>
  </si>
  <si>
    <t>NVMY34535000014371</t>
  </si>
  <si>
    <t>NORZILA BT ZAKARIA</t>
  </si>
  <si>
    <t>LOT P.T 11944,JLN HAJI DAUD, KG LUBUK PANJANG,CHALOK, 21450,SETIU, TERENGGANU.</t>
  </si>
  <si>
    <t>NVMY34535000014364</t>
  </si>
  <si>
    <t>NVMY34535000014363</t>
  </si>
  <si>
    <t>NVMY34535000014326</t>
  </si>
  <si>
    <t>NOOR AISHAH BINTI MAT OSMAN</t>
  </si>
  <si>
    <t>NO 69, KLEBANG DAMAI 2, TAMAN KLEBANG DAMAI 31200 CHEMOR, PERAK</t>
  </si>
  <si>
    <t>NVMY34535000014320</t>
  </si>
  <si>
    <t>NO 212 JALAN 1A/5, BANDAR BARU SUNGAI BULOH 47000 SUNGAI BULOH, SELANGOR</t>
  </si>
  <si>
    <t>NVMY34535000014312</t>
  </si>
  <si>
    <t>FATIMAH</t>
  </si>
  <si>
    <t>NO 9, JALAN ARP 1 TAMAN AMANSARI RAHMAN PUTRA 47000 SUNGAI BULOH, SELANGOR</t>
  </si>
  <si>
    <t>NVMY34535000014348</t>
  </si>
  <si>
    <t>ROSELINDA</t>
  </si>
  <si>
    <t>No 59A, Lengkuk Sinar Intan 4/2, Taman Sinar Intan 3, 08000 Sg. Petani, Kedah. +60 19-510 1718</t>
  </si>
  <si>
    <t>NVMY34535000014361</t>
  </si>
  <si>
    <t>WAN NUR SYAFIQAHBINTI WAN MAZLAN</t>
  </si>
  <si>
    <t>PT 2383 NO 201 TAMAN KENERAK JAYA, 17000 PASIR MAS, KELANTAN</t>
  </si>
  <si>
    <t>A1-PAS-27-5</t>
  </si>
  <si>
    <t>NVMY34535000014342</t>
  </si>
  <si>
    <t>SYAFIRA</t>
  </si>
  <si>
    <t>NO 385 LORONG SMZI FASA 2I 32040 SERI MANJUNG, PERAK</t>
  </si>
  <si>
    <t>B3-STW-11-60</t>
  </si>
  <si>
    <t>NVMY34535000014352</t>
  </si>
  <si>
    <t>UKM</t>
  </si>
  <si>
    <t xml:space="preserve">PEJABAT KEDEKANAN FOKULTI SAINS SOSIAL &amp; KEMANUSIAAN UNIVERSITI KEBANGSAAN MALAYSIA 43600 BANGI , SELANGOR DARUL EHSAN </t>
  </si>
  <si>
    <t>NVMY34535000014319</t>
  </si>
  <si>
    <t>MUHAMMAD IZZ AIMAN BIN AB RAJAB</t>
  </si>
  <si>
    <t>BLOK 2-1-23 PANGSAPURI MUTIARA SUBANG, JLN UTARID U5/9 SEKSYEN U5, 40150 SHAH ALAM, SELANGOR</t>
  </si>
  <si>
    <t>NVMY34535000014339</t>
  </si>
  <si>
    <t>FAZLIZA ABDULLAH</t>
  </si>
  <si>
    <t>NO 374, JALAN TERENGGANU TAMAN RAKYAT 34600 KAMUNTING, PERAK</t>
  </si>
  <si>
    <t>NVMY34535000014311</t>
  </si>
  <si>
    <t>NOORFAZIELA BT MOHAMMAD HANIZAM</t>
  </si>
  <si>
    <t>NO 7 TAMAN KOLEK HULU BENAM 35900 TANJUNG MALIM, PERAK</t>
  </si>
  <si>
    <t>NVMY34535000014317</t>
  </si>
  <si>
    <t>KHAIRUL AFIF BIN MOHD ASERI</t>
  </si>
  <si>
    <t>30-1 LORONG 11 TAMAN DESA ARAS 13300 TASEK GELUGOR, PULAU PINANG</t>
  </si>
  <si>
    <t>NVMY34535000014366</t>
  </si>
  <si>
    <t>MOHD ROSHDAN HAZIMI BIN A RASHID</t>
  </si>
  <si>
    <t>KB1 KAMPUNG BELUKAR BATU 3 1/2, JALAN GAMBANG 25150 KUANTAN PAHANG</t>
  </si>
  <si>
    <t>NVMY34535000014357</t>
  </si>
  <si>
    <t>ATTN PN AISYAH YUSA</t>
  </si>
  <si>
    <t>MY SUTERA SDN BHD LOT NO 9 &amp; 11, JALAN TUKANG 16/4, KAWASAN PERINDUSTRIAN SEKSYEN 16, 40702 SHAH ALAM, SELANGOR</t>
  </si>
  <si>
    <t>NVMY34535000014372</t>
  </si>
  <si>
    <t>Anis</t>
  </si>
  <si>
    <t>KM 17.6 pusat pengurusan veterinar  jalan sungai long..bandar sungai long guand 43000 cheras,selangor.</t>
  </si>
  <si>
    <t>D4-BMC-6-135</t>
  </si>
  <si>
    <t>NVMY34535000014313</t>
  </si>
  <si>
    <t>SHOHAINA SHOEB</t>
  </si>
  <si>
    <t>LOT 13068, KG LAHAR 08700 JENIANG, KEDAH</t>
  </si>
  <si>
    <t>NVMY34535000014365</t>
  </si>
  <si>
    <t>WIRA JAYA ELECTRICAL AND TRADING SDN BHD</t>
  </si>
  <si>
    <t>56-1 JALAN KEBUN NENAS 4B/KS 8, BANDAR PUTERI 2, 41200 KLANG SELANGOR DARUL EHSAN</t>
  </si>
  <si>
    <t>NVMY34535000014330</t>
  </si>
  <si>
    <t>NVMY34535000014624</t>
  </si>
  <si>
    <t>HAYATI BINTI AHMED</t>
  </si>
  <si>
    <t>NO 316 JALAN 16 TAMAN SRI PAGOH 84600 PAGOH MUAR JOHOR</t>
  </si>
  <si>
    <t>NVMY34535000014633</t>
  </si>
  <si>
    <t>HASZ</t>
  </si>
  <si>
    <t xml:space="preserve">1-30-1 THE RISE COLLECTION 2 , JALAN DR WU LIEN TEH 10150 GEORGETOWN , PULAU PINANG </t>
  </si>
  <si>
    <t>NVMY34535000014638</t>
  </si>
  <si>
    <t>IQBAL</t>
  </si>
  <si>
    <t>NO 5, JALAN MAKYONG 1J/KU5 BANDAR BUKIT RAJA KLANG 41050 SELANGOR</t>
  </si>
  <si>
    <t>NVMY34535000014620</t>
  </si>
  <si>
    <t>FATIMAH SAIPUL</t>
  </si>
  <si>
    <t xml:space="preserve">M LADIES DARVEL BAY PLAZA , GROUND FLOOR LOT G17A , 91100 LAHAD DATU SABAH </t>
  </si>
  <si>
    <t>E2-LDU-1-163</t>
  </si>
  <si>
    <t>NVMY34535000014639</t>
  </si>
  <si>
    <t>No 9 Jalan ST 11 Taman Saujana Tehel 77200 Melaka, Melaka, Bemban, 77200</t>
  </si>
  <si>
    <t>NVMY34535000014632</t>
  </si>
  <si>
    <t>SEVENTH-DAY ADVENTIST CORPORATION (M) BHD</t>
  </si>
  <si>
    <t>22-1, JALAN 2/11A, KUCHAI BUSINESS CENTRE, 58200 KUALA LUMPUR</t>
  </si>
  <si>
    <t>NVMY34535000014640</t>
  </si>
  <si>
    <t>CHE NUR AQILAH</t>
  </si>
  <si>
    <t>LOT 1322, KAMPUNG LUBOK DURIAN, CHABANG EMPAT 16210 TUMPAT, KELANTAN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</si>
</sst>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0" fillId="6" borderId="0" xfId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4A9B-11C6-41B8-A76B-7CBDD9843FDC}">
  <dimension ref="A1:AJ604"/>
  <sheetViews>
    <sheetView tabSelected="1" workbookViewId="0">
      <selection sqref="A1:AJ602"/>
    </sheetView>
  </sheetViews>
  <sheetFormatPr defaultRowHeight="14.5" x14ac:dyDescent="0.35"/>
  <cols>
    <col min="1" max="36" width="9.08984375" customWidth="1"/>
  </cols>
  <sheetData>
    <row r="1" spans="1:36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5" t="s">
        <v>35</v>
      </c>
    </row>
    <row r="2" spans="1:36" ht="15" customHeight="1" x14ac:dyDescent="0.35">
      <c r="A2">
        <v>7547676</v>
      </c>
      <c r="B2" t="s">
        <v>36</v>
      </c>
      <c r="C2" t="s">
        <v>37</v>
      </c>
      <c r="D2" s="6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2</v>
      </c>
      <c r="K2" t="s">
        <v>43</v>
      </c>
      <c r="L2" t="s">
        <v>44</v>
      </c>
      <c r="M2" t="s">
        <v>45</v>
      </c>
      <c r="N2" s="7">
        <v>1</v>
      </c>
      <c r="O2" s="8">
        <v>45545.742361111108</v>
      </c>
      <c r="P2" s="9">
        <v>45548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>
        <v>62100</v>
      </c>
      <c r="W2" t="s">
        <v>47</v>
      </c>
      <c r="X2" t="s">
        <v>51</v>
      </c>
      <c r="Y2" t="s">
        <v>52</v>
      </c>
      <c r="Z2" s="10">
        <f t="shared" ref="Z2:Z16" si="0">IF(N2&lt;=1,9,9+0.8*ROUNDUP(N2-1,0))</f>
        <v>9</v>
      </c>
      <c r="AA2" s="11">
        <v>-2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1">(Z2+AA2+AC2+AE2)*6%</f>
        <v>0.42</v>
      </c>
      <c r="AG2" s="11">
        <f t="shared" ref="AG2:AG65" si="2">Z2+AA2+AC2+AE2+AF2</f>
        <v>7.42</v>
      </c>
      <c r="AH2" s="11">
        <v>0</v>
      </c>
      <c r="AI2" s="11">
        <f t="shared" ref="AI2:AI65" si="3">AG2+AH2</f>
        <v>7.42</v>
      </c>
      <c r="AJ2" t="s">
        <v>53</v>
      </c>
    </row>
    <row r="3" spans="1:36" ht="15" customHeight="1" x14ac:dyDescent="0.35">
      <c r="A3">
        <v>7547676</v>
      </c>
      <c r="B3" t="s">
        <v>36</v>
      </c>
      <c r="C3" t="s">
        <v>37</v>
      </c>
      <c r="D3" s="6" t="s">
        <v>36</v>
      </c>
      <c r="E3" t="s">
        <v>54</v>
      </c>
      <c r="F3" t="s">
        <v>39</v>
      </c>
      <c r="G3" t="s">
        <v>40</v>
      </c>
      <c r="H3" t="s">
        <v>55</v>
      </c>
      <c r="I3" t="s">
        <v>42</v>
      </c>
      <c r="J3">
        <v>2</v>
      </c>
      <c r="K3" t="s">
        <v>43</v>
      </c>
      <c r="L3" t="s">
        <v>44</v>
      </c>
      <c r="M3" t="s">
        <v>45</v>
      </c>
      <c r="N3" s="7">
        <v>12</v>
      </c>
      <c r="O3" s="8">
        <v>45546.540844907409</v>
      </c>
      <c r="P3" s="9">
        <v>45548</v>
      </c>
      <c r="Q3" t="s">
        <v>46</v>
      </c>
      <c r="R3" t="s">
        <v>47</v>
      </c>
      <c r="S3" t="s">
        <v>48</v>
      </c>
      <c r="T3" t="s">
        <v>56</v>
      </c>
      <c r="U3" t="s">
        <v>57</v>
      </c>
      <c r="V3">
        <v>8200</v>
      </c>
      <c r="W3" t="s">
        <v>47</v>
      </c>
      <c r="X3" t="s">
        <v>58</v>
      </c>
      <c r="Y3" t="s">
        <v>52</v>
      </c>
      <c r="Z3" s="10">
        <f t="shared" si="0"/>
        <v>17.8</v>
      </c>
      <c r="AA3" s="11">
        <v>-2</v>
      </c>
      <c r="AB3" s="11">
        <v>0</v>
      </c>
      <c r="AC3" s="11">
        <v>0</v>
      </c>
      <c r="AD3" s="11">
        <v>0</v>
      </c>
      <c r="AE3" s="11">
        <v>0</v>
      </c>
      <c r="AF3" s="11">
        <f t="shared" si="1"/>
        <v>0.94799999999999995</v>
      </c>
      <c r="AG3" s="11">
        <f t="shared" si="2"/>
        <v>16.748000000000001</v>
      </c>
      <c r="AH3" s="11">
        <v>0</v>
      </c>
      <c r="AI3" s="11">
        <f t="shared" si="3"/>
        <v>16.748000000000001</v>
      </c>
      <c r="AJ3" t="s">
        <v>53</v>
      </c>
    </row>
    <row r="4" spans="1:36" ht="15" customHeight="1" x14ac:dyDescent="0.35">
      <c r="A4">
        <v>7547676</v>
      </c>
      <c r="B4" t="s">
        <v>36</v>
      </c>
      <c r="C4" t="s">
        <v>37</v>
      </c>
      <c r="D4" s="6" t="s">
        <v>36</v>
      </c>
      <c r="E4" t="s">
        <v>59</v>
      </c>
      <c r="F4" t="s">
        <v>39</v>
      </c>
      <c r="G4" t="s">
        <v>40</v>
      </c>
      <c r="H4" t="s">
        <v>60</v>
      </c>
      <c r="I4" t="s">
        <v>42</v>
      </c>
      <c r="J4">
        <v>2</v>
      </c>
      <c r="K4" t="s">
        <v>43</v>
      </c>
      <c r="L4" t="s">
        <v>44</v>
      </c>
      <c r="M4" t="s">
        <v>45</v>
      </c>
      <c r="N4" s="7">
        <v>1</v>
      </c>
      <c r="O4" s="8">
        <v>45547.756053240744</v>
      </c>
      <c r="P4" s="9">
        <v>45548</v>
      </c>
      <c r="Q4" t="s">
        <v>46</v>
      </c>
      <c r="R4" t="s">
        <v>47</v>
      </c>
      <c r="S4" t="s">
        <v>48</v>
      </c>
      <c r="T4" t="s">
        <v>61</v>
      </c>
      <c r="U4" t="s">
        <v>62</v>
      </c>
      <c r="V4">
        <v>21600</v>
      </c>
      <c r="W4" t="s">
        <v>47</v>
      </c>
      <c r="X4" t="s">
        <v>63</v>
      </c>
      <c r="Y4" t="s">
        <v>52</v>
      </c>
      <c r="Z4" s="10">
        <f t="shared" si="0"/>
        <v>9</v>
      </c>
      <c r="AA4" s="11">
        <v>-2</v>
      </c>
      <c r="AB4" s="11">
        <v>0</v>
      </c>
      <c r="AC4" s="11">
        <v>0</v>
      </c>
      <c r="AD4" s="11">
        <v>0</v>
      </c>
      <c r="AE4" s="11">
        <v>0</v>
      </c>
      <c r="AF4" s="11">
        <f t="shared" si="1"/>
        <v>0.42</v>
      </c>
      <c r="AG4" s="11">
        <f t="shared" si="2"/>
        <v>7.42</v>
      </c>
      <c r="AH4" s="11">
        <v>0</v>
      </c>
      <c r="AI4" s="11">
        <f t="shared" si="3"/>
        <v>7.42</v>
      </c>
      <c r="AJ4" t="s">
        <v>53</v>
      </c>
    </row>
    <row r="5" spans="1:36" ht="15" customHeight="1" x14ac:dyDescent="0.35">
      <c r="A5">
        <v>7547676</v>
      </c>
      <c r="B5" t="s">
        <v>36</v>
      </c>
      <c r="C5" t="s">
        <v>37</v>
      </c>
      <c r="D5" s="6" t="s">
        <v>36</v>
      </c>
      <c r="E5" t="s">
        <v>64</v>
      </c>
      <c r="F5" t="s">
        <v>39</v>
      </c>
      <c r="G5" t="s">
        <v>40</v>
      </c>
      <c r="H5" t="s">
        <v>65</v>
      </c>
      <c r="I5" t="s">
        <v>42</v>
      </c>
      <c r="J5">
        <v>2</v>
      </c>
      <c r="K5" t="s">
        <v>43</v>
      </c>
      <c r="L5" t="s">
        <v>44</v>
      </c>
      <c r="M5" t="s">
        <v>45</v>
      </c>
      <c r="N5" s="7">
        <v>1</v>
      </c>
      <c r="O5" s="8">
        <v>45546.714872685188</v>
      </c>
      <c r="P5" s="9">
        <v>45548</v>
      </c>
      <c r="Q5" t="s">
        <v>46</v>
      </c>
      <c r="R5" t="s">
        <v>47</v>
      </c>
      <c r="S5" t="s">
        <v>48</v>
      </c>
      <c r="T5" t="s">
        <v>66</v>
      </c>
      <c r="U5" t="s">
        <v>67</v>
      </c>
      <c r="V5">
        <v>86000</v>
      </c>
      <c r="W5" t="s">
        <v>47</v>
      </c>
      <c r="X5" t="s">
        <v>68</v>
      </c>
      <c r="Y5" t="s">
        <v>52</v>
      </c>
      <c r="Z5" s="10">
        <f t="shared" si="0"/>
        <v>9</v>
      </c>
      <c r="AA5" s="11">
        <v>-2</v>
      </c>
      <c r="AB5" s="11">
        <v>0</v>
      </c>
      <c r="AC5" s="11">
        <v>0</v>
      </c>
      <c r="AD5" s="11">
        <v>0</v>
      </c>
      <c r="AE5" s="11">
        <v>0</v>
      </c>
      <c r="AF5" s="11">
        <f t="shared" si="1"/>
        <v>0.42</v>
      </c>
      <c r="AG5" s="11">
        <f t="shared" si="2"/>
        <v>7.42</v>
      </c>
      <c r="AH5" s="11">
        <v>0</v>
      </c>
      <c r="AI5" s="11">
        <f t="shared" si="3"/>
        <v>7.42</v>
      </c>
      <c r="AJ5" t="s">
        <v>53</v>
      </c>
    </row>
    <row r="6" spans="1:36" ht="15" customHeight="1" x14ac:dyDescent="0.35">
      <c r="A6">
        <v>7547676</v>
      </c>
      <c r="B6" t="s">
        <v>36</v>
      </c>
      <c r="C6" t="s">
        <v>37</v>
      </c>
      <c r="D6" s="6" t="s">
        <v>36</v>
      </c>
      <c r="E6" t="s">
        <v>69</v>
      </c>
      <c r="F6" t="s">
        <v>39</v>
      </c>
      <c r="G6" t="s">
        <v>40</v>
      </c>
      <c r="H6" t="s">
        <v>55</v>
      </c>
      <c r="I6" t="s">
        <v>42</v>
      </c>
      <c r="J6">
        <v>2</v>
      </c>
      <c r="K6" t="s">
        <v>43</v>
      </c>
      <c r="L6" t="s">
        <v>44</v>
      </c>
      <c r="M6" t="s">
        <v>45</v>
      </c>
      <c r="N6" s="7">
        <v>12</v>
      </c>
      <c r="O6" s="8">
        <v>45546.540844907409</v>
      </c>
      <c r="P6" s="9">
        <v>45548</v>
      </c>
      <c r="Q6" t="s">
        <v>39</v>
      </c>
      <c r="R6" t="s">
        <v>70</v>
      </c>
      <c r="S6" t="s">
        <v>48</v>
      </c>
      <c r="T6" t="s">
        <v>56</v>
      </c>
      <c r="U6" t="s">
        <v>57</v>
      </c>
      <c r="V6">
        <v>8200</v>
      </c>
      <c r="W6" t="s">
        <v>47</v>
      </c>
      <c r="X6" t="s">
        <v>58</v>
      </c>
      <c r="Y6" t="s">
        <v>52</v>
      </c>
      <c r="Z6" s="10">
        <f t="shared" si="0"/>
        <v>17.8</v>
      </c>
      <c r="AA6" s="11">
        <v>-2</v>
      </c>
      <c r="AB6" s="11">
        <v>0</v>
      </c>
      <c r="AC6" s="11">
        <v>0</v>
      </c>
      <c r="AD6" s="11">
        <v>0</v>
      </c>
      <c r="AE6" s="11">
        <v>0</v>
      </c>
      <c r="AF6" s="11">
        <f t="shared" si="1"/>
        <v>0.94799999999999995</v>
      </c>
      <c r="AG6" s="11">
        <f t="shared" si="2"/>
        <v>16.748000000000001</v>
      </c>
      <c r="AH6" s="11">
        <v>0</v>
      </c>
      <c r="AI6" s="11">
        <f t="shared" si="3"/>
        <v>16.748000000000001</v>
      </c>
      <c r="AJ6" t="s">
        <v>53</v>
      </c>
    </row>
    <row r="7" spans="1:36" ht="15" customHeight="1" x14ac:dyDescent="0.35">
      <c r="A7">
        <v>7547676</v>
      </c>
      <c r="B7" t="s">
        <v>36</v>
      </c>
      <c r="C7" t="s">
        <v>37</v>
      </c>
      <c r="D7" s="6" t="s">
        <v>36</v>
      </c>
      <c r="E7" t="s">
        <v>71</v>
      </c>
      <c r="F7" t="s">
        <v>39</v>
      </c>
      <c r="G7" t="s">
        <v>40</v>
      </c>
      <c r="H7" t="s">
        <v>55</v>
      </c>
      <c r="I7" t="s">
        <v>42</v>
      </c>
      <c r="J7">
        <v>2</v>
      </c>
      <c r="K7" t="s">
        <v>43</v>
      </c>
      <c r="L7" t="s">
        <v>44</v>
      </c>
      <c r="M7" t="s">
        <v>45</v>
      </c>
      <c r="N7" s="7">
        <v>12</v>
      </c>
      <c r="O7" s="8">
        <v>45546.540844907409</v>
      </c>
      <c r="P7" s="9">
        <v>45548</v>
      </c>
      <c r="Q7" t="s">
        <v>46</v>
      </c>
      <c r="R7" t="s">
        <v>47</v>
      </c>
      <c r="S7" t="s">
        <v>48</v>
      </c>
      <c r="T7" t="s">
        <v>56</v>
      </c>
      <c r="U7" t="s">
        <v>57</v>
      </c>
      <c r="V7">
        <v>8200</v>
      </c>
      <c r="W7" t="s">
        <v>47</v>
      </c>
      <c r="X7" t="s">
        <v>58</v>
      </c>
      <c r="Y7" t="s">
        <v>52</v>
      </c>
      <c r="Z7" s="10">
        <f t="shared" si="0"/>
        <v>17.8</v>
      </c>
      <c r="AA7" s="11">
        <v>-2</v>
      </c>
      <c r="AB7" s="11">
        <v>0</v>
      </c>
      <c r="AC7" s="11">
        <v>0</v>
      </c>
      <c r="AD7" s="11">
        <v>0</v>
      </c>
      <c r="AE7" s="11">
        <v>0</v>
      </c>
      <c r="AF7" s="11">
        <f t="shared" si="1"/>
        <v>0.94799999999999995</v>
      </c>
      <c r="AG7" s="11">
        <f t="shared" si="2"/>
        <v>16.748000000000001</v>
      </c>
      <c r="AH7" s="11">
        <v>0</v>
      </c>
      <c r="AI7" s="11">
        <f t="shared" si="3"/>
        <v>16.748000000000001</v>
      </c>
      <c r="AJ7" t="s">
        <v>53</v>
      </c>
    </row>
    <row r="8" spans="1:36" ht="15" customHeight="1" x14ac:dyDescent="0.35">
      <c r="A8">
        <v>7547676</v>
      </c>
      <c r="B8" t="s">
        <v>36</v>
      </c>
      <c r="C8" t="s">
        <v>37</v>
      </c>
      <c r="D8" s="6" t="s">
        <v>36</v>
      </c>
      <c r="E8" t="s">
        <v>72</v>
      </c>
      <c r="F8" t="s">
        <v>39</v>
      </c>
      <c r="G8" t="s">
        <v>40</v>
      </c>
      <c r="H8" t="s">
        <v>55</v>
      </c>
      <c r="I8" t="s">
        <v>42</v>
      </c>
      <c r="J8">
        <v>2</v>
      </c>
      <c r="K8" t="s">
        <v>43</v>
      </c>
      <c r="L8" t="s">
        <v>44</v>
      </c>
      <c r="M8" t="s">
        <v>45</v>
      </c>
      <c r="N8" s="7">
        <v>12</v>
      </c>
      <c r="O8" s="8">
        <v>45546.54109953704</v>
      </c>
      <c r="P8" s="9">
        <v>45548</v>
      </c>
      <c r="Q8" t="s">
        <v>46</v>
      </c>
      <c r="R8" t="s">
        <v>47</v>
      </c>
      <c r="S8" t="s">
        <v>48</v>
      </c>
      <c r="T8" t="s">
        <v>56</v>
      </c>
      <c r="U8" t="s">
        <v>57</v>
      </c>
      <c r="V8">
        <v>8200</v>
      </c>
      <c r="W8" t="s">
        <v>47</v>
      </c>
      <c r="X8" t="s">
        <v>58</v>
      </c>
      <c r="Y8" t="s">
        <v>52</v>
      </c>
      <c r="Z8" s="10">
        <f t="shared" si="0"/>
        <v>17.8</v>
      </c>
      <c r="AA8" s="11">
        <v>-2</v>
      </c>
      <c r="AB8" s="11">
        <v>0</v>
      </c>
      <c r="AC8" s="11">
        <v>0</v>
      </c>
      <c r="AD8" s="11">
        <v>0</v>
      </c>
      <c r="AE8" s="11">
        <v>0</v>
      </c>
      <c r="AF8" s="11">
        <f t="shared" si="1"/>
        <v>0.94799999999999995</v>
      </c>
      <c r="AG8" s="11">
        <f t="shared" si="2"/>
        <v>16.748000000000001</v>
      </c>
      <c r="AH8" s="11">
        <v>0</v>
      </c>
      <c r="AI8" s="11">
        <f t="shared" si="3"/>
        <v>16.748000000000001</v>
      </c>
      <c r="AJ8" t="s">
        <v>53</v>
      </c>
    </row>
    <row r="9" spans="1:36" ht="15" customHeight="1" x14ac:dyDescent="0.35">
      <c r="A9">
        <v>7547676</v>
      </c>
      <c r="B9" t="s">
        <v>36</v>
      </c>
      <c r="C9" t="s">
        <v>37</v>
      </c>
      <c r="D9" s="6" t="s">
        <v>36</v>
      </c>
      <c r="E9" t="s">
        <v>73</v>
      </c>
      <c r="F9" t="s">
        <v>39</v>
      </c>
      <c r="G9" t="s">
        <v>40</v>
      </c>
      <c r="H9" t="s">
        <v>74</v>
      </c>
      <c r="I9" t="s">
        <v>42</v>
      </c>
      <c r="J9">
        <v>2</v>
      </c>
      <c r="K9" t="s">
        <v>43</v>
      </c>
      <c r="L9" t="s">
        <v>44</v>
      </c>
      <c r="M9" t="s">
        <v>45</v>
      </c>
      <c r="N9" s="7">
        <v>5</v>
      </c>
      <c r="O9" s="8">
        <v>45547.518541666665</v>
      </c>
      <c r="P9" s="9">
        <v>45548</v>
      </c>
      <c r="Q9" t="s">
        <v>46</v>
      </c>
      <c r="R9" t="s">
        <v>47</v>
      </c>
      <c r="S9" t="s">
        <v>48</v>
      </c>
      <c r="T9" t="s">
        <v>75</v>
      </c>
      <c r="U9" t="s">
        <v>76</v>
      </c>
      <c r="V9">
        <v>18300</v>
      </c>
      <c r="W9" t="s">
        <v>47</v>
      </c>
      <c r="X9" t="s">
        <v>77</v>
      </c>
      <c r="Y9" t="s">
        <v>52</v>
      </c>
      <c r="Z9" s="10">
        <f t="shared" si="0"/>
        <v>12.2</v>
      </c>
      <c r="AA9" s="11">
        <v>-2</v>
      </c>
      <c r="AB9" s="11">
        <v>0</v>
      </c>
      <c r="AC9" s="11">
        <v>0</v>
      </c>
      <c r="AD9" s="11">
        <v>0</v>
      </c>
      <c r="AE9" s="11">
        <v>0</v>
      </c>
      <c r="AF9" s="11">
        <f t="shared" si="1"/>
        <v>0.61199999999999999</v>
      </c>
      <c r="AG9" s="11">
        <f t="shared" si="2"/>
        <v>10.811999999999999</v>
      </c>
      <c r="AH9" s="11">
        <v>0</v>
      </c>
      <c r="AI9" s="11">
        <f t="shared" si="3"/>
        <v>10.811999999999999</v>
      </c>
      <c r="AJ9" t="s">
        <v>53</v>
      </c>
    </row>
    <row r="10" spans="1:36" ht="15" customHeight="1" x14ac:dyDescent="0.35">
      <c r="A10">
        <v>7547676</v>
      </c>
      <c r="B10" t="s">
        <v>36</v>
      </c>
      <c r="C10" t="s">
        <v>37</v>
      </c>
      <c r="D10" s="6" t="s">
        <v>36</v>
      </c>
      <c r="E10" t="s">
        <v>78</v>
      </c>
      <c r="F10" t="s">
        <v>39</v>
      </c>
      <c r="G10" t="s">
        <v>40</v>
      </c>
      <c r="H10" t="s">
        <v>79</v>
      </c>
      <c r="I10" t="s">
        <v>42</v>
      </c>
      <c r="J10">
        <v>2</v>
      </c>
      <c r="K10" t="s">
        <v>43</v>
      </c>
      <c r="L10" t="s">
        <v>44</v>
      </c>
      <c r="M10" t="s">
        <v>45</v>
      </c>
      <c r="N10" s="7">
        <v>3</v>
      </c>
      <c r="O10" s="8">
        <v>45545.42150462963</v>
      </c>
      <c r="P10" s="9">
        <v>45548</v>
      </c>
      <c r="Q10" t="s">
        <v>46</v>
      </c>
      <c r="R10" t="s">
        <v>47</v>
      </c>
      <c r="S10" t="s">
        <v>48</v>
      </c>
      <c r="T10" t="s">
        <v>80</v>
      </c>
      <c r="U10" t="s">
        <v>81</v>
      </c>
      <c r="V10">
        <v>11950</v>
      </c>
      <c r="W10" t="s">
        <v>47</v>
      </c>
      <c r="X10" t="s">
        <v>82</v>
      </c>
      <c r="Y10" t="s">
        <v>52</v>
      </c>
      <c r="Z10" s="10">
        <f t="shared" si="0"/>
        <v>10.6</v>
      </c>
      <c r="AA10" s="11">
        <v>-2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1"/>
        <v>0.51600000000000001</v>
      </c>
      <c r="AG10" s="11">
        <f t="shared" si="2"/>
        <v>9.1159999999999997</v>
      </c>
      <c r="AH10" s="11">
        <v>0</v>
      </c>
      <c r="AI10" s="11">
        <f t="shared" si="3"/>
        <v>9.1159999999999997</v>
      </c>
      <c r="AJ10" t="s">
        <v>53</v>
      </c>
    </row>
    <row r="11" spans="1:36" ht="15" customHeight="1" x14ac:dyDescent="0.35">
      <c r="A11">
        <v>7547676</v>
      </c>
      <c r="B11" t="s">
        <v>36</v>
      </c>
      <c r="C11" t="s">
        <v>37</v>
      </c>
      <c r="D11" s="6" t="s">
        <v>36</v>
      </c>
      <c r="E11" t="s">
        <v>83</v>
      </c>
      <c r="F11" t="s">
        <v>39</v>
      </c>
      <c r="G11" t="s">
        <v>40</v>
      </c>
      <c r="H11" t="s">
        <v>84</v>
      </c>
      <c r="I11" t="s">
        <v>42</v>
      </c>
      <c r="J11">
        <v>2</v>
      </c>
      <c r="K11" t="s">
        <v>43</v>
      </c>
      <c r="L11" t="s">
        <v>44</v>
      </c>
      <c r="M11" t="s">
        <v>45</v>
      </c>
      <c r="N11" s="7">
        <v>1</v>
      </c>
      <c r="O11" s="8">
        <v>45545.831319444442</v>
      </c>
      <c r="P11" s="9">
        <v>45548</v>
      </c>
      <c r="Q11" t="s">
        <v>46</v>
      </c>
      <c r="R11" t="s">
        <v>47</v>
      </c>
      <c r="S11" t="s">
        <v>48</v>
      </c>
      <c r="T11" t="s">
        <v>66</v>
      </c>
      <c r="U11" t="s">
        <v>85</v>
      </c>
      <c r="V11">
        <v>81200</v>
      </c>
      <c r="W11" t="s">
        <v>47</v>
      </c>
      <c r="X11" t="s">
        <v>86</v>
      </c>
      <c r="Y11" t="s">
        <v>52</v>
      </c>
      <c r="Z11" s="10">
        <f t="shared" si="0"/>
        <v>9</v>
      </c>
      <c r="AA11" s="11">
        <v>-2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1"/>
        <v>0.42</v>
      </c>
      <c r="AG11" s="11">
        <f t="shared" si="2"/>
        <v>7.42</v>
      </c>
      <c r="AH11" s="11">
        <v>0</v>
      </c>
      <c r="AI11" s="11">
        <f t="shared" si="3"/>
        <v>7.42</v>
      </c>
      <c r="AJ11" t="s">
        <v>53</v>
      </c>
    </row>
    <row r="12" spans="1:36" ht="15" customHeight="1" x14ac:dyDescent="0.35">
      <c r="A12">
        <v>7547676</v>
      </c>
      <c r="B12" t="s">
        <v>36</v>
      </c>
      <c r="C12" t="s">
        <v>37</v>
      </c>
      <c r="D12" s="6" t="s">
        <v>36</v>
      </c>
      <c r="E12" t="s">
        <v>87</v>
      </c>
      <c r="F12" t="s">
        <v>39</v>
      </c>
      <c r="G12" t="s">
        <v>40</v>
      </c>
      <c r="H12" t="s">
        <v>88</v>
      </c>
      <c r="I12" t="s">
        <v>42</v>
      </c>
      <c r="J12">
        <v>2</v>
      </c>
      <c r="K12" t="s">
        <v>43</v>
      </c>
      <c r="L12" t="s">
        <v>44</v>
      </c>
      <c r="M12" t="s">
        <v>45</v>
      </c>
      <c r="N12" s="7">
        <v>5</v>
      </c>
      <c r="O12" s="8">
        <v>45540.816747685189</v>
      </c>
      <c r="P12" s="9">
        <v>45548</v>
      </c>
      <c r="Q12" t="s">
        <v>89</v>
      </c>
      <c r="R12" t="s">
        <v>47</v>
      </c>
      <c r="S12" t="s">
        <v>48</v>
      </c>
      <c r="T12" t="s">
        <v>90</v>
      </c>
      <c r="U12" t="s">
        <v>91</v>
      </c>
      <c r="V12">
        <v>88450</v>
      </c>
      <c r="W12" t="s">
        <v>92</v>
      </c>
      <c r="X12" t="s">
        <v>93</v>
      </c>
      <c r="Y12" t="s">
        <v>52</v>
      </c>
      <c r="Z12" s="12">
        <f>IF(N12&lt;=1,13,IF(N12&lt;=2,23,IF(N12&lt;=3,35,IF(N12&lt;=4,43,IF(N12&lt;=5,53,IF(N12&lt;=6,63,IF(N12&lt;=7,71,IF(N12&lt;=8,79,IF(N12&lt;=9,87,IF(N12&lt;=10,95,IF(N12&lt;=11,105,IF(N12&lt;=12,114,IF(N12&lt;=13,119,IF(N12&lt;=14,127,IF(N12&lt;=15,135,IF(N12&lt;=16,143,IF(N12&lt;=17,153,IF(N12&lt;=18,163,IF(N12&lt;=19,171,IF(N12&lt;=20,185,IF(N12&lt;=21,193,IF(N12&lt;=22,201,IF(N12&lt;=23,210,IF(N12&lt;=24,220,IF(N12&lt;=25,230,IF(N12&lt;=26,240,IF(N12&lt;=27,250,IF(N12&lt;=28,260,IF(N12&lt;=29,270,IF(N12&lt;=30,280,280+10*ROUNDUP(N12-30,0)))))))))))))))))))))))))))))))</f>
        <v>53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1"/>
        <v>3.1799999999999997</v>
      </c>
      <c r="AG12" s="11">
        <f t="shared" si="2"/>
        <v>56.18</v>
      </c>
      <c r="AH12" s="11">
        <v>0</v>
      </c>
      <c r="AI12" s="11">
        <f t="shared" si="3"/>
        <v>56.18</v>
      </c>
      <c r="AJ12" t="s">
        <v>94</v>
      </c>
    </row>
    <row r="13" spans="1:36" ht="15" customHeight="1" x14ac:dyDescent="0.35">
      <c r="A13">
        <v>7547676</v>
      </c>
      <c r="B13" t="s">
        <v>36</v>
      </c>
      <c r="C13" t="s">
        <v>37</v>
      </c>
      <c r="D13" s="6" t="s">
        <v>36</v>
      </c>
      <c r="E13" t="s">
        <v>95</v>
      </c>
      <c r="F13" t="s">
        <v>39</v>
      </c>
      <c r="G13" t="s">
        <v>40</v>
      </c>
      <c r="H13" t="s">
        <v>96</v>
      </c>
      <c r="I13" t="s">
        <v>42</v>
      </c>
      <c r="J13">
        <v>2</v>
      </c>
      <c r="K13" t="s">
        <v>43</v>
      </c>
      <c r="L13" t="s">
        <v>44</v>
      </c>
      <c r="M13" t="s">
        <v>45</v>
      </c>
      <c r="N13" s="7">
        <v>1</v>
      </c>
      <c r="O13" s="8">
        <v>45543.733715277776</v>
      </c>
      <c r="P13" s="9">
        <v>45548</v>
      </c>
      <c r="Q13" t="s">
        <v>46</v>
      </c>
      <c r="R13" t="s">
        <v>47</v>
      </c>
      <c r="S13" t="s">
        <v>48</v>
      </c>
      <c r="T13" t="s">
        <v>90</v>
      </c>
      <c r="U13" t="s">
        <v>97</v>
      </c>
      <c r="V13">
        <v>88300</v>
      </c>
      <c r="W13" t="s">
        <v>92</v>
      </c>
      <c r="X13" t="s">
        <v>51</v>
      </c>
      <c r="Y13" t="s">
        <v>52</v>
      </c>
      <c r="Z13" s="12">
        <f>IF(N13&lt;=1,13,IF(N13&lt;=2,23,IF(N13&lt;=3,35,IF(N13&lt;=4,43,IF(N13&lt;=5,53,IF(N13&lt;=6,63,IF(N13&lt;=7,71,IF(N13&lt;=8,79,IF(N13&lt;=9,87,IF(N13&lt;=10,95,IF(N13&lt;=11,105,IF(N13&lt;=12,114,IF(N13&lt;=13,119,IF(N13&lt;=14,127,IF(N13&lt;=15,135,IF(N13&lt;=16,143,IF(N13&lt;=17,153,IF(N13&lt;=18,163,IF(N13&lt;=19,171,IF(N13&lt;=20,185,IF(N13&lt;=21,193,IF(N13&lt;=22,201,IF(N13&lt;=23,210,IF(N13&lt;=24,220,IF(N13&lt;=25,230,IF(N13&lt;=26,240,IF(N13&lt;=27,250,IF(N13&lt;=28,260,IF(N13&lt;=29,270,IF(N13&lt;=30,280,280+10*ROUNDUP(N13-30,0)))))))))))))))))))))))))))))))</f>
        <v>13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1"/>
        <v>0.78</v>
      </c>
      <c r="AG13" s="11">
        <f t="shared" si="2"/>
        <v>13.78</v>
      </c>
      <c r="AH13" s="11">
        <v>0</v>
      </c>
      <c r="AI13" s="11">
        <f t="shared" si="3"/>
        <v>13.78</v>
      </c>
      <c r="AJ13" t="s">
        <v>94</v>
      </c>
    </row>
    <row r="14" spans="1:36" ht="15" customHeight="1" x14ac:dyDescent="0.35">
      <c r="A14">
        <v>7547676</v>
      </c>
      <c r="B14" t="s">
        <v>36</v>
      </c>
      <c r="C14" t="s">
        <v>37</v>
      </c>
      <c r="D14" s="6" t="s">
        <v>36</v>
      </c>
      <c r="E14" t="s">
        <v>98</v>
      </c>
      <c r="F14" t="s">
        <v>39</v>
      </c>
      <c r="G14" t="s">
        <v>40</v>
      </c>
      <c r="H14" t="s">
        <v>99</v>
      </c>
      <c r="I14" t="s">
        <v>42</v>
      </c>
      <c r="J14">
        <v>2</v>
      </c>
      <c r="K14" t="s">
        <v>43</v>
      </c>
      <c r="L14" t="s">
        <v>44</v>
      </c>
      <c r="M14" t="s">
        <v>45</v>
      </c>
      <c r="N14" s="7">
        <v>3</v>
      </c>
      <c r="O14" s="8">
        <v>45546.717152777775</v>
      </c>
      <c r="P14" s="9">
        <v>45548</v>
      </c>
      <c r="Q14" t="s">
        <v>46</v>
      </c>
      <c r="R14" t="s">
        <v>47</v>
      </c>
      <c r="S14" t="s">
        <v>48</v>
      </c>
      <c r="T14" t="s">
        <v>66</v>
      </c>
      <c r="U14" t="s">
        <v>100</v>
      </c>
      <c r="V14">
        <v>81700</v>
      </c>
      <c r="W14" t="s">
        <v>47</v>
      </c>
      <c r="X14" t="s">
        <v>101</v>
      </c>
      <c r="Y14" t="s">
        <v>52</v>
      </c>
      <c r="Z14" s="10">
        <f>IF(N14&lt;=1,9,9+0.8*ROUNDUP(N14-1,0))</f>
        <v>10.6</v>
      </c>
      <c r="AA14" s="11">
        <v>-2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1"/>
        <v>0.51600000000000001</v>
      </c>
      <c r="AG14" s="11">
        <f t="shared" si="2"/>
        <v>9.1159999999999997</v>
      </c>
      <c r="AH14" s="11">
        <v>0</v>
      </c>
      <c r="AI14" s="11">
        <f t="shared" si="3"/>
        <v>9.1159999999999997</v>
      </c>
      <c r="AJ14" t="s">
        <v>53</v>
      </c>
    </row>
    <row r="15" spans="1:36" ht="15" customHeight="1" x14ac:dyDescent="0.35">
      <c r="A15">
        <v>7547676</v>
      </c>
      <c r="B15" t="s">
        <v>36</v>
      </c>
      <c r="C15" t="s">
        <v>37</v>
      </c>
      <c r="D15" s="6" t="s">
        <v>36</v>
      </c>
      <c r="E15" t="s">
        <v>102</v>
      </c>
      <c r="F15" t="s">
        <v>39</v>
      </c>
      <c r="G15" t="s">
        <v>40</v>
      </c>
      <c r="H15" t="s">
        <v>103</v>
      </c>
      <c r="I15" t="s">
        <v>42</v>
      </c>
      <c r="J15">
        <v>2</v>
      </c>
      <c r="K15" t="s">
        <v>43</v>
      </c>
      <c r="L15" t="s">
        <v>44</v>
      </c>
      <c r="M15" t="s">
        <v>45</v>
      </c>
      <c r="N15" s="7">
        <v>1</v>
      </c>
      <c r="O15" s="8">
        <v>45547.469270833331</v>
      </c>
      <c r="P15" s="9">
        <v>45549</v>
      </c>
      <c r="Q15" t="s">
        <v>46</v>
      </c>
      <c r="R15" t="s">
        <v>47</v>
      </c>
      <c r="S15" t="s">
        <v>48</v>
      </c>
      <c r="T15" t="s">
        <v>104</v>
      </c>
      <c r="U15" t="s">
        <v>105</v>
      </c>
      <c r="V15">
        <v>75250</v>
      </c>
      <c r="W15" t="s">
        <v>47</v>
      </c>
      <c r="X15" t="s">
        <v>51</v>
      </c>
      <c r="Y15" t="s">
        <v>52</v>
      </c>
      <c r="Z15" s="10">
        <f>IF(N15&lt;=1,9,9+0.8*ROUNDUP(N15-1,0))</f>
        <v>9</v>
      </c>
      <c r="AA15" s="11">
        <v>-2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1"/>
        <v>0.42</v>
      </c>
      <c r="AG15" s="11">
        <f t="shared" si="2"/>
        <v>7.42</v>
      </c>
      <c r="AH15" s="11">
        <v>0</v>
      </c>
      <c r="AI15" s="11">
        <f t="shared" si="3"/>
        <v>7.42</v>
      </c>
      <c r="AJ15" t="s">
        <v>53</v>
      </c>
    </row>
    <row r="16" spans="1:36" ht="15" customHeight="1" x14ac:dyDescent="0.35">
      <c r="A16">
        <v>7547676</v>
      </c>
      <c r="B16" t="s">
        <v>36</v>
      </c>
      <c r="C16" t="s">
        <v>37</v>
      </c>
      <c r="D16" s="6" t="s">
        <v>36</v>
      </c>
      <c r="E16" t="s">
        <v>106</v>
      </c>
      <c r="F16" t="s">
        <v>39</v>
      </c>
      <c r="G16" t="s">
        <v>40</v>
      </c>
      <c r="H16" t="s">
        <v>107</v>
      </c>
      <c r="I16" t="s">
        <v>42</v>
      </c>
      <c r="J16">
        <v>2</v>
      </c>
      <c r="K16" t="s">
        <v>43</v>
      </c>
      <c r="L16" t="s">
        <v>44</v>
      </c>
      <c r="M16" t="s">
        <v>45</v>
      </c>
      <c r="N16" s="7">
        <v>1</v>
      </c>
      <c r="O16" s="8">
        <v>45546.681111111109</v>
      </c>
      <c r="P16" s="9">
        <v>45549</v>
      </c>
      <c r="Q16" t="s">
        <v>46</v>
      </c>
      <c r="R16" t="s">
        <v>47</v>
      </c>
      <c r="S16" t="s">
        <v>48</v>
      </c>
      <c r="T16" t="s">
        <v>66</v>
      </c>
      <c r="U16" t="s">
        <v>108</v>
      </c>
      <c r="V16">
        <v>83700</v>
      </c>
      <c r="W16" t="s">
        <v>47</v>
      </c>
      <c r="X16" t="s">
        <v>109</v>
      </c>
      <c r="Y16" t="s">
        <v>52</v>
      </c>
      <c r="Z16" s="10">
        <f>IF(N16&lt;=1,9,9+0.8*ROUNDUP(N16-1,0))</f>
        <v>9</v>
      </c>
      <c r="AA16" s="11">
        <v>-2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1"/>
        <v>0.42</v>
      </c>
      <c r="AG16" s="11">
        <f t="shared" si="2"/>
        <v>7.42</v>
      </c>
      <c r="AH16" s="11">
        <v>0</v>
      </c>
      <c r="AI16" s="11">
        <f t="shared" si="3"/>
        <v>7.42</v>
      </c>
      <c r="AJ16" t="s">
        <v>53</v>
      </c>
    </row>
    <row r="17" spans="1:36" ht="15" customHeight="1" x14ac:dyDescent="0.35">
      <c r="A17">
        <v>7547676</v>
      </c>
      <c r="B17" t="s">
        <v>36</v>
      </c>
      <c r="C17" t="s">
        <v>37</v>
      </c>
      <c r="D17" s="6" t="s">
        <v>36</v>
      </c>
      <c r="E17" t="s">
        <v>110</v>
      </c>
      <c r="F17" t="s">
        <v>39</v>
      </c>
      <c r="G17" t="s">
        <v>40</v>
      </c>
      <c r="H17" t="s">
        <v>111</v>
      </c>
      <c r="I17" t="s">
        <v>42</v>
      </c>
      <c r="J17">
        <v>2</v>
      </c>
      <c r="K17" t="s">
        <v>43</v>
      </c>
      <c r="L17" t="s">
        <v>44</v>
      </c>
      <c r="M17" t="s">
        <v>45</v>
      </c>
      <c r="N17" s="7">
        <v>2</v>
      </c>
      <c r="O17" s="8">
        <v>45547.830891203703</v>
      </c>
      <c r="P17" s="9">
        <v>45549</v>
      </c>
      <c r="Q17" t="s">
        <v>89</v>
      </c>
      <c r="R17" t="s">
        <v>47</v>
      </c>
      <c r="S17" t="s">
        <v>48</v>
      </c>
      <c r="T17" t="s">
        <v>80</v>
      </c>
      <c r="U17" t="s">
        <v>112</v>
      </c>
      <c r="V17">
        <v>10150</v>
      </c>
      <c r="W17" t="s">
        <v>47</v>
      </c>
      <c r="X17" t="s">
        <v>113</v>
      </c>
      <c r="Y17" t="s">
        <v>52</v>
      </c>
      <c r="Z17" s="10">
        <f t="shared" ref="Z17:Z19" si="4">IF(N17&lt;=1,9,9+0.8*ROUNDUP(N17-1,0))</f>
        <v>9.8000000000000007</v>
      </c>
      <c r="AA17" s="11">
        <v>-2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1"/>
        <v>0.46800000000000003</v>
      </c>
      <c r="AG17" s="11">
        <f t="shared" si="2"/>
        <v>8.2680000000000007</v>
      </c>
      <c r="AH17" s="11">
        <v>0</v>
      </c>
      <c r="AI17" s="11">
        <f t="shared" si="3"/>
        <v>8.2680000000000007</v>
      </c>
      <c r="AJ17" t="s">
        <v>53</v>
      </c>
    </row>
    <row r="18" spans="1:36" ht="15" customHeight="1" x14ac:dyDescent="0.35">
      <c r="A18">
        <v>7547676</v>
      </c>
      <c r="B18" t="s">
        <v>36</v>
      </c>
      <c r="C18" t="s">
        <v>37</v>
      </c>
      <c r="D18" s="6" t="s">
        <v>36</v>
      </c>
      <c r="E18" t="s">
        <v>114</v>
      </c>
      <c r="F18" t="s">
        <v>39</v>
      </c>
      <c r="G18" t="s">
        <v>40</v>
      </c>
      <c r="H18" t="s">
        <v>115</v>
      </c>
      <c r="I18" t="s">
        <v>42</v>
      </c>
      <c r="J18">
        <v>2</v>
      </c>
      <c r="K18" t="s">
        <v>43</v>
      </c>
      <c r="L18" t="s">
        <v>44</v>
      </c>
      <c r="M18" t="s">
        <v>45</v>
      </c>
      <c r="N18" s="7">
        <v>1</v>
      </c>
      <c r="O18" s="8">
        <v>45546.666250000002</v>
      </c>
      <c r="P18" s="9">
        <v>45549</v>
      </c>
      <c r="Q18" t="s">
        <v>46</v>
      </c>
      <c r="R18" t="s">
        <v>47</v>
      </c>
      <c r="S18" t="s">
        <v>48</v>
      </c>
      <c r="T18" t="s">
        <v>56</v>
      </c>
      <c r="U18" t="s">
        <v>116</v>
      </c>
      <c r="V18">
        <v>9310</v>
      </c>
      <c r="W18" t="s">
        <v>47</v>
      </c>
      <c r="X18" t="s">
        <v>51</v>
      </c>
      <c r="Y18" t="s">
        <v>52</v>
      </c>
      <c r="Z18" s="10">
        <f t="shared" si="4"/>
        <v>9</v>
      </c>
      <c r="AA18" s="11">
        <v>-2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1"/>
        <v>0.42</v>
      </c>
      <c r="AG18" s="11">
        <f t="shared" si="2"/>
        <v>7.42</v>
      </c>
      <c r="AH18" s="11">
        <v>0</v>
      </c>
      <c r="AI18" s="11">
        <f t="shared" si="3"/>
        <v>7.42</v>
      </c>
      <c r="AJ18" t="s">
        <v>53</v>
      </c>
    </row>
    <row r="19" spans="1:36" ht="15" customHeight="1" x14ac:dyDescent="0.35">
      <c r="A19">
        <v>7547676</v>
      </c>
      <c r="B19" t="s">
        <v>36</v>
      </c>
      <c r="C19" t="s">
        <v>37</v>
      </c>
      <c r="D19" s="6" t="s">
        <v>36</v>
      </c>
      <c r="E19" t="s">
        <v>117</v>
      </c>
      <c r="F19" t="s">
        <v>39</v>
      </c>
      <c r="G19" t="s">
        <v>40</v>
      </c>
      <c r="H19" t="s">
        <v>118</v>
      </c>
      <c r="I19" t="s">
        <v>42</v>
      </c>
      <c r="J19">
        <v>2</v>
      </c>
      <c r="K19" t="s">
        <v>43</v>
      </c>
      <c r="L19" t="s">
        <v>44</v>
      </c>
      <c r="M19" t="s">
        <v>45</v>
      </c>
      <c r="N19" s="7">
        <v>1</v>
      </c>
      <c r="O19" s="8">
        <v>45547.645856481482</v>
      </c>
      <c r="P19" s="9">
        <v>45549</v>
      </c>
      <c r="Q19" t="s">
        <v>46</v>
      </c>
      <c r="R19" t="s">
        <v>47</v>
      </c>
      <c r="S19" t="s">
        <v>48</v>
      </c>
      <c r="T19" t="s">
        <v>66</v>
      </c>
      <c r="U19" t="s">
        <v>119</v>
      </c>
      <c r="V19">
        <v>81300</v>
      </c>
      <c r="W19" t="s">
        <v>47</v>
      </c>
      <c r="X19" t="s">
        <v>120</v>
      </c>
      <c r="Y19" t="s">
        <v>52</v>
      </c>
      <c r="Z19" s="10">
        <f t="shared" si="4"/>
        <v>9</v>
      </c>
      <c r="AA19" s="11">
        <v>-2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1"/>
        <v>0.42</v>
      </c>
      <c r="AG19" s="11">
        <f t="shared" si="2"/>
        <v>7.42</v>
      </c>
      <c r="AH19" s="11">
        <v>0</v>
      </c>
      <c r="AI19" s="11">
        <f t="shared" si="3"/>
        <v>7.42</v>
      </c>
      <c r="AJ19" t="s">
        <v>53</v>
      </c>
    </row>
    <row r="20" spans="1:36" ht="15" customHeight="1" x14ac:dyDescent="0.35">
      <c r="A20">
        <v>7547676</v>
      </c>
      <c r="B20" t="s">
        <v>36</v>
      </c>
      <c r="C20" t="s">
        <v>37</v>
      </c>
      <c r="D20" s="6" t="s">
        <v>36</v>
      </c>
      <c r="E20" t="s">
        <v>121</v>
      </c>
      <c r="F20" t="s">
        <v>39</v>
      </c>
      <c r="G20" t="s">
        <v>40</v>
      </c>
      <c r="H20" t="s">
        <v>122</v>
      </c>
      <c r="I20" t="s">
        <v>42</v>
      </c>
      <c r="J20">
        <v>2</v>
      </c>
      <c r="K20" t="s">
        <v>43</v>
      </c>
      <c r="L20" t="s">
        <v>44</v>
      </c>
      <c r="M20" t="s">
        <v>45</v>
      </c>
      <c r="N20" s="7">
        <v>6</v>
      </c>
      <c r="O20" s="8">
        <v>45547.634652777779</v>
      </c>
      <c r="P20" s="9">
        <v>45549</v>
      </c>
      <c r="Q20" t="s">
        <v>46</v>
      </c>
      <c r="R20" t="s">
        <v>47</v>
      </c>
      <c r="S20" t="s">
        <v>48</v>
      </c>
      <c r="T20" t="s">
        <v>123</v>
      </c>
      <c r="U20" t="s">
        <v>124</v>
      </c>
      <c r="V20">
        <v>45620</v>
      </c>
      <c r="W20" t="s">
        <v>47</v>
      </c>
      <c r="X20" t="s">
        <v>125</v>
      </c>
      <c r="Y20" t="s">
        <v>52</v>
      </c>
      <c r="Z20" s="10">
        <f>IF(N20&lt;=1,9,9+0.8*ROUNDUP(N20-1,0))</f>
        <v>13</v>
      </c>
      <c r="AA20" s="11">
        <v>-2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1"/>
        <v>0.65999999999999992</v>
      </c>
      <c r="AG20" s="11">
        <f t="shared" si="2"/>
        <v>11.66</v>
      </c>
      <c r="AH20" s="11">
        <v>0</v>
      </c>
      <c r="AI20" s="11">
        <f t="shared" si="3"/>
        <v>11.66</v>
      </c>
      <c r="AJ20" t="s">
        <v>53</v>
      </c>
    </row>
    <row r="21" spans="1:36" ht="15" customHeight="1" x14ac:dyDescent="0.35">
      <c r="A21">
        <v>7547676</v>
      </c>
      <c r="B21" t="s">
        <v>36</v>
      </c>
      <c r="C21" t="s">
        <v>37</v>
      </c>
      <c r="D21" s="6" t="s">
        <v>36</v>
      </c>
      <c r="E21" t="s">
        <v>126</v>
      </c>
      <c r="F21" t="s">
        <v>39</v>
      </c>
      <c r="G21" t="s">
        <v>40</v>
      </c>
      <c r="H21" t="s">
        <v>127</v>
      </c>
      <c r="I21" t="s">
        <v>42</v>
      </c>
      <c r="J21">
        <v>2</v>
      </c>
      <c r="K21" t="s">
        <v>43</v>
      </c>
      <c r="L21" t="s">
        <v>44</v>
      </c>
      <c r="M21" t="s">
        <v>45</v>
      </c>
      <c r="N21" s="7">
        <v>2</v>
      </c>
      <c r="O21" s="8">
        <v>45547.840601851851</v>
      </c>
      <c r="P21" s="9">
        <v>45549</v>
      </c>
      <c r="Q21" t="s">
        <v>89</v>
      </c>
      <c r="R21" t="s">
        <v>47</v>
      </c>
      <c r="S21" t="s">
        <v>48</v>
      </c>
      <c r="T21" t="s">
        <v>128</v>
      </c>
      <c r="U21" t="s">
        <v>129</v>
      </c>
      <c r="V21">
        <v>60000</v>
      </c>
      <c r="W21" t="s">
        <v>47</v>
      </c>
      <c r="X21" t="s">
        <v>130</v>
      </c>
      <c r="Y21" t="s">
        <v>52</v>
      </c>
      <c r="Z21" s="10">
        <f t="shared" ref="Z21" si="5">IF(N21&lt;=1,9,9+0.8*ROUNDUP(N21-1,0))</f>
        <v>9.8000000000000007</v>
      </c>
      <c r="AA21" s="11">
        <v>-2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1"/>
        <v>0.46800000000000003</v>
      </c>
      <c r="AG21" s="11">
        <f t="shared" si="2"/>
        <v>8.2680000000000007</v>
      </c>
      <c r="AH21" s="11">
        <v>0</v>
      </c>
      <c r="AI21" s="11">
        <f t="shared" si="3"/>
        <v>8.2680000000000007</v>
      </c>
      <c r="AJ21" t="s">
        <v>53</v>
      </c>
    </row>
    <row r="22" spans="1:36" ht="15" customHeight="1" x14ac:dyDescent="0.35">
      <c r="A22">
        <v>7547676</v>
      </c>
      <c r="B22" t="s">
        <v>36</v>
      </c>
      <c r="C22" t="s">
        <v>37</v>
      </c>
      <c r="D22" s="6" t="s">
        <v>36</v>
      </c>
      <c r="E22" t="s">
        <v>131</v>
      </c>
      <c r="F22" t="s">
        <v>39</v>
      </c>
      <c r="G22" t="s">
        <v>40</v>
      </c>
      <c r="H22" t="s">
        <v>132</v>
      </c>
      <c r="I22" t="s">
        <v>42</v>
      </c>
      <c r="J22">
        <v>2</v>
      </c>
      <c r="K22" t="s">
        <v>43</v>
      </c>
      <c r="L22" t="s">
        <v>44</v>
      </c>
      <c r="M22" t="s">
        <v>45</v>
      </c>
      <c r="N22" s="7">
        <v>1</v>
      </c>
      <c r="O22" s="8">
        <v>45545.727962962963</v>
      </c>
      <c r="P22" s="9">
        <v>45549</v>
      </c>
      <c r="Q22" t="s">
        <v>46</v>
      </c>
      <c r="R22" t="s">
        <v>47</v>
      </c>
      <c r="S22" t="s">
        <v>48</v>
      </c>
      <c r="T22" t="s">
        <v>90</v>
      </c>
      <c r="U22" t="s">
        <v>133</v>
      </c>
      <c r="V22">
        <v>91000</v>
      </c>
      <c r="W22" t="s">
        <v>92</v>
      </c>
      <c r="X22" t="s">
        <v>51</v>
      </c>
      <c r="Y22" t="s">
        <v>52</v>
      </c>
      <c r="Z22" s="12">
        <f>IF(N22&lt;=1,13,IF(N22&lt;=2,23,IF(N22&lt;=3,35,IF(N22&lt;=4,43,IF(N22&lt;=5,53,IF(N22&lt;=6,63,IF(N22&lt;=7,71,IF(N22&lt;=8,79,IF(N22&lt;=9,87,IF(N22&lt;=10,95,IF(N22&lt;=11,105,IF(N22&lt;=12,114,IF(N22&lt;=13,119,IF(N22&lt;=14,127,IF(N22&lt;=15,135,IF(N22&lt;=16,143,IF(N22&lt;=17,153,IF(N22&lt;=18,163,IF(N22&lt;=19,171,IF(N22&lt;=20,185,IF(N22&lt;=21,193,IF(N22&lt;=22,201,IF(N22&lt;=23,210,IF(N22&lt;=24,220,IF(N22&lt;=25,230,IF(N22&lt;=26,240,IF(N22&lt;=27,250,IF(N22&lt;=28,260,IF(N22&lt;=29,270,IF(N22&lt;=30,280,280+10*ROUNDUP(N22-30,0)))))))))))))))))))))))))))))))</f>
        <v>13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1"/>
        <v>0.78</v>
      </c>
      <c r="AG22" s="11">
        <f t="shared" si="2"/>
        <v>13.78</v>
      </c>
      <c r="AH22" s="11">
        <v>0</v>
      </c>
      <c r="AI22" s="11">
        <f t="shared" si="3"/>
        <v>13.78</v>
      </c>
      <c r="AJ22" t="s">
        <v>94</v>
      </c>
    </row>
    <row r="23" spans="1:36" ht="15" customHeight="1" x14ac:dyDescent="0.35">
      <c r="A23">
        <v>7547676</v>
      </c>
      <c r="B23" t="s">
        <v>36</v>
      </c>
      <c r="C23" t="s">
        <v>37</v>
      </c>
      <c r="D23" s="6" t="s">
        <v>36</v>
      </c>
      <c r="E23" t="s">
        <v>134</v>
      </c>
      <c r="F23" t="s">
        <v>39</v>
      </c>
      <c r="G23" t="s">
        <v>40</v>
      </c>
      <c r="H23" t="s">
        <v>135</v>
      </c>
      <c r="I23" t="s">
        <v>42</v>
      </c>
      <c r="J23">
        <v>2</v>
      </c>
      <c r="K23" t="s">
        <v>43</v>
      </c>
      <c r="L23" t="s">
        <v>44</v>
      </c>
      <c r="M23" t="s">
        <v>45</v>
      </c>
      <c r="N23" s="7">
        <v>1</v>
      </c>
      <c r="O23" s="8">
        <v>45547.830891203703</v>
      </c>
      <c r="P23" s="9">
        <v>45549</v>
      </c>
      <c r="Q23" t="s">
        <v>89</v>
      </c>
      <c r="R23" t="s">
        <v>47</v>
      </c>
      <c r="S23" t="s">
        <v>48</v>
      </c>
      <c r="T23" t="s">
        <v>136</v>
      </c>
      <c r="U23" t="s">
        <v>137</v>
      </c>
      <c r="V23">
        <v>31400</v>
      </c>
      <c r="W23" t="s">
        <v>47</v>
      </c>
      <c r="X23" t="s">
        <v>138</v>
      </c>
      <c r="Y23" t="s">
        <v>52</v>
      </c>
      <c r="Z23" s="10">
        <f t="shared" ref="Z23" si="6">IF(N23&lt;=1,9,9+0.8*ROUNDUP(N23-1,0))</f>
        <v>9</v>
      </c>
      <c r="AA23" s="11">
        <v>-2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1"/>
        <v>0.42</v>
      </c>
      <c r="AG23" s="11">
        <f t="shared" si="2"/>
        <v>7.42</v>
      </c>
      <c r="AH23" s="11">
        <v>0</v>
      </c>
      <c r="AI23" s="11">
        <f t="shared" si="3"/>
        <v>7.42</v>
      </c>
      <c r="AJ23" t="s">
        <v>53</v>
      </c>
    </row>
    <row r="24" spans="1:36" ht="15" customHeight="1" x14ac:dyDescent="0.35">
      <c r="A24">
        <v>7547676</v>
      </c>
      <c r="B24" t="s">
        <v>36</v>
      </c>
      <c r="C24" t="s">
        <v>37</v>
      </c>
      <c r="D24" s="6" t="s">
        <v>36</v>
      </c>
      <c r="E24" t="s">
        <v>139</v>
      </c>
      <c r="F24" t="s">
        <v>39</v>
      </c>
      <c r="G24" t="s">
        <v>40</v>
      </c>
      <c r="H24" t="s">
        <v>140</v>
      </c>
      <c r="I24" t="s">
        <v>42</v>
      </c>
      <c r="J24">
        <v>2</v>
      </c>
      <c r="K24" t="s">
        <v>43</v>
      </c>
      <c r="L24" t="s">
        <v>44</v>
      </c>
      <c r="M24" t="s">
        <v>45</v>
      </c>
      <c r="N24" s="7">
        <v>1</v>
      </c>
      <c r="O24" s="8">
        <v>45545.550810185188</v>
      </c>
      <c r="P24" s="9">
        <v>45549</v>
      </c>
      <c r="Q24" t="s">
        <v>46</v>
      </c>
      <c r="R24" t="s">
        <v>47</v>
      </c>
      <c r="S24" t="s">
        <v>48</v>
      </c>
      <c r="T24" t="s">
        <v>90</v>
      </c>
      <c r="U24" t="s">
        <v>141</v>
      </c>
      <c r="V24">
        <v>91300</v>
      </c>
      <c r="W24" t="s">
        <v>92</v>
      </c>
      <c r="X24" t="s">
        <v>51</v>
      </c>
      <c r="Y24" t="s">
        <v>52</v>
      </c>
      <c r="Z24" s="12">
        <f>IF(N24&lt;=1,13,IF(N24&lt;=2,23,IF(N24&lt;=3,35,IF(N24&lt;=4,43,IF(N24&lt;=5,53,IF(N24&lt;=6,63,IF(N24&lt;=7,71,IF(N24&lt;=8,79,IF(N24&lt;=9,87,IF(N24&lt;=10,95,IF(N24&lt;=11,105,IF(N24&lt;=12,114,IF(N24&lt;=13,119,IF(N24&lt;=14,127,IF(N24&lt;=15,135,IF(N24&lt;=16,143,IF(N24&lt;=17,153,IF(N24&lt;=18,163,IF(N24&lt;=19,171,IF(N24&lt;=20,185,IF(N24&lt;=21,193,IF(N24&lt;=22,201,IF(N24&lt;=23,210,IF(N24&lt;=24,220,IF(N24&lt;=25,230,IF(N24&lt;=26,240,IF(N24&lt;=27,250,IF(N24&lt;=28,260,IF(N24&lt;=29,270,IF(N24&lt;=30,280,280+10*ROUNDUP(N24-30,0)))))))))))))))))))))))))))))))</f>
        <v>13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1"/>
        <v>0.78</v>
      </c>
      <c r="AG24" s="11">
        <f t="shared" si="2"/>
        <v>13.78</v>
      </c>
      <c r="AH24" s="11">
        <v>0</v>
      </c>
      <c r="AI24" s="11">
        <f t="shared" si="3"/>
        <v>13.78</v>
      </c>
      <c r="AJ24" t="s">
        <v>94</v>
      </c>
    </row>
    <row r="25" spans="1:36" ht="15" customHeight="1" x14ac:dyDescent="0.35">
      <c r="A25">
        <v>7547676</v>
      </c>
      <c r="B25" t="s">
        <v>36</v>
      </c>
      <c r="C25" t="s">
        <v>37</v>
      </c>
      <c r="D25" s="6" t="s">
        <v>36</v>
      </c>
      <c r="E25" t="s">
        <v>142</v>
      </c>
      <c r="F25" t="s">
        <v>39</v>
      </c>
      <c r="G25" t="s">
        <v>40</v>
      </c>
      <c r="H25" t="s">
        <v>143</v>
      </c>
      <c r="I25" t="s">
        <v>42</v>
      </c>
      <c r="J25">
        <v>2</v>
      </c>
      <c r="K25" t="s">
        <v>43</v>
      </c>
      <c r="L25" t="s">
        <v>44</v>
      </c>
      <c r="M25" t="s">
        <v>45</v>
      </c>
      <c r="N25" s="7">
        <v>1</v>
      </c>
      <c r="O25" s="8">
        <v>45547.830891203703</v>
      </c>
      <c r="P25" s="9">
        <v>45549</v>
      </c>
      <c r="Q25" t="s">
        <v>89</v>
      </c>
      <c r="R25" t="s">
        <v>47</v>
      </c>
      <c r="S25" t="s">
        <v>48</v>
      </c>
      <c r="T25" t="s">
        <v>61</v>
      </c>
      <c r="U25" t="s">
        <v>144</v>
      </c>
      <c r="V25">
        <v>22200</v>
      </c>
      <c r="W25" t="s">
        <v>47</v>
      </c>
      <c r="X25" t="s">
        <v>145</v>
      </c>
      <c r="Y25" t="s">
        <v>52</v>
      </c>
      <c r="Z25" s="10">
        <f t="shared" ref="Z25:Z32" si="7">IF(N25&lt;=1,9,9+0.8*ROUNDUP(N25-1,0))</f>
        <v>9</v>
      </c>
      <c r="AA25" s="11">
        <v>-2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1"/>
        <v>0.42</v>
      </c>
      <c r="AG25" s="11">
        <f t="shared" si="2"/>
        <v>7.42</v>
      </c>
      <c r="AH25" s="11">
        <v>0</v>
      </c>
      <c r="AI25" s="11">
        <f t="shared" si="3"/>
        <v>7.42</v>
      </c>
      <c r="AJ25" t="s">
        <v>53</v>
      </c>
    </row>
    <row r="26" spans="1:36" ht="15" customHeight="1" x14ac:dyDescent="0.35">
      <c r="A26">
        <v>7547676</v>
      </c>
      <c r="B26" t="s">
        <v>36</v>
      </c>
      <c r="C26" t="s">
        <v>37</v>
      </c>
      <c r="D26" s="6" t="s">
        <v>36</v>
      </c>
      <c r="E26" t="s">
        <v>146</v>
      </c>
      <c r="F26" t="s">
        <v>39</v>
      </c>
      <c r="G26" t="s">
        <v>40</v>
      </c>
      <c r="H26" t="s">
        <v>147</v>
      </c>
      <c r="I26" t="s">
        <v>42</v>
      </c>
      <c r="J26">
        <v>2</v>
      </c>
      <c r="K26" t="s">
        <v>43</v>
      </c>
      <c r="L26" t="s">
        <v>44</v>
      </c>
      <c r="M26" t="s">
        <v>45</v>
      </c>
      <c r="N26" s="7">
        <v>1</v>
      </c>
      <c r="O26" s="8">
        <v>45547.653032407405</v>
      </c>
      <c r="P26" s="9">
        <v>45549</v>
      </c>
      <c r="Q26" t="s">
        <v>46</v>
      </c>
      <c r="R26" t="s">
        <v>47</v>
      </c>
      <c r="S26" t="s">
        <v>48</v>
      </c>
      <c r="T26" t="s">
        <v>123</v>
      </c>
      <c r="U26" t="s">
        <v>148</v>
      </c>
      <c r="V26">
        <v>40000</v>
      </c>
      <c r="W26" t="s">
        <v>47</v>
      </c>
      <c r="X26" t="s">
        <v>149</v>
      </c>
      <c r="Y26" t="s">
        <v>52</v>
      </c>
      <c r="Z26" s="10">
        <f t="shared" si="7"/>
        <v>9</v>
      </c>
      <c r="AA26" s="11">
        <v>-2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1"/>
        <v>0.42</v>
      </c>
      <c r="AG26" s="11">
        <f t="shared" si="2"/>
        <v>7.42</v>
      </c>
      <c r="AH26" s="11">
        <v>0</v>
      </c>
      <c r="AI26" s="11">
        <f t="shared" si="3"/>
        <v>7.42</v>
      </c>
      <c r="AJ26" t="s">
        <v>53</v>
      </c>
    </row>
    <row r="27" spans="1:36" ht="15" customHeight="1" x14ac:dyDescent="0.35">
      <c r="A27">
        <v>7547676</v>
      </c>
      <c r="B27" t="s">
        <v>36</v>
      </c>
      <c r="C27" t="s">
        <v>37</v>
      </c>
      <c r="D27" s="6" t="s">
        <v>36</v>
      </c>
      <c r="E27" t="s">
        <v>150</v>
      </c>
      <c r="F27" t="s">
        <v>39</v>
      </c>
      <c r="G27" t="s">
        <v>40</v>
      </c>
      <c r="H27" t="s">
        <v>151</v>
      </c>
      <c r="I27" t="s">
        <v>42</v>
      </c>
      <c r="J27">
        <v>2</v>
      </c>
      <c r="K27" t="s">
        <v>43</v>
      </c>
      <c r="L27" t="s">
        <v>44</v>
      </c>
      <c r="M27" t="s">
        <v>45</v>
      </c>
      <c r="N27" s="7">
        <v>1</v>
      </c>
      <c r="O27" s="8">
        <v>45547.705555555556</v>
      </c>
      <c r="P27" s="9">
        <v>45549</v>
      </c>
      <c r="Q27" t="s">
        <v>46</v>
      </c>
      <c r="R27" t="s">
        <v>47</v>
      </c>
      <c r="S27" t="s">
        <v>48</v>
      </c>
      <c r="T27" t="s">
        <v>56</v>
      </c>
      <c r="U27" t="s">
        <v>152</v>
      </c>
      <c r="V27">
        <v>9300</v>
      </c>
      <c r="W27" t="s">
        <v>47</v>
      </c>
      <c r="X27" t="s">
        <v>51</v>
      </c>
      <c r="Y27" t="s">
        <v>52</v>
      </c>
      <c r="Z27" s="10">
        <f t="shared" si="7"/>
        <v>9</v>
      </c>
      <c r="AA27" s="11">
        <v>-2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1"/>
        <v>0.42</v>
      </c>
      <c r="AG27" s="11">
        <f t="shared" si="2"/>
        <v>7.42</v>
      </c>
      <c r="AH27" s="11">
        <v>0</v>
      </c>
      <c r="AI27" s="11">
        <f t="shared" si="3"/>
        <v>7.42</v>
      </c>
      <c r="AJ27" t="s">
        <v>53</v>
      </c>
    </row>
    <row r="28" spans="1:36" ht="15" customHeight="1" x14ac:dyDescent="0.35">
      <c r="A28">
        <v>7547676</v>
      </c>
      <c r="B28" t="s">
        <v>36</v>
      </c>
      <c r="C28" t="s">
        <v>37</v>
      </c>
      <c r="D28" s="6" t="s">
        <v>36</v>
      </c>
      <c r="E28" t="s">
        <v>153</v>
      </c>
      <c r="F28" t="s">
        <v>39</v>
      </c>
      <c r="G28" t="s">
        <v>40</v>
      </c>
      <c r="H28" t="s">
        <v>154</v>
      </c>
      <c r="I28" t="s">
        <v>42</v>
      </c>
      <c r="J28">
        <v>2</v>
      </c>
      <c r="K28" t="s">
        <v>43</v>
      </c>
      <c r="L28" t="s">
        <v>44</v>
      </c>
      <c r="M28" t="s">
        <v>45</v>
      </c>
      <c r="N28" s="7">
        <v>1</v>
      </c>
      <c r="O28" s="8">
        <v>45547.840601851851</v>
      </c>
      <c r="P28" s="9">
        <v>45549</v>
      </c>
      <c r="Q28" t="s">
        <v>89</v>
      </c>
      <c r="R28" t="s">
        <v>47</v>
      </c>
      <c r="S28" t="s">
        <v>48</v>
      </c>
      <c r="T28" t="s">
        <v>123</v>
      </c>
      <c r="U28" t="s">
        <v>155</v>
      </c>
      <c r="V28">
        <v>43900</v>
      </c>
      <c r="W28" t="s">
        <v>47</v>
      </c>
      <c r="X28" t="s">
        <v>51</v>
      </c>
      <c r="Y28" t="s">
        <v>52</v>
      </c>
      <c r="Z28" s="10">
        <f t="shared" si="7"/>
        <v>9</v>
      </c>
      <c r="AA28" s="11">
        <v>-2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1"/>
        <v>0.42</v>
      </c>
      <c r="AG28" s="11">
        <f t="shared" si="2"/>
        <v>7.42</v>
      </c>
      <c r="AH28" s="11">
        <v>0</v>
      </c>
      <c r="AI28" s="11">
        <f t="shared" si="3"/>
        <v>7.42</v>
      </c>
      <c r="AJ28" t="s">
        <v>53</v>
      </c>
    </row>
    <row r="29" spans="1:36" ht="15" customHeight="1" x14ac:dyDescent="0.35">
      <c r="A29">
        <v>7547676</v>
      </c>
      <c r="B29" t="s">
        <v>36</v>
      </c>
      <c r="C29" t="s">
        <v>37</v>
      </c>
      <c r="D29" s="6" t="s">
        <v>36</v>
      </c>
      <c r="E29" t="s">
        <v>156</v>
      </c>
      <c r="F29" t="s">
        <v>39</v>
      </c>
      <c r="G29" t="s">
        <v>40</v>
      </c>
      <c r="H29" t="s">
        <v>157</v>
      </c>
      <c r="I29" t="s">
        <v>42</v>
      </c>
      <c r="J29">
        <v>2</v>
      </c>
      <c r="K29" t="s">
        <v>43</v>
      </c>
      <c r="L29" t="s">
        <v>44</v>
      </c>
      <c r="M29" t="s">
        <v>45</v>
      </c>
      <c r="N29" s="7">
        <v>1</v>
      </c>
      <c r="O29" s="8">
        <v>45547.701180555552</v>
      </c>
      <c r="P29" s="9">
        <v>45549</v>
      </c>
      <c r="Q29" t="s">
        <v>46</v>
      </c>
      <c r="R29" t="s">
        <v>47</v>
      </c>
      <c r="S29" t="s">
        <v>48</v>
      </c>
      <c r="T29" t="s">
        <v>56</v>
      </c>
      <c r="U29" t="s">
        <v>158</v>
      </c>
      <c r="V29">
        <v>8200</v>
      </c>
      <c r="W29" t="s">
        <v>47</v>
      </c>
      <c r="X29" t="s">
        <v>58</v>
      </c>
      <c r="Y29" t="s">
        <v>52</v>
      </c>
      <c r="Z29" s="10">
        <f t="shared" si="7"/>
        <v>9</v>
      </c>
      <c r="AA29" s="11">
        <v>-2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1"/>
        <v>0.42</v>
      </c>
      <c r="AG29" s="11">
        <f t="shared" si="2"/>
        <v>7.42</v>
      </c>
      <c r="AH29" s="11">
        <v>0</v>
      </c>
      <c r="AI29" s="11">
        <f t="shared" si="3"/>
        <v>7.42</v>
      </c>
      <c r="AJ29" t="s">
        <v>53</v>
      </c>
    </row>
    <row r="30" spans="1:36" ht="15" customHeight="1" x14ac:dyDescent="0.35">
      <c r="A30">
        <v>7547676</v>
      </c>
      <c r="B30" t="s">
        <v>36</v>
      </c>
      <c r="C30" t="s">
        <v>37</v>
      </c>
      <c r="D30" s="6" t="s">
        <v>36</v>
      </c>
      <c r="E30" t="s">
        <v>159</v>
      </c>
      <c r="F30" t="s">
        <v>39</v>
      </c>
      <c r="G30" t="s">
        <v>40</v>
      </c>
      <c r="H30" t="s">
        <v>160</v>
      </c>
      <c r="I30" t="s">
        <v>42</v>
      </c>
      <c r="J30">
        <v>2</v>
      </c>
      <c r="K30" t="s">
        <v>43</v>
      </c>
      <c r="L30" t="s">
        <v>44</v>
      </c>
      <c r="M30" t="s">
        <v>45</v>
      </c>
      <c r="N30" s="7">
        <v>1</v>
      </c>
      <c r="O30" s="8">
        <v>45547.830891203703</v>
      </c>
      <c r="P30" s="9">
        <v>45549</v>
      </c>
      <c r="Q30" t="s">
        <v>89</v>
      </c>
      <c r="R30" t="s">
        <v>47</v>
      </c>
      <c r="S30" t="s">
        <v>48</v>
      </c>
      <c r="T30" t="s">
        <v>123</v>
      </c>
      <c r="U30" t="s">
        <v>161</v>
      </c>
      <c r="V30">
        <v>63000</v>
      </c>
      <c r="W30" t="s">
        <v>47</v>
      </c>
      <c r="X30" t="s">
        <v>162</v>
      </c>
      <c r="Y30" t="s">
        <v>52</v>
      </c>
      <c r="Z30" s="10">
        <f t="shared" si="7"/>
        <v>9</v>
      </c>
      <c r="AA30" s="11">
        <v>-2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1"/>
        <v>0.42</v>
      </c>
      <c r="AG30" s="11">
        <f t="shared" si="2"/>
        <v>7.42</v>
      </c>
      <c r="AH30" s="11">
        <v>0</v>
      </c>
      <c r="AI30" s="11">
        <f t="shared" si="3"/>
        <v>7.42</v>
      </c>
      <c r="AJ30" t="s">
        <v>53</v>
      </c>
    </row>
    <row r="31" spans="1:36" ht="15" customHeight="1" x14ac:dyDescent="0.35">
      <c r="A31">
        <v>7547676</v>
      </c>
      <c r="B31" t="s">
        <v>36</v>
      </c>
      <c r="C31" t="s">
        <v>37</v>
      </c>
      <c r="D31" s="6" t="s">
        <v>36</v>
      </c>
      <c r="E31" t="s">
        <v>163</v>
      </c>
      <c r="F31" t="s">
        <v>39</v>
      </c>
      <c r="G31" t="s">
        <v>40</v>
      </c>
      <c r="H31" t="s">
        <v>164</v>
      </c>
      <c r="I31" t="s">
        <v>42</v>
      </c>
      <c r="J31">
        <v>2</v>
      </c>
      <c r="K31" t="s">
        <v>43</v>
      </c>
      <c r="L31" t="s">
        <v>44</v>
      </c>
      <c r="M31" t="s">
        <v>45</v>
      </c>
      <c r="N31" s="7">
        <v>4</v>
      </c>
      <c r="O31" s="8">
        <v>45547.698645833334</v>
      </c>
      <c r="P31" s="9">
        <v>45549</v>
      </c>
      <c r="Q31" t="s">
        <v>46</v>
      </c>
      <c r="R31" t="s">
        <v>47</v>
      </c>
      <c r="S31" t="s">
        <v>48</v>
      </c>
      <c r="T31" t="s">
        <v>136</v>
      </c>
      <c r="U31" t="s">
        <v>165</v>
      </c>
      <c r="V31">
        <v>31150</v>
      </c>
      <c r="W31" t="s">
        <v>47</v>
      </c>
      <c r="X31" t="s">
        <v>138</v>
      </c>
      <c r="Y31" t="s">
        <v>52</v>
      </c>
      <c r="Z31" s="10">
        <f t="shared" si="7"/>
        <v>11.4</v>
      </c>
      <c r="AA31" s="11">
        <v>-2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1"/>
        <v>0.56399999999999995</v>
      </c>
      <c r="AG31" s="11">
        <f t="shared" si="2"/>
        <v>9.9640000000000004</v>
      </c>
      <c r="AH31" s="11">
        <v>0</v>
      </c>
      <c r="AI31" s="11">
        <f t="shared" si="3"/>
        <v>9.9640000000000004</v>
      </c>
      <c r="AJ31" t="s">
        <v>53</v>
      </c>
    </row>
    <row r="32" spans="1:36" ht="15" customHeight="1" x14ac:dyDescent="0.35">
      <c r="A32">
        <v>7547676</v>
      </c>
      <c r="B32" t="s">
        <v>36</v>
      </c>
      <c r="C32" t="s">
        <v>37</v>
      </c>
      <c r="D32" s="6" t="s">
        <v>36</v>
      </c>
      <c r="E32" t="s">
        <v>166</v>
      </c>
      <c r="F32" t="s">
        <v>39</v>
      </c>
      <c r="G32" t="s">
        <v>40</v>
      </c>
      <c r="H32" t="s">
        <v>167</v>
      </c>
      <c r="I32" t="s">
        <v>42</v>
      </c>
      <c r="J32">
        <v>2</v>
      </c>
      <c r="K32" t="s">
        <v>43</v>
      </c>
      <c r="L32" t="s">
        <v>44</v>
      </c>
      <c r="M32" t="s">
        <v>45</v>
      </c>
      <c r="N32" s="7">
        <v>4</v>
      </c>
      <c r="O32" s="8">
        <v>45547.752349537041</v>
      </c>
      <c r="P32" s="9">
        <v>45549</v>
      </c>
      <c r="Q32" t="s">
        <v>46</v>
      </c>
      <c r="R32" t="s">
        <v>47</v>
      </c>
      <c r="S32" t="s">
        <v>48</v>
      </c>
      <c r="T32" t="s">
        <v>66</v>
      </c>
      <c r="U32" t="s">
        <v>168</v>
      </c>
      <c r="V32">
        <v>81750</v>
      </c>
      <c r="W32" t="s">
        <v>47</v>
      </c>
      <c r="X32" t="s">
        <v>169</v>
      </c>
      <c r="Y32" t="s">
        <v>52</v>
      </c>
      <c r="Z32" s="10">
        <f t="shared" si="7"/>
        <v>11.4</v>
      </c>
      <c r="AA32" s="11">
        <v>-2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1"/>
        <v>0.56399999999999995</v>
      </c>
      <c r="AG32" s="11">
        <f t="shared" si="2"/>
        <v>9.9640000000000004</v>
      </c>
      <c r="AH32" s="11">
        <v>0</v>
      </c>
      <c r="AI32" s="11">
        <f t="shared" si="3"/>
        <v>9.9640000000000004</v>
      </c>
      <c r="AJ32" t="s">
        <v>53</v>
      </c>
    </row>
    <row r="33" spans="1:36" ht="15" customHeight="1" x14ac:dyDescent="0.35">
      <c r="A33">
        <v>7547676</v>
      </c>
      <c r="B33" t="s">
        <v>36</v>
      </c>
      <c r="C33" t="s">
        <v>37</v>
      </c>
      <c r="D33" s="6" t="s">
        <v>36</v>
      </c>
      <c r="E33" t="s">
        <v>170</v>
      </c>
      <c r="F33" t="s">
        <v>39</v>
      </c>
      <c r="G33" t="s">
        <v>40</v>
      </c>
      <c r="H33" t="s">
        <v>171</v>
      </c>
      <c r="I33" t="s">
        <v>42</v>
      </c>
      <c r="J33">
        <v>2</v>
      </c>
      <c r="K33" t="s">
        <v>43</v>
      </c>
      <c r="L33" t="s">
        <v>44</v>
      </c>
      <c r="M33" t="s">
        <v>45</v>
      </c>
      <c r="N33" s="7">
        <v>1</v>
      </c>
      <c r="O33" s="8">
        <v>45547.756053240744</v>
      </c>
      <c r="P33" s="9">
        <v>45549</v>
      </c>
      <c r="Q33" t="s">
        <v>46</v>
      </c>
      <c r="R33" t="s">
        <v>47</v>
      </c>
      <c r="S33" t="s">
        <v>48</v>
      </c>
      <c r="T33" t="s">
        <v>123</v>
      </c>
      <c r="U33" t="s">
        <v>172</v>
      </c>
      <c r="V33">
        <v>41400</v>
      </c>
      <c r="W33" t="s">
        <v>47</v>
      </c>
      <c r="X33" t="s">
        <v>173</v>
      </c>
      <c r="Y33" t="s">
        <v>52</v>
      </c>
      <c r="Z33" s="10">
        <f>IF(N33&lt;=1,9,9+0.8*ROUNDUP(N33-1,0))</f>
        <v>9</v>
      </c>
      <c r="AA33" s="11">
        <v>-2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1"/>
        <v>0.42</v>
      </c>
      <c r="AG33" s="11">
        <f t="shared" si="2"/>
        <v>7.42</v>
      </c>
      <c r="AH33" s="11">
        <v>0</v>
      </c>
      <c r="AI33" s="11">
        <f t="shared" si="3"/>
        <v>7.42</v>
      </c>
      <c r="AJ33" t="s">
        <v>53</v>
      </c>
    </row>
    <row r="34" spans="1:36" ht="15" customHeight="1" x14ac:dyDescent="0.35">
      <c r="A34">
        <v>7547676</v>
      </c>
      <c r="B34" t="s">
        <v>36</v>
      </c>
      <c r="C34" t="s">
        <v>37</v>
      </c>
      <c r="D34" s="6" t="s">
        <v>36</v>
      </c>
      <c r="E34" t="s">
        <v>174</v>
      </c>
      <c r="F34" t="s">
        <v>39</v>
      </c>
      <c r="G34" t="s">
        <v>40</v>
      </c>
      <c r="H34" t="s">
        <v>175</v>
      </c>
      <c r="I34" t="s">
        <v>42</v>
      </c>
      <c r="J34">
        <v>2</v>
      </c>
      <c r="K34" t="s">
        <v>43</v>
      </c>
      <c r="L34" t="s">
        <v>44</v>
      </c>
      <c r="M34" t="s">
        <v>45</v>
      </c>
      <c r="N34" s="7">
        <v>1</v>
      </c>
      <c r="O34" s="8">
        <v>45547.830879629626</v>
      </c>
      <c r="P34" s="9">
        <v>45549</v>
      </c>
      <c r="Q34" t="s">
        <v>89</v>
      </c>
      <c r="R34" t="s">
        <v>47</v>
      </c>
      <c r="S34" t="s">
        <v>48</v>
      </c>
      <c r="T34" t="s">
        <v>128</v>
      </c>
      <c r="U34" t="s">
        <v>176</v>
      </c>
      <c r="V34">
        <v>56000</v>
      </c>
      <c r="W34" t="s">
        <v>47</v>
      </c>
      <c r="X34" t="s">
        <v>177</v>
      </c>
      <c r="Y34" t="s">
        <v>52</v>
      </c>
      <c r="Z34" s="10">
        <f>IF(N34&lt;=1,9,9+0.8*ROUNDUP(N34-1,0))</f>
        <v>9</v>
      </c>
      <c r="AA34" s="11">
        <v>-2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1"/>
        <v>0.42</v>
      </c>
      <c r="AG34" s="11">
        <f t="shared" si="2"/>
        <v>7.42</v>
      </c>
      <c r="AH34" s="11">
        <v>0</v>
      </c>
      <c r="AI34" s="11">
        <f t="shared" si="3"/>
        <v>7.42</v>
      </c>
      <c r="AJ34" t="s">
        <v>53</v>
      </c>
    </row>
    <row r="35" spans="1:36" ht="15" customHeight="1" x14ac:dyDescent="0.35">
      <c r="A35">
        <v>7547676</v>
      </c>
      <c r="B35" t="s">
        <v>36</v>
      </c>
      <c r="C35" t="s">
        <v>37</v>
      </c>
      <c r="D35" s="6" t="s">
        <v>36</v>
      </c>
      <c r="E35" t="s">
        <v>178</v>
      </c>
      <c r="F35" t="s">
        <v>39</v>
      </c>
      <c r="G35" t="s">
        <v>40</v>
      </c>
      <c r="H35" t="s">
        <v>179</v>
      </c>
      <c r="I35" t="s">
        <v>42</v>
      </c>
      <c r="J35">
        <v>2</v>
      </c>
      <c r="K35" t="s">
        <v>43</v>
      </c>
      <c r="L35" t="s">
        <v>44</v>
      </c>
      <c r="M35" t="s">
        <v>45</v>
      </c>
      <c r="N35" s="7">
        <v>1</v>
      </c>
      <c r="O35" s="8">
        <v>45545.840914351851</v>
      </c>
      <c r="P35" s="9">
        <v>45549</v>
      </c>
      <c r="Q35" t="s">
        <v>46</v>
      </c>
      <c r="R35" t="s">
        <v>47</v>
      </c>
      <c r="S35" t="s">
        <v>48</v>
      </c>
      <c r="T35" t="s">
        <v>66</v>
      </c>
      <c r="U35" t="s">
        <v>180</v>
      </c>
      <c r="V35">
        <v>81560</v>
      </c>
      <c r="W35" t="s">
        <v>47</v>
      </c>
      <c r="X35" t="s">
        <v>51</v>
      </c>
      <c r="Y35" t="s">
        <v>52</v>
      </c>
      <c r="Z35" s="10">
        <f t="shared" ref="Z35:Z40" si="8">IF(N35&lt;=1,9,9+0.8*ROUNDUP(N35-1,0))</f>
        <v>9</v>
      </c>
      <c r="AA35" s="11">
        <v>-2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1"/>
        <v>0.42</v>
      </c>
      <c r="AG35" s="11">
        <f t="shared" si="2"/>
        <v>7.42</v>
      </c>
      <c r="AH35" s="11">
        <v>0</v>
      </c>
      <c r="AI35" s="11">
        <f t="shared" si="3"/>
        <v>7.42</v>
      </c>
      <c r="AJ35" t="s">
        <v>53</v>
      </c>
    </row>
    <row r="36" spans="1:36" ht="15" customHeight="1" x14ac:dyDescent="0.35">
      <c r="A36">
        <v>7547676</v>
      </c>
      <c r="B36" t="s">
        <v>36</v>
      </c>
      <c r="C36" t="s">
        <v>37</v>
      </c>
      <c r="D36" s="6" t="s">
        <v>36</v>
      </c>
      <c r="E36" t="s">
        <v>181</v>
      </c>
      <c r="F36" t="s">
        <v>39</v>
      </c>
      <c r="G36" t="s">
        <v>40</v>
      </c>
      <c r="H36" t="s">
        <v>182</v>
      </c>
      <c r="I36" t="s">
        <v>42</v>
      </c>
      <c r="J36">
        <v>2</v>
      </c>
      <c r="K36" t="s">
        <v>43</v>
      </c>
      <c r="L36" t="s">
        <v>44</v>
      </c>
      <c r="M36" t="s">
        <v>45</v>
      </c>
      <c r="N36" s="7">
        <v>1</v>
      </c>
      <c r="O36" s="8">
        <v>45547.840601851851</v>
      </c>
      <c r="P36" s="9">
        <v>45550</v>
      </c>
      <c r="Q36" t="s">
        <v>89</v>
      </c>
      <c r="R36" t="s">
        <v>47</v>
      </c>
      <c r="S36" t="s">
        <v>48</v>
      </c>
      <c r="T36" t="s">
        <v>128</v>
      </c>
      <c r="U36" t="s">
        <v>183</v>
      </c>
      <c r="V36">
        <v>46100</v>
      </c>
      <c r="W36" t="s">
        <v>47</v>
      </c>
      <c r="X36" t="s">
        <v>184</v>
      </c>
      <c r="Y36" t="s">
        <v>52</v>
      </c>
      <c r="Z36" s="10">
        <f t="shared" si="8"/>
        <v>9</v>
      </c>
      <c r="AA36" s="11">
        <v>-2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1"/>
        <v>0.42</v>
      </c>
      <c r="AG36" s="11">
        <f t="shared" si="2"/>
        <v>7.42</v>
      </c>
      <c r="AH36" s="11">
        <v>0</v>
      </c>
      <c r="AI36" s="11">
        <f t="shared" si="3"/>
        <v>7.42</v>
      </c>
      <c r="AJ36" t="s">
        <v>53</v>
      </c>
    </row>
    <row r="37" spans="1:36" ht="15" customHeight="1" x14ac:dyDescent="0.35">
      <c r="A37">
        <v>7547676</v>
      </c>
      <c r="B37" t="s">
        <v>36</v>
      </c>
      <c r="C37" t="s">
        <v>37</v>
      </c>
      <c r="D37" s="6" t="s">
        <v>36</v>
      </c>
      <c r="E37" t="s">
        <v>185</v>
      </c>
      <c r="F37" t="s">
        <v>39</v>
      </c>
      <c r="G37" t="s">
        <v>40</v>
      </c>
      <c r="H37" t="s">
        <v>186</v>
      </c>
      <c r="I37" t="s">
        <v>42</v>
      </c>
      <c r="J37">
        <v>2</v>
      </c>
      <c r="K37" t="s">
        <v>43</v>
      </c>
      <c r="L37" t="s">
        <v>44</v>
      </c>
      <c r="M37" t="s">
        <v>45</v>
      </c>
      <c r="N37" s="7">
        <v>2</v>
      </c>
      <c r="O37" s="8">
        <v>45549.711701388886</v>
      </c>
      <c r="P37" s="9">
        <v>45550</v>
      </c>
      <c r="Q37" t="s">
        <v>46</v>
      </c>
      <c r="R37" t="s">
        <v>47</v>
      </c>
      <c r="S37" t="s">
        <v>48</v>
      </c>
      <c r="T37" t="s">
        <v>61</v>
      </c>
      <c r="U37" t="s">
        <v>187</v>
      </c>
      <c r="V37">
        <v>24000</v>
      </c>
      <c r="W37" t="s">
        <v>47</v>
      </c>
      <c r="X37" t="s">
        <v>188</v>
      </c>
      <c r="Y37" t="s">
        <v>52</v>
      </c>
      <c r="Z37" s="10">
        <f t="shared" si="8"/>
        <v>9.8000000000000007</v>
      </c>
      <c r="AA37" s="11">
        <v>-2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1"/>
        <v>0.46800000000000003</v>
      </c>
      <c r="AG37" s="11">
        <f t="shared" si="2"/>
        <v>8.2680000000000007</v>
      </c>
      <c r="AH37" s="11">
        <v>0</v>
      </c>
      <c r="AI37" s="11">
        <f t="shared" si="3"/>
        <v>8.2680000000000007</v>
      </c>
      <c r="AJ37" t="s">
        <v>53</v>
      </c>
    </row>
    <row r="38" spans="1:36" ht="15" customHeight="1" x14ac:dyDescent="0.35">
      <c r="A38">
        <v>7547676</v>
      </c>
      <c r="B38" t="s">
        <v>36</v>
      </c>
      <c r="C38" t="s">
        <v>37</v>
      </c>
      <c r="D38" s="6" t="s">
        <v>36</v>
      </c>
      <c r="E38" t="s">
        <v>189</v>
      </c>
      <c r="F38" t="s">
        <v>39</v>
      </c>
      <c r="G38" t="s">
        <v>40</v>
      </c>
      <c r="H38" t="s">
        <v>190</v>
      </c>
      <c r="I38" t="s">
        <v>42</v>
      </c>
      <c r="J38">
        <v>2</v>
      </c>
      <c r="K38" t="s">
        <v>43</v>
      </c>
      <c r="L38" t="s">
        <v>44</v>
      </c>
      <c r="M38" t="s">
        <v>45</v>
      </c>
      <c r="N38" s="7">
        <v>2</v>
      </c>
      <c r="O38" s="8">
        <v>45549.447511574072</v>
      </c>
      <c r="P38" s="9">
        <v>45550</v>
      </c>
      <c r="Q38" t="s">
        <v>46</v>
      </c>
      <c r="R38" t="s">
        <v>47</v>
      </c>
      <c r="S38" t="s">
        <v>48</v>
      </c>
      <c r="T38" t="s">
        <v>123</v>
      </c>
      <c r="U38" t="s">
        <v>191</v>
      </c>
      <c r="V38">
        <v>41050</v>
      </c>
      <c r="W38" t="s">
        <v>47</v>
      </c>
      <c r="X38" t="s">
        <v>192</v>
      </c>
      <c r="Y38" t="s">
        <v>52</v>
      </c>
      <c r="Z38" s="10">
        <f t="shared" si="8"/>
        <v>9.8000000000000007</v>
      </c>
      <c r="AA38" s="11">
        <v>-2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1"/>
        <v>0.46800000000000003</v>
      </c>
      <c r="AG38" s="11">
        <f t="shared" si="2"/>
        <v>8.2680000000000007</v>
      </c>
      <c r="AH38" s="11">
        <v>0</v>
      </c>
      <c r="AI38" s="11">
        <f t="shared" si="3"/>
        <v>8.2680000000000007</v>
      </c>
      <c r="AJ38" t="s">
        <v>53</v>
      </c>
    </row>
    <row r="39" spans="1:36" ht="15" customHeight="1" x14ac:dyDescent="0.35">
      <c r="A39">
        <v>7547676</v>
      </c>
      <c r="B39" t="s">
        <v>36</v>
      </c>
      <c r="C39" t="s">
        <v>37</v>
      </c>
      <c r="D39" s="6" t="s">
        <v>36</v>
      </c>
      <c r="E39" t="s">
        <v>193</v>
      </c>
      <c r="F39" t="s">
        <v>39</v>
      </c>
      <c r="G39" t="s">
        <v>40</v>
      </c>
      <c r="H39" t="s">
        <v>194</v>
      </c>
      <c r="I39" t="s">
        <v>42</v>
      </c>
      <c r="J39">
        <v>2</v>
      </c>
      <c r="K39" t="s">
        <v>43</v>
      </c>
      <c r="L39" t="s">
        <v>44</v>
      </c>
      <c r="M39" t="s">
        <v>45</v>
      </c>
      <c r="N39" s="7">
        <v>1</v>
      </c>
      <c r="O39" s="8">
        <v>45547.830891203703</v>
      </c>
      <c r="P39" s="9">
        <v>45550</v>
      </c>
      <c r="Q39" t="s">
        <v>89</v>
      </c>
      <c r="R39" t="s">
        <v>47</v>
      </c>
      <c r="S39" t="s">
        <v>48</v>
      </c>
      <c r="T39" t="s">
        <v>56</v>
      </c>
      <c r="U39" t="s">
        <v>195</v>
      </c>
      <c r="V39">
        <v>6300</v>
      </c>
      <c r="W39" t="s">
        <v>47</v>
      </c>
      <c r="X39" t="s">
        <v>196</v>
      </c>
      <c r="Y39" t="s">
        <v>52</v>
      </c>
      <c r="Z39" s="10">
        <f t="shared" si="8"/>
        <v>9</v>
      </c>
      <c r="AA39" s="11">
        <v>-2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1"/>
        <v>0.42</v>
      </c>
      <c r="AG39" s="11">
        <f t="shared" si="2"/>
        <v>7.42</v>
      </c>
      <c r="AH39" s="11">
        <v>0</v>
      </c>
      <c r="AI39" s="11">
        <f t="shared" si="3"/>
        <v>7.42</v>
      </c>
      <c r="AJ39" t="s">
        <v>53</v>
      </c>
    </row>
    <row r="40" spans="1:36" ht="15" customHeight="1" x14ac:dyDescent="0.35">
      <c r="A40">
        <v>7547676</v>
      </c>
      <c r="B40" t="s">
        <v>36</v>
      </c>
      <c r="C40" t="s">
        <v>37</v>
      </c>
      <c r="D40" s="6" t="s">
        <v>36</v>
      </c>
      <c r="E40" t="s">
        <v>197</v>
      </c>
      <c r="F40" t="s">
        <v>39</v>
      </c>
      <c r="G40" t="s">
        <v>40</v>
      </c>
      <c r="H40" t="s">
        <v>198</v>
      </c>
      <c r="I40" t="s">
        <v>42</v>
      </c>
      <c r="J40">
        <v>2</v>
      </c>
      <c r="K40" t="s">
        <v>43</v>
      </c>
      <c r="L40" t="s">
        <v>44</v>
      </c>
      <c r="M40" t="s">
        <v>45</v>
      </c>
      <c r="N40" s="7">
        <v>1</v>
      </c>
      <c r="O40" s="8">
        <v>45547.852858796294</v>
      </c>
      <c r="P40" s="9">
        <v>45550</v>
      </c>
      <c r="Q40" t="s">
        <v>89</v>
      </c>
      <c r="R40" t="s">
        <v>47</v>
      </c>
      <c r="S40" t="s">
        <v>48</v>
      </c>
      <c r="T40" t="s">
        <v>66</v>
      </c>
      <c r="U40" t="s">
        <v>199</v>
      </c>
      <c r="V40">
        <v>81200</v>
      </c>
      <c r="W40" t="s">
        <v>47</v>
      </c>
      <c r="X40" t="s">
        <v>200</v>
      </c>
      <c r="Y40" t="s">
        <v>52</v>
      </c>
      <c r="Z40" s="10">
        <f t="shared" si="8"/>
        <v>9</v>
      </c>
      <c r="AA40" s="11">
        <v>-2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1"/>
        <v>0.42</v>
      </c>
      <c r="AG40" s="11">
        <f t="shared" si="2"/>
        <v>7.42</v>
      </c>
      <c r="AH40" s="11">
        <v>0</v>
      </c>
      <c r="AI40" s="11">
        <f t="shared" si="3"/>
        <v>7.42</v>
      </c>
      <c r="AJ40" t="s">
        <v>53</v>
      </c>
    </row>
    <row r="41" spans="1:36" ht="15" customHeight="1" x14ac:dyDescent="0.35">
      <c r="A41">
        <v>7547676</v>
      </c>
      <c r="B41" t="s">
        <v>36</v>
      </c>
      <c r="C41" t="s">
        <v>37</v>
      </c>
      <c r="D41" s="6" t="s">
        <v>36</v>
      </c>
      <c r="E41" t="s">
        <v>201</v>
      </c>
      <c r="F41" t="s">
        <v>39</v>
      </c>
      <c r="G41" t="s">
        <v>40</v>
      </c>
      <c r="H41" t="s">
        <v>202</v>
      </c>
      <c r="I41" t="s">
        <v>42</v>
      </c>
      <c r="J41">
        <v>2</v>
      </c>
      <c r="K41" t="s">
        <v>43</v>
      </c>
      <c r="L41" t="s">
        <v>44</v>
      </c>
      <c r="M41" t="s">
        <v>45</v>
      </c>
      <c r="N41" s="7">
        <v>1</v>
      </c>
      <c r="O41" s="8">
        <v>45547.852858796294</v>
      </c>
      <c r="P41" s="9">
        <v>45550</v>
      </c>
      <c r="Q41" t="s">
        <v>89</v>
      </c>
      <c r="R41" t="s">
        <v>47</v>
      </c>
      <c r="S41" t="s">
        <v>48</v>
      </c>
      <c r="T41" t="s">
        <v>56</v>
      </c>
      <c r="U41" t="s">
        <v>203</v>
      </c>
      <c r="V41">
        <v>6000</v>
      </c>
      <c r="W41" t="s">
        <v>47</v>
      </c>
      <c r="X41" t="s">
        <v>204</v>
      </c>
      <c r="Y41" t="s">
        <v>52</v>
      </c>
      <c r="Z41" s="10">
        <f>IF(N41&lt;=1,9,9+0.8*ROUNDUP(N41-1,0))</f>
        <v>9</v>
      </c>
      <c r="AA41" s="11">
        <v>-2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1"/>
        <v>0.42</v>
      </c>
      <c r="AG41" s="11">
        <f t="shared" si="2"/>
        <v>7.42</v>
      </c>
      <c r="AH41" s="11">
        <v>0</v>
      </c>
      <c r="AI41" s="11">
        <f t="shared" si="3"/>
        <v>7.42</v>
      </c>
      <c r="AJ41" t="s">
        <v>53</v>
      </c>
    </row>
    <row r="42" spans="1:36" ht="15" customHeight="1" x14ac:dyDescent="0.35">
      <c r="A42">
        <v>7547676</v>
      </c>
      <c r="B42" t="s">
        <v>36</v>
      </c>
      <c r="C42" t="s">
        <v>37</v>
      </c>
      <c r="D42" s="6" t="s">
        <v>36</v>
      </c>
      <c r="E42" t="s">
        <v>205</v>
      </c>
      <c r="F42" t="s">
        <v>39</v>
      </c>
      <c r="G42" t="s">
        <v>40</v>
      </c>
      <c r="H42" t="s">
        <v>206</v>
      </c>
      <c r="I42" t="s">
        <v>42</v>
      </c>
      <c r="J42">
        <v>2</v>
      </c>
      <c r="K42" t="s">
        <v>43</v>
      </c>
      <c r="L42" t="s">
        <v>44</v>
      </c>
      <c r="M42" t="s">
        <v>45</v>
      </c>
      <c r="N42" s="7">
        <v>1</v>
      </c>
      <c r="O42" s="8">
        <v>45548.661782407406</v>
      </c>
      <c r="P42" s="9">
        <v>45550</v>
      </c>
      <c r="Q42" t="s">
        <v>46</v>
      </c>
      <c r="R42" t="s">
        <v>47</v>
      </c>
      <c r="S42" t="s">
        <v>48</v>
      </c>
      <c r="T42" t="s">
        <v>61</v>
      </c>
      <c r="U42" t="s">
        <v>207</v>
      </c>
      <c r="V42">
        <v>20000</v>
      </c>
      <c r="W42" t="s">
        <v>47</v>
      </c>
      <c r="X42" t="s">
        <v>63</v>
      </c>
      <c r="Y42" t="s">
        <v>52</v>
      </c>
      <c r="Z42" s="10">
        <f t="shared" ref="Z42:Z56" si="9">IF(N42&lt;=1,9,9+0.8*ROUNDUP(N42-1,0))</f>
        <v>9</v>
      </c>
      <c r="AA42" s="11">
        <v>-2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1"/>
        <v>0.42</v>
      </c>
      <c r="AG42" s="11">
        <f t="shared" si="2"/>
        <v>7.42</v>
      </c>
      <c r="AH42" s="11">
        <v>0</v>
      </c>
      <c r="AI42" s="11">
        <f t="shared" si="3"/>
        <v>7.42</v>
      </c>
      <c r="AJ42" t="s">
        <v>53</v>
      </c>
    </row>
    <row r="43" spans="1:36" ht="15" customHeight="1" x14ac:dyDescent="0.35">
      <c r="A43">
        <v>7547676</v>
      </c>
      <c r="B43" t="s">
        <v>36</v>
      </c>
      <c r="C43" t="s">
        <v>37</v>
      </c>
      <c r="D43" s="6" t="s">
        <v>36</v>
      </c>
      <c r="E43" t="s">
        <v>208</v>
      </c>
      <c r="F43" t="s">
        <v>39</v>
      </c>
      <c r="G43" t="s">
        <v>40</v>
      </c>
      <c r="H43" t="s">
        <v>209</v>
      </c>
      <c r="I43" t="s">
        <v>42</v>
      </c>
      <c r="J43">
        <v>2</v>
      </c>
      <c r="K43" t="s">
        <v>43</v>
      </c>
      <c r="L43" t="s">
        <v>44</v>
      </c>
      <c r="M43" t="s">
        <v>45</v>
      </c>
      <c r="N43" s="7">
        <v>1</v>
      </c>
      <c r="O43" s="8">
        <v>45548.755833333336</v>
      </c>
      <c r="P43" s="9">
        <v>45550</v>
      </c>
      <c r="Q43" t="s">
        <v>46</v>
      </c>
      <c r="R43" t="s">
        <v>47</v>
      </c>
      <c r="S43" t="s">
        <v>48</v>
      </c>
      <c r="T43" t="s">
        <v>210</v>
      </c>
      <c r="U43" t="s">
        <v>211</v>
      </c>
      <c r="V43">
        <v>71010</v>
      </c>
      <c r="W43" t="s">
        <v>47</v>
      </c>
      <c r="X43" t="s">
        <v>212</v>
      </c>
      <c r="Y43" t="s">
        <v>52</v>
      </c>
      <c r="Z43" s="10">
        <f t="shared" si="9"/>
        <v>9</v>
      </c>
      <c r="AA43" s="11">
        <v>-2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1"/>
        <v>0.42</v>
      </c>
      <c r="AG43" s="11">
        <f t="shared" si="2"/>
        <v>7.42</v>
      </c>
      <c r="AH43" s="11">
        <v>0</v>
      </c>
      <c r="AI43" s="11">
        <f t="shared" si="3"/>
        <v>7.42</v>
      </c>
      <c r="AJ43" t="s">
        <v>53</v>
      </c>
    </row>
    <row r="44" spans="1:36" ht="15" customHeight="1" x14ac:dyDescent="0.35">
      <c r="A44">
        <v>7547676</v>
      </c>
      <c r="B44" t="s">
        <v>36</v>
      </c>
      <c r="C44" t="s">
        <v>37</v>
      </c>
      <c r="D44" s="6" t="s">
        <v>36</v>
      </c>
      <c r="E44" t="s">
        <v>213</v>
      </c>
      <c r="F44" t="s">
        <v>39</v>
      </c>
      <c r="G44" t="s">
        <v>40</v>
      </c>
      <c r="H44" t="s">
        <v>147</v>
      </c>
      <c r="I44" t="s">
        <v>42</v>
      </c>
      <c r="J44">
        <v>2</v>
      </c>
      <c r="K44" t="s">
        <v>43</v>
      </c>
      <c r="L44" t="s">
        <v>44</v>
      </c>
      <c r="M44" t="s">
        <v>45</v>
      </c>
      <c r="N44" s="7">
        <v>4</v>
      </c>
      <c r="O44" s="8">
        <v>45550.616944444446</v>
      </c>
      <c r="P44" s="9">
        <v>45552</v>
      </c>
      <c r="Q44" t="s">
        <v>46</v>
      </c>
      <c r="R44" t="s">
        <v>47</v>
      </c>
      <c r="S44" t="s">
        <v>48</v>
      </c>
      <c r="T44" t="s">
        <v>123</v>
      </c>
      <c r="U44" t="s">
        <v>148</v>
      </c>
      <c r="V44">
        <v>40000</v>
      </c>
      <c r="W44" t="s">
        <v>47</v>
      </c>
      <c r="X44" t="s">
        <v>149</v>
      </c>
      <c r="Y44" t="s">
        <v>52</v>
      </c>
      <c r="Z44" s="10">
        <f t="shared" si="9"/>
        <v>11.4</v>
      </c>
      <c r="AA44" s="11">
        <v>-2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1"/>
        <v>0.56399999999999995</v>
      </c>
      <c r="AG44" s="11">
        <f t="shared" si="2"/>
        <v>9.9640000000000004</v>
      </c>
      <c r="AH44" s="11">
        <v>0</v>
      </c>
      <c r="AI44" s="11">
        <f t="shared" si="3"/>
        <v>9.9640000000000004</v>
      </c>
      <c r="AJ44" t="s">
        <v>53</v>
      </c>
    </row>
    <row r="45" spans="1:36" ht="15" customHeight="1" x14ac:dyDescent="0.35">
      <c r="A45">
        <v>7547676</v>
      </c>
      <c r="B45" t="s">
        <v>36</v>
      </c>
      <c r="C45" t="s">
        <v>37</v>
      </c>
      <c r="D45" s="6" t="s">
        <v>36</v>
      </c>
      <c r="E45" t="s">
        <v>214</v>
      </c>
      <c r="F45" t="s">
        <v>39</v>
      </c>
      <c r="G45" t="s">
        <v>40</v>
      </c>
      <c r="H45" t="s">
        <v>215</v>
      </c>
      <c r="I45" t="s">
        <v>42</v>
      </c>
      <c r="J45">
        <v>2</v>
      </c>
      <c r="K45" t="s">
        <v>43</v>
      </c>
      <c r="L45" t="s">
        <v>44</v>
      </c>
      <c r="M45" t="s">
        <v>45</v>
      </c>
      <c r="N45" s="7">
        <v>1</v>
      </c>
      <c r="O45" s="8">
        <v>45548.755833333336</v>
      </c>
      <c r="P45" s="9">
        <v>45552</v>
      </c>
      <c r="Q45" t="s">
        <v>46</v>
      </c>
      <c r="R45" t="s">
        <v>47</v>
      </c>
      <c r="S45" t="s">
        <v>48</v>
      </c>
      <c r="T45" t="s">
        <v>66</v>
      </c>
      <c r="U45" t="s">
        <v>216</v>
      </c>
      <c r="V45">
        <v>80200</v>
      </c>
      <c r="W45" t="s">
        <v>47</v>
      </c>
      <c r="X45" t="s">
        <v>217</v>
      </c>
      <c r="Y45" t="s">
        <v>52</v>
      </c>
      <c r="Z45" s="10">
        <f t="shared" si="9"/>
        <v>9</v>
      </c>
      <c r="AA45" s="11">
        <v>-2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1"/>
        <v>0.42</v>
      </c>
      <c r="AG45" s="11">
        <f t="shared" si="2"/>
        <v>7.42</v>
      </c>
      <c r="AH45" s="11">
        <v>0</v>
      </c>
      <c r="AI45" s="11">
        <f t="shared" si="3"/>
        <v>7.42</v>
      </c>
      <c r="AJ45" t="s">
        <v>53</v>
      </c>
    </row>
    <row r="46" spans="1:36" ht="15" customHeight="1" x14ac:dyDescent="0.35">
      <c r="A46">
        <v>7547676</v>
      </c>
      <c r="B46" t="s">
        <v>36</v>
      </c>
      <c r="C46" t="s">
        <v>37</v>
      </c>
      <c r="D46" s="6" t="s">
        <v>36</v>
      </c>
      <c r="E46" t="s">
        <v>218</v>
      </c>
      <c r="F46" t="s">
        <v>39</v>
      </c>
      <c r="G46" t="s">
        <v>40</v>
      </c>
      <c r="H46" t="s">
        <v>219</v>
      </c>
      <c r="I46" t="s">
        <v>42</v>
      </c>
      <c r="J46">
        <v>2</v>
      </c>
      <c r="K46" t="s">
        <v>43</v>
      </c>
      <c r="L46" t="s">
        <v>44</v>
      </c>
      <c r="M46" t="s">
        <v>45</v>
      </c>
      <c r="N46" s="7">
        <v>1</v>
      </c>
      <c r="O46" s="8">
        <v>45550.621666666666</v>
      </c>
      <c r="P46" s="9">
        <v>45552</v>
      </c>
      <c r="Q46" t="s">
        <v>46</v>
      </c>
      <c r="R46" t="s">
        <v>47</v>
      </c>
      <c r="S46" t="s">
        <v>48</v>
      </c>
      <c r="T46" t="s">
        <v>66</v>
      </c>
      <c r="U46" t="s">
        <v>220</v>
      </c>
      <c r="V46">
        <v>80100</v>
      </c>
      <c r="W46" t="s">
        <v>47</v>
      </c>
      <c r="X46" t="s">
        <v>51</v>
      </c>
      <c r="Y46" t="s">
        <v>52</v>
      </c>
      <c r="Z46" s="10">
        <f t="shared" si="9"/>
        <v>9</v>
      </c>
      <c r="AA46" s="11">
        <v>-2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1"/>
        <v>0.42</v>
      </c>
      <c r="AG46" s="11">
        <f t="shared" si="2"/>
        <v>7.42</v>
      </c>
      <c r="AH46" s="11">
        <v>0</v>
      </c>
      <c r="AI46" s="11">
        <f t="shared" si="3"/>
        <v>7.42</v>
      </c>
      <c r="AJ46" t="s">
        <v>53</v>
      </c>
    </row>
    <row r="47" spans="1:36" ht="15" customHeight="1" x14ac:dyDescent="0.35">
      <c r="A47">
        <v>7547676</v>
      </c>
      <c r="B47" t="s">
        <v>36</v>
      </c>
      <c r="C47" t="s">
        <v>37</v>
      </c>
      <c r="D47" s="6" t="s">
        <v>36</v>
      </c>
      <c r="E47" t="s">
        <v>221</v>
      </c>
      <c r="F47" t="s">
        <v>39</v>
      </c>
      <c r="G47" t="s">
        <v>40</v>
      </c>
      <c r="H47" t="s">
        <v>222</v>
      </c>
      <c r="I47" t="s">
        <v>42</v>
      </c>
      <c r="J47">
        <v>2</v>
      </c>
      <c r="K47" t="s">
        <v>43</v>
      </c>
      <c r="L47" t="s">
        <v>44</v>
      </c>
      <c r="M47" t="s">
        <v>45</v>
      </c>
      <c r="N47" s="7">
        <v>1</v>
      </c>
      <c r="O47" s="8">
        <v>45550.734490740739</v>
      </c>
      <c r="P47" s="9">
        <v>45552</v>
      </c>
      <c r="Q47" t="s">
        <v>46</v>
      </c>
      <c r="R47" t="s">
        <v>47</v>
      </c>
      <c r="S47" t="s">
        <v>48</v>
      </c>
      <c r="T47" t="s">
        <v>210</v>
      </c>
      <c r="U47" t="s">
        <v>223</v>
      </c>
      <c r="V47">
        <v>71800</v>
      </c>
      <c r="W47" t="s">
        <v>47</v>
      </c>
      <c r="X47" t="s">
        <v>51</v>
      </c>
      <c r="Y47" t="s">
        <v>52</v>
      </c>
      <c r="Z47" s="10">
        <f t="shared" si="9"/>
        <v>9</v>
      </c>
      <c r="AA47" s="11">
        <v>-2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1"/>
        <v>0.42</v>
      </c>
      <c r="AG47" s="11">
        <f t="shared" si="2"/>
        <v>7.42</v>
      </c>
      <c r="AH47" s="11">
        <v>0</v>
      </c>
      <c r="AI47" s="11">
        <f t="shared" si="3"/>
        <v>7.42</v>
      </c>
      <c r="AJ47" t="s">
        <v>53</v>
      </c>
    </row>
    <row r="48" spans="1:36" ht="15" customHeight="1" x14ac:dyDescent="0.35">
      <c r="A48">
        <v>7547676</v>
      </c>
      <c r="B48" t="s">
        <v>36</v>
      </c>
      <c r="C48" t="s">
        <v>37</v>
      </c>
      <c r="D48" s="6" t="s">
        <v>36</v>
      </c>
      <c r="E48" t="s">
        <v>224</v>
      </c>
      <c r="F48" t="s">
        <v>39</v>
      </c>
      <c r="G48" t="s">
        <v>40</v>
      </c>
      <c r="H48" t="s">
        <v>225</v>
      </c>
      <c r="I48" t="s">
        <v>42</v>
      </c>
      <c r="J48">
        <v>2</v>
      </c>
      <c r="K48" t="s">
        <v>43</v>
      </c>
      <c r="L48" t="s">
        <v>44</v>
      </c>
      <c r="M48" t="s">
        <v>45</v>
      </c>
      <c r="N48" s="7">
        <v>1</v>
      </c>
      <c r="O48" s="8">
        <v>45550.598981481482</v>
      </c>
      <c r="P48" s="9">
        <v>45552</v>
      </c>
      <c r="Q48" t="s">
        <v>46</v>
      </c>
      <c r="R48" t="s">
        <v>47</v>
      </c>
      <c r="S48" t="s">
        <v>48</v>
      </c>
      <c r="T48" t="s">
        <v>56</v>
      </c>
      <c r="U48" t="s">
        <v>226</v>
      </c>
      <c r="V48">
        <v>6600</v>
      </c>
      <c r="W48" t="s">
        <v>47</v>
      </c>
      <c r="X48" t="s">
        <v>227</v>
      </c>
      <c r="Y48" t="s">
        <v>52</v>
      </c>
      <c r="Z48" s="10">
        <f t="shared" si="9"/>
        <v>9</v>
      </c>
      <c r="AA48" s="11">
        <v>-2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1"/>
        <v>0.42</v>
      </c>
      <c r="AG48" s="11">
        <f t="shared" si="2"/>
        <v>7.42</v>
      </c>
      <c r="AH48" s="11">
        <v>0</v>
      </c>
      <c r="AI48" s="11">
        <f t="shared" si="3"/>
        <v>7.42</v>
      </c>
      <c r="AJ48" t="s">
        <v>53</v>
      </c>
    </row>
    <row r="49" spans="1:36" ht="15" customHeight="1" x14ac:dyDescent="0.35">
      <c r="A49">
        <v>7547676</v>
      </c>
      <c r="B49" t="s">
        <v>36</v>
      </c>
      <c r="C49" t="s">
        <v>37</v>
      </c>
      <c r="D49" s="6" t="s">
        <v>36</v>
      </c>
      <c r="E49" t="s">
        <v>228</v>
      </c>
      <c r="F49" t="s">
        <v>39</v>
      </c>
      <c r="G49" t="s">
        <v>40</v>
      </c>
      <c r="H49" t="s">
        <v>229</v>
      </c>
      <c r="I49" t="s">
        <v>42</v>
      </c>
      <c r="J49">
        <v>2</v>
      </c>
      <c r="K49" t="s">
        <v>43</v>
      </c>
      <c r="L49" t="s">
        <v>44</v>
      </c>
      <c r="M49" t="s">
        <v>45</v>
      </c>
      <c r="N49" s="7">
        <v>1</v>
      </c>
      <c r="O49" s="8">
        <v>45550.602812500001</v>
      </c>
      <c r="P49" s="9">
        <v>45552</v>
      </c>
      <c r="Q49" t="s">
        <v>46</v>
      </c>
      <c r="R49" t="s">
        <v>47</v>
      </c>
      <c r="S49" t="s">
        <v>48</v>
      </c>
      <c r="T49" t="s">
        <v>123</v>
      </c>
      <c r="U49" t="s">
        <v>230</v>
      </c>
      <c r="V49">
        <v>43000</v>
      </c>
      <c r="W49" t="s">
        <v>47</v>
      </c>
      <c r="X49" t="s">
        <v>231</v>
      </c>
      <c r="Y49" t="s">
        <v>52</v>
      </c>
      <c r="Z49" s="10">
        <f t="shared" si="9"/>
        <v>9</v>
      </c>
      <c r="AA49" s="11">
        <v>-2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1"/>
        <v>0.42</v>
      </c>
      <c r="AG49" s="11">
        <f t="shared" si="2"/>
        <v>7.42</v>
      </c>
      <c r="AH49" s="11">
        <v>0</v>
      </c>
      <c r="AI49" s="11">
        <f t="shared" si="3"/>
        <v>7.42</v>
      </c>
      <c r="AJ49" t="s">
        <v>53</v>
      </c>
    </row>
    <row r="50" spans="1:36" ht="15" customHeight="1" x14ac:dyDescent="0.35">
      <c r="A50">
        <v>7547676</v>
      </c>
      <c r="B50" t="s">
        <v>36</v>
      </c>
      <c r="C50" t="s">
        <v>37</v>
      </c>
      <c r="D50" s="6" t="s">
        <v>36</v>
      </c>
      <c r="E50" t="s">
        <v>232</v>
      </c>
      <c r="F50" t="s">
        <v>39</v>
      </c>
      <c r="G50" t="s">
        <v>40</v>
      </c>
      <c r="H50" t="s">
        <v>233</v>
      </c>
      <c r="I50" t="s">
        <v>42</v>
      </c>
      <c r="J50">
        <v>2</v>
      </c>
      <c r="K50" t="s">
        <v>43</v>
      </c>
      <c r="L50" t="s">
        <v>44</v>
      </c>
      <c r="M50" t="s">
        <v>45</v>
      </c>
      <c r="N50" s="7">
        <v>1</v>
      </c>
      <c r="O50" s="8">
        <v>45549.479085648149</v>
      </c>
      <c r="P50" s="9">
        <v>45552</v>
      </c>
      <c r="Q50" t="s">
        <v>46</v>
      </c>
      <c r="R50" t="s">
        <v>47</v>
      </c>
      <c r="S50" t="s">
        <v>48</v>
      </c>
      <c r="T50" t="s">
        <v>123</v>
      </c>
      <c r="U50" t="s">
        <v>234</v>
      </c>
      <c r="V50">
        <v>42500</v>
      </c>
      <c r="W50" t="s">
        <v>47</v>
      </c>
      <c r="X50" t="s">
        <v>235</v>
      </c>
      <c r="Y50" t="s">
        <v>52</v>
      </c>
      <c r="Z50" s="10">
        <f t="shared" si="9"/>
        <v>9</v>
      </c>
      <c r="AA50" s="11">
        <v>-2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1"/>
        <v>0.42</v>
      </c>
      <c r="AG50" s="11">
        <f t="shared" si="2"/>
        <v>7.42</v>
      </c>
      <c r="AH50" s="11">
        <v>0</v>
      </c>
      <c r="AI50" s="11">
        <f t="shared" si="3"/>
        <v>7.42</v>
      </c>
      <c r="AJ50" t="s">
        <v>53</v>
      </c>
    </row>
    <row r="51" spans="1:36" ht="15" customHeight="1" x14ac:dyDescent="0.35">
      <c r="A51">
        <v>7547676</v>
      </c>
      <c r="B51" t="s">
        <v>36</v>
      </c>
      <c r="C51" t="s">
        <v>37</v>
      </c>
      <c r="D51" s="6" t="s">
        <v>36</v>
      </c>
      <c r="E51" t="s">
        <v>236</v>
      </c>
      <c r="F51" t="s">
        <v>39</v>
      </c>
      <c r="G51" t="s">
        <v>40</v>
      </c>
      <c r="H51" t="s">
        <v>237</v>
      </c>
      <c r="I51" t="s">
        <v>42</v>
      </c>
      <c r="J51">
        <v>2</v>
      </c>
      <c r="K51" t="s">
        <v>43</v>
      </c>
      <c r="L51" t="s">
        <v>44</v>
      </c>
      <c r="M51" t="s">
        <v>45</v>
      </c>
      <c r="N51" s="7">
        <v>1</v>
      </c>
      <c r="O51" s="8">
        <v>45548.755833333336</v>
      </c>
      <c r="P51" s="9">
        <v>45552</v>
      </c>
      <c r="Q51" t="s">
        <v>46</v>
      </c>
      <c r="R51" t="s">
        <v>47</v>
      </c>
      <c r="S51" t="s">
        <v>48</v>
      </c>
      <c r="T51" t="s">
        <v>123</v>
      </c>
      <c r="U51" t="s">
        <v>238</v>
      </c>
      <c r="V51">
        <v>35900</v>
      </c>
      <c r="W51" t="s">
        <v>47</v>
      </c>
      <c r="X51" t="s">
        <v>51</v>
      </c>
      <c r="Y51" t="s">
        <v>52</v>
      </c>
      <c r="Z51" s="10">
        <f t="shared" si="9"/>
        <v>9</v>
      </c>
      <c r="AA51" s="11">
        <v>-2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1"/>
        <v>0.42</v>
      </c>
      <c r="AG51" s="11">
        <f t="shared" si="2"/>
        <v>7.42</v>
      </c>
      <c r="AH51" s="11">
        <v>0</v>
      </c>
      <c r="AI51" s="11">
        <f t="shared" si="3"/>
        <v>7.42</v>
      </c>
      <c r="AJ51" t="s">
        <v>53</v>
      </c>
    </row>
    <row r="52" spans="1:36" ht="15" customHeight="1" x14ac:dyDescent="0.35">
      <c r="A52">
        <v>7547676</v>
      </c>
      <c r="B52" t="s">
        <v>36</v>
      </c>
      <c r="C52" t="s">
        <v>37</v>
      </c>
      <c r="D52" s="6" t="s">
        <v>36</v>
      </c>
      <c r="E52" t="s">
        <v>239</v>
      </c>
      <c r="F52" t="s">
        <v>39</v>
      </c>
      <c r="G52" t="s">
        <v>40</v>
      </c>
      <c r="H52" t="s">
        <v>240</v>
      </c>
      <c r="I52" t="s">
        <v>42</v>
      </c>
      <c r="J52">
        <v>2</v>
      </c>
      <c r="K52" t="s">
        <v>43</v>
      </c>
      <c r="L52" t="s">
        <v>44</v>
      </c>
      <c r="M52" t="s">
        <v>45</v>
      </c>
      <c r="N52" s="7">
        <v>1</v>
      </c>
      <c r="O52" s="8">
        <v>45549.709004629629</v>
      </c>
      <c r="P52" s="9">
        <v>45552</v>
      </c>
      <c r="Q52" t="s">
        <v>46</v>
      </c>
      <c r="R52" t="s">
        <v>47</v>
      </c>
      <c r="S52" t="s">
        <v>48</v>
      </c>
      <c r="T52" t="s">
        <v>241</v>
      </c>
      <c r="U52" t="s">
        <v>242</v>
      </c>
      <c r="V52">
        <v>2400</v>
      </c>
      <c r="W52" t="s">
        <v>47</v>
      </c>
      <c r="X52" t="s">
        <v>51</v>
      </c>
      <c r="Y52" t="s">
        <v>52</v>
      </c>
      <c r="Z52" s="10">
        <f t="shared" si="9"/>
        <v>9</v>
      </c>
      <c r="AA52" s="11">
        <v>-2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1"/>
        <v>0.42</v>
      </c>
      <c r="AG52" s="11">
        <f t="shared" si="2"/>
        <v>7.42</v>
      </c>
      <c r="AH52" s="11">
        <v>0</v>
      </c>
      <c r="AI52" s="11">
        <f t="shared" si="3"/>
        <v>7.42</v>
      </c>
      <c r="AJ52" t="s">
        <v>53</v>
      </c>
    </row>
    <row r="53" spans="1:36" ht="15" customHeight="1" x14ac:dyDescent="0.35">
      <c r="A53">
        <v>7547676</v>
      </c>
      <c r="B53" t="s">
        <v>36</v>
      </c>
      <c r="C53" t="s">
        <v>37</v>
      </c>
      <c r="D53" s="6" t="s">
        <v>36</v>
      </c>
      <c r="E53" t="s">
        <v>243</v>
      </c>
      <c r="F53" t="s">
        <v>39</v>
      </c>
      <c r="G53" t="s">
        <v>40</v>
      </c>
      <c r="H53" t="s">
        <v>240</v>
      </c>
      <c r="I53" t="s">
        <v>42</v>
      </c>
      <c r="J53">
        <v>2</v>
      </c>
      <c r="K53" t="s">
        <v>43</v>
      </c>
      <c r="L53" t="s">
        <v>44</v>
      </c>
      <c r="M53" t="s">
        <v>45</v>
      </c>
      <c r="N53" s="7">
        <v>4</v>
      </c>
      <c r="O53" s="8">
        <v>45549.709004629629</v>
      </c>
      <c r="P53" s="9">
        <v>45552</v>
      </c>
      <c r="Q53" t="s">
        <v>46</v>
      </c>
      <c r="R53" t="s">
        <v>47</v>
      </c>
      <c r="S53" t="s">
        <v>48</v>
      </c>
      <c r="T53" t="s">
        <v>241</v>
      </c>
      <c r="U53" t="s">
        <v>242</v>
      </c>
      <c r="V53">
        <v>2400</v>
      </c>
      <c r="W53" t="s">
        <v>47</v>
      </c>
      <c r="X53" t="s">
        <v>244</v>
      </c>
      <c r="Y53" t="s">
        <v>52</v>
      </c>
      <c r="Z53" s="10">
        <f t="shared" si="9"/>
        <v>11.4</v>
      </c>
      <c r="AA53" s="11">
        <v>-2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1"/>
        <v>0.56399999999999995</v>
      </c>
      <c r="AG53" s="11">
        <f t="shared" si="2"/>
        <v>9.9640000000000004</v>
      </c>
      <c r="AH53" s="11">
        <v>0</v>
      </c>
      <c r="AI53" s="11">
        <f t="shared" si="3"/>
        <v>9.9640000000000004</v>
      </c>
      <c r="AJ53" t="s">
        <v>53</v>
      </c>
    </row>
    <row r="54" spans="1:36" ht="15" customHeight="1" x14ac:dyDescent="0.35">
      <c r="A54">
        <v>7547676</v>
      </c>
      <c r="B54" t="s">
        <v>36</v>
      </c>
      <c r="C54" t="s">
        <v>37</v>
      </c>
      <c r="D54" s="6" t="s">
        <v>36</v>
      </c>
      <c r="E54" t="s">
        <v>245</v>
      </c>
      <c r="F54" t="s">
        <v>39</v>
      </c>
      <c r="G54" t="s">
        <v>40</v>
      </c>
      <c r="H54" t="s">
        <v>246</v>
      </c>
      <c r="I54" t="s">
        <v>42</v>
      </c>
      <c r="J54">
        <v>2</v>
      </c>
      <c r="K54" t="s">
        <v>43</v>
      </c>
      <c r="L54" t="s">
        <v>44</v>
      </c>
      <c r="M54" t="s">
        <v>45</v>
      </c>
      <c r="N54" s="7">
        <v>3</v>
      </c>
      <c r="O54" s="8">
        <v>45549.647465277776</v>
      </c>
      <c r="P54" s="9">
        <v>45552</v>
      </c>
      <c r="Q54" t="s">
        <v>46</v>
      </c>
      <c r="R54" t="s">
        <v>47</v>
      </c>
      <c r="S54" t="s">
        <v>48</v>
      </c>
      <c r="T54" t="s">
        <v>136</v>
      </c>
      <c r="U54" t="s">
        <v>247</v>
      </c>
      <c r="V54">
        <v>35500</v>
      </c>
      <c r="W54" t="s">
        <v>47</v>
      </c>
      <c r="X54" t="s">
        <v>51</v>
      </c>
      <c r="Y54" t="s">
        <v>52</v>
      </c>
      <c r="Z54" s="10">
        <f t="shared" si="9"/>
        <v>10.6</v>
      </c>
      <c r="AA54" s="11">
        <v>-2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1"/>
        <v>0.51600000000000001</v>
      </c>
      <c r="AG54" s="11">
        <f t="shared" si="2"/>
        <v>9.1159999999999997</v>
      </c>
      <c r="AH54" s="11">
        <v>0</v>
      </c>
      <c r="AI54" s="11">
        <f t="shared" si="3"/>
        <v>9.1159999999999997</v>
      </c>
      <c r="AJ54" t="s">
        <v>53</v>
      </c>
    </row>
    <row r="55" spans="1:36" ht="15" customHeight="1" x14ac:dyDescent="0.35">
      <c r="A55">
        <v>7547676</v>
      </c>
      <c r="B55" t="s">
        <v>36</v>
      </c>
      <c r="C55" t="s">
        <v>37</v>
      </c>
      <c r="D55" s="6" t="s">
        <v>36</v>
      </c>
      <c r="E55" t="s">
        <v>248</v>
      </c>
      <c r="F55" t="s">
        <v>39</v>
      </c>
      <c r="G55" t="s">
        <v>40</v>
      </c>
      <c r="H55" t="s">
        <v>240</v>
      </c>
      <c r="I55" t="s">
        <v>42</v>
      </c>
      <c r="J55">
        <v>2</v>
      </c>
      <c r="K55" t="s">
        <v>43</v>
      </c>
      <c r="L55" t="s">
        <v>44</v>
      </c>
      <c r="M55" t="s">
        <v>45</v>
      </c>
      <c r="N55" s="7">
        <v>6</v>
      </c>
      <c r="O55" s="8">
        <v>45549.709004629629</v>
      </c>
      <c r="P55" s="9">
        <v>45552</v>
      </c>
      <c r="Q55" t="s">
        <v>46</v>
      </c>
      <c r="R55" t="s">
        <v>47</v>
      </c>
      <c r="S55" t="s">
        <v>48</v>
      </c>
      <c r="T55" t="s">
        <v>241</v>
      </c>
      <c r="U55" t="s">
        <v>242</v>
      </c>
      <c r="V55">
        <v>2400</v>
      </c>
      <c r="W55" t="s">
        <v>47</v>
      </c>
      <c r="X55" t="s">
        <v>244</v>
      </c>
      <c r="Y55" t="s">
        <v>52</v>
      </c>
      <c r="Z55" s="10">
        <f t="shared" si="9"/>
        <v>13</v>
      </c>
      <c r="AA55" s="11">
        <v>-2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1"/>
        <v>0.65999999999999992</v>
      </c>
      <c r="AG55" s="11">
        <f t="shared" si="2"/>
        <v>11.66</v>
      </c>
      <c r="AH55" s="11">
        <v>0</v>
      </c>
      <c r="AI55" s="11">
        <f t="shared" si="3"/>
        <v>11.66</v>
      </c>
      <c r="AJ55" t="s">
        <v>53</v>
      </c>
    </row>
    <row r="56" spans="1:36" ht="15" customHeight="1" x14ac:dyDescent="0.35">
      <c r="A56">
        <v>7547676</v>
      </c>
      <c r="B56" t="s">
        <v>36</v>
      </c>
      <c r="C56" t="s">
        <v>37</v>
      </c>
      <c r="D56" s="6" t="s">
        <v>36</v>
      </c>
      <c r="E56" t="s">
        <v>249</v>
      </c>
      <c r="F56" t="s">
        <v>39</v>
      </c>
      <c r="G56" t="s">
        <v>40</v>
      </c>
      <c r="H56" t="s">
        <v>250</v>
      </c>
      <c r="I56" t="s">
        <v>42</v>
      </c>
      <c r="J56">
        <v>2</v>
      </c>
      <c r="K56" t="s">
        <v>43</v>
      </c>
      <c r="L56" t="s">
        <v>44</v>
      </c>
      <c r="M56" t="s">
        <v>45</v>
      </c>
      <c r="N56" s="7">
        <v>6</v>
      </c>
      <c r="O56" s="8">
        <v>45550.546851851854</v>
      </c>
      <c r="P56" s="9">
        <v>45552</v>
      </c>
      <c r="Q56" t="s">
        <v>46</v>
      </c>
      <c r="R56" t="s">
        <v>47</v>
      </c>
      <c r="S56" t="s">
        <v>48</v>
      </c>
      <c r="T56" t="s">
        <v>56</v>
      </c>
      <c r="U56" t="s">
        <v>251</v>
      </c>
      <c r="V56">
        <v>9100</v>
      </c>
      <c r="W56" t="s">
        <v>47</v>
      </c>
      <c r="X56" t="s">
        <v>252</v>
      </c>
      <c r="Y56" t="s">
        <v>52</v>
      </c>
      <c r="Z56" s="10">
        <f t="shared" si="9"/>
        <v>13</v>
      </c>
      <c r="AA56" s="11">
        <v>-2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1"/>
        <v>0.65999999999999992</v>
      </c>
      <c r="AG56" s="11">
        <f t="shared" si="2"/>
        <v>11.66</v>
      </c>
      <c r="AH56" s="11">
        <v>0</v>
      </c>
      <c r="AI56" s="11">
        <f t="shared" si="3"/>
        <v>11.66</v>
      </c>
      <c r="AJ56" t="s">
        <v>53</v>
      </c>
    </row>
    <row r="57" spans="1:36" ht="15" customHeight="1" x14ac:dyDescent="0.35">
      <c r="A57">
        <v>7547676</v>
      </c>
      <c r="B57" t="s">
        <v>36</v>
      </c>
      <c r="C57" t="s">
        <v>37</v>
      </c>
      <c r="D57" s="6" t="s">
        <v>36</v>
      </c>
      <c r="E57" t="s">
        <v>253</v>
      </c>
      <c r="F57" t="s">
        <v>39</v>
      </c>
      <c r="G57" t="s">
        <v>40</v>
      </c>
      <c r="H57" t="s">
        <v>254</v>
      </c>
      <c r="I57" t="s">
        <v>42</v>
      </c>
      <c r="J57">
        <v>2</v>
      </c>
      <c r="K57" t="s">
        <v>43</v>
      </c>
      <c r="L57" t="s">
        <v>44</v>
      </c>
      <c r="M57" t="s">
        <v>45</v>
      </c>
      <c r="N57" s="7">
        <v>1</v>
      </c>
      <c r="O57" s="8">
        <v>45550.546851851854</v>
      </c>
      <c r="P57" s="9">
        <v>45552</v>
      </c>
      <c r="Q57" t="s">
        <v>46</v>
      </c>
      <c r="R57" t="s">
        <v>47</v>
      </c>
      <c r="S57" t="s">
        <v>48</v>
      </c>
      <c r="T57" t="s">
        <v>61</v>
      </c>
      <c r="U57" t="s">
        <v>255</v>
      </c>
      <c r="V57">
        <v>21400</v>
      </c>
      <c r="W57" t="s">
        <v>47</v>
      </c>
      <c r="X57" t="s">
        <v>188</v>
      </c>
      <c r="Y57" t="s">
        <v>52</v>
      </c>
      <c r="Z57" s="10">
        <f>IF(N57&lt;=1,9,9+0.8*ROUNDUP(N57-1,0))</f>
        <v>9</v>
      </c>
      <c r="AA57" s="11">
        <v>-2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1"/>
        <v>0.42</v>
      </c>
      <c r="AG57" s="11">
        <f t="shared" si="2"/>
        <v>7.42</v>
      </c>
      <c r="AH57" s="11">
        <v>0</v>
      </c>
      <c r="AI57" s="11">
        <f t="shared" si="3"/>
        <v>7.42</v>
      </c>
      <c r="AJ57" t="s">
        <v>53</v>
      </c>
    </row>
    <row r="58" spans="1:36" ht="15" customHeight="1" x14ac:dyDescent="0.35">
      <c r="A58">
        <v>7547676</v>
      </c>
      <c r="B58" t="s">
        <v>36</v>
      </c>
      <c r="C58" t="s">
        <v>37</v>
      </c>
      <c r="D58" s="6" t="s">
        <v>36</v>
      </c>
      <c r="E58" t="s">
        <v>256</v>
      </c>
      <c r="F58" t="s">
        <v>39</v>
      </c>
      <c r="G58" t="s">
        <v>40</v>
      </c>
      <c r="H58" t="s">
        <v>257</v>
      </c>
      <c r="I58" t="s">
        <v>42</v>
      </c>
      <c r="J58">
        <v>2</v>
      </c>
      <c r="K58" t="s">
        <v>43</v>
      </c>
      <c r="L58" t="s">
        <v>44</v>
      </c>
      <c r="M58" t="s">
        <v>45</v>
      </c>
      <c r="N58" s="7">
        <v>1</v>
      </c>
      <c r="O58" s="8">
        <v>45547.564432870371</v>
      </c>
      <c r="P58" s="9">
        <v>45552</v>
      </c>
      <c r="Q58" t="s">
        <v>46</v>
      </c>
      <c r="R58" t="s">
        <v>47</v>
      </c>
      <c r="S58" t="s">
        <v>48</v>
      </c>
      <c r="T58" t="s">
        <v>123</v>
      </c>
      <c r="U58" t="s">
        <v>258</v>
      </c>
      <c r="V58">
        <v>43400</v>
      </c>
      <c r="W58" t="s">
        <v>47</v>
      </c>
      <c r="X58" t="s">
        <v>51</v>
      </c>
      <c r="Y58" t="s">
        <v>52</v>
      </c>
      <c r="Z58" s="10">
        <f t="shared" ref="Z58:Z62" si="10">IF(N58&lt;=1,9,9+0.8*ROUNDUP(N58-1,0))</f>
        <v>9</v>
      </c>
      <c r="AA58" s="11">
        <v>-2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1"/>
        <v>0.42</v>
      </c>
      <c r="AG58" s="11">
        <f t="shared" si="2"/>
        <v>7.42</v>
      </c>
      <c r="AH58" s="11">
        <v>0</v>
      </c>
      <c r="AI58" s="11">
        <f t="shared" si="3"/>
        <v>7.42</v>
      </c>
      <c r="AJ58" t="s">
        <v>53</v>
      </c>
    </row>
    <row r="59" spans="1:36" ht="15" customHeight="1" x14ac:dyDescent="0.35">
      <c r="A59">
        <v>7547676</v>
      </c>
      <c r="B59" t="s">
        <v>36</v>
      </c>
      <c r="C59" t="s">
        <v>37</v>
      </c>
      <c r="D59" s="6" t="s">
        <v>36</v>
      </c>
      <c r="E59" t="s">
        <v>259</v>
      </c>
      <c r="F59" t="s">
        <v>39</v>
      </c>
      <c r="G59" t="s">
        <v>40</v>
      </c>
      <c r="H59" t="s">
        <v>260</v>
      </c>
      <c r="I59" t="s">
        <v>42</v>
      </c>
      <c r="J59">
        <v>2</v>
      </c>
      <c r="K59" t="s">
        <v>43</v>
      </c>
      <c r="L59" t="s">
        <v>44</v>
      </c>
      <c r="M59" t="s">
        <v>45</v>
      </c>
      <c r="N59" s="7">
        <v>1</v>
      </c>
      <c r="O59" s="8">
        <v>45547.643240740741</v>
      </c>
      <c r="P59" s="9">
        <v>45552</v>
      </c>
      <c r="Q59" t="s">
        <v>46</v>
      </c>
      <c r="R59" t="s">
        <v>47</v>
      </c>
      <c r="S59" t="s">
        <v>48</v>
      </c>
      <c r="T59" t="s">
        <v>123</v>
      </c>
      <c r="U59" t="s">
        <v>261</v>
      </c>
      <c r="V59">
        <v>47160</v>
      </c>
      <c r="W59" t="s">
        <v>47</v>
      </c>
      <c r="X59" t="s">
        <v>262</v>
      </c>
      <c r="Y59" t="s">
        <v>52</v>
      </c>
      <c r="Z59" s="10">
        <f t="shared" si="10"/>
        <v>9</v>
      </c>
      <c r="AA59" s="11">
        <v>-2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1"/>
        <v>0.42</v>
      </c>
      <c r="AG59" s="11">
        <f t="shared" si="2"/>
        <v>7.42</v>
      </c>
      <c r="AH59" s="11">
        <v>0</v>
      </c>
      <c r="AI59" s="11">
        <f t="shared" si="3"/>
        <v>7.42</v>
      </c>
      <c r="AJ59" t="s">
        <v>53</v>
      </c>
    </row>
    <row r="60" spans="1:36" ht="15" customHeight="1" x14ac:dyDescent="0.35">
      <c r="A60">
        <v>7547676</v>
      </c>
      <c r="B60" t="s">
        <v>36</v>
      </c>
      <c r="C60" t="s">
        <v>37</v>
      </c>
      <c r="D60" s="6" t="s">
        <v>36</v>
      </c>
      <c r="E60" t="s">
        <v>263</v>
      </c>
      <c r="F60" t="s">
        <v>39</v>
      </c>
      <c r="G60" t="s">
        <v>40</v>
      </c>
      <c r="H60" t="s">
        <v>264</v>
      </c>
      <c r="I60" t="s">
        <v>42</v>
      </c>
      <c r="J60">
        <v>2</v>
      </c>
      <c r="K60" t="s">
        <v>43</v>
      </c>
      <c r="L60" t="s">
        <v>44</v>
      </c>
      <c r="M60" t="s">
        <v>45</v>
      </c>
      <c r="N60" s="7">
        <v>22</v>
      </c>
      <c r="O60" s="8">
        <v>45549.529872685183</v>
      </c>
      <c r="P60" s="9">
        <v>45552</v>
      </c>
      <c r="Q60" t="s">
        <v>46</v>
      </c>
      <c r="R60" t="s">
        <v>47</v>
      </c>
      <c r="S60" t="s">
        <v>48</v>
      </c>
      <c r="T60" t="s">
        <v>56</v>
      </c>
      <c r="U60" t="s">
        <v>265</v>
      </c>
      <c r="V60">
        <v>6400</v>
      </c>
      <c r="W60" t="s">
        <v>47</v>
      </c>
      <c r="X60" t="s">
        <v>196</v>
      </c>
      <c r="Y60" t="s">
        <v>52</v>
      </c>
      <c r="Z60" s="10">
        <f t="shared" si="10"/>
        <v>25.8</v>
      </c>
      <c r="AA60" s="11">
        <v>-2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1"/>
        <v>1.4279999999999999</v>
      </c>
      <c r="AG60" s="11">
        <f t="shared" si="2"/>
        <v>25.228000000000002</v>
      </c>
      <c r="AH60" s="11">
        <v>0</v>
      </c>
      <c r="AI60" s="11">
        <f t="shared" si="3"/>
        <v>25.228000000000002</v>
      </c>
      <c r="AJ60" t="s">
        <v>53</v>
      </c>
    </row>
    <row r="61" spans="1:36" ht="15" customHeight="1" x14ac:dyDescent="0.35">
      <c r="A61">
        <v>7547676</v>
      </c>
      <c r="B61" t="s">
        <v>36</v>
      </c>
      <c r="C61" t="s">
        <v>37</v>
      </c>
      <c r="D61" s="6" t="s">
        <v>36</v>
      </c>
      <c r="E61" t="s">
        <v>266</v>
      </c>
      <c r="F61" t="s">
        <v>39</v>
      </c>
      <c r="G61" t="s">
        <v>40</v>
      </c>
      <c r="H61" t="s">
        <v>267</v>
      </c>
      <c r="I61" t="s">
        <v>42</v>
      </c>
      <c r="J61">
        <v>2</v>
      </c>
      <c r="K61" t="s">
        <v>43</v>
      </c>
      <c r="L61" t="s">
        <v>44</v>
      </c>
      <c r="M61" t="s">
        <v>45</v>
      </c>
      <c r="N61" s="7">
        <v>1</v>
      </c>
      <c r="O61" s="8">
        <v>45550.733310185184</v>
      </c>
      <c r="P61" s="9">
        <v>45552</v>
      </c>
      <c r="Q61" t="s">
        <v>46</v>
      </c>
      <c r="R61" t="s">
        <v>47</v>
      </c>
      <c r="S61" t="s">
        <v>48</v>
      </c>
      <c r="T61" t="s">
        <v>104</v>
      </c>
      <c r="U61" t="s">
        <v>268</v>
      </c>
      <c r="V61">
        <v>75400</v>
      </c>
      <c r="W61" t="s">
        <v>47</v>
      </c>
      <c r="X61" t="s">
        <v>269</v>
      </c>
      <c r="Y61" t="s">
        <v>52</v>
      </c>
      <c r="Z61" s="10">
        <f t="shared" si="10"/>
        <v>9</v>
      </c>
      <c r="AA61" s="11">
        <v>-2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1"/>
        <v>0.42</v>
      </c>
      <c r="AG61" s="11">
        <f t="shared" si="2"/>
        <v>7.42</v>
      </c>
      <c r="AH61" s="11">
        <v>0</v>
      </c>
      <c r="AI61" s="11">
        <f t="shared" si="3"/>
        <v>7.42</v>
      </c>
      <c r="AJ61" t="s">
        <v>53</v>
      </c>
    </row>
    <row r="62" spans="1:36" ht="15" customHeight="1" x14ac:dyDescent="0.35">
      <c r="A62">
        <v>7547676</v>
      </c>
      <c r="B62" t="s">
        <v>36</v>
      </c>
      <c r="C62" t="s">
        <v>37</v>
      </c>
      <c r="D62" s="6" t="s">
        <v>36</v>
      </c>
      <c r="E62" t="s">
        <v>270</v>
      </c>
      <c r="F62" t="s">
        <v>39</v>
      </c>
      <c r="G62" t="s">
        <v>40</v>
      </c>
      <c r="H62" t="s">
        <v>271</v>
      </c>
      <c r="I62" t="s">
        <v>42</v>
      </c>
      <c r="J62">
        <v>2</v>
      </c>
      <c r="K62" t="s">
        <v>43</v>
      </c>
      <c r="L62" t="s">
        <v>44</v>
      </c>
      <c r="M62" t="s">
        <v>45</v>
      </c>
      <c r="N62" s="7">
        <v>1</v>
      </c>
      <c r="O62" s="8">
        <v>45550.745717592596</v>
      </c>
      <c r="P62" s="9">
        <v>45552</v>
      </c>
      <c r="Q62" t="s">
        <v>46</v>
      </c>
      <c r="R62" t="s">
        <v>47</v>
      </c>
      <c r="S62" t="s">
        <v>48</v>
      </c>
      <c r="T62" t="s">
        <v>210</v>
      </c>
      <c r="U62" t="s">
        <v>272</v>
      </c>
      <c r="V62">
        <v>70450</v>
      </c>
      <c r="W62" t="s">
        <v>47</v>
      </c>
      <c r="X62" t="s">
        <v>51</v>
      </c>
      <c r="Y62" t="s">
        <v>52</v>
      </c>
      <c r="Z62" s="10">
        <f t="shared" si="10"/>
        <v>9</v>
      </c>
      <c r="AA62" s="11">
        <v>-2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1"/>
        <v>0.42</v>
      </c>
      <c r="AG62" s="11">
        <f t="shared" si="2"/>
        <v>7.42</v>
      </c>
      <c r="AH62" s="11">
        <v>0</v>
      </c>
      <c r="AI62" s="11">
        <f t="shared" si="3"/>
        <v>7.42</v>
      </c>
      <c r="AJ62" t="s">
        <v>53</v>
      </c>
    </row>
    <row r="63" spans="1:36" ht="15" customHeight="1" x14ac:dyDescent="0.35">
      <c r="A63">
        <v>7547676</v>
      </c>
      <c r="B63" t="s">
        <v>36</v>
      </c>
      <c r="C63" t="s">
        <v>37</v>
      </c>
      <c r="D63" s="6" t="s">
        <v>36</v>
      </c>
      <c r="E63" t="s">
        <v>273</v>
      </c>
      <c r="F63" t="s">
        <v>39</v>
      </c>
      <c r="G63" t="s">
        <v>40</v>
      </c>
      <c r="H63" t="s">
        <v>274</v>
      </c>
      <c r="I63" t="s">
        <v>42</v>
      </c>
      <c r="J63">
        <v>2</v>
      </c>
      <c r="K63" t="s">
        <v>43</v>
      </c>
      <c r="L63" t="s">
        <v>44</v>
      </c>
      <c r="M63" t="s">
        <v>45</v>
      </c>
      <c r="N63" s="7">
        <v>1</v>
      </c>
      <c r="O63" s="8">
        <v>45547.852858796294</v>
      </c>
      <c r="P63" s="9">
        <v>45552</v>
      </c>
      <c r="Q63" t="s">
        <v>89</v>
      </c>
      <c r="R63" t="s">
        <v>47</v>
      </c>
      <c r="S63" t="s">
        <v>48</v>
      </c>
      <c r="T63" t="s">
        <v>90</v>
      </c>
      <c r="U63" t="s">
        <v>275</v>
      </c>
      <c r="V63">
        <v>91100</v>
      </c>
      <c r="W63" t="s">
        <v>92</v>
      </c>
      <c r="X63" t="s">
        <v>51</v>
      </c>
      <c r="Y63" t="s">
        <v>52</v>
      </c>
      <c r="Z63" s="12">
        <f>IF(N63&lt;=1,13,IF(N63&lt;=2,23,IF(N63&lt;=3,35,IF(N63&lt;=4,43,IF(N63&lt;=5,53,IF(N63&lt;=6,63,IF(N63&lt;=7,71,IF(N63&lt;=8,79,IF(N63&lt;=9,87,IF(N63&lt;=10,95,IF(N63&lt;=11,105,IF(N63&lt;=12,114,IF(N63&lt;=13,119,IF(N63&lt;=14,127,IF(N63&lt;=15,135,IF(N63&lt;=16,143,IF(N63&lt;=17,153,IF(N63&lt;=18,163,IF(N63&lt;=19,171,IF(N63&lt;=20,185,IF(N63&lt;=21,193,IF(N63&lt;=22,201,IF(N63&lt;=23,210,IF(N63&lt;=24,220,IF(N63&lt;=25,230,IF(N63&lt;=26,240,IF(N63&lt;=27,250,IF(N63&lt;=28,260,IF(N63&lt;=29,270,IF(N63&lt;=30,280,280+10*ROUNDUP(N63-30,0)))))))))))))))))))))))))))))))</f>
        <v>13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1"/>
        <v>0.78</v>
      </c>
      <c r="AG63" s="11">
        <f t="shared" si="2"/>
        <v>13.78</v>
      </c>
      <c r="AH63" s="11">
        <v>0</v>
      </c>
      <c r="AI63" s="11">
        <f t="shared" si="3"/>
        <v>13.78</v>
      </c>
      <c r="AJ63" t="s">
        <v>94</v>
      </c>
    </row>
    <row r="64" spans="1:36" ht="15" customHeight="1" x14ac:dyDescent="0.35">
      <c r="A64">
        <v>7547676</v>
      </c>
      <c r="B64" t="s">
        <v>36</v>
      </c>
      <c r="C64" t="s">
        <v>37</v>
      </c>
      <c r="D64" s="6" t="s">
        <v>36</v>
      </c>
      <c r="E64" t="s">
        <v>276</v>
      </c>
      <c r="F64" t="s">
        <v>39</v>
      </c>
      <c r="G64" t="s">
        <v>40</v>
      </c>
      <c r="H64" t="s">
        <v>277</v>
      </c>
      <c r="I64" t="s">
        <v>42</v>
      </c>
      <c r="J64">
        <v>2</v>
      </c>
      <c r="K64" t="s">
        <v>43</v>
      </c>
      <c r="L64" t="s">
        <v>44</v>
      </c>
      <c r="M64" t="s">
        <v>45</v>
      </c>
      <c r="N64" s="7">
        <v>1</v>
      </c>
      <c r="O64" s="8">
        <v>45550.621666666666</v>
      </c>
      <c r="P64" s="9">
        <v>45552</v>
      </c>
      <c r="Q64" t="s">
        <v>46</v>
      </c>
      <c r="R64" t="s">
        <v>47</v>
      </c>
      <c r="S64" t="s">
        <v>48</v>
      </c>
      <c r="T64" t="s">
        <v>278</v>
      </c>
      <c r="U64" t="s">
        <v>279</v>
      </c>
      <c r="V64">
        <v>28050</v>
      </c>
      <c r="W64" t="s">
        <v>47</v>
      </c>
      <c r="X64" t="s">
        <v>188</v>
      </c>
      <c r="Y64" t="s">
        <v>52</v>
      </c>
      <c r="Z64" s="10">
        <f t="shared" ref="Z64" si="11">IF(N64&lt;=1,9,9+0.8*ROUNDUP(N64-1,0))</f>
        <v>9</v>
      </c>
      <c r="AA64" s="11">
        <v>-2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1"/>
        <v>0.42</v>
      </c>
      <c r="AG64" s="11">
        <f t="shared" si="2"/>
        <v>7.42</v>
      </c>
      <c r="AH64" s="11">
        <v>0</v>
      </c>
      <c r="AI64" s="11">
        <f t="shared" si="3"/>
        <v>7.42</v>
      </c>
      <c r="AJ64" t="s">
        <v>53</v>
      </c>
    </row>
    <row r="65" spans="1:36" ht="15" customHeight="1" x14ac:dyDescent="0.35">
      <c r="A65">
        <v>7547676</v>
      </c>
      <c r="B65" t="s">
        <v>36</v>
      </c>
      <c r="C65" t="s">
        <v>37</v>
      </c>
      <c r="D65" s="6" t="s">
        <v>36</v>
      </c>
      <c r="E65" t="s">
        <v>280</v>
      </c>
      <c r="F65" t="s">
        <v>39</v>
      </c>
      <c r="G65" t="s">
        <v>40</v>
      </c>
      <c r="H65" t="s">
        <v>281</v>
      </c>
      <c r="I65" t="s">
        <v>42</v>
      </c>
      <c r="J65">
        <v>2</v>
      </c>
      <c r="K65" t="s">
        <v>43</v>
      </c>
      <c r="L65" t="s">
        <v>44</v>
      </c>
      <c r="M65" t="s">
        <v>45</v>
      </c>
      <c r="N65" s="7">
        <v>2</v>
      </c>
      <c r="O65" s="8">
        <v>45550.729270833333</v>
      </c>
      <c r="P65" s="9">
        <v>45552</v>
      </c>
      <c r="Q65" t="s">
        <v>46</v>
      </c>
      <c r="R65" t="s">
        <v>47</v>
      </c>
      <c r="S65" t="s">
        <v>48</v>
      </c>
      <c r="T65" t="s">
        <v>128</v>
      </c>
      <c r="U65" t="s">
        <v>282</v>
      </c>
      <c r="V65">
        <v>56000</v>
      </c>
      <c r="W65" t="s">
        <v>47</v>
      </c>
      <c r="X65" t="s">
        <v>177</v>
      </c>
      <c r="Y65" t="s">
        <v>52</v>
      </c>
      <c r="Z65" s="10">
        <f>IF(N65&lt;=1,9,9+0.8*ROUNDUP(N65-1,0))</f>
        <v>9.8000000000000007</v>
      </c>
      <c r="AA65" s="11">
        <v>-2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1"/>
        <v>0.46800000000000003</v>
      </c>
      <c r="AG65" s="11">
        <f t="shared" si="2"/>
        <v>8.2680000000000007</v>
      </c>
      <c r="AH65" s="11">
        <v>0</v>
      </c>
      <c r="AI65" s="11">
        <f t="shared" si="3"/>
        <v>8.2680000000000007</v>
      </c>
      <c r="AJ65" t="s">
        <v>53</v>
      </c>
    </row>
    <row r="66" spans="1:36" ht="15" customHeight="1" x14ac:dyDescent="0.35">
      <c r="A66">
        <v>7547676</v>
      </c>
      <c r="B66" t="s">
        <v>36</v>
      </c>
      <c r="C66" t="s">
        <v>37</v>
      </c>
      <c r="D66" s="6" t="s">
        <v>36</v>
      </c>
      <c r="E66" t="s">
        <v>283</v>
      </c>
      <c r="F66" t="s">
        <v>39</v>
      </c>
      <c r="G66" t="s">
        <v>40</v>
      </c>
      <c r="H66" t="s">
        <v>284</v>
      </c>
      <c r="I66" t="s">
        <v>42</v>
      </c>
      <c r="J66">
        <v>2</v>
      </c>
      <c r="K66" t="s">
        <v>43</v>
      </c>
      <c r="L66" t="s">
        <v>44</v>
      </c>
      <c r="M66" t="s">
        <v>45</v>
      </c>
      <c r="N66" s="7">
        <v>1</v>
      </c>
      <c r="O66" s="8">
        <v>45548.755833333336</v>
      </c>
      <c r="P66" s="9">
        <v>45552</v>
      </c>
      <c r="Q66" t="s">
        <v>46</v>
      </c>
      <c r="R66" t="s">
        <v>47</v>
      </c>
      <c r="S66" t="s">
        <v>48</v>
      </c>
      <c r="T66" t="s">
        <v>136</v>
      </c>
      <c r="U66" t="s">
        <v>285</v>
      </c>
      <c r="V66">
        <v>32610</v>
      </c>
      <c r="W66" t="s">
        <v>47</v>
      </c>
      <c r="X66" t="s">
        <v>286</v>
      </c>
      <c r="Y66" t="s">
        <v>52</v>
      </c>
      <c r="Z66" s="10">
        <f t="shared" ref="Z66:Z76" si="12">IF(N66&lt;=1,9,9+0.8*ROUNDUP(N66-1,0))</f>
        <v>9</v>
      </c>
      <c r="AA66" s="11">
        <v>-2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13">(Z66+AA66+AC66+AE66)*6%</f>
        <v>0.42</v>
      </c>
      <c r="AG66" s="11">
        <f t="shared" ref="AG66:AG129" si="14">Z66+AA66+AC66+AE66+AF66</f>
        <v>7.42</v>
      </c>
      <c r="AH66" s="11">
        <v>0</v>
      </c>
      <c r="AI66" s="11">
        <f t="shared" ref="AI66:AI129" si="15">AG66+AH66</f>
        <v>7.42</v>
      </c>
      <c r="AJ66" t="s">
        <v>53</v>
      </c>
    </row>
    <row r="67" spans="1:36" ht="15" customHeight="1" x14ac:dyDescent="0.35">
      <c r="A67">
        <v>7547676</v>
      </c>
      <c r="B67" t="s">
        <v>36</v>
      </c>
      <c r="C67" t="s">
        <v>37</v>
      </c>
      <c r="D67" s="6" t="s">
        <v>36</v>
      </c>
      <c r="E67" t="s">
        <v>287</v>
      </c>
      <c r="F67" t="s">
        <v>39</v>
      </c>
      <c r="G67" t="s">
        <v>40</v>
      </c>
      <c r="H67" t="s">
        <v>288</v>
      </c>
      <c r="I67" t="s">
        <v>42</v>
      </c>
      <c r="J67">
        <v>2</v>
      </c>
      <c r="K67" t="s">
        <v>43</v>
      </c>
      <c r="L67" t="s">
        <v>44</v>
      </c>
      <c r="M67" t="s">
        <v>45</v>
      </c>
      <c r="N67" s="7">
        <v>2</v>
      </c>
      <c r="O67" s="8">
        <v>45549.727002314816</v>
      </c>
      <c r="P67" s="9">
        <v>45552</v>
      </c>
      <c r="Q67" t="s">
        <v>46</v>
      </c>
      <c r="R67" t="s">
        <v>47</v>
      </c>
      <c r="S67" t="s">
        <v>48</v>
      </c>
      <c r="T67" t="s">
        <v>123</v>
      </c>
      <c r="U67" t="s">
        <v>289</v>
      </c>
      <c r="V67">
        <v>43800</v>
      </c>
      <c r="W67" t="s">
        <v>47</v>
      </c>
      <c r="X67" t="s">
        <v>290</v>
      </c>
      <c r="Y67" t="s">
        <v>52</v>
      </c>
      <c r="Z67" s="10">
        <f t="shared" si="12"/>
        <v>9.8000000000000007</v>
      </c>
      <c r="AA67" s="11">
        <v>-2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13"/>
        <v>0.46800000000000003</v>
      </c>
      <c r="AG67" s="11">
        <f t="shared" si="14"/>
        <v>8.2680000000000007</v>
      </c>
      <c r="AH67" s="11">
        <v>0</v>
      </c>
      <c r="AI67" s="11">
        <f t="shared" si="15"/>
        <v>8.2680000000000007</v>
      </c>
      <c r="AJ67" t="s">
        <v>53</v>
      </c>
    </row>
    <row r="68" spans="1:36" ht="15" customHeight="1" x14ac:dyDescent="0.35">
      <c r="A68">
        <v>7547676</v>
      </c>
      <c r="B68" t="s">
        <v>36</v>
      </c>
      <c r="C68" t="s">
        <v>37</v>
      </c>
      <c r="D68" s="6" t="s">
        <v>36</v>
      </c>
      <c r="E68" t="s">
        <v>291</v>
      </c>
      <c r="F68" t="s">
        <v>39</v>
      </c>
      <c r="G68" t="s">
        <v>40</v>
      </c>
      <c r="H68" t="s">
        <v>292</v>
      </c>
      <c r="I68" t="s">
        <v>42</v>
      </c>
      <c r="J68">
        <v>2</v>
      </c>
      <c r="K68" t="s">
        <v>43</v>
      </c>
      <c r="L68" t="s">
        <v>44</v>
      </c>
      <c r="M68" t="s">
        <v>45</v>
      </c>
      <c r="N68" s="7">
        <v>1</v>
      </c>
      <c r="O68" s="8">
        <v>45552.729722222219</v>
      </c>
      <c r="P68" s="9">
        <v>45553</v>
      </c>
      <c r="Q68" t="s">
        <v>46</v>
      </c>
      <c r="R68" t="s">
        <v>47</v>
      </c>
      <c r="S68" t="s">
        <v>48</v>
      </c>
      <c r="T68" t="s">
        <v>278</v>
      </c>
      <c r="U68" t="s">
        <v>293</v>
      </c>
      <c r="V68">
        <v>26080</v>
      </c>
      <c r="W68" t="s">
        <v>47</v>
      </c>
      <c r="X68" t="s">
        <v>188</v>
      </c>
      <c r="Y68" t="s">
        <v>52</v>
      </c>
      <c r="Z68" s="10">
        <f t="shared" si="12"/>
        <v>9</v>
      </c>
      <c r="AA68" s="11">
        <v>-2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13"/>
        <v>0.42</v>
      </c>
      <c r="AG68" s="11">
        <f t="shared" si="14"/>
        <v>7.42</v>
      </c>
      <c r="AH68" s="11">
        <v>0</v>
      </c>
      <c r="AI68" s="11">
        <f t="shared" si="15"/>
        <v>7.42</v>
      </c>
      <c r="AJ68" t="s">
        <v>53</v>
      </c>
    </row>
    <row r="69" spans="1:36" ht="15" customHeight="1" x14ac:dyDescent="0.35">
      <c r="A69">
        <v>7547676</v>
      </c>
      <c r="B69" t="s">
        <v>36</v>
      </c>
      <c r="C69" t="s">
        <v>37</v>
      </c>
      <c r="D69" s="6" t="s">
        <v>36</v>
      </c>
      <c r="E69" t="s">
        <v>294</v>
      </c>
      <c r="F69" t="s">
        <v>39</v>
      </c>
      <c r="G69" t="s">
        <v>40</v>
      </c>
      <c r="H69" t="s">
        <v>147</v>
      </c>
      <c r="I69" t="s">
        <v>42</v>
      </c>
      <c r="J69">
        <v>2</v>
      </c>
      <c r="K69" t="s">
        <v>43</v>
      </c>
      <c r="L69" t="s">
        <v>44</v>
      </c>
      <c r="M69" t="s">
        <v>45</v>
      </c>
      <c r="N69" s="7">
        <v>2</v>
      </c>
      <c r="O69" s="8">
        <v>45552.590636574074</v>
      </c>
      <c r="P69" s="9">
        <v>45553</v>
      </c>
      <c r="Q69" t="s">
        <v>46</v>
      </c>
      <c r="R69" t="s">
        <v>47</v>
      </c>
      <c r="S69" t="s">
        <v>48</v>
      </c>
      <c r="T69" t="s">
        <v>123</v>
      </c>
      <c r="U69" t="s">
        <v>148</v>
      </c>
      <c r="V69">
        <v>40000</v>
      </c>
      <c r="W69" t="s">
        <v>47</v>
      </c>
      <c r="X69" t="s">
        <v>149</v>
      </c>
      <c r="Y69" t="s">
        <v>52</v>
      </c>
      <c r="Z69" s="10">
        <f t="shared" si="12"/>
        <v>9.8000000000000007</v>
      </c>
      <c r="AA69" s="11">
        <v>-2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13"/>
        <v>0.46800000000000003</v>
      </c>
      <c r="AG69" s="11">
        <f t="shared" si="14"/>
        <v>8.2680000000000007</v>
      </c>
      <c r="AH69" s="11">
        <v>0</v>
      </c>
      <c r="AI69" s="11">
        <f t="shared" si="15"/>
        <v>8.2680000000000007</v>
      </c>
      <c r="AJ69" t="s">
        <v>53</v>
      </c>
    </row>
    <row r="70" spans="1:36" ht="15" customHeight="1" x14ac:dyDescent="0.35">
      <c r="A70">
        <v>7547676</v>
      </c>
      <c r="B70" t="s">
        <v>36</v>
      </c>
      <c r="C70" t="s">
        <v>37</v>
      </c>
      <c r="D70" s="6" t="s">
        <v>36</v>
      </c>
      <c r="E70" t="s">
        <v>295</v>
      </c>
      <c r="F70" t="s">
        <v>39</v>
      </c>
      <c r="G70" t="s">
        <v>40</v>
      </c>
      <c r="H70" t="s">
        <v>296</v>
      </c>
      <c r="I70" t="s">
        <v>42</v>
      </c>
      <c r="J70">
        <v>2</v>
      </c>
      <c r="K70" t="s">
        <v>43</v>
      </c>
      <c r="L70" t="s">
        <v>44</v>
      </c>
      <c r="M70" t="s">
        <v>45</v>
      </c>
      <c r="N70" s="7">
        <v>1</v>
      </c>
      <c r="O70" s="8">
        <v>45552.729722222219</v>
      </c>
      <c r="P70" s="9">
        <v>45553</v>
      </c>
      <c r="Q70" t="s">
        <v>46</v>
      </c>
      <c r="R70" t="s">
        <v>47</v>
      </c>
      <c r="S70" t="s">
        <v>48</v>
      </c>
      <c r="T70" t="s">
        <v>61</v>
      </c>
      <c r="U70" t="s">
        <v>297</v>
      </c>
      <c r="V70">
        <v>24007</v>
      </c>
      <c r="W70" t="s">
        <v>47</v>
      </c>
      <c r="X70" t="s">
        <v>188</v>
      </c>
      <c r="Y70" t="s">
        <v>52</v>
      </c>
      <c r="Z70" s="10">
        <f t="shared" si="12"/>
        <v>9</v>
      </c>
      <c r="AA70" s="11">
        <v>-2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13"/>
        <v>0.42</v>
      </c>
      <c r="AG70" s="11">
        <f t="shared" si="14"/>
        <v>7.42</v>
      </c>
      <c r="AH70" s="11">
        <v>0</v>
      </c>
      <c r="AI70" s="11">
        <f t="shared" si="15"/>
        <v>7.42</v>
      </c>
      <c r="AJ70" t="s">
        <v>53</v>
      </c>
    </row>
    <row r="71" spans="1:36" ht="15" customHeight="1" x14ac:dyDescent="0.35">
      <c r="A71">
        <v>7547676</v>
      </c>
      <c r="B71" t="s">
        <v>36</v>
      </c>
      <c r="C71" t="s">
        <v>37</v>
      </c>
      <c r="D71" s="6" t="s">
        <v>36</v>
      </c>
      <c r="E71" t="s">
        <v>298</v>
      </c>
      <c r="F71" t="s">
        <v>39</v>
      </c>
      <c r="G71" t="s">
        <v>40</v>
      </c>
      <c r="H71" t="s">
        <v>147</v>
      </c>
      <c r="I71" t="s">
        <v>42</v>
      </c>
      <c r="J71">
        <v>2</v>
      </c>
      <c r="K71" t="s">
        <v>43</v>
      </c>
      <c r="L71" t="s">
        <v>44</v>
      </c>
      <c r="M71" t="s">
        <v>45</v>
      </c>
      <c r="N71" s="7">
        <v>14</v>
      </c>
      <c r="O71" s="8">
        <v>45552.534120370372</v>
      </c>
      <c r="P71" s="9">
        <v>45553</v>
      </c>
      <c r="Q71" t="s">
        <v>46</v>
      </c>
      <c r="R71" t="s">
        <v>47</v>
      </c>
      <c r="S71" t="s">
        <v>48</v>
      </c>
      <c r="T71" t="s">
        <v>123</v>
      </c>
      <c r="U71" t="s">
        <v>148</v>
      </c>
      <c r="V71">
        <v>40000</v>
      </c>
      <c r="W71" t="s">
        <v>47</v>
      </c>
      <c r="X71" t="s">
        <v>149</v>
      </c>
      <c r="Y71" t="s">
        <v>52</v>
      </c>
      <c r="Z71" s="10">
        <f t="shared" si="12"/>
        <v>19.399999999999999</v>
      </c>
      <c r="AA71" s="11">
        <v>-2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13"/>
        <v>1.0439999999999998</v>
      </c>
      <c r="AG71" s="11">
        <f t="shared" si="14"/>
        <v>18.443999999999999</v>
      </c>
      <c r="AH71" s="11">
        <v>0</v>
      </c>
      <c r="AI71" s="11">
        <f t="shared" si="15"/>
        <v>18.443999999999999</v>
      </c>
      <c r="AJ71" t="s">
        <v>53</v>
      </c>
    </row>
    <row r="72" spans="1:36" ht="15" customHeight="1" x14ac:dyDescent="0.35">
      <c r="A72">
        <v>7547676</v>
      </c>
      <c r="B72" t="s">
        <v>36</v>
      </c>
      <c r="C72" t="s">
        <v>37</v>
      </c>
      <c r="D72" s="6" t="s">
        <v>36</v>
      </c>
      <c r="E72" t="s">
        <v>299</v>
      </c>
      <c r="F72" t="s">
        <v>39</v>
      </c>
      <c r="G72" t="s">
        <v>40</v>
      </c>
      <c r="H72" t="s">
        <v>300</v>
      </c>
      <c r="I72" t="s">
        <v>42</v>
      </c>
      <c r="J72">
        <v>2</v>
      </c>
      <c r="K72" t="s">
        <v>43</v>
      </c>
      <c r="L72" t="s">
        <v>44</v>
      </c>
      <c r="M72" t="s">
        <v>45</v>
      </c>
      <c r="N72" s="7">
        <v>2</v>
      </c>
      <c r="O72" s="8">
        <v>45547.507847222223</v>
      </c>
      <c r="P72" s="9">
        <v>45553</v>
      </c>
      <c r="Q72" t="s">
        <v>46</v>
      </c>
      <c r="R72" t="s">
        <v>47</v>
      </c>
      <c r="S72" t="s">
        <v>48</v>
      </c>
      <c r="T72" t="s">
        <v>104</v>
      </c>
      <c r="U72" t="s">
        <v>301</v>
      </c>
      <c r="V72">
        <v>75450</v>
      </c>
      <c r="W72" t="s">
        <v>47</v>
      </c>
      <c r="X72" t="s">
        <v>302</v>
      </c>
      <c r="Y72" t="s">
        <v>52</v>
      </c>
      <c r="Z72" s="10">
        <f t="shared" si="12"/>
        <v>9.8000000000000007</v>
      </c>
      <c r="AA72" s="11">
        <v>-2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13"/>
        <v>0.46800000000000003</v>
      </c>
      <c r="AG72" s="11">
        <f t="shared" si="14"/>
        <v>8.2680000000000007</v>
      </c>
      <c r="AH72" s="11">
        <v>0</v>
      </c>
      <c r="AI72" s="11">
        <f t="shared" si="15"/>
        <v>8.2680000000000007</v>
      </c>
      <c r="AJ72" t="s">
        <v>53</v>
      </c>
    </row>
    <row r="73" spans="1:36" ht="15" customHeight="1" x14ac:dyDescent="0.35">
      <c r="A73">
        <v>7547676</v>
      </c>
      <c r="B73" t="s">
        <v>36</v>
      </c>
      <c r="C73" t="s">
        <v>37</v>
      </c>
      <c r="D73" s="6" t="s">
        <v>36</v>
      </c>
      <c r="E73" t="s">
        <v>303</v>
      </c>
      <c r="F73" t="s">
        <v>39</v>
      </c>
      <c r="G73" t="s">
        <v>40</v>
      </c>
      <c r="H73" t="s">
        <v>147</v>
      </c>
      <c r="I73" t="s">
        <v>42</v>
      </c>
      <c r="J73">
        <v>2</v>
      </c>
      <c r="K73" t="s">
        <v>43</v>
      </c>
      <c r="L73" t="s">
        <v>44</v>
      </c>
      <c r="M73" t="s">
        <v>45</v>
      </c>
      <c r="N73" s="7">
        <v>1</v>
      </c>
      <c r="O73" s="8">
        <v>45552.626793981479</v>
      </c>
      <c r="P73" s="9">
        <v>45553</v>
      </c>
      <c r="Q73" t="s">
        <v>46</v>
      </c>
      <c r="R73" t="s">
        <v>47</v>
      </c>
      <c r="S73" t="s">
        <v>48</v>
      </c>
      <c r="T73" t="s">
        <v>123</v>
      </c>
      <c r="U73" t="s">
        <v>148</v>
      </c>
      <c r="V73">
        <v>40000</v>
      </c>
      <c r="W73" t="s">
        <v>47</v>
      </c>
      <c r="X73" t="s">
        <v>51</v>
      </c>
      <c r="Y73" t="s">
        <v>52</v>
      </c>
      <c r="Z73" s="10">
        <f t="shared" si="12"/>
        <v>9</v>
      </c>
      <c r="AA73" s="11">
        <v>-2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13"/>
        <v>0.42</v>
      </c>
      <c r="AG73" s="11">
        <f t="shared" si="14"/>
        <v>7.42</v>
      </c>
      <c r="AH73" s="11">
        <v>0</v>
      </c>
      <c r="AI73" s="11">
        <f t="shared" si="15"/>
        <v>7.42</v>
      </c>
      <c r="AJ73" t="s">
        <v>53</v>
      </c>
    </row>
    <row r="74" spans="1:36" ht="15" customHeight="1" x14ac:dyDescent="0.35">
      <c r="A74">
        <v>7547676</v>
      </c>
      <c r="B74" t="s">
        <v>36</v>
      </c>
      <c r="C74" t="s">
        <v>37</v>
      </c>
      <c r="D74" s="6" t="s">
        <v>36</v>
      </c>
      <c r="E74" t="s">
        <v>304</v>
      </c>
      <c r="F74" t="s">
        <v>39</v>
      </c>
      <c r="G74" t="s">
        <v>40</v>
      </c>
      <c r="H74" t="s">
        <v>305</v>
      </c>
      <c r="I74" t="s">
        <v>42</v>
      </c>
      <c r="J74">
        <v>2</v>
      </c>
      <c r="K74" t="s">
        <v>43</v>
      </c>
      <c r="L74" t="s">
        <v>44</v>
      </c>
      <c r="M74" t="s">
        <v>45</v>
      </c>
      <c r="N74" s="7">
        <v>1</v>
      </c>
      <c r="O74" s="8">
        <v>45550.546851851854</v>
      </c>
      <c r="P74" s="9">
        <v>45553</v>
      </c>
      <c r="Q74" t="s">
        <v>46</v>
      </c>
      <c r="R74" t="s">
        <v>47</v>
      </c>
      <c r="S74" t="s">
        <v>48</v>
      </c>
      <c r="T74" t="s">
        <v>123</v>
      </c>
      <c r="U74" t="s">
        <v>306</v>
      </c>
      <c r="V74">
        <v>47130</v>
      </c>
      <c r="W74" t="s">
        <v>47</v>
      </c>
      <c r="X74" t="s">
        <v>162</v>
      </c>
      <c r="Y74" t="s">
        <v>52</v>
      </c>
      <c r="Z74" s="10">
        <f t="shared" si="12"/>
        <v>9</v>
      </c>
      <c r="AA74" s="11">
        <v>-2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13"/>
        <v>0.42</v>
      </c>
      <c r="AG74" s="11">
        <f t="shared" si="14"/>
        <v>7.42</v>
      </c>
      <c r="AH74" s="11">
        <v>0</v>
      </c>
      <c r="AI74" s="11">
        <f t="shared" si="15"/>
        <v>7.42</v>
      </c>
      <c r="AJ74" t="s">
        <v>53</v>
      </c>
    </row>
    <row r="75" spans="1:36" ht="15" customHeight="1" x14ac:dyDescent="0.35">
      <c r="A75">
        <v>7547676</v>
      </c>
      <c r="B75" t="s">
        <v>36</v>
      </c>
      <c r="C75" t="s">
        <v>37</v>
      </c>
      <c r="D75" s="6" t="s">
        <v>36</v>
      </c>
      <c r="E75" t="s">
        <v>307</v>
      </c>
      <c r="F75" t="s">
        <v>39</v>
      </c>
      <c r="G75" t="s">
        <v>40</v>
      </c>
      <c r="H75" t="s">
        <v>308</v>
      </c>
      <c r="I75" t="s">
        <v>42</v>
      </c>
      <c r="J75">
        <v>2</v>
      </c>
      <c r="K75" t="s">
        <v>43</v>
      </c>
      <c r="L75" t="s">
        <v>44</v>
      </c>
      <c r="M75" t="s">
        <v>45</v>
      </c>
      <c r="N75" s="7">
        <v>16</v>
      </c>
      <c r="O75" s="8">
        <v>45552.542083333334</v>
      </c>
      <c r="P75" s="9">
        <v>45553</v>
      </c>
      <c r="Q75" t="s">
        <v>46</v>
      </c>
      <c r="R75" t="s">
        <v>47</v>
      </c>
      <c r="S75" t="s">
        <v>48</v>
      </c>
      <c r="T75" t="s">
        <v>123</v>
      </c>
      <c r="U75" t="s">
        <v>309</v>
      </c>
      <c r="V75">
        <v>43500</v>
      </c>
      <c r="W75" t="s">
        <v>47</v>
      </c>
      <c r="X75" t="s">
        <v>310</v>
      </c>
      <c r="Y75" t="s">
        <v>52</v>
      </c>
      <c r="Z75" s="10">
        <f t="shared" si="12"/>
        <v>21</v>
      </c>
      <c r="AA75" s="11">
        <v>-2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13"/>
        <v>1.1399999999999999</v>
      </c>
      <c r="AG75" s="11">
        <f t="shared" si="14"/>
        <v>20.14</v>
      </c>
      <c r="AH75" s="11">
        <v>0</v>
      </c>
      <c r="AI75" s="11">
        <f t="shared" si="15"/>
        <v>20.14</v>
      </c>
      <c r="AJ75" t="s">
        <v>53</v>
      </c>
    </row>
    <row r="76" spans="1:36" ht="15" customHeight="1" x14ac:dyDescent="0.35">
      <c r="A76">
        <v>7547676</v>
      </c>
      <c r="B76" t="s">
        <v>36</v>
      </c>
      <c r="C76" t="s">
        <v>37</v>
      </c>
      <c r="D76" s="6" t="s">
        <v>36</v>
      </c>
      <c r="E76" t="s">
        <v>311</v>
      </c>
      <c r="F76" t="s">
        <v>39</v>
      </c>
      <c r="G76" t="s">
        <v>40</v>
      </c>
      <c r="H76" t="s">
        <v>312</v>
      </c>
      <c r="I76" t="s">
        <v>42</v>
      </c>
      <c r="J76">
        <v>2</v>
      </c>
      <c r="K76" t="s">
        <v>43</v>
      </c>
      <c r="L76" t="s">
        <v>44</v>
      </c>
      <c r="M76" t="s">
        <v>45</v>
      </c>
      <c r="N76" s="7">
        <v>1</v>
      </c>
      <c r="O76" s="8">
        <v>45552.749340277776</v>
      </c>
      <c r="P76" s="9">
        <v>45553</v>
      </c>
      <c r="Q76" t="s">
        <v>46</v>
      </c>
      <c r="R76" t="s">
        <v>47</v>
      </c>
      <c r="S76" t="s">
        <v>48</v>
      </c>
      <c r="T76" t="s">
        <v>61</v>
      </c>
      <c r="U76" t="s">
        <v>313</v>
      </c>
      <c r="V76">
        <v>21200</v>
      </c>
      <c r="W76" t="s">
        <v>47</v>
      </c>
      <c r="X76" t="s">
        <v>63</v>
      </c>
      <c r="Y76" t="s">
        <v>52</v>
      </c>
      <c r="Z76" s="10">
        <f t="shared" si="12"/>
        <v>9</v>
      </c>
      <c r="AA76" s="11">
        <v>-2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13"/>
        <v>0.42</v>
      </c>
      <c r="AG76" s="11">
        <f t="shared" si="14"/>
        <v>7.42</v>
      </c>
      <c r="AH76" s="11">
        <v>0</v>
      </c>
      <c r="AI76" s="11">
        <f t="shared" si="15"/>
        <v>7.42</v>
      </c>
      <c r="AJ76" t="s">
        <v>53</v>
      </c>
    </row>
    <row r="77" spans="1:36" ht="15" customHeight="1" x14ac:dyDescent="0.35">
      <c r="A77">
        <v>7547676</v>
      </c>
      <c r="B77" t="s">
        <v>36</v>
      </c>
      <c r="C77" t="s">
        <v>37</v>
      </c>
      <c r="D77" s="6" t="s">
        <v>36</v>
      </c>
      <c r="E77" t="s">
        <v>314</v>
      </c>
      <c r="F77" t="s">
        <v>39</v>
      </c>
      <c r="G77" t="s">
        <v>40</v>
      </c>
      <c r="H77" t="s">
        <v>308</v>
      </c>
      <c r="I77" t="s">
        <v>42</v>
      </c>
      <c r="J77">
        <v>2</v>
      </c>
      <c r="K77" t="s">
        <v>43</v>
      </c>
      <c r="L77" t="s">
        <v>44</v>
      </c>
      <c r="M77" t="s">
        <v>45</v>
      </c>
      <c r="N77" s="7">
        <v>16</v>
      </c>
      <c r="O77" s="8">
        <v>45552.542083333334</v>
      </c>
      <c r="P77" s="9">
        <v>45553</v>
      </c>
      <c r="Q77" t="s">
        <v>46</v>
      </c>
      <c r="R77" t="s">
        <v>47</v>
      </c>
      <c r="S77" t="s">
        <v>48</v>
      </c>
      <c r="T77" t="s">
        <v>123</v>
      </c>
      <c r="U77" t="s">
        <v>309</v>
      </c>
      <c r="V77">
        <v>43500</v>
      </c>
      <c r="W77" t="s">
        <v>47</v>
      </c>
      <c r="X77" t="s">
        <v>310</v>
      </c>
      <c r="Y77" t="s">
        <v>52</v>
      </c>
      <c r="Z77" s="10">
        <f>IF(N77&lt;=1,9,9+0.8*ROUNDUP(N77-1,0))</f>
        <v>21</v>
      </c>
      <c r="AA77" s="11">
        <v>-2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13"/>
        <v>1.1399999999999999</v>
      </c>
      <c r="AG77" s="11">
        <f t="shared" si="14"/>
        <v>20.14</v>
      </c>
      <c r="AH77" s="11">
        <v>0</v>
      </c>
      <c r="AI77" s="11">
        <f t="shared" si="15"/>
        <v>20.14</v>
      </c>
      <c r="AJ77" t="s">
        <v>53</v>
      </c>
    </row>
    <row r="78" spans="1:36" ht="15" customHeight="1" x14ac:dyDescent="0.35">
      <c r="A78">
        <v>7547676</v>
      </c>
      <c r="B78" t="s">
        <v>36</v>
      </c>
      <c r="C78" t="s">
        <v>37</v>
      </c>
      <c r="D78" s="6" t="s">
        <v>36</v>
      </c>
      <c r="E78" t="s">
        <v>315</v>
      </c>
      <c r="F78" t="s">
        <v>39</v>
      </c>
      <c r="G78" t="s">
        <v>40</v>
      </c>
      <c r="H78" t="s">
        <v>316</v>
      </c>
      <c r="I78" t="s">
        <v>42</v>
      </c>
      <c r="J78">
        <v>2</v>
      </c>
      <c r="K78" t="s">
        <v>43</v>
      </c>
      <c r="L78" t="s">
        <v>44</v>
      </c>
      <c r="M78" t="s">
        <v>45</v>
      </c>
      <c r="N78" s="7">
        <v>1</v>
      </c>
      <c r="O78" s="8">
        <v>45552.742280092592</v>
      </c>
      <c r="P78" s="9">
        <v>45553</v>
      </c>
      <c r="Q78" t="s">
        <v>46</v>
      </c>
      <c r="R78" t="s">
        <v>47</v>
      </c>
      <c r="S78" t="s">
        <v>48</v>
      </c>
      <c r="T78" t="s">
        <v>278</v>
      </c>
      <c r="U78" t="s">
        <v>317</v>
      </c>
      <c r="V78">
        <v>25100</v>
      </c>
      <c r="W78" t="s">
        <v>47</v>
      </c>
      <c r="X78" t="s">
        <v>188</v>
      </c>
      <c r="Y78" t="s">
        <v>52</v>
      </c>
      <c r="Z78" s="10">
        <f t="shared" ref="Z78:Z81" si="16">IF(N78&lt;=1,9,9+0.8*ROUNDUP(N78-1,0))</f>
        <v>9</v>
      </c>
      <c r="AA78" s="11">
        <v>-2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13"/>
        <v>0.42</v>
      </c>
      <c r="AG78" s="11">
        <f t="shared" si="14"/>
        <v>7.42</v>
      </c>
      <c r="AH78" s="11">
        <v>0</v>
      </c>
      <c r="AI78" s="11">
        <f t="shared" si="15"/>
        <v>7.42</v>
      </c>
      <c r="AJ78" t="s">
        <v>53</v>
      </c>
    </row>
    <row r="79" spans="1:36" ht="15" customHeight="1" x14ac:dyDescent="0.35">
      <c r="A79">
        <v>7547676</v>
      </c>
      <c r="B79" t="s">
        <v>36</v>
      </c>
      <c r="C79" t="s">
        <v>37</v>
      </c>
      <c r="D79" s="6" t="s">
        <v>36</v>
      </c>
      <c r="E79" t="s">
        <v>318</v>
      </c>
      <c r="F79" t="s">
        <v>39</v>
      </c>
      <c r="G79" t="s">
        <v>40</v>
      </c>
      <c r="H79" t="s">
        <v>308</v>
      </c>
      <c r="I79" t="s">
        <v>42</v>
      </c>
      <c r="J79">
        <v>2</v>
      </c>
      <c r="K79" t="s">
        <v>43</v>
      </c>
      <c r="L79" t="s">
        <v>44</v>
      </c>
      <c r="M79" t="s">
        <v>45</v>
      </c>
      <c r="N79" s="7">
        <v>16</v>
      </c>
      <c r="O79" s="8">
        <v>45552.542083333334</v>
      </c>
      <c r="P79" s="9">
        <v>45553</v>
      </c>
      <c r="Q79" t="s">
        <v>46</v>
      </c>
      <c r="R79" t="s">
        <v>47</v>
      </c>
      <c r="S79" t="s">
        <v>48</v>
      </c>
      <c r="T79" t="s">
        <v>123</v>
      </c>
      <c r="U79" t="s">
        <v>309</v>
      </c>
      <c r="V79">
        <v>43500</v>
      </c>
      <c r="W79" t="s">
        <v>47</v>
      </c>
      <c r="X79" t="s">
        <v>310</v>
      </c>
      <c r="Y79" t="s">
        <v>52</v>
      </c>
      <c r="Z79" s="10">
        <f t="shared" si="16"/>
        <v>21</v>
      </c>
      <c r="AA79" s="11">
        <v>-2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13"/>
        <v>1.1399999999999999</v>
      </c>
      <c r="AG79" s="11">
        <f t="shared" si="14"/>
        <v>20.14</v>
      </c>
      <c r="AH79" s="11">
        <v>0</v>
      </c>
      <c r="AI79" s="11">
        <f t="shared" si="15"/>
        <v>20.14</v>
      </c>
      <c r="AJ79" t="s">
        <v>53</v>
      </c>
    </row>
    <row r="80" spans="1:36" ht="15" customHeight="1" x14ac:dyDescent="0.35">
      <c r="A80">
        <v>7547676</v>
      </c>
      <c r="B80" t="s">
        <v>36</v>
      </c>
      <c r="C80" t="s">
        <v>37</v>
      </c>
      <c r="D80" s="6" t="s">
        <v>36</v>
      </c>
      <c r="E80" t="s">
        <v>319</v>
      </c>
      <c r="F80" t="s">
        <v>39</v>
      </c>
      <c r="G80" t="s">
        <v>40</v>
      </c>
      <c r="H80" t="s">
        <v>320</v>
      </c>
      <c r="I80" t="s">
        <v>42</v>
      </c>
      <c r="J80">
        <v>2</v>
      </c>
      <c r="K80" t="s">
        <v>43</v>
      </c>
      <c r="L80" t="s">
        <v>44</v>
      </c>
      <c r="M80" t="s">
        <v>45</v>
      </c>
      <c r="N80" s="7">
        <v>1</v>
      </c>
      <c r="O80" s="8">
        <v>45552.603368055556</v>
      </c>
      <c r="P80" s="9">
        <v>45553</v>
      </c>
      <c r="Q80" t="s">
        <v>46</v>
      </c>
      <c r="R80" t="s">
        <v>47</v>
      </c>
      <c r="S80" t="s">
        <v>48</v>
      </c>
      <c r="T80" t="s">
        <v>123</v>
      </c>
      <c r="U80" t="s">
        <v>321</v>
      </c>
      <c r="V80">
        <v>40300</v>
      </c>
      <c r="W80" t="s">
        <v>47</v>
      </c>
      <c r="X80" t="s">
        <v>149</v>
      </c>
      <c r="Y80" t="s">
        <v>52</v>
      </c>
      <c r="Z80" s="10">
        <f t="shared" si="16"/>
        <v>9</v>
      </c>
      <c r="AA80" s="11">
        <v>-2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13"/>
        <v>0.42</v>
      </c>
      <c r="AG80" s="11">
        <f t="shared" si="14"/>
        <v>7.42</v>
      </c>
      <c r="AH80" s="11">
        <v>0</v>
      </c>
      <c r="AI80" s="11">
        <f t="shared" si="15"/>
        <v>7.42</v>
      </c>
      <c r="AJ80" t="s">
        <v>53</v>
      </c>
    </row>
    <row r="81" spans="1:36" ht="15" customHeight="1" x14ac:dyDescent="0.35">
      <c r="A81">
        <v>7547676</v>
      </c>
      <c r="B81" t="s">
        <v>36</v>
      </c>
      <c r="C81" t="s">
        <v>37</v>
      </c>
      <c r="D81" s="6" t="s">
        <v>36</v>
      </c>
      <c r="E81" t="s">
        <v>322</v>
      </c>
      <c r="F81" t="s">
        <v>39</v>
      </c>
      <c r="G81" t="s">
        <v>40</v>
      </c>
      <c r="H81" t="s">
        <v>323</v>
      </c>
      <c r="I81" t="s">
        <v>42</v>
      </c>
      <c r="J81">
        <v>2</v>
      </c>
      <c r="K81" t="s">
        <v>43</v>
      </c>
      <c r="L81" t="s">
        <v>44</v>
      </c>
      <c r="M81" t="s">
        <v>45</v>
      </c>
      <c r="N81" s="7">
        <v>1</v>
      </c>
      <c r="O81" s="8">
        <v>45547.564432870371</v>
      </c>
      <c r="P81" s="9">
        <v>45553</v>
      </c>
      <c r="Q81" t="s">
        <v>46</v>
      </c>
      <c r="R81" t="s">
        <v>47</v>
      </c>
      <c r="S81" t="s">
        <v>48</v>
      </c>
      <c r="T81" t="s">
        <v>80</v>
      </c>
      <c r="U81" t="s">
        <v>324</v>
      </c>
      <c r="V81">
        <v>11800</v>
      </c>
      <c r="W81" t="s">
        <v>47</v>
      </c>
      <c r="X81" t="s">
        <v>325</v>
      </c>
      <c r="Y81" t="s">
        <v>52</v>
      </c>
      <c r="Z81" s="10">
        <f t="shared" si="16"/>
        <v>9</v>
      </c>
      <c r="AA81" s="11">
        <v>-2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13"/>
        <v>0.42</v>
      </c>
      <c r="AG81" s="11">
        <f t="shared" si="14"/>
        <v>7.42</v>
      </c>
      <c r="AH81" s="11">
        <v>0</v>
      </c>
      <c r="AI81" s="11">
        <f t="shared" si="15"/>
        <v>7.42</v>
      </c>
      <c r="AJ81" t="s">
        <v>53</v>
      </c>
    </row>
    <row r="82" spans="1:36" ht="15" customHeight="1" x14ac:dyDescent="0.35">
      <c r="A82">
        <v>7547676</v>
      </c>
      <c r="B82" t="s">
        <v>36</v>
      </c>
      <c r="C82" t="s">
        <v>37</v>
      </c>
      <c r="D82" s="6" t="s">
        <v>36</v>
      </c>
      <c r="E82" t="s">
        <v>326</v>
      </c>
      <c r="F82" t="s">
        <v>39</v>
      </c>
      <c r="G82" t="s">
        <v>40</v>
      </c>
      <c r="H82" t="s">
        <v>327</v>
      </c>
      <c r="I82" t="s">
        <v>42</v>
      </c>
      <c r="J82">
        <v>2</v>
      </c>
      <c r="K82" t="s">
        <v>43</v>
      </c>
      <c r="L82" t="s">
        <v>44</v>
      </c>
      <c r="M82" t="s">
        <v>45</v>
      </c>
      <c r="N82" s="7">
        <v>1</v>
      </c>
      <c r="O82" s="8">
        <v>45550.689409722225</v>
      </c>
      <c r="P82" s="9">
        <v>45553</v>
      </c>
      <c r="Q82" t="s">
        <v>46</v>
      </c>
      <c r="R82" t="s">
        <v>47</v>
      </c>
      <c r="S82" t="s">
        <v>48</v>
      </c>
      <c r="T82" t="s">
        <v>90</v>
      </c>
      <c r="U82" t="s">
        <v>328</v>
      </c>
      <c r="V82">
        <v>89850</v>
      </c>
      <c r="W82" t="s">
        <v>92</v>
      </c>
      <c r="X82" t="s">
        <v>51</v>
      </c>
      <c r="Y82" t="s">
        <v>52</v>
      </c>
      <c r="Z82" s="12">
        <f>IF(N82&lt;=1,13,IF(N82&lt;=2,23,IF(N82&lt;=3,35,IF(N82&lt;=4,43,IF(N82&lt;=5,53,IF(N82&lt;=6,63,IF(N82&lt;=7,71,IF(N82&lt;=8,79,IF(N82&lt;=9,87,IF(N82&lt;=10,95,IF(N82&lt;=11,105,IF(N82&lt;=12,114,IF(N82&lt;=13,119,IF(N82&lt;=14,127,IF(N82&lt;=15,135,IF(N82&lt;=16,143,IF(N82&lt;=17,153,IF(N82&lt;=18,163,IF(N82&lt;=19,171,IF(N82&lt;=20,185,IF(N82&lt;=21,193,IF(N82&lt;=22,201,IF(N82&lt;=23,210,IF(N82&lt;=24,220,IF(N82&lt;=25,230,IF(N82&lt;=26,240,IF(N82&lt;=27,250,IF(N82&lt;=28,260,IF(N82&lt;=29,270,IF(N82&lt;=30,280,280+10*ROUNDUP(N82-30,0)))))))))))))))))))))))))))))))</f>
        <v>13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13"/>
        <v>0.78</v>
      </c>
      <c r="AG82" s="11">
        <f t="shared" si="14"/>
        <v>13.78</v>
      </c>
      <c r="AH82" s="11">
        <v>0</v>
      </c>
      <c r="AI82" s="11">
        <f t="shared" si="15"/>
        <v>13.78</v>
      </c>
      <c r="AJ82" t="s">
        <v>94</v>
      </c>
    </row>
    <row r="83" spans="1:36" ht="15" customHeight="1" x14ac:dyDescent="0.35">
      <c r="A83">
        <v>7547676</v>
      </c>
      <c r="B83" t="s">
        <v>36</v>
      </c>
      <c r="C83" t="s">
        <v>37</v>
      </c>
      <c r="D83" s="6" t="s">
        <v>36</v>
      </c>
      <c r="E83" t="s">
        <v>329</v>
      </c>
      <c r="F83" t="s">
        <v>39</v>
      </c>
      <c r="G83" t="s">
        <v>40</v>
      </c>
      <c r="H83" t="s">
        <v>330</v>
      </c>
      <c r="I83" t="s">
        <v>42</v>
      </c>
      <c r="J83">
        <v>2</v>
      </c>
      <c r="K83" t="s">
        <v>43</v>
      </c>
      <c r="L83" t="s">
        <v>44</v>
      </c>
      <c r="M83" t="s">
        <v>45</v>
      </c>
      <c r="N83" s="7">
        <v>1</v>
      </c>
      <c r="O83" s="8">
        <v>45552.749340277776</v>
      </c>
      <c r="P83" s="9">
        <v>45553</v>
      </c>
      <c r="Q83" t="s">
        <v>46</v>
      </c>
      <c r="R83" t="s">
        <v>47</v>
      </c>
      <c r="S83" t="s">
        <v>48</v>
      </c>
      <c r="T83" t="s">
        <v>123</v>
      </c>
      <c r="U83" t="s">
        <v>331</v>
      </c>
      <c r="V83">
        <v>42600</v>
      </c>
      <c r="W83" t="s">
        <v>47</v>
      </c>
      <c r="X83" t="s">
        <v>235</v>
      </c>
      <c r="Y83" t="s">
        <v>52</v>
      </c>
      <c r="Z83" s="10">
        <f t="shared" ref="Z83:Z88" si="17">IF(N83&lt;=1,9,9+0.8*ROUNDUP(N83-1,0))</f>
        <v>9</v>
      </c>
      <c r="AA83" s="11">
        <v>-2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13"/>
        <v>0.42</v>
      </c>
      <c r="AG83" s="11">
        <f t="shared" si="14"/>
        <v>7.42</v>
      </c>
      <c r="AH83" s="11">
        <v>0</v>
      </c>
      <c r="AI83" s="11">
        <f t="shared" si="15"/>
        <v>7.42</v>
      </c>
      <c r="AJ83" t="s">
        <v>53</v>
      </c>
    </row>
    <row r="84" spans="1:36" ht="15" customHeight="1" x14ac:dyDescent="0.35">
      <c r="A84">
        <v>7547676</v>
      </c>
      <c r="B84" t="s">
        <v>36</v>
      </c>
      <c r="C84" t="s">
        <v>37</v>
      </c>
      <c r="D84" s="6" t="s">
        <v>36</v>
      </c>
      <c r="E84" t="s">
        <v>332</v>
      </c>
      <c r="F84" t="s">
        <v>39</v>
      </c>
      <c r="G84" t="s">
        <v>40</v>
      </c>
      <c r="H84" t="s">
        <v>333</v>
      </c>
      <c r="I84" t="s">
        <v>42</v>
      </c>
      <c r="J84">
        <v>2</v>
      </c>
      <c r="K84" t="s">
        <v>43</v>
      </c>
      <c r="L84" t="s">
        <v>44</v>
      </c>
      <c r="M84" t="s">
        <v>45</v>
      </c>
      <c r="N84" s="7">
        <v>1</v>
      </c>
      <c r="O84" s="8">
        <v>45549.727002314816</v>
      </c>
      <c r="P84" s="9">
        <v>45553</v>
      </c>
      <c r="Q84" t="s">
        <v>46</v>
      </c>
      <c r="R84" t="s">
        <v>47</v>
      </c>
      <c r="S84" t="s">
        <v>48</v>
      </c>
      <c r="T84" t="s">
        <v>80</v>
      </c>
      <c r="U84" t="s">
        <v>334</v>
      </c>
      <c r="V84">
        <v>10200</v>
      </c>
      <c r="W84" t="s">
        <v>47</v>
      </c>
      <c r="X84" t="s">
        <v>113</v>
      </c>
      <c r="Y84" t="s">
        <v>52</v>
      </c>
      <c r="Z84" s="10">
        <f t="shared" si="17"/>
        <v>9</v>
      </c>
      <c r="AA84" s="11">
        <v>-2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13"/>
        <v>0.42</v>
      </c>
      <c r="AG84" s="11">
        <f t="shared" si="14"/>
        <v>7.42</v>
      </c>
      <c r="AH84" s="11">
        <v>0</v>
      </c>
      <c r="AI84" s="11">
        <f t="shared" si="15"/>
        <v>7.42</v>
      </c>
      <c r="AJ84" t="s">
        <v>53</v>
      </c>
    </row>
    <row r="85" spans="1:36" ht="15" customHeight="1" x14ac:dyDescent="0.35">
      <c r="A85">
        <v>7547676</v>
      </c>
      <c r="B85" t="s">
        <v>36</v>
      </c>
      <c r="C85" t="s">
        <v>37</v>
      </c>
      <c r="D85" s="6" t="s">
        <v>36</v>
      </c>
      <c r="E85" t="s">
        <v>335</v>
      </c>
      <c r="F85" t="s">
        <v>39</v>
      </c>
      <c r="G85" t="s">
        <v>40</v>
      </c>
      <c r="H85" t="s">
        <v>336</v>
      </c>
      <c r="I85" t="s">
        <v>42</v>
      </c>
      <c r="J85">
        <v>2</v>
      </c>
      <c r="K85" t="s">
        <v>43</v>
      </c>
      <c r="L85" t="s">
        <v>44</v>
      </c>
      <c r="M85" t="s">
        <v>45</v>
      </c>
      <c r="N85" s="7">
        <v>1</v>
      </c>
      <c r="O85" s="8">
        <v>45547.609270833331</v>
      </c>
      <c r="P85" s="9">
        <v>45553</v>
      </c>
      <c r="Q85" t="s">
        <v>46</v>
      </c>
      <c r="R85" t="s">
        <v>47</v>
      </c>
      <c r="S85" t="s">
        <v>48</v>
      </c>
      <c r="T85" t="s">
        <v>128</v>
      </c>
      <c r="U85" t="s">
        <v>337</v>
      </c>
      <c r="V85">
        <v>46050</v>
      </c>
      <c r="W85" t="s">
        <v>47</v>
      </c>
      <c r="X85" t="s">
        <v>51</v>
      </c>
      <c r="Y85" t="s">
        <v>52</v>
      </c>
      <c r="Z85" s="10">
        <f t="shared" si="17"/>
        <v>9</v>
      </c>
      <c r="AA85" s="11">
        <v>-2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13"/>
        <v>0.42</v>
      </c>
      <c r="AG85" s="11">
        <f t="shared" si="14"/>
        <v>7.42</v>
      </c>
      <c r="AH85" s="11">
        <v>0</v>
      </c>
      <c r="AI85" s="11">
        <f t="shared" si="15"/>
        <v>7.42</v>
      </c>
      <c r="AJ85" t="s">
        <v>53</v>
      </c>
    </row>
    <row r="86" spans="1:36" ht="15" customHeight="1" x14ac:dyDescent="0.35">
      <c r="A86">
        <v>7547676</v>
      </c>
      <c r="B86" t="s">
        <v>36</v>
      </c>
      <c r="C86" t="s">
        <v>37</v>
      </c>
      <c r="D86" s="6" t="s">
        <v>36</v>
      </c>
      <c r="E86" t="s">
        <v>338</v>
      </c>
      <c r="F86" t="s">
        <v>39</v>
      </c>
      <c r="G86" t="s">
        <v>40</v>
      </c>
      <c r="H86" t="s">
        <v>339</v>
      </c>
      <c r="I86" t="s">
        <v>42</v>
      </c>
      <c r="J86">
        <v>2</v>
      </c>
      <c r="K86" t="s">
        <v>43</v>
      </c>
      <c r="L86" t="s">
        <v>44</v>
      </c>
      <c r="M86" t="s">
        <v>45</v>
      </c>
      <c r="N86" s="7">
        <v>1</v>
      </c>
      <c r="O86" s="8">
        <v>45552.749340277776</v>
      </c>
      <c r="P86" s="9">
        <v>45553</v>
      </c>
      <c r="Q86" t="s">
        <v>46</v>
      </c>
      <c r="R86" t="s">
        <v>47</v>
      </c>
      <c r="S86" t="s">
        <v>48</v>
      </c>
      <c r="T86" t="s">
        <v>278</v>
      </c>
      <c r="U86" t="s">
        <v>340</v>
      </c>
      <c r="V86">
        <v>25200</v>
      </c>
      <c r="W86" t="s">
        <v>47</v>
      </c>
      <c r="X86" t="s">
        <v>188</v>
      </c>
      <c r="Y86" t="s">
        <v>52</v>
      </c>
      <c r="Z86" s="10">
        <f t="shared" si="17"/>
        <v>9</v>
      </c>
      <c r="AA86" s="11">
        <v>-2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13"/>
        <v>0.42</v>
      </c>
      <c r="AG86" s="11">
        <f t="shared" si="14"/>
        <v>7.42</v>
      </c>
      <c r="AH86" s="11">
        <v>0</v>
      </c>
      <c r="AI86" s="11">
        <f t="shared" si="15"/>
        <v>7.42</v>
      </c>
      <c r="AJ86" t="s">
        <v>53</v>
      </c>
    </row>
    <row r="87" spans="1:36" ht="15" customHeight="1" x14ac:dyDescent="0.35">
      <c r="A87">
        <v>7547676</v>
      </c>
      <c r="B87" t="s">
        <v>36</v>
      </c>
      <c r="C87" t="s">
        <v>37</v>
      </c>
      <c r="D87" s="6" t="s">
        <v>36</v>
      </c>
      <c r="E87" t="s">
        <v>341</v>
      </c>
      <c r="F87" t="s">
        <v>39</v>
      </c>
      <c r="G87" t="s">
        <v>40</v>
      </c>
      <c r="H87" t="s">
        <v>342</v>
      </c>
      <c r="I87" t="s">
        <v>42</v>
      </c>
      <c r="J87">
        <v>2</v>
      </c>
      <c r="K87" t="s">
        <v>43</v>
      </c>
      <c r="L87" t="s">
        <v>44</v>
      </c>
      <c r="M87" t="s">
        <v>45</v>
      </c>
      <c r="N87" s="7">
        <v>1</v>
      </c>
      <c r="O87" s="8">
        <v>45547.564432870371</v>
      </c>
      <c r="P87" s="9">
        <v>45553</v>
      </c>
      <c r="Q87" t="s">
        <v>46</v>
      </c>
      <c r="R87" t="s">
        <v>47</v>
      </c>
      <c r="S87" t="s">
        <v>48</v>
      </c>
      <c r="T87" t="s">
        <v>123</v>
      </c>
      <c r="U87" t="s">
        <v>343</v>
      </c>
      <c r="V87">
        <v>40450</v>
      </c>
      <c r="W87" t="s">
        <v>47</v>
      </c>
      <c r="X87" t="s">
        <v>51</v>
      </c>
      <c r="Y87" t="s">
        <v>52</v>
      </c>
      <c r="Z87" s="10">
        <f t="shared" si="17"/>
        <v>9</v>
      </c>
      <c r="AA87" s="11">
        <v>-2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13"/>
        <v>0.42</v>
      </c>
      <c r="AG87" s="11">
        <f t="shared" si="14"/>
        <v>7.42</v>
      </c>
      <c r="AH87" s="11">
        <v>0</v>
      </c>
      <c r="AI87" s="11">
        <f t="shared" si="15"/>
        <v>7.42</v>
      </c>
      <c r="AJ87" t="s">
        <v>53</v>
      </c>
    </row>
    <row r="88" spans="1:36" ht="15" customHeight="1" x14ac:dyDescent="0.35">
      <c r="A88">
        <v>7547676</v>
      </c>
      <c r="B88" t="s">
        <v>36</v>
      </c>
      <c r="C88" t="s">
        <v>37</v>
      </c>
      <c r="D88" s="6" t="s">
        <v>36</v>
      </c>
      <c r="E88" t="s">
        <v>344</v>
      </c>
      <c r="F88" t="s">
        <v>39</v>
      </c>
      <c r="G88" t="s">
        <v>40</v>
      </c>
      <c r="H88" t="s">
        <v>345</v>
      </c>
      <c r="I88" t="s">
        <v>42</v>
      </c>
      <c r="J88">
        <v>2</v>
      </c>
      <c r="K88" t="s">
        <v>43</v>
      </c>
      <c r="L88" t="s">
        <v>44</v>
      </c>
      <c r="M88" t="s">
        <v>45</v>
      </c>
      <c r="N88" s="7">
        <v>3</v>
      </c>
      <c r="O88" s="8">
        <v>45552.637476851851</v>
      </c>
      <c r="P88" s="9">
        <v>45553</v>
      </c>
      <c r="Q88" t="s">
        <v>46</v>
      </c>
      <c r="R88" t="s">
        <v>47</v>
      </c>
      <c r="S88" t="s">
        <v>48</v>
      </c>
      <c r="T88" t="s">
        <v>75</v>
      </c>
      <c r="U88" t="s">
        <v>346</v>
      </c>
      <c r="V88">
        <v>18300</v>
      </c>
      <c r="W88" t="s">
        <v>47</v>
      </c>
      <c r="X88" t="s">
        <v>145</v>
      </c>
      <c r="Y88" t="s">
        <v>52</v>
      </c>
      <c r="Z88" s="10">
        <f t="shared" si="17"/>
        <v>10.6</v>
      </c>
      <c r="AA88" s="11">
        <v>-2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13"/>
        <v>0.51600000000000001</v>
      </c>
      <c r="AG88" s="11">
        <f t="shared" si="14"/>
        <v>9.1159999999999997</v>
      </c>
      <c r="AH88" s="11">
        <v>0</v>
      </c>
      <c r="AI88" s="11">
        <f t="shared" si="15"/>
        <v>9.1159999999999997</v>
      </c>
      <c r="AJ88" t="s">
        <v>53</v>
      </c>
    </row>
    <row r="89" spans="1:36" ht="15" customHeight="1" x14ac:dyDescent="0.35">
      <c r="A89">
        <v>7547676</v>
      </c>
      <c r="B89" t="s">
        <v>36</v>
      </c>
      <c r="C89" t="s">
        <v>37</v>
      </c>
      <c r="D89" s="6" t="s">
        <v>36</v>
      </c>
      <c r="E89" t="s">
        <v>347</v>
      </c>
      <c r="F89" t="s">
        <v>39</v>
      </c>
      <c r="G89" t="s">
        <v>40</v>
      </c>
      <c r="H89" t="s">
        <v>348</v>
      </c>
      <c r="I89" t="s">
        <v>42</v>
      </c>
      <c r="J89">
        <v>2</v>
      </c>
      <c r="K89" t="s">
        <v>43</v>
      </c>
      <c r="L89" t="s">
        <v>44</v>
      </c>
      <c r="M89" t="s">
        <v>45</v>
      </c>
      <c r="N89" s="7">
        <v>2</v>
      </c>
      <c r="O89" s="8">
        <v>45553.469733796293</v>
      </c>
      <c r="P89" s="9">
        <v>45554</v>
      </c>
      <c r="Q89" t="s">
        <v>46</v>
      </c>
      <c r="R89" t="s">
        <v>47</v>
      </c>
      <c r="S89" t="s">
        <v>48</v>
      </c>
      <c r="T89" t="s">
        <v>104</v>
      </c>
      <c r="U89" t="s">
        <v>349</v>
      </c>
      <c r="V89">
        <v>75250</v>
      </c>
      <c r="W89" t="s">
        <v>47</v>
      </c>
      <c r="X89" t="s">
        <v>350</v>
      </c>
      <c r="Y89" t="s">
        <v>52</v>
      </c>
      <c r="Z89" s="10">
        <f>IF(N89&lt;=1,9,9+0.8*ROUNDUP(N89-1,0))</f>
        <v>9.8000000000000007</v>
      </c>
      <c r="AA89" s="11">
        <v>-2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13"/>
        <v>0.46800000000000003</v>
      </c>
      <c r="AG89" s="11">
        <f t="shared" si="14"/>
        <v>8.2680000000000007</v>
      </c>
      <c r="AH89" s="11">
        <v>0</v>
      </c>
      <c r="AI89" s="11">
        <f t="shared" si="15"/>
        <v>8.2680000000000007</v>
      </c>
      <c r="AJ89" t="s">
        <v>53</v>
      </c>
    </row>
    <row r="90" spans="1:36" ht="15" customHeight="1" x14ac:dyDescent="0.35">
      <c r="A90">
        <v>7547676</v>
      </c>
      <c r="B90" t="s">
        <v>36</v>
      </c>
      <c r="C90" t="s">
        <v>37</v>
      </c>
      <c r="D90" s="6" t="s">
        <v>36</v>
      </c>
      <c r="E90" t="s">
        <v>351</v>
      </c>
      <c r="F90" t="s">
        <v>39</v>
      </c>
      <c r="G90" t="s">
        <v>40</v>
      </c>
      <c r="H90" t="s">
        <v>352</v>
      </c>
      <c r="I90" t="s">
        <v>42</v>
      </c>
      <c r="J90">
        <v>2</v>
      </c>
      <c r="K90" t="s">
        <v>43</v>
      </c>
      <c r="L90" t="s">
        <v>44</v>
      </c>
      <c r="M90" t="s">
        <v>45</v>
      </c>
      <c r="N90" s="7">
        <v>1</v>
      </c>
      <c r="O90" s="8">
        <v>45550.692835648151</v>
      </c>
      <c r="P90" s="9">
        <v>45554</v>
      </c>
      <c r="Q90" t="s">
        <v>46</v>
      </c>
      <c r="R90" t="s">
        <v>47</v>
      </c>
      <c r="S90" t="s">
        <v>48</v>
      </c>
      <c r="T90" t="s">
        <v>90</v>
      </c>
      <c r="U90" t="s">
        <v>353</v>
      </c>
      <c r="V90">
        <v>90000</v>
      </c>
      <c r="W90" t="s">
        <v>92</v>
      </c>
      <c r="X90" t="s">
        <v>51</v>
      </c>
      <c r="Y90" t="s">
        <v>52</v>
      </c>
      <c r="Z90" s="12">
        <f>IF(N90&lt;=1,13,IF(N90&lt;=2,23,IF(N90&lt;=3,35,IF(N90&lt;=4,43,IF(N90&lt;=5,53,IF(N90&lt;=6,63,IF(N90&lt;=7,71,IF(N90&lt;=8,79,IF(N90&lt;=9,87,IF(N90&lt;=10,95,IF(N90&lt;=11,105,IF(N90&lt;=12,114,IF(N90&lt;=13,119,IF(N90&lt;=14,127,IF(N90&lt;=15,135,IF(N90&lt;=16,143,IF(N90&lt;=17,153,IF(N90&lt;=18,163,IF(N90&lt;=19,171,IF(N90&lt;=20,185,IF(N90&lt;=21,193,IF(N90&lt;=22,201,IF(N90&lt;=23,210,IF(N90&lt;=24,220,IF(N90&lt;=25,230,IF(N90&lt;=26,240,IF(N90&lt;=27,250,IF(N90&lt;=28,260,IF(N90&lt;=29,270,IF(N90&lt;=30,280,280+10*ROUNDUP(N90-30,0)))))))))))))))))))))))))))))))</f>
        <v>13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13"/>
        <v>0.78</v>
      </c>
      <c r="AG90" s="11">
        <f t="shared" si="14"/>
        <v>13.78</v>
      </c>
      <c r="AH90" s="11">
        <v>0</v>
      </c>
      <c r="AI90" s="11">
        <f t="shared" si="15"/>
        <v>13.78</v>
      </c>
      <c r="AJ90" t="s">
        <v>94</v>
      </c>
    </row>
    <row r="91" spans="1:36" ht="15" customHeight="1" x14ac:dyDescent="0.35">
      <c r="A91">
        <v>7547676</v>
      </c>
      <c r="B91" t="s">
        <v>36</v>
      </c>
      <c r="C91" t="s">
        <v>37</v>
      </c>
      <c r="D91" s="6" t="s">
        <v>36</v>
      </c>
      <c r="E91" t="s">
        <v>354</v>
      </c>
      <c r="F91" t="s">
        <v>39</v>
      </c>
      <c r="G91" t="s">
        <v>40</v>
      </c>
      <c r="H91" t="s">
        <v>355</v>
      </c>
      <c r="I91" t="s">
        <v>42</v>
      </c>
      <c r="J91">
        <v>2</v>
      </c>
      <c r="K91" t="s">
        <v>43</v>
      </c>
      <c r="L91" t="s">
        <v>44</v>
      </c>
      <c r="M91" t="s">
        <v>45</v>
      </c>
      <c r="N91" s="7">
        <v>2</v>
      </c>
      <c r="O91" s="8">
        <v>45553.494293981479</v>
      </c>
      <c r="P91" s="9">
        <v>45554</v>
      </c>
      <c r="Q91" t="s">
        <v>46</v>
      </c>
      <c r="R91" t="s">
        <v>47</v>
      </c>
      <c r="S91" t="s">
        <v>48</v>
      </c>
      <c r="T91" t="s">
        <v>128</v>
      </c>
      <c r="U91" t="s">
        <v>356</v>
      </c>
      <c r="V91">
        <v>52100</v>
      </c>
      <c r="W91" t="s">
        <v>47</v>
      </c>
      <c r="X91" t="s">
        <v>357</v>
      </c>
      <c r="Y91" t="s">
        <v>52</v>
      </c>
      <c r="Z91" s="10">
        <f t="shared" ref="Z91:Z134" si="18">IF(N91&lt;=1,9,9+0.8*ROUNDUP(N91-1,0))</f>
        <v>9.8000000000000007</v>
      </c>
      <c r="AA91" s="11">
        <v>-2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13"/>
        <v>0.46800000000000003</v>
      </c>
      <c r="AG91" s="11">
        <f t="shared" si="14"/>
        <v>8.2680000000000007</v>
      </c>
      <c r="AH91" s="11">
        <v>0</v>
      </c>
      <c r="AI91" s="11">
        <f t="shared" si="15"/>
        <v>8.2680000000000007</v>
      </c>
      <c r="AJ91" t="s">
        <v>53</v>
      </c>
    </row>
    <row r="92" spans="1:36" ht="15" customHeight="1" x14ac:dyDescent="0.35">
      <c r="A92">
        <v>7547676</v>
      </c>
      <c r="B92" t="s">
        <v>36</v>
      </c>
      <c r="C92" t="s">
        <v>37</v>
      </c>
      <c r="D92" s="6" t="s">
        <v>36</v>
      </c>
      <c r="E92" t="s">
        <v>358</v>
      </c>
      <c r="F92" t="s">
        <v>39</v>
      </c>
      <c r="G92" t="s">
        <v>40</v>
      </c>
      <c r="H92" t="s">
        <v>359</v>
      </c>
      <c r="I92" t="s">
        <v>42</v>
      </c>
      <c r="J92">
        <v>2</v>
      </c>
      <c r="K92" t="s">
        <v>43</v>
      </c>
      <c r="L92" t="s">
        <v>44</v>
      </c>
      <c r="M92" t="s">
        <v>45</v>
      </c>
      <c r="N92" s="7">
        <v>1</v>
      </c>
      <c r="O92" s="8">
        <v>45552.567962962959</v>
      </c>
      <c r="P92" s="9">
        <v>45554</v>
      </c>
      <c r="Q92" t="s">
        <v>46</v>
      </c>
      <c r="R92" t="s">
        <v>47</v>
      </c>
      <c r="S92" t="s">
        <v>48</v>
      </c>
      <c r="T92" t="s">
        <v>136</v>
      </c>
      <c r="U92" t="s">
        <v>360</v>
      </c>
      <c r="V92">
        <v>34700</v>
      </c>
      <c r="W92" t="s">
        <v>47</v>
      </c>
      <c r="X92" t="s">
        <v>51</v>
      </c>
      <c r="Y92" t="s">
        <v>52</v>
      </c>
      <c r="Z92" s="10">
        <f t="shared" si="18"/>
        <v>9</v>
      </c>
      <c r="AA92" s="11">
        <v>-2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13"/>
        <v>0.42</v>
      </c>
      <c r="AG92" s="11">
        <f t="shared" si="14"/>
        <v>7.42</v>
      </c>
      <c r="AH92" s="11">
        <v>0</v>
      </c>
      <c r="AI92" s="11">
        <f t="shared" si="15"/>
        <v>7.42</v>
      </c>
      <c r="AJ92" t="s">
        <v>53</v>
      </c>
    </row>
    <row r="93" spans="1:36" ht="15" customHeight="1" x14ac:dyDescent="0.35">
      <c r="A93">
        <v>7547676</v>
      </c>
      <c r="B93" t="s">
        <v>36</v>
      </c>
      <c r="C93" t="s">
        <v>37</v>
      </c>
      <c r="D93" s="6" t="s">
        <v>36</v>
      </c>
      <c r="E93" t="s">
        <v>361</v>
      </c>
      <c r="F93" t="s">
        <v>39</v>
      </c>
      <c r="G93" t="s">
        <v>40</v>
      </c>
      <c r="H93" t="s">
        <v>362</v>
      </c>
      <c r="I93" t="s">
        <v>42</v>
      </c>
      <c r="J93">
        <v>2</v>
      </c>
      <c r="K93" t="s">
        <v>43</v>
      </c>
      <c r="L93" t="s">
        <v>44</v>
      </c>
      <c r="M93" t="s">
        <v>45</v>
      </c>
      <c r="N93" s="7">
        <v>1</v>
      </c>
      <c r="O93" s="8">
        <v>45553.46974537037</v>
      </c>
      <c r="P93" s="9">
        <v>45554</v>
      </c>
      <c r="Q93" t="s">
        <v>46</v>
      </c>
      <c r="R93" t="s">
        <v>47</v>
      </c>
      <c r="S93" t="s">
        <v>48</v>
      </c>
      <c r="T93" t="s">
        <v>75</v>
      </c>
      <c r="U93" t="s">
        <v>363</v>
      </c>
      <c r="V93">
        <v>16800</v>
      </c>
      <c r="W93" t="s">
        <v>47</v>
      </c>
      <c r="X93" t="s">
        <v>145</v>
      </c>
      <c r="Y93" t="s">
        <v>52</v>
      </c>
      <c r="Z93" s="10">
        <f t="shared" si="18"/>
        <v>9</v>
      </c>
      <c r="AA93" s="11">
        <v>-2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13"/>
        <v>0.42</v>
      </c>
      <c r="AG93" s="11">
        <f t="shared" si="14"/>
        <v>7.42</v>
      </c>
      <c r="AH93" s="11">
        <v>0</v>
      </c>
      <c r="AI93" s="11">
        <f t="shared" si="15"/>
        <v>7.42</v>
      </c>
      <c r="AJ93" t="s">
        <v>53</v>
      </c>
    </row>
    <row r="94" spans="1:36" ht="15" customHeight="1" x14ac:dyDescent="0.35">
      <c r="A94">
        <v>7547676</v>
      </c>
      <c r="B94" t="s">
        <v>36</v>
      </c>
      <c r="C94" t="s">
        <v>37</v>
      </c>
      <c r="D94" s="6" t="s">
        <v>36</v>
      </c>
      <c r="E94" t="s">
        <v>364</v>
      </c>
      <c r="F94" t="s">
        <v>39</v>
      </c>
      <c r="G94" t="s">
        <v>40</v>
      </c>
      <c r="H94" t="s">
        <v>365</v>
      </c>
      <c r="I94" t="s">
        <v>42</v>
      </c>
      <c r="J94">
        <v>2</v>
      </c>
      <c r="K94" t="s">
        <v>43</v>
      </c>
      <c r="L94" t="s">
        <v>44</v>
      </c>
      <c r="M94" t="s">
        <v>45</v>
      </c>
      <c r="N94" s="7">
        <v>1</v>
      </c>
      <c r="O94" s="8">
        <v>45552.729722222219</v>
      </c>
      <c r="P94" s="9">
        <v>45554</v>
      </c>
      <c r="Q94" t="s">
        <v>46</v>
      </c>
      <c r="R94" t="s">
        <v>47</v>
      </c>
      <c r="S94" t="s">
        <v>48</v>
      </c>
      <c r="T94" t="s">
        <v>66</v>
      </c>
      <c r="U94" t="s">
        <v>366</v>
      </c>
      <c r="V94">
        <v>81900</v>
      </c>
      <c r="W94" t="s">
        <v>47</v>
      </c>
      <c r="X94" t="s">
        <v>51</v>
      </c>
      <c r="Y94" t="s">
        <v>52</v>
      </c>
      <c r="Z94" s="10">
        <f t="shared" si="18"/>
        <v>9</v>
      </c>
      <c r="AA94" s="11">
        <v>-2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13"/>
        <v>0.42</v>
      </c>
      <c r="AG94" s="11">
        <f t="shared" si="14"/>
        <v>7.42</v>
      </c>
      <c r="AH94" s="11">
        <v>0</v>
      </c>
      <c r="AI94" s="11">
        <f t="shared" si="15"/>
        <v>7.42</v>
      </c>
      <c r="AJ94" t="s">
        <v>53</v>
      </c>
    </row>
    <row r="95" spans="1:36" ht="15" customHeight="1" x14ac:dyDescent="0.35">
      <c r="A95">
        <v>7547676</v>
      </c>
      <c r="B95" t="s">
        <v>36</v>
      </c>
      <c r="C95" t="s">
        <v>37</v>
      </c>
      <c r="D95" s="6" t="s">
        <v>36</v>
      </c>
      <c r="E95" t="s">
        <v>367</v>
      </c>
      <c r="F95" t="s">
        <v>39</v>
      </c>
      <c r="G95" t="s">
        <v>40</v>
      </c>
      <c r="H95" t="s">
        <v>368</v>
      </c>
      <c r="I95" t="s">
        <v>42</v>
      </c>
      <c r="J95">
        <v>2</v>
      </c>
      <c r="K95" t="s">
        <v>43</v>
      </c>
      <c r="L95" t="s">
        <v>44</v>
      </c>
      <c r="M95" t="s">
        <v>45</v>
      </c>
      <c r="N95" s="7">
        <v>1</v>
      </c>
      <c r="O95" s="8">
        <v>45553.501296296294</v>
      </c>
      <c r="P95" s="9">
        <v>45554</v>
      </c>
      <c r="Q95" t="s">
        <v>46</v>
      </c>
      <c r="R95" t="s">
        <v>47</v>
      </c>
      <c r="S95" t="s">
        <v>48</v>
      </c>
      <c r="T95" t="s">
        <v>123</v>
      </c>
      <c r="U95" t="s">
        <v>369</v>
      </c>
      <c r="V95">
        <v>40170</v>
      </c>
      <c r="W95" t="s">
        <v>47</v>
      </c>
      <c r="X95" t="s">
        <v>192</v>
      </c>
      <c r="Y95" t="s">
        <v>52</v>
      </c>
      <c r="Z95" s="10">
        <f t="shared" si="18"/>
        <v>9</v>
      </c>
      <c r="AA95" s="11">
        <v>-2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13"/>
        <v>0.42</v>
      </c>
      <c r="AG95" s="11">
        <f t="shared" si="14"/>
        <v>7.42</v>
      </c>
      <c r="AH95" s="11">
        <v>0</v>
      </c>
      <c r="AI95" s="11">
        <f t="shared" si="15"/>
        <v>7.42</v>
      </c>
      <c r="AJ95" t="s">
        <v>53</v>
      </c>
    </row>
    <row r="96" spans="1:36" ht="15" customHeight="1" x14ac:dyDescent="0.35">
      <c r="A96">
        <v>7547676</v>
      </c>
      <c r="B96" t="s">
        <v>36</v>
      </c>
      <c r="C96" t="s">
        <v>37</v>
      </c>
      <c r="D96" s="6" t="s">
        <v>36</v>
      </c>
      <c r="E96" t="s">
        <v>370</v>
      </c>
      <c r="F96" t="s">
        <v>39</v>
      </c>
      <c r="G96" t="s">
        <v>40</v>
      </c>
      <c r="H96" t="s">
        <v>371</v>
      </c>
      <c r="I96" t="s">
        <v>42</v>
      </c>
      <c r="J96">
        <v>2</v>
      </c>
      <c r="K96" t="s">
        <v>43</v>
      </c>
      <c r="L96" t="s">
        <v>44</v>
      </c>
      <c r="M96" t="s">
        <v>45</v>
      </c>
      <c r="N96" s="7">
        <v>1</v>
      </c>
      <c r="O96" s="8">
        <v>45553.623518518521</v>
      </c>
      <c r="P96" s="9">
        <v>45554</v>
      </c>
      <c r="Q96" t="s">
        <v>46</v>
      </c>
      <c r="R96" t="s">
        <v>47</v>
      </c>
      <c r="S96" t="s">
        <v>48</v>
      </c>
      <c r="T96" t="s">
        <v>75</v>
      </c>
      <c r="U96" t="s">
        <v>372</v>
      </c>
      <c r="V96">
        <v>16080</v>
      </c>
      <c r="W96" t="s">
        <v>47</v>
      </c>
      <c r="X96" t="s">
        <v>145</v>
      </c>
      <c r="Y96" t="s">
        <v>52</v>
      </c>
      <c r="Z96" s="10">
        <f t="shared" si="18"/>
        <v>9</v>
      </c>
      <c r="AA96" s="11">
        <v>-2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13"/>
        <v>0.42</v>
      </c>
      <c r="AG96" s="11">
        <f t="shared" si="14"/>
        <v>7.42</v>
      </c>
      <c r="AH96" s="11">
        <v>0</v>
      </c>
      <c r="AI96" s="11">
        <f t="shared" si="15"/>
        <v>7.42</v>
      </c>
      <c r="AJ96" t="s">
        <v>53</v>
      </c>
    </row>
    <row r="97" spans="1:36" ht="15" customHeight="1" x14ac:dyDescent="0.35">
      <c r="A97">
        <v>7547676</v>
      </c>
      <c r="B97" t="s">
        <v>36</v>
      </c>
      <c r="C97" t="s">
        <v>37</v>
      </c>
      <c r="D97" s="6" t="s">
        <v>36</v>
      </c>
      <c r="E97" t="s">
        <v>373</v>
      </c>
      <c r="F97" t="s">
        <v>39</v>
      </c>
      <c r="G97" t="s">
        <v>40</v>
      </c>
      <c r="H97" t="s">
        <v>374</v>
      </c>
      <c r="I97" t="s">
        <v>42</v>
      </c>
      <c r="J97">
        <v>2</v>
      </c>
      <c r="K97" t="s">
        <v>43</v>
      </c>
      <c r="L97" t="s">
        <v>44</v>
      </c>
      <c r="M97" t="s">
        <v>45</v>
      </c>
      <c r="N97" s="7">
        <v>1</v>
      </c>
      <c r="O97" s="8">
        <v>45553.457986111112</v>
      </c>
      <c r="P97" s="9">
        <v>45554</v>
      </c>
      <c r="Q97" t="s">
        <v>46</v>
      </c>
      <c r="R97" t="s">
        <v>47</v>
      </c>
      <c r="S97" t="s">
        <v>48</v>
      </c>
      <c r="T97" t="s">
        <v>75</v>
      </c>
      <c r="U97" t="s">
        <v>375</v>
      </c>
      <c r="V97">
        <v>17010</v>
      </c>
      <c r="W97" t="s">
        <v>47</v>
      </c>
      <c r="X97" t="s">
        <v>145</v>
      </c>
      <c r="Y97" t="s">
        <v>52</v>
      </c>
      <c r="Z97" s="10">
        <f t="shared" si="18"/>
        <v>9</v>
      </c>
      <c r="AA97" s="11">
        <v>-2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13"/>
        <v>0.42</v>
      </c>
      <c r="AG97" s="11">
        <f t="shared" si="14"/>
        <v>7.42</v>
      </c>
      <c r="AH97" s="11">
        <v>0</v>
      </c>
      <c r="AI97" s="11">
        <f t="shared" si="15"/>
        <v>7.42</v>
      </c>
      <c r="AJ97" t="s">
        <v>53</v>
      </c>
    </row>
    <row r="98" spans="1:36" ht="15" customHeight="1" x14ac:dyDescent="0.35">
      <c r="A98">
        <v>7547676</v>
      </c>
      <c r="B98" t="s">
        <v>36</v>
      </c>
      <c r="C98" t="s">
        <v>37</v>
      </c>
      <c r="D98" s="6" t="s">
        <v>36</v>
      </c>
      <c r="E98" t="s">
        <v>376</v>
      </c>
      <c r="F98" t="s">
        <v>39</v>
      </c>
      <c r="G98" t="s">
        <v>40</v>
      </c>
      <c r="H98" t="s">
        <v>377</v>
      </c>
      <c r="I98" t="s">
        <v>42</v>
      </c>
      <c r="J98">
        <v>2</v>
      </c>
      <c r="K98" t="s">
        <v>43</v>
      </c>
      <c r="L98" t="s">
        <v>44</v>
      </c>
      <c r="M98" t="s">
        <v>45</v>
      </c>
      <c r="N98" s="7">
        <v>9</v>
      </c>
      <c r="O98" s="8">
        <v>45552.605636574073</v>
      </c>
      <c r="P98" s="9">
        <v>45554</v>
      </c>
      <c r="Q98" t="s">
        <v>46</v>
      </c>
      <c r="R98" t="s">
        <v>47</v>
      </c>
      <c r="S98" t="s">
        <v>48</v>
      </c>
      <c r="T98" t="s">
        <v>136</v>
      </c>
      <c r="U98" t="s">
        <v>378</v>
      </c>
      <c r="V98">
        <v>34000</v>
      </c>
      <c r="W98" t="s">
        <v>47</v>
      </c>
      <c r="X98" t="s">
        <v>379</v>
      </c>
      <c r="Y98" t="s">
        <v>52</v>
      </c>
      <c r="Z98" s="10">
        <f t="shared" si="18"/>
        <v>15.4</v>
      </c>
      <c r="AA98" s="11">
        <v>-2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13"/>
        <v>0.80399999999999994</v>
      </c>
      <c r="AG98" s="11">
        <f t="shared" si="14"/>
        <v>14.204000000000001</v>
      </c>
      <c r="AH98" s="11">
        <v>0</v>
      </c>
      <c r="AI98" s="11">
        <f t="shared" si="15"/>
        <v>14.204000000000001</v>
      </c>
      <c r="AJ98" t="s">
        <v>53</v>
      </c>
    </row>
    <row r="99" spans="1:36" ht="15" customHeight="1" x14ac:dyDescent="0.35">
      <c r="A99">
        <v>7547676</v>
      </c>
      <c r="B99" t="s">
        <v>36</v>
      </c>
      <c r="C99" t="s">
        <v>37</v>
      </c>
      <c r="D99" s="6" t="s">
        <v>36</v>
      </c>
      <c r="E99" t="s">
        <v>380</v>
      </c>
      <c r="F99" t="s">
        <v>39</v>
      </c>
      <c r="G99" t="s">
        <v>40</v>
      </c>
      <c r="H99" t="s">
        <v>381</v>
      </c>
      <c r="I99" t="s">
        <v>42</v>
      </c>
      <c r="J99">
        <v>2</v>
      </c>
      <c r="K99" t="s">
        <v>43</v>
      </c>
      <c r="L99" t="s">
        <v>44</v>
      </c>
      <c r="M99" t="s">
        <v>45</v>
      </c>
      <c r="N99" s="7">
        <v>1</v>
      </c>
      <c r="O99" s="8">
        <v>45553.504837962966</v>
      </c>
      <c r="P99" s="9">
        <v>45554</v>
      </c>
      <c r="Q99" t="s">
        <v>46</v>
      </c>
      <c r="R99" t="s">
        <v>47</v>
      </c>
      <c r="S99" t="s">
        <v>48</v>
      </c>
      <c r="T99" t="s">
        <v>61</v>
      </c>
      <c r="U99" t="s">
        <v>382</v>
      </c>
      <c r="V99">
        <v>22300</v>
      </c>
      <c r="W99" t="s">
        <v>47</v>
      </c>
      <c r="X99" t="s">
        <v>145</v>
      </c>
      <c r="Y99" t="s">
        <v>52</v>
      </c>
      <c r="Z99" s="10">
        <f t="shared" si="18"/>
        <v>9</v>
      </c>
      <c r="AA99" s="11">
        <v>-2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13"/>
        <v>0.42</v>
      </c>
      <c r="AG99" s="11">
        <f t="shared" si="14"/>
        <v>7.42</v>
      </c>
      <c r="AH99" s="11">
        <v>0</v>
      </c>
      <c r="AI99" s="11">
        <f t="shared" si="15"/>
        <v>7.42</v>
      </c>
      <c r="AJ99" t="s">
        <v>53</v>
      </c>
    </row>
    <row r="100" spans="1:36" ht="15" customHeight="1" x14ac:dyDescent="0.35">
      <c r="A100">
        <v>7547676</v>
      </c>
      <c r="B100" t="s">
        <v>36</v>
      </c>
      <c r="C100" t="s">
        <v>37</v>
      </c>
      <c r="D100" s="6" t="s">
        <v>36</v>
      </c>
      <c r="E100" t="s">
        <v>383</v>
      </c>
      <c r="F100" t="s">
        <v>39</v>
      </c>
      <c r="G100" t="s">
        <v>40</v>
      </c>
      <c r="H100" t="s">
        <v>384</v>
      </c>
      <c r="I100" t="s">
        <v>42</v>
      </c>
      <c r="J100">
        <v>2</v>
      </c>
      <c r="K100" t="s">
        <v>43</v>
      </c>
      <c r="L100" t="s">
        <v>44</v>
      </c>
      <c r="M100" t="s">
        <v>45</v>
      </c>
      <c r="N100" s="7">
        <v>1</v>
      </c>
      <c r="O100" s="8">
        <v>45553.501296296294</v>
      </c>
      <c r="P100" s="9">
        <v>45554</v>
      </c>
      <c r="Q100" t="s">
        <v>46</v>
      </c>
      <c r="R100" t="s">
        <v>47</v>
      </c>
      <c r="S100" t="s">
        <v>48</v>
      </c>
      <c r="T100" t="s">
        <v>61</v>
      </c>
      <c r="U100" t="s">
        <v>385</v>
      </c>
      <c r="V100">
        <v>24000</v>
      </c>
      <c r="W100" t="s">
        <v>47</v>
      </c>
      <c r="X100" t="s">
        <v>188</v>
      </c>
      <c r="Y100" t="s">
        <v>52</v>
      </c>
      <c r="Z100" s="10">
        <f t="shared" si="18"/>
        <v>9</v>
      </c>
      <c r="AA100" s="11">
        <v>-2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13"/>
        <v>0.42</v>
      </c>
      <c r="AG100" s="11">
        <f t="shared" si="14"/>
        <v>7.42</v>
      </c>
      <c r="AH100" s="11">
        <v>0</v>
      </c>
      <c r="AI100" s="11">
        <f t="shared" si="15"/>
        <v>7.42</v>
      </c>
      <c r="AJ100" t="s">
        <v>53</v>
      </c>
    </row>
    <row r="101" spans="1:36" ht="15" customHeight="1" x14ac:dyDescent="0.35">
      <c r="A101">
        <v>7547676</v>
      </c>
      <c r="B101" t="s">
        <v>36</v>
      </c>
      <c r="C101" t="s">
        <v>37</v>
      </c>
      <c r="D101" s="6" t="s">
        <v>36</v>
      </c>
      <c r="E101" t="s">
        <v>386</v>
      </c>
      <c r="F101" t="s">
        <v>39</v>
      </c>
      <c r="G101" t="s">
        <v>40</v>
      </c>
      <c r="H101" t="s">
        <v>387</v>
      </c>
      <c r="I101" t="s">
        <v>42</v>
      </c>
      <c r="J101">
        <v>2</v>
      </c>
      <c r="K101" t="s">
        <v>43</v>
      </c>
      <c r="L101" t="s">
        <v>44</v>
      </c>
      <c r="M101" t="s">
        <v>45</v>
      </c>
      <c r="N101" s="7">
        <v>2</v>
      </c>
      <c r="O101" s="8">
        <v>45552.80846064815</v>
      </c>
      <c r="P101" s="9">
        <v>45554</v>
      </c>
      <c r="Q101" t="s">
        <v>46</v>
      </c>
      <c r="R101" t="s">
        <v>47</v>
      </c>
      <c r="S101" t="s">
        <v>48</v>
      </c>
      <c r="T101" t="s">
        <v>104</v>
      </c>
      <c r="U101" t="s">
        <v>388</v>
      </c>
      <c r="V101">
        <v>75450</v>
      </c>
      <c r="W101" t="s">
        <v>47</v>
      </c>
      <c r="X101" t="s">
        <v>269</v>
      </c>
      <c r="Y101" t="s">
        <v>52</v>
      </c>
      <c r="Z101" s="10">
        <f t="shared" si="18"/>
        <v>9.8000000000000007</v>
      </c>
      <c r="AA101" s="11">
        <v>-2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13"/>
        <v>0.46800000000000003</v>
      </c>
      <c r="AG101" s="11">
        <f t="shared" si="14"/>
        <v>8.2680000000000007</v>
      </c>
      <c r="AH101" s="11">
        <v>0</v>
      </c>
      <c r="AI101" s="11">
        <f t="shared" si="15"/>
        <v>8.2680000000000007</v>
      </c>
      <c r="AJ101" t="s">
        <v>53</v>
      </c>
    </row>
    <row r="102" spans="1:36" ht="15" customHeight="1" x14ac:dyDescent="0.35">
      <c r="A102">
        <v>7547676</v>
      </c>
      <c r="B102" t="s">
        <v>36</v>
      </c>
      <c r="C102" t="s">
        <v>37</v>
      </c>
      <c r="D102" s="6" t="s">
        <v>36</v>
      </c>
      <c r="E102" t="s">
        <v>389</v>
      </c>
      <c r="F102" t="s">
        <v>39</v>
      </c>
      <c r="G102" t="s">
        <v>40</v>
      </c>
      <c r="H102" t="s">
        <v>390</v>
      </c>
      <c r="I102" t="s">
        <v>42</v>
      </c>
      <c r="J102">
        <v>2</v>
      </c>
      <c r="K102" t="s">
        <v>43</v>
      </c>
      <c r="L102" t="s">
        <v>44</v>
      </c>
      <c r="M102" t="s">
        <v>45</v>
      </c>
      <c r="N102" s="7">
        <v>1</v>
      </c>
      <c r="O102" s="8">
        <v>45553.735335648147</v>
      </c>
      <c r="P102" s="9">
        <v>45554</v>
      </c>
      <c r="Q102" t="s">
        <v>46</v>
      </c>
      <c r="R102" t="s">
        <v>47</v>
      </c>
      <c r="S102" t="s">
        <v>48</v>
      </c>
      <c r="T102" t="s">
        <v>123</v>
      </c>
      <c r="U102" t="s">
        <v>391</v>
      </c>
      <c r="V102">
        <v>41050</v>
      </c>
      <c r="W102" t="s">
        <v>47</v>
      </c>
      <c r="X102" t="s">
        <v>392</v>
      </c>
      <c r="Y102" t="s">
        <v>52</v>
      </c>
      <c r="Z102" s="10">
        <f t="shared" si="18"/>
        <v>9</v>
      </c>
      <c r="AA102" s="11">
        <v>-2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13"/>
        <v>0.42</v>
      </c>
      <c r="AG102" s="11">
        <f t="shared" si="14"/>
        <v>7.42</v>
      </c>
      <c r="AH102" s="11">
        <v>0</v>
      </c>
      <c r="AI102" s="11">
        <f t="shared" si="15"/>
        <v>7.42</v>
      </c>
      <c r="AJ102" t="s">
        <v>53</v>
      </c>
    </row>
    <row r="103" spans="1:36" ht="15" customHeight="1" x14ac:dyDescent="0.35">
      <c r="A103">
        <v>7547676</v>
      </c>
      <c r="B103" t="s">
        <v>36</v>
      </c>
      <c r="C103" t="s">
        <v>37</v>
      </c>
      <c r="D103" s="6" t="s">
        <v>36</v>
      </c>
      <c r="E103" t="s">
        <v>393</v>
      </c>
      <c r="F103" t="s">
        <v>39</v>
      </c>
      <c r="G103" t="s">
        <v>40</v>
      </c>
      <c r="H103" t="s">
        <v>394</v>
      </c>
      <c r="I103" t="s">
        <v>42</v>
      </c>
      <c r="J103">
        <v>2</v>
      </c>
      <c r="K103" t="s">
        <v>43</v>
      </c>
      <c r="L103" t="s">
        <v>44</v>
      </c>
      <c r="M103" t="s">
        <v>45</v>
      </c>
      <c r="N103" s="7">
        <v>1</v>
      </c>
      <c r="O103" s="8">
        <v>45553.447268518517</v>
      </c>
      <c r="P103" s="9">
        <v>45554</v>
      </c>
      <c r="Q103" t="s">
        <v>46</v>
      </c>
      <c r="R103" t="s">
        <v>47</v>
      </c>
      <c r="S103" t="s">
        <v>48</v>
      </c>
      <c r="T103" t="s">
        <v>123</v>
      </c>
      <c r="U103" t="s">
        <v>395</v>
      </c>
      <c r="V103">
        <v>41200</v>
      </c>
      <c r="W103" t="s">
        <v>47</v>
      </c>
      <c r="X103" t="s">
        <v>396</v>
      </c>
      <c r="Y103" t="s">
        <v>52</v>
      </c>
      <c r="Z103" s="10">
        <f t="shared" si="18"/>
        <v>9</v>
      </c>
      <c r="AA103" s="11">
        <v>-2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13"/>
        <v>0.42</v>
      </c>
      <c r="AG103" s="11">
        <f t="shared" si="14"/>
        <v>7.42</v>
      </c>
      <c r="AH103" s="11">
        <v>0</v>
      </c>
      <c r="AI103" s="11">
        <f t="shared" si="15"/>
        <v>7.42</v>
      </c>
      <c r="AJ103" t="s">
        <v>53</v>
      </c>
    </row>
    <row r="104" spans="1:36" ht="15" customHeight="1" x14ac:dyDescent="0.35">
      <c r="A104">
        <v>7547676</v>
      </c>
      <c r="B104" t="s">
        <v>36</v>
      </c>
      <c r="C104" t="s">
        <v>37</v>
      </c>
      <c r="D104" s="6" t="s">
        <v>36</v>
      </c>
      <c r="E104" t="s">
        <v>397</v>
      </c>
      <c r="F104" t="s">
        <v>39</v>
      </c>
      <c r="G104" t="s">
        <v>40</v>
      </c>
      <c r="H104" t="s">
        <v>398</v>
      </c>
      <c r="I104" t="s">
        <v>42</v>
      </c>
      <c r="J104">
        <v>2</v>
      </c>
      <c r="K104" t="s">
        <v>43</v>
      </c>
      <c r="L104" t="s">
        <v>44</v>
      </c>
      <c r="M104" t="s">
        <v>45</v>
      </c>
      <c r="N104" s="7">
        <v>1</v>
      </c>
      <c r="O104" s="8">
        <v>45550.723576388889</v>
      </c>
      <c r="P104" s="9">
        <v>45554</v>
      </c>
      <c r="Q104" t="s">
        <v>46</v>
      </c>
      <c r="R104" t="s">
        <v>47</v>
      </c>
      <c r="S104" t="s">
        <v>48</v>
      </c>
      <c r="T104" t="s">
        <v>56</v>
      </c>
      <c r="U104" t="s">
        <v>399</v>
      </c>
      <c r="V104">
        <v>7000</v>
      </c>
      <c r="W104" t="s">
        <v>47</v>
      </c>
      <c r="X104" t="s">
        <v>51</v>
      </c>
      <c r="Y104" t="s">
        <v>52</v>
      </c>
      <c r="Z104" s="10">
        <f t="shared" si="18"/>
        <v>9</v>
      </c>
      <c r="AA104" s="11">
        <v>-2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13"/>
        <v>0.42</v>
      </c>
      <c r="AG104" s="11">
        <f t="shared" si="14"/>
        <v>7.42</v>
      </c>
      <c r="AH104" s="11">
        <v>0</v>
      </c>
      <c r="AI104" s="11">
        <f t="shared" si="15"/>
        <v>7.42</v>
      </c>
      <c r="AJ104" t="s">
        <v>53</v>
      </c>
    </row>
    <row r="105" spans="1:36" ht="15" customHeight="1" x14ac:dyDescent="0.35">
      <c r="A105">
        <v>7547676</v>
      </c>
      <c r="B105" t="s">
        <v>36</v>
      </c>
      <c r="C105" t="s">
        <v>37</v>
      </c>
      <c r="D105" s="6" t="s">
        <v>36</v>
      </c>
      <c r="E105" t="s">
        <v>400</v>
      </c>
      <c r="F105" t="s">
        <v>39</v>
      </c>
      <c r="G105" t="s">
        <v>40</v>
      </c>
      <c r="H105" t="s">
        <v>401</v>
      </c>
      <c r="I105" t="s">
        <v>42</v>
      </c>
      <c r="J105">
        <v>2</v>
      </c>
      <c r="K105" t="s">
        <v>43</v>
      </c>
      <c r="L105" t="s">
        <v>44</v>
      </c>
      <c r="M105" t="s">
        <v>45</v>
      </c>
      <c r="N105" s="7">
        <v>1</v>
      </c>
      <c r="O105" s="8">
        <v>45553.633726851855</v>
      </c>
      <c r="P105" s="9">
        <v>45554</v>
      </c>
      <c r="Q105" t="s">
        <v>46</v>
      </c>
      <c r="R105" t="s">
        <v>47</v>
      </c>
      <c r="S105" t="s">
        <v>48</v>
      </c>
      <c r="T105" t="s">
        <v>61</v>
      </c>
      <c r="U105" t="s">
        <v>402</v>
      </c>
      <c r="V105">
        <v>20200</v>
      </c>
      <c r="W105" t="s">
        <v>47</v>
      </c>
      <c r="X105" t="s">
        <v>63</v>
      </c>
      <c r="Y105" t="s">
        <v>52</v>
      </c>
      <c r="Z105" s="10">
        <f t="shared" si="18"/>
        <v>9</v>
      </c>
      <c r="AA105" s="11">
        <v>-2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13"/>
        <v>0.42</v>
      </c>
      <c r="AG105" s="11">
        <f t="shared" si="14"/>
        <v>7.42</v>
      </c>
      <c r="AH105" s="11">
        <v>0</v>
      </c>
      <c r="AI105" s="11">
        <f t="shared" si="15"/>
        <v>7.42</v>
      </c>
      <c r="AJ105" t="s">
        <v>53</v>
      </c>
    </row>
    <row r="106" spans="1:36" ht="15" customHeight="1" x14ac:dyDescent="0.35">
      <c r="A106">
        <v>7547676</v>
      </c>
      <c r="B106" t="s">
        <v>36</v>
      </c>
      <c r="C106" t="s">
        <v>37</v>
      </c>
      <c r="D106" s="6" t="s">
        <v>36</v>
      </c>
      <c r="E106" t="s">
        <v>403</v>
      </c>
      <c r="F106" t="s">
        <v>39</v>
      </c>
      <c r="G106" t="s">
        <v>40</v>
      </c>
      <c r="H106" t="s">
        <v>404</v>
      </c>
      <c r="I106" t="s">
        <v>42</v>
      </c>
      <c r="J106">
        <v>2</v>
      </c>
      <c r="K106" t="s">
        <v>43</v>
      </c>
      <c r="L106" t="s">
        <v>44</v>
      </c>
      <c r="M106" t="s">
        <v>45</v>
      </c>
      <c r="N106" s="7">
        <v>1</v>
      </c>
      <c r="O106" s="8">
        <v>45552.749340277776</v>
      </c>
      <c r="P106" s="9">
        <v>45554</v>
      </c>
      <c r="Q106" t="s">
        <v>46</v>
      </c>
      <c r="R106" t="s">
        <v>47</v>
      </c>
      <c r="S106" t="s">
        <v>48</v>
      </c>
      <c r="T106" t="s">
        <v>136</v>
      </c>
      <c r="U106" t="s">
        <v>405</v>
      </c>
      <c r="V106">
        <v>33100</v>
      </c>
      <c r="W106" t="s">
        <v>47</v>
      </c>
      <c r="X106" t="s">
        <v>406</v>
      </c>
      <c r="Y106" t="s">
        <v>52</v>
      </c>
      <c r="Z106" s="10">
        <f t="shared" si="18"/>
        <v>9</v>
      </c>
      <c r="AA106" s="11">
        <v>-2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13"/>
        <v>0.42</v>
      </c>
      <c r="AG106" s="11">
        <f t="shared" si="14"/>
        <v>7.42</v>
      </c>
      <c r="AH106" s="11">
        <v>0</v>
      </c>
      <c r="AI106" s="11">
        <f t="shared" si="15"/>
        <v>7.42</v>
      </c>
      <c r="AJ106" t="s">
        <v>53</v>
      </c>
    </row>
    <row r="107" spans="1:36" ht="15" customHeight="1" x14ac:dyDescent="0.35">
      <c r="A107">
        <v>7547676</v>
      </c>
      <c r="B107" t="s">
        <v>36</v>
      </c>
      <c r="C107" t="s">
        <v>37</v>
      </c>
      <c r="D107" s="6" t="s">
        <v>36</v>
      </c>
      <c r="E107" t="s">
        <v>407</v>
      </c>
      <c r="F107" t="s">
        <v>39</v>
      </c>
      <c r="G107" t="s">
        <v>40</v>
      </c>
      <c r="H107" t="s">
        <v>408</v>
      </c>
      <c r="I107" t="s">
        <v>42</v>
      </c>
      <c r="J107">
        <v>2</v>
      </c>
      <c r="K107" t="s">
        <v>43</v>
      </c>
      <c r="L107" t="s">
        <v>44</v>
      </c>
      <c r="M107" t="s">
        <v>45</v>
      </c>
      <c r="N107" s="7">
        <v>1</v>
      </c>
      <c r="O107" s="8">
        <v>45553.457986111112</v>
      </c>
      <c r="P107" s="9">
        <v>45554</v>
      </c>
      <c r="Q107" t="s">
        <v>46</v>
      </c>
      <c r="R107" t="s">
        <v>47</v>
      </c>
      <c r="S107" t="s">
        <v>48</v>
      </c>
      <c r="T107" t="s">
        <v>61</v>
      </c>
      <c r="U107" t="s">
        <v>409</v>
      </c>
      <c r="V107">
        <v>21080</v>
      </c>
      <c r="W107" t="s">
        <v>47</v>
      </c>
      <c r="X107" t="s">
        <v>63</v>
      </c>
      <c r="Y107" t="s">
        <v>52</v>
      </c>
      <c r="Z107" s="10">
        <f t="shared" si="18"/>
        <v>9</v>
      </c>
      <c r="AA107" s="11">
        <v>-2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13"/>
        <v>0.42</v>
      </c>
      <c r="AG107" s="11">
        <f t="shared" si="14"/>
        <v>7.42</v>
      </c>
      <c r="AH107" s="11">
        <v>0</v>
      </c>
      <c r="AI107" s="11">
        <f t="shared" si="15"/>
        <v>7.42</v>
      </c>
      <c r="AJ107" t="s">
        <v>53</v>
      </c>
    </row>
    <row r="108" spans="1:36" ht="15" customHeight="1" x14ac:dyDescent="0.35">
      <c r="A108">
        <v>7547676</v>
      </c>
      <c r="B108" t="s">
        <v>36</v>
      </c>
      <c r="C108" t="s">
        <v>37</v>
      </c>
      <c r="D108" s="6" t="s">
        <v>36</v>
      </c>
      <c r="E108" t="s">
        <v>410</v>
      </c>
      <c r="F108" t="s">
        <v>39</v>
      </c>
      <c r="G108" t="s">
        <v>40</v>
      </c>
      <c r="H108" t="s">
        <v>411</v>
      </c>
      <c r="I108" t="s">
        <v>42</v>
      </c>
      <c r="J108">
        <v>2</v>
      </c>
      <c r="K108" t="s">
        <v>43</v>
      </c>
      <c r="L108" t="s">
        <v>44</v>
      </c>
      <c r="M108" t="s">
        <v>45</v>
      </c>
      <c r="N108" s="7">
        <v>1</v>
      </c>
      <c r="O108" s="8">
        <v>45553.462384259263</v>
      </c>
      <c r="P108" s="9">
        <v>45554</v>
      </c>
      <c r="Q108" t="s">
        <v>46</v>
      </c>
      <c r="R108" t="s">
        <v>47</v>
      </c>
      <c r="S108" t="s">
        <v>48</v>
      </c>
      <c r="T108" t="s">
        <v>61</v>
      </c>
      <c r="U108" t="s">
        <v>412</v>
      </c>
      <c r="V108">
        <v>23000</v>
      </c>
      <c r="W108" t="s">
        <v>47</v>
      </c>
      <c r="X108" t="s">
        <v>63</v>
      </c>
      <c r="Y108" t="s">
        <v>52</v>
      </c>
      <c r="Z108" s="10">
        <f t="shared" si="18"/>
        <v>9</v>
      </c>
      <c r="AA108" s="11">
        <v>-2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13"/>
        <v>0.42</v>
      </c>
      <c r="AG108" s="11">
        <f t="shared" si="14"/>
        <v>7.42</v>
      </c>
      <c r="AH108" s="11">
        <v>0</v>
      </c>
      <c r="AI108" s="11">
        <f t="shared" si="15"/>
        <v>7.42</v>
      </c>
      <c r="AJ108" t="s">
        <v>53</v>
      </c>
    </row>
    <row r="109" spans="1:36" ht="15" customHeight="1" x14ac:dyDescent="0.35">
      <c r="A109">
        <v>7547676</v>
      </c>
      <c r="B109" t="s">
        <v>36</v>
      </c>
      <c r="C109" t="s">
        <v>37</v>
      </c>
      <c r="D109" s="6" t="s">
        <v>36</v>
      </c>
      <c r="E109" t="s">
        <v>413</v>
      </c>
      <c r="F109" t="s">
        <v>39</v>
      </c>
      <c r="G109" t="s">
        <v>40</v>
      </c>
      <c r="H109" t="s">
        <v>414</v>
      </c>
      <c r="I109" t="s">
        <v>42</v>
      </c>
      <c r="J109">
        <v>2</v>
      </c>
      <c r="K109" t="s">
        <v>43</v>
      </c>
      <c r="L109" t="s">
        <v>44</v>
      </c>
      <c r="M109" t="s">
        <v>45</v>
      </c>
      <c r="N109" s="7">
        <v>1</v>
      </c>
      <c r="O109" s="8">
        <v>45553.730034722219</v>
      </c>
      <c r="P109" s="9">
        <v>45554</v>
      </c>
      <c r="Q109" t="s">
        <v>46</v>
      </c>
      <c r="R109" t="s">
        <v>47</v>
      </c>
      <c r="S109" t="s">
        <v>48</v>
      </c>
      <c r="T109" t="s">
        <v>104</v>
      </c>
      <c r="U109" t="s">
        <v>415</v>
      </c>
      <c r="V109">
        <v>75450</v>
      </c>
      <c r="W109" t="s">
        <v>47</v>
      </c>
      <c r="X109" t="s">
        <v>302</v>
      </c>
      <c r="Y109" t="s">
        <v>52</v>
      </c>
      <c r="Z109" s="10">
        <f t="shared" si="18"/>
        <v>9</v>
      </c>
      <c r="AA109" s="11">
        <v>-2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13"/>
        <v>0.42</v>
      </c>
      <c r="AG109" s="11">
        <f t="shared" si="14"/>
        <v>7.42</v>
      </c>
      <c r="AH109" s="11">
        <v>0</v>
      </c>
      <c r="AI109" s="11">
        <f t="shared" si="15"/>
        <v>7.42</v>
      </c>
      <c r="AJ109" t="s">
        <v>53</v>
      </c>
    </row>
    <row r="110" spans="1:36" ht="15" customHeight="1" x14ac:dyDescent="0.35">
      <c r="A110">
        <v>7547676</v>
      </c>
      <c r="B110" t="s">
        <v>36</v>
      </c>
      <c r="C110" t="s">
        <v>37</v>
      </c>
      <c r="D110" s="6" t="s">
        <v>36</v>
      </c>
      <c r="E110" t="s">
        <v>416</v>
      </c>
      <c r="F110" t="s">
        <v>39</v>
      </c>
      <c r="G110" t="s">
        <v>40</v>
      </c>
      <c r="H110" t="s">
        <v>417</v>
      </c>
      <c r="I110" t="s">
        <v>42</v>
      </c>
      <c r="J110">
        <v>2</v>
      </c>
      <c r="K110" t="s">
        <v>43</v>
      </c>
      <c r="L110" t="s">
        <v>44</v>
      </c>
      <c r="M110" t="s">
        <v>45</v>
      </c>
      <c r="N110" s="7">
        <v>1</v>
      </c>
      <c r="O110" s="8">
        <v>45553.504837962966</v>
      </c>
      <c r="P110" s="9">
        <v>45554</v>
      </c>
      <c r="Q110" t="s">
        <v>46</v>
      </c>
      <c r="R110" t="s">
        <v>47</v>
      </c>
      <c r="S110" t="s">
        <v>48</v>
      </c>
      <c r="T110" t="s">
        <v>75</v>
      </c>
      <c r="U110" t="s">
        <v>418</v>
      </c>
      <c r="V110">
        <v>15100</v>
      </c>
      <c r="W110" t="s">
        <v>47</v>
      </c>
      <c r="X110" t="s">
        <v>145</v>
      </c>
      <c r="Y110" t="s">
        <v>52</v>
      </c>
      <c r="Z110" s="10">
        <f t="shared" si="18"/>
        <v>9</v>
      </c>
      <c r="AA110" s="11">
        <v>-2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13"/>
        <v>0.42</v>
      </c>
      <c r="AG110" s="11">
        <f t="shared" si="14"/>
        <v>7.42</v>
      </c>
      <c r="AH110" s="11">
        <v>0</v>
      </c>
      <c r="AI110" s="11">
        <f t="shared" si="15"/>
        <v>7.42</v>
      </c>
      <c r="AJ110" t="s">
        <v>53</v>
      </c>
    </row>
    <row r="111" spans="1:36" ht="15" customHeight="1" x14ac:dyDescent="0.35">
      <c r="A111">
        <v>7547676</v>
      </c>
      <c r="B111" t="s">
        <v>36</v>
      </c>
      <c r="C111" t="s">
        <v>37</v>
      </c>
      <c r="D111" s="6" t="s">
        <v>36</v>
      </c>
      <c r="E111" t="s">
        <v>419</v>
      </c>
      <c r="F111" t="s">
        <v>39</v>
      </c>
      <c r="G111" t="s">
        <v>40</v>
      </c>
      <c r="H111" t="s">
        <v>420</v>
      </c>
      <c r="I111" t="s">
        <v>42</v>
      </c>
      <c r="J111">
        <v>2</v>
      </c>
      <c r="K111" t="s">
        <v>43</v>
      </c>
      <c r="L111" t="s">
        <v>44</v>
      </c>
      <c r="M111" t="s">
        <v>45</v>
      </c>
      <c r="N111" s="7">
        <v>1</v>
      </c>
      <c r="O111" s="8">
        <v>45553.494293981479</v>
      </c>
      <c r="P111" s="9">
        <v>45554</v>
      </c>
      <c r="Q111" t="s">
        <v>46</v>
      </c>
      <c r="R111" t="s">
        <v>47</v>
      </c>
      <c r="S111" t="s">
        <v>48</v>
      </c>
      <c r="T111" t="s">
        <v>75</v>
      </c>
      <c r="U111" t="s">
        <v>421</v>
      </c>
      <c r="V111">
        <v>17200</v>
      </c>
      <c r="W111" t="s">
        <v>47</v>
      </c>
      <c r="X111" t="s">
        <v>145</v>
      </c>
      <c r="Y111" t="s">
        <v>52</v>
      </c>
      <c r="Z111" s="10">
        <f t="shared" si="18"/>
        <v>9</v>
      </c>
      <c r="AA111" s="11">
        <v>-2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13"/>
        <v>0.42</v>
      </c>
      <c r="AG111" s="11">
        <f t="shared" si="14"/>
        <v>7.42</v>
      </c>
      <c r="AH111" s="11">
        <v>0</v>
      </c>
      <c r="AI111" s="11">
        <f t="shared" si="15"/>
        <v>7.42</v>
      </c>
      <c r="AJ111" t="s">
        <v>53</v>
      </c>
    </row>
    <row r="112" spans="1:36" ht="15" customHeight="1" x14ac:dyDescent="0.35">
      <c r="A112">
        <v>7547676</v>
      </c>
      <c r="B112" t="s">
        <v>36</v>
      </c>
      <c r="C112" t="s">
        <v>37</v>
      </c>
      <c r="D112" s="6" t="s">
        <v>36</v>
      </c>
      <c r="E112" t="s">
        <v>422</v>
      </c>
      <c r="F112" t="s">
        <v>39</v>
      </c>
      <c r="G112" t="s">
        <v>40</v>
      </c>
      <c r="H112" t="s">
        <v>423</v>
      </c>
      <c r="I112" t="s">
        <v>42</v>
      </c>
      <c r="J112">
        <v>2</v>
      </c>
      <c r="K112" t="s">
        <v>43</v>
      </c>
      <c r="L112" t="s">
        <v>44</v>
      </c>
      <c r="M112" t="s">
        <v>45</v>
      </c>
      <c r="N112" s="7">
        <v>1</v>
      </c>
      <c r="O112" s="8">
        <v>45553.489745370367</v>
      </c>
      <c r="P112" s="9">
        <v>45554</v>
      </c>
      <c r="Q112" t="s">
        <v>46</v>
      </c>
      <c r="R112" t="s">
        <v>47</v>
      </c>
      <c r="S112" t="s">
        <v>48</v>
      </c>
      <c r="T112" t="s">
        <v>61</v>
      </c>
      <c r="U112" t="s">
        <v>424</v>
      </c>
      <c r="V112">
        <v>20000</v>
      </c>
      <c r="W112" t="s">
        <v>47</v>
      </c>
      <c r="X112" t="s">
        <v>63</v>
      </c>
      <c r="Y112" t="s">
        <v>52</v>
      </c>
      <c r="Z112" s="10">
        <f t="shared" si="18"/>
        <v>9</v>
      </c>
      <c r="AA112" s="11">
        <v>-2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13"/>
        <v>0.42</v>
      </c>
      <c r="AG112" s="11">
        <f t="shared" si="14"/>
        <v>7.42</v>
      </c>
      <c r="AH112" s="11">
        <v>0</v>
      </c>
      <c r="AI112" s="11">
        <f t="shared" si="15"/>
        <v>7.42</v>
      </c>
      <c r="AJ112" t="s">
        <v>53</v>
      </c>
    </row>
    <row r="113" spans="1:36" ht="15" customHeight="1" x14ac:dyDescent="0.35">
      <c r="A113">
        <v>7547676</v>
      </c>
      <c r="B113" t="s">
        <v>36</v>
      </c>
      <c r="C113" t="s">
        <v>37</v>
      </c>
      <c r="D113" s="6" t="s">
        <v>36</v>
      </c>
      <c r="E113" t="s">
        <v>425</v>
      </c>
      <c r="F113" t="s">
        <v>39</v>
      </c>
      <c r="G113" t="s">
        <v>40</v>
      </c>
      <c r="H113" t="s">
        <v>426</v>
      </c>
      <c r="I113" t="s">
        <v>42</v>
      </c>
      <c r="J113">
        <v>2</v>
      </c>
      <c r="K113" t="s">
        <v>43</v>
      </c>
      <c r="L113" t="s">
        <v>44</v>
      </c>
      <c r="M113" t="s">
        <v>45</v>
      </c>
      <c r="N113" s="7">
        <v>1</v>
      </c>
      <c r="O113" s="8">
        <v>45553.725115740737</v>
      </c>
      <c r="P113" s="9">
        <v>45554</v>
      </c>
      <c r="Q113" t="s">
        <v>46</v>
      </c>
      <c r="R113" t="s">
        <v>47</v>
      </c>
      <c r="S113" t="s">
        <v>48</v>
      </c>
      <c r="T113" t="s">
        <v>75</v>
      </c>
      <c r="U113" t="s">
        <v>427</v>
      </c>
      <c r="V113">
        <v>17040</v>
      </c>
      <c r="W113" t="s">
        <v>47</v>
      </c>
      <c r="X113" t="s">
        <v>145</v>
      </c>
      <c r="Y113" t="s">
        <v>52</v>
      </c>
      <c r="Z113" s="10">
        <f t="shared" si="18"/>
        <v>9</v>
      </c>
      <c r="AA113" s="11">
        <v>-2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13"/>
        <v>0.42</v>
      </c>
      <c r="AG113" s="11">
        <f t="shared" si="14"/>
        <v>7.42</v>
      </c>
      <c r="AH113" s="11">
        <v>0</v>
      </c>
      <c r="AI113" s="11">
        <f t="shared" si="15"/>
        <v>7.42</v>
      </c>
      <c r="AJ113" t="s">
        <v>53</v>
      </c>
    </row>
    <row r="114" spans="1:36" ht="15" customHeight="1" x14ac:dyDescent="0.35">
      <c r="A114">
        <v>7547676</v>
      </c>
      <c r="B114" t="s">
        <v>36</v>
      </c>
      <c r="C114" t="s">
        <v>37</v>
      </c>
      <c r="D114" s="6" t="s">
        <v>36</v>
      </c>
      <c r="E114" t="s">
        <v>428</v>
      </c>
      <c r="F114" t="s">
        <v>39</v>
      </c>
      <c r="G114" t="s">
        <v>40</v>
      </c>
      <c r="H114" t="s">
        <v>429</v>
      </c>
      <c r="I114" t="s">
        <v>42</v>
      </c>
      <c r="J114">
        <v>2</v>
      </c>
      <c r="K114" t="s">
        <v>43</v>
      </c>
      <c r="L114" t="s">
        <v>44</v>
      </c>
      <c r="M114" t="s">
        <v>45</v>
      </c>
      <c r="N114" s="7">
        <v>1</v>
      </c>
      <c r="O114" s="8">
        <v>45553.457986111112</v>
      </c>
      <c r="P114" s="9">
        <v>45554</v>
      </c>
      <c r="Q114" t="s">
        <v>46</v>
      </c>
      <c r="R114" t="s">
        <v>47</v>
      </c>
      <c r="S114" t="s">
        <v>48</v>
      </c>
      <c r="T114" t="s">
        <v>123</v>
      </c>
      <c r="U114" t="s">
        <v>430</v>
      </c>
      <c r="V114">
        <v>42700</v>
      </c>
      <c r="W114" t="s">
        <v>47</v>
      </c>
      <c r="X114" t="s">
        <v>431</v>
      </c>
      <c r="Y114" t="s">
        <v>52</v>
      </c>
      <c r="Z114" s="10">
        <f t="shared" si="18"/>
        <v>9</v>
      </c>
      <c r="AA114" s="11">
        <v>-2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13"/>
        <v>0.42</v>
      </c>
      <c r="AG114" s="11">
        <f t="shared" si="14"/>
        <v>7.42</v>
      </c>
      <c r="AH114" s="11">
        <v>0</v>
      </c>
      <c r="AI114" s="11">
        <f t="shared" si="15"/>
        <v>7.42</v>
      </c>
      <c r="AJ114" t="s">
        <v>53</v>
      </c>
    </row>
    <row r="115" spans="1:36" ht="15" customHeight="1" x14ac:dyDescent="0.35">
      <c r="A115">
        <v>7547676</v>
      </c>
      <c r="B115" t="s">
        <v>36</v>
      </c>
      <c r="C115" t="s">
        <v>37</v>
      </c>
      <c r="D115" s="6" t="s">
        <v>36</v>
      </c>
      <c r="E115" t="s">
        <v>432</v>
      </c>
      <c r="F115" t="s">
        <v>39</v>
      </c>
      <c r="G115" t="s">
        <v>40</v>
      </c>
      <c r="H115" t="s">
        <v>433</v>
      </c>
      <c r="I115" t="s">
        <v>42</v>
      </c>
      <c r="J115">
        <v>2</v>
      </c>
      <c r="K115" t="s">
        <v>43</v>
      </c>
      <c r="L115" t="s">
        <v>44</v>
      </c>
      <c r="M115" t="s">
        <v>45</v>
      </c>
      <c r="N115" s="7">
        <v>1</v>
      </c>
      <c r="O115" s="8">
        <v>45553.46974537037</v>
      </c>
      <c r="P115" s="9">
        <v>45554</v>
      </c>
      <c r="Q115" t="s">
        <v>46</v>
      </c>
      <c r="R115" t="s">
        <v>47</v>
      </c>
      <c r="S115" t="s">
        <v>48</v>
      </c>
      <c r="T115" t="s">
        <v>210</v>
      </c>
      <c r="U115" t="s">
        <v>434</v>
      </c>
      <c r="V115">
        <v>73000</v>
      </c>
      <c r="W115" t="s">
        <v>47</v>
      </c>
      <c r="X115" t="s">
        <v>435</v>
      </c>
      <c r="Y115" t="s">
        <v>52</v>
      </c>
      <c r="Z115" s="10">
        <f t="shared" si="18"/>
        <v>9</v>
      </c>
      <c r="AA115" s="11">
        <v>-2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13"/>
        <v>0.42</v>
      </c>
      <c r="AG115" s="11">
        <f t="shared" si="14"/>
        <v>7.42</v>
      </c>
      <c r="AH115" s="11">
        <v>0</v>
      </c>
      <c r="AI115" s="11">
        <f t="shared" si="15"/>
        <v>7.42</v>
      </c>
      <c r="AJ115" t="s">
        <v>53</v>
      </c>
    </row>
    <row r="116" spans="1:36" ht="15" customHeight="1" x14ac:dyDescent="0.35">
      <c r="A116">
        <v>7547676</v>
      </c>
      <c r="B116" t="s">
        <v>36</v>
      </c>
      <c r="C116" t="s">
        <v>37</v>
      </c>
      <c r="D116" s="6" t="s">
        <v>36</v>
      </c>
      <c r="E116" t="s">
        <v>436</v>
      </c>
      <c r="F116" t="s">
        <v>39</v>
      </c>
      <c r="G116" t="s">
        <v>40</v>
      </c>
      <c r="H116" t="s">
        <v>437</v>
      </c>
      <c r="I116" t="s">
        <v>42</v>
      </c>
      <c r="J116">
        <v>2</v>
      </c>
      <c r="K116" t="s">
        <v>43</v>
      </c>
      <c r="L116" t="s">
        <v>44</v>
      </c>
      <c r="M116" t="s">
        <v>45</v>
      </c>
      <c r="N116" s="7">
        <v>1</v>
      </c>
      <c r="O116" s="8">
        <v>45553.479386574072</v>
      </c>
      <c r="P116" s="9">
        <v>45554</v>
      </c>
      <c r="Q116" t="s">
        <v>46</v>
      </c>
      <c r="R116" t="s">
        <v>47</v>
      </c>
      <c r="S116" t="s">
        <v>48</v>
      </c>
      <c r="T116" t="s">
        <v>75</v>
      </c>
      <c r="U116" t="s">
        <v>438</v>
      </c>
      <c r="V116">
        <v>16200</v>
      </c>
      <c r="W116" t="s">
        <v>47</v>
      </c>
      <c r="X116" t="s">
        <v>145</v>
      </c>
      <c r="Y116" t="s">
        <v>52</v>
      </c>
      <c r="Z116" s="10">
        <f t="shared" si="18"/>
        <v>9</v>
      </c>
      <c r="AA116" s="11">
        <v>-2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13"/>
        <v>0.42</v>
      </c>
      <c r="AG116" s="11">
        <f t="shared" si="14"/>
        <v>7.42</v>
      </c>
      <c r="AH116" s="11">
        <v>0</v>
      </c>
      <c r="AI116" s="11">
        <f t="shared" si="15"/>
        <v>7.42</v>
      </c>
      <c r="AJ116" t="s">
        <v>53</v>
      </c>
    </row>
    <row r="117" spans="1:36" ht="15" customHeight="1" x14ac:dyDescent="0.35">
      <c r="A117">
        <v>7547676</v>
      </c>
      <c r="B117" t="s">
        <v>36</v>
      </c>
      <c r="C117" t="s">
        <v>37</v>
      </c>
      <c r="D117" s="6" t="s">
        <v>36</v>
      </c>
      <c r="E117" t="s">
        <v>439</v>
      </c>
      <c r="F117" t="s">
        <v>39</v>
      </c>
      <c r="G117" t="s">
        <v>40</v>
      </c>
      <c r="H117" t="s">
        <v>440</v>
      </c>
      <c r="I117" t="s">
        <v>42</v>
      </c>
      <c r="J117">
        <v>2</v>
      </c>
      <c r="K117" t="s">
        <v>43</v>
      </c>
      <c r="L117" t="s">
        <v>44</v>
      </c>
      <c r="M117" t="s">
        <v>45</v>
      </c>
      <c r="N117" s="7">
        <v>1</v>
      </c>
      <c r="O117" s="8">
        <v>45553.469733796293</v>
      </c>
      <c r="P117" s="9">
        <v>45554</v>
      </c>
      <c r="Q117" t="s">
        <v>46</v>
      </c>
      <c r="R117" t="s">
        <v>47</v>
      </c>
      <c r="S117" t="s">
        <v>48</v>
      </c>
      <c r="T117" t="s">
        <v>104</v>
      </c>
      <c r="U117" t="s">
        <v>441</v>
      </c>
      <c r="V117">
        <v>76400</v>
      </c>
      <c r="W117" t="s">
        <v>47</v>
      </c>
      <c r="X117" t="s">
        <v>350</v>
      </c>
      <c r="Y117" t="s">
        <v>52</v>
      </c>
      <c r="Z117" s="10">
        <f t="shared" si="18"/>
        <v>9</v>
      </c>
      <c r="AA117" s="11">
        <v>-2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13"/>
        <v>0.42</v>
      </c>
      <c r="AG117" s="11">
        <f t="shared" si="14"/>
        <v>7.42</v>
      </c>
      <c r="AH117" s="11">
        <v>0</v>
      </c>
      <c r="AI117" s="11">
        <f t="shared" si="15"/>
        <v>7.42</v>
      </c>
      <c r="AJ117" t="s">
        <v>53</v>
      </c>
    </row>
    <row r="118" spans="1:36" ht="15" customHeight="1" x14ac:dyDescent="0.35">
      <c r="A118">
        <v>7547676</v>
      </c>
      <c r="B118" t="s">
        <v>36</v>
      </c>
      <c r="C118" t="s">
        <v>37</v>
      </c>
      <c r="D118" s="6" t="s">
        <v>36</v>
      </c>
      <c r="E118" t="s">
        <v>442</v>
      </c>
      <c r="F118" t="s">
        <v>39</v>
      </c>
      <c r="G118" t="s">
        <v>40</v>
      </c>
      <c r="H118" t="s">
        <v>443</v>
      </c>
      <c r="I118" t="s">
        <v>42</v>
      </c>
      <c r="J118">
        <v>2</v>
      </c>
      <c r="K118" t="s">
        <v>43</v>
      </c>
      <c r="L118" t="s">
        <v>44</v>
      </c>
      <c r="M118" t="s">
        <v>45</v>
      </c>
      <c r="N118" s="7">
        <v>1</v>
      </c>
      <c r="O118" s="8">
        <v>45553.447280092594</v>
      </c>
      <c r="P118" s="9">
        <v>45554</v>
      </c>
      <c r="Q118" t="s">
        <v>46</v>
      </c>
      <c r="R118" t="s">
        <v>47</v>
      </c>
      <c r="S118" t="s">
        <v>48</v>
      </c>
      <c r="T118" t="s">
        <v>75</v>
      </c>
      <c r="U118" t="s">
        <v>444</v>
      </c>
      <c r="V118">
        <v>15100</v>
      </c>
      <c r="W118" t="s">
        <v>47</v>
      </c>
      <c r="X118" t="s">
        <v>145</v>
      </c>
      <c r="Y118" t="s">
        <v>52</v>
      </c>
      <c r="Z118" s="10">
        <f t="shared" si="18"/>
        <v>9</v>
      </c>
      <c r="AA118" s="11">
        <v>-2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13"/>
        <v>0.42</v>
      </c>
      <c r="AG118" s="11">
        <f t="shared" si="14"/>
        <v>7.42</v>
      </c>
      <c r="AH118" s="11">
        <v>0</v>
      </c>
      <c r="AI118" s="11">
        <f t="shared" si="15"/>
        <v>7.42</v>
      </c>
      <c r="AJ118" t="s">
        <v>53</v>
      </c>
    </row>
    <row r="119" spans="1:36" ht="15" customHeight="1" x14ac:dyDescent="0.35">
      <c r="A119">
        <v>7547676</v>
      </c>
      <c r="B119" t="s">
        <v>36</v>
      </c>
      <c r="C119" t="s">
        <v>37</v>
      </c>
      <c r="D119" s="6" t="s">
        <v>36</v>
      </c>
      <c r="E119" t="s">
        <v>445</v>
      </c>
      <c r="F119" t="s">
        <v>39</v>
      </c>
      <c r="G119" t="s">
        <v>40</v>
      </c>
      <c r="H119" t="s">
        <v>446</v>
      </c>
      <c r="I119" t="s">
        <v>42</v>
      </c>
      <c r="J119">
        <v>2</v>
      </c>
      <c r="K119" t="s">
        <v>43</v>
      </c>
      <c r="L119" t="s">
        <v>44</v>
      </c>
      <c r="M119" t="s">
        <v>45</v>
      </c>
      <c r="N119" s="7">
        <v>1</v>
      </c>
      <c r="O119" s="8">
        <v>45553.576226851852</v>
      </c>
      <c r="P119" s="9">
        <v>45554</v>
      </c>
      <c r="Q119" t="s">
        <v>46</v>
      </c>
      <c r="R119" t="s">
        <v>47</v>
      </c>
      <c r="S119" t="s">
        <v>48</v>
      </c>
      <c r="T119" t="s">
        <v>61</v>
      </c>
      <c r="U119" t="s">
        <v>447</v>
      </c>
      <c r="V119">
        <v>21060</v>
      </c>
      <c r="W119" t="s">
        <v>47</v>
      </c>
      <c r="X119" t="s">
        <v>63</v>
      </c>
      <c r="Y119" t="s">
        <v>52</v>
      </c>
      <c r="Z119" s="10">
        <f t="shared" si="18"/>
        <v>9</v>
      </c>
      <c r="AA119" s="11">
        <v>-2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13"/>
        <v>0.42</v>
      </c>
      <c r="AG119" s="11">
        <f t="shared" si="14"/>
        <v>7.42</v>
      </c>
      <c r="AH119" s="11">
        <v>0</v>
      </c>
      <c r="AI119" s="11">
        <f t="shared" si="15"/>
        <v>7.42</v>
      </c>
      <c r="AJ119" t="s">
        <v>53</v>
      </c>
    </row>
    <row r="120" spans="1:36" ht="15" customHeight="1" x14ac:dyDescent="0.35">
      <c r="A120">
        <v>7547676</v>
      </c>
      <c r="B120" t="s">
        <v>36</v>
      </c>
      <c r="C120" t="s">
        <v>37</v>
      </c>
      <c r="D120" s="6" t="s">
        <v>36</v>
      </c>
      <c r="E120" t="s">
        <v>448</v>
      </c>
      <c r="F120" t="s">
        <v>39</v>
      </c>
      <c r="G120" t="s">
        <v>40</v>
      </c>
      <c r="H120" t="s">
        <v>449</v>
      </c>
      <c r="I120" t="s">
        <v>42</v>
      </c>
      <c r="J120">
        <v>2</v>
      </c>
      <c r="K120" t="s">
        <v>43</v>
      </c>
      <c r="L120" t="s">
        <v>44</v>
      </c>
      <c r="M120" t="s">
        <v>45</v>
      </c>
      <c r="N120" s="7">
        <v>1</v>
      </c>
      <c r="O120" s="8">
        <v>45553.712777777779</v>
      </c>
      <c r="P120" s="9">
        <v>45554</v>
      </c>
      <c r="Q120" t="s">
        <v>46</v>
      </c>
      <c r="R120" t="s">
        <v>47</v>
      </c>
      <c r="S120" t="s">
        <v>48</v>
      </c>
      <c r="T120" t="s">
        <v>123</v>
      </c>
      <c r="U120" t="s">
        <v>450</v>
      </c>
      <c r="V120">
        <v>41200</v>
      </c>
      <c r="W120" t="s">
        <v>47</v>
      </c>
      <c r="X120" t="s">
        <v>396</v>
      </c>
      <c r="Y120" t="s">
        <v>52</v>
      </c>
      <c r="Z120" s="10">
        <f t="shared" si="18"/>
        <v>9</v>
      </c>
      <c r="AA120" s="11">
        <v>-2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13"/>
        <v>0.42</v>
      </c>
      <c r="AG120" s="11">
        <f t="shared" si="14"/>
        <v>7.42</v>
      </c>
      <c r="AH120" s="11">
        <v>0</v>
      </c>
      <c r="AI120" s="11">
        <f t="shared" si="15"/>
        <v>7.42</v>
      </c>
      <c r="AJ120" t="s">
        <v>53</v>
      </c>
    </row>
    <row r="121" spans="1:36" ht="15" customHeight="1" x14ac:dyDescent="0.35">
      <c r="A121">
        <v>7547676</v>
      </c>
      <c r="B121" t="s">
        <v>36</v>
      </c>
      <c r="C121" t="s">
        <v>37</v>
      </c>
      <c r="D121" s="6" t="s">
        <v>36</v>
      </c>
      <c r="E121" t="s">
        <v>451</v>
      </c>
      <c r="F121" t="s">
        <v>39</v>
      </c>
      <c r="G121" t="s">
        <v>40</v>
      </c>
      <c r="H121" t="s">
        <v>452</v>
      </c>
      <c r="I121" t="s">
        <v>42</v>
      </c>
      <c r="J121">
        <v>2</v>
      </c>
      <c r="K121" t="s">
        <v>43</v>
      </c>
      <c r="L121" t="s">
        <v>44</v>
      </c>
      <c r="M121" t="s">
        <v>45</v>
      </c>
      <c r="N121" s="7">
        <v>1</v>
      </c>
      <c r="O121" s="8">
        <v>45553.462384259263</v>
      </c>
      <c r="P121" s="9">
        <v>45554</v>
      </c>
      <c r="Q121" t="s">
        <v>46</v>
      </c>
      <c r="R121" t="s">
        <v>47</v>
      </c>
      <c r="S121" t="s">
        <v>48</v>
      </c>
      <c r="T121" t="s">
        <v>123</v>
      </c>
      <c r="U121" t="s">
        <v>453</v>
      </c>
      <c r="V121">
        <v>43600</v>
      </c>
      <c r="W121" t="s">
        <v>47</v>
      </c>
      <c r="X121" t="s">
        <v>454</v>
      </c>
      <c r="Y121" t="s">
        <v>52</v>
      </c>
      <c r="Z121" s="10">
        <f t="shared" si="18"/>
        <v>9</v>
      </c>
      <c r="AA121" s="11">
        <v>-2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13"/>
        <v>0.42</v>
      </c>
      <c r="AG121" s="11">
        <f t="shared" si="14"/>
        <v>7.42</v>
      </c>
      <c r="AH121" s="11">
        <v>0</v>
      </c>
      <c r="AI121" s="11">
        <f t="shared" si="15"/>
        <v>7.42</v>
      </c>
      <c r="AJ121" t="s">
        <v>53</v>
      </c>
    </row>
    <row r="122" spans="1:36" ht="15" customHeight="1" x14ac:dyDescent="0.35">
      <c r="A122">
        <v>7547676</v>
      </c>
      <c r="B122" t="s">
        <v>36</v>
      </c>
      <c r="C122" t="s">
        <v>37</v>
      </c>
      <c r="D122" s="6" t="s">
        <v>36</v>
      </c>
      <c r="E122" t="s">
        <v>455</v>
      </c>
      <c r="F122" t="s">
        <v>39</v>
      </c>
      <c r="G122" t="s">
        <v>40</v>
      </c>
      <c r="H122" t="s">
        <v>456</v>
      </c>
      <c r="I122" t="s">
        <v>42</v>
      </c>
      <c r="J122">
        <v>2</v>
      </c>
      <c r="K122" t="s">
        <v>43</v>
      </c>
      <c r="L122" t="s">
        <v>44</v>
      </c>
      <c r="M122" t="s">
        <v>45</v>
      </c>
      <c r="N122" s="7">
        <v>1</v>
      </c>
      <c r="O122" s="8">
        <v>45553.479375000003</v>
      </c>
      <c r="P122" s="9">
        <v>45554</v>
      </c>
      <c r="Q122" t="s">
        <v>46</v>
      </c>
      <c r="R122" t="s">
        <v>47</v>
      </c>
      <c r="S122" t="s">
        <v>48</v>
      </c>
      <c r="T122" t="s">
        <v>123</v>
      </c>
      <c r="U122" t="s">
        <v>457</v>
      </c>
      <c r="V122">
        <v>42610</v>
      </c>
      <c r="W122" t="s">
        <v>47</v>
      </c>
      <c r="X122" t="s">
        <v>235</v>
      </c>
      <c r="Y122" t="s">
        <v>52</v>
      </c>
      <c r="Z122" s="10">
        <f t="shared" si="18"/>
        <v>9</v>
      </c>
      <c r="AA122" s="11">
        <v>-2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13"/>
        <v>0.42</v>
      </c>
      <c r="AG122" s="11">
        <f t="shared" si="14"/>
        <v>7.42</v>
      </c>
      <c r="AH122" s="11">
        <v>0</v>
      </c>
      <c r="AI122" s="11">
        <f t="shared" si="15"/>
        <v>7.42</v>
      </c>
      <c r="AJ122" t="s">
        <v>53</v>
      </c>
    </row>
    <row r="123" spans="1:36" ht="15" customHeight="1" x14ac:dyDescent="0.35">
      <c r="A123">
        <v>7547676</v>
      </c>
      <c r="B123" t="s">
        <v>36</v>
      </c>
      <c r="C123" t="s">
        <v>37</v>
      </c>
      <c r="D123" s="6" t="s">
        <v>36</v>
      </c>
      <c r="E123" t="s">
        <v>458</v>
      </c>
      <c r="F123" t="s">
        <v>39</v>
      </c>
      <c r="G123" t="s">
        <v>40</v>
      </c>
      <c r="H123" t="s">
        <v>459</v>
      </c>
      <c r="I123" t="s">
        <v>42</v>
      </c>
      <c r="J123">
        <v>2</v>
      </c>
      <c r="K123" t="s">
        <v>43</v>
      </c>
      <c r="L123" t="s">
        <v>44</v>
      </c>
      <c r="M123" t="s">
        <v>45</v>
      </c>
      <c r="N123" s="7">
        <v>1</v>
      </c>
      <c r="O123" s="8">
        <v>45553.45208333333</v>
      </c>
      <c r="P123" s="9">
        <v>45554</v>
      </c>
      <c r="Q123" t="s">
        <v>46</v>
      </c>
      <c r="R123" t="s">
        <v>47</v>
      </c>
      <c r="S123" t="s">
        <v>48</v>
      </c>
      <c r="T123" t="s">
        <v>123</v>
      </c>
      <c r="U123" t="s">
        <v>460</v>
      </c>
      <c r="V123">
        <v>43000</v>
      </c>
      <c r="W123" t="s">
        <v>47</v>
      </c>
      <c r="X123" t="s">
        <v>461</v>
      </c>
      <c r="Y123" t="s">
        <v>52</v>
      </c>
      <c r="Z123" s="10">
        <f t="shared" si="18"/>
        <v>9</v>
      </c>
      <c r="AA123" s="11">
        <v>-2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13"/>
        <v>0.42</v>
      </c>
      <c r="AG123" s="11">
        <f t="shared" si="14"/>
        <v>7.42</v>
      </c>
      <c r="AH123" s="11">
        <v>0</v>
      </c>
      <c r="AI123" s="11">
        <f t="shared" si="15"/>
        <v>7.42</v>
      </c>
      <c r="AJ123" t="s">
        <v>53</v>
      </c>
    </row>
    <row r="124" spans="1:36" ht="15" customHeight="1" x14ac:dyDescent="0.35">
      <c r="A124">
        <v>7547676</v>
      </c>
      <c r="B124" t="s">
        <v>36</v>
      </c>
      <c r="C124" t="s">
        <v>37</v>
      </c>
      <c r="D124" s="6" t="s">
        <v>36</v>
      </c>
      <c r="E124" t="s">
        <v>462</v>
      </c>
      <c r="F124" t="s">
        <v>39</v>
      </c>
      <c r="G124" t="s">
        <v>40</v>
      </c>
      <c r="H124" t="s">
        <v>463</v>
      </c>
      <c r="I124" t="s">
        <v>42</v>
      </c>
      <c r="J124">
        <v>2</v>
      </c>
      <c r="K124" t="s">
        <v>43</v>
      </c>
      <c r="L124" t="s">
        <v>44</v>
      </c>
      <c r="M124" t="s">
        <v>45</v>
      </c>
      <c r="N124" s="7">
        <v>1</v>
      </c>
      <c r="O124" s="8">
        <v>45553.576226851852</v>
      </c>
      <c r="P124" s="9">
        <v>45554</v>
      </c>
      <c r="Q124" t="s">
        <v>46</v>
      </c>
      <c r="R124" t="s">
        <v>47</v>
      </c>
      <c r="S124" t="s">
        <v>48</v>
      </c>
      <c r="T124" t="s">
        <v>61</v>
      </c>
      <c r="U124" t="s">
        <v>464</v>
      </c>
      <c r="V124">
        <v>23100</v>
      </c>
      <c r="W124" t="s">
        <v>47</v>
      </c>
      <c r="X124" t="s">
        <v>63</v>
      </c>
      <c r="Y124" t="s">
        <v>52</v>
      </c>
      <c r="Z124" s="10">
        <f t="shared" si="18"/>
        <v>9</v>
      </c>
      <c r="AA124" s="11">
        <v>-2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13"/>
        <v>0.42</v>
      </c>
      <c r="AG124" s="11">
        <f t="shared" si="14"/>
        <v>7.42</v>
      </c>
      <c r="AH124" s="11">
        <v>0</v>
      </c>
      <c r="AI124" s="11">
        <f t="shared" si="15"/>
        <v>7.42</v>
      </c>
      <c r="AJ124" t="s">
        <v>53</v>
      </c>
    </row>
    <row r="125" spans="1:36" ht="15" customHeight="1" x14ac:dyDescent="0.35">
      <c r="A125">
        <v>7547676</v>
      </c>
      <c r="B125" t="s">
        <v>36</v>
      </c>
      <c r="C125" t="s">
        <v>37</v>
      </c>
      <c r="D125" s="6" t="s">
        <v>36</v>
      </c>
      <c r="E125" t="s">
        <v>465</v>
      </c>
      <c r="F125" t="s">
        <v>39</v>
      </c>
      <c r="G125" t="s">
        <v>40</v>
      </c>
      <c r="H125" t="s">
        <v>466</v>
      </c>
      <c r="I125" t="s">
        <v>42</v>
      </c>
      <c r="J125">
        <v>2</v>
      </c>
      <c r="K125" t="s">
        <v>43</v>
      </c>
      <c r="L125" t="s">
        <v>44</v>
      </c>
      <c r="M125" t="s">
        <v>45</v>
      </c>
      <c r="N125" s="7">
        <v>1</v>
      </c>
      <c r="O125" s="8">
        <v>45553.501296296294</v>
      </c>
      <c r="P125" s="9">
        <v>45554</v>
      </c>
      <c r="Q125" t="s">
        <v>46</v>
      </c>
      <c r="R125" t="s">
        <v>47</v>
      </c>
      <c r="S125" t="s">
        <v>48</v>
      </c>
      <c r="T125" t="s">
        <v>61</v>
      </c>
      <c r="U125" t="s">
        <v>467</v>
      </c>
      <c r="V125">
        <v>10050</v>
      </c>
      <c r="W125" t="s">
        <v>47</v>
      </c>
      <c r="X125" t="s">
        <v>63</v>
      </c>
      <c r="Y125" t="s">
        <v>52</v>
      </c>
      <c r="Z125" s="10">
        <f t="shared" si="18"/>
        <v>9</v>
      </c>
      <c r="AA125" s="11">
        <v>-2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13"/>
        <v>0.42</v>
      </c>
      <c r="AG125" s="11">
        <f t="shared" si="14"/>
        <v>7.42</v>
      </c>
      <c r="AH125" s="11">
        <v>0</v>
      </c>
      <c r="AI125" s="11">
        <f t="shared" si="15"/>
        <v>7.42</v>
      </c>
      <c r="AJ125" t="s">
        <v>53</v>
      </c>
    </row>
    <row r="126" spans="1:36" ht="15" customHeight="1" x14ac:dyDescent="0.35">
      <c r="A126">
        <v>7547676</v>
      </c>
      <c r="B126" t="s">
        <v>36</v>
      </c>
      <c r="C126" t="s">
        <v>37</v>
      </c>
      <c r="D126" s="6" t="s">
        <v>36</v>
      </c>
      <c r="E126" t="s">
        <v>468</v>
      </c>
      <c r="F126" t="s">
        <v>39</v>
      </c>
      <c r="G126" t="s">
        <v>40</v>
      </c>
      <c r="H126" t="s">
        <v>469</v>
      </c>
      <c r="I126" t="s">
        <v>42</v>
      </c>
      <c r="J126">
        <v>2</v>
      </c>
      <c r="K126" t="s">
        <v>43</v>
      </c>
      <c r="L126" t="s">
        <v>44</v>
      </c>
      <c r="M126" t="s">
        <v>45</v>
      </c>
      <c r="N126" s="7">
        <v>1</v>
      </c>
      <c r="O126" s="8">
        <v>45553.489745370367</v>
      </c>
      <c r="P126" s="9">
        <v>45554</v>
      </c>
      <c r="Q126" t="s">
        <v>46</v>
      </c>
      <c r="R126" t="s">
        <v>47</v>
      </c>
      <c r="S126" t="s">
        <v>48</v>
      </c>
      <c r="T126" t="s">
        <v>61</v>
      </c>
      <c r="U126" t="s">
        <v>470</v>
      </c>
      <c r="V126">
        <v>21100</v>
      </c>
      <c r="W126" t="s">
        <v>47</v>
      </c>
      <c r="X126" t="s">
        <v>63</v>
      </c>
      <c r="Y126" t="s">
        <v>52</v>
      </c>
      <c r="Z126" s="10">
        <f t="shared" si="18"/>
        <v>9</v>
      </c>
      <c r="AA126" s="11">
        <v>-2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13"/>
        <v>0.42</v>
      </c>
      <c r="AG126" s="11">
        <f t="shared" si="14"/>
        <v>7.42</v>
      </c>
      <c r="AH126" s="11">
        <v>0</v>
      </c>
      <c r="AI126" s="11">
        <f t="shared" si="15"/>
        <v>7.42</v>
      </c>
      <c r="AJ126" t="s">
        <v>53</v>
      </c>
    </row>
    <row r="127" spans="1:36" ht="15" customHeight="1" x14ac:dyDescent="0.35">
      <c r="A127">
        <v>7547676</v>
      </c>
      <c r="B127" t="s">
        <v>36</v>
      </c>
      <c r="C127" t="s">
        <v>37</v>
      </c>
      <c r="D127" s="6" t="s">
        <v>36</v>
      </c>
      <c r="E127" t="s">
        <v>471</v>
      </c>
      <c r="F127" t="s">
        <v>39</v>
      </c>
      <c r="G127" t="s">
        <v>40</v>
      </c>
      <c r="H127" t="s">
        <v>472</v>
      </c>
      <c r="I127" t="s">
        <v>42</v>
      </c>
      <c r="J127">
        <v>2</v>
      </c>
      <c r="K127" t="s">
        <v>43</v>
      </c>
      <c r="L127" t="s">
        <v>44</v>
      </c>
      <c r="M127" t="s">
        <v>45</v>
      </c>
      <c r="N127" s="7">
        <v>1</v>
      </c>
      <c r="O127" s="8">
        <v>45553.494293981479</v>
      </c>
      <c r="P127" s="9">
        <v>45554</v>
      </c>
      <c r="Q127" t="s">
        <v>46</v>
      </c>
      <c r="R127" t="s">
        <v>47</v>
      </c>
      <c r="S127" t="s">
        <v>48</v>
      </c>
      <c r="T127" t="s">
        <v>123</v>
      </c>
      <c r="U127" t="s">
        <v>473</v>
      </c>
      <c r="V127">
        <v>68100</v>
      </c>
      <c r="W127" t="s">
        <v>47</v>
      </c>
      <c r="X127" t="s">
        <v>474</v>
      </c>
      <c r="Y127" t="s">
        <v>52</v>
      </c>
      <c r="Z127" s="10">
        <f t="shared" si="18"/>
        <v>9</v>
      </c>
      <c r="AA127" s="11">
        <v>-2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13"/>
        <v>0.42</v>
      </c>
      <c r="AG127" s="11">
        <f t="shared" si="14"/>
        <v>7.42</v>
      </c>
      <c r="AH127" s="11">
        <v>0</v>
      </c>
      <c r="AI127" s="11">
        <f t="shared" si="15"/>
        <v>7.42</v>
      </c>
      <c r="AJ127" t="s">
        <v>53</v>
      </c>
    </row>
    <row r="128" spans="1:36" ht="15" customHeight="1" x14ac:dyDescent="0.35">
      <c r="A128">
        <v>7547676</v>
      </c>
      <c r="B128" t="s">
        <v>36</v>
      </c>
      <c r="C128" t="s">
        <v>37</v>
      </c>
      <c r="D128" s="6" t="s">
        <v>36</v>
      </c>
      <c r="E128" t="s">
        <v>475</v>
      </c>
      <c r="F128" t="s">
        <v>39</v>
      </c>
      <c r="G128" t="s">
        <v>40</v>
      </c>
      <c r="H128" t="s">
        <v>476</v>
      </c>
      <c r="I128" t="s">
        <v>42</v>
      </c>
      <c r="J128">
        <v>2</v>
      </c>
      <c r="K128" t="s">
        <v>43</v>
      </c>
      <c r="L128" t="s">
        <v>44</v>
      </c>
      <c r="M128" t="s">
        <v>45</v>
      </c>
      <c r="N128" s="7">
        <v>1</v>
      </c>
      <c r="O128" s="8">
        <v>45553.719930555555</v>
      </c>
      <c r="P128" s="9">
        <v>45554</v>
      </c>
      <c r="Q128" t="s">
        <v>46</v>
      </c>
      <c r="R128" t="s">
        <v>47</v>
      </c>
      <c r="S128" t="s">
        <v>48</v>
      </c>
      <c r="T128" t="s">
        <v>278</v>
      </c>
      <c r="U128" t="s">
        <v>477</v>
      </c>
      <c r="V128">
        <v>27000</v>
      </c>
      <c r="W128" t="s">
        <v>47</v>
      </c>
      <c r="X128" t="s">
        <v>188</v>
      </c>
      <c r="Y128" t="s">
        <v>52</v>
      </c>
      <c r="Z128" s="10">
        <f t="shared" si="18"/>
        <v>9</v>
      </c>
      <c r="AA128" s="11">
        <v>-2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13"/>
        <v>0.42</v>
      </c>
      <c r="AG128" s="11">
        <f t="shared" si="14"/>
        <v>7.42</v>
      </c>
      <c r="AH128" s="11">
        <v>0</v>
      </c>
      <c r="AI128" s="11">
        <f t="shared" si="15"/>
        <v>7.42</v>
      </c>
      <c r="AJ128" t="s">
        <v>53</v>
      </c>
    </row>
    <row r="129" spans="1:36" ht="15" customHeight="1" x14ac:dyDescent="0.35">
      <c r="A129">
        <v>7547676</v>
      </c>
      <c r="B129" t="s">
        <v>36</v>
      </c>
      <c r="C129" t="s">
        <v>37</v>
      </c>
      <c r="D129" s="6" t="s">
        <v>36</v>
      </c>
      <c r="E129" t="s">
        <v>478</v>
      </c>
      <c r="F129" t="s">
        <v>39</v>
      </c>
      <c r="G129" t="s">
        <v>40</v>
      </c>
      <c r="H129" t="s">
        <v>479</v>
      </c>
      <c r="I129" t="s">
        <v>42</v>
      </c>
      <c r="J129">
        <v>2</v>
      </c>
      <c r="K129" t="s">
        <v>43</v>
      </c>
      <c r="L129" t="s">
        <v>44</v>
      </c>
      <c r="M129" t="s">
        <v>45</v>
      </c>
      <c r="N129" s="7">
        <v>2</v>
      </c>
      <c r="O129" s="8">
        <v>45553.494293981479</v>
      </c>
      <c r="P129" s="9">
        <v>45554</v>
      </c>
      <c r="Q129" t="s">
        <v>46</v>
      </c>
      <c r="R129" t="s">
        <v>47</v>
      </c>
      <c r="S129" t="s">
        <v>48</v>
      </c>
      <c r="T129" t="s">
        <v>123</v>
      </c>
      <c r="U129" t="s">
        <v>480</v>
      </c>
      <c r="V129">
        <v>45500</v>
      </c>
      <c r="W129" t="s">
        <v>47</v>
      </c>
      <c r="X129" t="s">
        <v>125</v>
      </c>
      <c r="Y129" t="s">
        <v>52</v>
      </c>
      <c r="Z129" s="10">
        <f t="shared" si="18"/>
        <v>9.8000000000000007</v>
      </c>
      <c r="AA129" s="11">
        <v>-2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13"/>
        <v>0.46800000000000003</v>
      </c>
      <c r="AG129" s="11">
        <f t="shared" si="14"/>
        <v>8.2680000000000007</v>
      </c>
      <c r="AH129" s="11">
        <v>0</v>
      </c>
      <c r="AI129" s="11">
        <f t="shared" si="15"/>
        <v>8.2680000000000007</v>
      </c>
      <c r="AJ129" t="s">
        <v>53</v>
      </c>
    </row>
    <row r="130" spans="1:36" ht="15" customHeight="1" x14ac:dyDescent="0.35">
      <c r="A130">
        <v>7547676</v>
      </c>
      <c r="B130" t="s">
        <v>36</v>
      </c>
      <c r="C130" t="s">
        <v>37</v>
      </c>
      <c r="D130" s="6" t="s">
        <v>36</v>
      </c>
      <c r="E130" t="s">
        <v>481</v>
      </c>
      <c r="F130" t="s">
        <v>39</v>
      </c>
      <c r="G130" t="s">
        <v>40</v>
      </c>
      <c r="H130" t="s">
        <v>482</v>
      </c>
      <c r="I130" t="s">
        <v>42</v>
      </c>
      <c r="J130">
        <v>2</v>
      </c>
      <c r="K130" t="s">
        <v>43</v>
      </c>
      <c r="L130" t="s">
        <v>44</v>
      </c>
      <c r="M130" t="s">
        <v>45</v>
      </c>
      <c r="N130" s="7">
        <v>1</v>
      </c>
      <c r="O130" s="8">
        <v>45553.730023148149</v>
      </c>
      <c r="P130" s="9">
        <v>45554</v>
      </c>
      <c r="Q130" t="s">
        <v>46</v>
      </c>
      <c r="R130" t="s">
        <v>47</v>
      </c>
      <c r="S130" t="s">
        <v>48</v>
      </c>
      <c r="T130" t="s">
        <v>128</v>
      </c>
      <c r="U130" t="s">
        <v>483</v>
      </c>
      <c r="V130">
        <v>54200</v>
      </c>
      <c r="W130" t="s">
        <v>47</v>
      </c>
      <c r="X130" t="s">
        <v>484</v>
      </c>
      <c r="Y130" t="s">
        <v>52</v>
      </c>
      <c r="Z130" s="10">
        <f t="shared" si="18"/>
        <v>9</v>
      </c>
      <c r="AA130" s="11">
        <v>-2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19">(Z130+AA130+AC130+AE130)*6%</f>
        <v>0.42</v>
      </c>
      <c r="AG130" s="11">
        <f t="shared" ref="AG130:AG193" si="20">Z130+AA130+AC130+AE130+AF130</f>
        <v>7.42</v>
      </c>
      <c r="AH130" s="11">
        <v>0</v>
      </c>
      <c r="AI130" s="11">
        <f t="shared" ref="AI130:AI193" si="21">AG130+AH130</f>
        <v>7.42</v>
      </c>
      <c r="AJ130" t="s">
        <v>53</v>
      </c>
    </row>
    <row r="131" spans="1:36" ht="15" customHeight="1" x14ac:dyDescent="0.35">
      <c r="A131">
        <v>7547676</v>
      </c>
      <c r="B131" t="s">
        <v>36</v>
      </c>
      <c r="C131" t="s">
        <v>37</v>
      </c>
      <c r="D131" s="6" t="s">
        <v>36</v>
      </c>
      <c r="E131" t="s">
        <v>485</v>
      </c>
      <c r="F131" t="s">
        <v>39</v>
      </c>
      <c r="G131" t="s">
        <v>40</v>
      </c>
      <c r="H131" t="s">
        <v>486</v>
      </c>
      <c r="I131" t="s">
        <v>42</v>
      </c>
      <c r="J131">
        <v>2</v>
      </c>
      <c r="K131" t="s">
        <v>43</v>
      </c>
      <c r="L131" t="s">
        <v>44</v>
      </c>
      <c r="M131" t="s">
        <v>45</v>
      </c>
      <c r="N131" s="7">
        <v>1</v>
      </c>
      <c r="O131" s="8">
        <v>45553.462384259263</v>
      </c>
      <c r="P131" s="9">
        <v>45554</v>
      </c>
      <c r="Q131" t="s">
        <v>46</v>
      </c>
      <c r="R131" t="s">
        <v>47</v>
      </c>
      <c r="S131" t="s">
        <v>48</v>
      </c>
      <c r="T131" t="s">
        <v>61</v>
      </c>
      <c r="U131" t="s">
        <v>487</v>
      </c>
      <c r="V131">
        <v>23000</v>
      </c>
      <c r="W131" t="s">
        <v>47</v>
      </c>
      <c r="X131" t="s">
        <v>63</v>
      </c>
      <c r="Y131" t="s">
        <v>52</v>
      </c>
      <c r="Z131" s="10">
        <f t="shared" si="18"/>
        <v>9</v>
      </c>
      <c r="AA131" s="11">
        <v>-2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19"/>
        <v>0.42</v>
      </c>
      <c r="AG131" s="11">
        <f t="shared" si="20"/>
        <v>7.42</v>
      </c>
      <c r="AH131" s="11">
        <v>0</v>
      </c>
      <c r="AI131" s="11">
        <f t="shared" si="21"/>
        <v>7.42</v>
      </c>
      <c r="AJ131" t="s">
        <v>53</v>
      </c>
    </row>
    <row r="132" spans="1:36" ht="15" customHeight="1" x14ac:dyDescent="0.35">
      <c r="A132">
        <v>7547676</v>
      </c>
      <c r="B132" t="s">
        <v>36</v>
      </c>
      <c r="C132" t="s">
        <v>37</v>
      </c>
      <c r="D132" s="6" t="s">
        <v>36</v>
      </c>
      <c r="E132" t="s">
        <v>488</v>
      </c>
      <c r="F132" t="s">
        <v>39</v>
      </c>
      <c r="G132" t="s">
        <v>40</v>
      </c>
      <c r="H132" t="s">
        <v>489</v>
      </c>
      <c r="I132" t="s">
        <v>42</v>
      </c>
      <c r="J132">
        <v>2</v>
      </c>
      <c r="K132" t="s">
        <v>43</v>
      </c>
      <c r="L132" t="s">
        <v>44</v>
      </c>
      <c r="M132" t="s">
        <v>45</v>
      </c>
      <c r="N132" s="7">
        <v>1</v>
      </c>
      <c r="O132" s="8">
        <v>45553.489745370367</v>
      </c>
      <c r="P132" s="9">
        <v>45554</v>
      </c>
      <c r="Q132" t="s">
        <v>46</v>
      </c>
      <c r="R132" t="s">
        <v>47</v>
      </c>
      <c r="S132" t="s">
        <v>48</v>
      </c>
      <c r="T132" t="s">
        <v>104</v>
      </c>
      <c r="U132" t="s">
        <v>490</v>
      </c>
      <c r="V132">
        <v>78300</v>
      </c>
      <c r="W132" t="s">
        <v>47</v>
      </c>
      <c r="X132" t="s">
        <v>350</v>
      </c>
      <c r="Y132" t="s">
        <v>52</v>
      </c>
      <c r="Z132" s="10">
        <f t="shared" si="18"/>
        <v>9</v>
      </c>
      <c r="AA132" s="11">
        <v>-2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19"/>
        <v>0.42</v>
      </c>
      <c r="AG132" s="11">
        <f t="shared" si="20"/>
        <v>7.42</v>
      </c>
      <c r="AH132" s="11">
        <v>0</v>
      </c>
      <c r="AI132" s="11">
        <f t="shared" si="21"/>
        <v>7.42</v>
      </c>
      <c r="AJ132" t="s">
        <v>53</v>
      </c>
    </row>
    <row r="133" spans="1:36" ht="15" customHeight="1" x14ac:dyDescent="0.35">
      <c r="A133">
        <v>7547676</v>
      </c>
      <c r="B133" t="s">
        <v>36</v>
      </c>
      <c r="C133" t="s">
        <v>37</v>
      </c>
      <c r="D133" s="6" t="s">
        <v>36</v>
      </c>
      <c r="E133" t="s">
        <v>491</v>
      </c>
      <c r="F133" t="s">
        <v>39</v>
      </c>
      <c r="G133" t="s">
        <v>40</v>
      </c>
      <c r="H133" t="s">
        <v>492</v>
      </c>
      <c r="I133" t="s">
        <v>42</v>
      </c>
      <c r="J133">
        <v>2</v>
      </c>
      <c r="K133" t="s">
        <v>43</v>
      </c>
      <c r="L133" t="s">
        <v>44</v>
      </c>
      <c r="M133" t="s">
        <v>45</v>
      </c>
      <c r="N133" s="7">
        <v>1</v>
      </c>
      <c r="O133" s="8">
        <v>45552.742280092592</v>
      </c>
      <c r="P133" s="9">
        <v>45554</v>
      </c>
      <c r="Q133" t="s">
        <v>46</v>
      </c>
      <c r="R133" t="s">
        <v>47</v>
      </c>
      <c r="S133" t="s">
        <v>48</v>
      </c>
      <c r="T133" t="s">
        <v>136</v>
      </c>
      <c r="U133" t="s">
        <v>493</v>
      </c>
      <c r="V133">
        <v>32610</v>
      </c>
      <c r="W133" t="s">
        <v>47</v>
      </c>
      <c r="X133" t="s">
        <v>286</v>
      </c>
      <c r="Y133" t="s">
        <v>52</v>
      </c>
      <c r="Z133" s="10">
        <f t="shared" si="18"/>
        <v>9</v>
      </c>
      <c r="AA133" s="11">
        <v>-2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19"/>
        <v>0.42</v>
      </c>
      <c r="AG133" s="11">
        <f t="shared" si="20"/>
        <v>7.42</v>
      </c>
      <c r="AH133" s="11">
        <v>0</v>
      </c>
      <c r="AI133" s="11">
        <f t="shared" si="21"/>
        <v>7.42</v>
      </c>
      <c r="AJ133" t="s">
        <v>53</v>
      </c>
    </row>
    <row r="134" spans="1:36" ht="15" customHeight="1" x14ac:dyDescent="0.35">
      <c r="A134">
        <v>7547676</v>
      </c>
      <c r="B134" t="s">
        <v>36</v>
      </c>
      <c r="C134" t="s">
        <v>37</v>
      </c>
      <c r="D134" s="6" t="s">
        <v>36</v>
      </c>
      <c r="E134" t="s">
        <v>494</v>
      </c>
      <c r="F134" t="s">
        <v>39</v>
      </c>
      <c r="G134" t="s">
        <v>40</v>
      </c>
      <c r="H134" t="s">
        <v>495</v>
      </c>
      <c r="I134" t="s">
        <v>42</v>
      </c>
      <c r="J134">
        <v>2</v>
      </c>
      <c r="K134" t="s">
        <v>43</v>
      </c>
      <c r="L134" t="s">
        <v>44</v>
      </c>
      <c r="M134" t="s">
        <v>45</v>
      </c>
      <c r="N134" s="7">
        <v>1</v>
      </c>
      <c r="O134" s="8">
        <v>45553.46974537037</v>
      </c>
      <c r="P134" s="9">
        <v>45554</v>
      </c>
      <c r="Q134" t="s">
        <v>46</v>
      </c>
      <c r="R134" t="s">
        <v>47</v>
      </c>
      <c r="S134" t="s">
        <v>48</v>
      </c>
      <c r="T134" t="s">
        <v>75</v>
      </c>
      <c r="U134" t="s">
        <v>496</v>
      </c>
      <c r="V134">
        <v>15350</v>
      </c>
      <c r="W134" t="s">
        <v>47</v>
      </c>
      <c r="X134" t="s">
        <v>145</v>
      </c>
      <c r="Y134" t="s">
        <v>52</v>
      </c>
      <c r="Z134" s="10">
        <f t="shared" si="18"/>
        <v>9</v>
      </c>
      <c r="AA134" s="11">
        <v>-2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19"/>
        <v>0.42</v>
      </c>
      <c r="AG134" s="11">
        <f t="shared" si="20"/>
        <v>7.42</v>
      </c>
      <c r="AH134" s="11">
        <v>0</v>
      </c>
      <c r="AI134" s="11">
        <f t="shared" si="21"/>
        <v>7.42</v>
      </c>
      <c r="AJ134" t="s">
        <v>53</v>
      </c>
    </row>
    <row r="135" spans="1:36" ht="15" customHeight="1" x14ac:dyDescent="0.35">
      <c r="A135">
        <v>7547676</v>
      </c>
      <c r="B135" t="s">
        <v>36</v>
      </c>
      <c r="C135" t="s">
        <v>37</v>
      </c>
      <c r="D135" s="6" t="s">
        <v>36</v>
      </c>
      <c r="E135" t="s">
        <v>497</v>
      </c>
      <c r="F135" t="s">
        <v>39</v>
      </c>
      <c r="G135" t="s">
        <v>40</v>
      </c>
      <c r="H135" t="s">
        <v>498</v>
      </c>
      <c r="I135" t="s">
        <v>42</v>
      </c>
      <c r="J135">
        <v>2</v>
      </c>
      <c r="K135" t="s">
        <v>43</v>
      </c>
      <c r="L135" t="s">
        <v>44</v>
      </c>
      <c r="M135" t="s">
        <v>45</v>
      </c>
      <c r="N135" s="7">
        <v>1</v>
      </c>
      <c r="O135" s="8">
        <v>45552.438414351855</v>
      </c>
      <c r="P135" s="9">
        <v>45554</v>
      </c>
      <c r="Q135" t="s">
        <v>46</v>
      </c>
      <c r="R135" t="s">
        <v>47</v>
      </c>
      <c r="S135" t="s">
        <v>48</v>
      </c>
      <c r="T135" t="s">
        <v>90</v>
      </c>
      <c r="U135" t="s">
        <v>499</v>
      </c>
      <c r="V135">
        <v>88450</v>
      </c>
      <c r="W135" t="s">
        <v>92</v>
      </c>
      <c r="X135" t="s">
        <v>51</v>
      </c>
      <c r="Y135" t="s">
        <v>52</v>
      </c>
      <c r="Z135" s="12">
        <f>IF(N135&lt;=1,13,IF(N135&lt;=2,23,IF(N135&lt;=3,35,IF(N135&lt;=4,43,IF(N135&lt;=5,53,IF(N135&lt;=6,63,IF(N135&lt;=7,71,IF(N135&lt;=8,79,IF(N135&lt;=9,87,IF(N135&lt;=10,95,IF(N135&lt;=11,105,IF(N135&lt;=12,114,IF(N135&lt;=13,119,IF(N135&lt;=14,127,IF(N135&lt;=15,135,IF(N135&lt;=16,143,IF(N135&lt;=17,153,IF(N135&lt;=18,163,IF(N135&lt;=19,171,IF(N135&lt;=20,185,IF(N135&lt;=21,193,IF(N135&lt;=22,201,IF(N135&lt;=23,210,IF(N135&lt;=24,220,IF(N135&lt;=25,230,IF(N135&lt;=26,240,IF(N135&lt;=27,250,IF(N135&lt;=28,260,IF(N135&lt;=29,270,IF(N135&lt;=30,280,280+10*ROUNDUP(N135-30,0)))))))))))))))))))))))))))))))</f>
        <v>13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19"/>
        <v>0.78</v>
      </c>
      <c r="AG135" s="11">
        <f t="shared" si="20"/>
        <v>13.78</v>
      </c>
      <c r="AH135" s="11">
        <v>0</v>
      </c>
      <c r="AI135" s="11">
        <f t="shared" si="21"/>
        <v>13.78</v>
      </c>
      <c r="AJ135" t="s">
        <v>94</v>
      </c>
    </row>
    <row r="136" spans="1:36" ht="15" customHeight="1" x14ac:dyDescent="0.35">
      <c r="A136">
        <v>7547676</v>
      </c>
      <c r="B136" t="s">
        <v>36</v>
      </c>
      <c r="C136" t="s">
        <v>37</v>
      </c>
      <c r="D136" s="6" t="s">
        <v>36</v>
      </c>
      <c r="E136" t="s">
        <v>500</v>
      </c>
      <c r="F136" t="s">
        <v>39</v>
      </c>
      <c r="G136" t="s">
        <v>40</v>
      </c>
      <c r="H136" t="s">
        <v>501</v>
      </c>
      <c r="I136" t="s">
        <v>42</v>
      </c>
      <c r="J136">
        <v>2</v>
      </c>
      <c r="K136" t="s">
        <v>43</v>
      </c>
      <c r="L136" t="s">
        <v>44</v>
      </c>
      <c r="M136" t="s">
        <v>45</v>
      </c>
      <c r="N136" s="7">
        <v>1</v>
      </c>
      <c r="O136" s="8">
        <v>45553.45207175926</v>
      </c>
      <c r="P136" s="9">
        <v>45554</v>
      </c>
      <c r="Q136" t="s">
        <v>46</v>
      </c>
      <c r="R136" t="s">
        <v>47</v>
      </c>
      <c r="S136" t="s">
        <v>48</v>
      </c>
      <c r="T136" t="s">
        <v>123</v>
      </c>
      <c r="U136" t="s">
        <v>502</v>
      </c>
      <c r="V136">
        <v>43500</v>
      </c>
      <c r="W136" t="s">
        <v>47</v>
      </c>
      <c r="X136" t="s">
        <v>310</v>
      </c>
      <c r="Y136" t="s">
        <v>52</v>
      </c>
      <c r="Z136" s="10">
        <f t="shared" ref="Z136:Z144" si="22">IF(N136&lt;=1,9,9+0.8*ROUNDUP(N136-1,0))</f>
        <v>9</v>
      </c>
      <c r="AA136" s="11">
        <v>-2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19"/>
        <v>0.42</v>
      </c>
      <c r="AG136" s="11">
        <f t="shared" si="20"/>
        <v>7.42</v>
      </c>
      <c r="AH136" s="11">
        <v>0</v>
      </c>
      <c r="AI136" s="11">
        <f t="shared" si="21"/>
        <v>7.42</v>
      </c>
      <c r="AJ136" t="s">
        <v>53</v>
      </c>
    </row>
    <row r="137" spans="1:36" ht="15" customHeight="1" x14ac:dyDescent="0.35">
      <c r="A137">
        <v>7547676</v>
      </c>
      <c r="B137" t="s">
        <v>36</v>
      </c>
      <c r="C137" t="s">
        <v>37</v>
      </c>
      <c r="D137" s="6" t="s">
        <v>36</v>
      </c>
      <c r="E137" t="s">
        <v>503</v>
      </c>
      <c r="F137" t="s">
        <v>39</v>
      </c>
      <c r="G137" t="s">
        <v>40</v>
      </c>
      <c r="H137" t="s">
        <v>504</v>
      </c>
      <c r="I137" t="s">
        <v>42</v>
      </c>
      <c r="J137">
        <v>2</v>
      </c>
      <c r="K137" t="s">
        <v>43</v>
      </c>
      <c r="L137" t="s">
        <v>44</v>
      </c>
      <c r="M137" t="s">
        <v>45</v>
      </c>
      <c r="N137" s="7">
        <v>1</v>
      </c>
      <c r="O137" s="8">
        <v>45553.45208333333</v>
      </c>
      <c r="P137" s="9">
        <v>45554</v>
      </c>
      <c r="Q137" t="s">
        <v>46</v>
      </c>
      <c r="R137" t="s">
        <v>47</v>
      </c>
      <c r="S137" t="s">
        <v>48</v>
      </c>
      <c r="T137" t="s">
        <v>61</v>
      </c>
      <c r="U137" t="s">
        <v>505</v>
      </c>
      <c r="V137">
        <v>22000</v>
      </c>
      <c r="W137" t="s">
        <v>47</v>
      </c>
      <c r="X137" t="s">
        <v>145</v>
      </c>
      <c r="Y137" t="s">
        <v>52</v>
      </c>
      <c r="Z137" s="10">
        <f t="shared" si="22"/>
        <v>9</v>
      </c>
      <c r="AA137" s="11">
        <v>-2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19"/>
        <v>0.42</v>
      </c>
      <c r="AG137" s="11">
        <f t="shared" si="20"/>
        <v>7.42</v>
      </c>
      <c r="AH137" s="11">
        <v>0</v>
      </c>
      <c r="AI137" s="11">
        <f t="shared" si="21"/>
        <v>7.42</v>
      </c>
      <c r="AJ137" t="s">
        <v>53</v>
      </c>
    </row>
    <row r="138" spans="1:36" ht="15" customHeight="1" x14ac:dyDescent="0.35">
      <c r="A138">
        <v>7547676</v>
      </c>
      <c r="B138" t="s">
        <v>36</v>
      </c>
      <c r="C138" t="s">
        <v>37</v>
      </c>
      <c r="D138" s="6" t="s">
        <v>36</v>
      </c>
      <c r="E138" t="s">
        <v>506</v>
      </c>
      <c r="F138" t="s">
        <v>39</v>
      </c>
      <c r="G138" t="s">
        <v>40</v>
      </c>
      <c r="H138" t="s">
        <v>507</v>
      </c>
      <c r="I138" t="s">
        <v>42</v>
      </c>
      <c r="J138">
        <v>2</v>
      </c>
      <c r="K138" t="s">
        <v>43</v>
      </c>
      <c r="L138" t="s">
        <v>44</v>
      </c>
      <c r="M138" t="s">
        <v>45</v>
      </c>
      <c r="N138" s="7">
        <v>1</v>
      </c>
      <c r="O138" s="8">
        <v>45553.479375000003</v>
      </c>
      <c r="P138" s="9">
        <v>45554</v>
      </c>
      <c r="Q138" t="s">
        <v>46</v>
      </c>
      <c r="R138" t="s">
        <v>47</v>
      </c>
      <c r="S138" t="s">
        <v>48</v>
      </c>
      <c r="T138" t="s">
        <v>123</v>
      </c>
      <c r="U138" t="s">
        <v>508</v>
      </c>
      <c r="V138">
        <v>45100</v>
      </c>
      <c r="W138" t="s">
        <v>47</v>
      </c>
      <c r="X138" t="s">
        <v>509</v>
      </c>
      <c r="Y138" t="s">
        <v>52</v>
      </c>
      <c r="Z138" s="10">
        <f t="shared" si="22"/>
        <v>9</v>
      </c>
      <c r="AA138" s="11">
        <v>-2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19"/>
        <v>0.42</v>
      </c>
      <c r="AG138" s="11">
        <f t="shared" si="20"/>
        <v>7.42</v>
      </c>
      <c r="AH138" s="11">
        <v>0</v>
      </c>
      <c r="AI138" s="11">
        <f t="shared" si="21"/>
        <v>7.42</v>
      </c>
      <c r="AJ138" t="s">
        <v>53</v>
      </c>
    </row>
    <row r="139" spans="1:36" ht="15" customHeight="1" x14ac:dyDescent="0.35">
      <c r="A139">
        <v>7547676</v>
      </c>
      <c r="B139" t="s">
        <v>36</v>
      </c>
      <c r="C139" t="s">
        <v>37</v>
      </c>
      <c r="D139" s="6" t="s">
        <v>36</v>
      </c>
      <c r="E139" t="s">
        <v>510</v>
      </c>
      <c r="F139" t="s">
        <v>39</v>
      </c>
      <c r="G139" t="s">
        <v>40</v>
      </c>
      <c r="H139" t="s">
        <v>511</v>
      </c>
      <c r="I139" t="s">
        <v>42</v>
      </c>
      <c r="J139">
        <v>2</v>
      </c>
      <c r="K139" t="s">
        <v>43</v>
      </c>
      <c r="L139" t="s">
        <v>44</v>
      </c>
      <c r="M139" t="s">
        <v>45</v>
      </c>
      <c r="N139" s="7">
        <v>1</v>
      </c>
      <c r="O139" s="8">
        <v>45552.729722222219</v>
      </c>
      <c r="P139" s="9">
        <v>45554</v>
      </c>
      <c r="Q139" t="s">
        <v>46</v>
      </c>
      <c r="R139" t="s">
        <v>47</v>
      </c>
      <c r="S139" t="s">
        <v>48</v>
      </c>
      <c r="T139" t="s">
        <v>66</v>
      </c>
      <c r="U139" t="s">
        <v>512</v>
      </c>
      <c r="V139">
        <v>81930</v>
      </c>
      <c r="W139" t="s">
        <v>47</v>
      </c>
      <c r="X139" t="s">
        <v>51</v>
      </c>
      <c r="Y139" t="s">
        <v>52</v>
      </c>
      <c r="Z139" s="10">
        <f t="shared" si="22"/>
        <v>9</v>
      </c>
      <c r="AA139" s="11">
        <v>-2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19"/>
        <v>0.42</v>
      </c>
      <c r="AG139" s="11">
        <f t="shared" si="20"/>
        <v>7.42</v>
      </c>
      <c r="AH139" s="11">
        <v>0</v>
      </c>
      <c r="AI139" s="11">
        <f t="shared" si="21"/>
        <v>7.42</v>
      </c>
      <c r="AJ139" t="s">
        <v>53</v>
      </c>
    </row>
    <row r="140" spans="1:36" ht="15" customHeight="1" x14ac:dyDescent="0.35">
      <c r="A140">
        <v>7547676</v>
      </c>
      <c r="B140" t="s">
        <v>36</v>
      </c>
      <c r="C140" t="s">
        <v>37</v>
      </c>
      <c r="D140" s="6" t="s">
        <v>36</v>
      </c>
      <c r="E140" t="s">
        <v>513</v>
      </c>
      <c r="F140" t="s">
        <v>39</v>
      </c>
      <c r="G140" t="s">
        <v>40</v>
      </c>
      <c r="H140" t="s">
        <v>514</v>
      </c>
      <c r="I140" t="s">
        <v>42</v>
      </c>
      <c r="J140">
        <v>2</v>
      </c>
      <c r="K140" t="s">
        <v>43</v>
      </c>
      <c r="L140" t="s">
        <v>44</v>
      </c>
      <c r="M140" t="s">
        <v>45</v>
      </c>
      <c r="N140" s="7">
        <v>1</v>
      </c>
      <c r="O140" s="8">
        <v>45553.447280092594</v>
      </c>
      <c r="P140" s="9">
        <v>45554</v>
      </c>
      <c r="Q140" t="s">
        <v>46</v>
      </c>
      <c r="R140" t="s">
        <v>47</v>
      </c>
      <c r="S140" t="s">
        <v>48</v>
      </c>
      <c r="T140" t="s">
        <v>278</v>
      </c>
      <c r="U140" t="s">
        <v>515</v>
      </c>
      <c r="V140">
        <v>26700</v>
      </c>
      <c r="W140" t="s">
        <v>47</v>
      </c>
      <c r="X140" t="s">
        <v>188</v>
      </c>
      <c r="Y140" t="s">
        <v>52</v>
      </c>
      <c r="Z140" s="10">
        <f t="shared" si="22"/>
        <v>9</v>
      </c>
      <c r="AA140" s="11">
        <v>-2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19"/>
        <v>0.42</v>
      </c>
      <c r="AG140" s="11">
        <f t="shared" si="20"/>
        <v>7.42</v>
      </c>
      <c r="AH140" s="11">
        <v>0</v>
      </c>
      <c r="AI140" s="11">
        <f t="shared" si="21"/>
        <v>7.42</v>
      </c>
      <c r="AJ140" t="s">
        <v>53</v>
      </c>
    </row>
    <row r="141" spans="1:36" ht="15" customHeight="1" x14ac:dyDescent="0.35">
      <c r="A141">
        <v>7547676</v>
      </c>
      <c r="B141" t="s">
        <v>36</v>
      </c>
      <c r="C141" t="s">
        <v>37</v>
      </c>
      <c r="D141" s="6" t="s">
        <v>36</v>
      </c>
      <c r="E141" t="s">
        <v>516</v>
      </c>
      <c r="F141" t="s">
        <v>39</v>
      </c>
      <c r="G141" t="s">
        <v>40</v>
      </c>
      <c r="H141" t="s">
        <v>517</v>
      </c>
      <c r="I141" t="s">
        <v>42</v>
      </c>
      <c r="J141">
        <v>2</v>
      </c>
      <c r="K141" t="s">
        <v>43</v>
      </c>
      <c r="L141" t="s">
        <v>44</v>
      </c>
      <c r="M141" t="s">
        <v>45</v>
      </c>
      <c r="N141" s="7">
        <v>1</v>
      </c>
      <c r="O141" s="8">
        <v>45553.533356481479</v>
      </c>
      <c r="P141" s="9">
        <v>45554</v>
      </c>
      <c r="Q141" t="s">
        <v>46</v>
      </c>
      <c r="R141" t="s">
        <v>47</v>
      </c>
      <c r="S141" t="s">
        <v>48</v>
      </c>
      <c r="T141" t="s">
        <v>75</v>
      </c>
      <c r="U141" t="s">
        <v>518</v>
      </c>
      <c r="V141">
        <v>16400</v>
      </c>
      <c r="W141" t="s">
        <v>47</v>
      </c>
      <c r="X141" t="s">
        <v>145</v>
      </c>
      <c r="Y141" t="s">
        <v>52</v>
      </c>
      <c r="Z141" s="10">
        <f t="shared" si="22"/>
        <v>9</v>
      </c>
      <c r="AA141" s="11">
        <v>-2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19"/>
        <v>0.42</v>
      </c>
      <c r="AG141" s="11">
        <f t="shared" si="20"/>
        <v>7.42</v>
      </c>
      <c r="AH141" s="11">
        <v>0</v>
      </c>
      <c r="AI141" s="11">
        <f t="shared" si="21"/>
        <v>7.42</v>
      </c>
      <c r="AJ141" t="s">
        <v>53</v>
      </c>
    </row>
    <row r="142" spans="1:36" ht="15" customHeight="1" x14ac:dyDescent="0.35">
      <c r="A142">
        <v>7547676</v>
      </c>
      <c r="B142" t="s">
        <v>36</v>
      </c>
      <c r="C142" t="s">
        <v>37</v>
      </c>
      <c r="D142" s="6" t="s">
        <v>36</v>
      </c>
      <c r="E142" t="s">
        <v>519</v>
      </c>
      <c r="F142" t="s">
        <v>39</v>
      </c>
      <c r="G142" t="s">
        <v>40</v>
      </c>
      <c r="H142" t="s">
        <v>520</v>
      </c>
      <c r="I142" t="s">
        <v>42</v>
      </c>
      <c r="J142">
        <v>2</v>
      </c>
      <c r="K142" t="s">
        <v>43</v>
      </c>
      <c r="L142" t="s">
        <v>44</v>
      </c>
      <c r="M142" t="s">
        <v>45</v>
      </c>
      <c r="N142" s="7">
        <v>1</v>
      </c>
      <c r="O142" s="8">
        <v>45553.756585648145</v>
      </c>
      <c r="P142" s="9">
        <v>45555</v>
      </c>
      <c r="Q142" t="s">
        <v>46</v>
      </c>
      <c r="R142" t="s">
        <v>47</v>
      </c>
      <c r="S142" t="s">
        <v>48</v>
      </c>
      <c r="T142" t="s">
        <v>210</v>
      </c>
      <c r="U142" t="s">
        <v>521</v>
      </c>
      <c r="V142">
        <v>71450</v>
      </c>
      <c r="W142" t="s">
        <v>47</v>
      </c>
      <c r="X142" t="s">
        <v>51</v>
      </c>
      <c r="Y142" t="s">
        <v>52</v>
      </c>
      <c r="Z142" s="10">
        <f t="shared" si="22"/>
        <v>9</v>
      </c>
      <c r="AA142" s="11">
        <v>-2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19"/>
        <v>0.42</v>
      </c>
      <c r="AG142" s="11">
        <f t="shared" si="20"/>
        <v>7.42</v>
      </c>
      <c r="AH142" s="11">
        <v>0</v>
      </c>
      <c r="AI142" s="11">
        <f t="shared" si="21"/>
        <v>7.42</v>
      </c>
      <c r="AJ142" t="s">
        <v>53</v>
      </c>
    </row>
    <row r="143" spans="1:36" ht="15" customHeight="1" x14ac:dyDescent="0.35">
      <c r="A143">
        <v>7547676</v>
      </c>
      <c r="B143" t="s">
        <v>36</v>
      </c>
      <c r="C143" t="s">
        <v>37</v>
      </c>
      <c r="D143" s="6" t="s">
        <v>36</v>
      </c>
      <c r="E143" t="s">
        <v>522</v>
      </c>
      <c r="F143" t="s">
        <v>39</v>
      </c>
      <c r="G143" t="s">
        <v>40</v>
      </c>
      <c r="H143" t="s">
        <v>523</v>
      </c>
      <c r="I143" t="s">
        <v>42</v>
      </c>
      <c r="J143">
        <v>2</v>
      </c>
      <c r="K143" t="s">
        <v>43</v>
      </c>
      <c r="L143" t="s">
        <v>44</v>
      </c>
      <c r="M143" t="s">
        <v>45</v>
      </c>
      <c r="N143" s="7">
        <v>6</v>
      </c>
      <c r="O143" s="8">
        <v>45553.640219907407</v>
      </c>
      <c r="P143" s="9">
        <v>45555</v>
      </c>
      <c r="Q143" t="s">
        <v>46</v>
      </c>
      <c r="R143" t="s">
        <v>47</v>
      </c>
      <c r="S143" t="s">
        <v>48</v>
      </c>
      <c r="T143" t="s">
        <v>80</v>
      </c>
      <c r="U143" t="s">
        <v>524</v>
      </c>
      <c r="V143">
        <v>14000</v>
      </c>
      <c r="W143" t="s">
        <v>47</v>
      </c>
      <c r="X143" t="s">
        <v>525</v>
      </c>
      <c r="Y143" t="s">
        <v>52</v>
      </c>
      <c r="Z143" s="10">
        <f t="shared" si="22"/>
        <v>13</v>
      </c>
      <c r="AA143" s="11">
        <v>-2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19"/>
        <v>0.65999999999999992</v>
      </c>
      <c r="AG143" s="11">
        <f t="shared" si="20"/>
        <v>11.66</v>
      </c>
      <c r="AH143" s="11">
        <v>0</v>
      </c>
      <c r="AI143" s="11">
        <f t="shared" si="21"/>
        <v>11.66</v>
      </c>
      <c r="AJ143" t="s">
        <v>53</v>
      </c>
    </row>
    <row r="144" spans="1:36" ht="15" customHeight="1" x14ac:dyDescent="0.35">
      <c r="A144">
        <v>7547676</v>
      </c>
      <c r="B144" t="s">
        <v>36</v>
      </c>
      <c r="C144" t="s">
        <v>37</v>
      </c>
      <c r="D144" s="6" t="s">
        <v>36</v>
      </c>
      <c r="E144" t="s">
        <v>526</v>
      </c>
      <c r="F144" t="s">
        <v>39</v>
      </c>
      <c r="G144" t="s">
        <v>40</v>
      </c>
      <c r="H144" t="s">
        <v>527</v>
      </c>
      <c r="I144" t="s">
        <v>42</v>
      </c>
      <c r="J144">
        <v>2</v>
      </c>
      <c r="K144" t="s">
        <v>43</v>
      </c>
      <c r="L144" t="s">
        <v>44</v>
      </c>
      <c r="M144" t="s">
        <v>45</v>
      </c>
      <c r="N144" s="7">
        <v>1</v>
      </c>
      <c r="O144" s="8">
        <v>45553.49428240741</v>
      </c>
      <c r="P144" s="9">
        <v>45555</v>
      </c>
      <c r="Q144" t="s">
        <v>46</v>
      </c>
      <c r="R144" t="s">
        <v>47</v>
      </c>
      <c r="S144" t="s">
        <v>48</v>
      </c>
      <c r="T144" t="s">
        <v>136</v>
      </c>
      <c r="U144" t="s">
        <v>528</v>
      </c>
      <c r="V144">
        <v>35500</v>
      </c>
      <c r="W144" t="s">
        <v>47</v>
      </c>
      <c r="X144" t="s">
        <v>529</v>
      </c>
      <c r="Y144" t="s">
        <v>52</v>
      </c>
      <c r="Z144" s="10">
        <f t="shared" si="22"/>
        <v>9</v>
      </c>
      <c r="AA144" s="11">
        <v>-2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19"/>
        <v>0.42</v>
      </c>
      <c r="AG144" s="11">
        <f t="shared" si="20"/>
        <v>7.42</v>
      </c>
      <c r="AH144" s="11">
        <v>0</v>
      </c>
      <c r="AI144" s="11">
        <f t="shared" si="21"/>
        <v>7.42</v>
      </c>
      <c r="AJ144" t="s">
        <v>53</v>
      </c>
    </row>
    <row r="145" spans="1:36" ht="15" customHeight="1" x14ac:dyDescent="0.35">
      <c r="A145">
        <v>7547676</v>
      </c>
      <c r="B145" t="s">
        <v>36</v>
      </c>
      <c r="C145" t="s">
        <v>37</v>
      </c>
      <c r="D145" s="6" t="s">
        <v>36</v>
      </c>
      <c r="E145" t="s">
        <v>530</v>
      </c>
      <c r="F145" t="s">
        <v>39</v>
      </c>
      <c r="G145" t="s">
        <v>40</v>
      </c>
      <c r="H145" t="s">
        <v>531</v>
      </c>
      <c r="I145" t="s">
        <v>42</v>
      </c>
      <c r="J145">
        <v>2</v>
      </c>
      <c r="K145" t="s">
        <v>43</v>
      </c>
      <c r="L145" t="s">
        <v>44</v>
      </c>
      <c r="M145" t="s">
        <v>45</v>
      </c>
      <c r="N145" s="7">
        <v>1</v>
      </c>
      <c r="O145" s="8">
        <v>45553.479386574072</v>
      </c>
      <c r="P145" s="9">
        <v>45555</v>
      </c>
      <c r="Q145" t="s">
        <v>46</v>
      </c>
      <c r="R145" t="s">
        <v>47</v>
      </c>
      <c r="S145" t="s">
        <v>48</v>
      </c>
      <c r="T145" t="s">
        <v>532</v>
      </c>
      <c r="U145" t="s">
        <v>533</v>
      </c>
      <c r="V145">
        <v>87008</v>
      </c>
      <c r="W145" t="s">
        <v>92</v>
      </c>
      <c r="X145" t="s">
        <v>51</v>
      </c>
      <c r="Y145" t="s">
        <v>52</v>
      </c>
      <c r="Z145" s="12">
        <f>IF(N145&lt;=1,13,IF(N145&lt;=2,23,IF(N145&lt;=3,35,IF(N145&lt;=4,43,IF(N145&lt;=5,53,IF(N145&lt;=6,63,IF(N145&lt;=7,71,IF(N145&lt;=8,79,IF(N145&lt;=9,87,IF(N145&lt;=10,95,IF(N145&lt;=11,105,IF(N145&lt;=12,114,IF(N145&lt;=13,119,IF(N145&lt;=14,127,IF(N145&lt;=15,135,IF(N145&lt;=16,143,IF(N145&lt;=17,153,IF(N145&lt;=18,163,IF(N145&lt;=19,171,IF(N145&lt;=20,185,IF(N145&lt;=21,193,IF(N145&lt;=22,201,IF(N145&lt;=23,210,IF(N145&lt;=24,220,IF(N145&lt;=25,230,IF(N145&lt;=26,240,IF(N145&lt;=27,250,IF(N145&lt;=28,260,IF(N145&lt;=29,270,IF(N145&lt;=30,280,280+10*ROUNDUP(N145-30,0)))))))))))))))))))))))))))))))</f>
        <v>13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19"/>
        <v>0.78</v>
      </c>
      <c r="AG145" s="11">
        <f t="shared" si="20"/>
        <v>13.78</v>
      </c>
      <c r="AH145" s="11">
        <v>0</v>
      </c>
      <c r="AI145" s="11">
        <f t="shared" si="21"/>
        <v>13.78</v>
      </c>
      <c r="AJ145" t="s">
        <v>94</v>
      </c>
    </row>
    <row r="146" spans="1:36" ht="15" customHeight="1" x14ac:dyDescent="0.35">
      <c r="A146">
        <v>7547676</v>
      </c>
      <c r="B146" t="s">
        <v>36</v>
      </c>
      <c r="C146" t="s">
        <v>37</v>
      </c>
      <c r="D146" s="6" t="s">
        <v>36</v>
      </c>
      <c r="E146" t="s">
        <v>534</v>
      </c>
      <c r="F146" t="s">
        <v>39</v>
      </c>
      <c r="G146" t="s">
        <v>40</v>
      </c>
      <c r="H146" t="s">
        <v>147</v>
      </c>
      <c r="I146" t="s">
        <v>42</v>
      </c>
      <c r="J146">
        <v>2</v>
      </c>
      <c r="K146" t="s">
        <v>43</v>
      </c>
      <c r="L146" t="s">
        <v>44</v>
      </c>
      <c r="M146" t="s">
        <v>45</v>
      </c>
      <c r="N146" s="7">
        <v>11</v>
      </c>
      <c r="O146" s="8">
        <v>45554.662766203706</v>
      </c>
      <c r="P146" s="9">
        <v>45555</v>
      </c>
      <c r="Q146" t="s">
        <v>46</v>
      </c>
      <c r="R146" t="s">
        <v>47</v>
      </c>
      <c r="S146" t="s">
        <v>48</v>
      </c>
      <c r="T146" t="s">
        <v>123</v>
      </c>
      <c r="U146" t="s">
        <v>148</v>
      </c>
      <c r="V146">
        <v>40000</v>
      </c>
      <c r="W146" t="s">
        <v>47</v>
      </c>
      <c r="X146" t="s">
        <v>149</v>
      </c>
      <c r="Y146" t="s">
        <v>52</v>
      </c>
      <c r="Z146" s="10">
        <f t="shared" ref="Z146:Z168" si="23">IF(N146&lt;=1,9,9+0.8*ROUNDUP(N146-1,0))</f>
        <v>17</v>
      </c>
      <c r="AA146" s="11">
        <v>-2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19"/>
        <v>0.89999999999999991</v>
      </c>
      <c r="AG146" s="11">
        <f t="shared" si="20"/>
        <v>15.9</v>
      </c>
      <c r="AH146" s="11">
        <v>0</v>
      </c>
      <c r="AI146" s="11">
        <f t="shared" si="21"/>
        <v>15.9</v>
      </c>
      <c r="AJ146" t="s">
        <v>53</v>
      </c>
    </row>
    <row r="147" spans="1:36" ht="15" customHeight="1" x14ac:dyDescent="0.35">
      <c r="A147">
        <v>7547676</v>
      </c>
      <c r="B147" t="s">
        <v>36</v>
      </c>
      <c r="C147" t="s">
        <v>37</v>
      </c>
      <c r="D147" s="6" t="s">
        <v>36</v>
      </c>
      <c r="E147" t="s">
        <v>535</v>
      </c>
      <c r="F147" t="s">
        <v>39</v>
      </c>
      <c r="G147" t="s">
        <v>40</v>
      </c>
      <c r="H147" t="s">
        <v>536</v>
      </c>
      <c r="I147" t="s">
        <v>42</v>
      </c>
      <c r="J147">
        <v>2</v>
      </c>
      <c r="K147" t="s">
        <v>43</v>
      </c>
      <c r="L147" t="s">
        <v>44</v>
      </c>
      <c r="M147" t="s">
        <v>45</v>
      </c>
      <c r="N147" s="7">
        <v>1</v>
      </c>
      <c r="O147" s="8">
        <v>45553.730023148149</v>
      </c>
      <c r="P147" s="9">
        <v>45555</v>
      </c>
      <c r="Q147" t="s">
        <v>46</v>
      </c>
      <c r="R147" t="s">
        <v>47</v>
      </c>
      <c r="S147" t="s">
        <v>48</v>
      </c>
      <c r="T147" t="s">
        <v>56</v>
      </c>
      <c r="U147" t="s">
        <v>537</v>
      </c>
      <c r="V147">
        <v>9600</v>
      </c>
      <c r="W147" t="s">
        <v>47</v>
      </c>
      <c r="X147" t="s">
        <v>538</v>
      </c>
      <c r="Y147" t="s">
        <v>52</v>
      </c>
      <c r="Z147" s="10">
        <f t="shared" si="23"/>
        <v>9</v>
      </c>
      <c r="AA147" s="11">
        <v>-2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19"/>
        <v>0.42</v>
      </c>
      <c r="AG147" s="11">
        <f t="shared" si="20"/>
        <v>7.42</v>
      </c>
      <c r="AH147" s="11">
        <v>0</v>
      </c>
      <c r="AI147" s="11">
        <f t="shared" si="21"/>
        <v>7.42</v>
      </c>
      <c r="AJ147" t="s">
        <v>53</v>
      </c>
    </row>
    <row r="148" spans="1:36" ht="15" customHeight="1" x14ac:dyDescent="0.35">
      <c r="A148">
        <v>7547676</v>
      </c>
      <c r="B148" t="s">
        <v>36</v>
      </c>
      <c r="C148" t="s">
        <v>37</v>
      </c>
      <c r="D148" s="6" t="s">
        <v>36</v>
      </c>
      <c r="E148" t="s">
        <v>539</v>
      </c>
      <c r="F148" t="s">
        <v>39</v>
      </c>
      <c r="G148" t="s">
        <v>40</v>
      </c>
      <c r="H148" t="s">
        <v>147</v>
      </c>
      <c r="I148" t="s">
        <v>42</v>
      </c>
      <c r="J148">
        <v>2</v>
      </c>
      <c r="K148" t="s">
        <v>43</v>
      </c>
      <c r="L148" t="s">
        <v>44</v>
      </c>
      <c r="M148" t="s">
        <v>45</v>
      </c>
      <c r="N148" s="7">
        <v>7</v>
      </c>
      <c r="O148" s="8">
        <v>45554.661076388889</v>
      </c>
      <c r="P148" s="9">
        <v>45555</v>
      </c>
      <c r="Q148" t="s">
        <v>46</v>
      </c>
      <c r="R148" t="s">
        <v>47</v>
      </c>
      <c r="S148" t="s">
        <v>48</v>
      </c>
      <c r="T148" t="s">
        <v>123</v>
      </c>
      <c r="U148" t="s">
        <v>148</v>
      </c>
      <c r="V148">
        <v>40000</v>
      </c>
      <c r="W148" t="s">
        <v>47</v>
      </c>
      <c r="X148" t="s">
        <v>149</v>
      </c>
      <c r="Y148" t="s">
        <v>52</v>
      </c>
      <c r="Z148" s="10">
        <f t="shared" si="23"/>
        <v>13.8</v>
      </c>
      <c r="AA148" s="11">
        <v>-2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19"/>
        <v>0.70799999999999996</v>
      </c>
      <c r="AG148" s="11">
        <f t="shared" si="20"/>
        <v>12.508000000000001</v>
      </c>
      <c r="AH148" s="11">
        <v>0</v>
      </c>
      <c r="AI148" s="11">
        <f t="shared" si="21"/>
        <v>12.508000000000001</v>
      </c>
      <c r="AJ148" t="s">
        <v>53</v>
      </c>
    </row>
    <row r="149" spans="1:36" ht="15" customHeight="1" x14ac:dyDescent="0.35">
      <c r="A149">
        <v>7547676</v>
      </c>
      <c r="B149" t="s">
        <v>36</v>
      </c>
      <c r="C149" t="s">
        <v>37</v>
      </c>
      <c r="D149" s="6" t="s">
        <v>36</v>
      </c>
      <c r="E149" t="s">
        <v>540</v>
      </c>
      <c r="F149" t="s">
        <v>39</v>
      </c>
      <c r="G149" t="s">
        <v>40</v>
      </c>
      <c r="H149" t="s">
        <v>541</v>
      </c>
      <c r="I149" t="s">
        <v>42</v>
      </c>
      <c r="J149">
        <v>2</v>
      </c>
      <c r="K149" t="s">
        <v>43</v>
      </c>
      <c r="L149" t="s">
        <v>44</v>
      </c>
      <c r="M149" t="s">
        <v>45</v>
      </c>
      <c r="N149" s="7">
        <v>2</v>
      </c>
      <c r="O149" s="8">
        <v>45553.479375000003</v>
      </c>
      <c r="P149" s="9">
        <v>45555</v>
      </c>
      <c r="Q149" t="s">
        <v>46</v>
      </c>
      <c r="R149" t="s">
        <v>47</v>
      </c>
      <c r="S149" t="s">
        <v>48</v>
      </c>
      <c r="T149" t="s">
        <v>56</v>
      </c>
      <c r="U149" t="s">
        <v>542</v>
      </c>
      <c r="V149">
        <v>8210</v>
      </c>
      <c r="W149" t="s">
        <v>47</v>
      </c>
      <c r="X149" t="s">
        <v>196</v>
      </c>
      <c r="Y149" t="s">
        <v>52</v>
      </c>
      <c r="Z149" s="10">
        <f t="shared" si="23"/>
        <v>9.8000000000000007</v>
      </c>
      <c r="AA149" s="11">
        <v>-2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19"/>
        <v>0.46800000000000003</v>
      </c>
      <c r="AG149" s="11">
        <f t="shared" si="20"/>
        <v>8.2680000000000007</v>
      </c>
      <c r="AH149" s="11">
        <v>0</v>
      </c>
      <c r="AI149" s="11">
        <f t="shared" si="21"/>
        <v>8.2680000000000007</v>
      </c>
      <c r="AJ149" t="s">
        <v>53</v>
      </c>
    </row>
    <row r="150" spans="1:36" ht="15" customHeight="1" x14ac:dyDescent="0.35">
      <c r="A150">
        <v>7547676</v>
      </c>
      <c r="B150" t="s">
        <v>36</v>
      </c>
      <c r="C150" t="s">
        <v>37</v>
      </c>
      <c r="D150" s="6" t="s">
        <v>36</v>
      </c>
      <c r="E150" t="s">
        <v>543</v>
      </c>
      <c r="F150" t="s">
        <v>39</v>
      </c>
      <c r="G150" t="s">
        <v>40</v>
      </c>
      <c r="H150" t="s">
        <v>544</v>
      </c>
      <c r="I150" t="s">
        <v>42</v>
      </c>
      <c r="J150">
        <v>2</v>
      </c>
      <c r="K150" t="s">
        <v>43</v>
      </c>
      <c r="L150" t="s">
        <v>44</v>
      </c>
      <c r="M150" t="s">
        <v>45</v>
      </c>
      <c r="N150" s="7">
        <v>1</v>
      </c>
      <c r="O150" s="8">
        <v>45553.735335648147</v>
      </c>
      <c r="P150" s="9">
        <v>45555</v>
      </c>
      <c r="Q150" t="s">
        <v>46</v>
      </c>
      <c r="R150" t="s">
        <v>47</v>
      </c>
      <c r="S150" t="s">
        <v>48</v>
      </c>
      <c r="T150" t="s">
        <v>241</v>
      </c>
      <c r="U150" t="s">
        <v>545</v>
      </c>
      <c r="V150">
        <v>2100</v>
      </c>
      <c r="W150" t="s">
        <v>47</v>
      </c>
      <c r="X150" t="s">
        <v>244</v>
      </c>
      <c r="Y150" t="s">
        <v>52</v>
      </c>
      <c r="Z150" s="10">
        <f t="shared" si="23"/>
        <v>9</v>
      </c>
      <c r="AA150" s="11">
        <v>-2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19"/>
        <v>0.42</v>
      </c>
      <c r="AG150" s="11">
        <f t="shared" si="20"/>
        <v>7.42</v>
      </c>
      <c r="AH150" s="11">
        <v>0</v>
      </c>
      <c r="AI150" s="11">
        <f t="shared" si="21"/>
        <v>7.42</v>
      </c>
      <c r="AJ150" t="s">
        <v>53</v>
      </c>
    </row>
    <row r="151" spans="1:36" ht="15" customHeight="1" x14ac:dyDescent="0.35">
      <c r="A151">
        <v>7547676</v>
      </c>
      <c r="B151" t="s">
        <v>36</v>
      </c>
      <c r="C151" t="s">
        <v>37</v>
      </c>
      <c r="D151" s="6" t="s">
        <v>36</v>
      </c>
      <c r="E151" t="s">
        <v>546</v>
      </c>
      <c r="F151" t="s">
        <v>39</v>
      </c>
      <c r="G151" t="s">
        <v>40</v>
      </c>
      <c r="H151" t="s">
        <v>547</v>
      </c>
      <c r="I151" t="s">
        <v>42</v>
      </c>
      <c r="J151">
        <v>2</v>
      </c>
      <c r="K151" t="s">
        <v>43</v>
      </c>
      <c r="L151" t="s">
        <v>44</v>
      </c>
      <c r="M151" t="s">
        <v>45</v>
      </c>
      <c r="N151" s="7">
        <v>1</v>
      </c>
      <c r="O151" s="8">
        <v>45553.640219907407</v>
      </c>
      <c r="P151" s="9">
        <v>45555</v>
      </c>
      <c r="Q151" t="s">
        <v>46</v>
      </c>
      <c r="R151" t="s">
        <v>47</v>
      </c>
      <c r="S151" t="s">
        <v>48</v>
      </c>
      <c r="T151" t="s">
        <v>278</v>
      </c>
      <c r="U151" t="s">
        <v>548</v>
      </c>
      <c r="V151">
        <v>39000</v>
      </c>
      <c r="W151" t="s">
        <v>47</v>
      </c>
      <c r="X151" t="s">
        <v>188</v>
      </c>
      <c r="Y151" t="s">
        <v>52</v>
      </c>
      <c r="Z151" s="10">
        <f t="shared" si="23"/>
        <v>9</v>
      </c>
      <c r="AA151" s="11">
        <v>-2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19"/>
        <v>0.42</v>
      </c>
      <c r="AG151" s="11">
        <f t="shared" si="20"/>
        <v>7.42</v>
      </c>
      <c r="AH151" s="11">
        <v>0</v>
      </c>
      <c r="AI151" s="11">
        <f t="shared" si="21"/>
        <v>7.42</v>
      </c>
      <c r="AJ151" t="s">
        <v>53</v>
      </c>
    </row>
    <row r="152" spans="1:36" ht="15" customHeight="1" x14ac:dyDescent="0.35">
      <c r="A152">
        <v>7547676</v>
      </c>
      <c r="B152" t="s">
        <v>36</v>
      </c>
      <c r="C152" t="s">
        <v>37</v>
      </c>
      <c r="D152" s="6" t="s">
        <v>36</v>
      </c>
      <c r="E152" t="s">
        <v>549</v>
      </c>
      <c r="F152" t="s">
        <v>39</v>
      </c>
      <c r="G152" t="s">
        <v>40</v>
      </c>
      <c r="H152" t="s">
        <v>550</v>
      </c>
      <c r="I152" t="s">
        <v>42</v>
      </c>
      <c r="J152">
        <v>2</v>
      </c>
      <c r="K152" t="s">
        <v>43</v>
      </c>
      <c r="L152" t="s">
        <v>44</v>
      </c>
      <c r="M152" t="s">
        <v>45</v>
      </c>
      <c r="N152" s="7">
        <v>1</v>
      </c>
      <c r="O152" s="8">
        <v>45554.677476851852</v>
      </c>
      <c r="P152" s="9">
        <v>45555</v>
      </c>
      <c r="Q152" t="s">
        <v>46</v>
      </c>
      <c r="R152" t="s">
        <v>47</v>
      </c>
      <c r="S152" t="s">
        <v>48</v>
      </c>
      <c r="T152" t="s">
        <v>128</v>
      </c>
      <c r="U152" t="s">
        <v>551</v>
      </c>
      <c r="V152">
        <v>53300</v>
      </c>
      <c r="W152" t="s">
        <v>47</v>
      </c>
      <c r="X152" t="s">
        <v>51</v>
      </c>
      <c r="Y152" t="s">
        <v>52</v>
      </c>
      <c r="Z152" s="10">
        <f t="shared" si="23"/>
        <v>9</v>
      </c>
      <c r="AA152" s="11">
        <v>-2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19"/>
        <v>0.42</v>
      </c>
      <c r="AG152" s="11">
        <f t="shared" si="20"/>
        <v>7.42</v>
      </c>
      <c r="AH152" s="11">
        <v>0</v>
      </c>
      <c r="AI152" s="11">
        <f t="shared" si="21"/>
        <v>7.42</v>
      </c>
      <c r="AJ152" t="s">
        <v>53</v>
      </c>
    </row>
    <row r="153" spans="1:36" ht="15" customHeight="1" x14ac:dyDescent="0.35">
      <c r="A153">
        <v>7547676</v>
      </c>
      <c r="B153" t="s">
        <v>36</v>
      </c>
      <c r="C153" t="s">
        <v>37</v>
      </c>
      <c r="D153" s="6" t="s">
        <v>36</v>
      </c>
      <c r="E153" t="s">
        <v>552</v>
      </c>
      <c r="F153" t="s">
        <v>39</v>
      </c>
      <c r="G153" t="s">
        <v>40</v>
      </c>
      <c r="H153" t="s">
        <v>553</v>
      </c>
      <c r="I153" t="s">
        <v>42</v>
      </c>
      <c r="J153">
        <v>2</v>
      </c>
      <c r="K153" t="s">
        <v>43</v>
      </c>
      <c r="L153" t="s">
        <v>44</v>
      </c>
      <c r="M153" t="s">
        <v>45</v>
      </c>
      <c r="N153" s="7">
        <v>1</v>
      </c>
      <c r="O153" s="8">
        <v>45554.473564814813</v>
      </c>
      <c r="P153" s="9">
        <v>45555</v>
      </c>
      <c r="Q153" t="s">
        <v>46</v>
      </c>
      <c r="R153" t="s">
        <v>47</v>
      </c>
      <c r="S153" t="s">
        <v>48</v>
      </c>
      <c r="T153" t="s">
        <v>123</v>
      </c>
      <c r="U153" t="s">
        <v>554</v>
      </c>
      <c r="V153">
        <v>68000</v>
      </c>
      <c r="W153" t="s">
        <v>47</v>
      </c>
      <c r="X153" t="s">
        <v>555</v>
      </c>
      <c r="Y153" t="s">
        <v>52</v>
      </c>
      <c r="Z153" s="10">
        <f t="shared" si="23"/>
        <v>9</v>
      </c>
      <c r="AA153" s="11">
        <v>-2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19"/>
        <v>0.42</v>
      </c>
      <c r="AG153" s="11">
        <f t="shared" si="20"/>
        <v>7.42</v>
      </c>
      <c r="AH153" s="11">
        <v>0</v>
      </c>
      <c r="AI153" s="11">
        <f t="shared" si="21"/>
        <v>7.42</v>
      </c>
      <c r="AJ153" t="s">
        <v>53</v>
      </c>
    </row>
    <row r="154" spans="1:36" ht="15" customHeight="1" x14ac:dyDescent="0.35">
      <c r="A154">
        <v>7547676</v>
      </c>
      <c r="B154" t="s">
        <v>36</v>
      </c>
      <c r="C154" t="s">
        <v>37</v>
      </c>
      <c r="D154" s="6" t="s">
        <v>36</v>
      </c>
      <c r="E154" t="s">
        <v>556</v>
      </c>
      <c r="F154" t="s">
        <v>39</v>
      </c>
      <c r="G154" t="s">
        <v>40</v>
      </c>
      <c r="H154" t="s">
        <v>557</v>
      </c>
      <c r="I154" t="s">
        <v>42</v>
      </c>
      <c r="J154">
        <v>2</v>
      </c>
      <c r="K154" t="s">
        <v>43</v>
      </c>
      <c r="L154" t="s">
        <v>44</v>
      </c>
      <c r="M154" t="s">
        <v>45</v>
      </c>
      <c r="N154" s="7">
        <v>1</v>
      </c>
      <c r="O154" s="8">
        <v>45553.457986111112</v>
      </c>
      <c r="P154" s="9">
        <v>45555</v>
      </c>
      <c r="Q154" t="s">
        <v>46</v>
      </c>
      <c r="R154" t="s">
        <v>47</v>
      </c>
      <c r="S154" t="s">
        <v>48</v>
      </c>
      <c r="T154" t="s">
        <v>66</v>
      </c>
      <c r="U154" t="s">
        <v>558</v>
      </c>
      <c r="V154">
        <v>81700</v>
      </c>
      <c r="W154" t="s">
        <v>47</v>
      </c>
      <c r="X154" t="s">
        <v>169</v>
      </c>
      <c r="Y154" t="s">
        <v>52</v>
      </c>
      <c r="Z154" s="10">
        <f t="shared" si="23"/>
        <v>9</v>
      </c>
      <c r="AA154" s="11">
        <v>-2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19"/>
        <v>0.42</v>
      </c>
      <c r="AG154" s="11">
        <f t="shared" si="20"/>
        <v>7.42</v>
      </c>
      <c r="AH154" s="11">
        <v>0</v>
      </c>
      <c r="AI154" s="11">
        <f t="shared" si="21"/>
        <v>7.42</v>
      </c>
      <c r="AJ154" t="s">
        <v>53</v>
      </c>
    </row>
    <row r="155" spans="1:36" ht="15" customHeight="1" x14ac:dyDescent="0.35">
      <c r="A155">
        <v>7547676</v>
      </c>
      <c r="B155" t="s">
        <v>36</v>
      </c>
      <c r="C155" t="s">
        <v>37</v>
      </c>
      <c r="D155" s="6" t="s">
        <v>36</v>
      </c>
      <c r="E155" t="s">
        <v>559</v>
      </c>
      <c r="F155" t="s">
        <v>39</v>
      </c>
      <c r="G155" t="s">
        <v>40</v>
      </c>
      <c r="H155" t="s">
        <v>560</v>
      </c>
      <c r="I155" t="s">
        <v>42</v>
      </c>
      <c r="J155">
        <v>2</v>
      </c>
      <c r="K155" t="s">
        <v>43</v>
      </c>
      <c r="L155" t="s">
        <v>44</v>
      </c>
      <c r="M155" t="s">
        <v>45</v>
      </c>
      <c r="N155" s="7">
        <v>1</v>
      </c>
      <c r="O155" s="8">
        <v>45553.447280092594</v>
      </c>
      <c r="P155" s="9">
        <v>45555</v>
      </c>
      <c r="Q155" t="s">
        <v>46</v>
      </c>
      <c r="R155" t="s">
        <v>47</v>
      </c>
      <c r="S155" t="s">
        <v>48</v>
      </c>
      <c r="T155" t="s">
        <v>56</v>
      </c>
      <c r="U155" t="s">
        <v>561</v>
      </c>
      <c r="V155">
        <v>6600</v>
      </c>
      <c r="W155" t="s">
        <v>47</v>
      </c>
      <c r="X155" t="s">
        <v>227</v>
      </c>
      <c r="Y155" t="s">
        <v>52</v>
      </c>
      <c r="Z155" s="10">
        <f t="shared" si="23"/>
        <v>9</v>
      </c>
      <c r="AA155" s="11">
        <v>-2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19"/>
        <v>0.42</v>
      </c>
      <c r="AG155" s="11">
        <f t="shared" si="20"/>
        <v>7.42</v>
      </c>
      <c r="AH155" s="11">
        <v>0</v>
      </c>
      <c r="AI155" s="11">
        <f t="shared" si="21"/>
        <v>7.42</v>
      </c>
      <c r="AJ155" t="s">
        <v>53</v>
      </c>
    </row>
    <row r="156" spans="1:36" ht="15" customHeight="1" x14ac:dyDescent="0.35">
      <c r="A156">
        <v>7547676</v>
      </c>
      <c r="B156" t="s">
        <v>36</v>
      </c>
      <c r="C156" t="s">
        <v>37</v>
      </c>
      <c r="D156" s="6" t="s">
        <v>36</v>
      </c>
      <c r="E156" t="s">
        <v>562</v>
      </c>
      <c r="F156" t="s">
        <v>39</v>
      </c>
      <c r="G156" t="s">
        <v>40</v>
      </c>
      <c r="H156" t="s">
        <v>563</v>
      </c>
      <c r="I156" t="s">
        <v>42</v>
      </c>
      <c r="J156">
        <v>2</v>
      </c>
      <c r="K156" t="s">
        <v>43</v>
      </c>
      <c r="L156" t="s">
        <v>44</v>
      </c>
      <c r="M156" t="s">
        <v>45</v>
      </c>
      <c r="N156" s="7">
        <v>1</v>
      </c>
      <c r="O156" s="8">
        <v>45553.457986111112</v>
      </c>
      <c r="P156" s="9">
        <v>45555</v>
      </c>
      <c r="Q156" t="s">
        <v>46</v>
      </c>
      <c r="R156" t="s">
        <v>47</v>
      </c>
      <c r="S156" t="s">
        <v>48</v>
      </c>
      <c r="T156" t="s">
        <v>56</v>
      </c>
      <c r="U156" t="s">
        <v>564</v>
      </c>
      <c r="V156">
        <v>6350</v>
      </c>
      <c r="W156" t="s">
        <v>47</v>
      </c>
      <c r="X156" t="s">
        <v>196</v>
      </c>
      <c r="Y156" t="s">
        <v>52</v>
      </c>
      <c r="Z156" s="10">
        <f t="shared" si="23"/>
        <v>9</v>
      </c>
      <c r="AA156" s="11">
        <v>-2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19"/>
        <v>0.42</v>
      </c>
      <c r="AG156" s="11">
        <f t="shared" si="20"/>
        <v>7.42</v>
      </c>
      <c r="AH156" s="11">
        <v>0</v>
      </c>
      <c r="AI156" s="11">
        <f t="shared" si="21"/>
        <v>7.42</v>
      </c>
      <c r="AJ156" t="s">
        <v>53</v>
      </c>
    </row>
    <row r="157" spans="1:36" ht="15" customHeight="1" x14ac:dyDescent="0.35">
      <c r="A157">
        <v>7547676</v>
      </c>
      <c r="B157" t="s">
        <v>36</v>
      </c>
      <c r="C157" t="s">
        <v>37</v>
      </c>
      <c r="D157" s="6" t="s">
        <v>36</v>
      </c>
      <c r="E157" t="s">
        <v>565</v>
      </c>
      <c r="F157" t="s">
        <v>39</v>
      </c>
      <c r="G157" t="s">
        <v>40</v>
      </c>
      <c r="H157" t="s">
        <v>566</v>
      </c>
      <c r="I157" t="s">
        <v>42</v>
      </c>
      <c r="J157">
        <v>2</v>
      </c>
      <c r="K157" t="s">
        <v>43</v>
      </c>
      <c r="L157" t="s">
        <v>44</v>
      </c>
      <c r="M157" t="s">
        <v>45</v>
      </c>
      <c r="N157" s="7">
        <v>1</v>
      </c>
      <c r="O157" s="8">
        <v>45553.489745370367</v>
      </c>
      <c r="P157" s="9">
        <v>45555</v>
      </c>
      <c r="Q157" t="s">
        <v>46</v>
      </c>
      <c r="R157" t="s">
        <v>47</v>
      </c>
      <c r="S157" t="s">
        <v>48</v>
      </c>
      <c r="T157" t="s">
        <v>136</v>
      </c>
      <c r="U157" t="s">
        <v>567</v>
      </c>
      <c r="V157">
        <v>33300</v>
      </c>
      <c r="W157" t="s">
        <v>47</v>
      </c>
      <c r="X157" t="s">
        <v>406</v>
      </c>
      <c r="Y157" t="s">
        <v>52</v>
      </c>
      <c r="Z157" s="10">
        <f t="shared" si="23"/>
        <v>9</v>
      </c>
      <c r="AA157" s="11">
        <v>-2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19"/>
        <v>0.42</v>
      </c>
      <c r="AG157" s="11">
        <f t="shared" si="20"/>
        <v>7.42</v>
      </c>
      <c r="AH157" s="11">
        <v>0</v>
      </c>
      <c r="AI157" s="11">
        <f t="shared" si="21"/>
        <v>7.42</v>
      </c>
      <c r="AJ157" t="s">
        <v>53</v>
      </c>
    </row>
    <row r="158" spans="1:36" ht="15" customHeight="1" x14ac:dyDescent="0.35">
      <c r="A158">
        <v>7547676</v>
      </c>
      <c r="B158" t="s">
        <v>36</v>
      </c>
      <c r="C158" t="s">
        <v>37</v>
      </c>
      <c r="D158" s="6" t="s">
        <v>36</v>
      </c>
      <c r="E158" t="s">
        <v>568</v>
      </c>
      <c r="F158" t="s">
        <v>39</v>
      </c>
      <c r="G158" t="s">
        <v>40</v>
      </c>
      <c r="H158" t="s">
        <v>569</v>
      </c>
      <c r="I158" t="s">
        <v>42</v>
      </c>
      <c r="J158">
        <v>2</v>
      </c>
      <c r="K158" t="s">
        <v>43</v>
      </c>
      <c r="L158" t="s">
        <v>44</v>
      </c>
      <c r="M158" t="s">
        <v>45</v>
      </c>
      <c r="N158" s="7">
        <v>1</v>
      </c>
      <c r="O158" s="8">
        <v>45553.479375000003</v>
      </c>
      <c r="P158" s="9">
        <v>45555</v>
      </c>
      <c r="Q158" t="s">
        <v>46</v>
      </c>
      <c r="R158" t="s">
        <v>47</v>
      </c>
      <c r="S158" t="s">
        <v>48</v>
      </c>
      <c r="T158" t="s">
        <v>56</v>
      </c>
      <c r="U158" t="s">
        <v>570</v>
      </c>
      <c r="V158">
        <v>6000</v>
      </c>
      <c r="W158" t="s">
        <v>47</v>
      </c>
      <c r="X158" t="s">
        <v>204</v>
      </c>
      <c r="Y158" t="s">
        <v>52</v>
      </c>
      <c r="Z158" s="10">
        <f t="shared" si="23"/>
        <v>9</v>
      </c>
      <c r="AA158" s="11">
        <v>-2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19"/>
        <v>0.42</v>
      </c>
      <c r="AG158" s="11">
        <f t="shared" si="20"/>
        <v>7.42</v>
      </c>
      <c r="AH158" s="11">
        <v>0</v>
      </c>
      <c r="AI158" s="11">
        <f t="shared" si="21"/>
        <v>7.42</v>
      </c>
      <c r="AJ158" t="s">
        <v>53</v>
      </c>
    </row>
    <row r="159" spans="1:36" ht="15" customHeight="1" x14ac:dyDescent="0.35">
      <c r="A159">
        <v>7547676</v>
      </c>
      <c r="B159" t="s">
        <v>36</v>
      </c>
      <c r="C159" t="s">
        <v>37</v>
      </c>
      <c r="D159" s="6" t="s">
        <v>36</v>
      </c>
      <c r="E159" t="s">
        <v>571</v>
      </c>
      <c r="F159" t="s">
        <v>39</v>
      </c>
      <c r="G159" t="s">
        <v>40</v>
      </c>
      <c r="H159" t="s">
        <v>572</v>
      </c>
      <c r="I159" t="s">
        <v>42</v>
      </c>
      <c r="J159">
        <v>2</v>
      </c>
      <c r="K159" t="s">
        <v>43</v>
      </c>
      <c r="L159" t="s">
        <v>44</v>
      </c>
      <c r="M159" t="s">
        <v>45</v>
      </c>
      <c r="N159" s="7">
        <v>1</v>
      </c>
      <c r="O159" s="8">
        <v>45554.522696759261</v>
      </c>
      <c r="P159" s="9">
        <v>45555</v>
      </c>
      <c r="Q159" t="s">
        <v>46</v>
      </c>
      <c r="R159" t="s">
        <v>47</v>
      </c>
      <c r="S159" t="s">
        <v>48</v>
      </c>
      <c r="T159" t="s">
        <v>123</v>
      </c>
      <c r="U159" t="s">
        <v>573</v>
      </c>
      <c r="V159">
        <v>40170</v>
      </c>
      <c r="W159" t="s">
        <v>47</v>
      </c>
      <c r="X159" t="s">
        <v>51</v>
      </c>
      <c r="Y159" t="s">
        <v>52</v>
      </c>
      <c r="Z159" s="10">
        <f t="shared" si="23"/>
        <v>9</v>
      </c>
      <c r="AA159" s="11">
        <v>-2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19"/>
        <v>0.42</v>
      </c>
      <c r="AG159" s="11">
        <f t="shared" si="20"/>
        <v>7.42</v>
      </c>
      <c r="AH159" s="11">
        <v>0</v>
      </c>
      <c r="AI159" s="11">
        <f t="shared" si="21"/>
        <v>7.42</v>
      </c>
      <c r="AJ159" t="s">
        <v>53</v>
      </c>
    </row>
    <row r="160" spans="1:36" ht="15" customHeight="1" x14ac:dyDescent="0.35">
      <c r="A160">
        <v>7547676</v>
      </c>
      <c r="B160" t="s">
        <v>36</v>
      </c>
      <c r="C160" t="s">
        <v>37</v>
      </c>
      <c r="D160" s="6" t="s">
        <v>36</v>
      </c>
      <c r="E160" t="s">
        <v>574</v>
      </c>
      <c r="F160" t="s">
        <v>39</v>
      </c>
      <c r="G160" t="s">
        <v>40</v>
      </c>
      <c r="H160" t="s">
        <v>575</v>
      </c>
      <c r="I160" t="s">
        <v>42</v>
      </c>
      <c r="J160">
        <v>2</v>
      </c>
      <c r="K160" t="s">
        <v>43</v>
      </c>
      <c r="L160" t="s">
        <v>44</v>
      </c>
      <c r="M160" t="s">
        <v>45</v>
      </c>
      <c r="N160" s="7">
        <v>2</v>
      </c>
      <c r="O160" s="8">
        <v>45553.722997685189</v>
      </c>
      <c r="P160" s="9">
        <v>45555</v>
      </c>
      <c r="Q160" t="s">
        <v>46</v>
      </c>
      <c r="R160" t="s">
        <v>47</v>
      </c>
      <c r="S160" t="s">
        <v>48</v>
      </c>
      <c r="T160" t="s">
        <v>66</v>
      </c>
      <c r="U160" t="s">
        <v>576</v>
      </c>
      <c r="V160">
        <v>81900</v>
      </c>
      <c r="W160" t="s">
        <v>47</v>
      </c>
      <c r="X160" t="s">
        <v>577</v>
      </c>
      <c r="Y160" t="s">
        <v>52</v>
      </c>
      <c r="Z160" s="10">
        <f t="shared" si="23"/>
        <v>9.8000000000000007</v>
      </c>
      <c r="AA160" s="11">
        <v>-2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19"/>
        <v>0.46800000000000003</v>
      </c>
      <c r="AG160" s="11">
        <f t="shared" si="20"/>
        <v>8.2680000000000007</v>
      </c>
      <c r="AH160" s="11">
        <v>0</v>
      </c>
      <c r="AI160" s="11">
        <f t="shared" si="21"/>
        <v>8.2680000000000007</v>
      </c>
      <c r="AJ160" t="s">
        <v>53</v>
      </c>
    </row>
    <row r="161" spans="1:36" ht="15" customHeight="1" x14ac:dyDescent="0.35">
      <c r="A161">
        <v>7547676</v>
      </c>
      <c r="B161" t="s">
        <v>36</v>
      </c>
      <c r="C161" t="s">
        <v>37</v>
      </c>
      <c r="D161" s="6" t="s">
        <v>36</v>
      </c>
      <c r="E161" t="s">
        <v>578</v>
      </c>
      <c r="F161" t="s">
        <v>39</v>
      </c>
      <c r="G161" t="s">
        <v>40</v>
      </c>
      <c r="H161" t="s">
        <v>579</v>
      </c>
      <c r="I161" t="s">
        <v>42</v>
      </c>
      <c r="J161">
        <v>2</v>
      </c>
      <c r="K161" t="s">
        <v>43</v>
      </c>
      <c r="L161" t="s">
        <v>44</v>
      </c>
      <c r="M161" t="s">
        <v>45</v>
      </c>
      <c r="N161" s="7">
        <v>2</v>
      </c>
      <c r="O161" s="8">
        <v>45553.747152777774</v>
      </c>
      <c r="P161" s="9">
        <v>45555</v>
      </c>
      <c r="Q161" t="s">
        <v>46</v>
      </c>
      <c r="R161" t="s">
        <v>47</v>
      </c>
      <c r="S161" t="s">
        <v>48</v>
      </c>
      <c r="T161" t="s">
        <v>80</v>
      </c>
      <c r="U161" t="s">
        <v>580</v>
      </c>
      <c r="V161">
        <v>14000</v>
      </c>
      <c r="W161" t="s">
        <v>47</v>
      </c>
      <c r="X161" t="s">
        <v>581</v>
      </c>
      <c r="Y161" t="s">
        <v>52</v>
      </c>
      <c r="Z161" s="10">
        <f t="shared" si="23"/>
        <v>9.8000000000000007</v>
      </c>
      <c r="AA161" s="11">
        <v>-2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19"/>
        <v>0.46800000000000003</v>
      </c>
      <c r="AG161" s="11">
        <f t="shared" si="20"/>
        <v>8.2680000000000007</v>
      </c>
      <c r="AH161" s="11">
        <v>0</v>
      </c>
      <c r="AI161" s="11">
        <f t="shared" si="21"/>
        <v>8.2680000000000007</v>
      </c>
      <c r="AJ161" t="s">
        <v>53</v>
      </c>
    </row>
    <row r="162" spans="1:36" ht="15" customHeight="1" x14ac:dyDescent="0.35">
      <c r="A162">
        <v>7547676</v>
      </c>
      <c r="B162" t="s">
        <v>36</v>
      </c>
      <c r="C162" t="s">
        <v>37</v>
      </c>
      <c r="D162" s="6" t="s">
        <v>36</v>
      </c>
      <c r="E162" t="s">
        <v>582</v>
      </c>
      <c r="F162" t="s">
        <v>39</v>
      </c>
      <c r="G162" t="s">
        <v>40</v>
      </c>
      <c r="H162" t="s">
        <v>583</v>
      </c>
      <c r="I162" t="s">
        <v>42</v>
      </c>
      <c r="J162">
        <v>2</v>
      </c>
      <c r="K162" t="s">
        <v>43</v>
      </c>
      <c r="L162" t="s">
        <v>44</v>
      </c>
      <c r="M162" t="s">
        <v>45</v>
      </c>
      <c r="N162" s="7">
        <v>1</v>
      </c>
      <c r="O162" s="8">
        <v>45553.780972222223</v>
      </c>
      <c r="P162" s="9">
        <v>45555</v>
      </c>
      <c r="Q162" t="s">
        <v>46</v>
      </c>
      <c r="R162" t="s">
        <v>47</v>
      </c>
      <c r="S162" t="s">
        <v>48</v>
      </c>
      <c r="T162" t="s">
        <v>123</v>
      </c>
      <c r="U162" t="s">
        <v>584</v>
      </c>
      <c r="V162">
        <v>62604</v>
      </c>
      <c r="W162" t="s">
        <v>47</v>
      </c>
      <c r="X162" t="s">
        <v>162</v>
      </c>
      <c r="Y162" t="s">
        <v>52</v>
      </c>
      <c r="Z162" s="10">
        <f t="shared" si="23"/>
        <v>9</v>
      </c>
      <c r="AA162" s="11">
        <v>-2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19"/>
        <v>0.42</v>
      </c>
      <c r="AG162" s="11">
        <f t="shared" si="20"/>
        <v>7.42</v>
      </c>
      <c r="AH162" s="11">
        <v>0</v>
      </c>
      <c r="AI162" s="11">
        <f t="shared" si="21"/>
        <v>7.42</v>
      </c>
      <c r="AJ162" t="s">
        <v>53</v>
      </c>
    </row>
    <row r="163" spans="1:36" ht="15" customHeight="1" x14ac:dyDescent="0.35">
      <c r="A163">
        <v>7547676</v>
      </c>
      <c r="B163" t="s">
        <v>36</v>
      </c>
      <c r="C163" t="s">
        <v>37</v>
      </c>
      <c r="D163" s="6" t="s">
        <v>36</v>
      </c>
      <c r="E163" t="s">
        <v>585</v>
      </c>
      <c r="F163" t="s">
        <v>39</v>
      </c>
      <c r="G163" t="s">
        <v>40</v>
      </c>
      <c r="H163" t="s">
        <v>586</v>
      </c>
      <c r="I163" t="s">
        <v>42</v>
      </c>
      <c r="J163">
        <v>2</v>
      </c>
      <c r="K163" t="s">
        <v>43</v>
      </c>
      <c r="L163" t="s">
        <v>44</v>
      </c>
      <c r="M163" t="s">
        <v>45</v>
      </c>
      <c r="N163" s="7">
        <v>1</v>
      </c>
      <c r="O163" s="8">
        <v>45554.623055555552</v>
      </c>
      <c r="P163" s="9">
        <v>45555</v>
      </c>
      <c r="Q163" t="s">
        <v>46</v>
      </c>
      <c r="R163" t="s">
        <v>47</v>
      </c>
      <c r="S163" t="s">
        <v>48</v>
      </c>
      <c r="T163" t="s">
        <v>61</v>
      </c>
      <c r="U163" t="s">
        <v>587</v>
      </c>
      <c r="V163">
        <v>21500</v>
      </c>
      <c r="W163" t="s">
        <v>47</v>
      </c>
      <c r="X163" t="s">
        <v>63</v>
      </c>
      <c r="Y163" t="s">
        <v>52</v>
      </c>
      <c r="Z163" s="10">
        <f t="shared" si="23"/>
        <v>9</v>
      </c>
      <c r="AA163" s="11">
        <v>-2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19"/>
        <v>0.42</v>
      </c>
      <c r="AG163" s="11">
        <f t="shared" si="20"/>
        <v>7.42</v>
      </c>
      <c r="AH163" s="11">
        <v>0</v>
      </c>
      <c r="AI163" s="11">
        <f t="shared" si="21"/>
        <v>7.42</v>
      </c>
      <c r="AJ163" t="s">
        <v>53</v>
      </c>
    </row>
    <row r="164" spans="1:36" ht="15" customHeight="1" x14ac:dyDescent="0.35">
      <c r="A164">
        <v>7547676</v>
      </c>
      <c r="B164" t="s">
        <v>36</v>
      </c>
      <c r="C164" t="s">
        <v>37</v>
      </c>
      <c r="D164" s="6" t="s">
        <v>36</v>
      </c>
      <c r="E164" t="s">
        <v>588</v>
      </c>
      <c r="F164" t="s">
        <v>39</v>
      </c>
      <c r="G164" t="s">
        <v>40</v>
      </c>
      <c r="H164" t="s">
        <v>589</v>
      </c>
      <c r="I164" t="s">
        <v>42</v>
      </c>
      <c r="J164">
        <v>2</v>
      </c>
      <c r="K164" t="s">
        <v>43</v>
      </c>
      <c r="L164" t="s">
        <v>44</v>
      </c>
      <c r="M164" t="s">
        <v>45</v>
      </c>
      <c r="N164" s="7">
        <v>1</v>
      </c>
      <c r="O164" s="8">
        <v>45553.738391203704</v>
      </c>
      <c r="P164" s="9">
        <v>45555</v>
      </c>
      <c r="Q164" t="s">
        <v>46</v>
      </c>
      <c r="R164" t="s">
        <v>47</v>
      </c>
      <c r="S164" t="s">
        <v>48</v>
      </c>
      <c r="T164" t="s">
        <v>56</v>
      </c>
      <c r="U164" t="s">
        <v>590</v>
      </c>
      <c r="V164">
        <v>9200</v>
      </c>
      <c r="W164" t="s">
        <v>47</v>
      </c>
      <c r="X164" t="s">
        <v>538</v>
      </c>
      <c r="Y164" t="s">
        <v>52</v>
      </c>
      <c r="Z164" s="10">
        <f t="shared" si="23"/>
        <v>9</v>
      </c>
      <c r="AA164" s="11">
        <v>-2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19"/>
        <v>0.42</v>
      </c>
      <c r="AG164" s="11">
        <f t="shared" si="20"/>
        <v>7.42</v>
      </c>
      <c r="AH164" s="11">
        <v>0</v>
      </c>
      <c r="AI164" s="11">
        <f t="shared" si="21"/>
        <v>7.42</v>
      </c>
      <c r="AJ164" t="s">
        <v>53</v>
      </c>
    </row>
    <row r="165" spans="1:36" ht="15" customHeight="1" x14ac:dyDescent="0.35">
      <c r="A165">
        <v>7547676</v>
      </c>
      <c r="B165" t="s">
        <v>36</v>
      </c>
      <c r="C165" t="s">
        <v>37</v>
      </c>
      <c r="D165" s="6" t="s">
        <v>36</v>
      </c>
      <c r="E165" t="s">
        <v>591</v>
      </c>
      <c r="F165" t="s">
        <v>39</v>
      </c>
      <c r="G165" t="s">
        <v>40</v>
      </c>
      <c r="H165" t="s">
        <v>592</v>
      </c>
      <c r="I165" t="s">
        <v>42</v>
      </c>
      <c r="J165">
        <v>2</v>
      </c>
      <c r="K165" t="s">
        <v>43</v>
      </c>
      <c r="L165" t="s">
        <v>44</v>
      </c>
      <c r="M165" t="s">
        <v>45</v>
      </c>
      <c r="N165" s="7">
        <v>3</v>
      </c>
      <c r="O165" s="8">
        <v>45554.607627314814</v>
      </c>
      <c r="P165" s="9">
        <v>45555</v>
      </c>
      <c r="Q165" t="s">
        <v>46</v>
      </c>
      <c r="R165" t="s">
        <v>47</v>
      </c>
      <c r="S165" t="s">
        <v>48</v>
      </c>
      <c r="T165" t="s">
        <v>123</v>
      </c>
      <c r="U165" t="s">
        <v>593</v>
      </c>
      <c r="V165">
        <v>46000</v>
      </c>
      <c r="W165" t="s">
        <v>47</v>
      </c>
      <c r="X165" t="s">
        <v>594</v>
      </c>
      <c r="Y165" t="s">
        <v>52</v>
      </c>
      <c r="Z165" s="10">
        <f t="shared" si="23"/>
        <v>10.6</v>
      </c>
      <c r="AA165" s="11">
        <v>-2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19"/>
        <v>0.51600000000000001</v>
      </c>
      <c r="AG165" s="11">
        <f t="shared" si="20"/>
        <v>9.1159999999999997</v>
      </c>
      <c r="AH165" s="11">
        <v>0</v>
      </c>
      <c r="AI165" s="11">
        <f t="shared" si="21"/>
        <v>9.1159999999999997</v>
      </c>
      <c r="AJ165" t="s">
        <v>53</v>
      </c>
    </row>
    <row r="166" spans="1:36" ht="15" customHeight="1" x14ac:dyDescent="0.35">
      <c r="A166">
        <v>7547676</v>
      </c>
      <c r="B166" t="s">
        <v>36</v>
      </c>
      <c r="C166" t="s">
        <v>37</v>
      </c>
      <c r="D166" s="6" t="s">
        <v>36</v>
      </c>
      <c r="E166" t="s">
        <v>595</v>
      </c>
      <c r="F166" t="s">
        <v>39</v>
      </c>
      <c r="G166" t="s">
        <v>40</v>
      </c>
      <c r="H166" t="s">
        <v>596</v>
      </c>
      <c r="I166" t="s">
        <v>42</v>
      </c>
      <c r="J166">
        <v>2</v>
      </c>
      <c r="K166" t="s">
        <v>43</v>
      </c>
      <c r="L166" t="s">
        <v>44</v>
      </c>
      <c r="M166" t="s">
        <v>45</v>
      </c>
      <c r="N166" s="7">
        <v>1</v>
      </c>
      <c r="O166" s="8">
        <v>45553.462384259263</v>
      </c>
      <c r="P166" s="9">
        <v>45555</v>
      </c>
      <c r="Q166" t="s">
        <v>46</v>
      </c>
      <c r="R166" t="s">
        <v>47</v>
      </c>
      <c r="S166" t="s">
        <v>48</v>
      </c>
      <c r="T166" t="s">
        <v>56</v>
      </c>
      <c r="U166" t="s">
        <v>597</v>
      </c>
      <c r="V166">
        <v>6400</v>
      </c>
      <c r="W166" t="s">
        <v>47</v>
      </c>
      <c r="X166" t="s">
        <v>196</v>
      </c>
      <c r="Y166" t="s">
        <v>52</v>
      </c>
      <c r="Z166" s="10">
        <f t="shared" si="23"/>
        <v>9</v>
      </c>
      <c r="AA166" s="11">
        <v>-2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19"/>
        <v>0.42</v>
      </c>
      <c r="AG166" s="11">
        <f t="shared" si="20"/>
        <v>7.42</v>
      </c>
      <c r="AH166" s="11">
        <v>0</v>
      </c>
      <c r="AI166" s="11">
        <f t="shared" si="21"/>
        <v>7.42</v>
      </c>
      <c r="AJ166" t="s">
        <v>53</v>
      </c>
    </row>
    <row r="167" spans="1:36" ht="15" customHeight="1" x14ac:dyDescent="0.35">
      <c r="A167">
        <v>7547676</v>
      </c>
      <c r="B167" t="s">
        <v>36</v>
      </c>
      <c r="C167" t="s">
        <v>37</v>
      </c>
      <c r="D167" s="6" t="s">
        <v>36</v>
      </c>
      <c r="E167" t="s">
        <v>598</v>
      </c>
      <c r="F167" t="s">
        <v>39</v>
      </c>
      <c r="G167" t="s">
        <v>40</v>
      </c>
      <c r="H167" t="s">
        <v>599</v>
      </c>
      <c r="I167" t="s">
        <v>42</v>
      </c>
      <c r="J167">
        <v>2</v>
      </c>
      <c r="K167" t="s">
        <v>43</v>
      </c>
      <c r="L167" t="s">
        <v>44</v>
      </c>
      <c r="M167" t="s">
        <v>45</v>
      </c>
      <c r="N167" s="7">
        <v>1</v>
      </c>
      <c r="O167" s="8">
        <v>45554.73574074074</v>
      </c>
      <c r="P167" s="9">
        <v>45555</v>
      </c>
      <c r="Q167" t="s">
        <v>46</v>
      </c>
      <c r="R167" t="s">
        <v>47</v>
      </c>
      <c r="S167" t="s">
        <v>48</v>
      </c>
      <c r="T167" t="s">
        <v>123</v>
      </c>
      <c r="U167" t="s">
        <v>600</v>
      </c>
      <c r="V167">
        <v>42500</v>
      </c>
      <c r="W167" t="s">
        <v>47</v>
      </c>
      <c r="X167" t="s">
        <v>51</v>
      </c>
      <c r="Y167" t="s">
        <v>52</v>
      </c>
      <c r="Z167" s="10">
        <f t="shared" si="23"/>
        <v>9</v>
      </c>
      <c r="AA167" s="11">
        <v>-2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19"/>
        <v>0.42</v>
      </c>
      <c r="AG167" s="11">
        <f t="shared" si="20"/>
        <v>7.42</v>
      </c>
      <c r="AH167" s="11">
        <v>0</v>
      </c>
      <c r="AI167" s="11">
        <f t="shared" si="21"/>
        <v>7.42</v>
      </c>
      <c r="AJ167" t="s">
        <v>53</v>
      </c>
    </row>
    <row r="168" spans="1:36" ht="15" customHeight="1" x14ac:dyDescent="0.35">
      <c r="A168">
        <v>7547676</v>
      </c>
      <c r="B168" t="s">
        <v>36</v>
      </c>
      <c r="C168" t="s">
        <v>37</v>
      </c>
      <c r="D168" s="6" t="s">
        <v>36</v>
      </c>
      <c r="E168" t="s">
        <v>601</v>
      </c>
      <c r="F168" t="s">
        <v>39</v>
      </c>
      <c r="G168" t="s">
        <v>40</v>
      </c>
      <c r="H168" t="s">
        <v>602</v>
      </c>
      <c r="I168" t="s">
        <v>42</v>
      </c>
      <c r="J168">
        <v>2</v>
      </c>
      <c r="K168" t="s">
        <v>43</v>
      </c>
      <c r="L168" t="s">
        <v>44</v>
      </c>
      <c r="M168" t="s">
        <v>45</v>
      </c>
      <c r="N168" s="7">
        <v>2</v>
      </c>
      <c r="O168" s="8">
        <v>45554.607627314814</v>
      </c>
      <c r="P168" s="9">
        <v>45555</v>
      </c>
      <c r="Q168" t="s">
        <v>46</v>
      </c>
      <c r="R168" t="s">
        <v>47</v>
      </c>
      <c r="S168" t="s">
        <v>48</v>
      </c>
      <c r="T168" t="s">
        <v>75</v>
      </c>
      <c r="U168" t="s">
        <v>603</v>
      </c>
      <c r="V168">
        <v>16100</v>
      </c>
      <c r="W168" t="s">
        <v>47</v>
      </c>
      <c r="X168" t="s">
        <v>604</v>
      </c>
      <c r="Y168" t="s">
        <v>52</v>
      </c>
      <c r="Z168" s="10">
        <f t="shared" si="23"/>
        <v>9.8000000000000007</v>
      </c>
      <c r="AA168" s="11">
        <v>-2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19"/>
        <v>0.46800000000000003</v>
      </c>
      <c r="AG168" s="11">
        <f t="shared" si="20"/>
        <v>8.2680000000000007</v>
      </c>
      <c r="AH168" s="11">
        <v>0</v>
      </c>
      <c r="AI168" s="11">
        <f t="shared" si="21"/>
        <v>8.2680000000000007</v>
      </c>
      <c r="AJ168" t="s">
        <v>53</v>
      </c>
    </row>
    <row r="169" spans="1:36" ht="15" customHeight="1" x14ac:dyDescent="0.35">
      <c r="A169">
        <v>7547676</v>
      </c>
      <c r="B169" t="s">
        <v>36</v>
      </c>
      <c r="C169" t="s">
        <v>37</v>
      </c>
      <c r="D169" s="6" t="s">
        <v>36</v>
      </c>
      <c r="E169" t="s">
        <v>605</v>
      </c>
      <c r="F169" t="s">
        <v>39</v>
      </c>
      <c r="G169" t="s">
        <v>40</v>
      </c>
      <c r="H169" t="s">
        <v>606</v>
      </c>
      <c r="I169" t="s">
        <v>42</v>
      </c>
      <c r="J169">
        <v>2</v>
      </c>
      <c r="K169" t="s">
        <v>43</v>
      </c>
      <c r="L169" t="s">
        <v>44</v>
      </c>
      <c r="M169" t="s">
        <v>45</v>
      </c>
      <c r="N169" s="7">
        <v>1</v>
      </c>
      <c r="O169" s="8">
        <v>45554.607627314814</v>
      </c>
      <c r="P169" s="9">
        <v>45555</v>
      </c>
      <c r="Q169" t="s">
        <v>46</v>
      </c>
      <c r="R169" t="s">
        <v>47</v>
      </c>
      <c r="S169" t="s">
        <v>48</v>
      </c>
      <c r="T169" t="s">
        <v>128</v>
      </c>
      <c r="U169" t="s">
        <v>607</v>
      </c>
      <c r="V169">
        <v>53100</v>
      </c>
      <c r="W169" t="s">
        <v>47</v>
      </c>
      <c r="X169" t="s">
        <v>608</v>
      </c>
      <c r="Y169" t="s">
        <v>52</v>
      </c>
      <c r="Z169" s="10">
        <f>IF(N169&lt;=1,9,9+0.8*ROUNDUP(N169-1,0))</f>
        <v>9</v>
      </c>
      <c r="AA169" s="11">
        <v>-2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19"/>
        <v>0.42</v>
      </c>
      <c r="AG169" s="11">
        <f t="shared" si="20"/>
        <v>7.42</v>
      </c>
      <c r="AH169" s="11">
        <v>0</v>
      </c>
      <c r="AI169" s="11">
        <f t="shared" si="21"/>
        <v>7.42</v>
      </c>
      <c r="AJ169" t="s">
        <v>53</v>
      </c>
    </row>
    <row r="170" spans="1:36" ht="15" customHeight="1" x14ac:dyDescent="0.35">
      <c r="A170">
        <v>7547676</v>
      </c>
      <c r="B170" t="s">
        <v>36</v>
      </c>
      <c r="C170" t="s">
        <v>37</v>
      </c>
      <c r="D170" s="6" t="s">
        <v>36</v>
      </c>
      <c r="E170" t="s">
        <v>609</v>
      </c>
      <c r="F170" t="s">
        <v>39</v>
      </c>
      <c r="G170" t="s">
        <v>40</v>
      </c>
      <c r="H170" t="s">
        <v>610</v>
      </c>
      <c r="I170" t="s">
        <v>42</v>
      </c>
      <c r="J170">
        <v>2</v>
      </c>
      <c r="K170" t="s">
        <v>43</v>
      </c>
      <c r="L170" t="s">
        <v>44</v>
      </c>
      <c r="M170" t="s">
        <v>45</v>
      </c>
      <c r="N170" s="7">
        <v>1</v>
      </c>
      <c r="O170" s="8">
        <v>45554.623043981483</v>
      </c>
      <c r="P170" s="9">
        <v>45555</v>
      </c>
      <c r="Q170" t="s">
        <v>46</v>
      </c>
      <c r="R170" t="s">
        <v>47</v>
      </c>
      <c r="S170" t="s">
        <v>48</v>
      </c>
      <c r="T170" t="s">
        <v>75</v>
      </c>
      <c r="U170" t="s">
        <v>611</v>
      </c>
      <c r="V170">
        <v>16040</v>
      </c>
      <c r="W170" t="s">
        <v>47</v>
      </c>
      <c r="X170" t="s">
        <v>145</v>
      </c>
      <c r="Y170" t="s">
        <v>52</v>
      </c>
      <c r="Z170" s="10">
        <f t="shared" ref="Z170:Z176" si="24">IF(N170&lt;=1,9,9+0.8*ROUNDUP(N170-1,0))</f>
        <v>9</v>
      </c>
      <c r="AA170" s="11">
        <v>-2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19"/>
        <v>0.42</v>
      </c>
      <c r="AG170" s="11">
        <f t="shared" si="20"/>
        <v>7.42</v>
      </c>
      <c r="AH170" s="11">
        <v>0</v>
      </c>
      <c r="AI170" s="11">
        <f t="shared" si="21"/>
        <v>7.42</v>
      </c>
      <c r="AJ170" t="s">
        <v>53</v>
      </c>
    </row>
    <row r="171" spans="1:36" ht="15" customHeight="1" x14ac:dyDescent="0.35">
      <c r="A171">
        <v>7547676</v>
      </c>
      <c r="B171" t="s">
        <v>36</v>
      </c>
      <c r="C171" t="s">
        <v>37</v>
      </c>
      <c r="D171" s="6" t="s">
        <v>36</v>
      </c>
      <c r="E171" t="s">
        <v>612</v>
      </c>
      <c r="F171" t="s">
        <v>39</v>
      </c>
      <c r="G171" t="s">
        <v>40</v>
      </c>
      <c r="H171" t="s">
        <v>613</v>
      </c>
      <c r="I171" t="s">
        <v>42</v>
      </c>
      <c r="J171">
        <v>2</v>
      </c>
      <c r="K171" t="s">
        <v>43</v>
      </c>
      <c r="L171" t="s">
        <v>44</v>
      </c>
      <c r="M171" t="s">
        <v>45</v>
      </c>
      <c r="N171" s="7">
        <v>26</v>
      </c>
      <c r="O171" s="8">
        <v>45554.427858796298</v>
      </c>
      <c r="P171" s="9">
        <v>45555</v>
      </c>
      <c r="Q171" t="s">
        <v>46</v>
      </c>
      <c r="R171" t="s">
        <v>47</v>
      </c>
      <c r="S171" t="s">
        <v>48</v>
      </c>
      <c r="T171" t="s">
        <v>278</v>
      </c>
      <c r="U171" t="s">
        <v>614</v>
      </c>
      <c r="V171">
        <v>28050</v>
      </c>
      <c r="W171" t="s">
        <v>47</v>
      </c>
      <c r="X171" t="s">
        <v>615</v>
      </c>
      <c r="Y171" t="s">
        <v>52</v>
      </c>
      <c r="Z171" s="10">
        <f t="shared" si="24"/>
        <v>29</v>
      </c>
      <c r="AA171" s="11">
        <v>-2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19"/>
        <v>1.6199999999999999</v>
      </c>
      <c r="AG171" s="11">
        <f t="shared" si="20"/>
        <v>28.62</v>
      </c>
      <c r="AH171" s="11">
        <v>0</v>
      </c>
      <c r="AI171" s="11">
        <f t="shared" si="21"/>
        <v>28.62</v>
      </c>
      <c r="AJ171" t="s">
        <v>53</v>
      </c>
    </row>
    <row r="172" spans="1:36" ht="15" customHeight="1" x14ac:dyDescent="0.35">
      <c r="A172">
        <v>7547676</v>
      </c>
      <c r="B172" t="s">
        <v>36</v>
      </c>
      <c r="C172" t="s">
        <v>37</v>
      </c>
      <c r="D172" s="6" t="s">
        <v>36</v>
      </c>
      <c r="E172" t="s">
        <v>616</v>
      </c>
      <c r="F172" t="s">
        <v>39</v>
      </c>
      <c r="G172" t="s">
        <v>40</v>
      </c>
      <c r="H172" t="s">
        <v>617</v>
      </c>
      <c r="I172" t="s">
        <v>42</v>
      </c>
      <c r="J172">
        <v>2</v>
      </c>
      <c r="K172" t="s">
        <v>43</v>
      </c>
      <c r="L172" t="s">
        <v>44</v>
      </c>
      <c r="M172" t="s">
        <v>45</v>
      </c>
      <c r="N172" s="7">
        <v>1</v>
      </c>
      <c r="O172" s="8">
        <v>45553.462384259263</v>
      </c>
      <c r="P172" s="9">
        <v>45555</v>
      </c>
      <c r="Q172" t="s">
        <v>46</v>
      </c>
      <c r="R172" t="s">
        <v>47</v>
      </c>
      <c r="S172" t="s">
        <v>48</v>
      </c>
      <c r="T172" t="s">
        <v>66</v>
      </c>
      <c r="U172" t="s">
        <v>618</v>
      </c>
      <c r="V172">
        <v>81200</v>
      </c>
      <c r="W172" t="s">
        <v>47</v>
      </c>
      <c r="X172" t="s">
        <v>200</v>
      </c>
      <c r="Y172" t="s">
        <v>52</v>
      </c>
      <c r="Z172" s="10">
        <f t="shared" si="24"/>
        <v>9</v>
      </c>
      <c r="AA172" s="11">
        <v>-2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19"/>
        <v>0.42</v>
      </c>
      <c r="AG172" s="11">
        <f t="shared" si="20"/>
        <v>7.42</v>
      </c>
      <c r="AH172" s="11">
        <v>0</v>
      </c>
      <c r="AI172" s="11">
        <f t="shared" si="21"/>
        <v>7.42</v>
      </c>
      <c r="AJ172" t="s">
        <v>53</v>
      </c>
    </row>
    <row r="173" spans="1:36" ht="15" customHeight="1" x14ac:dyDescent="0.35">
      <c r="A173">
        <v>7547676</v>
      </c>
      <c r="B173" t="s">
        <v>36</v>
      </c>
      <c r="C173" t="s">
        <v>37</v>
      </c>
      <c r="D173" s="6" t="s">
        <v>36</v>
      </c>
      <c r="E173" t="s">
        <v>619</v>
      </c>
      <c r="F173" t="s">
        <v>39</v>
      </c>
      <c r="G173" t="s">
        <v>40</v>
      </c>
      <c r="H173" t="s">
        <v>620</v>
      </c>
      <c r="I173" t="s">
        <v>42</v>
      </c>
      <c r="J173">
        <v>2</v>
      </c>
      <c r="K173" t="s">
        <v>43</v>
      </c>
      <c r="L173" t="s">
        <v>44</v>
      </c>
      <c r="M173" t="s">
        <v>45</v>
      </c>
      <c r="N173" s="7">
        <v>1</v>
      </c>
      <c r="O173" s="8">
        <v>45553.447280092594</v>
      </c>
      <c r="P173" s="9">
        <v>45555</v>
      </c>
      <c r="Q173" t="s">
        <v>46</v>
      </c>
      <c r="R173" t="s">
        <v>47</v>
      </c>
      <c r="S173" t="s">
        <v>48</v>
      </c>
      <c r="T173" t="s">
        <v>56</v>
      </c>
      <c r="U173" t="s">
        <v>621</v>
      </c>
      <c r="V173">
        <v>5350</v>
      </c>
      <c r="W173" t="s">
        <v>47</v>
      </c>
      <c r="X173" t="s">
        <v>227</v>
      </c>
      <c r="Y173" t="s">
        <v>52</v>
      </c>
      <c r="Z173" s="10">
        <f t="shared" si="24"/>
        <v>9</v>
      </c>
      <c r="AA173" s="11">
        <v>-2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19"/>
        <v>0.42</v>
      </c>
      <c r="AG173" s="11">
        <f t="shared" si="20"/>
        <v>7.42</v>
      </c>
      <c r="AH173" s="11">
        <v>0</v>
      </c>
      <c r="AI173" s="11">
        <f t="shared" si="21"/>
        <v>7.42</v>
      </c>
      <c r="AJ173" t="s">
        <v>53</v>
      </c>
    </row>
    <row r="174" spans="1:36" ht="15" customHeight="1" x14ac:dyDescent="0.35">
      <c r="A174">
        <v>7547676</v>
      </c>
      <c r="B174" t="s">
        <v>36</v>
      </c>
      <c r="C174" t="s">
        <v>37</v>
      </c>
      <c r="D174" s="6" t="s">
        <v>36</v>
      </c>
      <c r="E174" t="s">
        <v>622</v>
      </c>
      <c r="F174" t="s">
        <v>39</v>
      </c>
      <c r="G174" t="s">
        <v>40</v>
      </c>
      <c r="H174" t="s">
        <v>623</v>
      </c>
      <c r="I174" t="s">
        <v>42</v>
      </c>
      <c r="J174">
        <v>2</v>
      </c>
      <c r="K174" t="s">
        <v>43</v>
      </c>
      <c r="L174" t="s">
        <v>44</v>
      </c>
      <c r="M174" t="s">
        <v>45</v>
      </c>
      <c r="N174" s="7">
        <v>1</v>
      </c>
      <c r="O174" s="8">
        <v>45554.619351851848</v>
      </c>
      <c r="P174" s="9">
        <v>45555</v>
      </c>
      <c r="Q174" t="s">
        <v>46</v>
      </c>
      <c r="R174" t="s">
        <v>47</v>
      </c>
      <c r="S174" t="s">
        <v>48</v>
      </c>
      <c r="T174" t="s">
        <v>128</v>
      </c>
      <c r="U174" t="s">
        <v>624</v>
      </c>
      <c r="V174">
        <v>53300</v>
      </c>
      <c r="W174" t="s">
        <v>47</v>
      </c>
      <c r="X174" t="s">
        <v>51</v>
      </c>
      <c r="Y174" t="s">
        <v>52</v>
      </c>
      <c r="Z174" s="10">
        <f t="shared" si="24"/>
        <v>9</v>
      </c>
      <c r="AA174" s="11">
        <v>-2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19"/>
        <v>0.42</v>
      </c>
      <c r="AG174" s="11">
        <f t="shared" si="20"/>
        <v>7.42</v>
      </c>
      <c r="AH174" s="11">
        <v>0</v>
      </c>
      <c r="AI174" s="11">
        <f t="shared" si="21"/>
        <v>7.42</v>
      </c>
      <c r="AJ174" t="s">
        <v>53</v>
      </c>
    </row>
    <row r="175" spans="1:36" ht="15" customHeight="1" x14ac:dyDescent="0.35">
      <c r="A175">
        <v>7547676</v>
      </c>
      <c r="B175" t="s">
        <v>36</v>
      </c>
      <c r="C175" t="s">
        <v>37</v>
      </c>
      <c r="D175" s="6" t="s">
        <v>36</v>
      </c>
      <c r="E175" t="s">
        <v>625</v>
      </c>
      <c r="F175" t="s">
        <v>39</v>
      </c>
      <c r="G175" t="s">
        <v>40</v>
      </c>
      <c r="H175" t="s">
        <v>626</v>
      </c>
      <c r="I175" t="s">
        <v>42</v>
      </c>
      <c r="J175">
        <v>2</v>
      </c>
      <c r="K175" t="s">
        <v>43</v>
      </c>
      <c r="L175" t="s">
        <v>44</v>
      </c>
      <c r="M175" t="s">
        <v>45</v>
      </c>
      <c r="N175" s="7">
        <v>1</v>
      </c>
      <c r="O175" s="8">
        <v>45553.504837962966</v>
      </c>
      <c r="P175" s="9">
        <v>45555</v>
      </c>
      <c r="Q175" t="s">
        <v>46</v>
      </c>
      <c r="R175" t="s">
        <v>47</v>
      </c>
      <c r="S175" t="s">
        <v>48</v>
      </c>
      <c r="T175" t="s">
        <v>80</v>
      </c>
      <c r="U175" t="s">
        <v>627</v>
      </c>
      <c r="V175">
        <v>14400</v>
      </c>
      <c r="W175" t="s">
        <v>47</v>
      </c>
      <c r="X175" t="s">
        <v>581</v>
      </c>
      <c r="Y175" t="s">
        <v>52</v>
      </c>
      <c r="Z175" s="10">
        <f t="shared" si="24"/>
        <v>9</v>
      </c>
      <c r="AA175" s="11">
        <v>-2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19"/>
        <v>0.42</v>
      </c>
      <c r="AG175" s="11">
        <f t="shared" si="20"/>
        <v>7.42</v>
      </c>
      <c r="AH175" s="11">
        <v>0</v>
      </c>
      <c r="AI175" s="11">
        <f t="shared" si="21"/>
        <v>7.42</v>
      </c>
      <c r="AJ175" t="s">
        <v>53</v>
      </c>
    </row>
    <row r="176" spans="1:36" ht="15" customHeight="1" x14ac:dyDescent="0.35">
      <c r="A176">
        <v>7547676</v>
      </c>
      <c r="B176" t="s">
        <v>36</v>
      </c>
      <c r="C176" t="s">
        <v>37</v>
      </c>
      <c r="D176" s="6" t="s">
        <v>36</v>
      </c>
      <c r="E176" t="s">
        <v>628</v>
      </c>
      <c r="F176" t="s">
        <v>39</v>
      </c>
      <c r="G176" t="s">
        <v>40</v>
      </c>
      <c r="H176" t="s">
        <v>629</v>
      </c>
      <c r="I176" t="s">
        <v>42</v>
      </c>
      <c r="J176">
        <v>2</v>
      </c>
      <c r="K176" t="s">
        <v>43</v>
      </c>
      <c r="L176" t="s">
        <v>44</v>
      </c>
      <c r="M176" t="s">
        <v>45</v>
      </c>
      <c r="N176" s="7">
        <v>1</v>
      </c>
      <c r="O176" s="8">
        <v>45553.489745370367</v>
      </c>
      <c r="P176" s="9">
        <v>45555</v>
      </c>
      <c r="Q176" t="s">
        <v>46</v>
      </c>
      <c r="R176" t="s">
        <v>47</v>
      </c>
      <c r="S176" t="s">
        <v>48</v>
      </c>
      <c r="T176" t="s">
        <v>80</v>
      </c>
      <c r="U176" t="s">
        <v>630</v>
      </c>
      <c r="V176">
        <v>11050</v>
      </c>
      <c r="W176" t="s">
        <v>47</v>
      </c>
      <c r="X176" t="s">
        <v>113</v>
      </c>
      <c r="Y176" t="s">
        <v>52</v>
      </c>
      <c r="Z176" s="10">
        <f t="shared" si="24"/>
        <v>9</v>
      </c>
      <c r="AA176" s="11">
        <v>-2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19"/>
        <v>0.42</v>
      </c>
      <c r="AG176" s="11">
        <f t="shared" si="20"/>
        <v>7.42</v>
      </c>
      <c r="AH176" s="11">
        <v>0</v>
      </c>
      <c r="AI176" s="11">
        <f t="shared" si="21"/>
        <v>7.42</v>
      </c>
      <c r="AJ176" t="s">
        <v>53</v>
      </c>
    </row>
    <row r="177" spans="1:36" ht="15" customHeight="1" x14ac:dyDescent="0.35">
      <c r="A177">
        <v>7547676</v>
      </c>
      <c r="B177" t="s">
        <v>36</v>
      </c>
      <c r="C177" t="s">
        <v>37</v>
      </c>
      <c r="D177" s="6" t="s">
        <v>36</v>
      </c>
      <c r="E177" t="s">
        <v>631</v>
      </c>
      <c r="F177" t="s">
        <v>39</v>
      </c>
      <c r="G177" t="s">
        <v>40</v>
      </c>
      <c r="H177" t="s">
        <v>632</v>
      </c>
      <c r="I177" t="s">
        <v>42</v>
      </c>
      <c r="J177">
        <v>2</v>
      </c>
      <c r="K177" t="s">
        <v>43</v>
      </c>
      <c r="L177" t="s">
        <v>44</v>
      </c>
      <c r="M177" t="s">
        <v>45</v>
      </c>
      <c r="N177" s="7">
        <v>1</v>
      </c>
      <c r="O177" s="8">
        <v>45552.661736111113</v>
      </c>
      <c r="P177" s="9">
        <v>45555</v>
      </c>
      <c r="Q177" t="s">
        <v>46</v>
      </c>
      <c r="R177" t="s">
        <v>47</v>
      </c>
      <c r="S177" t="s">
        <v>48</v>
      </c>
      <c r="T177" t="s">
        <v>90</v>
      </c>
      <c r="U177" t="s">
        <v>633</v>
      </c>
      <c r="V177">
        <v>91007</v>
      </c>
      <c r="W177" t="s">
        <v>92</v>
      </c>
      <c r="X177" t="s">
        <v>51</v>
      </c>
      <c r="Y177" t="s">
        <v>52</v>
      </c>
      <c r="Z177" s="12">
        <f>IF(N177&lt;=1,13,IF(N177&lt;=2,23,IF(N177&lt;=3,35,IF(N177&lt;=4,43,IF(N177&lt;=5,53,IF(N177&lt;=6,63,IF(N177&lt;=7,71,IF(N177&lt;=8,79,IF(N177&lt;=9,87,IF(N177&lt;=10,95,IF(N177&lt;=11,105,IF(N177&lt;=12,114,IF(N177&lt;=13,119,IF(N177&lt;=14,127,IF(N177&lt;=15,135,IF(N177&lt;=16,143,IF(N177&lt;=17,153,IF(N177&lt;=18,163,IF(N177&lt;=19,171,IF(N177&lt;=20,185,IF(N177&lt;=21,193,IF(N177&lt;=22,201,IF(N177&lt;=23,210,IF(N177&lt;=24,220,IF(N177&lt;=25,230,IF(N177&lt;=26,240,IF(N177&lt;=27,250,IF(N177&lt;=28,260,IF(N177&lt;=29,270,IF(N177&lt;=30,280,280+10*ROUNDUP(N177-30,0)))))))))))))))))))))))))))))))</f>
        <v>13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19"/>
        <v>0.78</v>
      </c>
      <c r="AG177" s="11">
        <f t="shared" si="20"/>
        <v>13.78</v>
      </c>
      <c r="AH177" s="11">
        <v>0</v>
      </c>
      <c r="AI177" s="11">
        <f t="shared" si="21"/>
        <v>13.78</v>
      </c>
      <c r="AJ177" t="s">
        <v>94</v>
      </c>
    </row>
    <row r="178" spans="1:36" ht="15" customHeight="1" x14ac:dyDescent="0.35">
      <c r="A178">
        <v>7547676</v>
      </c>
      <c r="B178" t="s">
        <v>36</v>
      </c>
      <c r="C178" t="s">
        <v>37</v>
      </c>
      <c r="D178" s="6" t="s">
        <v>36</v>
      </c>
      <c r="E178" t="s">
        <v>634</v>
      </c>
      <c r="F178" t="s">
        <v>39</v>
      </c>
      <c r="G178" t="s">
        <v>40</v>
      </c>
      <c r="H178" t="s">
        <v>635</v>
      </c>
      <c r="I178" t="s">
        <v>42</v>
      </c>
      <c r="J178">
        <v>2</v>
      </c>
      <c r="K178" t="s">
        <v>43</v>
      </c>
      <c r="L178" t="s">
        <v>44</v>
      </c>
      <c r="M178" t="s">
        <v>45</v>
      </c>
      <c r="N178" s="7">
        <v>1</v>
      </c>
      <c r="O178" s="8">
        <v>45554.623055555552</v>
      </c>
      <c r="P178" s="9">
        <v>45556</v>
      </c>
      <c r="Q178" t="s">
        <v>46</v>
      </c>
      <c r="R178" t="s">
        <v>47</v>
      </c>
      <c r="S178" t="s">
        <v>48</v>
      </c>
      <c r="T178" t="s">
        <v>66</v>
      </c>
      <c r="U178" t="s">
        <v>636</v>
      </c>
      <c r="V178">
        <v>81100</v>
      </c>
      <c r="W178" t="s">
        <v>47</v>
      </c>
      <c r="X178" t="s">
        <v>637</v>
      </c>
      <c r="Y178" t="s">
        <v>52</v>
      </c>
      <c r="Z178" s="10">
        <f t="shared" ref="Z178:Z179" si="25">IF(N178&lt;=1,9,9+0.8*ROUNDUP(N178-1,0))</f>
        <v>9</v>
      </c>
      <c r="AA178" s="11">
        <v>-2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19"/>
        <v>0.42</v>
      </c>
      <c r="AG178" s="11">
        <f t="shared" si="20"/>
        <v>7.42</v>
      </c>
      <c r="AH178" s="11">
        <v>0</v>
      </c>
      <c r="AI178" s="11">
        <f t="shared" si="21"/>
        <v>7.42</v>
      </c>
      <c r="AJ178" t="s">
        <v>53</v>
      </c>
    </row>
    <row r="179" spans="1:36" ht="15" customHeight="1" x14ac:dyDescent="0.35">
      <c r="A179">
        <v>7547676</v>
      </c>
      <c r="B179" t="s">
        <v>36</v>
      </c>
      <c r="C179" t="s">
        <v>37</v>
      </c>
      <c r="D179" s="6" t="s">
        <v>36</v>
      </c>
      <c r="E179" t="s">
        <v>638</v>
      </c>
      <c r="F179" t="s">
        <v>39</v>
      </c>
      <c r="G179" t="s">
        <v>40</v>
      </c>
      <c r="H179" t="s">
        <v>639</v>
      </c>
      <c r="I179" t="s">
        <v>42</v>
      </c>
      <c r="J179">
        <v>2</v>
      </c>
      <c r="K179" t="s">
        <v>43</v>
      </c>
      <c r="L179" t="s">
        <v>44</v>
      </c>
      <c r="M179" t="s">
        <v>45</v>
      </c>
      <c r="N179" s="7">
        <v>7</v>
      </c>
      <c r="O179" s="8">
        <v>45554.693703703706</v>
      </c>
      <c r="P179" s="9">
        <v>45556</v>
      </c>
      <c r="Q179" t="s">
        <v>46</v>
      </c>
      <c r="R179" t="s">
        <v>47</v>
      </c>
      <c r="S179" t="s">
        <v>48</v>
      </c>
      <c r="T179" t="s">
        <v>210</v>
      </c>
      <c r="U179" t="s">
        <v>640</v>
      </c>
      <c r="V179">
        <v>72120</v>
      </c>
      <c r="W179" t="s">
        <v>47</v>
      </c>
      <c r="X179" t="s">
        <v>641</v>
      </c>
      <c r="Y179" t="s">
        <v>52</v>
      </c>
      <c r="Z179" s="10">
        <f t="shared" si="25"/>
        <v>13.8</v>
      </c>
      <c r="AA179" s="11">
        <v>-2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19"/>
        <v>0.70799999999999996</v>
      </c>
      <c r="AG179" s="11">
        <f t="shared" si="20"/>
        <v>12.508000000000001</v>
      </c>
      <c r="AH179" s="11">
        <v>0</v>
      </c>
      <c r="AI179" s="11">
        <f t="shared" si="21"/>
        <v>12.508000000000001</v>
      </c>
      <c r="AJ179" t="s">
        <v>53</v>
      </c>
    </row>
    <row r="180" spans="1:36" ht="15" customHeight="1" x14ac:dyDescent="0.35">
      <c r="A180">
        <v>7547676</v>
      </c>
      <c r="B180" t="s">
        <v>36</v>
      </c>
      <c r="C180" t="s">
        <v>37</v>
      </c>
      <c r="D180" s="6" t="s">
        <v>36</v>
      </c>
      <c r="E180" t="s">
        <v>642</v>
      </c>
      <c r="F180" t="s">
        <v>39</v>
      </c>
      <c r="G180" t="s">
        <v>40</v>
      </c>
      <c r="H180" t="s">
        <v>643</v>
      </c>
      <c r="I180" t="s">
        <v>42</v>
      </c>
      <c r="J180">
        <v>2</v>
      </c>
      <c r="K180" t="s">
        <v>43</v>
      </c>
      <c r="L180" t="s">
        <v>44</v>
      </c>
      <c r="M180" t="s">
        <v>45</v>
      </c>
      <c r="N180" s="7">
        <v>5</v>
      </c>
      <c r="O180" s="8">
        <v>45552.812430555554</v>
      </c>
      <c r="P180" s="9">
        <v>45555</v>
      </c>
      <c r="Q180" t="s">
        <v>46</v>
      </c>
      <c r="R180" t="s">
        <v>47</v>
      </c>
      <c r="S180" t="s">
        <v>48</v>
      </c>
      <c r="T180" t="s">
        <v>644</v>
      </c>
      <c r="U180" t="s">
        <v>645</v>
      </c>
      <c r="V180">
        <v>94650</v>
      </c>
      <c r="W180" t="s">
        <v>92</v>
      </c>
      <c r="X180" t="s">
        <v>646</v>
      </c>
      <c r="Y180" t="s">
        <v>52</v>
      </c>
      <c r="Z180" s="12">
        <f>IF(N180&lt;=1,13,IF(N180&lt;=2,23,IF(N180&lt;=3,35,IF(N180&lt;=4,43,IF(N180&lt;=5,53,IF(N180&lt;=6,63,IF(N180&lt;=7,71,IF(N180&lt;=8,79,IF(N180&lt;=9,87,IF(N180&lt;=10,95,IF(N180&lt;=11,105,IF(N180&lt;=12,114,IF(N180&lt;=13,119,IF(N180&lt;=14,127,IF(N180&lt;=15,135,IF(N180&lt;=16,143,IF(N180&lt;=17,153,IF(N180&lt;=18,163,IF(N180&lt;=19,171,IF(N180&lt;=20,185,IF(N180&lt;=21,193,IF(N180&lt;=22,201,IF(N180&lt;=23,210,IF(N180&lt;=24,220,IF(N180&lt;=25,230,IF(N180&lt;=26,240,IF(N180&lt;=27,250,IF(N180&lt;=28,260,IF(N180&lt;=29,270,IF(N180&lt;=30,280,280+10*ROUNDUP(N180-30,0)))))))))))))))))))))))))))))))</f>
        <v>53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19"/>
        <v>3.1799999999999997</v>
      </c>
      <c r="AG180" s="11">
        <f t="shared" si="20"/>
        <v>56.18</v>
      </c>
      <c r="AH180" s="11">
        <v>0</v>
      </c>
      <c r="AI180" s="11">
        <f t="shared" si="21"/>
        <v>56.18</v>
      </c>
      <c r="AJ180" t="s">
        <v>94</v>
      </c>
    </row>
    <row r="181" spans="1:36" ht="15" customHeight="1" x14ac:dyDescent="0.35">
      <c r="A181">
        <v>7547676</v>
      </c>
      <c r="B181" t="s">
        <v>36</v>
      </c>
      <c r="C181" t="s">
        <v>37</v>
      </c>
      <c r="D181" s="6" t="s">
        <v>36</v>
      </c>
      <c r="E181" t="s">
        <v>647</v>
      </c>
      <c r="F181" t="s">
        <v>39</v>
      </c>
      <c r="G181" t="s">
        <v>40</v>
      </c>
      <c r="H181" t="s">
        <v>648</v>
      </c>
      <c r="I181" t="s">
        <v>42</v>
      </c>
      <c r="J181">
        <v>2</v>
      </c>
      <c r="K181" t="s">
        <v>43</v>
      </c>
      <c r="L181" t="s">
        <v>44</v>
      </c>
      <c r="M181" t="s">
        <v>45</v>
      </c>
      <c r="N181" s="7">
        <v>1</v>
      </c>
      <c r="O181" s="8">
        <v>45555.507372685184</v>
      </c>
      <c r="P181" s="9">
        <v>45556</v>
      </c>
      <c r="Q181" t="s">
        <v>89</v>
      </c>
      <c r="R181" t="s">
        <v>47</v>
      </c>
      <c r="S181" t="s">
        <v>48</v>
      </c>
      <c r="T181" t="s">
        <v>123</v>
      </c>
      <c r="U181" t="s">
        <v>649</v>
      </c>
      <c r="V181">
        <v>43800</v>
      </c>
      <c r="W181" t="s">
        <v>47</v>
      </c>
      <c r="X181" t="s">
        <v>650</v>
      </c>
      <c r="Y181" t="s">
        <v>52</v>
      </c>
      <c r="Z181" s="10">
        <f t="shared" ref="Z181:Z186" si="26">IF(N181&lt;=1,9,9+0.8*ROUNDUP(N181-1,0))</f>
        <v>9</v>
      </c>
      <c r="AA181" s="11">
        <v>-2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19"/>
        <v>0.42</v>
      </c>
      <c r="AG181" s="11">
        <f t="shared" si="20"/>
        <v>7.42</v>
      </c>
      <c r="AH181" s="11">
        <v>0</v>
      </c>
      <c r="AI181" s="11">
        <f t="shared" si="21"/>
        <v>7.42</v>
      </c>
      <c r="AJ181" t="s">
        <v>53</v>
      </c>
    </row>
    <row r="182" spans="1:36" ht="15" customHeight="1" x14ac:dyDescent="0.35">
      <c r="A182">
        <v>7547676</v>
      </c>
      <c r="B182" t="s">
        <v>36</v>
      </c>
      <c r="C182" t="s">
        <v>37</v>
      </c>
      <c r="D182" s="6" t="s">
        <v>36</v>
      </c>
      <c r="E182" t="s">
        <v>651</v>
      </c>
      <c r="F182" t="s">
        <v>39</v>
      </c>
      <c r="G182" t="s">
        <v>40</v>
      </c>
      <c r="H182" t="s">
        <v>575</v>
      </c>
      <c r="I182" t="s">
        <v>42</v>
      </c>
      <c r="J182">
        <v>2</v>
      </c>
      <c r="K182" t="s">
        <v>43</v>
      </c>
      <c r="L182" t="s">
        <v>44</v>
      </c>
      <c r="M182" t="s">
        <v>45</v>
      </c>
      <c r="N182" s="7">
        <v>5</v>
      </c>
      <c r="O182" s="8">
        <v>45554.578032407408</v>
      </c>
      <c r="P182" s="9">
        <v>45556</v>
      </c>
      <c r="Q182" t="s">
        <v>46</v>
      </c>
      <c r="R182" t="s">
        <v>47</v>
      </c>
      <c r="S182" t="s">
        <v>48</v>
      </c>
      <c r="T182" t="s">
        <v>66</v>
      </c>
      <c r="U182" t="s">
        <v>652</v>
      </c>
      <c r="V182">
        <v>81900</v>
      </c>
      <c r="W182" t="s">
        <v>47</v>
      </c>
      <c r="X182" t="s">
        <v>577</v>
      </c>
      <c r="Y182" t="s">
        <v>52</v>
      </c>
      <c r="Z182" s="10">
        <f t="shared" si="26"/>
        <v>12.2</v>
      </c>
      <c r="AA182" s="11">
        <v>-2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19"/>
        <v>0.61199999999999999</v>
      </c>
      <c r="AG182" s="11">
        <f t="shared" si="20"/>
        <v>10.811999999999999</v>
      </c>
      <c r="AH182" s="11">
        <v>0</v>
      </c>
      <c r="AI182" s="11">
        <f t="shared" si="21"/>
        <v>10.811999999999999</v>
      </c>
      <c r="AJ182" t="s">
        <v>53</v>
      </c>
    </row>
    <row r="183" spans="1:36" ht="15" customHeight="1" x14ac:dyDescent="0.35">
      <c r="A183">
        <v>7547676</v>
      </c>
      <c r="B183" t="s">
        <v>36</v>
      </c>
      <c r="C183" t="s">
        <v>37</v>
      </c>
      <c r="D183" s="6" t="s">
        <v>36</v>
      </c>
      <c r="E183" t="s">
        <v>653</v>
      </c>
      <c r="F183" t="s">
        <v>39</v>
      </c>
      <c r="G183" t="s">
        <v>40</v>
      </c>
      <c r="H183" t="s">
        <v>654</v>
      </c>
      <c r="I183" t="s">
        <v>42</v>
      </c>
      <c r="J183">
        <v>2</v>
      </c>
      <c r="K183" t="s">
        <v>43</v>
      </c>
      <c r="L183" t="s">
        <v>44</v>
      </c>
      <c r="M183" t="s">
        <v>45</v>
      </c>
      <c r="N183" s="7">
        <v>1</v>
      </c>
      <c r="O183" s="8">
        <v>45554.623055555552</v>
      </c>
      <c r="P183" s="9">
        <v>45556</v>
      </c>
      <c r="Q183" t="s">
        <v>46</v>
      </c>
      <c r="R183" t="s">
        <v>47</v>
      </c>
      <c r="S183" t="s">
        <v>48</v>
      </c>
      <c r="T183" t="s">
        <v>104</v>
      </c>
      <c r="U183" t="s">
        <v>655</v>
      </c>
      <c r="V183">
        <v>77300</v>
      </c>
      <c r="W183" t="s">
        <v>47</v>
      </c>
      <c r="X183" t="s">
        <v>656</v>
      </c>
      <c r="Y183" t="s">
        <v>52</v>
      </c>
      <c r="Z183" s="10">
        <f t="shared" si="26"/>
        <v>9</v>
      </c>
      <c r="AA183" s="11">
        <v>-2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19"/>
        <v>0.42</v>
      </c>
      <c r="AG183" s="11">
        <f t="shared" si="20"/>
        <v>7.42</v>
      </c>
      <c r="AH183" s="11">
        <v>0</v>
      </c>
      <c r="AI183" s="11">
        <f t="shared" si="21"/>
        <v>7.42</v>
      </c>
      <c r="AJ183" t="s">
        <v>53</v>
      </c>
    </row>
    <row r="184" spans="1:36" ht="15" customHeight="1" x14ac:dyDescent="0.35">
      <c r="A184">
        <v>7547676</v>
      </c>
      <c r="B184" t="s">
        <v>36</v>
      </c>
      <c r="C184" t="s">
        <v>37</v>
      </c>
      <c r="D184" s="6" t="s">
        <v>36</v>
      </c>
      <c r="E184" t="s">
        <v>657</v>
      </c>
      <c r="F184" t="s">
        <v>39</v>
      </c>
      <c r="G184" t="s">
        <v>40</v>
      </c>
      <c r="H184" t="s">
        <v>658</v>
      </c>
      <c r="I184" t="s">
        <v>42</v>
      </c>
      <c r="J184">
        <v>2</v>
      </c>
      <c r="K184" t="s">
        <v>43</v>
      </c>
      <c r="L184" t="s">
        <v>44</v>
      </c>
      <c r="M184" t="s">
        <v>45</v>
      </c>
      <c r="N184" s="7">
        <v>1</v>
      </c>
      <c r="O184" s="8">
        <v>45555.507372685184</v>
      </c>
      <c r="P184" s="9">
        <v>45556</v>
      </c>
      <c r="Q184" t="s">
        <v>89</v>
      </c>
      <c r="R184" t="s">
        <v>47</v>
      </c>
      <c r="S184" t="s">
        <v>48</v>
      </c>
      <c r="T184" t="s">
        <v>61</v>
      </c>
      <c r="U184" t="s">
        <v>659</v>
      </c>
      <c r="V184">
        <v>21200</v>
      </c>
      <c r="W184" t="s">
        <v>47</v>
      </c>
      <c r="X184" t="s">
        <v>145</v>
      </c>
      <c r="Y184" t="s">
        <v>52</v>
      </c>
      <c r="Z184" s="10">
        <f t="shared" si="26"/>
        <v>9</v>
      </c>
      <c r="AA184" s="11">
        <v>-2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19"/>
        <v>0.42</v>
      </c>
      <c r="AG184" s="11">
        <f t="shared" si="20"/>
        <v>7.42</v>
      </c>
      <c r="AH184" s="11">
        <v>0</v>
      </c>
      <c r="AI184" s="11">
        <f t="shared" si="21"/>
        <v>7.42</v>
      </c>
      <c r="AJ184" t="s">
        <v>53</v>
      </c>
    </row>
    <row r="185" spans="1:36" ht="15" customHeight="1" x14ac:dyDescent="0.35">
      <c r="A185">
        <v>7547676</v>
      </c>
      <c r="B185" t="s">
        <v>36</v>
      </c>
      <c r="C185" t="s">
        <v>37</v>
      </c>
      <c r="D185" s="6" t="s">
        <v>36</v>
      </c>
      <c r="E185" t="s">
        <v>660</v>
      </c>
      <c r="F185" t="s">
        <v>39</v>
      </c>
      <c r="G185" t="s">
        <v>40</v>
      </c>
      <c r="H185" t="s">
        <v>661</v>
      </c>
      <c r="I185" t="s">
        <v>42</v>
      </c>
      <c r="J185">
        <v>2</v>
      </c>
      <c r="K185" t="s">
        <v>43</v>
      </c>
      <c r="L185" t="s">
        <v>44</v>
      </c>
      <c r="M185" t="s">
        <v>45</v>
      </c>
      <c r="N185" s="7">
        <v>1</v>
      </c>
      <c r="O185" s="8">
        <v>45553.576238425929</v>
      </c>
      <c r="P185" s="9">
        <v>45556</v>
      </c>
      <c r="Q185" t="s">
        <v>46</v>
      </c>
      <c r="R185" t="s">
        <v>47</v>
      </c>
      <c r="S185" t="s">
        <v>48</v>
      </c>
      <c r="T185" t="s">
        <v>61</v>
      </c>
      <c r="U185" t="s">
        <v>662</v>
      </c>
      <c r="V185">
        <v>24050</v>
      </c>
      <c r="W185" t="s">
        <v>47</v>
      </c>
      <c r="X185" t="s">
        <v>188</v>
      </c>
      <c r="Y185" t="s">
        <v>52</v>
      </c>
      <c r="Z185" s="10">
        <f t="shared" si="26"/>
        <v>9</v>
      </c>
      <c r="AA185" s="11">
        <v>-2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19"/>
        <v>0.42</v>
      </c>
      <c r="AG185" s="11">
        <f t="shared" si="20"/>
        <v>7.42</v>
      </c>
      <c r="AH185" s="11">
        <v>0</v>
      </c>
      <c r="AI185" s="11">
        <f t="shared" si="21"/>
        <v>7.42</v>
      </c>
      <c r="AJ185" t="s">
        <v>53</v>
      </c>
    </row>
    <row r="186" spans="1:36" ht="15" customHeight="1" x14ac:dyDescent="0.35">
      <c r="A186">
        <v>7547676</v>
      </c>
      <c r="B186" t="s">
        <v>36</v>
      </c>
      <c r="C186" t="s">
        <v>37</v>
      </c>
      <c r="D186" s="6" t="s">
        <v>36</v>
      </c>
      <c r="E186" t="s">
        <v>663</v>
      </c>
      <c r="F186" t="s">
        <v>39</v>
      </c>
      <c r="G186" t="s">
        <v>40</v>
      </c>
      <c r="H186" t="s">
        <v>664</v>
      </c>
      <c r="I186" t="s">
        <v>42</v>
      </c>
      <c r="J186">
        <v>2</v>
      </c>
      <c r="K186" t="s">
        <v>43</v>
      </c>
      <c r="L186" t="s">
        <v>44</v>
      </c>
      <c r="M186" t="s">
        <v>45</v>
      </c>
      <c r="N186" s="7">
        <v>11</v>
      </c>
      <c r="O186" s="8">
        <v>45554.730416666665</v>
      </c>
      <c r="P186" s="9">
        <v>45556</v>
      </c>
      <c r="Q186" t="s">
        <v>46</v>
      </c>
      <c r="R186" t="s">
        <v>47</v>
      </c>
      <c r="S186" t="s">
        <v>48</v>
      </c>
      <c r="T186" t="s">
        <v>278</v>
      </c>
      <c r="U186" t="s">
        <v>665</v>
      </c>
      <c r="V186">
        <v>39100</v>
      </c>
      <c r="W186" t="s">
        <v>47</v>
      </c>
      <c r="X186" t="s">
        <v>666</v>
      </c>
      <c r="Y186" t="s">
        <v>52</v>
      </c>
      <c r="Z186" s="10">
        <f t="shared" si="26"/>
        <v>17</v>
      </c>
      <c r="AA186" s="11">
        <v>-2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19"/>
        <v>0.89999999999999991</v>
      </c>
      <c r="AG186" s="11">
        <f t="shared" si="20"/>
        <v>15.9</v>
      </c>
      <c r="AH186" s="11">
        <v>0</v>
      </c>
      <c r="AI186" s="11">
        <f t="shared" si="21"/>
        <v>15.9</v>
      </c>
      <c r="AJ186" t="s">
        <v>53</v>
      </c>
    </row>
    <row r="187" spans="1:36" ht="15" customHeight="1" x14ac:dyDescent="0.35">
      <c r="A187">
        <v>7547676</v>
      </c>
      <c r="B187" t="s">
        <v>36</v>
      </c>
      <c r="C187" t="s">
        <v>37</v>
      </c>
      <c r="D187" s="6" t="s">
        <v>36</v>
      </c>
      <c r="E187" t="s">
        <v>667</v>
      </c>
      <c r="F187" t="s">
        <v>39</v>
      </c>
      <c r="G187" t="s">
        <v>40</v>
      </c>
      <c r="H187" t="s">
        <v>668</v>
      </c>
      <c r="I187" t="s">
        <v>42</v>
      </c>
      <c r="J187">
        <v>2</v>
      </c>
      <c r="K187" t="s">
        <v>43</v>
      </c>
      <c r="L187" t="s">
        <v>44</v>
      </c>
      <c r="M187" t="s">
        <v>45</v>
      </c>
      <c r="N187" s="7">
        <v>1</v>
      </c>
      <c r="O187" s="8">
        <v>45554.623055555552</v>
      </c>
      <c r="P187" s="9">
        <v>45556</v>
      </c>
      <c r="Q187" t="s">
        <v>89</v>
      </c>
      <c r="R187" t="s">
        <v>47</v>
      </c>
      <c r="S187" t="s">
        <v>48</v>
      </c>
      <c r="T187" t="s">
        <v>123</v>
      </c>
      <c r="U187" t="s">
        <v>669</v>
      </c>
      <c r="V187">
        <v>43300</v>
      </c>
      <c r="W187" t="s">
        <v>47</v>
      </c>
      <c r="X187" t="s">
        <v>461</v>
      </c>
      <c r="Y187" t="s">
        <v>52</v>
      </c>
      <c r="Z187" s="10">
        <f>IF(N187&lt;=1,9,9+0.8*ROUNDUP(N187-1,0))</f>
        <v>9</v>
      </c>
      <c r="AA187" s="11">
        <v>-2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19"/>
        <v>0.42</v>
      </c>
      <c r="AG187" s="11">
        <f t="shared" si="20"/>
        <v>7.42</v>
      </c>
      <c r="AH187" s="11">
        <v>0</v>
      </c>
      <c r="AI187" s="11">
        <f t="shared" si="21"/>
        <v>7.42</v>
      </c>
      <c r="AJ187" t="s">
        <v>53</v>
      </c>
    </row>
    <row r="188" spans="1:36" ht="15" customHeight="1" x14ac:dyDescent="0.35">
      <c r="A188">
        <v>7547676</v>
      </c>
      <c r="B188" t="s">
        <v>36</v>
      </c>
      <c r="C188" t="s">
        <v>37</v>
      </c>
      <c r="D188" s="6" t="s">
        <v>36</v>
      </c>
      <c r="E188" t="s">
        <v>670</v>
      </c>
      <c r="F188" t="s">
        <v>39</v>
      </c>
      <c r="G188" t="s">
        <v>40</v>
      </c>
      <c r="H188" t="s">
        <v>671</v>
      </c>
      <c r="I188" t="s">
        <v>42</v>
      </c>
      <c r="J188">
        <v>2</v>
      </c>
      <c r="K188" t="s">
        <v>43</v>
      </c>
      <c r="L188" t="s">
        <v>44</v>
      </c>
      <c r="M188" t="s">
        <v>45</v>
      </c>
      <c r="N188" s="7">
        <v>1</v>
      </c>
      <c r="O188" s="8">
        <v>45554.473564814813</v>
      </c>
      <c r="P188" s="9">
        <v>45556</v>
      </c>
      <c r="Q188" t="s">
        <v>46</v>
      </c>
      <c r="R188" t="s">
        <v>47</v>
      </c>
      <c r="S188" t="s">
        <v>48</v>
      </c>
      <c r="T188" t="s">
        <v>66</v>
      </c>
      <c r="U188" t="s">
        <v>672</v>
      </c>
      <c r="V188">
        <v>81550</v>
      </c>
      <c r="W188" t="s">
        <v>47</v>
      </c>
      <c r="X188" t="s">
        <v>86</v>
      </c>
      <c r="Y188" t="s">
        <v>52</v>
      </c>
      <c r="Z188" s="10">
        <f t="shared" ref="Z188" si="27">IF(N188&lt;=1,9,9+0.8*ROUNDUP(N188-1,0))</f>
        <v>9</v>
      </c>
      <c r="AA188" s="11">
        <v>-2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19"/>
        <v>0.42</v>
      </c>
      <c r="AG188" s="11">
        <f t="shared" si="20"/>
        <v>7.42</v>
      </c>
      <c r="AH188" s="11">
        <v>0</v>
      </c>
      <c r="AI188" s="11">
        <f t="shared" si="21"/>
        <v>7.42</v>
      </c>
      <c r="AJ188" t="s">
        <v>53</v>
      </c>
    </row>
    <row r="189" spans="1:36" ht="15" customHeight="1" x14ac:dyDescent="0.35">
      <c r="A189">
        <v>7547676</v>
      </c>
      <c r="B189" t="s">
        <v>36</v>
      </c>
      <c r="C189" t="s">
        <v>37</v>
      </c>
      <c r="D189" s="6" t="s">
        <v>36</v>
      </c>
      <c r="E189" t="s">
        <v>673</v>
      </c>
      <c r="F189" t="s">
        <v>39</v>
      </c>
      <c r="G189" t="s">
        <v>40</v>
      </c>
      <c r="H189" t="s">
        <v>674</v>
      </c>
      <c r="I189" t="s">
        <v>42</v>
      </c>
      <c r="J189">
        <v>2</v>
      </c>
      <c r="K189" t="s">
        <v>43</v>
      </c>
      <c r="L189" t="s">
        <v>44</v>
      </c>
      <c r="M189" t="s">
        <v>45</v>
      </c>
      <c r="N189" s="7">
        <v>5</v>
      </c>
      <c r="O189" s="8">
        <v>45554.742268518516</v>
      </c>
      <c r="P189" s="9">
        <v>45556</v>
      </c>
      <c r="Q189" t="s">
        <v>46</v>
      </c>
      <c r="R189" t="s">
        <v>47</v>
      </c>
      <c r="S189" t="s">
        <v>48</v>
      </c>
      <c r="T189" t="s">
        <v>644</v>
      </c>
      <c r="U189" t="s">
        <v>675</v>
      </c>
      <c r="V189">
        <v>96000</v>
      </c>
      <c r="W189" t="s">
        <v>92</v>
      </c>
      <c r="X189" t="s">
        <v>676</v>
      </c>
      <c r="Y189" t="s">
        <v>52</v>
      </c>
      <c r="Z189" s="12">
        <f>IF(N189&lt;=1,13,IF(N189&lt;=2,23,IF(N189&lt;=3,35,IF(N189&lt;=4,43,IF(N189&lt;=5,53,IF(N189&lt;=6,63,IF(N189&lt;=7,71,IF(N189&lt;=8,79,IF(N189&lt;=9,87,IF(N189&lt;=10,95,IF(N189&lt;=11,105,IF(N189&lt;=12,114,IF(N189&lt;=13,119,IF(N189&lt;=14,127,IF(N189&lt;=15,135,IF(N189&lt;=16,143,IF(N189&lt;=17,153,IF(N189&lt;=18,163,IF(N189&lt;=19,171,IF(N189&lt;=20,185,IF(N189&lt;=21,193,IF(N189&lt;=22,201,IF(N189&lt;=23,210,IF(N189&lt;=24,220,IF(N189&lt;=25,230,IF(N189&lt;=26,240,IF(N189&lt;=27,250,IF(N189&lt;=28,260,IF(N189&lt;=29,270,IF(N189&lt;=30,280,280+10*ROUNDUP(N189-30,0)))))))))))))))))))))))))))))))</f>
        <v>53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19"/>
        <v>3.1799999999999997</v>
      </c>
      <c r="AG189" s="11">
        <f t="shared" si="20"/>
        <v>56.18</v>
      </c>
      <c r="AH189" s="11">
        <v>0</v>
      </c>
      <c r="AI189" s="11">
        <f t="shared" si="21"/>
        <v>56.18</v>
      </c>
      <c r="AJ189" t="s">
        <v>94</v>
      </c>
    </row>
    <row r="190" spans="1:36" ht="15" customHeight="1" x14ac:dyDescent="0.35">
      <c r="A190">
        <v>7547676</v>
      </c>
      <c r="B190" t="s">
        <v>36</v>
      </c>
      <c r="C190" t="s">
        <v>37</v>
      </c>
      <c r="D190" s="6" t="s">
        <v>36</v>
      </c>
      <c r="E190" t="s">
        <v>677</v>
      </c>
      <c r="F190" t="s">
        <v>39</v>
      </c>
      <c r="G190" t="s">
        <v>40</v>
      </c>
      <c r="H190" t="s">
        <v>678</v>
      </c>
      <c r="I190" t="s">
        <v>42</v>
      </c>
      <c r="J190">
        <v>2</v>
      </c>
      <c r="K190" t="s">
        <v>43</v>
      </c>
      <c r="L190" t="s">
        <v>44</v>
      </c>
      <c r="M190" t="s">
        <v>45</v>
      </c>
      <c r="N190" s="7">
        <v>1</v>
      </c>
      <c r="O190" s="8">
        <v>45555.494618055556</v>
      </c>
      <c r="P190" s="9">
        <v>45556</v>
      </c>
      <c r="Q190" t="s">
        <v>89</v>
      </c>
      <c r="R190" t="s">
        <v>47</v>
      </c>
      <c r="S190" t="s">
        <v>48</v>
      </c>
      <c r="T190" t="s">
        <v>128</v>
      </c>
      <c r="U190" t="s">
        <v>679</v>
      </c>
      <c r="V190">
        <v>55100</v>
      </c>
      <c r="W190" t="s">
        <v>47</v>
      </c>
      <c r="X190" t="s">
        <v>680</v>
      </c>
      <c r="Y190" t="s">
        <v>52</v>
      </c>
      <c r="Z190" s="10">
        <f t="shared" ref="Z190:Z203" si="28">IF(N190&lt;=1,9,9+0.8*ROUNDUP(N190-1,0))</f>
        <v>9</v>
      </c>
      <c r="AA190" s="11">
        <v>-2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19"/>
        <v>0.42</v>
      </c>
      <c r="AG190" s="11">
        <f t="shared" si="20"/>
        <v>7.42</v>
      </c>
      <c r="AH190" s="11">
        <v>0</v>
      </c>
      <c r="AI190" s="11">
        <f t="shared" si="21"/>
        <v>7.42</v>
      </c>
      <c r="AJ190" t="s">
        <v>53</v>
      </c>
    </row>
    <row r="191" spans="1:36" ht="15" customHeight="1" x14ac:dyDescent="0.35">
      <c r="A191">
        <v>7547676</v>
      </c>
      <c r="B191" t="s">
        <v>36</v>
      </c>
      <c r="C191" t="s">
        <v>37</v>
      </c>
      <c r="D191" s="6" t="s">
        <v>36</v>
      </c>
      <c r="E191" t="s">
        <v>681</v>
      </c>
      <c r="F191" t="s">
        <v>39</v>
      </c>
      <c r="G191" t="s">
        <v>40</v>
      </c>
      <c r="H191" t="s">
        <v>682</v>
      </c>
      <c r="I191" t="s">
        <v>42</v>
      </c>
      <c r="J191">
        <v>2</v>
      </c>
      <c r="K191" t="s">
        <v>43</v>
      </c>
      <c r="L191" t="s">
        <v>44</v>
      </c>
      <c r="M191" t="s">
        <v>45</v>
      </c>
      <c r="N191" s="7">
        <v>1</v>
      </c>
      <c r="O191" s="8">
        <v>45553.501307870371</v>
      </c>
      <c r="P191" s="9">
        <v>45556</v>
      </c>
      <c r="Q191" t="s">
        <v>46</v>
      </c>
      <c r="R191" t="s">
        <v>47</v>
      </c>
      <c r="S191" t="s">
        <v>48</v>
      </c>
      <c r="T191" t="s">
        <v>123</v>
      </c>
      <c r="U191" t="s">
        <v>683</v>
      </c>
      <c r="V191">
        <v>47000</v>
      </c>
      <c r="W191" t="s">
        <v>47</v>
      </c>
      <c r="X191" t="s">
        <v>684</v>
      </c>
      <c r="Y191" t="s">
        <v>52</v>
      </c>
      <c r="Z191" s="10">
        <f t="shared" si="28"/>
        <v>9</v>
      </c>
      <c r="AA191" s="11">
        <v>-2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19"/>
        <v>0.42</v>
      </c>
      <c r="AG191" s="11">
        <f t="shared" si="20"/>
        <v>7.42</v>
      </c>
      <c r="AH191" s="11">
        <v>0</v>
      </c>
      <c r="AI191" s="11">
        <f t="shared" si="21"/>
        <v>7.42</v>
      </c>
      <c r="AJ191" t="s">
        <v>53</v>
      </c>
    </row>
    <row r="192" spans="1:36" ht="15" customHeight="1" x14ac:dyDescent="0.35">
      <c r="A192">
        <v>7547676</v>
      </c>
      <c r="B192" t="s">
        <v>36</v>
      </c>
      <c r="C192" t="s">
        <v>37</v>
      </c>
      <c r="D192" s="6" t="s">
        <v>36</v>
      </c>
      <c r="E192" t="s">
        <v>685</v>
      </c>
      <c r="F192" t="s">
        <v>39</v>
      </c>
      <c r="G192" t="s">
        <v>40</v>
      </c>
      <c r="H192" t="s">
        <v>686</v>
      </c>
      <c r="I192" t="s">
        <v>42</v>
      </c>
      <c r="J192">
        <v>2</v>
      </c>
      <c r="K192" t="s">
        <v>43</v>
      </c>
      <c r="L192" t="s">
        <v>44</v>
      </c>
      <c r="M192" t="s">
        <v>45</v>
      </c>
      <c r="N192" s="7">
        <v>1</v>
      </c>
      <c r="O192" s="8">
        <v>45554.607627314814</v>
      </c>
      <c r="P192" s="9">
        <v>45556</v>
      </c>
      <c r="Q192" t="s">
        <v>46</v>
      </c>
      <c r="R192" t="s">
        <v>47</v>
      </c>
      <c r="S192" t="s">
        <v>48</v>
      </c>
      <c r="T192" t="s">
        <v>128</v>
      </c>
      <c r="U192" t="s">
        <v>687</v>
      </c>
      <c r="V192">
        <v>50480</v>
      </c>
      <c r="W192" t="s">
        <v>47</v>
      </c>
      <c r="X192" t="s">
        <v>688</v>
      </c>
      <c r="Y192" t="s">
        <v>52</v>
      </c>
      <c r="Z192" s="10">
        <f t="shared" si="28"/>
        <v>9</v>
      </c>
      <c r="AA192" s="11">
        <v>-2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19"/>
        <v>0.42</v>
      </c>
      <c r="AG192" s="11">
        <f t="shared" si="20"/>
        <v>7.42</v>
      </c>
      <c r="AH192" s="11">
        <v>0</v>
      </c>
      <c r="AI192" s="11">
        <f t="shared" si="21"/>
        <v>7.42</v>
      </c>
      <c r="AJ192" t="s">
        <v>53</v>
      </c>
    </row>
    <row r="193" spans="1:36" ht="15" customHeight="1" x14ac:dyDescent="0.35">
      <c r="A193">
        <v>7547676</v>
      </c>
      <c r="B193" t="s">
        <v>36</v>
      </c>
      <c r="C193" t="s">
        <v>37</v>
      </c>
      <c r="D193" s="6" t="s">
        <v>36</v>
      </c>
      <c r="E193" t="s">
        <v>689</v>
      </c>
      <c r="F193" t="s">
        <v>39</v>
      </c>
      <c r="G193" t="s">
        <v>40</v>
      </c>
      <c r="H193" t="s">
        <v>690</v>
      </c>
      <c r="I193" t="s">
        <v>42</v>
      </c>
      <c r="J193">
        <v>2</v>
      </c>
      <c r="K193" t="s">
        <v>43</v>
      </c>
      <c r="L193" t="s">
        <v>44</v>
      </c>
      <c r="M193" t="s">
        <v>45</v>
      </c>
      <c r="N193" s="7">
        <v>1</v>
      </c>
      <c r="O193" s="8">
        <v>45556.696099537039</v>
      </c>
      <c r="P193" s="9">
        <v>45557</v>
      </c>
      <c r="Q193" t="s">
        <v>46</v>
      </c>
      <c r="R193" t="s">
        <v>47</v>
      </c>
      <c r="S193" t="s">
        <v>48</v>
      </c>
      <c r="T193" t="s">
        <v>61</v>
      </c>
      <c r="U193" t="s">
        <v>691</v>
      </c>
      <c r="V193">
        <v>21300</v>
      </c>
      <c r="W193" t="s">
        <v>47</v>
      </c>
      <c r="X193" t="s">
        <v>63</v>
      </c>
      <c r="Y193" t="s">
        <v>52</v>
      </c>
      <c r="Z193" s="10">
        <f t="shared" si="28"/>
        <v>9</v>
      </c>
      <c r="AA193" s="11">
        <v>-2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19"/>
        <v>0.42</v>
      </c>
      <c r="AG193" s="11">
        <f t="shared" si="20"/>
        <v>7.42</v>
      </c>
      <c r="AH193" s="11">
        <v>0</v>
      </c>
      <c r="AI193" s="11">
        <f t="shared" si="21"/>
        <v>7.42</v>
      </c>
      <c r="AJ193" t="s">
        <v>53</v>
      </c>
    </row>
    <row r="194" spans="1:36" ht="15" customHeight="1" x14ac:dyDescent="0.35">
      <c r="A194">
        <v>7547676</v>
      </c>
      <c r="B194" t="s">
        <v>36</v>
      </c>
      <c r="C194" t="s">
        <v>37</v>
      </c>
      <c r="D194" s="6" t="s">
        <v>36</v>
      </c>
      <c r="E194" t="s">
        <v>692</v>
      </c>
      <c r="F194" t="s">
        <v>39</v>
      </c>
      <c r="G194" t="s">
        <v>40</v>
      </c>
      <c r="H194" t="s">
        <v>693</v>
      </c>
      <c r="I194" t="s">
        <v>42</v>
      </c>
      <c r="J194">
        <v>2</v>
      </c>
      <c r="K194" t="s">
        <v>43</v>
      </c>
      <c r="L194" t="s">
        <v>44</v>
      </c>
      <c r="M194" t="s">
        <v>45</v>
      </c>
      <c r="N194" s="7">
        <v>1</v>
      </c>
      <c r="O194" s="8">
        <v>45554.473564814813</v>
      </c>
      <c r="P194" s="9">
        <v>45557</v>
      </c>
      <c r="Q194" t="s">
        <v>46</v>
      </c>
      <c r="R194" t="s">
        <v>47</v>
      </c>
      <c r="S194" t="s">
        <v>48</v>
      </c>
      <c r="T194" t="s">
        <v>80</v>
      </c>
      <c r="U194" t="s">
        <v>694</v>
      </c>
      <c r="V194">
        <v>13500</v>
      </c>
      <c r="W194" t="s">
        <v>47</v>
      </c>
      <c r="X194" t="s">
        <v>581</v>
      </c>
      <c r="Y194" t="s">
        <v>52</v>
      </c>
      <c r="Z194" s="10">
        <f t="shared" si="28"/>
        <v>9</v>
      </c>
      <c r="AA194" s="11">
        <v>-2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04" si="29">(Z194+AA194+AC194+AE194)*6%</f>
        <v>0.42</v>
      </c>
      <c r="AG194" s="11">
        <f t="shared" ref="AG194:AG257" si="30">Z194+AA194+AC194+AE194+AF194</f>
        <v>7.42</v>
      </c>
      <c r="AH194" s="11">
        <v>0</v>
      </c>
      <c r="AI194" s="11">
        <f t="shared" ref="AI194:AI257" si="31">AG194+AH194</f>
        <v>7.42</v>
      </c>
      <c r="AJ194" t="s">
        <v>53</v>
      </c>
    </row>
    <row r="195" spans="1:36" ht="15" customHeight="1" x14ac:dyDescent="0.35">
      <c r="A195">
        <v>7547676</v>
      </c>
      <c r="B195" t="s">
        <v>36</v>
      </c>
      <c r="C195" t="s">
        <v>37</v>
      </c>
      <c r="D195" s="6" t="s">
        <v>36</v>
      </c>
      <c r="E195" t="s">
        <v>695</v>
      </c>
      <c r="F195" t="s">
        <v>39</v>
      </c>
      <c r="G195" t="s">
        <v>40</v>
      </c>
      <c r="H195" t="s">
        <v>696</v>
      </c>
      <c r="I195" t="s">
        <v>42</v>
      </c>
      <c r="J195">
        <v>2</v>
      </c>
      <c r="K195" t="s">
        <v>43</v>
      </c>
      <c r="L195" t="s">
        <v>44</v>
      </c>
      <c r="M195" t="s">
        <v>45</v>
      </c>
      <c r="N195" s="7">
        <v>1</v>
      </c>
      <c r="O195" s="8">
        <v>45554.597986111112</v>
      </c>
      <c r="P195" s="9">
        <v>45556</v>
      </c>
      <c r="Q195" t="s">
        <v>89</v>
      </c>
      <c r="R195" t="s">
        <v>47</v>
      </c>
      <c r="S195" t="s">
        <v>48</v>
      </c>
      <c r="T195" t="s">
        <v>128</v>
      </c>
      <c r="U195" t="s">
        <v>697</v>
      </c>
      <c r="V195">
        <v>53300</v>
      </c>
      <c r="W195" t="s">
        <v>47</v>
      </c>
      <c r="X195" t="s">
        <v>698</v>
      </c>
      <c r="Y195" t="s">
        <v>52</v>
      </c>
      <c r="Z195" s="10">
        <f t="shared" si="28"/>
        <v>9</v>
      </c>
      <c r="AA195" s="11">
        <v>-2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29"/>
        <v>0.42</v>
      </c>
      <c r="AG195" s="11">
        <f t="shared" si="30"/>
        <v>7.42</v>
      </c>
      <c r="AH195" s="11">
        <v>0</v>
      </c>
      <c r="AI195" s="11">
        <f t="shared" si="31"/>
        <v>7.42</v>
      </c>
      <c r="AJ195" t="s">
        <v>53</v>
      </c>
    </row>
    <row r="196" spans="1:36" ht="15" customHeight="1" x14ac:dyDescent="0.35">
      <c r="A196">
        <v>7547676</v>
      </c>
      <c r="B196" t="s">
        <v>36</v>
      </c>
      <c r="C196" t="s">
        <v>37</v>
      </c>
      <c r="D196" s="6" t="s">
        <v>36</v>
      </c>
      <c r="E196" t="s">
        <v>699</v>
      </c>
      <c r="F196" t="s">
        <v>39</v>
      </c>
      <c r="G196" t="s">
        <v>40</v>
      </c>
      <c r="H196" t="s">
        <v>700</v>
      </c>
      <c r="I196" t="s">
        <v>42</v>
      </c>
      <c r="J196">
        <v>2</v>
      </c>
      <c r="K196" t="s">
        <v>43</v>
      </c>
      <c r="L196" t="s">
        <v>44</v>
      </c>
      <c r="M196" t="s">
        <v>45</v>
      </c>
      <c r="N196" s="7">
        <v>1</v>
      </c>
      <c r="O196" s="8">
        <v>45556.47583333333</v>
      </c>
      <c r="P196" s="9">
        <v>45557</v>
      </c>
      <c r="Q196" t="s">
        <v>46</v>
      </c>
      <c r="R196" t="s">
        <v>47</v>
      </c>
      <c r="S196" t="s">
        <v>48</v>
      </c>
      <c r="T196" t="s">
        <v>123</v>
      </c>
      <c r="U196" t="s">
        <v>701</v>
      </c>
      <c r="V196">
        <v>48200</v>
      </c>
      <c r="W196" t="s">
        <v>47</v>
      </c>
      <c r="X196" t="s">
        <v>51</v>
      </c>
      <c r="Y196" t="s">
        <v>52</v>
      </c>
      <c r="Z196" s="10">
        <f t="shared" si="28"/>
        <v>9</v>
      </c>
      <c r="AA196" s="11">
        <v>-2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29"/>
        <v>0.42</v>
      </c>
      <c r="AG196" s="11">
        <f t="shared" si="30"/>
        <v>7.42</v>
      </c>
      <c r="AH196" s="11">
        <v>0</v>
      </c>
      <c r="AI196" s="11">
        <f t="shared" si="31"/>
        <v>7.42</v>
      </c>
      <c r="AJ196" t="s">
        <v>53</v>
      </c>
    </row>
    <row r="197" spans="1:36" ht="15" customHeight="1" x14ac:dyDescent="0.35">
      <c r="A197">
        <v>7547676</v>
      </c>
      <c r="B197" t="s">
        <v>36</v>
      </c>
      <c r="C197" t="s">
        <v>37</v>
      </c>
      <c r="D197" s="6" t="s">
        <v>36</v>
      </c>
      <c r="E197" t="s">
        <v>702</v>
      </c>
      <c r="F197" t="s">
        <v>39</v>
      </c>
      <c r="G197" t="s">
        <v>40</v>
      </c>
      <c r="H197" t="s">
        <v>703</v>
      </c>
      <c r="I197" t="s">
        <v>42</v>
      </c>
      <c r="J197">
        <v>2</v>
      </c>
      <c r="K197" t="s">
        <v>43</v>
      </c>
      <c r="L197" t="s">
        <v>44</v>
      </c>
      <c r="M197" t="s">
        <v>45</v>
      </c>
      <c r="N197" s="7">
        <v>1</v>
      </c>
      <c r="O197" s="8">
        <v>45556.426504629628</v>
      </c>
      <c r="P197" s="9">
        <v>45557</v>
      </c>
      <c r="Q197" t="s">
        <v>46</v>
      </c>
      <c r="R197" t="s">
        <v>47</v>
      </c>
      <c r="S197" t="s">
        <v>48</v>
      </c>
      <c r="T197" t="s">
        <v>61</v>
      </c>
      <c r="U197" t="s">
        <v>704</v>
      </c>
      <c r="V197">
        <v>20050</v>
      </c>
      <c r="W197" t="s">
        <v>47</v>
      </c>
      <c r="X197" t="s">
        <v>63</v>
      </c>
      <c r="Y197" t="s">
        <v>52</v>
      </c>
      <c r="Z197" s="10">
        <f t="shared" si="28"/>
        <v>9</v>
      </c>
      <c r="AA197" s="11">
        <v>-2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29"/>
        <v>0.42</v>
      </c>
      <c r="AG197" s="11">
        <f t="shared" si="30"/>
        <v>7.42</v>
      </c>
      <c r="AH197" s="11">
        <v>0</v>
      </c>
      <c r="AI197" s="11">
        <f t="shared" si="31"/>
        <v>7.42</v>
      </c>
      <c r="AJ197" t="s">
        <v>53</v>
      </c>
    </row>
    <row r="198" spans="1:36" ht="15" customHeight="1" x14ac:dyDescent="0.35">
      <c r="A198">
        <v>7547676</v>
      </c>
      <c r="B198" t="s">
        <v>36</v>
      </c>
      <c r="C198" t="s">
        <v>37</v>
      </c>
      <c r="D198" s="6" t="s">
        <v>36</v>
      </c>
      <c r="E198" t="s">
        <v>705</v>
      </c>
      <c r="F198" t="s">
        <v>39</v>
      </c>
      <c r="G198" t="s">
        <v>40</v>
      </c>
      <c r="H198" t="s">
        <v>706</v>
      </c>
      <c r="I198" t="s">
        <v>42</v>
      </c>
      <c r="J198">
        <v>2</v>
      </c>
      <c r="K198" t="s">
        <v>43</v>
      </c>
      <c r="L198" t="s">
        <v>44</v>
      </c>
      <c r="M198" t="s">
        <v>45</v>
      </c>
      <c r="N198" s="7">
        <v>1</v>
      </c>
      <c r="O198" s="8">
        <v>45555.484444444446</v>
      </c>
      <c r="P198" s="9">
        <v>45557</v>
      </c>
      <c r="Q198" t="s">
        <v>89</v>
      </c>
      <c r="R198" t="s">
        <v>47</v>
      </c>
      <c r="S198" t="s">
        <v>48</v>
      </c>
      <c r="T198" t="s">
        <v>278</v>
      </c>
      <c r="U198" t="s">
        <v>707</v>
      </c>
      <c r="V198">
        <v>27600</v>
      </c>
      <c r="W198" t="s">
        <v>47</v>
      </c>
      <c r="X198" t="s">
        <v>708</v>
      </c>
      <c r="Y198" t="s">
        <v>52</v>
      </c>
      <c r="Z198" s="10">
        <f t="shared" si="28"/>
        <v>9</v>
      </c>
      <c r="AA198" s="11">
        <v>-2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29"/>
        <v>0.42</v>
      </c>
      <c r="AG198" s="11">
        <f t="shared" si="30"/>
        <v>7.42</v>
      </c>
      <c r="AH198" s="11">
        <v>0</v>
      </c>
      <c r="AI198" s="11">
        <f t="shared" si="31"/>
        <v>7.42</v>
      </c>
      <c r="AJ198" t="s">
        <v>53</v>
      </c>
    </row>
    <row r="199" spans="1:36" ht="15" customHeight="1" x14ac:dyDescent="0.35">
      <c r="A199">
        <v>7547676</v>
      </c>
      <c r="B199" t="s">
        <v>36</v>
      </c>
      <c r="C199" t="s">
        <v>37</v>
      </c>
      <c r="D199" s="6" t="s">
        <v>36</v>
      </c>
      <c r="E199" t="s">
        <v>709</v>
      </c>
      <c r="F199" t="s">
        <v>39</v>
      </c>
      <c r="G199" t="s">
        <v>40</v>
      </c>
      <c r="H199" t="s">
        <v>710</v>
      </c>
      <c r="I199" t="s">
        <v>42</v>
      </c>
      <c r="J199">
        <v>2</v>
      </c>
      <c r="K199" t="s">
        <v>43</v>
      </c>
      <c r="L199" t="s">
        <v>44</v>
      </c>
      <c r="M199" t="s">
        <v>45</v>
      </c>
      <c r="N199" s="7">
        <v>1</v>
      </c>
      <c r="O199" s="8">
        <v>45556.47583333333</v>
      </c>
      <c r="P199" s="9">
        <v>45557</v>
      </c>
      <c r="Q199" t="s">
        <v>46</v>
      </c>
      <c r="R199" t="s">
        <v>47</v>
      </c>
      <c r="S199" t="s">
        <v>48</v>
      </c>
      <c r="T199" t="s">
        <v>123</v>
      </c>
      <c r="U199" t="s">
        <v>711</v>
      </c>
      <c r="V199">
        <v>43900</v>
      </c>
      <c r="W199" t="s">
        <v>47</v>
      </c>
      <c r="X199" t="s">
        <v>650</v>
      </c>
      <c r="Y199" t="s">
        <v>52</v>
      </c>
      <c r="Z199" s="10">
        <f t="shared" si="28"/>
        <v>9</v>
      </c>
      <c r="AA199" s="11">
        <v>-2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29"/>
        <v>0.42</v>
      </c>
      <c r="AG199" s="11">
        <f t="shared" si="30"/>
        <v>7.42</v>
      </c>
      <c r="AH199" s="11">
        <v>0</v>
      </c>
      <c r="AI199" s="11">
        <f t="shared" si="31"/>
        <v>7.42</v>
      </c>
      <c r="AJ199" t="s">
        <v>53</v>
      </c>
    </row>
    <row r="200" spans="1:36" ht="15" customHeight="1" x14ac:dyDescent="0.35">
      <c r="A200">
        <v>7547676</v>
      </c>
      <c r="B200" t="s">
        <v>36</v>
      </c>
      <c r="C200" t="s">
        <v>37</v>
      </c>
      <c r="D200" s="6" t="s">
        <v>36</v>
      </c>
      <c r="E200" t="s">
        <v>712</v>
      </c>
      <c r="F200" t="s">
        <v>39</v>
      </c>
      <c r="G200" t="s">
        <v>40</v>
      </c>
      <c r="H200" t="s">
        <v>713</v>
      </c>
      <c r="I200" t="s">
        <v>42</v>
      </c>
      <c r="J200">
        <v>2</v>
      </c>
      <c r="K200" t="s">
        <v>43</v>
      </c>
      <c r="L200" t="s">
        <v>44</v>
      </c>
      <c r="M200" t="s">
        <v>45</v>
      </c>
      <c r="N200" s="7">
        <v>1</v>
      </c>
      <c r="O200" s="8">
        <v>45554.623055555552</v>
      </c>
      <c r="P200" s="9">
        <v>45557</v>
      </c>
      <c r="Q200" t="s">
        <v>89</v>
      </c>
      <c r="R200" t="s">
        <v>47</v>
      </c>
      <c r="S200" t="s">
        <v>48</v>
      </c>
      <c r="T200" t="s">
        <v>104</v>
      </c>
      <c r="U200" t="s">
        <v>714</v>
      </c>
      <c r="V200">
        <v>76300</v>
      </c>
      <c r="W200" t="s">
        <v>47</v>
      </c>
      <c r="X200" t="s">
        <v>350</v>
      </c>
      <c r="Y200" t="s">
        <v>52</v>
      </c>
      <c r="Z200" s="10">
        <f t="shared" si="28"/>
        <v>9</v>
      </c>
      <c r="AA200" s="11">
        <v>-2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29"/>
        <v>0.42</v>
      </c>
      <c r="AG200" s="11">
        <f t="shared" si="30"/>
        <v>7.42</v>
      </c>
      <c r="AH200" s="11">
        <v>0</v>
      </c>
      <c r="AI200" s="11">
        <f t="shared" si="31"/>
        <v>7.42</v>
      </c>
      <c r="AJ200" t="s">
        <v>53</v>
      </c>
    </row>
    <row r="201" spans="1:36" ht="15" customHeight="1" x14ac:dyDescent="0.35">
      <c r="A201">
        <v>7547676</v>
      </c>
      <c r="B201" t="s">
        <v>36</v>
      </c>
      <c r="C201" t="s">
        <v>37</v>
      </c>
      <c r="D201" s="6" t="s">
        <v>36</v>
      </c>
      <c r="E201" t="s">
        <v>715</v>
      </c>
      <c r="F201" t="s">
        <v>39</v>
      </c>
      <c r="G201" t="s">
        <v>40</v>
      </c>
      <c r="H201" t="s">
        <v>716</v>
      </c>
      <c r="I201" t="s">
        <v>42</v>
      </c>
      <c r="J201">
        <v>2</v>
      </c>
      <c r="K201" t="s">
        <v>43</v>
      </c>
      <c r="L201" t="s">
        <v>44</v>
      </c>
      <c r="M201" t="s">
        <v>45</v>
      </c>
      <c r="N201" s="7">
        <v>1</v>
      </c>
      <c r="O201" s="8">
        <v>45556.426504629628</v>
      </c>
      <c r="P201" s="9">
        <v>45557</v>
      </c>
      <c r="Q201" t="s">
        <v>46</v>
      </c>
      <c r="R201" t="s">
        <v>47</v>
      </c>
      <c r="S201" t="s">
        <v>48</v>
      </c>
      <c r="T201" t="s">
        <v>75</v>
      </c>
      <c r="U201" t="s">
        <v>717</v>
      </c>
      <c r="V201">
        <v>18300</v>
      </c>
      <c r="W201" t="s">
        <v>47</v>
      </c>
      <c r="X201" t="s">
        <v>145</v>
      </c>
      <c r="Y201" t="s">
        <v>52</v>
      </c>
      <c r="Z201" s="10">
        <f t="shared" si="28"/>
        <v>9</v>
      </c>
      <c r="AA201" s="11">
        <v>-2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29"/>
        <v>0.42</v>
      </c>
      <c r="AG201" s="11">
        <f t="shared" si="30"/>
        <v>7.42</v>
      </c>
      <c r="AH201" s="11">
        <v>0</v>
      </c>
      <c r="AI201" s="11">
        <f t="shared" si="31"/>
        <v>7.42</v>
      </c>
      <c r="AJ201" t="s">
        <v>53</v>
      </c>
    </row>
    <row r="202" spans="1:36" ht="15" customHeight="1" x14ac:dyDescent="0.35">
      <c r="A202">
        <v>7547676</v>
      </c>
      <c r="B202" t="s">
        <v>36</v>
      </c>
      <c r="C202" t="s">
        <v>37</v>
      </c>
      <c r="D202" s="6" t="s">
        <v>36</v>
      </c>
      <c r="E202" t="s">
        <v>718</v>
      </c>
      <c r="F202" t="s">
        <v>39</v>
      </c>
      <c r="G202" t="s">
        <v>40</v>
      </c>
      <c r="H202" t="s">
        <v>719</v>
      </c>
      <c r="I202" t="s">
        <v>42</v>
      </c>
      <c r="J202">
        <v>2</v>
      </c>
      <c r="K202" t="s">
        <v>43</v>
      </c>
      <c r="L202" t="s">
        <v>44</v>
      </c>
      <c r="M202" t="s">
        <v>45</v>
      </c>
      <c r="N202" s="7">
        <v>1</v>
      </c>
      <c r="O202" s="8">
        <v>45554.582824074074</v>
      </c>
      <c r="P202" s="9">
        <v>45557</v>
      </c>
      <c r="Q202" t="s">
        <v>89</v>
      </c>
      <c r="R202" t="s">
        <v>47</v>
      </c>
      <c r="S202" t="s">
        <v>48</v>
      </c>
      <c r="T202" t="s">
        <v>278</v>
      </c>
      <c r="U202" t="s">
        <v>720</v>
      </c>
      <c r="V202">
        <v>28700</v>
      </c>
      <c r="W202" t="s">
        <v>47</v>
      </c>
      <c r="X202" t="s">
        <v>721</v>
      </c>
      <c r="Y202" t="s">
        <v>52</v>
      </c>
      <c r="Z202" s="10">
        <f t="shared" si="28"/>
        <v>9</v>
      </c>
      <c r="AA202" s="11">
        <v>-2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29"/>
        <v>0.42</v>
      </c>
      <c r="AG202" s="11">
        <f t="shared" si="30"/>
        <v>7.42</v>
      </c>
      <c r="AH202" s="11">
        <v>0</v>
      </c>
      <c r="AI202" s="11">
        <f t="shared" si="31"/>
        <v>7.42</v>
      </c>
      <c r="AJ202" t="s">
        <v>53</v>
      </c>
    </row>
    <row r="203" spans="1:36" ht="15" customHeight="1" x14ac:dyDescent="0.35">
      <c r="A203">
        <v>7547676</v>
      </c>
      <c r="B203" t="s">
        <v>36</v>
      </c>
      <c r="C203" t="s">
        <v>37</v>
      </c>
      <c r="D203" s="6" t="s">
        <v>36</v>
      </c>
      <c r="E203" t="s">
        <v>722</v>
      </c>
      <c r="F203" t="s">
        <v>39</v>
      </c>
      <c r="G203" t="s">
        <v>40</v>
      </c>
      <c r="H203" t="s">
        <v>723</v>
      </c>
      <c r="I203" t="s">
        <v>42</v>
      </c>
      <c r="J203">
        <v>2</v>
      </c>
      <c r="K203" t="s">
        <v>43</v>
      </c>
      <c r="L203" t="s">
        <v>44</v>
      </c>
      <c r="M203" t="s">
        <v>45</v>
      </c>
      <c r="N203" s="7">
        <v>2</v>
      </c>
      <c r="O203" s="8">
        <v>45552.456307870372</v>
      </c>
      <c r="P203" s="9">
        <v>45557</v>
      </c>
      <c r="Q203" t="s">
        <v>46</v>
      </c>
      <c r="R203" t="s">
        <v>47</v>
      </c>
      <c r="S203" t="s">
        <v>48</v>
      </c>
      <c r="T203" t="s">
        <v>66</v>
      </c>
      <c r="U203" t="s">
        <v>724</v>
      </c>
      <c r="V203">
        <v>81700</v>
      </c>
      <c r="W203" t="s">
        <v>47</v>
      </c>
      <c r="X203" t="s">
        <v>725</v>
      </c>
      <c r="Y203" t="s">
        <v>52</v>
      </c>
      <c r="Z203" s="10">
        <f t="shared" si="28"/>
        <v>9.8000000000000007</v>
      </c>
      <c r="AA203" s="11">
        <v>-2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29"/>
        <v>0.46800000000000003</v>
      </c>
      <c r="AG203" s="11">
        <f t="shared" si="30"/>
        <v>8.2680000000000007</v>
      </c>
      <c r="AH203" s="11">
        <v>0</v>
      </c>
      <c r="AI203" s="11">
        <f t="shared" si="31"/>
        <v>8.2680000000000007</v>
      </c>
      <c r="AJ203" t="s">
        <v>53</v>
      </c>
    </row>
    <row r="204" spans="1:36" ht="15" customHeight="1" x14ac:dyDescent="0.35">
      <c r="A204">
        <v>7547676</v>
      </c>
      <c r="B204" t="s">
        <v>36</v>
      </c>
      <c r="C204" t="s">
        <v>37</v>
      </c>
      <c r="D204" s="6" t="s">
        <v>36</v>
      </c>
      <c r="E204" t="s">
        <v>726</v>
      </c>
      <c r="F204" t="s">
        <v>39</v>
      </c>
      <c r="G204" t="s">
        <v>40</v>
      </c>
      <c r="H204" t="s">
        <v>727</v>
      </c>
      <c r="I204" t="s">
        <v>42</v>
      </c>
      <c r="J204">
        <v>2</v>
      </c>
      <c r="K204" t="s">
        <v>43</v>
      </c>
      <c r="L204" t="s">
        <v>44</v>
      </c>
      <c r="M204" t="s">
        <v>45</v>
      </c>
      <c r="N204" s="7">
        <v>1</v>
      </c>
      <c r="O204" s="8">
        <v>45552.729722222219</v>
      </c>
      <c r="P204" s="9">
        <v>45557</v>
      </c>
      <c r="Q204" t="s">
        <v>46</v>
      </c>
      <c r="R204" t="s">
        <v>47</v>
      </c>
      <c r="S204" t="s">
        <v>48</v>
      </c>
      <c r="T204" t="s">
        <v>90</v>
      </c>
      <c r="U204" t="s">
        <v>728</v>
      </c>
      <c r="V204">
        <v>88200</v>
      </c>
      <c r="W204" t="s">
        <v>92</v>
      </c>
      <c r="X204" t="s">
        <v>51</v>
      </c>
      <c r="Y204" t="s">
        <v>52</v>
      </c>
      <c r="Z204" s="12">
        <f>IF(N204&lt;=1,13,IF(N204&lt;=2,23,IF(N204&lt;=3,35,IF(N204&lt;=4,43,IF(N204&lt;=5,53,IF(N204&lt;=6,63,IF(N204&lt;=7,71,IF(N204&lt;=8,79,IF(N204&lt;=9,87,IF(N204&lt;=10,95,IF(N204&lt;=11,105,IF(N204&lt;=12,114,IF(N204&lt;=13,119,IF(N204&lt;=14,127,IF(N204&lt;=15,135,IF(N204&lt;=16,143,IF(N204&lt;=17,153,IF(N204&lt;=18,163,IF(N204&lt;=19,171,IF(N204&lt;=20,185,IF(N204&lt;=21,193,IF(N204&lt;=22,201,IF(N204&lt;=23,210,IF(N204&lt;=24,220,IF(N204&lt;=25,230,IF(N204&lt;=26,240,IF(N204&lt;=27,250,IF(N204&lt;=28,260,IF(N204&lt;=29,270,IF(N204&lt;=30,280,280+10*ROUNDUP(N204-30,0)))))))))))))))))))))))))))))))</f>
        <v>13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29"/>
        <v>0.78</v>
      </c>
      <c r="AG204" s="11">
        <f t="shared" si="30"/>
        <v>13.78</v>
      </c>
      <c r="AH204" s="11">
        <v>0</v>
      </c>
      <c r="AI204" s="11">
        <f t="shared" si="31"/>
        <v>13.78</v>
      </c>
      <c r="AJ204" t="s">
        <v>94</v>
      </c>
    </row>
    <row r="205" spans="1:36" ht="15" customHeight="1" x14ac:dyDescent="0.35">
      <c r="A205">
        <v>7547676</v>
      </c>
      <c r="B205" t="s">
        <v>36</v>
      </c>
      <c r="C205" t="s">
        <v>37</v>
      </c>
      <c r="D205" s="6" t="s">
        <v>36</v>
      </c>
      <c r="E205" t="s">
        <v>729</v>
      </c>
      <c r="F205" t="s">
        <v>39</v>
      </c>
      <c r="G205" t="s">
        <v>40</v>
      </c>
      <c r="H205" t="s">
        <v>107</v>
      </c>
      <c r="I205" t="s">
        <v>42</v>
      </c>
      <c r="J205">
        <v>2</v>
      </c>
      <c r="K205" t="s">
        <v>43</v>
      </c>
      <c r="L205" t="s">
        <v>44</v>
      </c>
      <c r="M205" t="s">
        <v>45</v>
      </c>
      <c r="N205" s="7">
        <v>1</v>
      </c>
      <c r="O205" s="8">
        <v>45556.520127314812</v>
      </c>
      <c r="P205" s="9">
        <v>45558</v>
      </c>
      <c r="Q205" t="s">
        <v>46</v>
      </c>
      <c r="R205" t="s">
        <v>47</v>
      </c>
      <c r="S205" t="s">
        <v>48</v>
      </c>
      <c r="T205" t="s">
        <v>66</v>
      </c>
      <c r="U205" t="s">
        <v>730</v>
      </c>
      <c r="V205">
        <v>86100</v>
      </c>
      <c r="W205" t="s">
        <v>47</v>
      </c>
      <c r="X205" t="s">
        <v>109</v>
      </c>
      <c r="Y205" t="s">
        <v>52</v>
      </c>
      <c r="Z205" s="10">
        <f>IF(N205&lt;=1,9,9+0.8*ROUNDUP(N205-1,0))</f>
        <v>9</v>
      </c>
      <c r="AA205" s="11">
        <v>-2</v>
      </c>
      <c r="AB205" s="11">
        <v>0</v>
      </c>
      <c r="AC205" s="11">
        <v>0</v>
      </c>
      <c r="AD205" s="11">
        <v>0</v>
      </c>
      <c r="AE205" s="11">
        <v>0</v>
      </c>
      <c r="AF205" s="11">
        <f>(Z205+AA205+AC205+AE205)*6%</f>
        <v>0.42</v>
      </c>
      <c r="AG205" s="11">
        <f t="shared" si="30"/>
        <v>7.42</v>
      </c>
      <c r="AH205" s="11">
        <v>0</v>
      </c>
      <c r="AI205" s="11">
        <f t="shared" si="31"/>
        <v>7.42</v>
      </c>
      <c r="AJ205" t="s">
        <v>53</v>
      </c>
    </row>
    <row r="206" spans="1:36" ht="15" customHeight="1" x14ac:dyDescent="0.35">
      <c r="A206">
        <v>7547676</v>
      </c>
      <c r="B206" t="s">
        <v>36</v>
      </c>
      <c r="C206" t="s">
        <v>37</v>
      </c>
      <c r="D206" s="6" t="s">
        <v>36</v>
      </c>
      <c r="E206" t="s">
        <v>731</v>
      </c>
      <c r="F206" t="s">
        <v>39</v>
      </c>
      <c r="G206" t="s">
        <v>40</v>
      </c>
      <c r="H206" t="s">
        <v>732</v>
      </c>
      <c r="I206" t="s">
        <v>42</v>
      </c>
      <c r="J206">
        <v>2</v>
      </c>
      <c r="K206" t="s">
        <v>43</v>
      </c>
      <c r="L206" t="s">
        <v>44</v>
      </c>
      <c r="M206" t="s">
        <v>45</v>
      </c>
      <c r="N206" s="7">
        <v>1</v>
      </c>
      <c r="O206" s="8">
        <v>45556.82236111111</v>
      </c>
      <c r="P206" s="9">
        <v>45558</v>
      </c>
      <c r="Q206" t="s">
        <v>46</v>
      </c>
      <c r="R206" t="s">
        <v>47</v>
      </c>
      <c r="S206" t="s">
        <v>48</v>
      </c>
      <c r="T206" t="s">
        <v>61</v>
      </c>
      <c r="U206" t="s">
        <v>733</v>
      </c>
      <c r="V206">
        <v>21300</v>
      </c>
      <c r="W206" t="s">
        <v>47</v>
      </c>
      <c r="X206" t="s">
        <v>63</v>
      </c>
      <c r="Y206" t="s">
        <v>52</v>
      </c>
      <c r="Z206" s="10">
        <f t="shared" ref="Z206:Z219" si="32">IF(N206&lt;=1,9,9+0.8*ROUNDUP(N206-1,0))</f>
        <v>9</v>
      </c>
      <c r="AA206" s="11">
        <v>-2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ref="AF206:AF269" si="33">(Z206+AA206+AC206+AE206)*6%</f>
        <v>0.42</v>
      </c>
      <c r="AG206" s="11">
        <f t="shared" si="30"/>
        <v>7.42</v>
      </c>
      <c r="AH206" s="11">
        <v>0</v>
      </c>
      <c r="AI206" s="11">
        <f t="shared" si="31"/>
        <v>7.42</v>
      </c>
      <c r="AJ206" t="s">
        <v>53</v>
      </c>
    </row>
    <row r="207" spans="1:36" ht="15" customHeight="1" x14ac:dyDescent="0.35">
      <c r="A207">
        <v>7547676</v>
      </c>
      <c r="B207" t="s">
        <v>36</v>
      </c>
      <c r="C207" t="s">
        <v>37</v>
      </c>
      <c r="D207" s="6" t="s">
        <v>36</v>
      </c>
      <c r="E207" t="s">
        <v>734</v>
      </c>
      <c r="F207" t="s">
        <v>39</v>
      </c>
      <c r="G207" t="s">
        <v>40</v>
      </c>
      <c r="H207" t="s">
        <v>735</v>
      </c>
      <c r="I207" t="s">
        <v>42</v>
      </c>
      <c r="J207">
        <v>2</v>
      </c>
      <c r="K207" t="s">
        <v>43</v>
      </c>
      <c r="L207" t="s">
        <v>44</v>
      </c>
      <c r="M207" t="s">
        <v>45</v>
      </c>
      <c r="N207" s="7">
        <v>1</v>
      </c>
      <c r="O207" s="8">
        <v>45556.506550925929</v>
      </c>
      <c r="P207" s="9">
        <v>45558</v>
      </c>
      <c r="Q207" t="s">
        <v>46</v>
      </c>
      <c r="R207" t="s">
        <v>47</v>
      </c>
      <c r="S207" t="s">
        <v>48</v>
      </c>
      <c r="T207" t="s">
        <v>123</v>
      </c>
      <c r="U207" t="s">
        <v>736</v>
      </c>
      <c r="V207">
        <v>47810</v>
      </c>
      <c r="W207" t="s">
        <v>47</v>
      </c>
      <c r="X207" t="s">
        <v>130</v>
      </c>
      <c r="Y207" t="s">
        <v>52</v>
      </c>
      <c r="Z207" s="10">
        <f t="shared" si="32"/>
        <v>9</v>
      </c>
      <c r="AA207" s="11">
        <v>-2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33"/>
        <v>0.42</v>
      </c>
      <c r="AG207" s="11">
        <f t="shared" si="30"/>
        <v>7.42</v>
      </c>
      <c r="AH207" s="11">
        <v>0</v>
      </c>
      <c r="AI207" s="11">
        <f t="shared" si="31"/>
        <v>7.42</v>
      </c>
      <c r="AJ207" t="s">
        <v>53</v>
      </c>
    </row>
    <row r="208" spans="1:36" ht="15" customHeight="1" x14ac:dyDescent="0.35">
      <c r="A208">
        <v>7547676</v>
      </c>
      <c r="B208" t="s">
        <v>36</v>
      </c>
      <c r="C208" t="s">
        <v>37</v>
      </c>
      <c r="D208" s="6" t="s">
        <v>36</v>
      </c>
      <c r="E208" t="s">
        <v>737</v>
      </c>
      <c r="F208" t="s">
        <v>39</v>
      </c>
      <c r="G208" t="s">
        <v>40</v>
      </c>
      <c r="H208" t="s">
        <v>738</v>
      </c>
      <c r="I208" t="s">
        <v>42</v>
      </c>
      <c r="J208">
        <v>2</v>
      </c>
      <c r="K208" t="s">
        <v>43</v>
      </c>
      <c r="L208" t="s">
        <v>44</v>
      </c>
      <c r="M208" t="s">
        <v>45</v>
      </c>
      <c r="N208" s="7">
        <v>3</v>
      </c>
      <c r="O208" s="8">
        <v>45557.712604166663</v>
      </c>
      <c r="P208" s="9">
        <v>45558</v>
      </c>
      <c r="Q208" t="s">
        <v>46</v>
      </c>
      <c r="R208" t="s">
        <v>47</v>
      </c>
      <c r="S208" t="s">
        <v>48</v>
      </c>
      <c r="T208" t="s">
        <v>61</v>
      </c>
      <c r="U208" t="s">
        <v>739</v>
      </c>
      <c r="V208">
        <v>24000</v>
      </c>
      <c r="W208" t="s">
        <v>47</v>
      </c>
      <c r="X208" t="s">
        <v>740</v>
      </c>
      <c r="Y208" t="s">
        <v>52</v>
      </c>
      <c r="Z208" s="10">
        <f t="shared" si="32"/>
        <v>10.6</v>
      </c>
      <c r="AA208" s="11">
        <v>-2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33"/>
        <v>0.51600000000000001</v>
      </c>
      <c r="AG208" s="11">
        <f t="shared" si="30"/>
        <v>9.1159999999999997</v>
      </c>
      <c r="AH208" s="11">
        <v>0</v>
      </c>
      <c r="AI208" s="11">
        <f t="shared" si="31"/>
        <v>9.1159999999999997</v>
      </c>
      <c r="AJ208" t="s">
        <v>53</v>
      </c>
    </row>
    <row r="209" spans="1:36" ht="15" customHeight="1" x14ac:dyDescent="0.35">
      <c r="A209">
        <v>7547676</v>
      </c>
      <c r="B209" t="s">
        <v>36</v>
      </c>
      <c r="C209" t="s">
        <v>37</v>
      </c>
      <c r="D209" s="6" t="s">
        <v>36</v>
      </c>
      <c r="E209" t="s">
        <v>741</v>
      </c>
      <c r="F209" t="s">
        <v>39</v>
      </c>
      <c r="G209" t="s">
        <v>40</v>
      </c>
      <c r="H209" t="s">
        <v>742</v>
      </c>
      <c r="I209" t="s">
        <v>42</v>
      </c>
      <c r="J209">
        <v>2</v>
      </c>
      <c r="K209" t="s">
        <v>43</v>
      </c>
      <c r="L209" t="s">
        <v>44</v>
      </c>
      <c r="M209" t="s">
        <v>45</v>
      </c>
      <c r="N209" s="7">
        <v>1</v>
      </c>
      <c r="O209" s="8">
        <v>45557.73678240741</v>
      </c>
      <c r="P209" s="9">
        <v>45558</v>
      </c>
      <c r="Q209" t="s">
        <v>46</v>
      </c>
      <c r="R209" t="s">
        <v>47</v>
      </c>
      <c r="S209" t="s">
        <v>48</v>
      </c>
      <c r="T209" t="s">
        <v>61</v>
      </c>
      <c r="U209" t="s">
        <v>743</v>
      </c>
      <c r="V209">
        <v>22200</v>
      </c>
      <c r="W209" t="s">
        <v>47</v>
      </c>
      <c r="X209" t="s">
        <v>145</v>
      </c>
      <c r="Y209" t="s">
        <v>52</v>
      </c>
      <c r="Z209" s="10">
        <f t="shared" si="32"/>
        <v>9</v>
      </c>
      <c r="AA209" s="11">
        <v>-2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33"/>
        <v>0.42</v>
      </c>
      <c r="AG209" s="11">
        <f t="shared" si="30"/>
        <v>7.42</v>
      </c>
      <c r="AH209" s="11">
        <v>0</v>
      </c>
      <c r="AI209" s="11">
        <f t="shared" si="31"/>
        <v>7.42</v>
      </c>
      <c r="AJ209" t="s">
        <v>53</v>
      </c>
    </row>
    <row r="210" spans="1:36" ht="15" customHeight="1" x14ac:dyDescent="0.35">
      <c r="A210">
        <v>7547676</v>
      </c>
      <c r="B210" t="s">
        <v>36</v>
      </c>
      <c r="C210" t="s">
        <v>37</v>
      </c>
      <c r="D210" s="6" t="s">
        <v>36</v>
      </c>
      <c r="E210" t="s">
        <v>744</v>
      </c>
      <c r="F210" t="s">
        <v>39</v>
      </c>
      <c r="G210" t="s">
        <v>40</v>
      </c>
      <c r="H210" t="s">
        <v>745</v>
      </c>
      <c r="I210" t="s">
        <v>42</v>
      </c>
      <c r="J210">
        <v>2</v>
      </c>
      <c r="K210" t="s">
        <v>43</v>
      </c>
      <c r="L210" t="s">
        <v>44</v>
      </c>
      <c r="M210" t="s">
        <v>45</v>
      </c>
      <c r="N210" s="7">
        <v>1</v>
      </c>
      <c r="O210" s="8">
        <v>45557.745520833334</v>
      </c>
      <c r="P210" s="9">
        <v>45558</v>
      </c>
      <c r="Q210" t="s">
        <v>46</v>
      </c>
      <c r="R210" t="s">
        <v>47</v>
      </c>
      <c r="S210" t="s">
        <v>48</v>
      </c>
      <c r="T210" t="s">
        <v>75</v>
      </c>
      <c r="U210" t="s">
        <v>746</v>
      </c>
      <c r="V210">
        <v>18000</v>
      </c>
      <c r="W210" t="s">
        <v>47</v>
      </c>
      <c r="X210" t="s">
        <v>145</v>
      </c>
      <c r="Y210" t="s">
        <v>52</v>
      </c>
      <c r="Z210" s="10">
        <f t="shared" si="32"/>
        <v>9</v>
      </c>
      <c r="AA210" s="11">
        <v>-2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33"/>
        <v>0.42</v>
      </c>
      <c r="AG210" s="11">
        <f t="shared" si="30"/>
        <v>7.42</v>
      </c>
      <c r="AH210" s="11">
        <v>0</v>
      </c>
      <c r="AI210" s="11">
        <f t="shared" si="31"/>
        <v>7.42</v>
      </c>
      <c r="AJ210" t="s">
        <v>53</v>
      </c>
    </row>
    <row r="211" spans="1:36" ht="15" customHeight="1" x14ac:dyDescent="0.35">
      <c r="A211">
        <v>7547676</v>
      </c>
      <c r="B211" t="s">
        <v>36</v>
      </c>
      <c r="C211" t="s">
        <v>37</v>
      </c>
      <c r="D211" s="6" t="s">
        <v>36</v>
      </c>
      <c r="E211" t="s">
        <v>747</v>
      </c>
      <c r="F211" t="s">
        <v>39</v>
      </c>
      <c r="G211" t="s">
        <v>40</v>
      </c>
      <c r="H211" t="s">
        <v>748</v>
      </c>
      <c r="I211" t="s">
        <v>42</v>
      </c>
      <c r="J211">
        <v>2</v>
      </c>
      <c r="K211" t="s">
        <v>43</v>
      </c>
      <c r="L211" t="s">
        <v>44</v>
      </c>
      <c r="M211" t="s">
        <v>45</v>
      </c>
      <c r="N211" s="7">
        <v>4</v>
      </c>
      <c r="O211" s="8">
        <v>45556.54792824074</v>
      </c>
      <c r="P211" s="9">
        <v>45558</v>
      </c>
      <c r="Q211" t="s">
        <v>46</v>
      </c>
      <c r="R211" t="s">
        <v>47</v>
      </c>
      <c r="S211" t="s">
        <v>48</v>
      </c>
      <c r="T211" t="s">
        <v>123</v>
      </c>
      <c r="U211" t="s">
        <v>749</v>
      </c>
      <c r="V211">
        <v>53100</v>
      </c>
      <c r="W211" t="s">
        <v>47</v>
      </c>
      <c r="X211" t="s">
        <v>750</v>
      </c>
      <c r="Y211" t="s">
        <v>52</v>
      </c>
      <c r="Z211" s="10">
        <f t="shared" si="32"/>
        <v>11.4</v>
      </c>
      <c r="AA211" s="11">
        <v>-2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33"/>
        <v>0.56399999999999995</v>
      </c>
      <c r="AG211" s="11">
        <f t="shared" si="30"/>
        <v>9.9640000000000004</v>
      </c>
      <c r="AH211" s="11">
        <v>0</v>
      </c>
      <c r="AI211" s="11">
        <f t="shared" si="31"/>
        <v>9.9640000000000004</v>
      </c>
      <c r="AJ211" t="s">
        <v>53</v>
      </c>
    </row>
    <row r="212" spans="1:36" ht="15" customHeight="1" x14ac:dyDescent="0.35">
      <c r="A212">
        <v>7547676</v>
      </c>
      <c r="B212" t="s">
        <v>36</v>
      </c>
      <c r="C212" t="s">
        <v>37</v>
      </c>
      <c r="D212" s="6" t="s">
        <v>36</v>
      </c>
      <c r="E212" t="s">
        <v>751</v>
      </c>
      <c r="F212" t="s">
        <v>39</v>
      </c>
      <c r="G212" t="s">
        <v>40</v>
      </c>
      <c r="H212" t="s">
        <v>752</v>
      </c>
      <c r="I212" t="s">
        <v>42</v>
      </c>
      <c r="J212">
        <v>2</v>
      </c>
      <c r="K212" t="s">
        <v>43</v>
      </c>
      <c r="L212" t="s">
        <v>44</v>
      </c>
      <c r="M212" t="s">
        <v>45</v>
      </c>
      <c r="N212" s="7">
        <v>1</v>
      </c>
      <c r="O212" s="8">
        <v>45554.677488425928</v>
      </c>
      <c r="P212" s="9">
        <v>45558</v>
      </c>
      <c r="Q212" t="s">
        <v>89</v>
      </c>
      <c r="R212" t="s">
        <v>47</v>
      </c>
      <c r="S212" t="s">
        <v>48</v>
      </c>
      <c r="T212" t="s">
        <v>136</v>
      </c>
      <c r="U212" t="s">
        <v>753</v>
      </c>
      <c r="V212">
        <v>31650</v>
      </c>
      <c r="W212" t="s">
        <v>47</v>
      </c>
      <c r="X212" t="s">
        <v>754</v>
      </c>
      <c r="Y212" t="s">
        <v>52</v>
      </c>
      <c r="Z212" s="10">
        <f t="shared" si="32"/>
        <v>9</v>
      </c>
      <c r="AA212" s="11">
        <v>-2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33"/>
        <v>0.42</v>
      </c>
      <c r="AG212" s="11">
        <f t="shared" si="30"/>
        <v>7.42</v>
      </c>
      <c r="AH212" s="11">
        <v>0</v>
      </c>
      <c r="AI212" s="11">
        <f t="shared" si="31"/>
        <v>7.42</v>
      </c>
      <c r="AJ212" t="s">
        <v>53</v>
      </c>
    </row>
    <row r="213" spans="1:36" ht="15" customHeight="1" x14ac:dyDescent="0.35">
      <c r="A213">
        <v>7547676</v>
      </c>
      <c r="B213" t="s">
        <v>36</v>
      </c>
      <c r="C213" t="s">
        <v>37</v>
      </c>
      <c r="D213" s="6" t="s">
        <v>36</v>
      </c>
      <c r="E213" t="s">
        <v>755</v>
      </c>
      <c r="F213" t="s">
        <v>39</v>
      </c>
      <c r="G213" t="s">
        <v>40</v>
      </c>
      <c r="H213" t="s">
        <v>756</v>
      </c>
      <c r="I213" t="s">
        <v>42</v>
      </c>
      <c r="J213">
        <v>2</v>
      </c>
      <c r="K213" t="s">
        <v>43</v>
      </c>
      <c r="L213" t="s">
        <v>44</v>
      </c>
      <c r="M213" t="s">
        <v>45</v>
      </c>
      <c r="N213" s="7">
        <v>10</v>
      </c>
      <c r="O213" s="8">
        <v>45556.469618055555</v>
      </c>
      <c r="P213" s="9">
        <v>45558</v>
      </c>
      <c r="Q213" t="s">
        <v>46</v>
      </c>
      <c r="R213" t="s">
        <v>47</v>
      </c>
      <c r="S213" t="s">
        <v>48</v>
      </c>
      <c r="T213" t="s">
        <v>80</v>
      </c>
      <c r="U213" t="s">
        <v>757</v>
      </c>
      <c r="V213">
        <v>11600</v>
      </c>
      <c r="W213" t="s">
        <v>47</v>
      </c>
      <c r="X213" t="s">
        <v>325</v>
      </c>
      <c r="Y213" t="s">
        <v>52</v>
      </c>
      <c r="Z213" s="10">
        <f t="shared" si="32"/>
        <v>16.2</v>
      </c>
      <c r="AA213" s="11">
        <v>-2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33"/>
        <v>0.85199999999999998</v>
      </c>
      <c r="AG213" s="11">
        <f t="shared" si="30"/>
        <v>15.052</v>
      </c>
      <c r="AH213" s="11">
        <v>0</v>
      </c>
      <c r="AI213" s="11">
        <f t="shared" si="31"/>
        <v>15.052</v>
      </c>
      <c r="AJ213" t="s">
        <v>53</v>
      </c>
    </row>
    <row r="214" spans="1:36" ht="15" customHeight="1" x14ac:dyDescent="0.35">
      <c r="A214">
        <v>7547676</v>
      </c>
      <c r="B214" t="s">
        <v>36</v>
      </c>
      <c r="C214" t="s">
        <v>37</v>
      </c>
      <c r="D214" s="6" t="s">
        <v>36</v>
      </c>
      <c r="E214" t="s">
        <v>758</v>
      </c>
      <c r="F214" t="s">
        <v>39</v>
      </c>
      <c r="G214" t="s">
        <v>40</v>
      </c>
      <c r="H214" t="s">
        <v>759</v>
      </c>
      <c r="I214" t="s">
        <v>42</v>
      </c>
      <c r="J214">
        <v>2</v>
      </c>
      <c r="K214" t="s">
        <v>43</v>
      </c>
      <c r="L214" t="s">
        <v>44</v>
      </c>
      <c r="M214" t="s">
        <v>45</v>
      </c>
      <c r="N214" s="7">
        <v>4</v>
      </c>
      <c r="O214" s="8">
        <v>45556.667395833334</v>
      </c>
      <c r="P214" s="9">
        <v>45558</v>
      </c>
      <c r="Q214" t="s">
        <v>46</v>
      </c>
      <c r="R214" t="s">
        <v>47</v>
      </c>
      <c r="S214" t="s">
        <v>48</v>
      </c>
      <c r="T214" t="s">
        <v>123</v>
      </c>
      <c r="U214" t="s">
        <v>760</v>
      </c>
      <c r="V214">
        <v>40150</v>
      </c>
      <c r="W214" t="s">
        <v>47</v>
      </c>
      <c r="X214" t="s">
        <v>149</v>
      </c>
      <c r="Y214" t="s">
        <v>52</v>
      </c>
      <c r="Z214" s="10">
        <f t="shared" si="32"/>
        <v>11.4</v>
      </c>
      <c r="AA214" s="11">
        <v>-2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33"/>
        <v>0.56399999999999995</v>
      </c>
      <c r="AG214" s="11">
        <f t="shared" si="30"/>
        <v>9.9640000000000004</v>
      </c>
      <c r="AH214" s="11">
        <v>0</v>
      </c>
      <c r="AI214" s="11">
        <f t="shared" si="31"/>
        <v>9.9640000000000004</v>
      </c>
      <c r="AJ214" t="s">
        <v>53</v>
      </c>
    </row>
    <row r="215" spans="1:36" ht="15" customHeight="1" x14ac:dyDescent="0.35">
      <c r="A215">
        <v>7547676</v>
      </c>
      <c r="B215" t="s">
        <v>36</v>
      </c>
      <c r="C215" t="s">
        <v>37</v>
      </c>
      <c r="D215" s="6" t="s">
        <v>36</v>
      </c>
      <c r="E215" t="s">
        <v>761</v>
      </c>
      <c r="F215" t="s">
        <v>39</v>
      </c>
      <c r="G215" t="s">
        <v>40</v>
      </c>
      <c r="H215" t="s">
        <v>762</v>
      </c>
      <c r="I215" t="s">
        <v>42</v>
      </c>
      <c r="J215">
        <v>2</v>
      </c>
      <c r="K215" t="s">
        <v>43</v>
      </c>
      <c r="L215" t="s">
        <v>44</v>
      </c>
      <c r="M215" t="s">
        <v>45</v>
      </c>
      <c r="N215" s="7">
        <v>1</v>
      </c>
      <c r="O215" s="8">
        <v>45556.813425925924</v>
      </c>
      <c r="P215" s="9">
        <v>45558</v>
      </c>
      <c r="Q215" t="s">
        <v>46</v>
      </c>
      <c r="R215" t="s">
        <v>47</v>
      </c>
      <c r="S215" t="s">
        <v>48</v>
      </c>
      <c r="T215" t="s">
        <v>278</v>
      </c>
      <c r="U215" t="s">
        <v>763</v>
      </c>
      <c r="V215">
        <v>27200</v>
      </c>
      <c r="W215" t="s">
        <v>47</v>
      </c>
      <c r="X215" t="s">
        <v>188</v>
      </c>
      <c r="Y215" t="s">
        <v>52</v>
      </c>
      <c r="Z215" s="10">
        <f t="shared" si="32"/>
        <v>9</v>
      </c>
      <c r="AA215" s="11">
        <v>-2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33"/>
        <v>0.42</v>
      </c>
      <c r="AG215" s="11">
        <f t="shared" si="30"/>
        <v>7.42</v>
      </c>
      <c r="AH215" s="11">
        <v>0</v>
      </c>
      <c r="AI215" s="11">
        <f t="shared" si="31"/>
        <v>7.42</v>
      </c>
      <c r="AJ215" t="s">
        <v>53</v>
      </c>
    </row>
    <row r="216" spans="1:36" ht="15" customHeight="1" x14ac:dyDescent="0.35">
      <c r="A216">
        <v>7547676</v>
      </c>
      <c r="B216" t="s">
        <v>36</v>
      </c>
      <c r="C216" t="s">
        <v>37</v>
      </c>
      <c r="D216" s="6" t="s">
        <v>36</v>
      </c>
      <c r="E216" t="s">
        <v>764</v>
      </c>
      <c r="F216" t="s">
        <v>39</v>
      </c>
      <c r="G216" t="s">
        <v>40</v>
      </c>
      <c r="H216" t="s">
        <v>765</v>
      </c>
      <c r="I216" t="s">
        <v>42</v>
      </c>
      <c r="J216">
        <v>2</v>
      </c>
      <c r="K216" t="s">
        <v>43</v>
      </c>
      <c r="L216" t="s">
        <v>44</v>
      </c>
      <c r="M216" t="s">
        <v>45</v>
      </c>
      <c r="N216" s="7">
        <v>4</v>
      </c>
      <c r="O216" s="8">
        <v>45556.657997685186</v>
      </c>
      <c r="P216" s="9">
        <v>45558</v>
      </c>
      <c r="Q216" t="s">
        <v>46</v>
      </c>
      <c r="R216" t="s">
        <v>47</v>
      </c>
      <c r="S216" t="s">
        <v>48</v>
      </c>
      <c r="T216" t="s">
        <v>66</v>
      </c>
      <c r="U216" t="s">
        <v>766</v>
      </c>
      <c r="V216">
        <v>81750</v>
      </c>
      <c r="W216" t="s">
        <v>47</v>
      </c>
      <c r="X216" t="s">
        <v>169</v>
      </c>
      <c r="Y216" t="s">
        <v>52</v>
      </c>
      <c r="Z216" s="10">
        <f t="shared" si="32"/>
        <v>11.4</v>
      </c>
      <c r="AA216" s="11">
        <v>-2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33"/>
        <v>0.56399999999999995</v>
      </c>
      <c r="AG216" s="11">
        <f t="shared" si="30"/>
        <v>9.9640000000000004</v>
      </c>
      <c r="AH216" s="11">
        <v>0</v>
      </c>
      <c r="AI216" s="11">
        <f t="shared" si="31"/>
        <v>9.9640000000000004</v>
      </c>
      <c r="AJ216" t="s">
        <v>53</v>
      </c>
    </row>
    <row r="217" spans="1:36" ht="15" customHeight="1" x14ac:dyDescent="0.35">
      <c r="A217">
        <v>7547676</v>
      </c>
      <c r="B217" t="s">
        <v>36</v>
      </c>
      <c r="C217" t="s">
        <v>37</v>
      </c>
      <c r="D217" s="6" t="s">
        <v>36</v>
      </c>
      <c r="E217" t="s">
        <v>767</v>
      </c>
      <c r="F217" t="s">
        <v>39</v>
      </c>
      <c r="G217" t="s">
        <v>40</v>
      </c>
      <c r="H217" t="s">
        <v>768</v>
      </c>
      <c r="I217" t="s">
        <v>42</v>
      </c>
      <c r="J217">
        <v>2</v>
      </c>
      <c r="K217" t="s">
        <v>43</v>
      </c>
      <c r="L217" t="s">
        <v>44</v>
      </c>
      <c r="M217" t="s">
        <v>45</v>
      </c>
      <c r="N217" s="7">
        <v>1</v>
      </c>
      <c r="O217" s="8">
        <v>45556.47284722222</v>
      </c>
      <c r="P217" s="9">
        <v>45558</v>
      </c>
      <c r="Q217" t="s">
        <v>46</v>
      </c>
      <c r="R217" t="s">
        <v>47</v>
      </c>
      <c r="S217" t="s">
        <v>48</v>
      </c>
      <c r="T217" t="s">
        <v>66</v>
      </c>
      <c r="U217" t="s">
        <v>769</v>
      </c>
      <c r="V217">
        <v>86200</v>
      </c>
      <c r="W217" t="s">
        <v>47</v>
      </c>
      <c r="X217" t="s">
        <v>109</v>
      </c>
      <c r="Y217" t="s">
        <v>52</v>
      </c>
      <c r="Z217" s="10">
        <f t="shared" si="32"/>
        <v>9</v>
      </c>
      <c r="AA217" s="11">
        <v>-2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33"/>
        <v>0.42</v>
      </c>
      <c r="AG217" s="11">
        <f t="shared" si="30"/>
        <v>7.42</v>
      </c>
      <c r="AH217" s="11">
        <v>0</v>
      </c>
      <c r="AI217" s="11">
        <f t="shared" si="31"/>
        <v>7.42</v>
      </c>
      <c r="AJ217" t="s">
        <v>53</v>
      </c>
    </row>
    <row r="218" spans="1:36" ht="15" customHeight="1" x14ac:dyDescent="0.35">
      <c r="A218">
        <v>7547676</v>
      </c>
      <c r="B218" t="s">
        <v>36</v>
      </c>
      <c r="C218" t="s">
        <v>37</v>
      </c>
      <c r="D218" s="6" t="s">
        <v>36</v>
      </c>
      <c r="E218" t="s">
        <v>770</v>
      </c>
      <c r="F218" t="s">
        <v>39</v>
      </c>
      <c r="G218" t="s">
        <v>40</v>
      </c>
      <c r="H218" t="s">
        <v>771</v>
      </c>
      <c r="I218" t="s">
        <v>42</v>
      </c>
      <c r="J218">
        <v>2</v>
      </c>
      <c r="K218" t="s">
        <v>43</v>
      </c>
      <c r="L218" t="s">
        <v>44</v>
      </c>
      <c r="M218" t="s">
        <v>45</v>
      </c>
      <c r="N218" s="7">
        <v>1</v>
      </c>
      <c r="O218" s="8">
        <v>45556.82234953704</v>
      </c>
      <c r="P218" s="9">
        <v>45558</v>
      </c>
      <c r="Q218" t="s">
        <v>46</v>
      </c>
      <c r="R218" t="s">
        <v>47</v>
      </c>
      <c r="S218" t="s">
        <v>48</v>
      </c>
      <c r="T218" t="s">
        <v>278</v>
      </c>
      <c r="U218" t="s">
        <v>772</v>
      </c>
      <c r="V218">
        <v>26900</v>
      </c>
      <c r="W218" t="s">
        <v>47</v>
      </c>
      <c r="X218" t="s">
        <v>773</v>
      </c>
      <c r="Y218" t="s">
        <v>52</v>
      </c>
      <c r="Z218" s="10">
        <f t="shared" si="32"/>
        <v>9</v>
      </c>
      <c r="AA218" s="11">
        <v>-2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33"/>
        <v>0.42</v>
      </c>
      <c r="AG218" s="11">
        <f t="shared" si="30"/>
        <v>7.42</v>
      </c>
      <c r="AH218" s="11">
        <v>0</v>
      </c>
      <c r="AI218" s="11">
        <f t="shared" si="31"/>
        <v>7.42</v>
      </c>
      <c r="AJ218" t="s">
        <v>53</v>
      </c>
    </row>
    <row r="219" spans="1:36" ht="15" customHeight="1" x14ac:dyDescent="0.35">
      <c r="A219">
        <v>7547676</v>
      </c>
      <c r="B219" t="s">
        <v>36</v>
      </c>
      <c r="C219" t="s">
        <v>37</v>
      </c>
      <c r="D219" s="6" t="s">
        <v>36</v>
      </c>
      <c r="E219" t="s">
        <v>774</v>
      </c>
      <c r="F219" t="s">
        <v>39</v>
      </c>
      <c r="G219" t="s">
        <v>40</v>
      </c>
      <c r="H219" t="s">
        <v>775</v>
      </c>
      <c r="I219" t="s">
        <v>42</v>
      </c>
      <c r="J219">
        <v>2</v>
      </c>
      <c r="K219" t="s">
        <v>43</v>
      </c>
      <c r="L219" t="s">
        <v>44</v>
      </c>
      <c r="M219" t="s">
        <v>45</v>
      </c>
      <c r="N219" s="7">
        <v>1</v>
      </c>
      <c r="O219" s="8">
        <v>45556.47284722222</v>
      </c>
      <c r="P219" s="9">
        <v>45558</v>
      </c>
      <c r="Q219" t="s">
        <v>46</v>
      </c>
      <c r="R219" t="s">
        <v>47</v>
      </c>
      <c r="S219" t="s">
        <v>48</v>
      </c>
      <c r="T219" t="s">
        <v>136</v>
      </c>
      <c r="U219" t="s">
        <v>776</v>
      </c>
      <c r="V219">
        <v>33400</v>
      </c>
      <c r="W219" t="s">
        <v>47</v>
      </c>
      <c r="X219" t="s">
        <v>406</v>
      </c>
      <c r="Y219" t="s">
        <v>52</v>
      </c>
      <c r="Z219" s="10">
        <f t="shared" si="32"/>
        <v>9</v>
      </c>
      <c r="AA219" s="11">
        <v>-2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33"/>
        <v>0.42</v>
      </c>
      <c r="AG219" s="11">
        <f t="shared" si="30"/>
        <v>7.42</v>
      </c>
      <c r="AH219" s="11">
        <v>0</v>
      </c>
      <c r="AI219" s="11">
        <f t="shared" si="31"/>
        <v>7.42</v>
      </c>
      <c r="AJ219" t="s">
        <v>53</v>
      </c>
    </row>
    <row r="220" spans="1:36" ht="15" customHeight="1" x14ac:dyDescent="0.35">
      <c r="A220">
        <v>7547676</v>
      </c>
      <c r="B220" t="s">
        <v>36</v>
      </c>
      <c r="C220" t="s">
        <v>37</v>
      </c>
      <c r="D220" s="6" t="s">
        <v>36</v>
      </c>
      <c r="E220" t="s">
        <v>777</v>
      </c>
      <c r="F220" t="s">
        <v>39</v>
      </c>
      <c r="G220" t="s">
        <v>40</v>
      </c>
      <c r="H220" t="s">
        <v>327</v>
      </c>
      <c r="I220" t="s">
        <v>42</v>
      </c>
      <c r="J220">
        <v>2</v>
      </c>
      <c r="K220" t="s">
        <v>43</v>
      </c>
      <c r="L220" t="s">
        <v>44</v>
      </c>
      <c r="M220" t="s">
        <v>45</v>
      </c>
      <c r="N220" s="7">
        <v>1</v>
      </c>
      <c r="O220" s="8">
        <v>45554.652951388889</v>
      </c>
      <c r="P220" s="9">
        <v>45558</v>
      </c>
      <c r="Q220" t="s">
        <v>89</v>
      </c>
      <c r="R220" t="s">
        <v>47</v>
      </c>
      <c r="S220" t="s">
        <v>48</v>
      </c>
      <c r="T220" t="s">
        <v>90</v>
      </c>
      <c r="U220" t="s">
        <v>328</v>
      </c>
      <c r="V220">
        <v>89850</v>
      </c>
      <c r="W220" t="s">
        <v>92</v>
      </c>
      <c r="X220" t="s">
        <v>51</v>
      </c>
      <c r="Y220" t="s">
        <v>52</v>
      </c>
      <c r="Z220" s="12">
        <f>IF(N220&lt;=1,13,IF(N220&lt;=2,23,IF(N220&lt;=3,35,IF(N220&lt;=4,43,IF(N220&lt;=5,53,IF(N220&lt;=6,63,IF(N220&lt;=7,71,IF(N220&lt;=8,79,IF(N220&lt;=9,87,IF(N220&lt;=10,95,IF(N220&lt;=11,105,IF(N220&lt;=12,114,IF(N220&lt;=13,119,IF(N220&lt;=14,127,IF(N220&lt;=15,135,IF(N220&lt;=16,143,IF(N220&lt;=17,153,IF(N220&lt;=18,163,IF(N220&lt;=19,171,IF(N220&lt;=20,185,IF(N220&lt;=21,193,IF(N220&lt;=22,201,IF(N220&lt;=23,210,IF(N220&lt;=24,220,IF(N220&lt;=25,230,IF(N220&lt;=26,240,IF(N220&lt;=27,250,IF(N220&lt;=28,260,IF(N220&lt;=29,270,IF(N220&lt;=30,280,280+10*ROUNDUP(N220-30,0)))))))))))))))))))))))))))))))</f>
        <v>13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33"/>
        <v>0.78</v>
      </c>
      <c r="AG220" s="11">
        <f t="shared" si="30"/>
        <v>13.78</v>
      </c>
      <c r="AH220" s="11">
        <v>0</v>
      </c>
      <c r="AI220" s="11">
        <f t="shared" si="31"/>
        <v>13.78</v>
      </c>
      <c r="AJ220" t="s">
        <v>94</v>
      </c>
    </row>
    <row r="221" spans="1:36" ht="15" customHeight="1" x14ac:dyDescent="0.35">
      <c r="A221">
        <v>7547676</v>
      </c>
      <c r="B221" t="s">
        <v>36</v>
      </c>
      <c r="C221" t="s">
        <v>37</v>
      </c>
      <c r="D221" s="6" t="s">
        <v>36</v>
      </c>
      <c r="E221" t="s">
        <v>778</v>
      </c>
      <c r="F221" t="s">
        <v>39</v>
      </c>
      <c r="G221" t="s">
        <v>40</v>
      </c>
      <c r="H221" t="s">
        <v>779</v>
      </c>
      <c r="I221" t="s">
        <v>42</v>
      </c>
      <c r="J221">
        <v>2</v>
      </c>
      <c r="K221" t="s">
        <v>43</v>
      </c>
      <c r="L221" t="s">
        <v>44</v>
      </c>
      <c r="M221" t="s">
        <v>45</v>
      </c>
      <c r="N221" s="7">
        <v>1</v>
      </c>
      <c r="O221" s="8">
        <v>45555.482523148145</v>
      </c>
      <c r="P221" s="9">
        <v>45558</v>
      </c>
      <c r="Q221" t="s">
        <v>89</v>
      </c>
      <c r="R221" t="s">
        <v>47</v>
      </c>
      <c r="S221" t="s">
        <v>48</v>
      </c>
      <c r="T221" t="s">
        <v>49</v>
      </c>
      <c r="U221" t="s">
        <v>780</v>
      </c>
      <c r="V221">
        <v>63000</v>
      </c>
      <c r="W221" t="s">
        <v>47</v>
      </c>
      <c r="X221" t="s">
        <v>51</v>
      </c>
      <c r="Y221" t="s">
        <v>52</v>
      </c>
      <c r="Z221" s="10">
        <f t="shared" ref="Z221" si="34">IF(N221&lt;=1,9,9+0.8*ROUNDUP(N221-1,0))</f>
        <v>9</v>
      </c>
      <c r="AA221" s="11">
        <v>-2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33"/>
        <v>0.42</v>
      </c>
      <c r="AG221" s="11">
        <f t="shared" si="30"/>
        <v>7.42</v>
      </c>
      <c r="AH221" s="11">
        <v>0</v>
      </c>
      <c r="AI221" s="11">
        <f t="shared" si="31"/>
        <v>7.42</v>
      </c>
      <c r="AJ221" t="s">
        <v>53</v>
      </c>
    </row>
    <row r="222" spans="1:36" ht="15" customHeight="1" x14ac:dyDescent="0.35">
      <c r="A222">
        <v>7547676</v>
      </c>
      <c r="B222" t="s">
        <v>36</v>
      </c>
      <c r="C222" t="s">
        <v>37</v>
      </c>
      <c r="D222" s="6" t="s">
        <v>36</v>
      </c>
      <c r="E222" t="s">
        <v>781</v>
      </c>
      <c r="F222" t="s">
        <v>39</v>
      </c>
      <c r="G222" t="s">
        <v>40</v>
      </c>
      <c r="H222" t="s">
        <v>782</v>
      </c>
      <c r="I222" t="s">
        <v>42</v>
      </c>
      <c r="J222">
        <v>2</v>
      </c>
      <c r="K222" t="s">
        <v>43</v>
      </c>
      <c r="L222" t="s">
        <v>44</v>
      </c>
      <c r="M222" t="s">
        <v>45</v>
      </c>
      <c r="N222" s="7">
        <v>1</v>
      </c>
      <c r="O222" s="8">
        <v>45556.706597222219</v>
      </c>
      <c r="P222" s="9">
        <v>45558</v>
      </c>
      <c r="Q222" t="s">
        <v>46</v>
      </c>
      <c r="R222" t="s">
        <v>47</v>
      </c>
      <c r="S222" t="s">
        <v>48</v>
      </c>
      <c r="T222" t="s">
        <v>123</v>
      </c>
      <c r="U222" t="s">
        <v>783</v>
      </c>
      <c r="V222">
        <v>53100</v>
      </c>
      <c r="W222" t="s">
        <v>47</v>
      </c>
      <c r="X222" t="s">
        <v>51</v>
      </c>
      <c r="Y222" t="s">
        <v>52</v>
      </c>
      <c r="Z222" s="10">
        <f>IF(N222&lt;=1,9,9+0.8*ROUNDUP(N222-1,0))</f>
        <v>9</v>
      </c>
      <c r="AA222" s="11">
        <v>-2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33"/>
        <v>0.42</v>
      </c>
      <c r="AG222" s="11">
        <f t="shared" si="30"/>
        <v>7.42</v>
      </c>
      <c r="AH222" s="11">
        <v>0</v>
      </c>
      <c r="AI222" s="11">
        <f t="shared" si="31"/>
        <v>7.42</v>
      </c>
      <c r="AJ222" t="s">
        <v>53</v>
      </c>
    </row>
    <row r="223" spans="1:36" ht="15" customHeight="1" x14ac:dyDescent="0.35">
      <c r="A223">
        <v>7547676</v>
      </c>
      <c r="B223" t="s">
        <v>36</v>
      </c>
      <c r="C223" t="s">
        <v>37</v>
      </c>
      <c r="D223" s="6" t="s">
        <v>36</v>
      </c>
      <c r="E223" t="s">
        <v>784</v>
      </c>
      <c r="F223" t="s">
        <v>39</v>
      </c>
      <c r="G223" t="s">
        <v>40</v>
      </c>
      <c r="H223" t="s">
        <v>785</v>
      </c>
      <c r="I223" t="s">
        <v>42</v>
      </c>
      <c r="J223">
        <v>2</v>
      </c>
      <c r="K223" t="s">
        <v>43</v>
      </c>
      <c r="L223" t="s">
        <v>44</v>
      </c>
      <c r="M223" t="s">
        <v>45</v>
      </c>
      <c r="N223" s="7">
        <v>1</v>
      </c>
      <c r="O223" s="8">
        <v>45558.437986111108</v>
      </c>
      <c r="P223" s="9">
        <v>45559</v>
      </c>
      <c r="Q223" t="s">
        <v>46</v>
      </c>
      <c r="R223" t="s">
        <v>47</v>
      </c>
      <c r="S223" t="s">
        <v>48</v>
      </c>
      <c r="T223" t="s">
        <v>123</v>
      </c>
      <c r="U223" t="s">
        <v>786</v>
      </c>
      <c r="V223">
        <v>56000</v>
      </c>
      <c r="W223" t="s">
        <v>47</v>
      </c>
      <c r="X223" t="s">
        <v>787</v>
      </c>
      <c r="Y223" t="s">
        <v>52</v>
      </c>
      <c r="Z223" s="10">
        <f t="shared" ref="Z223:Z250" si="35">IF(N223&lt;=1,9,9+0.8*ROUNDUP(N223-1,0))</f>
        <v>9</v>
      </c>
      <c r="AA223" s="11">
        <v>-2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33"/>
        <v>0.42</v>
      </c>
      <c r="AG223" s="11">
        <f t="shared" si="30"/>
        <v>7.42</v>
      </c>
      <c r="AH223" s="11">
        <v>0</v>
      </c>
      <c r="AI223" s="11">
        <f t="shared" si="31"/>
        <v>7.42</v>
      </c>
      <c r="AJ223" t="s">
        <v>53</v>
      </c>
    </row>
    <row r="224" spans="1:36" ht="15" customHeight="1" x14ac:dyDescent="0.35">
      <c r="A224">
        <v>7547676</v>
      </c>
      <c r="B224" t="s">
        <v>36</v>
      </c>
      <c r="C224" t="s">
        <v>37</v>
      </c>
      <c r="D224" s="6" t="s">
        <v>36</v>
      </c>
      <c r="E224" t="s">
        <v>788</v>
      </c>
      <c r="F224" t="s">
        <v>39</v>
      </c>
      <c r="G224" t="s">
        <v>40</v>
      </c>
      <c r="H224" t="s">
        <v>147</v>
      </c>
      <c r="I224" t="s">
        <v>42</v>
      </c>
      <c r="J224">
        <v>2</v>
      </c>
      <c r="K224" t="s">
        <v>43</v>
      </c>
      <c r="L224" t="s">
        <v>44</v>
      </c>
      <c r="M224" t="s">
        <v>45</v>
      </c>
      <c r="N224" s="7">
        <v>4</v>
      </c>
      <c r="O224" s="8">
        <v>45558.680844907409</v>
      </c>
      <c r="P224" s="9">
        <v>45559</v>
      </c>
      <c r="Q224" t="s">
        <v>46</v>
      </c>
      <c r="R224" t="s">
        <v>47</v>
      </c>
      <c r="S224" t="s">
        <v>48</v>
      </c>
      <c r="T224" t="s">
        <v>123</v>
      </c>
      <c r="U224" t="s">
        <v>148</v>
      </c>
      <c r="V224">
        <v>40000</v>
      </c>
      <c r="W224" t="s">
        <v>47</v>
      </c>
      <c r="X224" t="s">
        <v>149</v>
      </c>
      <c r="Y224" t="s">
        <v>52</v>
      </c>
      <c r="Z224" s="10">
        <f t="shared" si="35"/>
        <v>11.4</v>
      </c>
      <c r="AA224" s="11">
        <v>-2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33"/>
        <v>0.56399999999999995</v>
      </c>
      <c r="AG224" s="11">
        <f t="shared" si="30"/>
        <v>9.9640000000000004</v>
      </c>
      <c r="AH224" s="11">
        <v>0</v>
      </c>
      <c r="AI224" s="11">
        <f t="shared" si="31"/>
        <v>9.9640000000000004</v>
      </c>
      <c r="AJ224" t="s">
        <v>53</v>
      </c>
    </row>
    <row r="225" spans="1:36" ht="15" customHeight="1" x14ac:dyDescent="0.35">
      <c r="A225">
        <v>7547676</v>
      </c>
      <c r="B225" t="s">
        <v>36</v>
      </c>
      <c r="C225" t="s">
        <v>37</v>
      </c>
      <c r="D225" s="6" t="s">
        <v>36</v>
      </c>
      <c r="E225" t="s">
        <v>789</v>
      </c>
      <c r="F225" t="s">
        <v>39</v>
      </c>
      <c r="G225" t="s">
        <v>40</v>
      </c>
      <c r="H225" t="s">
        <v>790</v>
      </c>
      <c r="I225" t="s">
        <v>42</v>
      </c>
      <c r="J225">
        <v>2</v>
      </c>
      <c r="K225" t="s">
        <v>43</v>
      </c>
      <c r="L225" t="s">
        <v>44</v>
      </c>
      <c r="M225" t="s">
        <v>45</v>
      </c>
      <c r="N225" s="7">
        <v>1</v>
      </c>
      <c r="O225" s="8">
        <v>45558.63490740741</v>
      </c>
      <c r="P225" s="9">
        <v>45559</v>
      </c>
      <c r="Q225" t="s">
        <v>46</v>
      </c>
      <c r="R225" t="s">
        <v>47</v>
      </c>
      <c r="S225" t="s">
        <v>48</v>
      </c>
      <c r="T225" t="s">
        <v>278</v>
      </c>
      <c r="U225" t="s">
        <v>791</v>
      </c>
      <c r="V225">
        <v>25300</v>
      </c>
      <c r="W225" t="s">
        <v>47</v>
      </c>
      <c r="X225" t="s">
        <v>188</v>
      </c>
      <c r="Y225" t="s">
        <v>52</v>
      </c>
      <c r="Z225" s="10">
        <f t="shared" si="35"/>
        <v>9</v>
      </c>
      <c r="AA225" s="11">
        <v>-2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33"/>
        <v>0.42</v>
      </c>
      <c r="AG225" s="11">
        <f t="shared" si="30"/>
        <v>7.42</v>
      </c>
      <c r="AH225" s="11">
        <v>0</v>
      </c>
      <c r="AI225" s="11">
        <f t="shared" si="31"/>
        <v>7.42</v>
      </c>
      <c r="AJ225" t="s">
        <v>53</v>
      </c>
    </row>
    <row r="226" spans="1:36" ht="15" customHeight="1" x14ac:dyDescent="0.35">
      <c r="A226">
        <v>7547676</v>
      </c>
      <c r="B226" t="s">
        <v>36</v>
      </c>
      <c r="C226" t="s">
        <v>37</v>
      </c>
      <c r="D226" s="6" t="s">
        <v>36</v>
      </c>
      <c r="E226" t="s">
        <v>792</v>
      </c>
      <c r="F226" t="s">
        <v>39</v>
      </c>
      <c r="G226" t="s">
        <v>40</v>
      </c>
      <c r="H226" t="s">
        <v>793</v>
      </c>
      <c r="I226" t="s">
        <v>42</v>
      </c>
      <c r="J226">
        <v>2</v>
      </c>
      <c r="K226" t="s">
        <v>43</v>
      </c>
      <c r="L226" t="s">
        <v>44</v>
      </c>
      <c r="M226" t="s">
        <v>45</v>
      </c>
      <c r="N226" s="7">
        <v>11</v>
      </c>
      <c r="O226" s="8">
        <v>45558.506631944445</v>
      </c>
      <c r="P226" s="9">
        <v>45559</v>
      </c>
      <c r="Q226" t="s">
        <v>46</v>
      </c>
      <c r="R226" t="s">
        <v>47</v>
      </c>
      <c r="S226" t="s">
        <v>48</v>
      </c>
      <c r="T226" t="s">
        <v>61</v>
      </c>
      <c r="U226" t="s">
        <v>794</v>
      </c>
      <c r="V226">
        <v>23000</v>
      </c>
      <c r="W226" t="s">
        <v>47</v>
      </c>
      <c r="X226" t="s">
        <v>795</v>
      </c>
      <c r="Y226" t="s">
        <v>52</v>
      </c>
      <c r="Z226" s="10">
        <f t="shared" si="35"/>
        <v>17</v>
      </c>
      <c r="AA226" s="11">
        <v>-2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33"/>
        <v>0.89999999999999991</v>
      </c>
      <c r="AG226" s="11">
        <f t="shared" si="30"/>
        <v>15.9</v>
      </c>
      <c r="AH226" s="11">
        <v>0</v>
      </c>
      <c r="AI226" s="11">
        <f t="shared" si="31"/>
        <v>15.9</v>
      </c>
      <c r="AJ226" t="s">
        <v>53</v>
      </c>
    </row>
    <row r="227" spans="1:36" ht="15" customHeight="1" x14ac:dyDescent="0.35">
      <c r="A227">
        <v>7547676</v>
      </c>
      <c r="B227" t="s">
        <v>36</v>
      </c>
      <c r="C227" t="s">
        <v>37</v>
      </c>
      <c r="D227" s="6" t="s">
        <v>36</v>
      </c>
      <c r="E227" t="s">
        <v>796</v>
      </c>
      <c r="F227" t="s">
        <v>39</v>
      </c>
      <c r="G227" t="s">
        <v>40</v>
      </c>
      <c r="H227" t="s">
        <v>414</v>
      </c>
      <c r="I227" t="s">
        <v>42</v>
      </c>
      <c r="J227">
        <v>2</v>
      </c>
      <c r="K227" t="s">
        <v>43</v>
      </c>
      <c r="L227" t="s">
        <v>44</v>
      </c>
      <c r="M227" t="s">
        <v>45</v>
      </c>
      <c r="N227" s="7">
        <v>1</v>
      </c>
      <c r="O227" s="8">
        <v>45556.807395833333</v>
      </c>
      <c r="P227" s="9">
        <v>45559</v>
      </c>
      <c r="Q227" t="s">
        <v>46</v>
      </c>
      <c r="R227" t="s">
        <v>47</v>
      </c>
      <c r="S227" t="s">
        <v>48</v>
      </c>
      <c r="T227" t="s">
        <v>104</v>
      </c>
      <c r="U227" t="s">
        <v>797</v>
      </c>
      <c r="V227">
        <v>75450</v>
      </c>
      <c r="W227" t="s">
        <v>47</v>
      </c>
      <c r="X227" t="s">
        <v>302</v>
      </c>
      <c r="Y227" t="s">
        <v>52</v>
      </c>
      <c r="Z227" s="10">
        <f t="shared" si="35"/>
        <v>9</v>
      </c>
      <c r="AA227" s="11">
        <v>-2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33"/>
        <v>0.42</v>
      </c>
      <c r="AG227" s="11">
        <f t="shared" si="30"/>
        <v>7.42</v>
      </c>
      <c r="AH227" s="11">
        <v>0</v>
      </c>
      <c r="AI227" s="11">
        <f t="shared" si="31"/>
        <v>7.42</v>
      </c>
      <c r="AJ227" t="s">
        <v>53</v>
      </c>
    </row>
    <row r="228" spans="1:36" ht="15" customHeight="1" x14ac:dyDescent="0.35">
      <c r="A228">
        <v>7547676</v>
      </c>
      <c r="B228" t="s">
        <v>36</v>
      </c>
      <c r="C228" t="s">
        <v>37</v>
      </c>
      <c r="D228" s="6" t="s">
        <v>36</v>
      </c>
      <c r="E228" t="s">
        <v>798</v>
      </c>
      <c r="F228" t="s">
        <v>39</v>
      </c>
      <c r="G228" t="s">
        <v>40</v>
      </c>
      <c r="H228" t="s">
        <v>799</v>
      </c>
      <c r="I228" t="s">
        <v>42</v>
      </c>
      <c r="J228">
        <v>2</v>
      </c>
      <c r="K228" t="s">
        <v>43</v>
      </c>
      <c r="L228" t="s">
        <v>44</v>
      </c>
      <c r="M228" t="s">
        <v>45</v>
      </c>
      <c r="N228" s="7">
        <v>25</v>
      </c>
      <c r="O228" s="8">
        <v>45557.682349537034</v>
      </c>
      <c r="P228" s="9">
        <v>45559</v>
      </c>
      <c r="Q228" t="s">
        <v>46</v>
      </c>
      <c r="R228" t="s">
        <v>47</v>
      </c>
      <c r="S228" t="s">
        <v>48</v>
      </c>
      <c r="T228" t="s">
        <v>80</v>
      </c>
      <c r="U228" t="s">
        <v>800</v>
      </c>
      <c r="V228">
        <v>14100</v>
      </c>
      <c r="W228" t="s">
        <v>47</v>
      </c>
      <c r="X228" t="s">
        <v>581</v>
      </c>
      <c r="Y228" t="s">
        <v>52</v>
      </c>
      <c r="Z228" s="10">
        <f t="shared" si="35"/>
        <v>28.200000000000003</v>
      </c>
      <c r="AA228" s="11">
        <v>-2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33"/>
        <v>1.5720000000000001</v>
      </c>
      <c r="AG228" s="11">
        <f t="shared" si="30"/>
        <v>27.772000000000002</v>
      </c>
      <c r="AH228" s="11">
        <v>0</v>
      </c>
      <c r="AI228" s="11">
        <f t="shared" si="31"/>
        <v>27.772000000000002</v>
      </c>
      <c r="AJ228" t="s">
        <v>53</v>
      </c>
    </row>
    <row r="229" spans="1:36" ht="15" customHeight="1" x14ac:dyDescent="0.35">
      <c r="A229">
        <v>7547676</v>
      </c>
      <c r="B229" t="s">
        <v>36</v>
      </c>
      <c r="C229" t="s">
        <v>37</v>
      </c>
      <c r="D229" s="6" t="s">
        <v>36</v>
      </c>
      <c r="E229" t="s">
        <v>801</v>
      </c>
      <c r="F229" t="s">
        <v>39</v>
      </c>
      <c r="G229" t="s">
        <v>40</v>
      </c>
      <c r="H229" t="s">
        <v>799</v>
      </c>
      <c r="I229" t="s">
        <v>42</v>
      </c>
      <c r="J229">
        <v>2</v>
      </c>
      <c r="K229" t="s">
        <v>43</v>
      </c>
      <c r="L229" t="s">
        <v>44</v>
      </c>
      <c r="M229" t="s">
        <v>45</v>
      </c>
      <c r="N229" s="7">
        <v>17</v>
      </c>
      <c r="O229" s="8">
        <v>45557.682349537034</v>
      </c>
      <c r="P229" s="9">
        <v>45559</v>
      </c>
      <c r="Q229" t="s">
        <v>46</v>
      </c>
      <c r="R229" t="s">
        <v>47</v>
      </c>
      <c r="S229" t="s">
        <v>48</v>
      </c>
      <c r="T229" t="s">
        <v>80</v>
      </c>
      <c r="U229" t="s">
        <v>802</v>
      </c>
      <c r="V229">
        <v>14100</v>
      </c>
      <c r="W229" t="s">
        <v>47</v>
      </c>
      <c r="X229" t="s">
        <v>581</v>
      </c>
      <c r="Y229" t="s">
        <v>52</v>
      </c>
      <c r="Z229" s="10">
        <f t="shared" si="35"/>
        <v>21.8</v>
      </c>
      <c r="AA229" s="11">
        <v>-2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33"/>
        <v>1.1879999999999999</v>
      </c>
      <c r="AG229" s="11">
        <f t="shared" si="30"/>
        <v>20.988</v>
      </c>
      <c r="AH229" s="11">
        <v>0</v>
      </c>
      <c r="AI229" s="11">
        <f t="shared" si="31"/>
        <v>20.988</v>
      </c>
      <c r="AJ229" t="s">
        <v>53</v>
      </c>
    </row>
    <row r="230" spans="1:36" ht="15" customHeight="1" x14ac:dyDescent="0.35">
      <c r="A230">
        <v>7547676</v>
      </c>
      <c r="B230" t="s">
        <v>36</v>
      </c>
      <c r="C230" t="s">
        <v>37</v>
      </c>
      <c r="D230" s="6" t="s">
        <v>36</v>
      </c>
      <c r="E230" t="s">
        <v>803</v>
      </c>
      <c r="F230" t="s">
        <v>39</v>
      </c>
      <c r="G230" t="s">
        <v>40</v>
      </c>
      <c r="H230" t="s">
        <v>804</v>
      </c>
      <c r="I230" t="s">
        <v>42</v>
      </c>
      <c r="J230">
        <v>2</v>
      </c>
      <c r="K230" t="s">
        <v>43</v>
      </c>
      <c r="L230" t="s">
        <v>44</v>
      </c>
      <c r="M230" t="s">
        <v>45</v>
      </c>
      <c r="N230" s="7">
        <v>1</v>
      </c>
      <c r="O230" s="8">
        <v>45557.705104166664</v>
      </c>
      <c r="P230" s="9">
        <v>45559</v>
      </c>
      <c r="Q230" t="s">
        <v>46</v>
      </c>
      <c r="R230" t="s">
        <v>47</v>
      </c>
      <c r="S230" t="s">
        <v>48</v>
      </c>
      <c r="T230" t="s">
        <v>123</v>
      </c>
      <c r="U230" t="s">
        <v>805</v>
      </c>
      <c r="V230">
        <v>43300</v>
      </c>
      <c r="W230" t="s">
        <v>47</v>
      </c>
      <c r="X230" t="s">
        <v>806</v>
      </c>
      <c r="Y230" t="s">
        <v>52</v>
      </c>
      <c r="Z230" s="10">
        <f t="shared" si="35"/>
        <v>9</v>
      </c>
      <c r="AA230" s="11">
        <v>-2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33"/>
        <v>0.42</v>
      </c>
      <c r="AG230" s="11">
        <f t="shared" si="30"/>
        <v>7.42</v>
      </c>
      <c r="AH230" s="11">
        <v>0</v>
      </c>
      <c r="AI230" s="11">
        <f t="shared" si="31"/>
        <v>7.42</v>
      </c>
      <c r="AJ230" t="s">
        <v>53</v>
      </c>
    </row>
    <row r="231" spans="1:36" ht="15" customHeight="1" x14ac:dyDescent="0.35">
      <c r="A231">
        <v>7547676</v>
      </c>
      <c r="B231" t="s">
        <v>36</v>
      </c>
      <c r="C231" t="s">
        <v>37</v>
      </c>
      <c r="D231" s="6" t="s">
        <v>36</v>
      </c>
      <c r="E231" t="s">
        <v>807</v>
      </c>
      <c r="F231" t="s">
        <v>39</v>
      </c>
      <c r="G231" t="s">
        <v>40</v>
      </c>
      <c r="H231" t="s">
        <v>799</v>
      </c>
      <c r="I231" t="s">
        <v>42</v>
      </c>
      <c r="J231">
        <v>2</v>
      </c>
      <c r="K231" t="s">
        <v>43</v>
      </c>
      <c r="L231" t="s">
        <v>44</v>
      </c>
      <c r="M231" t="s">
        <v>45</v>
      </c>
      <c r="N231" s="7">
        <v>18</v>
      </c>
      <c r="O231" s="8">
        <v>45557.682349537034</v>
      </c>
      <c r="P231" s="9">
        <v>45559</v>
      </c>
      <c r="Q231" t="s">
        <v>46</v>
      </c>
      <c r="R231" t="s">
        <v>47</v>
      </c>
      <c r="S231" t="s">
        <v>48</v>
      </c>
      <c r="T231" t="s">
        <v>80</v>
      </c>
      <c r="U231" t="s">
        <v>800</v>
      </c>
      <c r="V231">
        <v>14100</v>
      </c>
      <c r="W231" t="s">
        <v>47</v>
      </c>
      <c r="X231" t="s">
        <v>581</v>
      </c>
      <c r="Y231" t="s">
        <v>52</v>
      </c>
      <c r="Z231" s="10">
        <f t="shared" si="35"/>
        <v>22.6</v>
      </c>
      <c r="AA231" s="11">
        <v>-2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33"/>
        <v>1.236</v>
      </c>
      <c r="AG231" s="11">
        <f t="shared" si="30"/>
        <v>21.836000000000002</v>
      </c>
      <c r="AH231" s="11">
        <v>0</v>
      </c>
      <c r="AI231" s="11">
        <f t="shared" si="31"/>
        <v>21.836000000000002</v>
      </c>
      <c r="AJ231" t="s">
        <v>53</v>
      </c>
    </row>
    <row r="232" spans="1:36" ht="15" customHeight="1" x14ac:dyDescent="0.35">
      <c r="A232">
        <v>7547676</v>
      </c>
      <c r="B232" t="s">
        <v>36</v>
      </c>
      <c r="C232" t="s">
        <v>37</v>
      </c>
      <c r="D232" s="6" t="s">
        <v>36</v>
      </c>
      <c r="E232" t="s">
        <v>808</v>
      </c>
      <c r="F232" t="s">
        <v>39</v>
      </c>
      <c r="G232" t="s">
        <v>40</v>
      </c>
      <c r="H232" t="s">
        <v>809</v>
      </c>
      <c r="I232" t="s">
        <v>42</v>
      </c>
      <c r="J232">
        <v>2</v>
      </c>
      <c r="K232" t="s">
        <v>43</v>
      </c>
      <c r="L232" t="s">
        <v>44</v>
      </c>
      <c r="M232" t="s">
        <v>45</v>
      </c>
      <c r="N232" s="7">
        <v>9</v>
      </c>
      <c r="O232" s="8">
        <v>45558.562604166669</v>
      </c>
      <c r="P232" s="9">
        <v>45559</v>
      </c>
      <c r="Q232" t="s">
        <v>46</v>
      </c>
      <c r="R232" t="s">
        <v>47</v>
      </c>
      <c r="S232" t="s">
        <v>48</v>
      </c>
      <c r="T232" t="s">
        <v>128</v>
      </c>
      <c r="U232" t="s">
        <v>810</v>
      </c>
      <c r="V232">
        <v>53300</v>
      </c>
      <c r="W232" t="s">
        <v>47</v>
      </c>
      <c r="X232" t="s">
        <v>698</v>
      </c>
      <c r="Y232" t="s">
        <v>52</v>
      </c>
      <c r="Z232" s="10">
        <f t="shared" si="35"/>
        <v>15.4</v>
      </c>
      <c r="AA232" s="11">
        <v>-2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33"/>
        <v>0.80399999999999994</v>
      </c>
      <c r="AG232" s="11">
        <f t="shared" si="30"/>
        <v>14.204000000000001</v>
      </c>
      <c r="AH232" s="11">
        <v>0</v>
      </c>
      <c r="AI232" s="11">
        <f t="shared" si="31"/>
        <v>14.204000000000001</v>
      </c>
      <c r="AJ232" t="s">
        <v>53</v>
      </c>
    </row>
    <row r="233" spans="1:36" ht="15" customHeight="1" x14ac:dyDescent="0.35">
      <c r="A233">
        <v>7547676</v>
      </c>
      <c r="B233" t="s">
        <v>36</v>
      </c>
      <c r="C233" t="s">
        <v>37</v>
      </c>
      <c r="D233" s="6" t="s">
        <v>36</v>
      </c>
      <c r="E233" t="s">
        <v>811</v>
      </c>
      <c r="F233" t="s">
        <v>39</v>
      </c>
      <c r="G233" t="s">
        <v>40</v>
      </c>
      <c r="H233" t="s">
        <v>799</v>
      </c>
      <c r="I233" t="s">
        <v>42</v>
      </c>
      <c r="J233">
        <v>2</v>
      </c>
      <c r="K233" t="s">
        <v>43</v>
      </c>
      <c r="L233" t="s">
        <v>44</v>
      </c>
      <c r="M233" t="s">
        <v>45</v>
      </c>
      <c r="N233" s="7">
        <v>13</v>
      </c>
      <c r="O233" s="8">
        <v>45557.68277777778</v>
      </c>
      <c r="P233" s="9">
        <v>45559</v>
      </c>
      <c r="Q233" t="s">
        <v>46</v>
      </c>
      <c r="R233" t="s">
        <v>47</v>
      </c>
      <c r="S233" t="s">
        <v>48</v>
      </c>
      <c r="T233" t="s">
        <v>80</v>
      </c>
      <c r="U233" t="s">
        <v>800</v>
      </c>
      <c r="V233">
        <v>14100</v>
      </c>
      <c r="W233" t="s">
        <v>47</v>
      </c>
      <c r="X233" t="s">
        <v>581</v>
      </c>
      <c r="Y233" t="s">
        <v>52</v>
      </c>
      <c r="Z233" s="10">
        <f t="shared" si="35"/>
        <v>18.600000000000001</v>
      </c>
      <c r="AA233" s="11">
        <v>-2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33"/>
        <v>0.996</v>
      </c>
      <c r="AG233" s="11">
        <f t="shared" si="30"/>
        <v>17.596</v>
      </c>
      <c r="AH233" s="11">
        <v>0</v>
      </c>
      <c r="AI233" s="11">
        <f t="shared" si="31"/>
        <v>17.596</v>
      </c>
      <c r="AJ233" t="s">
        <v>53</v>
      </c>
    </row>
    <row r="234" spans="1:36" ht="15" customHeight="1" x14ac:dyDescent="0.35">
      <c r="A234">
        <v>7547676</v>
      </c>
      <c r="B234" t="s">
        <v>36</v>
      </c>
      <c r="C234" t="s">
        <v>37</v>
      </c>
      <c r="D234" s="6" t="s">
        <v>36</v>
      </c>
      <c r="E234" t="s">
        <v>812</v>
      </c>
      <c r="F234" t="s">
        <v>39</v>
      </c>
      <c r="G234" t="s">
        <v>40</v>
      </c>
      <c r="H234" t="s">
        <v>813</v>
      </c>
      <c r="I234" t="s">
        <v>42</v>
      </c>
      <c r="J234">
        <v>2</v>
      </c>
      <c r="K234" t="s">
        <v>43</v>
      </c>
      <c r="L234" t="s">
        <v>44</v>
      </c>
      <c r="M234" t="s">
        <v>45</v>
      </c>
      <c r="N234" s="7">
        <v>9</v>
      </c>
      <c r="O234" s="8">
        <v>45558.713252314818</v>
      </c>
      <c r="P234" s="9">
        <v>45559</v>
      </c>
      <c r="Q234" t="s">
        <v>46</v>
      </c>
      <c r="R234" t="s">
        <v>47</v>
      </c>
      <c r="S234" t="s">
        <v>48</v>
      </c>
      <c r="T234" t="s">
        <v>104</v>
      </c>
      <c r="U234" t="s">
        <v>814</v>
      </c>
      <c r="V234">
        <v>75450</v>
      </c>
      <c r="W234" t="s">
        <v>47</v>
      </c>
      <c r="X234" t="s">
        <v>302</v>
      </c>
      <c r="Y234" t="s">
        <v>52</v>
      </c>
      <c r="Z234" s="10">
        <f t="shared" si="35"/>
        <v>15.4</v>
      </c>
      <c r="AA234" s="11">
        <v>-2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33"/>
        <v>0.80399999999999994</v>
      </c>
      <c r="AG234" s="11">
        <f t="shared" si="30"/>
        <v>14.204000000000001</v>
      </c>
      <c r="AH234" s="11">
        <v>0</v>
      </c>
      <c r="AI234" s="11">
        <f t="shared" si="31"/>
        <v>14.204000000000001</v>
      </c>
      <c r="AJ234" t="s">
        <v>53</v>
      </c>
    </row>
    <row r="235" spans="1:36" ht="15" customHeight="1" x14ac:dyDescent="0.35">
      <c r="A235">
        <v>7547676</v>
      </c>
      <c r="B235" t="s">
        <v>36</v>
      </c>
      <c r="C235" t="s">
        <v>37</v>
      </c>
      <c r="D235" s="6" t="s">
        <v>36</v>
      </c>
      <c r="E235" t="s">
        <v>815</v>
      </c>
      <c r="F235" t="s">
        <v>39</v>
      </c>
      <c r="G235" t="s">
        <v>40</v>
      </c>
      <c r="H235" t="s">
        <v>816</v>
      </c>
      <c r="I235" t="s">
        <v>42</v>
      </c>
      <c r="J235">
        <v>2</v>
      </c>
      <c r="K235" t="s">
        <v>43</v>
      </c>
      <c r="L235" t="s">
        <v>44</v>
      </c>
      <c r="M235" t="s">
        <v>45</v>
      </c>
      <c r="N235" s="7">
        <v>2</v>
      </c>
      <c r="O235" s="8">
        <v>45558.701874999999</v>
      </c>
      <c r="P235" s="9">
        <v>45559</v>
      </c>
      <c r="Q235" t="s">
        <v>46</v>
      </c>
      <c r="R235" t="s">
        <v>47</v>
      </c>
      <c r="S235" t="s">
        <v>48</v>
      </c>
      <c r="T235" t="s">
        <v>123</v>
      </c>
      <c r="U235" t="s">
        <v>817</v>
      </c>
      <c r="V235">
        <v>47000</v>
      </c>
      <c r="W235" t="s">
        <v>47</v>
      </c>
      <c r="X235" t="s">
        <v>818</v>
      </c>
      <c r="Y235" t="s">
        <v>52</v>
      </c>
      <c r="Z235" s="10">
        <f t="shared" si="35"/>
        <v>9.8000000000000007</v>
      </c>
      <c r="AA235" s="11">
        <v>-2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33"/>
        <v>0.46800000000000003</v>
      </c>
      <c r="AG235" s="11">
        <f t="shared" si="30"/>
        <v>8.2680000000000007</v>
      </c>
      <c r="AH235" s="11">
        <v>0</v>
      </c>
      <c r="AI235" s="11">
        <f t="shared" si="31"/>
        <v>8.2680000000000007</v>
      </c>
      <c r="AJ235" t="s">
        <v>53</v>
      </c>
    </row>
    <row r="236" spans="1:36" ht="15" customHeight="1" x14ac:dyDescent="0.35">
      <c r="A236">
        <v>7547676</v>
      </c>
      <c r="B236" t="s">
        <v>36</v>
      </c>
      <c r="C236" t="s">
        <v>37</v>
      </c>
      <c r="D236" s="6" t="s">
        <v>36</v>
      </c>
      <c r="E236" t="s">
        <v>819</v>
      </c>
      <c r="F236" t="s">
        <v>39</v>
      </c>
      <c r="G236" t="s">
        <v>40</v>
      </c>
      <c r="H236" t="s">
        <v>300</v>
      </c>
      <c r="I236" t="s">
        <v>42</v>
      </c>
      <c r="J236">
        <v>2</v>
      </c>
      <c r="K236" t="s">
        <v>43</v>
      </c>
      <c r="L236" t="s">
        <v>44</v>
      </c>
      <c r="M236" t="s">
        <v>45</v>
      </c>
      <c r="N236" s="7">
        <v>2</v>
      </c>
      <c r="O236" s="8">
        <v>45558.439004629632</v>
      </c>
      <c r="P236" s="9">
        <v>45559</v>
      </c>
      <c r="Q236" t="s">
        <v>46</v>
      </c>
      <c r="R236" t="s">
        <v>47</v>
      </c>
      <c r="S236" t="s">
        <v>48</v>
      </c>
      <c r="T236" t="s">
        <v>104</v>
      </c>
      <c r="U236" t="s">
        <v>301</v>
      </c>
      <c r="V236">
        <v>75450</v>
      </c>
      <c r="W236" t="s">
        <v>47</v>
      </c>
      <c r="X236" t="s">
        <v>302</v>
      </c>
      <c r="Y236" t="s">
        <v>52</v>
      </c>
      <c r="Z236" s="10">
        <f t="shared" si="35"/>
        <v>9.8000000000000007</v>
      </c>
      <c r="AA236" s="11">
        <v>-2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33"/>
        <v>0.46800000000000003</v>
      </c>
      <c r="AG236" s="11">
        <f t="shared" si="30"/>
        <v>8.2680000000000007</v>
      </c>
      <c r="AH236" s="11">
        <v>0</v>
      </c>
      <c r="AI236" s="11">
        <f t="shared" si="31"/>
        <v>8.2680000000000007</v>
      </c>
      <c r="AJ236" t="s">
        <v>53</v>
      </c>
    </row>
    <row r="237" spans="1:36" ht="15" customHeight="1" x14ac:dyDescent="0.35">
      <c r="A237">
        <v>7547676</v>
      </c>
      <c r="B237" t="s">
        <v>36</v>
      </c>
      <c r="C237" t="s">
        <v>37</v>
      </c>
      <c r="D237" s="6" t="s">
        <v>36</v>
      </c>
      <c r="E237" t="s">
        <v>820</v>
      </c>
      <c r="F237" t="s">
        <v>39</v>
      </c>
      <c r="G237" t="s">
        <v>40</v>
      </c>
      <c r="H237" t="s">
        <v>821</v>
      </c>
      <c r="I237" t="s">
        <v>42</v>
      </c>
      <c r="J237">
        <v>2</v>
      </c>
      <c r="K237" t="s">
        <v>43</v>
      </c>
      <c r="L237" t="s">
        <v>44</v>
      </c>
      <c r="M237" t="s">
        <v>45</v>
      </c>
      <c r="N237" s="7">
        <v>3</v>
      </c>
      <c r="O237" s="8">
        <v>45558.662986111114</v>
      </c>
      <c r="P237" s="9">
        <v>45559</v>
      </c>
      <c r="Q237" t="s">
        <v>46</v>
      </c>
      <c r="R237" t="s">
        <v>47</v>
      </c>
      <c r="S237" t="s">
        <v>48</v>
      </c>
      <c r="T237" t="s">
        <v>123</v>
      </c>
      <c r="U237" t="s">
        <v>822</v>
      </c>
      <c r="V237">
        <v>40400</v>
      </c>
      <c r="W237" t="s">
        <v>47</v>
      </c>
      <c r="X237" t="s">
        <v>823</v>
      </c>
      <c r="Y237" t="s">
        <v>52</v>
      </c>
      <c r="Z237" s="10">
        <f t="shared" si="35"/>
        <v>10.6</v>
      </c>
      <c r="AA237" s="11">
        <v>-2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33"/>
        <v>0.51600000000000001</v>
      </c>
      <c r="AG237" s="11">
        <f t="shared" si="30"/>
        <v>9.1159999999999997</v>
      </c>
      <c r="AH237" s="11">
        <v>0</v>
      </c>
      <c r="AI237" s="11">
        <f t="shared" si="31"/>
        <v>9.1159999999999997</v>
      </c>
      <c r="AJ237" t="s">
        <v>53</v>
      </c>
    </row>
    <row r="238" spans="1:36" ht="15" customHeight="1" x14ac:dyDescent="0.35">
      <c r="A238">
        <v>7547676</v>
      </c>
      <c r="B238" t="s">
        <v>36</v>
      </c>
      <c r="C238" t="s">
        <v>37</v>
      </c>
      <c r="D238" s="6" t="s">
        <v>36</v>
      </c>
      <c r="E238" t="s">
        <v>824</v>
      </c>
      <c r="F238" t="s">
        <v>39</v>
      </c>
      <c r="G238" t="s">
        <v>40</v>
      </c>
      <c r="H238" t="s">
        <v>825</v>
      </c>
      <c r="I238" t="s">
        <v>42</v>
      </c>
      <c r="J238">
        <v>2</v>
      </c>
      <c r="K238" t="s">
        <v>43</v>
      </c>
      <c r="L238" t="s">
        <v>44</v>
      </c>
      <c r="M238" t="s">
        <v>45</v>
      </c>
      <c r="N238" s="7">
        <v>1</v>
      </c>
      <c r="O238" s="8">
        <v>45558.634918981479</v>
      </c>
      <c r="P238" s="9">
        <v>45559</v>
      </c>
      <c r="Q238" t="s">
        <v>46</v>
      </c>
      <c r="R238" t="s">
        <v>47</v>
      </c>
      <c r="S238" t="s">
        <v>48</v>
      </c>
      <c r="T238" t="s">
        <v>210</v>
      </c>
      <c r="U238" t="s">
        <v>826</v>
      </c>
      <c r="V238">
        <v>71600</v>
      </c>
      <c r="W238" t="s">
        <v>47</v>
      </c>
      <c r="X238" t="s">
        <v>641</v>
      </c>
      <c r="Y238" t="s">
        <v>52</v>
      </c>
      <c r="Z238" s="10">
        <f t="shared" si="35"/>
        <v>9</v>
      </c>
      <c r="AA238" s="11">
        <v>-2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33"/>
        <v>0.42</v>
      </c>
      <c r="AG238" s="11">
        <f t="shared" si="30"/>
        <v>7.42</v>
      </c>
      <c r="AH238" s="11">
        <v>0</v>
      </c>
      <c r="AI238" s="11">
        <f t="shared" si="31"/>
        <v>7.42</v>
      </c>
      <c r="AJ238" t="s">
        <v>53</v>
      </c>
    </row>
    <row r="239" spans="1:36" ht="15" customHeight="1" x14ac:dyDescent="0.35">
      <c r="A239">
        <v>7547676</v>
      </c>
      <c r="B239" t="s">
        <v>36</v>
      </c>
      <c r="C239" t="s">
        <v>37</v>
      </c>
      <c r="D239" s="6" t="s">
        <v>36</v>
      </c>
      <c r="E239" t="s">
        <v>827</v>
      </c>
      <c r="F239" t="s">
        <v>39</v>
      </c>
      <c r="G239" t="s">
        <v>40</v>
      </c>
      <c r="H239" t="s">
        <v>828</v>
      </c>
      <c r="I239" t="s">
        <v>42</v>
      </c>
      <c r="J239">
        <v>2</v>
      </c>
      <c r="K239" t="s">
        <v>43</v>
      </c>
      <c r="L239" t="s">
        <v>44</v>
      </c>
      <c r="M239" t="s">
        <v>45</v>
      </c>
      <c r="N239" s="7">
        <v>1</v>
      </c>
      <c r="O239" s="8">
        <v>45558.63490740741</v>
      </c>
      <c r="P239" s="9">
        <v>45559</v>
      </c>
      <c r="Q239" t="s">
        <v>46</v>
      </c>
      <c r="R239" t="s">
        <v>47</v>
      </c>
      <c r="S239" t="s">
        <v>48</v>
      </c>
      <c r="T239" t="s">
        <v>278</v>
      </c>
      <c r="U239" t="s">
        <v>829</v>
      </c>
      <c r="V239">
        <v>27040</v>
      </c>
      <c r="W239" t="s">
        <v>47</v>
      </c>
      <c r="X239" t="s">
        <v>188</v>
      </c>
      <c r="Y239" t="s">
        <v>52</v>
      </c>
      <c r="Z239" s="10">
        <f t="shared" si="35"/>
        <v>9</v>
      </c>
      <c r="AA239" s="11">
        <v>-2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33"/>
        <v>0.42</v>
      </c>
      <c r="AG239" s="11">
        <f t="shared" si="30"/>
        <v>7.42</v>
      </c>
      <c r="AH239" s="11">
        <v>0</v>
      </c>
      <c r="AI239" s="11">
        <f t="shared" si="31"/>
        <v>7.42</v>
      </c>
      <c r="AJ239" t="s">
        <v>53</v>
      </c>
    </row>
    <row r="240" spans="1:36" ht="15" customHeight="1" x14ac:dyDescent="0.35">
      <c r="A240">
        <v>7547676</v>
      </c>
      <c r="B240" t="s">
        <v>36</v>
      </c>
      <c r="C240" t="s">
        <v>37</v>
      </c>
      <c r="D240" s="6" t="s">
        <v>36</v>
      </c>
      <c r="E240" t="s">
        <v>830</v>
      </c>
      <c r="F240" t="s">
        <v>39</v>
      </c>
      <c r="G240" t="s">
        <v>40</v>
      </c>
      <c r="H240" t="s">
        <v>831</v>
      </c>
      <c r="I240" t="s">
        <v>42</v>
      </c>
      <c r="J240">
        <v>2</v>
      </c>
      <c r="K240" t="s">
        <v>43</v>
      </c>
      <c r="L240" t="s">
        <v>44</v>
      </c>
      <c r="M240" t="s">
        <v>45</v>
      </c>
      <c r="N240" s="7">
        <v>4</v>
      </c>
      <c r="O240" s="8">
        <v>45558.65121527778</v>
      </c>
      <c r="P240" s="9">
        <v>45559</v>
      </c>
      <c r="Q240" t="s">
        <v>46</v>
      </c>
      <c r="R240" t="s">
        <v>47</v>
      </c>
      <c r="S240" t="s">
        <v>48</v>
      </c>
      <c r="T240" t="s">
        <v>128</v>
      </c>
      <c r="U240" t="s">
        <v>832</v>
      </c>
      <c r="V240">
        <v>50450</v>
      </c>
      <c r="W240" t="s">
        <v>47</v>
      </c>
      <c r="X240" t="s">
        <v>833</v>
      </c>
      <c r="Y240" t="s">
        <v>52</v>
      </c>
      <c r="Z240" s="10">
        <f t="shared" si="35"/>
        <v>11.4</v>
      </c>
      <c r="AA240" s="11">
        <v>-2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33"/>
        <v>0.56399999999999995</v>
      </c>
      <c r="AG240" s="11">
        <f t="shared" si="30"/>
        <v>9.9640000000000004</v>
      </c>
      <c r="AH240" s="11">
        <v>0</v>
      </c>
      <c r="AI240" s="11">
        <f t="shared" si="31"/>
        <v>9.9640000000000004</v>
      </c>
      <c r="AJ240" t="s">
        <v>53</v>
      </c>
    </row>
    <row r="241" spans="1:36" ht="15" customHeight="1" x14ac:dyDescent="0.35">
      <c r="A241">
        <v>7547676</v>
      </c>
      <c r="B241" t="s">
        <v>36</v>
      </c>
      <c r="C241" t="s">
        <v>37</v>
      </c>
      <c r="D241" s="6" t="s">
        <v>36</v>
      </c>
      <c r="E241" t="s">
        <v>834</v>
      </c>
      <c r="F241" t="s">
        <v>39</v>
      </c>
      <c r="G241" t="s">
        <v>40</v>
      </c>
      <c r="H241" t="s">
        <v>835</v>
      </c>
      <c r="I241" t="s">
        <v>42</v>
      </c>
      <c r="J241">
        <v>2</v>
      </c>
      <c r="K241" t="s">
        <v>43</v>
      </c>
      <c r="L241" t="s">
        <v>44</v>
      </c>
      <c r="M241" t="s">
        <v>45</v>
      </c>
      <c r="N241" s="7">
        <v>1</v>
      </c>
      <c r="O241" s="8">
        <v>45557.671249999999</v>
      </c>
      <c r="P241" s="9">
        <v>45559</v>
      </c>
      <c r="Q241" t="s">
        <v>46</v>
      </c>
      <c r="R241" t="s">
        <v>47</v>
      </c>
      <c r="S241" t="s">
        <v>48</v>
      </c>
      <c r="T241" t="s">
        <v>128</v>
      </c>
      <c r="U241" t="s">
        <v>836</v>
      </c>
      <c r="V241">
        <v>56000</v>
      </c>
      <c r="W241" t="s">
        <v>47</v>
      </c>
      <c r="X241" t="s">
        <v>787</v>
      </c>
      <c r="Y241" t="s">
        <v>52</v>
      </c>
      <c r="Z241" s="10">
        <f t="shared" si="35"/>
        <v>9</v>
      </c>
      <c r="AA241" s="11">
        <v>-2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33"/>
        <v>0.42</v>
      </c>
      <c r="AG241" s="11">
        <f t="shared" si="30"/>
        <v>7.42</v>
      </c>
      <c r="AH241" s="11">
        <v>0</v>
      </c>
      <c r="AI241" s="11">
        <f t="shared" si="31"/>
        <v>7.42</v>
      </c>
      <c r="AJ241" t="s">
        <v>53</v>
      </c>
    </row>
    <row r="242" spans="1:36" ht="15" customHeight="1" x14ac:dyDescent="0.35">
      <c r="A242">
        <v>7547676</v>
      </c>
      <c r="B242" t="s">
        <v>36</v>
      </c>
      <c r="C242" t="s">
        <v>37</v>
      </c>
      <c r="D242" s="6" t="s">
        <v>36</v>
      </c>
      <c r="E242" t="s">
        <v>837</v>
      </c>
      <c r="F242" t="s">
        <v>39</v>
      </c>
      <c r="G242" t="s">
        <v>40</v>
      </c>
      <c r="H242" t="s">
        <v>838</v>
      </c>
      <c r="I242" t="s">
        <v>42</v>
      </c>
      <c r="J242">
        <v>2</v>
      </c>
      <c r="K242" t="s">
        <v>43</v>
      </c>
      <c r="L242" t="s">
        <v>44</v>
      </c>
      <c r="M242" t="s">
        <v>45</v>
      </c>
      <c r="N242" s="7">
        <v>1</v>
      </c>
      <c r="O242" s="8">
        <v>45558.63490740741</v>
      </c>
      <c r="P242" s="9">
        <v>45559</v>
      </c>
      <c r="Q242" t="s">
        <v>46</v>
      </c>
      <c r="R242" t="s">
        <v>47</v>
      </c>
      <c r="S242" t="s">
        <v>48</v>
      </c>
      <c r="T242" t="s">
        <v>128</v>
      </c>
      <c r="U242" t="s">
        <v>839</v>
      </c>
      <c r="V242">
        <v>55200</v>
      </c>
      <c r="W242" t="s">
        <v>47</v>
      </c>
      <c r="X242" t="s">
        <v>680</v>
      </c>
      <c r="Y242" t="s">
        <v>52</v>
      </c>
      <c r="Z242" s="10">
        <f t="shared" si="35"/>
        <v>9</v>
      </c>
      <c r="AA242" s="11">
        <v>-2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33"/>
        <v>0.42</v>
      </c>
      <c r="AG242" s="11">
        <f t="shared" si="30"/>
        <v>7.42</v>
      </c>
      <c r="AH242" s="11">
        <v>0</v>
      </c>
      <c r="AI242" s="11">
        <f t="shared" si="31"/>
        <v>7.42</v>
      </c>
      <c r="AJ242" t="s">
        <v>53</v>
      </c>
    </row>
    <row r="243" spans="1:36" ht="15" customHeight="1" x14ac:dyDescent="0.35">
      <c r="A243">
        <v>7547676</v>
      </c>
      <c r="B243" t="s">
        <v>36</v>
      </c>
      <c r="C243" t="s">
        <v>37</v>
      </c>
      <c r="D243" s="6" t="s">
        <v>36</v>
      </c>
      <c r="E243" t="s">
        <v>840</v>
      </c>
      <c r="F243" t="s">
        <v>39</v>
      </c>
      <c r="G243" t="s">
        <v>40</v>
      </c>
      <c r="H243" t="s">
        <v>841</v>
      </c>
      <c r="I243" t="s">
        <v>42</v>
      </c>
      <c r="J243">
        <v>2</v>
      </c>
      <c r="K243" t="s">
        <v>43</v>
      </c>
      <c r="L243" t="s">
        <v>44</v>
      </c>
      <c r="M243" t="s">
        <v>45</v>
      </c>
      <c r="N243" s="7">
        <v>2</v>
      </c>
      <c r="O243" s="8">
        <v>45558.701874999999</v>
      </c>
      <c r="P243" s="9">
        <v>45559</v>
      </c>
      <c r="Q243" t="s">
        <v>46</v>
      </c>
      <c r="R243" t="s">
        <v>47</v>
      </c>
      <c r="S243" t="s">
        <v>48</v>
      </c>
      <c r="T243" t="s">
        <v>278</v>
      </c>
      <c r="U243" t="s">
        <v>842</v>
      </c>
      <c r="V243">
        <v>27000</v>
      </c>
      <c r="W243" t="s">
        <v>47</v>
      </c>
      <c r="X243" t="s">
        <v>615</v>
      </c>
      <c r="Y243" t="s">
        <v>52</v>
      </c>
      <c r="Z243" s="10">
        <f t="shared" si="35"/>
        <v>9.8000000000000007</v>
      </c>
      <c r="AA243" s="11">
        <v>-2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33"/>
        <v>0.46800000000000003</v>
      </c>
      <c r="AG243" s="11">
        <f t="shared" si="30"/>
        <v>8.2680000000000007</v>
      </c>
      <c r="AH243" s="11">
        <v>0</v>
      </c>
      <c r="AI243" s="11">
        <f t="shared" si="31"/>
        <v>8.2680000000000007</v>
      </c>
      <c r="AJ243" t="s">
        <v>53</v>
      </c>
    </row>
    <row r="244" spans="1:36" ht="15" customHeight="1" x14ac:dyDescent="0.35">
      <c r="A244">
        <v>7547676</v>
      </c>
      <c r="B244" t="s">
        <v>36</v>
      </c>
      <c r="C244" t="s">
        <v>37</v>
      </c>
      <c r="D244" s="6" t="s">
        <v>36</v>
      </c>
      <c r="E244" t="s">
        <v>843</v>
      </c>
      <c r="F244" t="s">
        <v>39</v>
      </c>
      <c r="G244" t="s">
        <v>40</v>
      </c>
      <c r="H244" t="s">
        <v>844</v>
      </c>
      <c r="I244" t="s">
        <v>42</v>
      </c>
      <c r="J244">
        <v>2</v>
      </c>
      <c r="K244" t="s">
        <v>43</v>
      </c>
      <c r="L244" t="s">
        <v>44</v>
      </c>
      <c r="M244" t="s">
        <v>45</v>
      </c>
      <c r="N244" s="7">
        <v>1</v>
      </c>
      <c r="O244" s="8">
        <v>45558.57917824074</v>
      </c>
      <c r="P244" s="9">
        <v>45559</v>
      </c>
      <c r="Q244" t="s">
        <v>46</v>
      </c>
      <c r="R244" t="s">
        <v>47</v>
      </c>
      <c r="S244" t="s">
        <v>48</v>
      </c>
      <c r="T244" t="s">
        <v>75</v>
      </c>
      <c r="U244" t="s">
        <v>845</v>
      </c>
      <c r="V244">
        <v>16250</v>
      </c>
      <c r="W244" t="s">
        <v>47</v>
      </c>
      <c r="X244" t="s">
        <v>188</v>
      </c>
      <c r="Y244" t="s">
        <v>52</v>
      </c>
      <c r="Z244" s="10">
        <f t="shared" si="35"/>
        <v>9</v>
      </c>
      <c r="AA244" s="11">
        <v>-2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33"/>
        <v>0.42</v>
      </c>
      <c r="AG244" s="11">
        <f t="shared" si="30"/>
        <v>7.42</v>
      </c>
      <c r="AH244" s="11">
        <v>0</v>
      </c>
      <c r="AI244" s="11">
        <f t="shared" si="31"/>
        <v>7.42</v>
      </c>
      <c r="AJ244" t="s">
        <v>53</v>
      </c>
    </row>
    <row r="245" spans="1:36" ht="15" customHeight="1" x14ac:dyDescent="0.35">
      <c r="A245">
        <v>7547676</v>
      </c>
      <c r="B245" t="s">
        <v>36</v>
      </c>
      <c r="C245" t="s">
        <v>37</v>
      </c>
      <c r="D245" s="6" t="s">
        <v>36</v>
      </c>
      <c r="E245" t="s">
        <v>846</v>
      </c>
      <c r="F245" t="s">
        <v>39</v>
      </c>
      <c r="G245" t="s">
        <v>40</v>
      </c>
      <c r="H245" t="s">
        <v>847</v>
      </c>
      <c r="I245" t="s">
        <v>42</v>
      </c>
      <c r="J245">
        <v>2</v>
      </c>
      <c r="K245" t="s">
        <v>43</v>
      </c>
      <c r="L245" t="s">
        <v>44</v>
      </c>
      <c r="M245" t="s">
        <v>45</v>
      </c>
      <c r="N245" s="7">
        <v>1</v>
      </c>
      <c r="O245" s="8">
        <v>45558.446481481478</v>
      </c>
      <c r="P245" s="9">
        <v>45559</v>
      </c>
      <c r="Q245" t="s">
        <v>46</v>
      </c>
      <c r="R245" t="s">
        <v>47</v>
      </c>
      <c r="S245" t="s">
        <v>48</v>
      </c>
      <c r="T245" t="s">
        <v>123</v>
      </c>
      <c r="U245" t="s">
        <v>848</v>
      </c>
      <c r="V245">
        <v>48100</v>
      </c>
      <c r="W245" t="s">
        <v>47</v>
      </c>
      <c r="X245" t="s">
        <v>849</v>
      </c>
      <c r="Y245" t="s">
        <v>52</v>
      </c>
      <c r="Z245" s="10">
        <f t="shared" si="35"/>
        <v>9</v>
      </c>
      <c r="AA245" s="11">
        <v>-2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33"/>
        <v>0.42</v>
      </c>
      <c r="AG245" s="11">
        <f t="shared" si="30"/>
        <v>7.42</v>
      </c>
      <c r="AH245" s="11">
        <v>0</v>
      </c>
      <c r="AI245" s="11">
        <f t="shared" si="31"/>
        <v>7.42</v>
      </c>
      <c r="AJ245" t="s">
        <v>53</v>
      </c>
    </row>
    <row r="246" spans="1:36" ht="15" customHeight="1" x14ac:dyDescent="0.35">
      <c r="A246">
        <v>7547676</v>
      </c>
      <c r="B246" t="s">
        <v>36</v>
      </c>
      <c r="C246" t="s">
        <v>37</v>
      </c>
      <c r="D246" s="6" t="s">
        <v>36</v>
      </c>
      <c r="E246" t="s">
        <v>850</v>
      </c>
      <c r="F246" t="s">
        <v>39</v>
      </c>
      <c r="G246" t="s">
        <v>40</v>
      </c>
      <c r="H246" t="s">
        <v>851</v>
      </c>
      <c r="I246" t="s">
        <v>42</v>
      </c>
      <c r="J246">
        <v>2</v>
      </c>
      <c r="K246" t="s">
        <v>43</v>
      </c>
      <c r="L246" t="s">
        <v>44</v>
      </c>
      <c r="M246" t="s">
        <v>45</v>
      </c>
      <c r="N246" s="7">
        <v>1</v>
      </c>
      <c r="O246" s="8">
        <v>45557.583368055559</v>
      </c>
      <c r="P246" s="9">
        <v>45559</v>
      </c>
      <c r="Q246" t="s">
        <v>46</v>
      </c>
      <c r="R246" t="s">
        <v>47</v>
      </c>
      <c r="S246" t="s">
        <v>48</v>
      </c>
      <c r="T246" t="s">
        <v>123</v>
      </c>
      <c r="U246" t="s">
        <v>600</v>
      </c>
      <c r="V246">
        <v>42500</v>
      </c>
      <c r="W246" t="s">
        <v>47</v>
      </c>
      <c r="X246" t="s">
        <v>235</v>
      </c>
      <c r="Y246" t="s">
        <v>52</v>
      </c>
      <c r="Z246" s="10">
        <f t="shared" si="35"/>
        <v>9</v>
      </c>
      <c r="AA246" s="11">
        <v>-2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33"/>
        <v>0.42</v>
      </c>
      <c r="AG246" s="11">
        <f t="shared" si="30"/>
        <v>7.42</v>
      </c>
      <c r="AH246" s="11">
        <v>0</v>
      </c>
      <c r="AI246" s="11">
        <f t="shared" si="31"/>
        <v>7.42</v>
      </c>
      <c r="AJ246" t="s">
        <v>53</v>
      </c>
    </row>
    <row r="247" spans="1:36" ht="15" customHeight="1" x14ac:dyDescent="0.35">
      <c r="A247">
        <v>7547676</v>
      </c>
      <c r="B247" t="s">
        <v>36</v>
      </c>
      <c r="C247" t="s">
        <v>37</v>
      </c>
      <c r="D247" s="6" t="s">
        <v>36</v>
      </c>
      <c r="E247" t="s">
        <v>852</v>
      </c>
      <c r="F247" t="s">
        <v>39</v>
      </c>
      <c r="G247" t="s">
        <v>40</v>
      </c>
      <c r="H247" t="s">
        <v>853</v>
      </c>
      <c r="I247" t="s">
        <v>42</v>
      </c>
      <c r="J247">
        <v>2</v>
      </c>
      <c r="K247" t="s">
        <v>43</v>
      </c>
      <c r="L247" t="s">
        <v>44</v>
      </c>
      <c r="M247" t="s">
        <v>45</v>
      </c>
      <c r="N247" s="7">
        <v>1</v>
      </c>
      <c r="O247" s="8">
        <v>45556.813425925924</v>
      </c>
      <c r="P247" s="9">
        <v>45559</v>
      </c>
      <c r="Q247" t="s">
        <v>46</v>
      </c>
      <c r="R247" t="s">
        <v>47</v>
      </c>
      <c r="S247" t="s">
        <v>48</v>
      </c>
      <c r="T247" t="s">
        <v>123</v>
      </c>
      <c r="U247" t="s">
        <v>854</v>
      </c>
      <c r="V247">
        <v>40000</v>
      </c>
      <c r="W247" t="s">
        <v>47</v>
      </c>
      <c r="X247" t="s">
        <v>855</v>
      </c>
      <c r="Y247" t="s">
        <v>52</v>
      </c>
      <c r="Z247" s="10">
        <f t="shared" si="35"/>
        <v>9</v>
      </c>
      <c r="AA247" s="11">
        <v>-2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33"/>
        <v>0.42</v>
      </c>
      <c r="AG247" s="11">
        <f t="shared" si="30"/>
        <v>7.42</v>
      </c>
      <c r="AH247" s="11">
        <v>0</v>
      </c>
      <c r="AI247" s="11">
        <f t="shared" si="31"/>
        <v>7.42</v>
      </c>
      <c r="AJ247" t="s">
        <v>53</v>
      </c>
    </row>
    <row r="248" spans="1:36" ht="15" customHeight="1" x14ac:dyDescent="0.35">
      <c r="A248">
        <v>7547676</v>
      </c>
      <c r="B248" t="s">
        <v>36</v>
      </c>
      <c r="C248" t="s">
        <v>37</v>
      </c>
      <c r="D248" s="6" t="s">
        <v>36</v>
      </c>
      <c r="E248" t="s">
        <v>856</v>
      </c>
      <c r="F248" t="s">
        <v>39</v>
      </c>
      <c r="G248" t="s">
        <v>40</v>
      </c>
      <c r="H248" t="s">
        <v>857</v>
      </c>
      <c r="I248" t="s">
        <v>42</v>
      </c>
      <c r="J248">
        <v>2</v>
      </c>
      <c r="K248" t="s">
        <v>43</v>
      </c>
      <c r="L248" t="s">
        <v>44</v>
      </c>
      <c r="M248" t="s">
        <v>45</v>
      </c>
      <c r="N248" s="7">
        <v>4</v>
      </c>
      <c r="O248" s="8">
        <v>45558.665034722224</v>
      </c>
      <c r="P248" s="9">
        <v>45559</v>
      </c>
      <c r="Q248" t="s">
        <v>46</v>
      </c>
      <c r="R248" t="s">
        <v>47</v>
      </c>
      <c r="S248" t="s">
        <v>48</v>
      </c>
      <c r="T248" t="s">
        <v>123</v>
      </c>
      <c r="U248" t="s">
        <v>858</v>
      </c>
      <c r="V248">
        <v>47150</v>
      </c>
      <c r="W248" t="s">
        <v>47</v>
      </c>
      <c r="X248" t="s">
        <v>859</v>
      </c>
      <c r="Y248" t="s">
        <v>52</v>
      </c>
      <c r="Z248" s="10">
        <f t="shared" si="35"/>
        <v>11.4</v>
      </c>
      <c r="AA248" s="11">
        <v>-2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33"/>
        <v>0.56399999999999995</v>
      </c>
      <c r="AG248" s="11">
        <f t="shared" si="30"/>
        <v>9.9640000000000004</v>
      </c>
      <c r="AH248" s="11">
        <v>0</v>
      </c>
      <c r="AI248" s="11">
        <f t="shared" si="31"/>
        <v>9.9640000000000004</v>
      </c>
      <c r="AJ248" t="s">
        <v>53</v>
      </c>
    </row>
    <row r="249" spans="1:36" ht="15" customHeight="1" x14ac:dyDescent="0.35">
      <c r="A249">
        <v>7547676</v>
      </c>
      <c r="B249" t="s">
        <v>36</v>
      </c>
      <c r="C249" t="s">
        <v>37</v>
      </c>
      <c r="D249" s="6" t="s">
        <v>36</v>
      </c>
      <c r="E249" t="s">
        <v>860</v>
      </c>
      <c r="F249" t="s">
        <v>39</v>
      </c>
      <c r="G249" t="s">
        <v>40</v>
      </c>
      <c r="H249" t="s">
        <v>861</v>
      </c>
      <c r="I249" t="s">
        <v>42</v>
      </c>
      <c r="J249">
        <v>2</v>
      </c>
      <c r="K249" t="s">
        <v>43</v>
      </c>
      <c r="L249" t="s">
        <v>44</v>
      </c>
      <c r="M249" t="s">
        <v>45</v>
      </c>
      <c r="N249" s="7">
        <v>1</v>
      </c>
      <c r="O249" s="8">
        <v>45557.671249999999</v>
      </c>
      <c r="P249" s="9">
        <v>45559</v>
      </c>
      <c r="Q249" t="s">
        <v>46</v>
      </c>
      <c r="R249" t="s">
        <v>47</v>
      </c>
      <c r="S249" t="s">
        <v>48</v>
      </c>
      <c r="T249" t="s">
        <v>128</v>
      </c>
      <c r="U249" t="s">
        <v>862</v>
      </c>
      <c r="V249">
        <v>59100</v>
      </c>
      <c r="W249" t="s">
        <v>47</v>
      </c>
      <c r="X249" t="s">
        <v>863</v>
      </c>
      <c r="Y249" t="s">
        <v>52</v>
      </c>
      <c r="Z249" s="10">
        <f t="shared" si="35"/>
        <v>9</v>
      </c>
      <c r="AA249" s="11">
        <v>-2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33"/>
        <v>0.42</v>
      </c>
      <c r="AG249" s="11">
        <f t="shared" si="30"/>
        <v>7.42</v>
      </c>
      <c r="AH249" s="11">
        <v>0</v>
      </c>
      <c r="AI249" s="11">
        <f t="shared" si="31"/>
        <v>7.42</v>
      </c>
      <c r="AJ249" t="s">
        <v>53</v>
      </c>
    </row>
    <row r="250" spans="1:36" ht="15" customHeight="1" x14ac:dyDescent="0.35">
      <c r="A250">
        <v>7547676</v>
      </c>
      <c r="B250" t="s">
        <v>36</v>
      </c>
      <c r="C250" t="s">
        <v>37</v>
      </c>
      <c r="D250" s="6" t="s">
        <v>36</v>
      </c>
      <c r="E250" t="s">
        <v>864</v>
      </c>
      <c r="F250" t="s">
        <v>39</v>
      </c>
      <c r="G250" t="s">
        <v>40</v>
      </c>
      <c r="H250" t="s">
        <v>865</v>
      </c>
      <c r="I250" t="s">
        <v>42</v>
      </c>
      <c r="J250">
        <v>2</v>
      </c>
      <c r="K250" t="s">
        <v>43</v>
      </c>
      <c r="L250" t="s">
        <v>44</v>
      </c>
      <c r="M250" t="s">
        <v>45</v>
      </c>
      <c r="N250" s="7">
        <v>1</v>
      </c>
      <c r="O250" s="8">
        <v>45557.671249999999</v>
      </c>
      <c r="P250" s="9">
        <v>45559</v>
      </c>
      <c r="Q250" t="s">
        <v>46</v>
      </c>
      <c r="R250" t="s">
        <v>47</v>
      </c>
      <c r="S250" t="s">
        <v>48</v>
      </c>
      <c r="T250" t="s">
        <v>128</v>
      </c>
      <c r="U250" t="s">
        <v>866</v>
      </c>
      <c r="V250">
        <v>43200</v>
      </c>
      <c r="W250" t="s">
        <v>47</v>
      </c>
      <c r="X250" t="s">
        <v>863</v>
      </c>
      <c r="Y250" t="s">
        <v>52</v>
      </c>
      <c r="Z250" s="10">
        <f t="shared" si="35"/>
        <v>9</v>
      </c>
      <c r="AA250" s="11">
        <v>-2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33"/>
        <v>0.42</v>
      </c>
      <c r="AG250" s="11">
        <f t="shared" si="30"/>
        <v>7.42</v>
      </c>
      <c r="AH250" s="11">
        <v>0</v>
      </c>
      <c r="AI250" s="11">
        <f t="shared" si="31"/>
        <v>7.42</v>
      </c>
      <c r="AJ250" t="s">
        <v>53</v>
      </c>
    </row>
    <row r="251" spans="1:36" ht="15" customHeight="1" x14ac:dyDescent="0.35">
      <c r="A251">
        <v>7547676</v>
      </c>
      <c r="B251" t="s">
        <v>36</v>
      </c>
      <c r="C251" t="s">
        <v>37</v>
      </c>
      <c r="D251" s="6" t="s">
        <v>36</v>
      </c>
      <c r="E251" t="s">
        <v>867</v>
      </c>
      <c r="F251" t="s">
        <v>39</v>
      </c>
      <c r="G251" t="s">
        <v>40</v>
      </c>
      <c r="H251" t="s">
        <v>868</v>
      </c>
      <c r="I251" t="s">
        <v>42</v>
      </c>
      <c r="J251">
        <v>2</v>
      </c>
      <c r="K251" t="s">
        <v>43</v>
      </c>
      <c r="L251" t="s">
        <v>44</v>
      </c>
      <c r="M251" t="s">
        <v>45</v>
      </c>
      <c r="N251" s="7">
        <v>1</v>
      </c>
      <c r="O251" s="8">
        <v>45558.811909722222</v>
      </c>
      <c r="P251" s="9">
        <v>45560</v>
      </c>
      <c r="Q251" t="s">
        <v>46</v>
      </c>
      <c r="R251" t="s">
        <v>47</v>
      </c>
      <c r="S251" t="s">
        <v>48</v>
      </c>
      <c r="T251" t="s">
        <v>61</v>
      </c>
      <c r="U251" t="s">
        <v>869</v>
      </c>
      <c r="V251">
        <v>21700</v>
      </c>
      <c r="W251" t="s">
        <v>47</v>
      </c>
      <c r="X251" t="s">
        <v>63</v>
      </c>
      <c r="Y251" t="s">
        <v>52</v>
      </c>
      <c r="Z251" s="10">
        <f>IF(N251&lt;=1,9,9+0.8*ROUNDUP(N251-1,0))</f>
        <v>9</v>
      </c>
      <c r="AA251" s="11">
        <v>-2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33"/>
        <v>0.42</v>
      </c>
      <c r="AG251" s="11">
        <f t="shared" si="30"/>
        <v>7.42</v>
      </c>
      <c r="AH251" s="11">
        <v>0</v>
      </c>
      <c r="AI251" s="11">
        <f t="shared" si="31"/>
        <v>7.42</v>
      </c>
      <c r="AJ251" t="s">
        <v>53</v>
      </c>
    </row>
    <row r="252" spans="1:36" ht="15" customHeight="1" x14ac:dyDescent="0.35">
      <c r="A252">
        <v>7547676</v>
      </c>
      <c r="B252" t="s">
        <v>36</v>
      </c>
      <c r="C252" t="s">
        <v>37</v>
      </c>
      <c r="D252" s="6" t="s">
        <v>36</v>
      </c>
      <c r="E252" t="s">
        <v>870</v>
      </c>
      <c r="F252" t="s">
        <v>39</v>
      </c>
      <c r="G252" t="s">
        <v>40</v>
      </c>
      <c r="H252" t="s">
        <v>871</v>
      </c>
      <c r="I252" t="s">
        <v>42</v>
      </c>
      <c r="J252">
        <v>2</v>
      </c>
      <c r="K252" t="s">
        <v>43</v>
      </c>
      <c r="L252" t="s">
        <v>44</v>
      </c>
      <c r="M252" t="s">
        <v>45</v>
      </c>
      <c r="N252" s="7">
        <v>1</v>
      </c>
      <c r="O252" s="8">
        <v>45556.82234953704</v>
      </c>
      <c r="P252" s="9">
        <v>45559</v>
      </c>
      <c r="Q252" t="s">
        <v>46</v>
      </c>
      <c r="R252" t="s">
        <v>47</v>
      </c>
      <c r="S252" t="s">
        <v>48</v>
      </c>
      <c r="T252" t="s">
        <v>128</v>
      </c>
      <c r="U252" t="s">
        <v>872</v>
      </c>
      <c r="V252">
        <v>59200</v>
      </c>
      <c r="W252" t="s">
        <v>47</v>
      </c>
      <c r="X252" t="s">
        <v>51</v>
      </c>
      <c r="Y252" t="s">
        <v>52</v>
      </c>
      <c r="Z252" s="10">
        <f t="shared" ref="Z252:Z253" si="36">IF(N252&lt;=1,9,9+0.8*ROUNDUP(N252-1,0))</f>
        <v>9</v>
      </c>
      <c r="AA252" s="11">
        <v>-2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33"/>
        <v>0.42</v>
      </c>
      <c r="AG252" s="11">
        <f t="shared" si="30"/>
        <v>7.42</v>
      </c>
      <c r="AH252" s="11">
        <v>0</v>
      </c>
      <c r="AI252" s="11">
        <f t="shared" si="31"/>
        <v>7.42</v>
      </c>
      <c r="AJ252" t="s">
        <v>53</v>
      </c>
    </row>
    <row r="253" spans="1:36" ht="15" customHeight="1" x14ac:dyDescent="0.35">
      <c r="A253">
        <v>7547676</v>
      </c>
      <c r="B253" t="s">
        <v>36</v>
      </c>
      <c r="C253" t="s">
        <v>37</v>
      </c>
      <c r="D253" s="6" t="s">
        <v>36</v>
      </c>
      <c r="E253" t="s">
        <v>873</v>
      </c>
      <c r="F253" t="s">
        <v>39</v>
      </c>
      <c r="G253" t="s">
        <v>40</v>
      </c>
      <c r="H253" t="s">
        <v>874</v>
      </c>
      <c r="I253" t="s">
        <v>42</v>
      </c>
      <c r="J253">
        <v>2</v>
      </c>
      <c r="K253" t="s">
        <v>43</v>
      </c>
      <c r="L253" t="s">
        <v>44</v>
      </c>
      <c r="M253" t="s">
        <v>45</v>
      </c>
      <c r="N253" s="7">
        <v>1</v>
      </c>
      <c r="O253" s="8">
        <v>45557.4606712963</v>
      </c>
      <c r="P253" s="9">
        <v>45560</v>
      </c>
      <c r="Q253" t="s">
        <v>46</v>
      </c>
      <c r="R253" t="s">
        <v>47</v>
      </c>
      <c r="S253" t="s">
        <v>48</v>
      </c>
      <c r="T253" t="s">
        <v>136</v>
      </c>
      <c r="U253" t="s">
        <v>875</v>
      </c>
      <c r="V253">
        <v>34300</v>
      </c>
      <c r="W253" t="s">
        <v>47</v>
      </c>
      <c r="X253" t="s">
        <v>51</v>
      </c>
      <c r="Y253" t="s">
        <v>52</v>
      </c>
      <c r="Z253" s="10">
        <f t="shared" si="36"/>
        <v>9</v>
      </c>
      <c r="AA253" s="11">
        <v>-2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33"/>
        <v>0.42</v>
      </c>
      <c r="AG253" s="11">
        <f t="shared" si="30"/>
        <v>7.42</v>
      </c>
      <c r="AH253" s="11">
        <v>0</v>
      </c>
      <c r="AI253" s="11">
        <f t="shared" si="31"/>
        <v>7.42</v>
      </c>
      <c r="AJ253" t="s">
        <v>53</v>
      </c>
    </row>
    <row r="254" spans="1:36" ht="15" customHeight="1" x14ac:dyDescent="0.35">
      <c r="A254">
        <v>7547676</v>
      </c>
      <c r="B254" t="s">
        <v>36</v>
      </c>
      <c r="C254" t="s">
        <v>37</v>
      </c>
      <c r="D254" s="6" t="s">
        <v>36</v>
      </c>
      <c r="E254" t="s">
        <v>876</v>
      </c>
      <c r="F254" t="s">
        <v>39</v>
      </c>
      <c r="G254" t="s">
        <v>40</v>
      </c>
      <c r="H254" t="s">
        <v>877</v>
      </c>
      <c r="I254" t="s">
        <v>42</v>
      </c>
      <c r="J254">
        <v>2</v>
      </c>
      <c r="K254" t="s">
        <v>43</v>
      </c>
      <c r="L254" t="s">
        <v>44</v>
      </c>
      <c r="M254" t="s">
        <v>45</v>
      </c>
      <c r="N254" s="7">
        <v>1</v>
      </c>
      <c r="O254" s="8">
        <v>45558.437986111108</v>
      </c>
      <c r="P254" s="9">
        <v>45560</v>
      </c>
      <c r="Q254" t="s">
        <v>46</v>
      </c>
      <c r="R254" t="s">
        <v>47</v>
      </c>
      <c r="S254" t="s">
        <v>48</v>
      </c>
      <c r="T254" t="s">
        <v>123</v>
      </c>
      <c r="U254" t="s">
        <v>878</v>
      </c>
      <c r="V254">
        <v>45600</v>
      </c>
      <c r="W254" t="s">
        <v>47</v>
      </c>
      <c r="X254" t="s">
        <v>51</v>
      </c>
      <c r="Y254" t="s">
        <v>52</v>
      </c>
      <c r="Z254" s="10">
        <f>IF(N254&lt;=1,9,9+0.8*ROUNDUP(N254-1,0))</f>
        <v>9</v>
      </c>
      <c r="AA254" s="11">
        <v>-2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33"/>
        <v>0.42</v>
      </c>
      <c r="AG254" s="11">
        <f t="shared" si="30"/>
        <v>7.42</v>
      </c>
      <c r="AH254" s="11">
        <v>0</v>
      </c>
      <c r="AI254" s="11">
        <f t="shared" si="31"/>
        <v>7.42</v>
      </c>
      <c r="AJ254" t="s">
        <v>53</v>
      </c>
    </row>
    <row r="255" spans="1:36" ht="15" customHeight="1" x14ac:dyDescent="0.35">
      <c r="A255">
        <v>7547676</v>
      </c>
      <c r="B255" t="s">
        <v>36</v>
      </c>
      <c r="C255" t="s">
        <v>37</v>
      </c>
      <c r="D255" s="6" t="s">
        <v>36</v>
      </c>
      <c r="E255" t="s">
        <v>879</v>
      </c>
      <c r="F255" t="s">
        <v>39</v>
      </c>
      <c r="G255" t="s">
        <v>40</v>
      </c>
      <c r="H255" t="s">
        <v>147</v>
      </c>
      <c r="I255" t="s">
        <v>42</v>
      </c>
      <c r="J255">
        <v>2</v>
      </c>
      <c r="K255" t="s">
        <v>43</v>
      </c>
      <c r="L255" t="s">
        <v>44</v>
      </c>
      <c r="M255" t="s">
        <v>45</v>
      </c>
      <c r="N255" s="7">
        <v>7</v>
      </c>
      <c r="O255" s="8">
        <v>45559.644467592596</v>
      </c>
      <c r="P255" s="9">
        <v>45560</v>
      </c>
      <c r="Q255" t="s">
        <v>46</v>
      </c>
      <c r="R255" t="s">
        <v>47</v>
      </c>
      <c r="S255" t="s">
        <v>48</v>
      </c>
      <c r="T255" t="s">
        <v>123</v>
      </c>
      <c r="U255" t="s">
        <v>148</v>
      </c>
      <c r="V255">
        <v>40000</v>
      </c>
      <c r="W255" t="s">
        <v>47</v>
      </c>
      <c r="X255" t="s">
        <v>149</v>
      </c>
      <c r="Y255" t="s">
        <v>52</v>
      </c>
      <c r="Z255" s="10">
        <f>IF(N255&lt;=1,9,9+0.8*ROUNDUP(N255-1,0))</f>
        <v>13.8</v>
      </c>
      <c r="AA255" s="11">
        <v>-2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33"/>
        <v>0.70799999999999996</v>
      </c>
      <c r="AG255" s="11">
        <f t="shared" si="30"/>
        <v>12.508000000000001</v>
      </c>
      <c r="AH255" s="11">
        <v>0</v>
      </c>
      <c r="AI255" s="11">
        <f t="shared" si="31"/>
        <v>12.508000000000001</v>
      </c>
      <c r="AJ255" t="s">
        <v>53</v>
      </c>
    </row>
    <row r="256" spans="1:36" ht="15" customHeight="1" x14ac:dyDescent="0.35">
      <c r="A256">
        <v>7547676</v>
      </c>
      <c r="B256" t="s">
        <v>36</v>
      </c>
      <c r="C256" t="s">
        <v>37</v>
      </c>
      <c r="D256" s="6" t="s">
        <v>36</v>
      </c>
      <c r="E256" t="s">
        <v>880</v>
      </c>
      <c r="F256" t="s">
        <v>39</v>
      </c>
      <c r="G256" t="s">
        <v>40</v>
      </c>
      <c r="H256" t="s">
        <v>881</v>
      </c>
      <c r="I256" t="s">
        <v>42</v>
      </c>
      <c r="J256">
        <v>2</v>
      </c>
      <c r="K256" t="s">
        <v>43</v>
      </c>
      <c r="L256" t="s">
        <v>44</v>
      </c>
      <c r="M256" t="s">
        <v>45</v>
      </c>
      <c r="N256" s="7">
        <v>1</v>
      </c>
      <c r="O256" s="8">
        <v>45557.593425925923</v>
      </c>
      <c r="P256" s="9">
        <v>45560</v>
      </c>
      <c r="Q256" t="s">
        <v>46</v>
      </c>
      <c r="R256" t="s">
        <v>47</v>
      </c>
      <c r="S256" t="s">
        <v>48</v>
      </c>
      <c r="T256" t="s">
        <v>66</v>
      </c>
      <c r="U256" t="s">
        <v>882</v>
      </c>
      <c r="V256">
        <v>84800</v>
      </c>
      <c r="W256" t="s">
        <v>47</v>
      </c>
      <c r="X256" t="s">
        <v>883</v>
      </c>
      <c r="Y256" t="s">
        <v>52</v>
      </c>
      <c r="Z256" s="10">
        <f t="shared" ref="Z256:Z269" si="37">IF(N256&lt;=1,9,9+0.8*ROUNDUP(N256-1,0))</f>
        <v>9</v>
      </c>
      <c r="AA256" s="11">
        <v>-2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33"/>
        <v>0.42</v>
      </c>
      <c r="AG256" s="11">
        <f t="shared" si="30"/>
        <v>7.42</v>
      </c>
      <c r="AH256" s="11">
        <v>0</v>
      </c>
      <c r="AI256" s="11">
        <f t="shared" si="31"/>
        <v>7.42</v>
      </c>
      <c r="AJ256" t="s">
        <v>53</v>
      </c>
    </row>
    <row r="257" spans="1:36" ht="15" customHeight="1" x14ac:dyDescent="0.35">
      <c r="A257">
        <v>7547676</v>
      </c>
      <c r="B257" t="s">
        <v>36</v>
      </c>
      <c r="C257" t="s">
        <v>37</v>
      </c>
      <c r="D257" s="6" t="s">
        <v>36</v>
      </c>
      <c r="E257" t="s">
        <v>884</v>
      </c>
      <c r="F257" t="s">
        <v>39</v>
      </c>
      <c r="G257" t="s">
        <v>40</v>
      </c>
      <c r="H257" t="s">
        <v>885</v>
      </c>
      <c r="I257" t="s">
        <v>42</v>
      </c>
      <c r="J257">
        <v>2</v>
      </c>
      <c r="K257" t="s">
        <v>43</v>
      </c>
      <c r="L257" t="s">
        <v>44</v>
      </c>
      <c r="M257" t="s">
        <v>45</v>
      </c>
      <c r="N257" s="7">
        <v>1</v>
      </c>
      <c r="O257" s="8">
        <v>45556.807395833333</v>
      </c>
      <c r="P257" s="9">
        <v>45560</v>
      </c>
      <c r="Q257" t="s">
        <v>46</v>
      </c>
      <c r="R257" t="s">
        <v>47</v>
      </c>
      <c r="S257" t="s">
        <v>48</v>
      </c>
      <c r="T257" t="s">
        <v>66</v>
      </c>
      <c r="U257" t="s">
        <v>886</v>
      </c>
      <c r="V257">
        <v>80350</v>
      </c>
      <c r="W257" t="s">
        <v>47</v>
      </c>
      <c r="X257" t="s">
        <v>887</v>
      </c>
      <c r="Y257" t="s">
        <v>52</v>
      </c>
      <c r="Z257" s="10">
        <f t="shared" si="37"/>
        <v>9</v>
      </c>
      <c r="AA257" s="11">
        <v>-2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33"/>
        <v>0.42</v>
      </c>
      <c r="AG257" s="11">
        <f t="shared" si="30"/>
        <v>7.42</v>
      </c>
      <c r="AH257" s="11">
        <v>0</v>
      </c>
      <c r="AI257" s="11">
        <f t="shared" si="31"/>
        <v>7.42</v>
      </c>
      <c r="AJ257" t="s">
        <v>53</v>
      </c>
    </row>
    <row r="258" spans="1:36" ht="15" customHeight="1" x14ac:dyDescent="0.35">
      <c r="A258">
        <v>7547676</v>
      </c>
      <c r="B258" t="s">
        <v>36</v>
      </c>
      <c r="C258" t="s">
        <v>37</v>
      </c>
      <c r="D258" s="6" t="s">
        <v>36</v>
      </c>
      <c r="E258" t="s">
        <v>888</v>
      </c>
      <c r="F258" t="s">
        <v>39</v>
      </c>
      <c r="G258" t="s">
        <v>40</v>
      </c>
      <c r="H258" t="s">
        <v>889</v>
      </c>
      <c r="I258" t="s">
        <v>42</v>
      </c>
      <c r="J258">
        <v>2</v>
      </c>
      <c r="K258" t="s">
        <v>43</v>
      </c>
      <c r="L258" t="s">
        <v>44</v>
      </c>
      <c r="M258" t="s">
        <v>45</v>
      </c>
      <c r="N258" s="7">
        <v>1</v>
      </c>
      <c r="O258" s="8">
        <v>45556.807395833333</v>
      </c>
      <c r="P258" s="9">
        <v>45560</v>
      </c>
      <c r="Q258" t="s">
        <v>46</v>
      </c>
      <c r="R258" t="s">
        <v>47</v>
      </c>
      <c r="S258" t="s">
        <v>48</v>
      </c>
      <c r="T258" t="s">
        <v>56</v>
      </c>
      <c r="U258" t="s">
        <v>890</v>
      </c>
      <c r="V258">
        <v>8000</v>
      </c>
      <c r="W258" t="s">
        <v>47</v>
      </c>
      <c r="X258" t="s">
        <v>891</v>
      </c>
      <c r="Y258" t="s">
        <v>52</v>
      </c>
      <c r="Z258" s="10">
        <f t="shared" si="37"/>
        <v>9</v>
      </c>
      <c r="AA258" s="11">
        <v>-2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si="33"/>
        <v>0.42</v>
      </c>
      <c r="AG258" s="11">
        <f t="shared" ref="AG258:AG321" si="38">Z258+AA258+AC258+AE258+AF258</f>
        <v>7.42</v>
      </c>
      <c r="AH258" s="11">
        <v>0</v>
      </c>
      <c r="AI258" s="11">
        <f t="shared" ref="AI258:AI321" si="39">AG258+AH258</f>
        <v>7.42</v>
      </c>
      <c r="AJ258" t="s">
        <v>53</v>
      </c>
    </row>
    <row r="259" spans="1:36" ht="15" customHeight="1" x14ac:dyDescent="0.35">
      <c r="A259">
        <v>7547676</v>
      </c>
      <c r="B259" t="s">
        <v>36</v>
      </c>
      <c r="C259" t="s">
        <v>37</v>
      </c>
      <c r="D259" s="6" t="s">
        <v>36</v>
      </c>
      <c r="E259" t="s">
        <v>892</v>
      </c>
      <c r="F259" t="s">
        <v>39</v>
      </c>
      <c r="G259" t="s">
        <v>40</v>
      </c>
      <c r="H259" t="s">
        <v>893</v>
      </c>
      <c r="I259" t="s">
        <v>42</v>
      </c>
      <c r="J259">
        <v>2</v>
      </c>
      <c r="K259" t="s">
        <v>43</v>
      </c>
      <c r="L259" t="s">
        <v>44</v>
      </c>
      <c r="M259" t="s">
        <v>45</v>
      </c>
      <c r="N259" s="7">
        <v>1</v>
      </c>
      <c r="O259" s="8">
        <v>45559.617118055554</v>
      </c>
      <c r="P259" s="9">
        <v>45560</v>
      </c>
      <c r="Q259" t="s">
        <v>46</v>
      </c>
      <c r="R259" t="s">
        <v>47</v>
      </c>
      <c r="S259" t="s">
        <v>48</v>
      </c>
      <c r="T259" t="s">
        <v>49</v>
      </c>
      <c r="U259" t="s">
        <v>894</v>
      </c>
      <c r="V259">
        <v>63000</v>
      </c>
      <c r="W259" t="s">
        <v>47</v>
      </c>
      <c r="X259" t="s">
        <v>162</v>
      </c>
      <c r="Y259" t="s">
        <v>52</v>
      </c>
      <c r="Z259" s="10">
        <f t="shared" si="37"/>
        <v>9</v>
      </c>
      <c r="AA259" s="11">
        <v>-2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33"/>
        <v>0.42</v>
      </c>
      <c r="AG259" s="11">
        <f t="shared" si="38"/>
        <v>7.42</v>
      </c>
      <c r="AH259" s="11">
        <v>0</v>
      </c>
      <c r="AI259" s="11">
        <f t="shared" si="39"/>
        <v>7.42</v>
      </c>
      <c r="AJ259" t="s">
        <v>53</v>
      </c>
    </row>
    <row r="260" spans="1:36" ht="15" customHeight="1" x14ac:dyDescent="0.35">
      <c r="A260">
        <v>7547676</v>
      </c>
      <c r="B260" t="s">
        <v>36</v>
      </c>
      <c r="C260" t="s">
        <v>37</v>
      </c>
      <c r="D260" s="6" t="s">
        <v>36</v>
      </c>
      <c r="E260" t="s">
        <v>895</v>
      </c>
      <c r="F260" t="s">
        <v>39</v>
      </c>
      <c r="G260" t="s">
        <v>40</v>
      </c>
      <c r="H260" t="s">
        <v>896</v>
      </c>
      <c r="I260" t="s">
        <v>42</v>
      </c>
      <c r="J260">
        <v>2</v>
      </c>
      <c r="K260" t="s">
        <v>43</v>
      </c>
      <c r="L260" t="s">
        <v>44</v>
      </c>
      <c r="M260" t="s">
        <v>45</v>
      </c>
      <c r="N260" s="7">
        <v>1</v>
      </c>
      <c r="O260" s="8">
        <v>45558.787951388891</v>
      </c>
      <c r="P260" s="9">
        <v>45560</v>
      </c>
      <c r="Q260" t="s">
        <v>46</v>
      </c>
      <c r="R260" t="s">
        <v>47</v>
      </c>
      <c r="S260" t="s">
        <v>48</v>
      </c>
      <c r="T260" t="s">
        <v>210</v>
      </c>
      <c r="U260" t="s">
        <v>897</v>
      </c>
      <c r="V260">
        <v>73000</v>
      </c>
      <c r="W260" t="s">
        <v>47</v>
      </c>
      <c r="X260" t="s">
        <v>435</v>
      </c>
      <c r="Y260" t="s">
        <v>52</v>
      </c>
      <c r="Z260" s="10">
        <f t="shared" si="37"/>
        <v>9</v>
      </c>
      <c r="AA260" s="11">
        <v>-2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33"/>
        <v>0.42</v>
      </c>
      <c r="AG260" s="11">
        <f t="shared" si="38"/>
        <v>7.42</v>
      </c>
      <c r="AH260" s="11">
        <v>0</v>
      </c>
      <c r="AI260" s="11">
        <f t="shared" si="39"/>
        <v>7.42</v>
      </c>
      <c r="AJ260" t="s">
        <v>53</v>
      </c>
    </row>
    <row r="261" spans="1:36" ht="15" customHeight="1" x14ac:dyDescent="0.35">
      <c r="A261">
        <v>7547676</v>
      </c>
      <c r="B261" t="s">
        <v>36</v>
      </c>
      <c r="C261" t="s">
        <v>37</v>
      </c>
      <c r="D261" s="6" t="s">
        <v>36</v>
      </c>
      <c r="E261" t="s">
        <v>898</v>
      </c>
      <c r="F261" t="s">
        <v>39</v>
      </c>
      <c r="G261" t="s">
        <v>40</v>
      </c>
      <c r="H261" t="s">
        <v>756</v>
      </c>
      <c r="I261" t="s">
        <v>42</v>
      </c>
      <c r="J261">
        <v>2</v>
      </c>
      <c r="K261" t="s">
        <v>43</v>
      </c>
      <c r="L261" t="s">
        <v>44</v>
      </c>
      <c r="M261" t="s">
        <v>45</v>
      </c>
      <c r="N261" s="7">
        <v>7</v>
      </c>
      <c r="O261" s="8">
        <v>45558.432152777779</v>
      </c>
      <c r="P261" s="9">
        <v>45560</v>
      </c>
      <c r="Q261" t="s">
        <v>46</v>
      </c>
      <c r="R261" t="s">
        <v>47</v>
      </c>
      <c r="S261" t="s">
        <v>48</v>
      </c>
      <c r="T261" t="s">
        <v>80</v>
      </c>
      <c r="U261" t="s">
        <v>757</v>
      </c>
      <c r="V261">
        <v>11600</v>
      </c>
      <c r="W261" t="s">
        <v>47</v>
      </c>
      <c r="X261" t="s">
        <v>51</v>
      </c>
      <c r="Y261" t="s">
        <v>52</v>
      </c>
      <c r="Z261" s="10">
        <f t="shared" si="37"/>
        <v>13.8</v>
      </c>
      <c r="AA261" s="11">
        <v>-2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33"/>
        <v>0.70799999999999996</v>
      </c>
      <c r="AG261" s="11">
        <f t="shared" si="38"/>
        <v>12.508000000000001</v>
      </c>
      <c r="AH261" s="11">
        <v>0</v>
      </c>
      <c r="AI261" s="11">
        <f t="shared" si="39"/>
        <v>12.508000000000001</v>
      </c>
      <c r="AJ261" t="s">
        <v>53</v>
      </c>
    </row>
    <row r="262" spans="1:36" ht="15" customHeight="1" x14ac:dyDescent="0.35">
      <c r="A262">
        <v>7547676</v>
      </c>
      <c r="B262" t="s">
        <v>36</v>
      </c>
      <c r="C262" t="s">
        <v>37</v>
      </c>
      <c r="D262" s="6" t="s">
        <v>36</v>
      </c>
      <c r="E262" t="s">
        <v>899</v>
      </c>
      <c r="F262" t="s">
        <v>39</v>
      </c>
      <c r="G262" t="s">
        <v>40</v>
      </c>
      <c r="H262" t="s">
        <v>900</v>
      </c>
      <c r="I262" t="s">
        <v>42</v>
      </c>
      <c r="J262">
        <v>2</v>
      </c>
      <c r="K262" t="s">
        <v>43</v>
      </c>
      <c r="L262" t="s">
        <v>44</v>
      </c>
      <c r="M262" t="s">
        <v>45</v>
      </c>
      <c r="N262" s="7">
        <v>1</v>
      </c>
      <c r="O262" s="8">
        <v>45558.446493055555</v>
      </c>
      <c r="P262" s="9">
        <v>45560</v>
      </c>
      <c r="Q262" t="s">
        <v>46</v>
      </c>
      <c r="R262" t="s">
        <v>47</v>
      </c>
      <c r="S262" t="s">
        <v>48</v>
      </c>
      <c r="T262" t="s">
        <v>66</v>
      </c>
      <c r="U262" t="s">
        <v>901</v>
      </c>
      <c r="V262">
        <v>81900</v>
      </c>
      <c r="W262" t="s">
        <v>47</v>
      </c>
      <c r="X262" t="s">
        <v>577</v>
      </c>
      <c r="Y262" t="s">
        <v>52</v>
      </c>
      <c r="Z262" s="10">
        <f t="shared" si="37"/>
        <v>9</v>
      </c>
      <c r="AA262" s="11">
        <v>-2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33"/>
        <v>0.42</v>
      </c>
      <c r="AG262" s="11">
        <f t="shared" si="38"/>
        <v>7.42</v>
      </c>
      <c r="AH262" s="11">
        <v>0</v>
      </c>
      <c r="AI262" s="11">
        <f t="shared" si="39"/>
        <v>7.42</v>
      </c>
      <c r="AJ262" t="s">
        <v>53</v>
      </c>
    </row>
    <row r="263" spans="1:36" ht="15" customHeight="1" x14ac:dyDescent="0.35">
      <c r="A263">
        <v>7547676</v>
      </c>
      <c r="B263" t="s">
        <v>36</v>
      </c>
      <c r="C263" t="s">
        <v>37</v>
      </c>
      <c r="D263" s="6" t="s">
        <v>36</v>
      </c>
      <c r="E263" t="s">
        <v>902</v>
      </c>
      <c r="F263" t="s">
        <v>39</v>
      </c>
      <c r="G263" t="s">
        <v>40</v>
      </c>
      <c r="H263" t="s">
        <v>903</v>
      </c>
      <c r="I263" t="s">
        <v>42</v>
      </c>
      <c r="J263">
        <v>2</v>
      </c>
      <c r="K263" t="s">
        <v>43</v>
      </c>
      <c r="L263" t="s">
        <v>44</v>
      </c>
      <c r="M263" t="s">
        <v>45</v>
      </c>
      <c r="N263" s="7">
        <v>1</v>
      </c>
      <c r="O263" s="8">
        <v>45556.82234953704</v>
      </c>
      <c r="P263" s="9">
        <v>45560</v>
      </c>
      <c r="Q263" t="s">
        <v>46</v>
      </c>
      <c r="R263" t="s">
        <v>47</v>
      </c>
      <c r="S263" t="s">
        <v>48</v>
      </c>
      <c r="T263" t="s">
        <v>56</v>
      </c>
      <c r="U263" t="s">
        <v>904</v>
      </c>
      <c r="V263">
        <v>6800</v>
      </c>
      <c r="W263" t="s">
        <v>47</v>
      </c>
      <c r="X263" t="s">
        <v>905</v>
      </c>
      <c r="Y263" t="s">
        <v>52</v>
      </c>
      <c r="Z263" s="10">
        <f t="shared" si="37"/>
        <v>9</v>
      </c>
      <c r="AA263" s="11">
        <v>-2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33"/>
        <v>0.42</v>
      </c>
      <c r="AG263" s="11">
        <f t="shared" si="38"/>
        <v>7.42</v>
      </c>
      <c r="AH263" s="11">
        <v>0</v>
      </c>
      <c r="AI263" s="11">
        <f t="shared" si="39"/>
        <v>7.42</v>
      </c>
      <c r="AJ263" t="s">
        <v>53</v>
      </c>
    </row>
    <row r="264" spans="1:36" ht="15" customHeight="1" x14ac:dyDescent="0.35">
      <c r="A264">
        <v>7547676</v>
      </c>
      <c r="B264" t="s">
        <v>36</v>
      </c>
      <c r="C264" t="s">
        <v>37</v>
      </c>
      <c r="D264" s="6" t="s">
        <v>36</v>
      </c>
      <c r="E264" t="s">
        <v>906</v>
      </c>
      <c r="F264" t="s">
        <v>39</v>
      </c>
      <c r="G264" t="s">
        <v>40</v>
      </c>
      <c r="H264" t="s">
        <v>907</v>
      </c>
      <c r="I264" t="s">
        <v>42</v>
      </c>
      <c r="J264">
        <v>2</v>
      </c>
      <c r="K264" t="s">
        <v>43</v>
      </c>
      <c r="L264" t="s">
        <v>44</v>
      </c>
      <c r="M264" t="s">
        <v>45</v>
      </c>
      <c r="N264" s="7">
        <v>1</v>
      </c>
      <c r="O264" s="8">
        <v>45559.64167824074</v>
      </c>
      <c r="P264" s="9">
        <v>45560</v>
      </c>
      <c r="Q264" t="s">
        <v>46</v>
      </c>
      <c r="R264" t="s">
        <v>47</v>
      </c>
      <c r="S264" t="s">
        <v>48</v>
      </c>
      <c r="T264" t="s">
        <v>61</v>
      </c>
      <c r="U264" t="s">
        <v>908</v>
      </c>
      <c r="V264">
        <v>24000</v>
      </c>
      <c r="W264" t="s">
        <v>47</v>
      </c>
      <c r="X264" t="s">
        <v>188</v>
      </c>
      <c r="Y264" t="s">
        <v>52</v>
      </c>
      <c r="Z264" s="10">
        <f t="shared" si="37"/>
        <v>9</v>
      </c>
      <c r="AA264" s="11">
        <v>-2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33"/>
        <v>0.42</v>
      </c>
      <c r="AG264" s="11">
        <f t="shared" si="38"/>
        <v>7.42</v>
      </c>
      <c r="AH264" s="11">
        <v>0</v>
      </c>
      <c r="AI264" s="11">
        <f t="shared" si="39"/>
        <v>7.42</v>
      </c>
      <c r="AJ264" t="s">
        <v>53</v>
      </c>
    </row>
    <row r="265" spans="1:36" ht="15" customHeight="1" x14ac:dyDescent="0.35">
      <c r="A265">
        <v>7547676</v>
      </c>
      <c r="B265" t="s">
        <v>36</v>
      </c>
      <c r="C265" t="s">
        <v>37</v>
      </c>
      <c r="D265" s="6" t="s">
        <v>36</v>
      </c>
      <c r="E265" t="s">
        <v>909</v>
      </c>
      <c r="F265" t="s">
        <v>39</v>
      </c>
      <c r="G265" t="s">
        <v>40</v>
      </c>
      <c r="H265" t="s">
        <v>910</v>
      </c>
      <c r="I265" t="s">
        <v>42</v>
      </c>
      <c r="J265">
        <v>2</v>
      </c>
      <c r="K265" t="s">
        <v>43</v>
      </c>
      <c r="L265" t="s">
        <v>44</v>
      </c>
      <c r="M265" t="s">
        <v>45</v>
      </c>
      <c r="N265" s="7">
        <v>1</v>
      </c>
      <c r="O265" s="8">
        <v>45557.711377314816</v>
      </c>
      <c r="P265" s="9">
        <v>45560</v>
      </c>
      <c r="Q265" t="s">
        <v>46</v>
      </c>
      <c r="R265" t="s">
        <v>47</v>
      </c>
      <c r="S265" t="s">
        <v>48</v>
      </c>
      <c r="T265" t="s">
        <v>66</v>
      </c>
      <c r="U265" t="s">
        <v>911</v>
      </c>
      <c r="V265">
        <v>80250</v>
      </c>
      <c r="W265" t="s">
        <v>47</v>
      </c>
      <c r="X265" t="s">
        <v>51</v>
      </c>
      <c r="Y265" t="s">
        <v>52</v>
      </c>
      <c r="Z265" s="10">
        <f t="shared" si="37"/>
        <v>9</v>
      </c>
      <c r="AA265" s="11">
        <v>-2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33"/>
        <v>0.42</v>
      </c>
      <c r="AG265" s="11">
        <f t="shared" si="38"/>
        <v>7.42</v>
      </c>
      <c r="AH265" s="11">
        <v>0</v>
      </c>
      <c r="AI265" s="11">
        <f t="shared" si="39"/>
        <v>7.42</v>
      </c>
      <c r="AJ265" t="s">
        <v>53</v>
      </c>
    </row>
    <row r="266" spans="1:36" ht="15" customHeight="1" x14ac:dyDescent="0.35">
      <c r="A266">
        <v>7547676</v>
      </c>
      <c r="B266" t="s">
        <v>36</v>
      </c>
      <c r="C266" t="s">
        <v>37</v>
      </c>
      <c r="D266" s="6" t="s">
        <v>36</v>
      </c>
      <c r="E266" t="s">
        <v>912</v>
      </c>
      <c r="F266" t="s">
        <v>39</v>
      </c>
      <c r="G266" t="s">
        <v>40</v>
      </c>
      <c r="H266" t="s">
        <v>913</v>
      </c>
      <c r="I266" t="s">
        <v>42</v>
      </c>
      <c r="J266">
        <v>2</v>
      </c>
      <c r="K266" t="s">
        <v>43</v>
      </c>
      <c r="L266" t="s">
        <v>44</v>
      </c>
      <c r="M266" t="s">
        <v>45</v>
      </c>
      <c r="N266" s="7">
        <v>1</v>
      </c>
      <c r="O266" s="8">
        <v>45558.787951388891</v>
      </c>
      <c r="P266" s="9">
        <v>45560</v>
      </c>
      <c r="Q266" t="s">
        <v>46</v>
      </c>
      <c r="R266" t="s">
        <v>47</v>
      </c>
      <c r="S266" t="s">
        <v>48</v>
      </c>
      <c r="T266" t="s">
        <v>278</v>
      </c>
      <c r="U266" t="s">
        <v>914</v>
      </c>
      <c r="V266">
        <v>27650</v>
      </c>
      <c r="W266" t="s">
        <v>47</v>
      </c>
      <c r="X266" t="s">
        <v>188</v>
      </c>
      <c r="Y266" t="s">
        <v>52</v>
      </c>
      <c r="Z266" s="10">
        <f t="shared" si="37"/>
        <v>9</v>
      </c>
      <c r="AA266" s="11">
        <v>-2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33"/>
        <v>0.42</v>
      </c>
      <c r="AG266" s="11">
        <f t="shared" si="38"/>
        <v>7.42</v>
      </c>
      <c r="AH266" s="11">
        <v>0</v>
      </c>
      <c r="AI266" s="11">
        <f t="shared" si="39"/>
        <v>7.42</v>
      </c>
      <c r="AJ266" t="s">
        <v>53</v>
      </c>
    </row>
    <row r="267" spans="1:36" ht="15" customHeight="1" x14ac:dyDescent="0.35">
      <c r="A267">
        <v>7547676</v>
      </c>
      <c r="B267" t="s">
        <v>36</v>
      </c>
      <c r="C267" t="s">
        <v>37</v>
      </c>
      <c r="D267" s="6" t="s">
        <v>36</v>
      </c>
      <c r="E267" t="s">
        <v>915</v>
      </c>
      <c r="F267" t="s">
        <v>39</v>
      </c>
      <c r="G267" t="s">
        <v>40</v>
      </c>
      <c r="H267" t="s">
        <v>916</v>
      </c>
      <c r="I267" t="s">
        <v>42</v>
      </c>
      <c r="J267">
        <v>2</v>
      </c>
      <c r="K267" t="s">
        <v>43</v>
      </c>
      <c r="L267" t="s">
        <v>44</v>
      </c>
      <c r="M267" t="s">
        <v>45</v>
      </c>
      <c r="N267" s="7">
        <v>1</v>
      </c>
      <c r="O267" s="8">
        <v>45557.593425925923</v>
      </c>
      <c r="P267" s="9">
        <v>45560</v>
      </c>
      <c r="Q267" t="s">
        <v>46</v>
      </c>
      <c r="R267" t="s">
        <v>47</v>
      </c>
      <c r="S267" t="s">
        <v>48</v>
      </c>
      <c r="T267" t="s">
        <v>136</v>
      </c>
      <c r="U267" t="s">
        <v>917</v>
      </c>
      <c r="V267">
        <v>32040</v>
      </c>
      <c r="W267" t="s">
        <v>47</v>
      </c>
      <c r="X267" t="s">
        <v>51</v>
      </c>
      <c r="Y267" t="s">
        <v>52</v>
      </c>
      <c r="Z267" s="10">
        <f t="shared" si="37"/>
        <v>9</v>
      </c>
      <c r="AA267" s="11">
        <v>-2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33"/>
        <v>0.42</v>
      </c>
      <c r="AG267" s="11">
        <f t="shared" si="38"/>
        <v>7.42</v>
      </c>
      <c r="AH267" s="11">
        <v>0</v>
      </c>
      <c r="AI267" s="11">
        <f t="shared" si="39"/>
        <v>7.42</v>
      </c>
      <c r="AJ267" t="s">
        <v>53</v>
      </c>
    </row>
    <row r="268" spans="1:36" ht="15" customHeight="1" x14ac:dyDescent="0.35">
      <c r="A268">
        <v>7547676</v>
      </c>
      <c r="B268" t="s">
        <v>36</v>
      </c>
      <c r="C268" t="s">
        <v>37</v>
      </c>
      <c r="D268" s="6" t="s">
        <v>36</v>
      </c>
      <c r="E268" t="s">
        <v>918</v>
      </c>
      <c r="F268" t="s">
        <v>39</v>
      </c>
      <c r="G268" t="s">
        <v>40</v>
      </c>
      <c r="H268" t="s">
        <v>919</v>
      </c>
      <c r="I268" t="s">
        <v>42</v>
      </c>
      <c r="J268">
        <v>2</v>
      </c>
      <c r="K268" t="s">
        <v>43</v>
      </c>
      <c r="L268" t="s">
        <v>44</v>
      </c>
      <c r="M268" t="s">
        <v>45</v>
      </c>
      <c r="N268" s="7">
        <v>1</v>
      </c>
      <c r="O268" s="8">
        <v>45556.82234953704</v>
      </c>
      <c r="P268" s="9">
        <v>45560</v>
      </c>
      <c r="Q268" t="s">
        <v>46</v>
      </c>
      <c r="R268" t="s">
        <v>47</v>
      </c>
      <c r="S268" t="s">
        <v>48</v>
      </c>
      <c r="T268" t="s">
        <v>123</v>
      </c>
      <c r="U268" t="s">
        <v>920</v>
      </c>
      <c r="V268">
        <v>41300</v>
      </c>
      <c r="W268" t="s">
        <v>47</v>
      </c>
      <c r="X268" t="s">
        <v>855</v>
      </c>
      <c r="Y268" t="s">
        <v>52</v>
      </c>
      <c r="Z268" s="10">
        <f t="shared" si="37"/>
        <v>9</v>
      </c>
      <c r="AA268" s="11">
        <v>-2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33"/>
        <v>0.42</v>
      </c>
      <c r="AG268" s="11">
        <f t="shared" si="38"/>
        <v>7.42</v>
      </c>
      <c r="AH268" s="11">
        <v>0</v>
      </c>
      <c r="AI268" s="11">
        <f t="shared" si="39"/>
        <v>7.42</v>
      </c>
      <c r="AJ268" t="s">
        <v>53</v>
      </c>
    </row>
    <row r="269" spans="1:36" ht="15" customHeight="1" x14ac:dyDescent="0.35">
      <c r="A269">
        <v>7547676</v>
      </c>
      <c r="B269" t="s">
        <v>36</v>
      </c>
      <c r="C269" t="s">
        <v>37</v>
      </c>
      <c r="D269" s="6" t="s">
        <v>36</v>
      </c>
      <c r="E269" t="s">
        <v>921</v>
      </c>
      <c r="F269" t="s">
        <v>39</v>
      </c>
      <c r="G269" t="s">
        <v>40</v>
      </c>
      <c r="H269" t="s">
        <v>922</v>
      </c>
      <c r="I269" t="s">
        <v>42</v>
      </c>
      <c r="J269">
        <v>2</v>
      </c>
      <c r="K269" t="s">
        <v>43</v>
      </c>
      <c r="L269" t="s">
        <v>44</v>
      </c>
      <c r="M269" t="s">
        <v>45</v>
      </c>
      <c r="N269" s="7">
        <v>2</v>
      </c>
      <c r="O269" s="8">
        <v>45558.72619212963</v>
      </c>
      <c r="P269" s="9">
        <v>45560</v>
      </c>
      <c r="Q269" t="s">
        <v>46</v>
      </c>
      <c r="R269" t="s">
        <v>47</v>
      </c>
      <c r="S269" t="s">
        <v>48</v>
      </c>
      <c r="T269" t="s">
        <v>123</v>
      </c>
      <c r="U269" t="s">
        <v>923</v>
      </c>
      <c r="V269">
        <v>54200</v>
      </c>
      <c r="W269" t="s">
        <v>47</v>
      </c>
      <c r="X269" t="s">
        <v>484</v>
      </c>
      <c r="Y269" t="s">
        <v>52</v>
      </c>
      <c r="Z269" s="10">
        <f t="shared" si="37"/>
        <v>9.8000000000000007</v>
      </c>
      <c r="AA269" s="11">
        <v>-2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33"/>
        <v>0.46800000000000003</v>
      </c>
      <c r="AG269" s="11">
        <f t="shared" si="38"/>
        <v>8.2680000000000007</v>
      </c>
      <c r="AH269" s="11">
        <v>0</v>
      </c>
      <c r="AI269" s="11">
        <f t="shared" si="39"/>
        <v>8.2680000000000007</v>
      </c>
      <c r="AJ269" t="s">
        <v>53</v>
      </c>
    </row>
    <row r="270" spans="1:36" ht="15" customHeight="1" x14ac:dyDescent="0.35">
      <c r="A270">
        <v>7547676</v>
      </c>
      <c r="B270" t="s">
        <v>36</v>
      </c>
      <c r="C270" t="s">
        <v>37</v>
      </c>
      <c r="D270" s="6" t="s">
        <v>36</v>
      </c>
      <c r="E270" t="s">
        <v>924</v>
      </c>
      <c r="F270" t="s">
        <v>39</v>
      </c>
      <c r="G270" t="s">
        <v>40</v>
      </c>
      <c r="H270" t="s">
        <v>664</v>
      </c>
      <c r="I270" t="s">
        <v>42</v>
      </c>
      <c r="J270">
        <v>2</v>
      </c>
      <c r="K270" t="s">
        <v>43</v>
      </c>
      <c r="L270" t="s">
        <v>44</v>
      </c>
      <c r="M270" t="s">
        <v>45</v>
      </c>
      <c r="N270" s="7">
        <v>11</v>
      </c>
      <c r="O270" s="8">
        <v>45558.637465277781</v>
      </c>
      <c r="P270" s="9">
        <v>45560</v>
      </c>
      <c r="Q270" t="s">
        <v>46</v>
      </c>
      <c r="R270" t="s">
        <v>47</v>
      </c>
      <c r="S270" t="s">
        <v>48</v>
      </c>
      <c r="T270" t="s">
        <v>278</v>
      </c>
      <c r="U270" t="s">
        <v>665</v>
      </c>
      <c r="V270">
        <v>39100</v>
      </c>
      <c r="W270" t="s">
        <v>47</v>
      </c>
      <c r="X270" t="s">
        <v>666</v>
      </c>
      <c r="Y270" t="s">
        <v>52</v>
      </c>
      <c r="Z270" s="10">
        <f>IF(N270&lt;=1,9,9+0.8*ROUNDUP(N270-1,0))</f>
        <v>17</v>
      </c>
      <c r="AA270" s="11">
        <v>-2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ref="AF270:AF333" si="40">(Z270+AA270+AC270+AE270)*6%</f>
        <v>0.89999999999999991</v>
      </c>
      <c r="AG270" s="11">
        <f t="shared" si="38"/>
        <v>15.9</v>
      </c>
      <c r="AH270" s="11">
        <v>0</v>
      </c>
      <c r="AI270" s="11">
        <f t="shared" si="39"/>
        <v>15.9</v>
      </c>
      <c r="AJ270" t="s">
        <v>53</v>
      </c>
    </row>
    <row r="271" spans="1:36" ht="15" customHeight="1" x14ac:dyDescent="0.35">
      <c r="A271">
        <v>7547676</v>
      </c>
      <c r="B271" t="s">
        <v>36</v>
      </c>
      <c r="C271" t="s">
        <v>37</v>
      </c>
      <c r="D271" s="6" t="s">
        <v>36</v>
      </c>
      <c r="E271" t="s">
        <v>925</v>
      </c>
      <c r="F271" t="s">
        <v>39</v>
      </c>
      <c r="G271" t="s">
        <v>40</v>
      </c>
      <c r="H271" t="s">
        <v>926</v>
      </c>
      <c r="I271" t="s">
        <v>42</v>
      </c>
      <c r="J271">
        <v>2</v>
      </c>
      <c r="K271" t="s">
        <v>43</v>
      </c>
      <c r="L271" t="s">
        <v>44</v>
      </c>
      <c r="M271" t="s">
        <v>45</v>
      </c>
      <c r="N271" s="7">
        <v>1</v>
      </c>
      <c r="O271" s="8">
        <v>45559.612060185187</v>
      </c>
      <c r="P271" s="9">
        <v>45560</v>
      </c>
      <c r="Q271" t="s">
        <v>46</v>
      </c>
      <c r="R271" t="s">
        <v>47</v>
      </c>
      <c r="S271" t="s">
        <v>48</v>
      </c>
      <c r="T271" t="s">
        <v>123</v>
      </c>
      <c r="U271" t="s">
        <v>927</v>
      </c>
      <c r="V271">
        <v>43900</v>
      </c>
      <c r="W271" t="s">
        <v>47</v>
      </c>
      <c r="X271" t="s">
        <v>650</v>
      </c>
      <c r="Y271" t="s">
        <v>52</v>
      </c>
      <c r="Z271" s="10">
        <f t="shared" ref="Z271:Z286" si="41">IF(N271&lt;=1,9,9+0.8*ROUNDUP(N271-1,0))</f>
        <v>9</v>
      </c>
      <c r="AA271" s="11">
        <v>-2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40"/>
        <v>0.42</v>
      </c>
      <c r="AG271" s="11">
        <f t="shared" si="38"/>
        <v>7.42</v>
      </c>
      <c r="AH271" s="11">
        <v>0</v>
      </c>
      <c r="AI271" s="11">
        <f t="shared" si="39"/>
        <v>7.42</v>
      </c>
      <c r="AJ271" t="s">
        <v>53</v>
      </c>
    </row>
    <row r="272" spans="1:36" ht="15" customHeight="1" x14ac:dyDescent="0.35">
      <c r="A272">
        <v>7547676</v>
      </c>
      <c r="B272" t="s">
        <v>36</v>
      </c>
      <c r="C272" t="s">
        <v>37</v>
      </c>
      <c r="D272" s="6" t="s">
        <v>36</v>
      </c>
      <c r="E272" t="s">
        <v>928</v>
      </c>
      <c r="F272" t="s">
        <v>39</v>
      </c>
      <c r="G272" t="s">
        <v>40</v>
      </c>
      <c r="H272" t="s">
        <v>929</v>
      </c>
      <c r="I272" t="s">
        <v>42</v>
      </c>
      <c r="J272">
        <v>2</v>
      </c>
      <c r="K272" t="s">
        <v>43</v>
      </c>
      <c r="L272" t="s">
        <v>44</v>
      </c>
      <c r="M272" t="s">
        <v>45</v>
      </c>
      <c r="N272" s="7">
        <v>1</v>
      </c>
      <c r="O272" s="8">
        <v>45558.698182870372</v>
      </c>
      <c r="P272" s="9">
        <v>45560</v>
      </c>
      <c r="Q272" t="s">
        <v>46</v>
      </c>
      <c r="R272" t="s">
        <v>47</v>
      </c>
      <c r="S272" t="s">
        <v>48</v>
      </c>
      <c r="T272" t="s">
        <v>210</v>
      </c>
      <c r="U272" t="s">
        <v>930</v>
      </c>
      <c r="V272">
        <v>70450</v>
      </c>
      <c r="W272" t="s">
        <v>47</v>
      </c>
      <c r="X272" t="s">
        <v>931</v>
      </c>
      <c r="Y272" t="s">
        <v>52</v>
      </c>
      <c r="Z272" s="10">
        <f t="shared" si="41"/>
        <v>9</v>
      </c>
      <c r="AA272" s="11">
        <v>-2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40"/>
        <v>0.42</v>
      </c>
      <c r="AG272" s="11">
        <f t="shared" si="38"/>
        <v>7.42</v>
      </c>
      <c r="AH272" s="11">
        <v>0</v>
      </c>
      <c r="AI272" s="11">
        <f t="shared" si="39"/>
        <v>7.42</v>
      </c>
      <c r="AJ272" t="s">
        <v>53</v>
      </c>
    </row>
    <row r="273" spans="1:36" ht="15" customHeight="1" x14ac:dyDescent="0.35">
      <c r="A273">
        <v>7547676</v>
      </c>
      <c r="B273" t="s">
        <v>36</v>
      </c>
      <c r="C273" t="s">
        <v>37</v>
      </c>
      <c r="D273" s="6" t="s">
        <v>36</v>
      </c>
      <c r="E273" t="s">
        <v>932</v>
      </c>
      <c r="F273" t="s">
        <v>39</v>
      </c>
      <c r="G273" t="s">
        <v>40</v>
      </c>
      <c r="H273" t="s">
        <v>933</v>
      </c>
      <c r="I273" t="s">
        <v>42</v>
      </c>
      <c r="J273">
        <v>2</v>
      </c>
      <c r="K273" t="s">
        <v>43</v>
      </c>
      <c r="L273" t="s">
        <v>44</v>
      </c>
      <c r="M273" t="s">
        <v>45</v>
      </c>
      <c r="N273" s="7">
        <v>1</v>
      </c>
      <c r="O273" s="8">
        <v>45559.612060185187</v>
      </c>
      <c r="P273" s="9">
        <v>45560</v>
      </c>
      <c r="Q273" t="s">
        <v>46</v>
      </c>
      <c r="R273" t="s">
        <v>47</v>
      </c>
      <c r="S273" t="s">
        <v>48</v>
      </c>
      <c r="T273" t="s">
        <v>61</v>
      </c>
      <c r="U273" t="s">
        <v>934</v>
      </c>
      <c r="V273">
        <v>23300</v>
      </c>
      <c r="W273" t="s">
        <v>47</v>
      </c>
      <c r="X273" t="s">
        <v>63</v>
      </c>
      <c r="Y273" t="s">
        <v>52</v>
      </c>
      <c r="Z273" s="10">
        <f t="shared" si="41"/>
        <v>9</v>
      </c>
      <c r="AA273" s="11">
        <v>-2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40"/>
        <v>0.42</v>
      </c>
      <c r="AG273" s="11">
        <f t="shared" si="38"/>
        <v>7.42</v>
      </c>
      <c r="AH273" s="11">
        <v>0</v>
      </c>
      <c r="AI273" s="11">
        <f t="shared" si="39"/>
        <v>7.42</v>
      </c>
      <c r="AJ273" t="s">
        <v>53</v>
      </c>
    </row>
    <row r="274" spans="1:36" ht="15" customHeight="1" x14ac:dyDescent="0.35">
      <c r="A274">
        <v>7547676</v>
      </c>
      <c r="B274" t="s">
        <v>36</v>
      </c>
      <c r="C274" t="s">
        <v>37</v>
      </c>
      <c r="D274" s="6" t="s">
        <v>36</v>
      </c>
      <c r="E274" t="s">
        <v>935</v>
      </c>
      <c r="F274" t="s">
        <v>39</v>
      </c>
      <c r="G274" t="s">
        <v>40</v>
      </c>
      <c r="H274" t="s">
        <v>936</v>
      </c>
      <c r="I274" t="s">
        <v>42</v>
      </c>
      <c r="J274">
        <v>2</v>
      </c>
      <c r="K274" t="s">
        <v>43</v>
      </c>
      <c r="L274" t="s">
        <v>44</v>
      </c>
      <c r="M274" t="s">
        <v>45</v>
      </c>
      <c r="N274" s="7">
        <v>1</v>
      </c>
      <c r="O274" s="8">
        <v>45558.63490740741</v>
      </c>
      <c r="P274" s="9">
        <v>45560</v>
      </c>
      <c r="Q274" t="s">
        <v>46</v>
      </c>
      <c r="R274" t="s">
        <v>47</v>
      </c>
      <c r="S274" t="s">
        <v>48</v>
      </c>
      <c r="T274" t="s">
        <v>123</v>
      </c>
      <c r="U274" t="s">
        <v>937</v>
      </c>
      <c r="V274">
        <v>54200</v>
      </c>
      <c r="W274" t="s">
        <v>47</v>
      </c>
      <c r="X274" t="s">
        <v>51</v>
      </c>
      <c r="Y274" t="s">
        <v>52</v>
      </c>
      <c r="Z274" s="10">
        <f t="shared" si="41"/>
        <v>9</v>
      </c>
      <c r="AA274" s="11">
        <v>-2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40"/>
        <v>0.42</v>
      </c>
      <c r="AG274" s="11">
        <f t="shared" si="38"/>
        <v>7.42</v>
      </c>
      <c r="AH274" s="11">
        <v>0</v>
      </c>
      <c r="AI274" s="11">
        <f t="shared" si="39"/>
        <v>7.42</v>
      </c>
      <c r="AJ274" t="s">
        <v>53</v>
      </c>
    </row>
    <row r="275" spans="1:36" ht="15" customHeight="1" x14ac:dyDescent="0.35">
      <c r="A275">
        <v>7547676</v>
      </c>
      <c r="B275" t="s">
        <v>36</v>
      </c>
      <c r="C275" t="s">
        <v>37</v>
      </c>
      <c r="D275" s="6" t="s">
        <v>36</v>
      </c>
      <c r="E275" t="s">
        <v>938</v>
      </c>
      <c r="F275" t="s">
        <v>39</v>
      </c>
      <c r="G275" t="s">
        <v>40</v>
      </c>
      <c r="H275" t="s">
        <v>939</v>
      </c>
      <c r="I275" t="s">
        <v>42</v>
      </c>
      <c r="J275">
        <v>2</v>
      </c>
      <c r="K275" t="s">
        <v>43</v>
      </c>
      <c r="L275" t="s">
        <v>44</v>
      </c>
      <c r="M275" t="s">
        <v>45</v>
      </c>
      <c r="N275" s="7">
        <v>3</v>
      </c>
      <c r="O275" s="8">
        <v>45559.704421296294</v>
      </c>
      <c r="P275" s="9">
        <v>45560</v>
      </c>
      <c r="Q275" t="s">
        <v>46</v>
      </c>
      <c r="R275" t="s">
        <v>47</v>
      </c>
      <c r="S275" t="s">
        <v>48</v>
      </c>
      <c r="T275" t="s">
        <v>123</v>
      </c>
      <c r="U275" t="s">
        <v>940</v>
      </c>
      <c r="V275">
        <v>42700</v>
      </c>
      <c r="W275" t="s">
        <v>47</v>
      </c>
      <c r="X275" t="s">
        <v>650</v>
      </c>
      <c r="Y275" t="s">
        <v>52</v>
      </c>
      <c r="Z275" s="10">
        <f t="shared" si="41"/>
        <v>10.6</v>
      </c>
      <c r="AA275" s="11">
        <v>-2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40"/>
        <v>0.51600000000000001</v>
      </c>
      <c r="AG275" s="11">
        <f t="shared" si="38"/>
        <v>9.1159999999999997</v>
      </c>
      <c r="AH275" s="11">
        <v>0</v>
      </c>
      <c r="AI275" s="11">
        <f t="shared" si="39"/>
        <v>9.1159999999999997</v>
      </c>
      <c r="AJ275" t="s">
        <v>53</v>
      </c>
    </row>
    <row r="276" spans="1:36" ht="15" customHeight="1" x14ac:dyDescent="0.35">
      <c r="A276">
        <v>7547676</v>
      </c>
      <c r="B276" t="s">
        <v>36</v>
      </c>
      <c r="C276" t="s">
        <v>37</v>
      </c>
      <c r="D276" s="6" t="s">
        <v>36</v>
      </c>
      <c r="E276" t="s">
        <v>941</v>
      </c>
      <c r="F276" t="s">
        <v>39</v>
      </c>
      <c r="G276" t="s">
        <v>40</v>
      </c>
      <c r="H276" t="s">
        <v>942</v>
      </c>
      <c r="I276" t="s">
        <v>42</v>
      </c>
      <c r="J276">
        <v>2</v>
      </c>
      <c r="K276" t="s">
        <v>43</v>
      </c>
      <c r="L276" t="s">
        <v>44</v>
      </c>
      <c r="M276" t="s">
        <v>45</v>
      </c>
      <c r="N276" s="7">
        <v>1</v>
      </c>
      <c r="O276" s="8">
        <v>45558.787951388891</v>
      </c>
      <c r="P276" s="9">
        <v>45560</v>
      </c>
      <c r="Q276" t="s">
        <v>46</v>
      </c>
      <c r="R276" t="s">
        <v>47</v>
      </c>
      <c r="S276" t="s">
        <v>48</v>
      </c>
      <c r="T276" t="s">
        <v>278</v>
      </c>
      <c r="U276" t="s">
        <v>943</v>
      </c>
      <c r="V276">
        <v>25150</v>
      </c>
      <c r="W276" t="s">
        <v>47</v>
      </c>
      <c r="X276" t="s">
        <v>188</v>
      </c>
      <c r="Y276" t="s">
        <v>52</v>
      </c>
      <c r="Z276" s="10">
        <f t="shared" si="41"/>
        <v>9</v>
      </c>
      <c r="AA276" s="11">
        <v>-2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40"/>
        <v>0.42</v>
      </c>
      <c r="AG276" s="11">
        <f t="shared" si="38"/>
        <v>7.42</v>
      </c>
      <c r="AH276" s="11">
        <v>0</v>
      </c>
      <c r="AI276" s="11">
        <f t="shared" si="39"/>
        <v>7.42</v>
      </c>
      <c r="AJ276" t="s">
        <v>53</v>
      </c>
    </row>
    <row r="277" spans="1:36" ht="15" customHeight="1" x14ac:dyDescent="0.35">
      <c r="A277">
        <v>7547676</v>
      </c>
      <c r="B277" t="s">
        <v>36</v>
      </c>
      <c r="C277" t="s">
        <v>37</v>
      </c>
      <c r="D277" s="6" t="s">
        <v>36</v>
      </c>
      <c r="E277" t="s">
        <v>944</v>
      </c>
      <c r="F277" t="s">
        <v>39</v>
      </c>
      <c r="G277" t="s">
        <v>40</v>
      </c>
      <c r="H277" t="s">
        <v>945</v>
      </c>
      <c r="I277" t="s">
        <v>42</v>
      </c>
      <c r="J277">
        <v>2</v>
      </c>
      <c r="K277" t="s">
        <v>43</v>
      </c>
      <c r="L277" t="s">
        <v>44</v>
      </c>
      <c r="M277" t="s">
        <v>45</v>
      </c>
      <c r="N277" s="7">
        <v>1</v>
      </c>
      <c r="O277" s="8">
        <v>45557.593425925923</v>
      </c>
      <c r="P277" s="9">
        <v>45560</v>
      </c>
      <c r="Q277" t="s">
        <v>46</v>
      </c>
      <c r="R277" t="s">
        <v>47</v>
      </c>
      <c r="S277" t="s">
        <v>48</v>
      </c>
      <c r="T277" t="s">
        <v>66</v>
      </c>
      <c r="U277" t="s">
        <v>946</v>
      </c>
      <c r="V277">
        <v>84800</v>
      </c>
      <c r="W277" t="s">
        <v>47</v>
      </c>
      <c r="X277" t="s">
        <v>883</v>
      </c>
      <c r="Y277" t="s">
        <v>52</v>
      </c>
      <c r="Z277" s="10">
        <f t="shared" si="41"/>
        <v>9</v>
      </c>
      <c r="AA277" s="11">
        <v>-2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40"/>
        <v>0.42</v>
      </c>
      <c r="AG277" s="11">
        <f t="shared" si="38"/>
        <v>7.42</v>
      </c>
      <c r="AH277" s="11">
        <v>0</v>
      </c>
      <c r="AI277" s="11">
        <f t="shared" si="39"/>
        <v>7.42</v>
      </c>
      <c r="AJ277" t="s">
        <v>53</v>
      </c>
    </row>
    <row r="278" spans="1:36" ht="15" customHeight="1" x14ac:dyDescent="0.35">
      <c r="A278">
        <v>7547676</v>
      </c>
      <c r="B278" t="s">
        <v>36</v>
      </c>
      <c r="C278" t="s">
        <v>37</v>
      </c>
      <c r="D278" s="6" t="s">
        <v>36</v>
      </c>
      <c r="E278" t="s">
        <v>947</v>
      </c>
      <c r="F278" t="s">
        <v>39</v>
      </c>
      <c r="G278" t="s">
        <v>40</v>
      </c>
      <c r="H278" t="s">
        <v>948</v>
      </c>
      <c r="I278" t="s">
        <v>42</v>
      </c>
      <c r="J278">
        <v>2</v>
      </c>
      <c r="K278" t="s">
        <v>43</v>
      </c>
      <c r="L278" t="s">
        <v>44</v>
      </c>
      <c r="M278" t="s">
        <v>45</v>
      </c>
      <c r="N278" s="7">
        <v>1</v>
      </c>
      <c r="O278" s="8">
        <v>45558.806643518517</v>
      </c>
      <c r="P278" s="9">
        <v>45560</v>
      </c>
      <c r="Q278" t="s">
        <v>46</v>
      </c>
      <c r="R278" t="s">
        <v>47</v>
      </c>
      <c r="S278" t="s">
        <v>48</v>
      </c>
      <c r="T278" t="s">
        <v>75</v>
      </c>
      <c r="U278" t="s">
        <v>949</v>
      </c>
      <c r="V278">
        <v>15100</v>
      </c>
      <c r="W278" t="s">
        <v>47</v>
      </c>
      <c r="X278" t="s">
        <v>145</v>
      </c>
      <c r="Y278" t="s">
        <v>52</v>
      </c>
      <c r="Z278" s="10">
        <f t="shared" si="41"/>
        <v>9</v>
      </c>
      <c r="AA278" s="11">
        <v>-2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40"/>
        <v>0.42</v>
      </c>
      <c r="AG278" s="11">
        <f t="shared" si="38"/>
        <v>7.42</v>
      </c>
      <c r="AH278" s="11">
        <v>0</v>
      </c>
      <c r="AI278" s="11">
        <f t="shared" si="39"/>
        <v>7.42</v>
      </c>
      <c r="AJ278" t="s">
        <v>53</v>
      </c>
    </row>
    <row r="279" spans="1:36" ht="15" customHeight="1" x14ac:dyDescent="0.35">
      <c r="A279">
        <v>7547676</v>
      </c>
      <c r="B279" t="s">
        <v>36</v>
      </c>
      <c r="C279" t="s">
        <v>37</v>
      </c>
      <c r="D279" s="6" t="s">
        <v>36</v>
      </c>
      <c r="E279" t="s">
        <v>950</v>
      </c>
      <c r="F279" t="s">
        <v>39</v>
      </c>
      <c r="G279" t="s">
        <v>40</v>
      </c>
      <c r="H279" t="s">
        <v>951</v>
      </c>
      <c r="I279" t="s">
        <v>42</v>
      </c>
      <c r="J279">
        <v>2</v>
      </c>
      <c r="K279" t="s">
        <v>43</v>
      </c>
      <c r="L279" t="s">
        <v>44</v>
      </c>
      <c r="M279" t="s">
        <v>45</v>
      </c>
      <c r="N279" s="7">
        <v>1</v>
      </c>
      <c r="O279" s="8">
        <v>45558.806643518517</v>
      </c>
      <c r="P279" s="9">
        <v>45560</v>
      </c>
      <c r="Q279" t="s">
        <v>46</v>
      </c>
      <c r="R279" t="s">
        <v>47</v>
      </c>
      <c r="S279" t="s">
        <v>48</v>
      </c>
      <c r="T279" t="s">
        <v>61</v>
      </c>
      <c r="U279" t="s">
        <v>952</v>
      </c>
      <c r="V279">
        <v>23000</v>
      </c>
      <c r="W279" t="s">
        <v>47</v>
      </c>
      <c r="X279" t="s">
        <v>63</v>
      </c>
      <c r="Y279" t="s">
        <v>52</v>
      </c>
      <c r="Z279" s="10">
        <f t="shared" si="41"/>
        <v>9</v>
      </c>
      <c r="AA279" s="11">
        <v>-2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40"/>
        <v>0.42</v>
      </c>
      <c r="AG279" s="11">
        <f t="shared" si="38"/>
        <v>7.42</v>
      </c>
      <c r="AH279" s="11">
        <v>0</v>
      </c>
      <c r="AI279" s="11">
        <f t="shared" si="39"/>
        <v>7.42</v>
      </c>
      <c r="AJ279" t="s">
        <v>53</v>
      </c>
    </row>
    <row r="280" spans="1:36" ht="15" customHeight="1" x14ac:dyDescent="0.35">
      <c r="A280">
        <v>7547676</v>
      </c>
      <c r="B280" t="s">
        <v>36</v>
      </c>
      <c r="C280" t="s">
        <v>37</v>
      </c>
      <c r="D280" s="6" t="s">
        <v>36</v>
      </c>
      <c r="E280" t="s">
        <v>953</v>
      </c>
      <c r="F280" t="s">
        <v>39</v>
      </c>
      <c r="G280" t="s">
        <v>40</v>
      </c>
      <c r="H280" t="s">
        <v>954</v>
      </c>
      <c r="I280" t="s">
        <v>42</v>
      </c>
      <c r="J280">
        <v>2</v>
      </c>
      <c r="K280" t="s">
        <v>43</v>
      </c>
      <c r="L280" t="s">
        <v>44</v>
      </c>
      <c r="M280" t="s">
        <v>45</v>
      </c>
      <c r="N280" s="7">
        <v>1</v>
      </c>
      <c r="O280" s="8">
        <v>45558.437986111108</v>
      </c>
      <c r="P280" s="9">
        <v>45560</v>
      </c>
      <c r="Q280" t="s">
        <v>46</v>
      </c>
      <c r="R280" t="s">
        <v>47</v>
      </c>
      <c r="S280" t="s">
        <v>48</v>
      </c>
      <c r="T280" t="s">
        <v>66</v>
      </c>
      <c r="U280" t="s">
        <v>955</v>
      </c>
      <c r="V280">
        <v>81100</v>
      </c>
      <c r="W280" t="s">
        <v>47</v>
      </c>
      <c r="X280" t="s">
        <v>51</v>
      </c>
      <c r="Y280" t="s">
        <v>52</v>
      </c>
      <c r="Z280" s="10">
        <f t="shared" si="41"/>
        <v>9</v>
      </c>
      <c r="AA280" s="11">
        <v>-2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40"/>
        <v>0.42</v>
      </c>
      <c r="AG280" s="11">
        <f t="shared" si="38"/>
        <v>7.42</v>
      </c>
      <c r="AH280" s="11">
        <v>0</v>
      </c>
      <c r="AI280" s="11">
        <f t="shared" si="39"/>
        <v>7.42</v>
      </c>
      <c r="AJ280" t="s">
        <v>53</v>
      </c>
    </row>
    <row r="281" spans="1:36" ht="15" customHeight="1" x14ac:dyDescent="0.35">
      <c r="A281">
        <v>7547676</v>
      </c>
      <c r="B281" t="s">
        <v>36</v>
      </c>
      <c r="C281" t="s">
        <v>37</v>
      </c>
      <c r="D281" s="6" t="s">
        <v>36</v>
      </c>
      <c r="E281" t="s">
        <v>956</v>
      </c>
      <c r="F281" t="s">
        <v>39</v>
      </c>
      <c r="G281" t="s">
        <v>40</v>
      </c>
      <c r="H281" t="s">
        <v>957</v>
      </c>
      <c r="I281" t="s">
        <v>42</v>
      </c>
      <c r="J281">
        <v>2</v>
      </c>
      <c r="K281" t="s">
        <v>43</v>
      </c>
      <c r="L281" t="s">
        <v>44</v>
      </c>
      <c r="M281" t="s">
        <v>45</v>
      </c>
      <c r="N281" s="7">
        <v>1</v>
      </c>
      <c r="O281" s="8">
        <v>45558.744108796294</v>
      </c>
      <c r="P281" s="9">
        <v>45560</v>
      </c>
      <c r="Q281" t="s">
        <v>46</v>
      </c>
      <c r="R281" t="s">
        <v>47</v>
      </c>
      <c r="S281" t="s">
        <v>48</v>
      </c>
      <c r="T281" t="s">
        <v>61</v>
      </c>
      <c r="U281" t="s">
        <v>958</v>
      </c>
      <c r="V281">
        <v>23000</v>
      </c>
      <c r="W281" t="s">
        <v>47</v>
      </c>
      <c r="X281" t="s">
        <v>63</v>
      </c>
      <c r="Y281" t="s">
        <v>52</v>
      </c>
      <c r="Z281" s="10">
        <f t="shared" si="41"/>
        <v>9</v>
      </c>
      <c r="AA281" s="11">
        <v>-2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40"/>
        <v>0.42</v>
      </c>
      <c r="AG281" s="11">
        <f t="shared" si="38"/>
        <v>7.42</v>
      </c>
      <c r="AH281" s="11">
        <v>0</v>
      </c>
      <c r="AI281" s="11">
        <f t="shared" si="39"/>
        <v>7.42</v>
      </c>
      <c r="AJ281" t="s">
        <v>53</v>
      </c>
    </row>
    <row r="282" spans="1:36" ht="15" customHeight="1" x14ac:dyDescent="0.35">
      <c r="A282">
        <v>7547676</v>
      </c>
      <c r="B282" t="s">
        <v>36</v>
      </c>
      <c r="C282" t="s">
        <v>37</v>
      </c>
      <c r="D282" s="6" t="s">
        <v>36</v>
      </c>
      <c r="E282" t="s">
        <v>959</v>
      </c>
      <c r="F282" t="s">
        <v>39</v>
      </c>
      <c r="G282" t="s">
        <v>40</v>
      </c>
      <c r="H282" t="s">
        <v>960</v>
      </c>
      <c r="I282" t="s">
        <v>42</v>
      </c>
      <c r="J282">
        <v>2</v>
      </c>
      <c r="K282" t="s">
        <v>43</v>
      </c>
      <c r="L282" t="s">
        <v>44</v>
      </c>
      <c r="M282" t="s">
        <v>45</v>
      </c>
      <c r="N282" s="7">
        <v>1</v>
      </c>
      <c r="O282" s="8">
        <v>45558.787951388891</v>
      </c>
      <c r="P282" s="9">
        <v>45561</v>
      </c>
      <c r="Q282" t="s">
        <v>46</v>
      </c>
      <c r="R282" t="s">
        <v>47</v>
      </c>
      <c r="S282" t="s">
        <v>48</v>
      </c>
      <c r="T282" t="s">
        <v>66</v>
      </c>
      <c r="U282" t="s">
        <v>961</v>
      </c>
      <c r="V282">
        <v>80350</v>
      </c>
      <c r="W282" t="s">
        <v>47</v>
      </c>
      <c r="X282" t="s">
        <v>887</v>
      </c>
      <c r="Y282" t="s">
        <v>52</v>
      </c>
      <c r="Z282" s="10">
        <f t="shared" si="41"/>
        <v>9</v>
      </c>
      <c r="AA282" s="11">
        <v>-2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40"/>
        <v>0.42</v>
      </c>
      <c r="AG282" s="11">
        <f t="shared" si="38"/>
        <v>7.42</v>
      </c>
      <c r="AH282" s="11">
        <v>0</v>
      </c>
      <c r="AI282" s="11">
        <f t="shared" si="39"/>
        <v>7.42</v>
      </c>
      <c r="AJ282" t="s">
        <v>53</v>
      </c>
    </row>
    <row r="283" spans="1:36" ht="15" customHeight="1" x14ac:dyDescent="0.35">
      <c r="A283">
        <v>7547676</v>
      </c>
      <c r="B283" t="s">
        <v>36</v>
      </c>
      <c r="C283" t="s">
        <v>37</v>
      </c>
      <c r="D283" s="6" t="s">
        <v>36</v>
      </c>
      <c r="E283" t="s">
        <v>962</v>
      </c>
      <c r="F283" t="s">
        <v>39</v>
      </c>
      <c r="G283" t="s">
        <v>40</v>
      </c>
      <c r="H283" t="s">
        <v>963</v>
      </c>
      <c r="I283" t="s">
        <v>42</v>
      </c>
      <c r="J283">
        <v>2</v>
      </c>
      <c r="K283" t="s">
        <v>43</v>
      </c>
      <c r="L283" t="s">
        <v>44</v>
      </c>
      <c r="M283" t="s">
        <v>45</v>
      </c>
      <c r="N283" s="7">
        <v>1</v>
      </c>
      <c r="O283" s="8">
        <v>45559.687303240738</v>
      </c>
      <c r="P283" s="9">
        <v>45561</v>
      </c>
      <c r="Q283" t="s">
        <v>46</v>
      </c>
      <c r="R283" t="s">
        <v>47</v>
      </c>
      <c r="S283" t="s">
        <v>48</v>
      </c>
      <c r="T283" t="s">
        <v>56</v>
      </c>
      <c r="U283" t="s">
        <v>964</v>
      </c>
      <c r="V283">
        <v>8600</v>
      </c>
      <c r="W283" t="s">
        <v>47</v>
      </c>
      <c r="X283" t="s">
        <v>965</v>
      </c>
      <c r="Y283" t="s">
        <v>52</v>
      </c>
      <c r="Z283" s="10">
        <f t="shared" si="41"/>
        <v>9</v>
      </c>
      <c r="AA283" s="11">
        <v>-2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40"/>
        <v>0.42</v>
      </c>
      <c r="AG283" s="11">
        <f t="shared" si="38"/>
        <v>7.42</v>
      </c>
      <c r="AH283" s="11">
        <v>0</v>
      </c>
      <c r="AI283" s="11">
        <f t="shared" si="39"/>
        <v>7.42</v>
      </c>
      <c r="AJ283" t="s">
        <v>53</v>
      </c>
    </row>
    <row r="284" spans="1:36" ht="15" customHeight="1" x14ac:dyDescent="0.35">
      <c r="A284">
        <v>7547676</v>
      </c>
      <c r="B284" t="s">
        <v>36</v>
      </c>
      <c r="C284" t="s">
        <v>37</v>
      </c>
      <c r="D284" s="6" t="s">
        <v>36</v>
      </c>
      <c r="E284" t="s">
        <v>966</v>
      </c>
      <c r="F284" t="s">
        <v>39</v>
      </c>
      <c r="G284" t="s">
        <v>40</v>
      </c>
      <c r="H284" t="s">
        <v>967</v>
      </c>
      <c r="I284" t="s">
        <v>42</v>
      </c>
      <c r="J284">
        <v>2</v>
      </c>
      <c r="K284" t="s">
        <v>43</v>
      </c>
      <c r="L284" t="s">
        <v>44</v>
      </c>
      <c r="M284" t="s">
        <v>45</v>
      </c>
      <c r="N284" s="7">
        <v>1</v>
      </c>
      <c r="O284" s="8">
        <v>45559.791631944441</v>
      </c>
      <c r="P284" s="9">
        <v>45561</v>
      </c>
      <c r="Q284" t="s">
        <v>46</v>
      </c>
      <c r="R284" t="s">
        <v>47</v>
      </c>
      <c r="S284" t="s">
        <v>48</v>
      </c>
      <c r="T284" t="s">
        <v>123</v>
      </c>
      <c r="U284" t="s">
        <v>968</v>
      </c>
      <c r="V284">
        <v>40400</v>
      </c>
      <c r="W284" t="s">
        <v>47</v>
      </c>
      <c r="X284" t="s">
        <v>51</v>
      </c>
      <c r="Y284" t="s">
        <v>52</v>
      </c>
      <c r="Z284" s="10">
        <f t="shared" si="41"/>
        <v>9</v>
      </c>
      <c r="AA284" s="11">
        <v>-2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40"/>
        <v>0.42</v>
      </c>
      <c r="AG284" s="11">
        <f t="shared" si="38"/>
        <v>7.42</v>
      </c>
      <c r="AH284" s="11">
        <v>0</v>
      </c>
      <c r="AI284" s="11">
        <f t="shared" si="39"/>
        <v>7.42</v>
      </c>
      <c r="AJ284" t="s">
        <v>53</v>
      </c>
    </row>
    <row r="285" spans="1:36" ht="15" customHeight="1" x14ac:dyDescent="0.35">
      <c r="A285">
        <v>7547676</v>
      </c>
      <c r="B285" t="s">
        <v>36</v>
      </c>
      <c r="C285" t="s">
        <v>37</v>
      </c>
      <c r="D285" s="6" t="s">
        <v>36</v>
      </c>
      <c r="E285" t="s">
        <v>969</v>
      </c>
      <c r="F285" t="s">
        <v>39</v>
      </c>
      <c r="G285" t="s">
        <v>40</v>
      </c>
      <c r="H285" t="s">
        <v>970</v>
      </c>
      <c r="I285" t="s">
        <v>42</v>
      </c>
      <c r="J285">
        <v>2</v>
      </c>
      <c r="K285" t="s">
        <v>43</v>
      </c>
      <c r="L285" t="s">
        <v>44</v>
      </c>
      <c r="M285" t="s">
        <v>45</v>
      </c>
      <c r="N285" s="7">
        <v>1</v>
      </c>
      <c r="O285" s="8">
        <v>45559.732141203705</v>
      </c>
      <c r="P285" s="9">
        <v>45561</v>
      </c>
      <c r="Q285" t="s">
        <v>46</v>
      </c>
      <c r="R285" t="s">
        <v>47</v>
      </c>
      <c r="S285" t="s">
        <v>48</v>
      </c>
      <c r="T285" t="s">
        <v>128</v>
      </c>
      <c r="U285" t="s">
        <v>971</v>
      </c>
      <c r="V285">
        <v>50050</v>
      </c>
      <c r="W285" t="s">
        <v>47</v>
      </c>
      <c r="X285" t="s">
        <v>833</v>
      </c>
      <c r="Y285" t="s">
        <v>52</v>
      </c>
      <c r="Z285" s="10">
        <f t="shared" si="41"/>
        <v>9</v>
      </c>
      <c r="AA285" s="11">
        <v>-2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40"/>
        <v>0.42</v>
      </c>
      <c r="AG285" s="11">
        <f t="shared" si="38"/>
        <v>7.42</v>
      </c>
      <c r="AH285" s="11">
        <v>0</v>
      </c>
      <c r="AI285" s="11">
        <f t="shared" si="39"/>
        <v>7.42</v>
      </c>
      <c r="AJ285" t="s">
        <v>53</v>
      </c>
    </row>
    <row r="286" spans="1:36" ht="15" customHeight="1" x14ac:dyDescent="0.35">
      <c r="A286">
        <v>7547676</v>
      </c>
      <c r="B286" t="s">
        <v>36</v>
      </c>
      <c r="C286" t="s">
        <v>37</v>
      </c>
      <c r="D286" s="6" t="s">
        <v>36</v>
      </c>
      <c r="E286" t="s">
        <v>972</v>
      </c>
      <c r="F286" t="s">
        <v>39</v>
      </c>
      <c r="G286" t="s">
        <v>40</v>
      </c>
      <c r="H286" t="s">
        <v>973</v>
      </c>
      <c r="I286" t="s">
        <v>42</v>
      </c>
      <c r="J286">
        <v>2</v>
      </c>
      <c r="K286" t="s">
        <v>43</v>
      </c>
      <c r="L286" t="s">
        <v>44</v>
      </c>
      <c r="M286" t="s">
        <v>45</v>
      </c>
      <c r="N286" s="7">
        <v>1</v>
      </c>
      <c r="O286" s="8">
        <v>45558.634918981479</v>
      </c>
      <c r="P286" s="9">
        <v>45561</v>
      </c>
      <c r="Q286" t="s">
        <v>46</v>
      </c>
      <c r="R286" t="s">
        <v>47</v>
      </c>
      <c r="S286" t="s">
        <v>48</v>
      </c>
      <c r="T286" t="s">
        <v>210</v>
      </c>
      <c r="U286" t="s">
        <v>974</v>
      </c>
      <c r="V286">
        <v>71800</v>
      </c>
      <c r="W286" t="s">
        <v>47</v>
      </c>
      <c r="X286" t="s">
        <v>51</v>
      </c>
      <c r="Y286" t="s">
        <v>52</v>
      </c>
      <c r="Z286" s="10">
        <f t="shared" si="41"/>
        <v>9</v>
      </c>
      <c r="AA286" s="11">
        <v>-2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40"/>
        <v>0.42</v>
      </c>
      <c r="AG286" s="11">
        <f t="shared" si="38"/>
        <v>7.42</v>
      </c>
      <c r="AH286" s="11">
        <v>0</v>
      </c>
      <c r="AI286" s="11">
        <f t="shared" si="39"/>
        <v>7.42</v>
      </c>
      <c r="AJ286" t="s">
        <v>53</v>
      </c>
    </row>
    <row r="287" spans="1:36" ht="15" customHeight="1" x14ac:dyDescent="0.35">
      <c r="A287">
        <v>7547676</v>
      </c>
      <c r="B287" t="s">
        <v>36</v>
      </c>
      <c r="C287" t="s">
        <v>37</v>
      </c>
      <c r="D287" s="6" t="s">
        <v>36</v>
      </c>
      <c r="E287" t="s">
        <v>975</v>
      </c>
      <c r="F287" t="s">
        <v>39</v>
      </c>
      <c r="G287" t="s">
        <v>40</v>
      </c>
      <c r="H287" t="s">
        <v>976</v>
      </c>
      <c r="I287" t="s">
        <v>42</v>
      </c>
      <c r="J287">
        <v>2</v>
      </c>
      <c r="K287" t="s">
        <v>43</v>
      </c>
      <c r="L287" t="s">
        <v>44</v>
      </c>
      <c r="M287" t="s">
        <v>45</v>
      </c>
      <c r="N287" s="7">
        <v>1</v>
      </c>
      <c r="O287" s="8">
        <v>45558.449189814812</v>
      </c>
      <c r="P287" s="9">
        <v>45561</v>
      </c>
      <c r="Q287" t="s">
        <v>46</v>
      </c>
      <c r="R287" t="s">
        <v>47</v>
      </c>
      <c r="S287" t="s">
        <v>48</v>
      </c>
      <c r="T287" t="s">
        <v>90</v>
      </c>
      <c r="U287" t="s">
        <v>977</v>
      </c>
      <c r="V287">
        <v>88300</v>
      </c>
      <c r="W287" t="s">
        <v>92</v>
      </c>
      <c r="X287" t="s">
        <v>51</v>
      </c>
      <c r="Y287" t="s">
        <v>52</v>
      </c>
      <c r="Z287" s="12">
        <f>IF(N287&lt;=1,13,IF(N287&lt;=2,23,IF(N287&lt;=3,35,IF(N287&lt;=4,43,IF(N287&lt;=5,53,IF(N287&lt;=6,63,IF(N287&lt;=7,71,IF(N287&lt;=8,79,IF(N287&lt;=9,87,IF(N287&lt;=10,95,IF(N287&lt;=11,105,IF(N287&lt;=12,114,IF(N287&lt;=13,119,IF(N287&lt;=14,127,IF(N287&lt;=15,135,IF(N287&lt;=16,143,IF(N287&lt;=17,153,IF(N287&lt;=18,163,IF(N287&lt;=19,171,IF(N287&lt;=20,185,IF(N287&lt;=21,193,IF(N287&lt;=22,201,IF(N287&lt;=23,210,IF(N287&lt;=24,220,IF(N287&lt;=25,230,IF(N287&lt;=26,240,IF(N287&lt;=27,250,IF(N287&lt;=28,260,IF(N287&lt;=29,270,IF(N287&lt;=30,280,280+10*ROUNDUP(N287-30,0)))))))))))))))))))))))))))))))</f>
        <v>13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40"/>
        <v>0.78</v>
      </c>
      <c r="AG287" s="11">
        <f t="shared" si="38"/>
        <v>13.78</v>
      </c>
      <c r="AH287" s="11">
        <v>0</v>
      </c>
      <c r="AI287" s="11">
        <f t="shared" si="39"/>
        <v>13.78</v>
      </c>
      <c r="AJ287" t="s">
        <v>94</v>
      </c>
    </row>
    <row r="288" spans="1:36" ht="15" customHeight="1" x14ac:dyDescent="0.35">
      <c r="A288">
        <v>7547676</v>
      </c>
      <c r="B288" t="s">
        <v>36</v>
      </c>
      <c r="C288" t="s">
        <v>37</v>
      </c>
      <c r="D288" s="6" t="s">
        <v>36</v>
      </c>
      <c r="E288" t="s">
        <v>978</v>
      </c>
      <c r="F288" t="s">
        <v>39</v>
      </c>
      <c r="G288" t="s">
        <v>40</v>
      </c>
      <c r="H288" t="s">
        <v>979</v>
      </c>
      <c r="I288" t="s">
        <v>42</v>
      </c>
      <c r="J288">
        <v>2</v>
      </c>
      <c r="K288" t="s">
        <v>43</v>
      </c>
      <c r="L288" t="s">
        <v>44</v>
      </c>
      <c r="M288" t="s">
        <v>45</v>
      </c>
      <c r="N288" s="7">
        <v>3</v>
      </c>
      <c r="O288" s="8">
        <v>45558.782326388886</v>
      </c>
      <c r="P288" s="9">
        <v>45561</v>
      </c>
      <c r="Q288" t="s">
        <v>46</v>
      </c>
      <c r="R288" t="s">
        <v>47</v>
      </c>
      <c r="S288" t="s">
        <v>48</v>
      </c>
      <c r="T288" t="s">
        <v>241</v>
      </c>
      <c r="U288" t="s">
        <v>980</v>
      </c>
      <c r="V288">
        <v>1000</v>
      </c>
      <c r="W288" t="s">
        <v>47</v>
      </c>
      <c r="X288" t="s">
        <v>51</v>
      </c>
      <c r="Y288" t="s">
        <v>52</v>
      </c>
      <c r="Z288" s="10">
        <f t="shared" ref="Z288:Z325" si="42">IF(N288&lt;=1,9,9+0.8*ROUNDUP(N288-1,0))</f>
        <v>10.6</v>
      </c>
      <c r="AA288" s="11">
        <v>-2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40"/>
        <v>0.51600000000000001</v>
      </c>
      <c r="AG288" s="11">
        <f t="shared" si="38"/>
        <v>9.1159999999999997</v>
      </c>
      <c r="AH288" s="11">
        <v>0</v>
      </c>
      <c r="AI288" s="11">
        <f t="shared" si="39"/>
        <v>9.1159999999999997</v>
      </c>
      <c r="AJ288" t="s">
        <v>53</v>
      </c>
    </row>
    <row r="289" spans="1:36" ht="15" customHeight="1" x14ac:dyDescent="0.35">
      <c r="A289">
        <v>7547676</v>
      </c>
      <c r="B289" t="s">
        <v>36</v>
      </c>
      <c r="C289" t="s">
        <v>37</v>
      </c>
      <c r="D289" s="6" t="s">
        <v>36</v>
      </c>
      <c r="E289" t="s">
        <v>981</v>
      </c>
      <c r="F289" t="s">
        <v>39</v>
      </c>
      <c r="G289" t="s">
        <v>40</v>
      </c>
      <c r="H289" t="s">
        <v>982</v>
      </c>
      <c r="I289" t="s">
        <v>42</v>
      </c>
      <c r="J289">
        <v>2</v>
      </c>
      <c r="K289" t="s">
        <v>43</v>
      </c>
      <c r="L289" t="s">
        <v>44</v>
      </c>
      <c r="M289" t="s">
        <v>45</v>
      </c>
      <c r="N289" s="7">
        <v>1</v>
      </c>
      <c r="O289" s="8">
        <v>45559.791643518518</v>
      </c>
      <c r="P289" s="9">
        <v>45561</v>
      </c>
      <c r="Q289" t="s">
        <v>46</v>
      </c>
      <c r="R289" t="s">
        <v>47</v>
      </c>
      <c r="S289" t="s">
        <v>48</v>
      </c>
      <c r="T289" t="s">
        <v>128</v>
      </c>
      <c r="U289" t="s">
        <v>983</v>
      </c>
      <c r="V289">
        <v>51100</v>
      </c>
      <c r="W289" t="s">
        <v>47</v>
      </c>
      <c r="X289" t="s">
        <v>750</v>
      </c>
      <c r="Y289" t="s">
        <v>52</v>
      </c>
      <c r="Z289" s="10">
        <f t="shared" si="42"/>
        <v>9</v>
      </c>
      <c r="AA289" s="11">
        <v>-2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40"/>
        <v>0.42</v>
      </c>
      <c r="AG289" s="11">
        <f t="shared" si="38"/>
        <v>7.42</v>
      </c>
      <c r="AH289" s="11">
        <v>0</v>
      </c>
      <c r="AI289" s="11">
        <f t="shared" si="39"/>
        <v>7.42</v>
      </c>
      <c r="AJ289" t="s">
        <v>53</v>
      </c>
    </row>
    <row r="290" spans="1:36" ht="15" customHeight="1" x14ac:dyDescent="0.35">
      <c r="A290">
        <v>7547676</v>
      </c>
      <c r="B290" t="s">
        <v>36</v>
      </c>
      <c r="C290" t="s">
        <v>37</v>
      </c>
      <c r="D290" s="6" t="s">
        <v>36</v>
      </c>
      <c r="E290" t="s">
        <v>984</v>
      </c>
      <c r="F290" t="s">
        <v>39</v>
      </c>
      <c r="G290" t="s">
        <v>40</v>
      </c>
      <c r="H290" t="s">
        <v>985</v>
      </c>
      <c r="I290" t="s">
        <v>42</v>
      </c>
      <c r="J290">
        <v>2</v>
      </c>
      <c r="K290" t="s">
        <v>43</v>
      </c>
      <c r="L290" t="s">
        <v>44</v>
      </c>
      <c r="M290" t="s">
        <v>45</v>
      </c>
      <c r="N290" s="7">
        <v>1</v>
      </c>
      <c r="O290" s="8">
        <v>45559.791631944441</v>
      </c>
      <c r="P290" s="9">
        <v>45561</v>
      </c>
      <c r="Q290" t="s">
        <v>46</v>
      </c>
      <c r="R290" t="s">
        <v>47</v>
      </c>
      <c r="S290" t="s">
        <v>48</v>
      </c>
      <c r="T290" t="s">
        <v>128</v>
      </c>
      <c r="U290" t="s">
        <v>986</v>
      </c>
      <c r="V290">
        <v>51000</v>
      </c>
      <c r="W290" t="s">
        <v>47</v>
      </c>
      <c r="X290" t="s">
        <v>51</v>
      </c>
      <c r="Y290" t="s">
        <v>52</v>
      </c>
      <c r="Z290" s="10">
        <f t="shared" si="42"/>
        <v>9</v>
      </c>
      <c r="AA290" s="11">
        <v>-2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40"/>
        <v>0.42</v>
      </c>
      <c r="AG290" s="11">
        <f t="shared" si="38"/>
        <v>7.42</v>
      </c>
      <c r="AH290" s="11">
        <v>0</v>
      </c>
      <c r="AI290" s="11">
        <f t="shared" si="39"/>
        <v>7.42</v>
      </c>
      <c r="AJ290" t="s">
        <v>53</v>
      </c>
    </row>
    <row r="291" spans="1:36" ht="15" customHeight="1" x14ac:dyDescent="0.35">
      <c r="A291">
        <v>7547676</v>
      </c>
      <c r="B291" t="s">
        <v>36</v>
      </c>
      <c r="C291" t="s">
        <v>37</v>
      </c>
      <c r="D291" s="6" t="s">
        <v>36</v>
      </c>
      <c r="E291" t="s">
        <v>987</v>
      </c>
      <c r="F291" t="s">
        <v>39</v>
      </c>
      <c r="G291" t="s">
        <v>40</v>
      </c>
      <c r="H291" t="s">
        <v>988</v>
      </c>
      <c r="I291" t="s">
        <v>42</v>
      </c>
      <c r="J291">
        <v>2</v>
      </c>
      <c r="K291" t="s">
        <v>43</v>
      </c>
      <c r="L291" t="s">
        <v>44</v>
      </c>
      <c r="M291" t="s">
        <v>45</v>
      </c>
      <c r="N291" s="7">
        <v>1</v>
      </c>
      <c r="O291" s="8">
        <v>45558.787951388891</v>
      </c>
      <c r="P291" s="9">
        <v>45561</v>
      </c>
      <c r="Q291" t="s">
        <v>46</v>
      </c>
      <c r="R291" t="s">
        <v>47</v>
      </c>
      <c r="S291" t="s">
        <v>48</v>
      </c>
      <c r="T291" t="s">
        <v>278</v>
      </c>
      <c r="U291" t="s">
        <v>989</v>
      </c>
      <c r="V291">
        <v>39000</v>
      </c>
      <c r="W291" t="s">
        <v>47</v>
      </c>
      <c r="X291" t="s">
        <v>188</v>
      </c>
      <c r="Y291" t="s">
        <v>52</v>
      </c>
      <c r="Z291" s="10">
        <f t="shared" si="42"/>
        <v>9</v>
      </c>
      <c r="AA291" s="11">
        <v>-2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40"/>
        <v>0.42</v>
      </c>
      <c r="AG291" s="11">
        <f t="shared" si="38"/>
        <v>7.42</v>
      </c>
      <c r="AH291" s="11">
        <v>0</v>
      </c>
      <c r="AI291" s="11">
        <f t="shared" si="39"/>
        <v>7.42</v>
      </c>
      <c r="AJ291" t="s">
        <v>53</v>
      </c>
    </row>
    <row r="292" spans="1:36" ht="15" customHeight="1" x14ac:dyDescent="0.35">
      <c r="A292">
        <v>7547676</v>
      </c>
      <c r="B292" t="s">
        <v>36</v>
      </c>
      <c r="C292" t="s">
        <v>37</v>
      </c>
      <c r="D292" s="6" t="s">
        <v>36</v>
      </c>
      <c r="E292" t="s">
        <v>990</v>
      </c>
      <c r="F292" t="s">
        <v>39</v>
      </c>
      <c r="G292" t="s">
        <v>40</v>
      </c>
      <c r="H292" t="s">
        <v>991</v>
      </c>
      <c r="I292" t="s">
        <v>42</v>
      </c>
      <c r="J292">
        <v>2</v>
      </c>
      <c r="K292" t="s">
        <v>43</v>
      </c>
      <c r="L292" t="s">
        <v>44</v>
      </c>
      <c r="M292" t="s">
        <v>45</v>
      </c>
      <c r="N292" s="7">
        <v>1</v>
      </c>
      <c r="O292" s="8">
        <v>45559.612060185187</v>
      </c>
      <c r="P292" s="9">
        <v>45561</v>
      </c>
      <c r="Q292" t="s">
        <v>46</v>
      </c>
      <c r="R292" t="s">
        <v>47</v>
      </c>
      <c r="S292" t="s">
        <v>48</v>
      </c>
      <c r="T292" t="s">
        <v>66</v>
      </c>
      <c r="U292" t="s">
        <v>992</v>
      </c>
      <c r="V292">
        <v>81930</v>
      </c>
      <c r="W292" t="s">
        <v>47</v>
      </c>
      <c r="X292" t="s">
        <v>993</v>
      </c>
      <c r="Y292" t="s">
        <v>52</v>
      </c>
      <c r="Z292" s="10">
        <f t="shared" si="42"/>
        <v>9</v>
      </c>
      <c r="AA292" s="11">
        <v>-2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40"/>
        <v>0.42</v>
      </c>
      <c r="AG292" s="11">
        <f t="shared" si="38"/>
        <v>7.42</v>
      </c>
      <c r="AH292" s="11">
        <v>0</v>
      </c>
      <c r="AI292" s="11">
        <f t="shared" si="39"/>
        <v>7.42</v>
      </c>
      <c r="AJ292" t="s">
        <v>53</v>
      </c>
    </row>
    <row r="293" spans="1:36" ht="15" customHeight="1" x14ac:dyDescent="0.35">
      <c r="A293">
        <v>7547676</v>
      </c>
      <c r="B293" t="s">
        <v>36</v>
      </c>
      <c r="C293" t="s">
        <v>37</v>
      </c>
      <c r="D293" s="6" t="s">
        <v>36</v>
      </c>
      <c r="E293" t="s">
        <v>994</v>
      </c>
      <c r="F293" t="s">
        <v>39</v>
      </c>
      <c r="G293" t="s">
        <v>40</v>
      </c>
      <c r="H293" t="s">
        <v>995</v>
      </c>
      <c r="I293" t="s">
        <v>42</v>
      </c>
      <c r="J293">
        <v>2</v>
      </c>
      <c r="K293" t="s">
        <v>43</v>
      </c>
      <c r="L293" t="s">
        <v>44</v>
      </c>
      <c r="M293" t="s">
        <v>45</v>
      </c>
      <c r="N293" s="7">
        <v>1</v>
      </c>
      <c r="O293" s="8">
        <v>45533.425347222219</v>
      </c>
      <c r="P293" s="9">
        <v>45536</v>
      </c>
      <c r="Q293" t="s">
        <v>46</v>
      </c>
      <c r="R293" t="s">
        <v>47</v>
      </c>
      <c r="S293" t="s">
        <v>48</v>
      </c>
      <c r="T293" t="s">
        <v>66</v>
      </c>
      <c r="U293" t="s">
        <v>996</v>
      </c>
      <c r="V293">
        <v>86100</v>
      </c>
      <c r="W293" t="s">
        <v>47</v>
      </c>
      <c r="X293" t="s">
        <v>51</v>
      </c>
      <c r="Y293" t="s">
        <v>52</v>
      </c>
      <c r="Z293" s="10">
        <f t="shared" si="42"/>
        <v>9</v>
      </c>
      <c r="AA293" s="11">
        <v>-2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40"/>
        <v>0.42</v>
      </c>
      <c r="AG293" s="11">
        <f t="shared" si="38"/>
        <v>7.42</v>
      </c>
      <c r="AH293" s="11">
        <v>0</v>
      </c>
      <c r="AI293" s="11">
        <f t="shared" si="39"/>
        <v>7.42</v>
      </c>
      <c r="AJ293" t="s">
        <v>53</v>
      </c>
    </row>
    <row r="294" spans="1:36" ht="15" customHeight="1" x14ac:dyDescent="0.35">
      <c r="A294">
        <v>7547676</v>
      </c>
      <c r="B294" t="s">
        <v>36</v>
      </c>
      <c r="C294" t="s">
        <v>37</v>
      </c>
      <c r="D294" s="6" t="s">
        <v>36</v>
      </c>
      <c r="E294" t="s">
        <v>997</v>
      </c>
      <c r="F294" t="s">
        <v>39</v>
      </c>
      <c r="G294" t="s">
        <v>40</v>
      </c>
      <c r="H294" t="s">
        <v>998</v>
      </c>
      <c r="I294" t="s">
        <v>42</v>
      </c>
      <c r="J294">
        <v>2</v>
      </c>
      <c r="K294" t="s">
        <v>43</v>
      </c>
      <c r="L294" t="s">
        <v>44</v>
      </c>
      <c r="M294" t="s">
        <v>45</v>
      </c>
      <c r="N294" s="7">
        <v>3</v>
      </c>
      <c r="O294" s="8">
        <v>45533.487222222226</v>
      </c>
      <c r="P294" s="9">
        <v>45536</v>
      </c>
      <c r="Q294" t="s">
        <v>46</v>
      </c>
      <c r="R294" t="s">
        <v>47</v>
      </c>
      <c r="S294" t="s">
        <v>48</v>
      </c>
      <c r="T294" t="s">
        <v>128</v>
      </c>
      <c r="U294" t="s">
        <v>999</v>
      </c>
      <c r="V294">
        <v>47400</v>
      </c>
      <c r="W294" t="s">
        <v>47</v>
      </c>
      <c r="X294" t="s">
        <v>51</v>
      </c>
      <c r="Y294" t="s">
        <v>52</v>
      </c>
      <c r="Z294" s="10">
        <f t="shared" si="42"/>
        <v>10.6</v>
      </c>
      <c r="AA294" s="11">
        <v>-2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40"/>
        <v>0.51600000000000001</v>
      </c>
      <c r="AG294" s="11">
        <f t="shared" si="38"/>
        <v>9.1159999999999997</v>
      </c>
      <c r="AH294" s="11">
        <v>0</v>
      </c>
      <c r="AI294" s="11">
        <f t="shared" si="39"/>
        <v>9.1159999999999997</v>
      </c>
      <c r="AJ294" t="s">
        <v>53</v>
      </c>
    </row>
    <row r="295" spans="1:36" ht="15" customHeight="1" x14ac:dyDescent="0.35">
      <c r="A295">
        <v>7547676</v>
      </c>
      <c r="B295" t="s">
        <v>36</v>
      </c>
      <c r="C295" t="s">
        <v>37</v>
      </c>
      <c r="D295" s="6" t="s">
        <v>36</v>
      </c>
      <c r="E295" t="s">
        <v>1000</v>
      </c>
      <c r="F295" t="s">
        <v>39</v>
      </c>
      <c r="G295" t="s">
        <v>40</v>
      </c>
      <c r="H295" t="s">
        <v>1001</v>
      </c>
      <c r="I295" t="s">
        <v>42</v>
      </c>
      <c r="J295">
        <v>2</v>
      </c>
      <c r="K295" t="s">
        <v>43</v>
      </c>
      <c r="L295" t="s">
        <v>44</v>
      </c>
      <c r="M295" t="s">
        <v>45</v>
      </c>
      <c r="N295" s="7">
        <v>1</v>
      </c>
      <c r="O295" s="8">
        <v>45533.698935185188</v>
      </c>
      <c r="P295" s="9">
        <v>45536</v>
      </c>
      <c r="Q295" t="s">
        <v>46</v>
      </c>
      <c r="R295" t="s">
        <v>47</v>
      </c>
      <c r="S295" t="s">
        <v>48</v>
      </c>
      <c r="T295" t="s">
        <v>56</v>
      </c>
      <c r="U295" t="s">
        <v>1002</v>
      </c>
      <c r="V295">
        <v>8000</v>
      </c>
      <c r="W295" t="s">
        <v>47</v>
      </c>
      <c r="X295" t="s">
        <v>891</v>
      </c>
      <c r="Y295" t="s">
        <v>52</v>
      </c>
      <c r="Z295" s="10">
        <f t="shared" si="42"/>
        <v>9</v>
      </c>
      <c r="AA295" s="11">
        <v>-2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40"/>
        <v>0.42</v>
      </c>
      <c r="AG295" s="11">
        <f t="shared" si="38"/>
        <v>7.42</v>
      </c>
      <c r="AH295" s="11">
        <v>0</v>
      </c>
      <c r="AI295" s="11">
        <f t="shared" si="39"/>
        <v>7.42</v>
      </c>
      <c r="AJ295" t="s">
        <v>53</v>
      </c>
    </row>
    <row r="296" spans="1:36" ht="15" customHeight="1" x14ac:dyDescent="0.35">
      <c r="A296">
        <v>7547676</v>
      </c>
      <c r="B296" t="s">
        <v>36</v>
      </c>
      <c r="C296" t="s">
        <v>37</v>
      </c>
      <c r="D296" s="6" t="s">
        <v>36</v>
      </c>
      <c r="E296" t="s">
        <v>1003</v>
      </c>
      <c r="F296" t="s">
        <v>39</v>
      </c>
      <c r="G296" t="s">
        <v>40</v>
      </c>
      <c r="H296" t="s">
        <v>1004</v>
      </c>
      <c r="I296" t="s">
        <v>42</v>
      </c>
      <c r="J296">
        <v>2</v>
      </c>
      <c r="K296" t="s">
        <v>43</v>
      </c>
      <c r="L296" t="s">
        <v>44</v>
      </c>
      <c r="M296" t="s">
        <v>45</v>
      </c>
      <c r="N296" s="7">
        <v>1</v>
      </c>
      <c r="O296" s="8">
        <v>45534.458587962959</v>
      </c>
      <c r="P296" s="9">
        <v>45536</v>
      </c>
      <c r="Q296" t="s">
        <v>89</v>
      </c>
      <c r="R296" t="s">
        <v>47</v>
      </c>
      <c r="S296" t="s">
        <v>48</v>
      </c>
      <c r="T296" t="s">
        <v>136</v>
      </c>
      <c r="U296" t="s">
        <v>1005</v>
      </c>
      <c r="V296">
        <v>36800</v>
      </c>
      <c r="W296" t="s">
        <v>47</v>
      </c>
      <c r="X296" t="s">
        <v>1006</v>
      </c>
      <c r="Y296" t="s">
        <v>52</v>
      </c>
      <c r="Z296" s="10">
        <f t="shared" si="42"/>
        <v>9</v>
      </c>
      <c r="AA296" s="11">
        <v>-2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40"/>
        <v>0.42</v>
      </c>
      <c r="AG296" s="11">
        <f t="shared" si="38"/>
        <v>7.42</v>
      </c>
      <c r="AH296" s="11">
        <v>0</v>
      </c>
      <c r="AI296" s="11">
        <f t="shared" si="39"/>
        <v>7.42</v>
      </c>
      <c r="AJ296" t="s">
        <v>53</v>
      </c>
    </row>
    <row r="297" spans="1:36" ht="15" customHeight="1" x14ac:dyDescent="0.35">
      <c r="A297">
        <v>7547676</v>
      </c>
      <c r="B297" t="s">
        <v>36</v>
      </c>
      <c r="C297" t="s">
        <v>37</v>
      </c>
      <c r="D297" s="6" t="s">
        <v>36</v>
      </c>
      <c r="E297" t="s">
        <v>1007</v>
      </c>
      <c r="F297" t="s">
        <v>39</v>
      </c>
      <c r="G297" t="s">
        <v>40</v>
      </c>
      <c r="H297" t="s">
        <v>1008</v>
      </c>
      <c r="I297" t="s">
        <v>42</v>
      </c>
      <c r="J297">
        <v>2</v>
      </c>
      <c r="K297" t="s">
        <v>43</v>
      </c>
      <c r="L297" t="s">
        <v>44</v>
      </c>
      <c r="M297" t="s">
        <v>45</v>
      </c>
      <c r="N297" s="7">
        <v>1</v>
      </c>
      <c r="O297" s="8">
        <v>45533.717349537037</v>
      </c>
      <c r="P297" s="9">
        <v>45536</v>
      </c>
      <c r="Q297" t="s">
        <v>46</v>
      </c>
      <c r="R297" t="s">
        <v>47</v>
      </c>
      <c r="S297" t="s">
        <v>48</v>
      </c>
      <c r="T297" t="s">
        <v>123</v>
      </c>
      <c r="U297" t="s">
        <v>1009</v>
      </c>
      <c r="V297">
        <v>41250</v>
      </c>
      <c r="W297" t="s">
        <v>47</v>
      </c>
      <c r="X297" t="s">
        <v>1010</v>
      </c>
      <c r="Y297" t="s">
        <v>52</v>
      </c>
      <c r="Z297" s="10">
        <f t="shared" si="42"/>
        <v>9</v>
      </c>
      <c r="AA297" s="11">
        <v>-2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40"/>
        <v>0.42</v>
      </c>
      <c r="AG297" s="11">
        <f t="shared" si="38"/>
        <v>7.42</v>
      </c>
      <c r="AH297" s="11">
        <v>0</v>
      </c>
      <c r="AI297" s="11">
        <f t="shared" si="39"/>
        <v>7.42</v>
      </c>
      <c r="AJ297" t="s">
        <v>53</v>
      </c>
    </row>
    <row r="298" spans="1:36" ht="15" customHeight="1" x14ac:dyDescent="0.35">
      <c r="A298">
        <v>7547676</v>
      </c>
      <c r="B298" t="s">
        <v>36</v>
      </c>
      <c r="C298" t="s">
        <v>37</v>
      </c>
      <c r="D298" s="6" t="s">
        <v>36</v>
      </c>
      <c r="E298" t="s">
        <v>1011</v>
      </c>
      <c r="F298" t="s">
        <v>39</v>
      </c>
      <c r="G298" t="s">
        <v>40</v>
      </c>
      <c r="H298" t="s">
        <v>1012</v>
      </c>
      <c r="I298" t="s">
        <v>42</v>
      </c>
      <c r="J298">
        <v>2</v>
      </c>
      <c r="K298" t="s">
        <v>43</v>
      </c>
      <c r="L298" t="s">
        <v>44</v>
      </c>
      <c r="M298" t="s">
        <v>45</v>
      </c>
      <c r="N298" s="7">
        <v>1</v>
      </c>
      <c r="O298" s="8">
        <v>45533.713055555556</v>
      </c>
      <c r="P298" s="9">
        <v>45536</v>
      </c>
      <c r="Q298" t="s">
        <v>46</v>
      </c>
      <c r="R298" t="s">
        <v>47</v>
      </c>
      <c r="S298" t="s">
        <v>48</v>
      </c>
      <c r="T298" t="s">
        <v>123</v>
      </c>
      <c r="U298" t="s">
        <v>1013</v>
      </c>
      <c r="V298">
        <v>41050</v>
      </c>
      <c r="W298" t="s">
        <v>47</v>
      </c>
      <c r="X298" t="s">
        <v>392</v>
      </c>
      <c r="Y298" t="s">
        <v>52</v>
      </c>
      <c r="Z298" s="10">
        <f t="shared" si="42"/>
        <v>9</v>
      </c>
      <c r="AA298" s="11">
        <v>-2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40"/>
        <v>0.42</v>
      </c>
      <c r="AG298" s="11">
        <f t="shared" si="38"/>
        <v>7.42</v>
      </c>
      <c r="AH298" s="11">
        <v>0</v>
      </c>
      <c r="AI298" s="11">
        <f t="shared" si="39"/>
        <v>7.42</v>
      </c>
      <c r="AJ298" t="s">
        <v>53</v>
      </c>
    </row>
    <row r="299" spans="1:36" ht="15" customHeight="1" x14ac:dyDescent="0.35">
      <c r="A299">
        <v>7547676</v>
      </c>
      <c r="B299" t="s">
        <v>36</v>
      </c>
      <c r="C299" t="s">
        <v>37</v>
      </c>
      <c r="D299" s="6" t="s">
        <v>36</v>
      </c>
      <c r="E299" t="s">
        <v>1014</v>
      </c>
      <c r="F299" t="s">
        <v>39</v>
      </c>
      <c r="G299" t="s">
        <v>40</v>
      </c>
      <c r="H299" t="s">
        <v>1015</v>
      </c>
      <c r="I299" t="s">
        <v>42</v>
      </c>
      <c r="J299">
        <v>2</v>
      </c>
      <c r="K299" t="s">
        <v>43</v>
      </c>
      <c r="L299" t="s">
        <v>44</v>
      </c>
      <c r="M299" t="s">
        <v>45</v>
      </c>
      <c r="N299" s="7">
        <v>10</v>
      </c>
      <c r="O299" s="8">
        <v>45533.498703703706</v>
      </c>
      <c r="P299" s="9">
        <v>45536</v>
      </c>
      <c r="Q299" t="s">
        <v>46</v>
      </c>
      <c r="R299" t="s">
        <v>47</v>
      </c>
      <c r="S299" t="s">
        <v>48</v>
      </c>
      <c r="T299" t="s">
        <v>66</v>
      </c>
      <c r="U299" t="s">
        <v>1016</v>
      </c>
      <c r="V299">
        <v>84000</v>
      </c>
      <c r="W299" t="s">
        <v>47</v>
      </c>
      <c r="X299" t="s">
        <v>1017</v>
      </c>
      <c r="Y299" t="s">
        <v>52</v>
      </c>
      <c r="Z299" s="10">
        <f t="shared" si="42"/>
        <v>16.2</v>
      </c>
      <c r="AA299" s="11">
        <v>-2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40"/>
        <v>0.85199999999999998</v>
      </c>
      <c r="AG299" s="11">
        <f t="shared" si="38"/>
        <v>15.052</v>
      </c>
      <c r="AH299" s="11">
        <v>0</v>
      </c>
      <c r="AI299" s="11">
        <f t="shared" si="39"/>
        <v>15.052</v>
      </c>
      <c r="AJ299" t="s">
        <v>53</v>
      </c>
    </row>
    <row r="300" spans="1:36" ht="15" customHeight="1" x14ac:dyDescent="0.35">
      <c r="A300">
        <v>7547676</v>
      </c>
      <c r="B300" t="s">
        <v>36</v>
      </c>
      <c r="C300" t="s">
        <v>37</v>
      </c>
      <c r="D300" s="6" t="s">
        <v>36</v>
      </c>
      <c r="E300" t="s">
        <v>1018</v>
      </c>
      <c r="F300" t="s">
        <v>39</v>
      </c>
      <c r="G300" t="s">
        <v>40</v>
      </c>
      <c r="H300" t="s">
        <v>1019</v>
      </c>
      <c r="I300" t="s">
        <v>42</v>
      </c>
      <c r="J300">
        <v>2</v>
      </c>
      <c r="K300" t="s">
        <v>43</v>
      </c>
      <c r="L300" t="s">
        <v>44</v>
      </c>
      <c r="M300" t="s">
        <v>45</v>
      </c>
      <c r="N300" s="7">
        <v>5</v>
      </c>
      <c r="O300" s="8">
        <v>45533.505243055559</v>
      </c>
      <c r="P300" s="9">
        <v>45536</v>
      </c>
      <c r="Q300" t="s">
        <v>46</v>
      </c>
      <c r="R300" t="s">
        <v>47</v>
      </c>
      <c r="S300" t="s">
        <v>48</v>
      </c>
      <c r="T300" t="s">
        <v>128</v>
      </c>
      <c r="U300" t="s">
        <v>1020</v>
      </c>
      <c r="V300">
        <v>56000</v>
      </c>
      <c r="W300" t="s">
        <v>47</v>
      </c>
      <c r="X300" t="s">
        <v>1021</v>
      </c>
      <c r="Y300" t="s">
        <v>52</v>
      </c>
      <c r="Z300" s="10">
        <f t="shared" si="42"/>
        <v>12.2</v>
      </c>
      <c r="AA300" s="11">
        <v>-2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40"/>
        <v>0.61199999999999999</v>
      </c>
      <c r="AG300" s="11">
        <f t="shared" si="38"/>
        <v>10.811999999999999</v>
      </c>
      <c r="AH300" s="11">
        <v>0</v>
      </c>
      <c r="AI300" s="11">
        <f t="shared" si="39"/>
        <v>10.811999999999999</v>
      </c>
      <c r="AJ300" t="s">
        <v>53</v>
      </c>
    </row>
    <row r="301" spans="1:36" ht="15" customHeight="1" x14ac:dyDescent="0.35">
      <c r="A301">
        <v>7547676</v>
      </c>
      <c r="B301" t="s">
        <v>36</v>
      </c>
      <c r="C301" t="s">
        <v>37</v>
      </c>
      <c r="D301" s="6" t="s">
        <v>36</v>
      </c>
      <c r="E301" t="s">
        <v>1022</v>
      </c>
      <c r="F301" t="s">
        <v>39</v>
      </c>
      <c r="G301" t="s">
        <v>40</v>
      </c>
      <c r="H301" t="s">
        <v>668</v>
      </c>
      <c r="I301" t="s">
        <v>42</v>
      </c>
      <c r="J301">
        <v>2</v>
      </c>
      <c r="K301" t="s">
        <v>43</v>
      </c>
      <c r="L301" t="s">
        <v>44</v>
      </c>
      <c r="M301" t="s">
        <v>45</v>
      </c>
      <c r="N301" s="7">
        <v>1</v>
      </c>
      <c r="O301" s="8">
        <v>45533.717361111114</v>
      </c>
      <c r="P301" s="9">
        <v>45536</v>
      </c>
      <c r="Q301" t="s">
        <v>46</v>
      </c>
      <c r="R301" t="s">
        <v>47</v>
      </c>
      <c r="S301" t="s">
        <v>48</v>
      </c>
      <c r="T301" t="s">
        <v>123</v>
      </c>
      <c r="U301" t="s">
        <v>669</v>
      </c>
      <c r="V301">
        <v>43300</v>
      </c>
      <c r="W301" t="s">
        <v>47</v>
      </c>
      <c r="X301" t="s">
        <v>461</v>
      </c>
      <c r="Y301" t="s">
        <v>52</v>
      </c>
      <c r="Z301" s="10">
        <f t="shared" si="42"/>
        <v>9</v>
      </c>
      <c r="AA301" s="11">
        <v>-2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40"/>
        <v>0.42</v>
      </c>
      <c r="AG301" s="11">
        <f t="shared" si="38"/>
        <v>7.42</v>
      </c>
      <c r="AH301" s="11">
        <v>0</v>
      </c>
      <c r="AI301" s="11">
        <f t="shared" si="39"/>
        <v>7.42</v>
      </c>
      <c r="AJ301" t="s">
        <v>53</v>
      </c>
    </row>
    <row r="302" spans="1:36" ht="15" customHeight="1" x14ac:dyDescent="0.35">
      <c r="A302">
        <v>7547676</v>
      </c>
      <c r="B302" t="s">
        <v>36</v>
      </c>
      <c r="C302" t="s">
        <v>37</v>
      </c>
      <c r="D302" s="6" t="s">
        <v>36</v>
      </c>
      <c r="E302" t="s">
        <v>1023</v>
      </c>
      <c r="F302" t="s">
        <v>39</v>
      </c>
      <c r="G302" t="s">
        <v>40</v>
      </c>
      <c r="H302" t="s">
        <v>1024</v>
      </c>
      <c r="I302" t="s">
        <v>42</v>
      </c>
      <c r="J302">
        <v>2</v>
      </c>
      <c r="K302" t="s">
        <v>43</v>
      </c>
      <c r="L302" t="s">
        <v>44</v>
      </c>
      <c r="M302" t="s">
        <v>45</v>
      </c>
      <c r="N302" s="7">
        <v>1</v>
      </c>
      <c r="O302" s="8">
        <v>45533.717349537037</v>
      </c>
      <c r="P302" s="9">
        <v>45536</v>
      </c>
      <c r="Q302" t="s">
        <v>46</v>
      </c>
      <c r="R302" t="s">
        <v>47</v>
      </c>
      <c r="S302" t="s">
        <v>48</v>
      </c>
      <c r="T302" t="s">
        <v>136</v>
      </c>
      <c r="U302" t="s">
        <v>1025</v>
      </c>
      <c r="V302">
        <v>30100</v>
      </c>
      <c r="W302" t="s">
        <v>47</v>
      </c>
      <c r="X302" t="s">
        <v>754</v>
      </c>
      <c r="Y302" t="s">
        <v>52</v>
      </c>
      <c r="Z302" s="10">
        <f t="shared" si="42"/>
        <v>9</v>
      </c>
      <c r="AA302" s="11">
        <v>-2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40"/>
        <v>0.42</v>
      </c>
      <c r="AG302" s="11">
        <f t="shared" si="38"/>
        <v>7.42</v>
      </c>
      <c r="AH302" s="11">
        <v>0</v>
      </c>
      <c r="AI302" s="11">
        <f t="shared" si="39"/>
        <v>7.42</v>
      </c>
      <c r="AJ302" t="s">
        <v>53</v>
      </c>
    </row>
    <row r="303" spans="1:36" ht="15" customHeight="1" x14ac:dyDescent="0.35">
      <c r="A303">
        <v>7547676</v>
      </c>
      <c r="B303" t="s">
        <v>36</v>
      </c>
      <c r="C303" t="s">
        <v>37</v>
      </c>
      <c r="D303" s="6" t="s">
        <v>36</v>
      </c>
      <c r="E303" t="s">
        <v>1026</v>
      </c>
      <c r="F303" t="s">
        <v>39</v>
      </c>
      <c r="G303" t="s">
        <v>40</v>
      </c>
      <c r="H303" t="s">
        <v>1027</v>
      </c>
      <c r="I303" t="s">
        <v>42</v>
      </c>
      <c r="J303">
        <v>2</v>
      </c>
      <c r="K303" t="s">
        <v>43</v>
      </c>
      <c r="L303" t="s">
        <v>44</v>
      </c>
      <c r="M303" t="s">
        <v>45</v>
      </c>
      <c r="N303" s="7">
        <v>1</v>
      </c>
      <c r="O303" s="8">
        <v>45532.75540509259</v>
      </c>
      <c r="P303" s="9">
        <v>45536</v>
      </c>
      <c r="Q303" t="s">
        <v>46</v>
      </c>
      <c r="R303" t="s">
        <v>47</v>
      </c>
      <c r="S303" t="s">
        <v>48</v>
      </c>
      <c r="T303" t="s">
        <v>136</v>
      </c>
      <c r="U303" t="s">
        <v>1028</v>
      </c>
      <c r="V303">
        <v>32500</v>
      </c>
      <c r="W303" t="s">
        <v>47</v>
      </c>
      <c r="X303" t="s">
        <v>754</v>
      </c>
      <c r="Y303" t="s">
        <v>52</v>
      </c>
      <c r="Z303" s="10">
        <f t="shared" si="42"/>
        <v>9</v>
      </c>
      <c r="AA303" s="11">
        <v>-2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40"/>
        <v>0.42</v>
      </c>
      <c r="AG303" s="11">
        <f t="shared" si="38"/>
        <v>7.42</v>
      </c>
      <c r="AH303" s="11">
        <v>0</v>
      </c>
      <c r="AI303" s="11">
        <f t="shared" si="39"/>
        <v>7.42</v>
      </c>
      <c r="AJ303" t="s">
        <v>53</v>
      </c>
    </row>
    <row r="304" spans="1:36" ht="15" customHeight="1" x14ac:dyDescent="0.35">
      <c r="A304">
        <v>7547676</v>
      </c>
      <c r="B304" t="s">
        <v>36</v>
      </c>
      <c r="C304" t="s">
        <v>37</v>
      </c>
      <c r="D304" s="6" t="s">
        <v>36</v>
      </c>
      <c r="E304" t="s">
        <v>1029</v>
      </c>
      <c r="F304" t="s">
        <v>39</v>
      </c>
      <c r="G304" t="s">
        <v>40</v>
      </c>
      <c r="H304" t="s">
        <v>1030</v>
      </c>
      <c r="I304" t="s">
        <v>42</v>
      </c>
      <c r="J304">
        <v>2</v>
      </c>
      <c r="K304" t="s">
        <v>43</v>
      </c>
      <c r="L304" t="s">
        <v>44</v>
      </c>
      <c r="M304" t="s">
        <v>45</v>
      </c>
      <c r="N304" s="7">
        <v>1</v>
      </c>
      <c r="O304" s="8">
        <v>45533.619837962964</v>
      </c>
      <c r="P304" s="9">
        <v>45536</v>
      </c>
      <c r="Q304" t="s">
        <v>46</v>
      </c>
      <c r="R304" t="s">
        <v>47</v>
      </c>
      <c r="S304" t="s">
        <v>48</v>
      </c>
      <c r="T304" t="s">
        <v>56</v>
      </c>
      <c r="U304" t="s">
        <v>1031</v>
      </c>
      <c r="V304">
        <v>8000</v>
      </c>
      <c r="W304" t="s">
        <v>47</v>
      </c>
      <c r="X304" t="s">
        <v>965</v>
      </c>
      <c r="Y304" t="s">
        <v>52</v>
      </c>
      <c r="Z304" s="10">
        <f t="shared" si="42"/>
        <v>9</v>
      </c>
      <c r="AA304" s="11">
        <v>-2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40"/>
        <v>0.42</v>
      </c>
      <c r="AG304" s="11">
        <f t="shared" si="38"/>
        <v>7.42</v>
      </c>
      <c r="AH304" s="11">
        <v>0</v>
      </c>
      <c r="AI304" s="11">
        <f t="shared" si="39"/>
        <v>7.42</v>
      </c>
      <c r="AJ304" t="s">
        <v>53</v>
      </c>
    </row>
    <row r="305" spans="1:36" ht="15" customHeight="1" x14ac:dyDescent="0.35">
      <c r="A305">
        <v>7547676</v>
      </c>
      <c r="B305" t="s">
        <v>36</v>
      </c>
      <c r="C305" t="s">
        <v>37</v>
      </c>
      <c r="D305" s="6" t="s">
        <v>36</v>
      </c>
      <c r="E305" t="s">
        <v>1032</v>
      </c>
      <c r="F305" t="s">
        <v>39</v>
      </c>
      <c r="G305" t="s">
        <v>40</v>
      </c>
      <c r="H305" t="s">
        <v>1033</v>
      </c>
      <c r="I305" t="s">
        <v>42</v>
      </c>
      <c r="J305">
        <v>2</v>
      </c>
      <c r="K305" t="s">
        <v>43</v>
      </c>
      <c r="L305" t="s">
        <v>44</v>
      </c>
      <c r="M305" t="s">
        <v>45</v>
      </c>
      <c r="N305" s="7">
        <v>1</v>
      </c>
      <c r="O305" s="8">
        <v>45533.498159722221</v>
      </c>
      <c r="P305" s="9">
        <v>45536</v>
      </c>
      <c r="Q305" t="s">
        <v>46</v>
      </c>
      <c r="R305" t="s">
        <v>47</v>
      </c>
      <c r="S305" t="s">
        <v>48</v>
      </c>
      <c r="T305" t="s">
        <v>128</v>
      </c>
      <c r="U305" t="s">
        <v>1034</v>
      </c>
      <c r="V305">
        <v>46000</v>
      </c>
      <c r="W305" t="s">
        <v>47</v>
      </c>
      <c r="X305" t="s">
        <v>594</v>
      </c>
      <c r="Y305" t="s">
        <v>52</v>
      </c>
      <c r="Z305" s="10">
        <f t="shared" si="42"/>
        <v>9</v>
      </c>
      <c r="AA305" s="11">
        <v>-2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40"/>
        <v>0.42</v>
      </c>
      <c r="AG305" s="11">
        <f t="shared" si="38"/>
        <v>7.42</v>
      </c>
      <c r="AH305" s="11">
        <v>0</v>
      </c>
      <c r="AI305" s="11">
        <f t="shared" si="39"/>
        <v>7.42</v>
      </c>
      <c r="AJ305" t="s">
        <v>53</v>
      </c>
    </row>
    <row r="306" spans="1:36" ht="15" customHeight="1" x14ac:dyDescent="0.35">
      <c r="A306">
        <v>7547676</v>
      </c>
      <c r="B306" t="s">
        <v>36</v>
      </c>
      <c r="C306" t="s">
        <v>37</v>
      </c>
      <c r="D306" s="6" t="s">
        <v>36</v>
      </c>
      <c r="E306" t="s">
        <v>1035</v>
      </c>
      <c r="F306" t="s">
        <v>39</v>
      </c>
      <c r="G306" t="s">
        <v>40</v>
      </c>
      <c r="H306" t="s">
        <v>1036</v>
      </c>
      <c r="I306" t="s">
        <v>42</v>
      </c>
      <c r="J306">
        <v>2</v>
      </c>
      <c r="K306" t="s">
        <v>43</v>
      </c>
      <c r="L306" t="s">
        <v>44</v>
      </c>
      <c r="M306" t="s">
        <v>45</v>
      </c>
      <c r="N306" s="7">
        <v>1</v>
      </c>
      <c r="O306" s="8">
        <v>45533.791238425925</v>
      </c>
      <c r="P306" s="9">
        <v>45536</v>
      </c>
      <c r="Q306" t="s">
        <v>89</v>
      </c>
      <c r="R306" t="s">
        <v>47</v>
      </c>
      <c r="S306" t="s">
        <v>48</v>
      </c>
      <c r="T306" t="s">
        <v>61</v>
      </c>
      <c r="U306" t="s">
        <v>1037</v>
      </c>
      <c r="V306">
        <v>22010</v>
      </c>
      <c r="W306" t="s">
        <v>47</v>
      </c>
      <c r="X306" t="s">
        <v>145</v>
      </c>
      <c r="Y306" t="s">
        <v>52</v>
      </c>
      <c r="Z306" s="10">
        <f t="shared" si="42"/>
        <v>9</v>
      </c>
      <c r="AA306" s="11">
        <v>-2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40"/>
        <v>0.42</v>
      </c>
      <c r="AG306" s="11">
        <f t="shared" si="38"/>
        <v>7.42</v>
      </c>
      <c r="AH306" s="11">
        <v>0</v>
      </c>
      <c r="AI306" s="11">
        <f t="shared" si="39"/>
        <v>7.42</v>
      </c>
      <c r="AJ306" t="s">
        <v>53</v>
      </c>
    </row>
    <row r="307" spans="1:36" ht="15" customHeight="1" x14ac:dyDescent="0.35">
      <c r="A307">
        <v>7547676</v>
      </c>
      <c r="B307" t="s">
        <v>36</v>
      </c>
      <c r="C307" t="s">
        <v>37</v>
      </c>
      <c r="D307" s="6" t="s">
        <v>36</v>
      </c>
      <c r="E307" t="s">
        <v>1038</v>
      </c>
      <c r="F307" t="s">
        <v>39</v>
      </c>
      <c r="G307" t="s">
        <v>40</v>
      </c>
      <c r="H307" t="s">
        <v>765</v>
      </c>
      <c r="I307" t="s">
        <v>42</v>
      </c>
      <c r="J307">
        <v>2</v>
      </c>
      <c r="K307" t="s">
        <v>43</v>
      </c>
      <c r="L307" t="s">
        <v>44</v>
      </c>
      <c r="M307" t="s">
        <v>45</v>
      </c>
      <c r="N307" s="7">
        <v>6</v>
      </c>
      <c r="O307" s="8">
        <v>45532.857754629629</v>
      </c>
      <c r="P307" s="9">
        <v>45536</v>
      </c>
      <c r="Q307" t="s">
        <v>46</v>
      </c>
      <c r="R307" t="s">
        <v>47</v>
      </c>
      <c r="S307" t="s">
        <v>48</v>
      </c>
      <c r="T307" t="s">
        <v>66</v>
      </c>
      <c r="U307" t="s">
        <v>1039</v>
      </c>
      <c r="V307">
        <v>81750</v>
      </c>
      <c r="W307" t="s">
        <v>47</v>
      </c>
      <c r="X307" t="s">
        <v>169</v>
      </c>
      <c r="Y307" t="s">
        <v>52</v>
      </c>
      <c r="Z307" s="10">
        <f t="shared" si="42"/>
        <v>13</v>
      </c>
      <c r="AA307" s="11">
        <v>-2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40"/>
        <v>0.65999999999999992</v>
      </c>
      <c r="AG307" s="11">
        <f t="shared" si="38"/>
        <v>11.66</v>
      </c>
      <c r="AH307" s="11">
        <v>0</v>
      </c>
      <c r="AI307" s="11">
        <f t="shared" si="39"/>
        <v>11.66</v>
      </c>
      <c r="AJ307" t="s">
        <v>53</v>
      </c>
    </row>
    <row r="308" spans="1:36" ht="15" customHeight="1" x14ac:dyDescent="0.35">
      <c r="A308">
        <v>7547676</v>
      </c>
      <c r="B308" t="s">
        <v>36</v>
      </c>
      <c r="C308" t="s">
        <v>37</v>
      </c>
      <c r="D308" s="6" t="s">
        <v>36</v>
      </c>
      <c r="E308" t="s">
        <v>1040</v>
      </c>
      <c r="F308" t="s">
        <v>39</v>
      </c>
      <c r="G308" t="s">
        <v>40</v>
      </c>
      <c r="H308" t="s">
        <v>1041</v>
      </c>
      <c r="I308" t="s">
        <v>42</v>
      </c>
      <c r="J308">
        <v>2</v>
      </c>
      <c r="K308" t="s">
        <v>43</v>
      </c>
      <c r="L308" t="s">
        <v>44</v>
      </c>
      <c r="M308" t="s">
        <v>45</v>
      </c>
      <c r="N308" s="7">
        <v>1</v>
      </c>
      <c r="O308" s="8">
        <v>45533.822858796295</v>
      </c>
      <c r="P308" s="9">
        <v>45536</v>
      </c>
      <c r="Q308" t="s">
        <v>89</v>
      </c>
      <c r="R308" t="s">
        <v>47</v>
      </c>
      <c r="S308" t="s">
        <v>48</v>
      </c>
      <c r="T308" t="s">
        <v>61</v>
      </c>
      <c r="U308" t="s">
        <v>1042</v>
      </c>
      <c r="V308">
        <v>24100</v>
      </c>
      <c r="W308" t="s">
        <v>47</v>
      </c>
      <c r="X308" t="s">
        <v>145</v>
      </c>
      <c r="Y308" t="s">
        <v>52</v>
      </c>
      <c r="Z308" s="10">
        <f t="shared" si="42"/>
        <v>9</v>
      </c>
      <c r="AA308" s="11">
        <v>-2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40"/>
        <v>0.42</v>
      </c>
      <c r="AG308" s="11">
        <f t="shared" si="38"/>
        <v>7.42</v>
      </c>
      <c r="AH308" s="11">
        <v>0</v>
      </c>
      <c r="AI308" s="11">
        <f t="shared" si="39"/>
        <v>7.42</v>
      </c>
      <c r="AJ308" t="s">
        <v>53</v>
      </c>
    </row>
    <row r="309" spans="1:36" ht="15" customHeight="1" x14ac:dyDescent="0.35">
      <c r="A309">
        <v>7547676</v>
      </c>
      <c r="B309" t="s">
        <v>36</v>
      </c>
      <c r="C309" t="s">
        <v>37</v>
      </c>
      <c r="D309" s="6" t="s">
        <v>36</v>
      </c>
      <c r="E309" t="s">
        <v>1043</v>
      </c>
      <c r="F309" t="s">
        <v>39</v>
      </c>
      <c r="G309" t="s">
        <v>40</v>
      </c>
      <c r="H309" t="s">
        <v>1044</v>
      </c>
      <c r="I309" t="s">
        <v>42</v>
      </c>
      <c r="J309">
        <v>2</v>
      </c>
      <c r="K309" t="s">
        <v>43</v>
      </c>
      <c r="L309" t="s">
        <v>44</v>
      </c>
      <c r="M309" t="s">
        <v>45</v>
      </c>
      <c r="N309" s="7">
        <v>1</v>
      </c>
      <c r="O309" s="8">
        <v>45533.700358796297</v>
      </c>
      <c r="P309" s="9">
        <v>45536</v>
      </c>
      <c r="Q309" t="s">
        <v>46</v>
      </c>
      <c r="R309" t="s">
        <v>47</v>
      </c>
      <c r="S309" t="s">
        <v>48</v>
      </c>
      <c r="T309" t="s">
        <v>80</v>
      </c>
      <c r="U309" t="s">
        <v>1045</v>
      </c>
      <c r="V309">
        <v>11900</v>
      </c>
      <c r="W309" t="s">
        <v>47</v>
      </c>
      <c r="X309" t="s">
        <v>82</v>
      </c>
      <c r="Y309" t="s">
        <v>52</v>
      </c>
      <c r="Z309" s="10">
        <f t="shared" si="42"/>
        <v>9</v>
      </c>
      <c r="AA309" s="11">
        <v>-2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40"/>
        <v>0.42</v>
      </c>
      <c r="AG309" s="11">
        <f t="shared" si="38"/>
        <v>7.42</v>
      </c>
      <c r="AH309" s="11">
        <v>0</v>
      </c>
      <c r="AI309" s="11">
        <f t="shared" si="39"/>
        <v>7.42</v>
      </c>
      <c r="AJ309" t="s">
        <v>53</v>
      </c>
    </row>
    <row r="310" spans="1:36" ht="15" customHeight="1" x14ac:dyDescent="0.35">
      <c r="A310">
        <v>7547676</v>
      </c>
      <c r="B310" t="s">
        <v>36</v>
      </c>
      <c r="C310" t="s">
        <v>37</v>
      </c>
      <c r="D310" s="6" t="s">
        <v>36</v>
      </c>
      <c r="E310" t="s">
        <v>1046</v>
      </c>
      <c r="F310" t="s">
        <v>39</v>
      </c>
      <c r="G310" t="s">
        <v>40</v>
      </c>
      <c r="H310" t="s">
        <v>1047</v>
      </c>
      <c r="I310" t="s">
        <v>42</v>
      </c>
      <c r="J310">
        <v>2</v>
      </c>
      <c r="K310" t="s">
        <v>43</v>
      </c>
      <c r="L310" t="s">
        <v>44</v>
      </c>
      <c r="M310" t="s">
        <v>45</v>
      </c>
      <c r="N310" s="7">
        <v>1</v>
      </c>
      <c r="O310" s="8">
        <v>45533.710868055554</v>
      </c>
      <c r="P310" s="9">
        <v>45536</v>
      </c>
      <c r="Q310" t="s">
        <v>46</v>
      </c>
      <c r="R310" t="s">
        <v>47</v>
      </c>
      <c r="S310" t="s">
        <v>48</v>
      </c>
      <c r="T310" t="s">
        <v>128</v>
      </c>
      <c r="U310" t="s">
        <v>1048</v>
      </c>
      <c r="V310">
        <v>43300</v>
      </c>
      <c r="W310" t="s">
        <v>47</v>
      </c>
      <c r="X310" t="s">
        <v>51</v>
      </c>
      <c r="Y310" t="s">
        <v>52</v>
      </c>
      <c r="Z310" s="10">
        <f t="shared" si="42"/>
        <v>9</v>
      </c>
      <c r="AA310" s="11">
        <v>-2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40"/>
        <v>0.42</v>
      </c>
      <c r="AG310" s="11">
        <f t="shared" si="38"/>
        <v>7.42</v>
      </c>
      <c r="AH310" s="11">
        <v>0</v>
      </c>
      <c r="AI310" s="11">
        <f t="shared" si="39"/>
        <v>7.42</v>
      </c>
      <c r="AJ310" t="s">
        <v>53</v>
      </c>
    </row>
    <row r="311" spans="1:36" ht="15" customHeight="1" x14ac:dyDescent="0.35">
      <c r="A311">
        <v>7547676</v>
      </c>
      <c r="B311" t="s">
        <v>36</v>
      </c>
      <c r="C311" t="s">
        <v>37</v>
      </c>
      <c r="D311" s="6" t="s">
        <v>36</v>
      </c>
      <c r="E311" t="s">
        <v>1049</v>
      </c>
      <c r="F311" t="s">
        <v>39</v>
      </c>
      <c r="G311" t="s">
        <v>40</v>
      </c>
      <c r="H311" t="s">
        <v>1050</v>
      </c>
      <c r="I311" t="s">
        <v>42</v>
      </c>
      <c r="J311">
        <v>2</v>
      </c>
      <c r="K311" t="s">
        <v>43</v>
      </c>
      <c r="L311" t="s">
        <v>44</v>
      </c>
      <c r="M311" t="s">
        <v>45</v>
      </c>
      <c r="N311" s="7">
        <v>1</v>
      </c>
      <c r="O311" s="8">
        <v>45533.717349537037</v>
      </c>
      <c r="P311" s="9">
        <v>45536</v>
      </c>
      <c r="Q311" t="s">
        <v>46</v>
      </c>
      <c r="R311" t="s">
        <v>47</v>
      </c>
      <c r="S311" t="s">
        <v>48</v>
      </c>
      <c r="T311" t="s">
        <v>123</v>
      </c>
      <c r="U311" t="s">
        <v>1051</v>
      </c>
      <c r="V311">
        <v>68100</v>
      </c>
      <c r="W311" t="s">
        <v>47</v>
      </c>
      <c r="X311" t="s">
        <v>750</v>
      </c>
      <c r="Y311" t="s">
        <v>52</v>
      </c>
      <c r="Z311" s="10">
        <f t="shared" si="42"/>
        <v>9</v>
      </c>
      <c r="AA311" s="11">
        <v>-2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40"/>
        <v>0.42</v>
      </c>
      <c r="AG311" s="11">
        <f t="shared" si="38"/>
        <v>7.42</v>
      </c>
      <c r="AH311" s="11">
        <v>0</v>
      </c>
      <c r="AI311" s="11">
        <f t="shared" si="39"/>
        <v>7.42</v>
      </c>
      <c r="AJ311" t="s">
        <v>53</v>
      </c>
    </row>
    <row r="312" spans="1:36" ht="15" customHeight="1" x14ac:dyDescent="0.35">
      <c r="A312">
        <v>7547676</v>
      </c>
      <c r="B312" t="s">
        <v>36</v>
      </c>
      <c r="C312" t="s">
        <v>37</v>
      </c>
      <c r="D312" s="6" t="s">
        <v>36</v>
      </c>
      <c r="E312" t="s">
        <v>1052</v>
      </c>
      <c r="F312" t="s">
        <v>39</v>
      </c>
      <c r="G312" t="s">
        <v>40</v>
      </c>
      <c r="H312" t="s">
        <v>1053</v>
      </c>
      <c r="I312" t="s">
        <v>42</v>
      </c>
      <c r="J312">
        <v>2</v>
      </c>
      <c r="K312" t="s">
        <v>43</v>
      </c>
      <c r="L312" t="s">
        <v>44</v>
      </c>
      <c r="M312" t="s">
        <v>45</v>
      </c>
      <c r="N312" s="7">
        <v>1</v>
      </c>
      <c r="O312" s="8">
        <v>45533.717349537037</v>
      </c>
      <c r="P312" s="9">
        <v>45536</v>
      </c>
      <c r="Q312" t="s">
        <v>46</v>
      </c>
      <c r="R312" t="s">
        <v>47</v>
      </c>
      <c r="S312" t="s">
        <v>48</v>
      </c>
      <c r="T312" t="s">
        <v>123</v>
      </c>
      <c r="U312" t="s">
        <v>1054</v>
      </c>
      <c r="V312">
        <v>43000</v>
      </c>
      <c r="W312" t="s">
        <v>47</v>
      </c>
      <c r="X312" t="s">
        <v>461</v>
      </c>
      <c r="Y312" t="s">
        <v>52</v>
      </c>
      <c r="Z312" s="10">
        <f t="shared" si="42"/>
        <v>9</v>
      </c>
      <c r="AA312" s="11">
        <v>-2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40"/>
        <v>0.42</v>
      </c>
      <c r="AG312" s="11">
        <f t="shared" si="38"/>
        <v>7.42</v>
      </c>
      <c r="AH312" s="11">
        <v>0</v>
      </c>
      <c r="AI312" s="11">
        <f t="shared" si="39"/>
        <v>7.42</v>
      </c>
      <c r="AJ312" t="s">
        <v>53</v>
      </c>
    </row>
    <row r="313" spans="1:36" ht="15" customHeight="1" x14ac:dyDescent="0.35">
      <c r="A313">
        <v>7547676</v>
      </c>
      <c r="B313" t="s">
        <v>36</v>
      </c>
      <c r="C313" t="s">
        <v>37</v>
      </c>
      <c r="D313" s="6" t="s">
        <v>36</v>
      </c>
      <c r="E313" t="s">
        <v>1055</v>
      </c>
      <c r="F313" t="s">
        <v>39</v>
      </c>
      <c r="G313" t="s">
        <v>40</v>
      </c>
      <c r="H313" t="s">
        <v>1056</v>
      </c>
      <c r="I313" t="s">
        <v>42</v>
      </c>
      <c r="J313">
        <v>2</v>
      </c>
      <c r="K313" t="s">
        <v>43</v>
      </c>
      <c r="L313" t="s">
        <v>44</v>
      </c>
      <c r="M313" t="s">
        <v>45</v>
      </c>
      <c r="N313" s="7">
        <v>2</v>
      </c>
      <c r="O313" s="8">
        <v>45532.790486111109</v>
      </c>
      <c r="P313" s="9">
        <v>45536</v>
      </c>
      <c r="Q313" t="s">
        <v>46</v>
      </c>
      <c r="R313" t="s">
        <v>47</v>
      </c>
      <c r="S313" t="s">
        <v>48</v>
      </c>
      <c r="T313" t="s">
        <v>66</v>
      </c>
      <c r="U313" t="s">
        <v>1057</v>
      </c>
      <c r="V313">
        <v>81200</v>
      </c>
      <c r="W313" t="s">
        <v>47</v>
      </c>
      <c r="X313" t="s">
        <v>1058</v>
      </c>
      <c r="Y313" t="s">
        <v>52</v>
      </c>
      <c r="Z313" s="10">
        <f t="shared" si="42"/>
        <v>9.8000000000000007</v>
      </c>
      <c r="AA313" s="11">
        <v>-2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40"/>
        <v>0.46800000000000003</v>
      </c>
      <c r="AG313" s="11">
        <f t="shared" si="38"/>
        <v>8.2680000000000007</v>
      </c>
      <c r="AH313" s="11">
        <v>0</v>
      </c>
      <c r="AI313" s="11">
        <f t="shared" si="39"/>
        <v>8.2680000000000007</v>
      </c>
      <c r="AJ313" t="s">
        <v>53</v>
      </c>
    </row>
    <row r="314" spans="1:36" ht="15" customHeight="1" x14ac:dyDescent="0.35">
      <c r="A314">
        <v>7547676</v>
      </c>
      <c r="B314" t="s">
        <v>36</v>
      </c>
      <c r="C314" t="s">
        <v>37</v>
      </c>
      <c r="D314" s="6" t="s">
        <v>36</v>
      </c>
      <c r="E314" t="s">
        <v>1059</v>
      </c>
      <c r="F314" t="s">
        <v>39</v>
      </c>
      <c r="G314" t="s">
        <v>40</v>
      </c>
      <c r="H314" t="s">
        <v>1060</v>
      </c>
      <c r="I314" t="s">
        <v>42</v>
      </c>
      <c r="J314">
        <v>2</v>
      </c>
      <c r="K314" t="s">
        <v>43</v>
      </c>
      <c r="L314" t="s">
        <v>44</v>
      </c>
      <c r="M314" t="s">
        <v>45</v>
      </c>
      <c r="N314" s="7">
        <v>1</v>
      </c>
      <c r="O314" s="8">
        <v>45533.687604166669</v>
      </c>
      <c r="P314" s="9">
        <v>45537</v>
      </c>
      <c r="Q314" t="s">
        <v>46</v>
      </c>
      <c r="R314" t="s">
        <v>47</v>
      </c>
      <c r="S314" t="s">
        <v>48</v>
      </c>
      <c r="T314" t="s">
        <v>123</v>
      </c>
      <c r="U314" t="s">
        <v>1061</v>
      </c>
      <c r="V314">
        <v>40150</v>
      </c>
      <c r="W314" t="s">
        <v>47</v>
      </c>
      <c r="X314" t="s">
        <v>149</v>
      </c>
      <c r="Y314" t="s">
        <v>52</v>
      </c>
      <c r="Z314" s="10">
        <f t="shared" si="42"/>
        <v>9</v>
      </c>
      <c r="AA314" s="11">
        <v>-2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40"/>
        <v>0.42</v>
      </c>
      <c r="AG314" s="11">
        <f t="shared" si="38"/>
        <v>7.42</v>
      </c>
      <c r="AH314" s="11">
        <v>0</v>
      </c>
      <c r="AI314" s="11">
        <f t="shared" si="39"/>
        <v>7.42</v>
      </c>
      <c r="AJ314" t="s">
        <v>53</v>
      </c>
    </row>
    <row r="315" spans="1:36" ht="15" customHeight="1" x14ac:dyDescent="0.35">
      <c r="A315">
        <v>7547676</v>
      </c>
      <c r="B315" t="s">
        <v>36</v>
      </c>
      <c r="C315" t="s">
        <v>37</v>
      </c>
      <c r="D315" s="6" t="s">
        <v>36</v>
      </c>
      <c r="E315" t="s">
        <v>1062</v>
      </c>
      <c r="F315" t="s">
        <v>39</v>
      </c>
      <c r="G315" t="s">
        <v>40</v>
      </c>
      <c r="H315" t="s">
        <v>1063</v>
      </c>
      <c r="I315" t="s">
        <v>42</v>
      </c>
      <c r="J315">
        <v>2</v>
      </c>
      <c r="K315" t="s">
        <v>43</v>
      </c>
      <c r="L315" t="s">
        <v>44</v>
      </c>
      <c r="M315" t="s">
        <v>45</v>
      </c>
      <c r="N315" s="7">
        <v>1</v>
      </c>
      <c r="O315" s="8">
        <v>45533.734456018516</v>
      </c>
      <c r="P315" s="9">
        <v>45537</v>
      </c>
      <c r="Q315" t="s">
        <v>46</v>
      </c>
      <c r="R315" t="s">
        <v>47</v>
      </c>
      <c r="S315" t="s">
        <v>48</v>
      </c>
      <c r="T315" t="s">
        <v>210</v>
      </c>
      <c r="U315" t="s">
        <v>1064</v>
      </c>
      <c r="V315">
        <v>71800</v>
      </c>
      <c r="W315" t="s">
        <v>47</v>
      </c>
      <c r="X315" t="s">
        <v>1065</v>
      </c>
      <c r="Y315" t="s">
        <v>52</v>
      </c>
      <c r="Z315" s="10">
        <f t="shared" si="42"/>
        <v>9</v>
      </c>
      <c r="AA315" s="11">
        <v>-2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40"/>
        <v>0.42</v>
      </c>
      <c r="AG315" s="11">
        <f t="shared" si="38"/>
        <v>7.42</v>
      </c>
      <c r="AH315" s="11">
        <v>0</v>
      </c>
      <c r="AI315" s="11">
        <f t="shared" si="39"/>
        <v>7.42</v>
      </c>
      <c r="AJ315" t="s">
        <v>53</v>
      </c>
    </row>
    <row r="316" spans="1:36" ht="15" customHeight="1" x14ac:dyDescent="0.35">
      <c r="A316">
        <v>7547676</v>
      </c>
      <c r="B316" t="s">
        <v>36</v>
      </c>
      <c r="C316" t="s">
        <v>37</v>
      </c>
      <c r="D316" s="6" t="s">
        <v>36</v>
      </c>
      <c r="E316" t="s">
        <v>1066</v>
      </c>
      <c r="F316" t="s">
        <v>39</v>
      </c>
      <c r="G316" t="s">
        <v>40</v>
      </c>
      <c r="H316" t="s">
        <v>147</v>
      </c>
      <c r="I316" t="s">
        <v>42</v>
      </c>
      <c r="J316">
        <v>2</v>
      </c>
      <c r="K316" t="s">
        <v>43</v>
      </c>
      <c r="L316" t="s">
        <v>44</v>
      </c>
      <c r="M316" t="s">
        <v>45</v>
      </c>
      <c r="N316" s="7">
        <v>5</v>
      </c>
      <c r="O316" s="8">
        <v>45533.677685185183</v>
      </c>
      <c r="P316" s="9">
        <v>45537</v>
      </c>
      <c r="Q316" t="s">
        <v>46</v>
      </c>
      <c r="R316" t="s">
        <v>47</v>
      </c>
      <c r="S316" t="s">
        <v>48</v>
      </c>
      <c r="T316" t="s">
        <v>123</v>
      </c>
      <c r="U316" t="s">
        <v>148</v>
      </c>
      <c r="V316">
        <v>40000</v>
      </c>
      <c r="W316" t="s">
        <v>47</v>
      </c>
      <c r="X316" t="s">
        <v>51</v>
      </c>
      <c r="Y316" t="s">
        <v>52</v>
      </c>
      <c r="Z316" s="10">
        <f t="shared" si="42"/>
        <v>12.2</v>
      </c>
      <c r="AA316" s="11">
        <v>-2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40"/>
        <v>0.61199999999999999</v>
      </c>
      <c r="AG316" s="11">
        <f t="shared" si="38"/>
        <v>10.811999999999999</v>
      </c>
      <c r="AH316" s="11">
        <v>0</v>
      </c>
      <c r="AI316" s="11">
        <f t="shared" si="39"/>
        <v>10.811999999999999</v>
      </c>
      <c r="AJ316" t="s">
        <v>53</v>
      </c>
    </row>
    <row r="317" spans="1:36" ht="15" customHeight="1" x14ac:dyDescent="0.35">
      <c r="A317">
        <v>7547676</v>
      </c>
      <c r="B317" t="s">
        <v>36</v>
      </c>
      <c r="C317" t="s">
        <v>37</v>
      </c>
      <c r="D317" s="6" t="s">
        <v>36</v>
      </c>
      <c r="E317" t="s">
        <v>1067</v>
      </c>
      <c r="F317" t="s">
        <v>39</v>
      </c>
      <c r="G317" t="s">
        <v>40</v>
      </c>
      <c r="H317" t="s">
        <v>1068</v>
      </c>
      <c r="I317" t="s">
        <v>42</v>
      </c>
      <c r="J317">
        <v>2</v>
      </c>
      <c r="K317" t="s">
        <v>43</v>
      </c>
      <c r="L317" t="s">
        <v>44</v>
      </c>
      <c r="M317" t="s">
        <v>45</v>
      </c>
      <c r="N317" s="7">
        <v>6</v>
      </c>
      <c r="O317" s="8">
        <v>45532.854398148149</v>
      </c>
      <c r="P317" s="9">
        <v>45537</v>
      </c>
      <c r="Q317" t="s">
        <v>46</v>
      </c>
      <c r="R317" t="s">
        <v>47</v>
      </c>
      <c r="S317" t="s">
        <v>48</v>
      </c>
      <c r="T317" t="s">
        <v>75</v>
      </c>
      <c r="U317" t="s">
        <v>1069</v>
      </c>
      <c r="V317">
        <v>16800</v>
      </c>
      <c r="W317" t="s">
        <v>47</v>
      </c>
      <c r="X317" t="s">
        <v>145</v>
      </c>
      <c r="Y317" t="s">
        <v>52</v>
      </c>
      <c r="Z317" s="10">
        <f t="shared" si="42"/>
        <v>13</v>
      </c>
      <c r="AA317" s="11">
        <v>-2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40"/>
        <v>0.65999999999999992</v>
      </c>
      <c r="AG317" s="11">
        <f t="shared" si="38"/>
        <v>11.66</v>
      </c>
      <c r="AH317" s="11">
        <v>0</v>
      </c>
      <c r="AI317" s="11">
        <f t="shared" si="39"/>
        <v>11.66</v>
      </c>
      <c r="AJ317" t="s">
        <v>53</v>
      </c>
    </row>
    <row r="318" spans="1:36" ht="15" customHeight="1" x14ac:dyDescent="0.35">
      <c r="A318">
        <v>7547676</v>
      </c>
      <c r="B318" t="s">
        <v>36</v>
      </c>
      <c r="C318" t="s">
        <v>37</v>
      </c>
      <c r="D318" s="6" t="s">
        <v>36</v>
      </c>
      <c r="E318" t="s">
        <v>1070</v>
      </c>
      <c r="F318" t="s">
        <v>39</v>
      </c>
      <c r="G318" t="s">
        <v>40</v>
      </c>
      <c r="H318" t="s">
        <v>1071</v>
      </c>
      <c r="I318" t="s">
        <v>42</v>
      </c>
      <c r="J318">
        <v>2</v>
      </c>
      <c r="K318" t="s">
        <v>43</v>
      </c>
      <c r="L318" t="s">
        <v>44</v>
      </c>
      <c r="M318" t="s">
        <v>45</v>
      </c>
      <c r="N318" s="7">
        <v>1</v>
      </c>
      <c r="O318" s="8">
        <v>45532.72320601852</v>
      </c>
      <c r="P318" s="9">
        <v>45537</v>
      </c>
      <c r="Q318" t="s">
        <v>46</v>
      </c>
      <c r="R318" t="s">
        <v>47</v>
      </c>
      <c r="S318" t="s">
        <v>48</v>
      </c>
      <c r="T318" t="s">
        <v>128</v>
      </c>
      <c r="U318" t="s">
        <v>1072</v>
      </c>
      <c r="V318">
        <v>46200</v>
      </c>
      <c r="W318" t="s">
        <v>47</v>
      </c>
      <c r="X318" t="s">
        <v>51</v>
      </c>
      <c r="Y318" t="s">
        <v>52</v>
      </c>
      <c r="Z318" s="10">
        <f t="shared" si="42"/>
        <v>9</v>
      </c>
      <c r="AA318" s="11">
        <v>-2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40"/>
        <v>0.42</v>
      </c>
      <c r="AG318" s="11">
        <f t="shared" si="38"/>
        <v>7.42</v>
      </c>
      <c r="AH318" s="11">
        <v>0</v>
      </c>
      <c r="AI318" s="11">
        <f t="shared" si="39"/>
        <v>7.42</v>
      </c>
      <c r="AJ318" t="s">
        <v>53</v>
      </c>
    </row>
    <row r="319" spans="1:36" ht="15" customHeight="1" x14ac:dyDescent="0.35">
      <c r="A319">
        <v>7547676</v>
      </c>
      <c r="B319" t="s">
        <v>36</v>
      </c>
      <c r="C319" t="s">
        <v>37</v>
      </c>
      <c r="D319" s="6" t="s">
        <v>36</v>
      </c>
      <c r="E319" t="s">
        <v>1073</v>
      </c>
      <c r="F319" t="s">
        <v>39</v>
      </c>
      <c r="G319" t="s">
        <v>40</v>
      </c>
      <c r="H319" t="s">
        <v>1074</v>
      </c>
      <c r="I319" t="s">
        <v>42</v>
      </c>
      <c r="J319">
        <v>2</v>
      </c>
      <c r="K319" t="s">
        <v>43</v>
      </c>
      <c r="L319" t="s">
        <v>44</v>
      </c>
      <c r="M319" t="s">
        <v>45</v>
      </c>
      <c r="N319" s="7">
        <v>1</v>
      </c>
      <c r="O319" s="8">
        <v>45536.72855324074</v>
      </c>
      <c r="P319" s="9">
        <v>45537</v>
      </c>
      <c r="Q319" t="s">
        <v>1075</v>
      </c>
      <c r="R319" t="s">
        <v>47</v>
      </c>
      <c r="S319" t="s">
        <v>48</v>
      </c>
      <c r="T319" t="s">
        <v>210</v>
      </c>
      <c r="U319" t="s">
        <v>1076</v>
      </c>
      <c r="V319">
        <v>72000</v>
      </c>
      <c r="W319" t="s">
        <v>47</v>
      </c>
      <c r="X319" t="s">
        <v>641</v>
      </c>
      <c r="Y319" t="s">
        <v>52</v>
      </c>
      <c r="Z319" s="10">
        <f t="shared" si="42"/>
        <v>9</v>
      </c>
      <c r="AA319" s="11">
        <v>-2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40"/>
        <v>0.42</v>
      </c>
      <c r="AG319" s="11">
        <f t="shared" si="38"/>
        <v>7.42</v>
      </c>
      <c r="AH319" s="11">
        <v>0</v>
      </c>
      <c r="AI319" s="11">
        <f t="shared" si="39"/>
        <v>7.42</v>
      </c>
      <c r="AJ319" t="s">
        <v>53</v>
      </c>
    </row>
    <row r="320" spans="1:36" ht="15" customHeight="1" x14ac:dyDescent="0.35">
      <c r="A320">
        <v>7547676</v>
      </c>
      <c r="B320" t="s">
        <v>36</v>
      </c>
      <c r="C320" t="s">
        <v>37</v>
      </c>
      <c r="D320" s="6" t="s">
        <v>36</v>
      </c>
      <c r="E320" t="s">
        <v>1077</v>
      </c>
      <c r="F320" t="s">
        <v>39</v>
      </c>
      <c r="G320" t="s">
        <v>40</v>
      </c>
      <c r="H320" t="s">
        <v>1078</v>
      </c>
      <c r="I320" t="s">
        <v>42</v>
      </c>
      <c r="J320">
        <v>2</v>
      </c>
      <c r="K320" t="s">
        <v>43</v>
      </c>
      <c r="L320" t="s">
        <v>44</v>
      </c>
      <c r="M320" t="s">
        <v>45</v>
      </c>
      <c r="N320" s="7">
        <v>1</v>
      </c>
      <c r="O320" s="8">
        <v>45533.734456018516</v>
      </c>
      <c r="P320" s="9">
        <v>45537</v>
      </c>
      <c r="Q320" t="s">
        <v>46</v>
      </c>
      <c r="R320" t="s">
        <v>47</v>
      </c>
      <c r="S320" t="s">
        <v>48</v>
      </c>
      <c r="T320" t="s">
        <v>123</v>
      </c>
      <c r="U320" t="s">
        <v>1079</v>
      </c>
      <c r="V320">
        <v>42610</v>
      </c>
      <c r="W320" t="s">
        <v>47</v>
      </c>
      <c r="X320" t="s">
        <v>235</v>
      </c>
      <c r="Y320" t="s">
        <v>52</v>
      </c>
      <c r="Z320" s="10">
        <f t="shared" si="42"/>
        <v>9</v>
      </c>
      <c r="AA320" s="11">
        <v>-2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40"/>
        <v>0.42</v>
      </c>
      <c r="AG320" s="11">
        <f t="shared" si="38"/>
        <v>7.42</v>
      </c>
      <c r="AH320" s="11">
        <v>0</v>
      </c>
      <c r="AI320" s="11">
        <f t="shared" si="39"/>
        <v>7.42</v>
      </c>
      <c r="AJ320" t="s">
        <v>53</v>
      </c>
    </row>
    <row r="321" spans="1:36" ht="15" customHeight="1" x14ac:dyDescent="0.35">
      <c r="A321">
        <v>7547676</v>
      </c>
      <c r="B321" t="s">
        <v>36</v>
      </c>
      <c r="C321" t="s">
        <v>37</v>
      </c>
      <c r="D321" s="6" t="s">
        <v>36</v>
      </c>
      <c r="E321" t="s">
        <v>1080</v>
      </c>
      <c r="F321" t="s">
        <v>39</v>
      </c>
      <c r="G321" t="s">
        <v>40</v>
      </c>
      <c r="H321" t="s">
        <v>1081</v>
      </c>
      <c r="I321" t="s">
        <v>42</v>
      </c>
      <c r="J321">
        <v>2</v>
      </c>
      <c r="K321" t="s">
        <v>43</v>
      </c>
      <c r="L321" t="s">
        <v>44</v>
      </c>
      <c r="M321" t="s">
        <v>45</v>
      </c>
      <c r="N321" s="7">
        <v>1</v>
      </c>
      <c r="O321" s="8">
        <v>45536.753159722219</v>
      </c>
      <c r="P321" s="9">
        <v>45537</v>
      </c>
      <c r="Q321" t="s">
        <v>46</v>
      </c>
      <c r="R321" t="s">
        <v>47</v>
      </c>
      <c r="S321" t="s">
        <v>48</v>
      </c>
      <c r="T321" t="s">
        <v>61</v>
      </c>
      <c r="U321" t="s">
        <v>1082</v>
      </c>
      <c r="V321">
        <v>22000</v>
      </c>
      <c r="W321" t="s">
        <v>47</v>
      </c>
      <c r="X321" t="s">
        <v>145</v>
      </c>
      <c r="Y321" t="s">
        <v>52</v>
      </c>
      <c r="Z321" s="10">
        <f t="shared" si="42"/>
        <v>9</v>
      </c>
      <c r="AA321" s="11">
        <v>-2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40"/>
        <v>0.42</v>
      </c>
      <c r="AG321" s="11">
        <f t="shared" si="38"/>
        <v>7.42</v>
      </c>
      <c r="AH321" s="11">
        <v>0</v>
      </c>
      <c r="AI321" s="11">
        <f t="shared" si="39"/>
        <v>7.42</v>
      </c>
      <c r="AJ321" t="s">
        <v>53</v>
      </c>
    </row>
    <row r="322" spans="1:36" ht="15" customHeight="1" x14ac:dyDescent="0.35">
      <c r="A322">
        <v>7547676</v>
      </c>
      <c r="B322" t="s">
        <v>36</v>
      </c>
      <c r="C322" t="s">
        <v>37</v>
      </c>
      <c r="D322" s="6" t="s">
        <v>36</v>
      </c>
      <c r="E322" t="s">
        <v>1083</v>
      </c>
      <c r="F322" t="s">
        <v>39</v>
      </c>
      <c r="G322" t="s">
        <v>40</v>
      </c>
      <c r="H322" t="s">
        <v>1084</v>
      </c>
      <c r="I322" t="s">
        <v>42</v>
      </c>
      <c r="J322">
        <v>2</v>
      </c>
      <c r="K322" t="s">
        <v>43</v>
      </c>
      <c r="L322" t="s">
        <v>44</v>
      </c>
      <c r="M322" t="s">
        <v>45</v>
      </c>
      <c r="N322" s="7">
        <v>1</v>
      </c>
      <c r="O322" s="8">
        <v>45536.62599537037</v>
      </c>
      <c r="P322" s="9">
        <v>45537</v>
      </c>
      <c r="Q322" t="s">
        <v>46</v>
      </c>
      <c r="R322" t="s">
        <v>47</v>
      </c>
      <c r="S322" t="s">
        <v>48</v>
      </c>
      <c r="T322" t="s">
        <v>75</v>
      </c>
      <c r="U322" t="s">
        <v>1085</v>
      </c>
      <c r="V322">
        <v>17200</v>
      </c>
      <c r="W322" t="s">
        <v>47</v>
      </c>
      <c r="X322" t="s">
        <v>145</v>
      </c>
      <c r="Y322" t="s">
        <v>52</v>
      </c>
      <c r="Z322" s="10">
        <f t="shared" si="42"/>
        <v>9</v>
      </c>
      <c r="AA322" s="11">
        <v>-2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si="40"/>
        <v>0.42</v>
      </c>
      <c r="AG322" s="11">
        <f t="shared" ref="AG322:AG385" si="43">Z322+AA322+AC322+AE322+AF322</f>
        <v>7.42</v>
      </c>
      <c r="AH322" s="11">
        <v>0</v>
      </c>
      <c r="AI322" s="11">
        <f t="shared" ref="AI322:AI385" si="44">AG322+AH322</f>
        <v>7.42</v>
      </c>
      <c r="AJ322" t="s">
        <v>53</v>
      </c>
    </row>
    <row r="323" spans="1:36" ht="15" customHeight="1" x14ac:dyDescent="0.35">
      <c r="A323">
        <v>7547676</v>
      </c>
      <c r="B323" t="s">
        <v>36</v>
      </c>
      <c r="C323" t="s">
        <v>37</v>
      </c>
      <c r="D323" s="6" t="s">
        <v>36</v>
      </c>
      <c r="E323" t="s">
        <v>1086</v>
      </c>
      <c r="F323" t="s">
        <v>39</v>
      </c>
      <c r="G323" t="s">
        <v>40</v>
      </c>
      <c r="H323" t="s">
        <v>1087</v>
      </c>
      <c r="I323" t="s">
        <v>42</v>
      </c>
      <c r="J323">
        <v>2</v>
      </c>
      <c r="K323" t="s">
        <v>43</v>
      </c>
      <c r="L323" t="s">
        <v>44</v>
      </c>
      <c r="M323" t="s">
        <v>45</v>
      </c>
      <c r="N323" s="7">
        <v>1</v>
      </c>
      <c r="O323" s="8">
        <v>45532.75540509259</v>
      </c>
      <c r="P323" s="9">
        <v>45537</v>
      </c>
      <c r="Q323" t="s">
        <v>46</v>
      </c>
      <c r="R323" t="s">
        <v>47</v>
      </c>
      <c r="S323" t="s">
        <v>48</v>
      </c>
      <c r="T323" t="s">
        <v>80</v>
      </c>
      <c r="U323" t="s">
        <v>1088</v>
      </c>
      <c r="V323">
        <v>14000</v>
      </c>
      <c r="W323" t="s">
        <v>47</v>
      </c>
      <c r="X323" t="s">
        <v>581</v>
      </c>
      <c r="Y323" t="s">
        <v>52</v>
      </c>
      <c r="Z323" s="10">
        <f t="shared" si="42"/>
        <v>9</v>
      </c>
      <c r="AA323" s="11">
        <v>-2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40"/>
        <v>0.42</v>
      </c>
      <c r="AG323" s="11">
        <f t="shared" si="43"/>
        <v>7.42</v>
      </c>
      <c r="AH323" s="11">
        <v>0</v>
      </c>
      <c r="AI323" s="11">
        <f t="shared" si="44"/>
        <v>7.42</v>
      </c>
      <c r="AJ323" t="s">
        <v>53</v>
      </c>
    </row>
    <row r="324" spans="1:36" ht="15" customHeight="1" x14ac:dyDescent="0.35">
      <c r="A324">
        <v>7547676</v>
      </c>
      <c r="B324" t="s">
        <v>36</v>
      </c>
      <c r="C324" t="s">
        <v>37</v>
      </c>
      <c r="D324" s="6" t="s">
        <v>36</v>
      </c>
      <c r="E324" t="s">
        <v>1089</v>
      </c>
      <c r="F324" t="s">
        <v>39</v>
      </c>
      <c r="G324" t="s">
        <v>40</v>
      </c>
      <c r="H324" t="s">
        <v>1090</v>
      </c>
      <c r="I324" t="s">
        <v>42</v>
      </c>
      <c r="J324">
        <v>2</v>
      </c>
      <c r="K324" t="s">
        <v>43</v>
      </c>
      <c r="L324" t="s">
        <v>44</v>
      </c>
      <c r="M324" t="s">
        <v>45</v>
      </c>
      <c r="N324" s="7">
        <v>9</v>
      </c>
      <c r="O324" s="8">
        <v>45536.463622685187</v>
      </c>
      <c r="P324" s="9">
        <v>45537</v>
      </c>
      <c r="Q324" t="s">
        <v>46</v>
      </c>
      <c r="R324" t="s">
        <v>47</v>
      </c>
      <c r="S324" t="s">
        <v>48</v>
      </c>
      <c r="T324" t="s">
        <v>278</v>
      </c>
      <c r="U324" t="s">
        <v>1091</v>
      </c>
      <c r="V324">
        <v>27050</v>
      </c>
      <c r="W324" t="s">
        <v>47</v>
      </c>
      <c r="X324" t="s">
        <v>615</v>
      </c>
      <c r="Y324" t="s">
        <v>52</v>
      </c>
      <c r="Z324" s="10">
        <f t="shared" si="42"/>
        <v>15.4</v>
      </c>
      <c r="AA324" s="11">
        <v>-2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40"/>
        <v>0.80399999999999994</v>
      </c>
      <c r="AG324" s="11">
        <f t="shared" si="43"/>
        <v>14.204000000000001</v>
      </c>
      <c r="AH324" s="11">
        <v>0</v>
      </c>
      <c r="AI324" s="11">
        <f t="shared" si="44"/>
        <v>14.204000000000001</v>
      </c>
      <c r="AJ324" t="s">
        <v>53</v>
      </c>
    </row>
    <row r="325" spans="1:36" ht="15" customHeight="1" x14ac:dyDescent="0.35">
      <c r="A325">
        <v>7547676</v>
      </c>
      <c r="B325" t="s">
        <v>36</v>
      </c>
      <c r="C325" t="s">
        <v>37</v>
      </c>
      <c r="D325" s="6" t="s">
        <v>36</v>
      </c>
      <c r="E325" t="s">
        <v>1092</v>
      </c>
      <c r="F325" t="s">
        <v>39</v>
      </c>
      <c r="G325" t="s">
        <v>40</v>
      </c>
      <c r="H325" t="s">
        <v>1093</v>
      </c>
      <c r="I325" t="s">
        <v>42</v>
      </c>
      <c r="J325">
        <v>2</v>
      </c>
      <c r="K325" t="s">
        <v>43</v>
      </c>
      <c r="L325" t="s">
        <v>44</v>
      </c>
      <c r="M325" t="s">
        <v>45</v>
      </c>
      <c r="N325" s="7">
        <v>1</v>
      </c>
      <c r="O325" s="8">
        <v>45536.755601851852</v>
      </c>
      <c r="P325" s="9">
        <v>45537</v>
      </c>
      <c r="Q325" t="s">
        <v>46</v>
      </c>
      <c r="R325" t="s">
        <v>47</v>
      </c>
      <c r="S325" t="s">
        <v>48</v>
      </c>
      <c r="T325" t="s">
        <v>61</v>
      </c>
      <c r="U325" t="s">
        <v>1094</v>
      </c>
      <c r="V325">
        <v>23000</v>
      </c>
      <c r="W325" t="s">
        <v>47</v>
      </c>
      <c r="X325" t="s">
        <v>63</v>
      </c>
      <c r="Y325" t="s">
        <v>52</v>
      </c>
      <c r="Z325" s="10">
        <f t="shared" si="42"/>
        <v>9</v>
      </c>
      <c r="AA325" s="11">
        <v>-2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40"/>
        <v>0.42</v>
      </c>
      <c r="AG325" s="11">
        <f t="shared" si="43"/>
        <v>7.42</v>
      </c>
      <c r="AH325" s="11">
        <v>0</v>
      </c>
      <c r="AI325" s="11">
        <f t="shared" si="44"/>
        <v>7.42</v>
      </c>
      <c r="AJ325" t="s">
        <v>53</v>
      </c>
    </row>
    <row r="326" spans="1:36" ht="15" customHeight="1" x14ac:dyDescent="0.35">
      <c r="A326">
        <v>7547676</v>
      </c>
      <c r="B326" t="s">
        <v>36</v>
      </c>
      <c r="C326" t="s">
        <v>37</v>
      </c>
      <c r="D326" s="6" t="s">
        <v>36</v>
      </c>
      <c r="E326" t="s">
        <v>1095</v>
      </c>
      <c r="F326" t="s">
        <v>39</v>
      </c>
      <c r="G326" t="s">
        <v>40</v>
      </c>
      <c r="H326" t="s">
        <v>1096</v>
      </c>
      <c r="I326" t="s">
        <v>42</v>
      </c>
      <c r="J326">
        <v>2</v>
      </c>
      <c r="K326" t="s">
        <v>43</v>
      </c>
      <c r="L326" t="s">
        <v>44</v>
      </c>
      <c r="M326" t="s">
        <v>45</v>
      </c>
      <c r="N326" s="7">
        <v>1</v>
      </c>
      <c r="O326" s="8">
        <v>45536.627314814818</v>
      </c>
      <c r="P326" s="9">
        <v>45537</v>
      </c>
      <c r="Q326" t="s">
        <v>46</v>
      </c>
      <c r="R326" t="s">
        <v>47</v>
      </c>
      <c r="S326" t="s">
        <v>48</v>
      </c>
      <c r="T326" t="s">
        <v>61</v>
      </c>
      <c r="U326" t="s">
        <v>1097</v>
      </c>
      <c r="V326">
        <v>23200</v>
      </c>
      <c r="W326" t="s">
        <v>47</v>
      </c>
      <c r="X326" t="s">
        <v>63</v>
      </c>
      <c r="Y326" t="s">
        <v>52</v>
      </c>
      <c r="Z326" s="10">
        <f>IF(N326&lt;=1,9,9+0.8*ROUNDUP(N326-1,0))</f>
        <v>9</v>
      </c>
      <c r="AA326" s="11">
        <v>-2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40"/>
        <v>0.42</v>
      </c>
      <c r="AG326" s="11">
        <f t="shared" si="43"/>
        <v>7.42</v>
      </c>
      <c r="AH326" s="11">
        <v>0</v>
      </c>
      <c r="AI326" s="11">
        <f t="shared" si="44"/>
        <v>7.42</v>
      </c>
      <c r="AJ326" t="s">
        <v>53</v>
      </c>
    </row>
    <row r="327" spans="1:36" ht="15" customHeight="1" x14ac:dyDescent="0.35">
      <c r="A327">
        <v>7547676</v>
      </c>
      <c r="B327" t="s">
        <v>36</v>
      </c>
      <c r="C327" t="s">
        <v>37</v>
      </c>
      <c r="D327" s="6" t="s">
        <v>36</v>
      </c>
      <c r="E327" t="s">
        <v>1098</v>
      </c>
      <c r="F327" t="s">
        <v>39</v>
      </c>
      <c r="G327" t="s">
        <v>40</v>
      </c>
      <c r="H327" t="s">
        <v>1099</v>
      </c>
      <c r="I327" t="s">
        <v>42</v>
      </c>
      <c r="J327">
        <v>2</v>
      </c>
      <c r="K327" t="s">
        <v>43</v>
      </c>
      <c r="L327" t="s">
        <v>44</v>
      </c>
      <c r="M327" t="s">
        <v>45</v>
      </c>
      <c r="N327" s="7">
        <v>1</v>
      </c>
      <c r="O327" s="8">
        <v>45533.458240740743</v>
      </c>
      <c r="P327" s="9">
        <v>45537</v>
      </c>
      <c r="Q327" t="s">
        <v>46</v>
      </c>
      <c r="R327" t="s">
        <v>47</v>
      </c>
      <c r="S327" t="s">
        <v>48</v>
      </c>
      <c r="T327" t="s">
        <v>128</v>
      </c>
      <c r="U327" t="s">
        <v>1100</v>
      </c>
      <c r="V327">
        <v>54000</v>
      </c>
      <c r="W327" t="s">
        <v>47</v>
      </c>
      <c r="X327" t="s">
        <v>51</v>
      </c>
      <c r="Y327" t="s">
        <v>52</v>
      </c>
      <c r="Z327" s="10">
        <f t="shared" ref="Z327:Z330" si="45">IF(N327&lt;=1,9,9+0.8*ROUNDUP(N327-1,0))</f>
        <v>9</v>
      </c>
      <c r="AA327" s="11">
        <v>-2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40"/>
        <v>0.42</v>
      </c>
      <c r="AG327" s="11">
        <f t="shared" si="43"/>
        <v>7.42</v>
      </c>
      <c r="AH327" s="11">
        <v>0</v>
      </c>
      <c r="AI327" s="11">
        <f t="shared" si="44"/>
        <v>7.42</v>
      </c>
      <c r="AJ327" t="s">
        <v>53</v>
      </c>
    </row>
    <row r="328" spans="1:36" ht="15" customHeight="1" x14ac:dyDescent="0.35">
      <c r="A328">
        <v>7547676</v>
      </c>
      <c r="B328" t="s">
        <v>36</v>
      </c>
      <c r="C328" t="s">
        <v>37</v>
      </c>
      <c r="D328" s="6" t="s">
        <v>36</v>
      </c>
      <c r="E328" t="s">
        <v>1101</v>
      </c>
      <c r="F328" t="s">
        <v>39</v>
      </c>
      <c r="G328" t="s">
        <v>40</v>
      </c>
      <c r="H328" t="s">
        <v>1102</v>
      </c>
      <c r="I328" t="s">
        <v>42</v>
      </c>
      <c r="J328">
        <v>2</v>
      </c>
      <c r="K328" t="s">
        <v>43</v>
      </c>
      <c r="L328" t="s">
        <v>44</v>
      </c>
      <c r="M328" t="s">
        <v>45</v>
      </c>
      <c r="N328" s="7">
        <v>1</v>
      </c>
      <c r="O328" s="8">
        <v>45536.635729166665</v>
      </c>
      <c r="P328" s="9">
        <v>45537</v>
      </c>
      <c r="Q328" t="s">
        <v>1075</v>
      </c>
      <c r="R328" t="s">
        <v>47</v>
      </c>
      <c r="S328" t="s">
        <v>48</v>
      </c>
      <c r="T328" t="s">
        <v>123</v>
      </c>
      <c r="U328" t="s">
        <v>1103</v>
      </c>
      <c r="V328">
        <v>40150</v>
      </c>
      <c r="W328" t="s">
        <v>47</v>
      </c>
      <c r="X328" t="s">
        <v>51</v>
      </c>
      <c r="Y328" t="s">
        <v>52</v>
      </c>
      <c r="Z328" s="10">
        <f t="shared" si="45"/>
        <v>9</v>
      </c>
      <c r="AA328" s="11">
        <v>-2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40"/>
        <v>0.42</v>
      </c>
      <c r="AG328" s="11">
        <f t="shared" si="43"/>
        <v>7.42</v>
      </c>
      <c r="AH328" s="11">
        <v>0</v>
      </c>
      <c r="AI328" s="11">
        <f t="shared" si="44"/>
        <v>7.42</v>
      </c>
      <c r="AJ328" t="s">
        <v>53</v>
      </c>
    </row>
    <row r="329" spans="1:36" ht="15" customHeight="1" x14ac:dyDescent="0.35">
      <c r="A329">
        <v>7547676</v>
      </c>
      <c r="B329" t="s">
        <v>36</v>
      </c>
      <c r="C329" t="s">
        <v>37</v>
      </c>
      <c r="D329" s="6" t="s">
        <v>36</v>
      </c>
      <c r="E329" t="s">
        <v>1104</v>
      </c>
      <c r="F329" t="s">
        <v>39</v>
      </c>
      <c r="G329" t="s">
        <v>40</v>
      </c>
      <c r="H329" t="s">
        <v>1105</v>
      </c>
      <c r="I329" t="s">
        <v>42</v>
      </c>
      <c r="J329">
        <v>2</v>
      </c>
      <c r="K329" t="s">
        <v>43</v>
      </c>
      <c r="L329" t="s">
        <v>44</v>
      </c>
      <c r="M329" t="s">
        <v>45</v>
      </c>
      <c r="N329" s="7">
        <v>6</v>
      </c>
      <c r="O329" s="8">
        <v>45536.439965277779</v>
      </c>
      <c r="P329" s="9">
        <v>45537</v>
      </c>
      <c r="Q329" t="s">
        <v>46</v>
      </c>
      <c r="R329" t="s">
        <v>47</v>
      </c>
      <c r="S329" t="s">
        <v>48</v>
      </c>
      <c r="T329" t="s">
        <v>75</v>
      </c>
      <c r="U329" t="s">
        <v>1106</v>
      </c>
      <c r="V329">
        <v>18300</v>
      </c>
      <c r="W329" t="s">
        <v>47</v>
      </c>
      <c r="X329" t="s">
        <v>77</v>
      </c>
      <c r="Y329" t="s">
        <v>52</v>
      </c>
      <c r="Z329" s="10">
        <f t="shared" si="45"/>
        <v>13</v>
      </c>
      <c r="AA329" s="11">
        <v>-2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40"/>
        <v>0.65999999999999992</v>
      </c>
      <c r="AG329" s="11">
        <f t="shared" si="43"/>
        <v>11.66</v>
      </c>
      <c r="AH329" s="11">
        <v>0</v>
      </c>
      <c r="AI329" s="11">
        <f t="shared" si="44"/>
        <v>11.66</v>
      </c>
      <c r="AJ329" t="s">
        <v>53</v>
      </c>
    </row>
    <row r="330" spans="1:36" ht="15" customHeight="1" x14ac:dyDescent="0.35">
      <c r="A330">
        <v>7547676</v>
      </c>
      <c r="B330" t="s">
        <v>36</v>
      </c>
      <c r="C330" t="s">
        <v>37</v>
      </c>
      <c r="D330" s="6" t="s">
        <v>36</v>
      </c>
      <c r="E330" t="s">
        <v>1107</v>
      </c>
      <c r="F330" t="s">
        <v>39</v>
      </c>
      <c r="G330" t="s">
        <v>40</v>
      </c>
      <c r="H330" t="s">
        <v>1108</v>
      </c>
      <c r="I330" t="s">
        <v>42</v>
      </c>
      <c r="J330">
        <v>2</v>
      </c>
      <c r="K330" t="s">
        <v>43</v>
      </c>
      <c r="L330" t="s">
        <v>44</v>
      </c>
      <c r="M330" t="s">
        <v>45</v>
      </c>
      <c r="N330" s="7">
        <v>1</v>
      </c>
      <c r="O330" s="8">
        <v>45533.511203703703</v>
      </c>
      <c r="P330" s="9">
        <v>45537</v>
      </c>
      <c r="Q330" t="s">
        <v>46</v>
      </c>
      <c r="R330" t="s">
        <v>47</v>
      </c>
      <c r="S330" t="s">
        <v>48</v>
      </c>
      <c r="T330" t="s">
        <v>128</v>
      </c>
      <c r="U330" t="s">
        <v>1109</v>
      </c>
      <c r="V330">
        <v>53300</v>
      </c>
      <c r="W330" t="s">
        <v>47</v>
      </c>
      <c r="X330" t="s">
        <v>750</v>
      </c>
      <c r="Y330" t="s">
        <v>52</v>
      </c>
      <c r="Z330" s="10">
        <f t="shared" si="45"/>
        <v>9</v>
      </c>
      <c r="AA330" s="11">
        <v>-2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40"/>
        <v>0.42</v>
      </c>
      <c r="AG330" s="11">
        <f t="shared" si="43"/>
        <v>7.42</v>
      </c>
      <c r="AH330" s="11">
        <v>0</v>
      </c>
      <c r="AI330" s="11">
        <f t="shared" si="44"/>
        <v>7.42</v>
      </c>
      <c r="AJ330" t="s">
        <v>53</v>
      </c>
    </row>
    <row r="331" spans="1:36" ht="15" customHeight="1" x14ac:dyDescent="0.35">
      <c r="A331">
        <v>7547676</v>
      </c>
      <c r="B331" t="s">
        <v>36</v>
      </c>
      <c r="C331" t="s">
        <v>37</v>
      </c>
      <c r="D331" s="6" t="s">
        <v>36</v>
      </c>
      <c r="E331" t="s">
        <v>1110</v>
      </c>
      <c r="F331" t="s">
        <v>39</v>
      </c>
      <c r="G331" t="s">
        <v>40</v>
      </c>
      <c r="H331" t="s">
        <v>674</v>
      </c>
      <c r="I331" t="s">
        <v>42</v>
      </c>
      <c r="J331">
        <v>2</v>
      </c>
      <c r="K331" t="s">
        <v>43</v>
      </c>
      <c r="L331" t="s">
        <v>44</v>
      </c>
      <c r="M331" t="s">
        <v>45</v>
      </c>
      <c r="N331" s="7">
        <v>6</v>
      </c>
      <c r="O331" s="8">
        <v>45531.839965277781</v>
      </c>
      <c r="P331" s="9">
        <v>45537</v>
      </c>
      <c r="Q331" t="s">
        <v>46</v>
      </c>
      <c r="R331" t="s">
        <v>47</v>
      </c>
      <c r="S331" t="s">
        <v>48</v>
      </c>
      <c r="T331" t="s">
        <v>644</v>
      </c>
      <c r="U331" t="s">
        <v>1111</v>
      </c>
      <c r="V331">
        <v>96000</v>
      </c>
      <c r="W331" t="s">
        <v>92</v>
      </c>
      <c r="X331" t="s">
        <v>676</v>
      </c>
      <c r="Y331" t="s">
        <v>52</v>
      </c>
      <c r="Z331" s="12">
        <f>IF(N331&lt;=1,13,IF(N331&lt;=2,23,IF(N331&lt;=3,35,IF(N331&lt;=4,43,IF(N331&lt;=5,53,IF(N331&lt;=6,63,IF(N331&lt;=7,71,IF(N331&lt;=8,79,IF(N331&lt;=9,87,IF(N331&lt;=10,95,IF(N331&lt;=11,105,IF(N331&lt;=12,114,IF(N331&lt;=13,119,IF(N331&lt;=14,127,IF(N331&lt;=15,135,IF(N331&lt;=16,143,IF(N331&lt;=17,153,IF(N331&lt;=18,163,IF(N331&lt;=19,171,IF(N331&lt;=20,185,IF(N331&lt;=21,193,IF(N331&lt;=22,201,IF(N331&lt;=23,210,IF(N331&lt;=24,220,IF(N331&lt;=25,230,IF(N331&lt;=26,240,IF(N331&lt;=27,250,IF(N331&lt;=28,260,IF(N331&lt;=29,270,IF(N331&lt;=30,280,280+10*ROUNDUP(N331-30,0)))))))))))))))))))))))))))))))</f>
        <v>63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40"/>
        <v>3.78</v>
      </c>
      <c r="AG331" s="11">
        <f t="shared" si="43"/>
        <v>66.78</v>
      </c>
      <c r="AH331" s="11">
        <v>0</v>
      </c>
      <c r="AI331" s="11">
        <f t="shared" si="44"/>
        <v>66.78</v>
      </c>
      <c r="AJ331" t="s">
        <v>94</v>
      </c>
    </row>
    <row r="332" spans="1:36" ht="15" customHeight="1" x14ac:dyDescent="0.35">
      <c r="A332">
        <v>7547676</v>
      </c>
      <c r="B332" t="s">
        <v>36</v>
      </c>
      <c r="C332" t="s">
        <v>37</v>
      </c>
      <c r="D332" s="6" t="s">
        <v>36</v>
      </c>
      <c r="E332" t="s">
        <v>1112</v>
      </c>
      <c r="F332" t="s">
        <v>39</v>
      </c>
      <c r="G332" t="s">
        <v>40</v>
      </c>
      <c r="H332" t="s">
        <v>147</v>
      </c>
      <c r="I332" t="s">
        <v>42</v>
      </c>
      <c r="J332">
        <v>2</v>
      </c>
      <c r="K332" t="s">
        <v>43</v>
      </c>
      <c r="L332" t="s">
        <v>44</v>
      </c>
      <c r="M332" t="s">
        <v>45</v>
      </c>
      <c r="N332" s="7">
        <v>1</v>
      </c>
      <c r="O332" s="8">
        <v>45537.67895833333</v>
      </c>
      <c r="P332" s="9">
        <v>45538</v>
      </c>
      <c r="Q332" t="s">
        <v>46</v>
      </c>
      <c r="R332" t="s">
        <v>47</v>
      </c>
      <c r="S332" t="s">
        <v>48</v>
      </c>
      <c r="T332" t="s">
        <v>123</v>
      </c>
      <c r="U332" t="s">
        <v>148</v>
      </c>
      <c r="V332">
        <v>40000</v>
      </c>
      <c r="W332" t="s">
        <v>47</v>
      </c>
      <c r="X332" t="s">
        <v>149</v>
      </c>
      <c r="Y332" t="s">
        <v>52</v>
      </c>
      <c r="Z332" s="10">
        <f t="shared" ref="Z332:Z335" si="46">IF(N332&lt;=1,9,9+0.8*ROUNDUP(N332-1,0))</f>
        <v>9</v>
      </c>
      <c r="AA332" s="11">
        <v>-2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40"/>
        <v>0.42</v>
      </c>
      <c r="AG332" s="11">
        <f t="shared" si="43"/>
        <v>7.42</v>
      </c>
      <c r="AH332" s="11">
        <v>0</v>
      </c>
      <c r="AI332" s="11">
        <f t="shared" si="44"/>
        <v>7.42</v>
      </c>
      <c r="AJ332" t="s">
        <v>53</v>
      </c>
    </row>
    <row r="333" spans="1:36" ht="15" customHeight="1" x14ac:dyDescent="0.35">
      <c r="A333">
        <v>7547676</v>
      </c>
      <c r="B333" t="s">
        <v>36</v>
      </c>
      <c r="C333" t="s">
        <v>37</v>
      </c>
      <c r="D333" s="6" t="s">
        <v>36</v>
      </c>
      <c r="E333" t="s">
        <v>1113</v>
      </c>
      <c r="F333" t="s">
        <v>39</v>
      </c>
      <c r="G333" t="s">
        <v>40</v>
      </c>
      <c r="H333" t="s">
        <v>1114</v>
      </c>
      <c r="I333" t="s">
        <v>42</v>
      </c>
      <c r="J333">
        <v>2</v>
      </c>
      <c r="K333" t="s">
        <v>43</v>
      </c>
      <c r="L333" t="s">
        <v>44</v>
      </c>
      <c r="M333" t="s">
        <v>45</v>
      </c>
      <c r="N333" s="7">
        <v>3</v>
      </c>
      <c r="O333" s="8">
        <v>45537.442175925928</v>
      </c>
      <c r="P333" s="9">
        <v>45538</v>
      </c>
      <c r="Q333" t="s">
        <v>46</v>
      </c>
      <c r="R333" t="s">
        <v>47</v>
      </c>
      <c r="S333" t="s">
        <v>48</v>
      </c>
      <c r="T333" t="s">
        <v>75</v>
      </c>
      <c r="U333" t="s">
        <v>1115</v>
      </c>
      <c r="V333">
        <v>18300</v>
      </c>
      <c r="W333" t="s">
        <v>47</v>
      </c>
      <c r="X333" t="s">
        <v>145</v>
      </c>
      <c r="Y333" t="s">
        <v>52</v>
      </c>
      <c r="Z333" s="10">
        <f t="shared" si="46"/>
        <v>10.6</v>
      </c>
      <c r="AA333" s="11">
        <v>-2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40"/>
        <v>0.51600000000000001</v>
      </c>
      <c r="AG333" s="11">
        <f t="shared" si="43"/>
        <v>9.1159999999999997</v>
      </c>
      <c r="AH333" s="11">
        <v>0</v>
      </c>
      <c r="AI333" s="11">
        <f t="shared" si="44"/>
        <v>9.1159999999999997</v>
      </c>
      <c r="AJ333" t="s">
        <v>53</v>
      </c>
    </row>
    <row r="334" spans="1:36" ht="15" customHeight="1" x14ac:dyDescent="0.35">
      <c r="A334">
        <v>7547676</v>
      </c>
      <c r="B334" t="s">
        <v>36</v>
      </c>
      <c r="C334" t="s">
        <v>37</v>
      </c>
      <c r="D334" s="6" t="s">
        <v>36</v>
      </c>
      <c r="E334" t="s">
        <v>1116</v>
      </c>
      <c r="F334" t="s">
        <v>39</v>
      </c>
      <c r="G334" t="s">
        <v>40</v>
      </c>
      <c r="H334" t="s">
        <v>1117</v>
      </c>
      <c r="I334" t="s">
        <v>42</v>
      </c>
      <c r="J334">
        <v>2</v>
      </c>
      <c r="K334" t="s">
        <v>43</v>
      </c>
      <c r="L334" t="s">
        <v>44</v>
      </c>
      <c r="M334" t="s">
        <v>45</v>
      </c>
      <c r="N334" s="7">
        <v>1</v>
      </c>
      <c r="O334" s="8">
        <v>45536.607175925928</v>
      </c>
      <c r="P334" s="9">
        <v>45538</v>
      </c>
      <c r="Q334" t="s">
        <v>1075</v>
      </c>
      <c r="R334" t="s">
        <v>47</v>
      </c>
      <c r="S334" t="s">
        <v>48</v>
      </c>
      <c r="T334" t="s">
        <v>75</v>
      </c>
      <c r="U334" t="s">
        <v>1118</v>
      </c>
      <c r="V334">
        <v>16090</v>
      </c>
      <c r="W334" t="s">
        <v>47</v>
      </c>
      <c r="X334" t="s">
        <v>1119</v>
      </c>
      <c r="Y334" t="s">
        <v>52</v>
      </c>
      <c r="Z334" s="10">
        <f t="shared" si="46"/>
        <v>9</v>
      </c>
      <c r="AA334" s="11">
        <v>-2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ref="AF334:AF397" si="47">(Z334+AA334+AC334+AE334)*6%</f>
        <v>0.42</v>
      </c>
      <c r="AG334" s="11">
        <f t="shared" si="43"/>
        <v>7.42</v>
      </c>
      <c r="AH334" s="11">
        <v>0</v>
      </c>
      <c r="AI334" s="11">
        <f t="shared" si="44"/>
        <v>7.42</v>
      </c>
      <c r="AJ334" t="s">
        <v>53</v>
      </c>
    </row>
    <row r="335" spans="1:36" ht="15" customHeight="1" x14ac:dyDescent="0.35">
      <c r="A335">
        <v>7547676</v>
      </c>
      <c r="B335" t="s">
        <v>36</v>
      </c>
      <c r="C335" t="s">
        <v>37</v>
      </c>
      <c r="D335" s="6" t="s">
        <v>36</v>
      </c>
      <c r="E335" t="s">
        <v>1120</v>
      </c>
      <c r="F335" t="s">
        <v>39</v>
      </c>
      <c r="G335" t="s">
        <v>40</v>
      </c>
      <c r="H335" t="s">
        <v>1121</v>
      </c>
      <c r="I335" t="s">
        <v>42</v>
      </c>
      <c r="J335">
        <v>2</v>
      </c>
      <c r="K335" t="s">
        <v>43</v>
      </c>
      <c r="L335" t="s">
        <v>44</v>
      </c>
      <c r="M335" t="s">
        <v>45</v>
      </c>
      <c r="N335" s="7">
        <v>1</v>
      </c>
      <c r="O335" s="8">
        <v>45536.761261574073</v>
      </c>
      <c r="P335" s="9">
        <v>45538</v>
      </c>
      <c r="Q335" t="s">
        <v>46</v>
      </c>
      <c r="R335" t="s">
        <v>47</v>
      </c>
      <c r="S335" t="s">
        <v>48</v>
      </c>
      <c r="T335" t="s">
        <v>56</v>
      </c>
      <c r="U335" t="s">
        <v>1122</v>
      </c>
      <c r="V335">
        <v>5400</v>
      </c>
      <c r="W335" t="s">
        <v>47</v>
      </c>
      <c r="X335" t="s">
        <v>51</v>
      </c>
      <c r="Y335" t="s">
        <v>52</v>
      </c>
      <c r="Z335" s="10">
        <f t="shared" si="46"/>
        <v>9</v>
      </c>
      <c r="AA335" s="11">
        <v>-2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47"/>
        <v>0.42</v>
      </c>
      <c r="AG335" s="11">
        <f t="shared" si="43"/>
        <v>7.42</v>
      </c>
      <c r="AH335" s="11">
        <v>0</v>
      </c>
      <c r="AI335" s="11">
        <f t="shared" si="44"/>
        <v>7.42</v>
      </c>
      <c r="AJ335" t="s">
        <v>53</v>
      </c>
    </row>
    <row r="336" spans="1:36" ht="15" customHeight="1" x14ac:dyDescent="0.35">
      <c r="A336">
        <v>7547676</v>
      </c>
      <c r="B336" t="s">
        <v>36</v>
      </c>
      <c r="C336" t="s">
        <v>37</v>
      </c>
      <c r="D336" s="6" t="s">
        <v>36</v>
      </c>
      <c r="E336" t="s">
        <v>1123</v>
      </c>
      <c r="F336" t="s">
        <v>39</v>
      </c>
      <c r="G336" t="s">
        <v>40</v>
      </c>
      <c r="H336" t="s">
        <v>976</v>
      </c>
      <c r="I336" t="s">
        <v>42</v>
      </c>
      <c r="J336">
        <v>2</v>
      </c>
      <c r="K336" t="s">
        <v>43</v>
      </c>
      <c r="L336" t="s">
        <v>44</v>
      </c>
      <c r="M336" t="s">
        <v>45</v>
      </c>
      <c r="N336" s="7">
        <v>2</v>
      </c>
      <c r="O336" s="8">
        <v>45536.447268518517</v>
      </c>
      <c r="P336" s="9">
        <v>45538</v>
      </c>
      <c r="Q336" t="s">
        <v>1075</v>
      </c>
      <c r="R336" t="s">
        <v>47</v>
      </c>
      <c r="S336" t="s">
        <v>48</v>
      </c>
      <c r="T336" t="s">
        <v>90</v>
      </c>
      <c r="U336" t="s">
        <v>1124</v>
      </c>
      <c r="V336">
        <v>88300</v>
      </c>
      <c r="W336" t="s">
        <v>92</v>
      </c>
      <c r="X336" t="s">
        <v>93</v>
      </c>
      <c r="Y336" t="s">
        <v>52</v>
      </c>
      <c r="Z336" s="12">
        <f>IF(N336&lt;=1,13,IF(N336&lt;=2,23,IF(N336&lt;=3,35,IF(N336&lt;=4,43,IF(N336&lt;=5,53,IF(N336&lt;=6,63,IF(N336&lt;=7,71,IF(N336&lt;=8,79,IF(N336&lt;=9,87,IF(N336&lt;=10,95,IF(N336&lt;=11,105,IF(N336&lt;=12,114,IF(N336&lt;=13,119,IF(N336&lt;=14,127,IF(N336&lt;=15,135,IF(N336&lt;=16,143,IF(N336&lt;=17,153,IF(N336&lt;=18,163,IF(N336&lt;=19,171,IF(N336&lt;=20,185,IF(N336&lt;=21,193,IF(N336&lt;=22,201,IF(N336&lt;=23,210,IF(N336&lt;=24,220,IF(N336&lt;=25,230,IF(N336&lt;=26,240,IF(N336&lt;=27,250,IF(N336&lt;=28,260,IF(N336&lt;=29,270,IF(N336&lt;=30,280,280+10*ROUNDUP(N336-30,0)))))))))))))))))))))))))))))))</f>
        <v>23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47"/>
        <v>1.38</v>
      </c>
      <c r="AG336" s="11">
        <f t="shared" si="43"/>
        <v>24.38</v>
      </c>
      <c r="AH336" s="11">
        <v>0</v>
      </c>
      <c r="AI336" s="11">
        <f t="shared" si="44"/>
        <v>24.38</v>
      </c>
      <c r="AJ336" t="s">
        <v>94</v>
      </c>
    </row>
    <row r="337" spans="1:36" ht="15" customHeight="1" x14ac:dyDescent="0.35">
      <c r="A337">
        <v>7547676</v>
      </c>
      <c r="B337" t="s">
        <v>36</v>
      </c>
      <c r="C337" t="s">
        <v>37</v>
      </c>
      <c r="D337" s="6" t="s">
        <v>36</v>
      </c>
      <c r="E337" t="s">
        <v>1125</v>
      </c>
      <c r="F337" t="s">
        <v>39</v>
      </c>
      <c r="G337" t="s">
        <v>40</v>
      </c>
      <c r="H337" t="s">
        <v>1126</v>
      </c>
      <c r="I337" t="s">
        <v>42</v>
      </c>
      <c r="J337">
        <v>2</v>
      </c>
      <c r="K337" t="s">
        <v>43</v>
      </c>
      <c r="L337" t="s">
        <v>44</v>
      </c>
      <c r="M337" t="s">
        <v>45</v>
      </c>
      <c r="N337" s="7">
        <v>1</v>
      </c>
      <c r="O337" s="8">
        <v>45533.7890162037</v>
      </c>
      <c r="P337" s="9">
        <v>45538</v>
      </c>
      <c r="Q337" t="s">
        <v>89</v>
      </c>
      <c r="R337" t="s">
        <v>47</v>
      </c>
      <c r="S337" t="s">
        <v>48</v>
      </c>
      <c r="T337" t="s">
        <v>128</v>
      </c>
      <c r="U337" t="s">
        <v>1127</v>
      </c>
      <c r="V337">
        <v>50050</v>
      </c>
      <c r="W337" t="s">
        <v>47</v>
      </c>
      <c r="X337" t="s">
        <v>51</v>
      </c>
      <c r="Y337" t="s">
        <v>52</v>
      </c>
      <c r="Z337" s="10">
        <f t="shared" ref="Z337:Z343" si="48">IF(N337&lt;=1,9,9+0.8*ROUNDUP(N337-1,0))</f>
        <v>9</v>
      </c>
      <c r="AA337" s="11">
        <v>-2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47"/>
        <v>0.42</v>
      </c>
      <c r="AG337" s="11">
        <f t="shared" si="43"/>
        <v>7.42</v>
      </c>
      <c r="AH337" s="11">
        <v>0</v>
      </c>
      <c r="AI337" s="11">
        <f t="shared" si="44"/>
        <v>7.42</v>
      </c>
      <c r="AJ337" t="s">
        <v>53</v>
      </c>
    </row>
    <row r="338" spans="1:36" ht="15" customHeight="1" x14ac:dyDescent="0.35">
      <c r="A338">
        <v>7547676</v>
      </c>
      <c r="B338" t="s">
        <v>36</v>
      </c>
      <c r="C338" t="s">
        <v>37</v>
      </c>
      <c r="D338" s="6" t="s">
        <v>36</v>
      </c>
      <c r="E338" t="s">
        <v>1128</v>
      </c>
      <c r="F338" t="s">
        <v>39</v>
      </c>
      <c r="G338" t="s">
        <v>40</v>
      </c>
      <c r="H338" t="s">
        <v>1129</v>
      </c>
      <c r="I338" t="s">
        <v>42</v>
      </c>
      <c r="J338">
        <v>2</v>
      </c>
      <c r="K338" t="s">
        <v>43</v>
      </c>
      <c r="L338" t="s">
        <v>44</v>
      </c>
      <c r="M338" t="s">
        <v>45</v>
      </c>
      <c r="N338" s="7">
        <v>1</v>
      </c>
      <c r="O338" s="8">
        <v>45536.430844907409</v>
      </c>
      <c r="P338" s="9">
        <v>45538</v>
      </c>
      <c r="Q338" t="s">
        <v>1075</v>
      </c>
      <c r="R338" t="s">
        <v>47</v>
      </c>
      <c r="S338" t="s">
        <v>48</v>
      </c>
      <c r="T338" t="s">
        <v>210</v>
      </c>
      <c r="U338" t="s">
        <v>1130</v>
      </c>
      <c r="V338">
        <v>71350</v>
      </c>
      <c r="W338" t="s">
        <v>47</v>
      </c>
      <c r="X338" t="s">
        <v>435</v>
      </c>
      <c r="Y338" t="s">
        <v>52</v>
      </c>
      <c r="Z338" s="10">
        <f t="shared" si="48"/>
        <v>9</v>
      </c>
      <c r="AA338" s="11">
        <v>-2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47"/>
        <v>0.42</v>
      </c>
      <c r="AG338" s="11">
        <f t="shared" si="43"/>
        <v>7.42</v>
      </c>
      <c r="AH338" s="11">
        <v>0</v>
      </c>
      <c r="AI338" s="11">
        <f t="shared" si="44"/>
        <v>7.42</v>
      </c>
      <c r="AJ338" t="s">
        <v>53</v>
      </c>
    </row>
    <row r="339" spans="1:36" ht="15" customHeight="1" x14ac:dyDescent="0.35">
      <c r="A339">
        <v>7547676</v>
      </c>
      <c r="B339" t="s">
        <v>36</v>
      </c>
      <c r="C339" t="s">
        <v>37</v>
      </c>
      <c r="D339" s="6" t="s">
        <v>36</v>
      </c>
      <c r="E339" t="s">
        <v>1131</v>
      </c>
      <c r="F339" t="s">
        <v>39</v>
      </c>
      <c r="G339" t="s">
        <v>40</v>
      </c>
      <c r="H339" t="s">
        <v>1132</v>
      </c>
      <c r="I339" t="s">
        <v>42</v>
      </c>
      <c r="J339">
        <v>2</v>
      </c>
      <c r="K339" t="s">
        <v>43</v>
      </c>
      <c r="L339" t="s">
        <v>44</v>
      </c>
      <c r="M339" t="s">
        <v>45</v>
      </c>
      <c r="N339" s="7">
        <v>2</v>
      </c>
      <c r="O339" s="8">
        <v>45536.545740740738</v>
      </c>
      <c r="P339" s="9">
        <v>45538</v>
      </c>
      <c r="Q339" t="s">
        <v>46</v>
      </c>
      <c r="R339" t="s">
        <v>47</v>
      </c>
      <c r="S339" t="s">
        <v>48</v>
      </c>
      <c r="T339" t="s">
        <v>80</v>
      </c>
      <c r="U339" t="s">
        <v>1133</v>
      </c>
      <c r="V339">
        <v>13400</v>
      </c>
      <c r="W339" t="s">
        <v>47</v>
      </c>
      <c r="X339" t="s">
        <v>525</v>
      </c>
      <c r="Y339" t="s">
        <v>52</v>
      </c>
      <c r="Z339" s="10">
        <f t="shared" si="48"/>
        <v>9.8000000000000007</v>
      </c>
      <c r="AA339" s="11">
        <v>-2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47"/>
        <v>0.46800000000000003</v>
      </c>
      <c r="AG339" s="11">
        <f t="shared" si="43"/>
        <v>8.2680000000000007</v>
      </c>
      <c r="AH339" s="11">
        <v>0</v>
      </c>
      <c r="AI339" s="11">
        <f t="shared" si="44"/>
        <v>8.2680000000000007</v>
      </c>
      <c r="AJ339" t="s">
        <v>53</v>
      </c>
    </row>
    <row r="340" spans="1:36" ht="15" customHeight="1" x14ac:dyDescent="0.35">
      <c r="A340">
        <v>7547676</v>
      </c>
      <c r="B340" t="s">
        <v>36</v>
      </c>
      <c r="C340" t="s">
        <v>37</v>
      </c>
      <c r="D340" s="6" t="s">
        <v>36</v>
      </c>
      <c r="E340" t="s">
        <v>1134</v>
      </c>
      <c r="F340" t="s">
        <v>39</v>
      </c>
      <c r="G340" t="s">
        <v>40</v>
      </c>
      <c r="H340" t="s">
        <v>1135</v>
      </c>
      <c r="I340" t="s">
        <v>42</v>
      </c>
      <c r="J340">
        <v>2</v>
      </c>
      <c r="K340" t="s">
        <v>43</v>
      </c>
      <c r="L340" t="s">
        <v>44</v>
      </c>
      <c r="M340" t="s">
        <v>45</v>
      </c>
      <c r="N340" s="7">
        <v>1</v>
      </c>
      <c r="O340" s="8">
        <v>45536.726122685184</v>
      </c>
      <c r="P340" s="9">
        <v>45538</v>
      </c>
      <c r="Q340" t="s">
        <v>1075</v>
      </c>
      <c r="R340" t="s">
        <v>47</v>
      </c>
      <c r="S340" t="s">
        <v>48</v>
      </c>
      <c r="T340" t="s">
        <v>104</v>
      </c>
      <c r="U340" t="s">
        <v>1136</v>
      </c>
      <c r="V340">
        <v>75450</v>
      </c>
      <c r="W340" t="s">
        <v>47</v>
      </c>
      <c r="X340" t="s">
        <v>302</v>
      </c>
      <c r="Y340" t="s">
        <v>52</v>
      </c>
      <c r="Z340" s="10">
        <f t="shared" si="48"/>
        <v>9</v>
      </c>
      <c r="AA340" s="11">
        <v>-2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47"/>
        <v>0.42</v>
      </c>
      <c r="AG340" s="11">
        <f t="shared" si="43"/>
        <v>7.42</v>
      </c>
      <c r="AH340" s="11">
        <v>0</v>
      </c>
      <c r="AI340" s="11">
        <f t="shared" si="44"/>
        <v>7.42</v>
      </c>
      <c r="AJ340" t="s">
        <v>53</v>
      </c>
    </row>
    <row r="341" spans="1:36" ht="15" customHeight="1" x14ac:dyDescent="0.35">
      <c r="A341">
        <v>7547676</v>
      </c>
      <c r="B341" t="s">
        <v>36</v>
      </c>
      <c r="C341" t="s">
        <v>37</v>
      </c>
      <c r="D341" s="6" t="s">
        <v>36</v>
      </c>
      <c r="E341" t="s">
        <v>1137</v>
      </c>
      <c r="F341" t="s">
        <v>39</v>
      </c>
      <c r="G341" t="s">
        <v>40</v>
      </c>
      <c r="H341" t="s">
        <v>1138</v>
      </c>
      <c r="I341" t="s">
        <v>42</v>
      </c>
      <c r="J341">
        <v>2</v>
      </c>
      <c r="K341" t="s">
        <v>43</v>
      </c>
      <c r="L341" t="s">
        <v>44</v>
      </c>
      <c r="M341" t="s">
        <v>45</v>
      </c>
      <c r="N341" s="7">
        <v>1</v>
      </c>
      <c r="O341" s="8">
        <v>45536.430844907409</v>
      </c>
      <c r="P341" s="9">
        <v>45538</v>
      </c>
      <c r="Q341" t="s">
        <v>1075</v>
      </c>
      <c r="R341" t="s">
        <v>47</v>
      </c>
      <c r="S341" t="s">
        <v>48</v>
      </c>
      <c r="T341" t="s">
        <v>210</v>
      </c>
      <c r="U341" t="s">
        <v>1139</v>
      </c>
      <c r="V341">
        <v>71800</v>
      </c>
      <c r="W341" t="s">
        <v>47</v>
      </c>
      <c r="X341" t="s">
        <v>1065</v>
      </c>
      <c r="Y341" t="s">
        <v>52</v>
      </c>
      <c r="Z341" s="10">
        <f t="shared" si="48"/>
        <v>9</v>
      </c>
      <c r="AA341" s="11">
        <v>-2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47"/>
        <v>0.42</v>
      </c>
      <c r="AG341" s="11">
        <f t="shared" si="43"/>
        <v>7.42</v>
      </c>
      <c r="AH341" s="11">
        <v>0</v>
      </c>
      <c r="AI341" s="11">
        <f t="shared" si="44"/>
        <v>7.42</v>
      </c>
      <c r="AJ341" t="s">
        <v>53</v>
      </c>
    </row>
    <row r="342" spans="1:36" ht="15" customHeight="1" x14ac:dyDescent="0.35">
      <c r="A342">
        <v>7547676</v>
      </c>
      <c r="B342" t="s">
        <v>36</v>
      </c>
      <c r="C342" t="s">
        <v>37</v>
      </c>
      <c r="D342" s="6" t="s">
        <v>36</v>
      </c>
      <c r="E342" t="s">
        <v>1140</v>
      </c>
      <c r="F342" t="s">
        <v>39</v>
      </c>
      <c r="G342" t="s">
        <v>40</v>
      </c>
      <c r="H342" t="s">
        <v>748</v>
      </c>
      <c r="I342" t="s">
        <v>42</v>
      </c>
      <c r="J342">
        <v>2</v>
      </c>
      <c r="K342" t="s">
        <v>43</v>
      </c>
      <c r="L342" t="s">
        <v>44</v>
      </c>
      <c r="M342" t="s">
        <v>45</v>
      </c>
      <c r="N342" s="7">
        <v>3</v>
      </c>
      <c r="O342" s="8">
        <v>45533.501064814816</v>
      </c>
      <c r="P342" s="9">
        <v>45538</v>
      </c>
      <c r="Q342" t="s">
        <v>46</v>
      </c>
      <c r="R342" t="s">
        <v>47</v>
      </c>
      <c r="S342" t="s">
        <v>48</v>
      </c>
      <c r="T342" t="s">
        <v>123</v>
      </c>
      <c r="U342" t="s">
        <v>1141</v>
      </c>
      <c r="V342">
        <v>53100</v>
      </c>
      <c r="W342" t="s">
        <v>47</v>
      </c>
      <c r="X342" t="s">
        <v>51</v>
      </c>
      <c r="Y342" t="s">
        <v>52</v>
      </c>
      <c r="Z342" s="10">
        <f t="shared" si="48"/>
        <v>10.6</v>
      </c>
      <c r="AA342" s="11">
        <v>-2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47"/>
        <v>0.51600000000000001</v>
      </c>
      <c r="AG342" s="11">
        <f t="shared" si="43"/>
        <v>9.1159999999999997</v>
      </c>
      <c r="AH342" s="11">
        <v>0</v>
      </c>
      <c r="AI342" s="11">
        <f t="shared" si="44"/>
        <v>9.1159999999999997</v>
      </c>
      <c r="AJ342" t="s">
        <v>53</v>
      </c>
    </row>
    <row r="343" spans="1:36" ht="15" customHeight="1" x14ac:dyDescent="0.35">
      <c r="A343">
        <v>7547676</v>
      </c>
      <c r="B343" t="s">
        <v>36</v>
      </c>
      <c r="C343" t="s">
        <v>37</v>
      </c>
      <c r="D343" s="6" t="s">
        <v>36</v>
      </c>
      <c r="E343" t="s">
        <v>1142</v>
      </c>
      <c r="F343" t="s">
        <v>39</v>
      </c>
      <c r="G343" t="s">
        <v>40</v>
      </c>
      <c r="H343" t="s">
        <v>1143</v>
      </c>
      <c r="I343" t="s">
        <v>42</v>
      </c>
      <c r="J343">
        <v>2</v>
      </c>
      <c r="K343" t="s">
        <v>43</v>
      </c>
      <c r="L343" t="s">
        <v>44</v>
      </c>
      <c r="M343" t="s">
        <v>45</v>
      </c>
      <c r="N343" s="7">
        <v>1</v>
      </c>
      <c r="O343" s="8">
        <v>45536.638472222221</v>
      </c>
      <c r="P343" s="9">
        <v>45538</v>
      </c>
      <c r="Q343" t="s">
        <v>1075</v>
      </c>
      <c r="R343" t="s">
        <v>47</v>
      </c>
      <c r="S343" t="s">
        <v>48</v>
      </c>
      <c r="T343" t="s">
        <v>123</v>
      </c>
      <c r="U343" t="s">
        <v>1144</v>
      </c>
      <c r="V343">
        <v>52200</v>
      </c>
      <c r="W343" t="s">
        <v>47</v>
      </c>
      <c r="X343" t="s">
        <v>51</v>
      </c>
      <c r="Y343" t="s">
        <v>52</v>
      </c>
      <c r="Z343" s="10">
        <f t="shared" si="48"/>
        <v>9</v>
      </c>
      <c r="AA343" s="11">
        <v>-2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47"/>
        <v>0.42</v>
      </c>
      <c r="AG343" s="11">
        <f t="shared" si="43"/>
        <v>7.42</v>
      </c>
      <c r="AH343" s="11">
        <v>0</v>
      </c>
      <c r="AI343" s="11">
        <f t="shared" si="44"/>
        <v>7.42</v>
      </c>
      <c r="AJ343" t="s">
        <v>53</v>
      </c>
    </row>
    <row r="344" spans="1:36" ht="15" customHeight="1" x14ac:dyDescent="0.35">
      <c r="A344">
        <v>7547676</v>
      </c>
      <c r="B344" t="s">
        <v>36</v>
      </c>
      <c r="C344" t="s">
        <v>37</v>
      </c>
      <c r="D344" s="6" t="s">
        <v>36</v>
      </c>
      <c r="E344" t="s">
        <v>1145</v>
      </c>
      <c r="F344" t="s">
        <v>39</v>
      </c>
      <c r="G344" t="s">
        <v>40</v>
      </c>
      <c r="H344" t="s">
        <v>1146</v>
      </c>
      <c r="I344" t="s">
        <v>42</v>
      </c>
      <c r="J344">
        <v>2</v>
      </c>
      <c r="K344" t="s">
        <v>43</v>
      </c>
      <c r="L344" t="s">
        <v>44</v>
      </c>
      <c r="M344" t="s">
        <v>45</v>
      </c>
      <c r="N344" s="7">
        <v>1</v>
      </c>
      <c r="O344" s="8">
        <v>45534.458587962959</v>
      </c>
      <c r="P344" s="9">
        <v>45538</v>
      </c>
      <c r="Q344" t="s">
        <v>89</v>
      </c>
      <c r="R344" t="s">
        <v>47</v>
      </c>
      <c r="S344" t="s">
        <v>48</v>
      </c>
      <c r="T344" t="s">
        <v>644</v>
      </c>
      <c r="U344" t="s">
        <v>1147</v>
      </c>
      <c r="V344">
        <v>96000</v>
      </c>
      <c r="W344" t="s">
        <v>92</v>
      </c>
      <c r="X344" t="s">
        <v>51</v>
      </c>
      <c r="Y344" t="s">
        <v>52</v>
      </c>
      <c r="Z344" s="12">
        <f>IF(N344&lt;=1,13,IF(N344&lt;=2,23,IF(N344&lt;=3,35,IF(N344&lt;=4,43,IF(N344&lt;=5,53,IF(N344&lt;=6,63,IF(N344&lt;=7,71,IF(N344&lt;=8,79,IF(N344&lt;=9,87,IF(N344&lt;=10,95,IF(N344&lt;=11,105,IF(N344&lt;=12,114,IF(N344&lt;=13,119,IF(N344&lt;=14,127,IF(N344&lt;=15,135,IF(N344&lt;=16,143,IF(N344&lt;=17,153,IF(N344&lt;=18,163,IF(N344&lt;=19,171,IF(N344&lt;=20,185,IF(N344&lt;=21,193,IF(N344&lt;=22,201,IF(N344&lt;=23,210,IF(N344&lt;=24,220,IF(N344&lt;=25,230,IF(N344&lt;=26,240,IF(N344&lt;=27,250,IF(N344&lt;=28,260,IF(N344&lt;=29,270,IF(N344&lt;=30,280,280+10*ROUNDUP(N344-30,0)))))))))))))))))))))))))))))))</f>
        <v>13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47"/>
        <v>0.78</v>
      </c>
      <c r="AG344" s="11">
        <f t="shared" si="43"/>
        <v>13.78</v>
      </c>
      <c r="AH344" s="11">
        <v>0</v>
      </c>
      <c r="AI344" s="11">
        <f t="shared" si="44"/>
        <v>13.78</v>
      </c>
      <c r="AJ344" t="s">
        <v>94</v>
      </c>
    </row>
    <row r="345" spans="1:36" ht="15" customHeight="1" x14ac:dyDescent="0.35">
      <c r="A345">
        <v>7547676</v>
      </c>
      <c r="B345" t="s">
        <v>36</v>
      </c>
      <c r="C345" t="s">
        <v>37</v>
      </c>
      <c r="D345" s="6" t="s">
        <v>36</v>
      </c>
      <c r="E345" t="s">
        <v>1148</v>
      </c>
      <c r="F345" t="s">
        <v>39</v>
      </c>
      <c r="G345" t="s">
        <v>40</v>
      </c>
      <c r="H345" t="s">
        <v>1149</v>
      </c>
      <c r="I345" t="s">
        <v>42</v>
      </c>
      <c r="J345">
        <v>2</v>
      </c>
      <c r="K345" t="s">
        <v>43</v>
      </c>
      <c r="L345" t="s">
        <v>44</v>
      </c>
      <c r="M345" t="s">
        <v>45</v>
      </c>
      <c r="N345" s="7">
        <v>1</v>
      </c>
      <c r="O345" s="8">
        <v>45536.430844907409</v>
      </c>
      <c r="P345" s="9">
        <v>45538</v>
      </c>
      <c r="Q345" t="s">
        <v>1075</v>
      </c>
      <c r="R345" t="s">
        <v>47</v>
      </c>
      <c r="S345" t="s">
        <v>48</v>
      </c>
      <c r="T345" t="s">
        <v>56</v>
      </c>
      <c r="U345" t="s">
        <v>1150</v>
      </c>
      <c r="V345">
        <v>6720</v>
      </c>
      <c r="W345" t="s">
        <v>47</v>
      </c>
      <c r="X345" t="s">
        <v>905</v>
      </c>
      <c r="Y345" t="s">
        <v>52</v>
      </c>
      <c r="Z345" s="10">
        <f t="shared" ref="Z345:Z348" si="49">IF(N345&lt;=1,9,9+0.8*ROUNDUP(N345-1,0))</f>
        <v>9</v>
      </c>
      <c r="AA345" s="11">
        <v>-2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47"/>
        <v>0.42</v>
      </c>
      <c r="AG345" s="11">
        <f t="shared" si="43"/>
        <v>7.42</v>
      </c>
      <c r="AH345" s="11">
        <v>0</v>
      </c>
      <c r="AI345" s="11">
        <f t="shared" si="44"/>
        <v>7.42</v>
      </c>
      <c r="AJ345" t="s">
        <v>53</v>
      </c>
    </row>
    <row r="346" spans="1:36" ht="15" customHeight="1" x14ac:dyDescent="0.35">
      <c r="A346">
        <v>7547676</v>
      </c>
      <c r="B346" t="s">
        <v>36</v>
      </c>
      <c r="C346" t="s">
        <v>37</v>
      </c>
      <c r="D346" s="6" t="s">
        <v>36</v>
      </c>
      <c r="E346" t="s">
        <v>1151</v>
      </c>
      <c r="F346" t="s">
        <v>39</v>
      </c>
      <c r="G346" t="s">
        <v>40</v>
      </c>
      <c r="H346" t="s">
        <v>1152</v>
      </c>
      <c r="I346" t="s">
        <v>42</v>
      </c>
      <c r="J346">
        <v>2</v>
      </c>
      <c r="K346" t="s">
        <v>43</v>
      </c>
      <c r="L346" t="s">
        <v>44</v>
      </c>
      <c r="M346" t="s">
        <v>45</v>
      </c>
      <c r="N346" s="7">
        <v>1</v>
      </c>
      <c r="O346" s="8">
        <v>45536.430844907409</v>
      </c>
      <c r="P346" s="9">
        <v>45538</v>
      </c>
      <c r="Q346" t="s">
        <v>1075</v>
      </c>
      <c r="R346" t="s">
        <v>47</v>
      </c>
      <c r="S346" t="s">
        <v>48</v>
      </c>
      <c r="T346" t="s">
        <v>66</v>
      </c>
      <c r="U346" t="s">
        <v>1153</v>
      </c>
      <c r="V346">
        <v>83010</v>
      </c>
      <c r="W346" t="s">
        <v>47</v>
      </c>
      <c r="X346" t="s">
        <v>1154</v>
      </c>
      <c r="Y346" t="s">
        <v>52</v>
      </c>
      <c r="Z346" s="10">
        <f t="shared" si="49"/>
        <v>9</v>
      </c>
      <c r="AA346" s="11">
        <v>-2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47"/>
        <v>0.42</v>
      </c>
      <c r="AG346" s="11">
        <f t="shared" si="43"/>
        <v>7.42</v>
      </c>
      <c r="AH346" s="11">
        <v>0</v>
      </c>
      <c r="AI346" s="11">
        <f t="shared" si="44"/>
        <v>7.42</v>
      </c>
      <c r="AJ346" t="s">
        <v>53</v>
      </c>
    </row>
    <row r="347" spans="1:36" ht="15" customHeight="1" x14ac:dyDescent="0.35">
      <c r="A347">
        <v>7547676</v>
      </c>
      <c r="B347" t="s">
        <v>36</v>
      </c>
      <c r="C347" t="s">
        <v>37</v>
      </c>
      <c r="D347" s="6" t="s">
        <v>36</v>
      </c>
      <c r="E347" t="s">
        <v>1155</v>
      </c>
      <c r="F347" t="s">
        <v>39</v>
      </c>
      <c r="G347" t="s">
        <v>40</v>
      </c>
      <c r="H347" t="s">
        <v>1156</v>
      </c>
      <c r="I347" t="s">
        <v>42</v>
      </c>
      <c r="J347">
        <v>2</v>
      </c>
      <c r="K347" t="s">
        <v>43</v>
      </c>
      <c r="L347" t="s">
        <v>44</v>
      </c>
      <c r="M347" t="s">
        <v>45</v>
      </c>
      <c r="N347" s="7">
        <v>2</v>
      </c>
      <c r="O347" s="8">
        <v>45536.402013888888</v>
      </c>
      <c r="P347" s="9">
        <v>45538</v>
      </c>
      <c r="Q347" t="s">
        <v>46</v>
      </c>
      <c r="R347" t="s">
        <v>47</v>
      </c>
      <c r="S347" t="s">
        <v>48</v>
      </c>
      <c r="T347" t="s">
        <v>66</v>
      </c>
      <c r="U347" t="s">
        <v>1157</v>
      </c>
      <c r="V347">
        <v>81200</v>
      </c>
      <c r="W347" t="s">
        <v>47</v>
      </c>
      <c r="X347" t="s">
        <v>200</v>
      </c>
      <c r="Y347" t="s">
        <v>52</v>
      </c>
      <c r="Z347" s="10">
        <f t="shared" si="49"/>
        <v>9.8000000000000007</v>
      </c>
      <c r="AA347" s="11">
        <v>-2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47"/>
        <v>0.46800000000000003</v>
      </c>
      <c r="AG347" s="11">
        <f t="shared" si="43"/>
        <v>8.2680000000000007</v>
      </c>
      <c r="AH347" s="11">
        <v>0</v>
      </c>
      <c r="AI347" s="11">
        <f t="shared" si="44"/>
        <v>8.2680000000000007</v>
      </c>
      <c r="AJ347" t="s">
        <v>53</v>
      </c>
    </row>
    <row r="348" spans="1:36" ht="15" customHeight="1" x14ac:dyDescent="0.35">
      <c r="A348">
        <v>7547676</v>
      </c>
      <c r="B348" t="s">
        <v>36</v>
      </c>
      <c r="C348" t="s">
        <v>37</v>
      </c>
      <c r="D348" s="6" t="s">
        <v>36</v>
      </c>
      <c r="E348" t="s">
        <v>1158</v>
      </c>
      <c r="F348" t="s">
        <v>39</v>
      </c>
      <c r="G348" t="s">
        <v>40</v>
      </c>
      <c r="H348" t="s">
        <v>215</v>
      </c>
      <c r="I348" t="s">
        <v>42</v>
      </c>
      <c r="J348">
        <v>2</v>
      </c>
      <c r="K348" t="s">
        <v>43</v>
      </c>
      <c r="L348" t="s">
        <v>44</v>
      </c>
      <c r="M348" t="s">
        <v>45</v>
      </c>
      <c r="N348" s="7">
        <v>1</v>
      </c>
      <c r="O348" s="8">
        <v>45536.430844907409</v>
      </c>
      <c r="P348" s="9">
        <v>45538</v>
      </c>
      <c r="Q348" t="s">
        <v>1075</v>
      </c>
      <c r="R348" t="s">
        <v>47</v>
      </c>
      <c r="S348" t="s">
        <v>48</v>
      </c>
      <c r="T348" t="s">
        <v>66</v>
      </c>
      <c r="U348" t="s">
        <v>216</v>
      </c>
      <c r="V348">
        <v>80200</v>
      </c>
      <c r="W348" t="s">
        <v>47</v>
      </c>
      <c r="X348" t="s">
        <v>217</v>
      </c>
      <c r="Y348" t="s">
        <v>52</v>
      </c>
      <c r="Z348" s="10">
        <f t="shared" si="49"/>
        <v>9</v>
      </c>
      <c r="AA348" s="11">
        <v>-2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47"/>
        <v>0.42</v>
      </c>
      <c r="AG348" s="11">
        <f t="shared" si="43"/>
        <v>7.42</v>
      </c>
      <c r="AH348" s="11">
        <v>0</v>
      </c>
      <c r="AI348" s="11">
        <f t="shared" si="44"/>
        <v>7.42</v>
      </c>
      <c r="AJ348" t="s">
        <v>53</v>
      </c>
    </row>
    <row r="349" spans="1:36" ht="15" customHeight="1" x14ac:dyDescent="0.35">
      <c r="A349">
        <v>7547676</v>
      </c>
      <c r="B349" t="s">
        <v>36</v>
      </c>
      <c r="C349" t="s">
        <v>37</v>
      </c>
      <c r="D349" s="6" t="s">
        <v>36</v>
      </c>
      <c r="E349" t="s">
        <v>1159</v>
      </c>
      <c r="F349" t="s">
        <v>39</v>
      </c>
      <c r="G349" t="s">
        <v>40</v>
      </c>
      <c r="H349" t="s">
        <v>1160</v>
      </c>
      <c r="I349" t="s">
        <v>42</v>
      </c>
      <c r="J349">
        <v>2</v>
      </c>
      <c r="K349" t="s">
        <v>43</v>
      </c>
      <c r="L349" t="s">
        <v>44</v>
      </c>
      <c r="M349" t="s">
        <v>45</v>
      </c>
      <c r="N349" s="7">
        <v>1</v>
      </c>
      <c r="O349" s="8">
        <v>45538.455104166664</v>
      </c>
      <c r="P349" s="9">
        <v>45539</v>
      </c>
      <c r="Q349" t="s">
        <v>46</v>
      </c>
      <c r="R349" t="s">
        <v>47</v>
      </c>
      <c r="S349" t="s">
        <v>48</v>
      </c>
      <c r="T349" t="s">
        <v>61</v>
      </c>
      <c r="U349" t="s">
        <v>1161</v>
      </c>
      <c r="V349">
        <v>21300</v>
      </c>
      <c r="W349" t="s">
        <v>47</v>
      </c>
      <c r="X349" t="s">
        <v>63</v>
      </c>
      <c r="Y349" t="s">
        <v>52</v>
      </c>
      <c r="Z349" s="10">
        <f>IF(N349&lt;=1,9,9+0.8*ROUNDUP(N349-1,0))</f>
        <v>9</v>
      </c>
      <c r="AA349" s="11">
        <v>-2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47"/>
        <v>0.42</v>
      </c>
      <c r="AG349" s="11">
        <f t="shared" si="43"/>
        <v>7.42</v>
      </c>
      <c r="AH349" s="11">
        <v>0</v>
      </c>
      <c r="AI349" s="11">
        <f t="shared" si="44"/>
        <v>7.42</v>
      </c>
      <c r="AJ349" t="s">
        <v>53</v>
      </c>
    </row>
    <row r="350" spans="1:36" ht="15" customHeight="1" x14ac:dyDescent="0.35">
      <c r="A350">
        <v>7547676</v>
      </c>
      <c r="B350" t="s">
        <v>36</v>
      </c>
      <c r="C350" t="s">
        <v>37</v>
      </c>
      <c r="D350" s="6" t="s">
        <v>36</v>
      </c>
      <c r="E350" t="s">
        <v>1162</v>
      </c>
      <c r="F350" t="s">
        <v>39</v>
      </c>
      <c r="G350" t="s">
        <v>40</v>
      </c>
      <c r="H350" t="s">
        <v>1163</v>
      </c>
      <c r="I350" t="s">
        <v>42</v>
      </c>
      <c r="J350">
        <v>2</v>
      </c>
      <c r="K350" t="s">
        <v>43</v>
      </c>
      <c r="L350" t="s">
        <v>44</v>
      </c>
      <c r="M350" t="s">
        <v>45</v>
      </c>
      <c r="N350" s="7">
        <v>2</v>
      </c>
      <c r="O350" s="8">
        <v>45538.444108796299</v>
      </c>
      <c r="P350" s="9">
        <v>45539</v>
      </c>
      <c r="Q350" t="s">
        <v>46</v>
      </c>
      <c r="R350" t="s">
        <v>47</v>
      </c>
      <c r="S350" t="s">
        <v>48</v>
      </c>
      <c r="T350" t="s">
        <v>210</v>
      </c>
      <c r="U350" t="s">
        <v>1164</v>
      </c>
      <c r="V350">
        <v>72120</v>
      </c>
      <c r="W350" t="s">
        <v>47</v>
      </c>
      <c r="X350" t="s">
        <v>641</v>
      </c>
      <c r="Y350" t="s">
        <v>52</v>
      </c>
      <c r="Z350" s="10">
        <f t="shared" ref="Z350:Z395" si="50">IF(N350&lt;=1,9,9+0.8*ROUNDUP(N350-1,0))</f>
        <v>9.8000000000000007</v>
      </c>
      <c r="AA350" s="11">
        <v>-2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47"/>
        <v>0.46800000000000003</v>
      </c>
      <c r="AG350" s="11">
        <f t="shared" si="43"/>
        <v>8.2680000000000007</v>
      </c>
      <c r="AH350" s="11">
        <v>0</v>
      </c>
      <c r="AI350" s="11">
        <f t="shared" si="44"/>
        <v>8.2680000000000007</v>
      </c>
      <c r="AJ350" t="s">
        <v>53</v>
      </c>
    </row>
    <row r="351" spans="1:36" ht="15" customHeight="1" x14ac:dyDescent="0.35">
      <c r="A351">
        <v>7547676</v>
      </c>
      <c r="B351" t="s">
        <v>36</v>
      </c>
      <c r="C351" t="s">
        <v>37</v>
      </c>
      <c r="D351" s="6" t="s">
        <v>36</v>
      </c>
      <c r="E351" t="s">
        <v>1165</v>
      </c>
      <c r="F351" t="s">
        <v>39</v>
      </c>
      <c r="G351" t="s">
        <v>40</v>
      </c>
      <c r="H351" t="s">
        <v>1166</v>
      </c>
      <c r="I351" t="s">
        <v>42</v>
      </c>
      <c r="J351">
        <v>2</v>
      </c>
      <c r="K351" t="s">
        <v>43</v>
      </c>
      <c r="L351" t="s">
        <v>44</v>
      </c>
      <c r="M351" t="s">
        <v>45</v>
      </c>
      <c r="N351" s="7">
        <v>1</v>
      </c>
      <c r="O351" s="8">
        <v>45536.734861111108</v>
      </c>
      <c r="P351" s="9">
        <v>45539</v>
      </c>
      <c r="Q351" t="s">
        <v>46</v>
      </c>
      <c r="R351" t="s">
        <v>47</v>
      </c>
      <c r="S351" t="s">
        <v>48</v>
      </c>
      <c r="T351" t="s">
        <v>104</v>
      </c>
      <c r="U351" t="s">
        <v>1167</v>
      </c>
      <c r="V351">
        <v>75250</v>
      </c>
      <c r="W351" t="s">
        <v>47</v>
      </c>
      <c r="X351" t="s">
        <v>51</v>
      </c>
      <c r="Y351" t="s">
        <v>52</v>
      </c>
      <c r="Z351" s="10">
        <f t="shared" si="50"/>
        <v>9</v>
      </c>
      <c r="AA351" s="11">
        <v>-2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47"/>
        <v>0.42</v>
      </c>
      <c r="AG351" s="11">
        <f t="shared" si="43"/>
        <v>7.42</v>
      </c>
      <c r="AH351" s="11">
        <v>0</v>
      </c>
      <c r="AI351" s="11">
        <f t="shared" si="44"/>
        <v>7.42</v>
      </c>
      <c r="AJ351" t="s">
        <v>53</v>
      </c>
    </row>
    <row r="352" spans="1:36" ht="15" customHeight="1" x14ac:dyDescent="0.35">
      <c r="A352">
        <v>7547676</v>
      </c>
      <c r="B352" t="s">
        <v>36</v>
      </c>
      <c r="C352" t="s">
        <v>37</v>
      </c>
      <c r="D352" s="6" t="s">
        <v>36</v>
      </c>
      <c r="E352" t="s">
        <v>1168</v>
      </c>
      <c r="F352" t="s">
        <v>39</v>
      </c>
      <c r="G352" t="s">
        <v>40</v>
      </c>
      <c r="H352" t="s">
        <v>1169</v>
      </c>
      <c r="I352" t="s">
        <v>42</v>
      </c>
      <c r="J352">
        <v>2</v>
      </c>
      <c r="K352" t="s">
        <v>43</v>
      </c>
      <c r="L352" t="s">
        <v>44</v>
      </c>
      <c r="M352" t="s">
        <v>45</v>
      </c>
      <c r="N352" s="7">
        <v>1</v>
      </c>
      <c r="O352" s="8">
        <v>45537.772511574076</v>
      </c>
      <c r="P352" s="9">
        <v>45539</v>
      </c>
      <c r="Q352" t="s">
        <v>46</v>
      </c>
      <c r="R352" t="s">
        <v>47</v>
      </c>
      <c r="S352" t="s">
        <v>48</v>
      </c>
      <c r="T352" t="s">
        <v>136</v>
      </c>
      <c r="U352" t="s">
        <v>1170</v>
      </c>
      <c r="V352">
        <v>35900</v>
      </c>
      <c r="W352" t="s">
        <v>47</v>
      </c>
      <c r="X352" t="s">
        <v>1171</v>
      </c>
      <c r="Y352" t="s">
        <v>52</v>
      </c>
      <c r="Z352" s="10">
        <f t="shared" si="50"/>
        <v>9</v>
      </c>
      <c r="AA352" s="11">
        <v>-2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47"/>
        <v>0.42</v>
      </c>
      <c r="AG352" s="11">
        <f t="shared" si="43"/>
        <v>7.42</v>
      </c>
      <c r="AH352" s="11">
        <v>0</v>
      </c>
      <c r="AI352" s="11">
        <f t="shared" si="44"/>
        <v>7.42</v>
      </c>
      <c r="AJ352" t="s">
        <v>53</v>
      </c>
    </row>
    <row r="353" spans="1:36" ht="15" customHeight="1" x14ac:dyDescent="0.35">
      <c r="A353">
        <v>7547676</v>
      </c>
      <c r="B353" t="s">
        <v>36</v>
      </c>
      <c r="C353" t="s">
        <v>37</v>
      </c>
      <c r="D353" s="6" t="s">
        <v>36</v>
      </c>
      <c r="E353" t="s">
        <v>1172</v>
      </c>
      <c r="F353" t="s">
        <v>39</v>
      </c>
      <c r="G353" t="s">
        <v>40</v>
      </c>
      <c r="H353" t="s">
        <v>1173</v>
      </c>
      <c r="I353" t="s">
        <v>42</v>
      </c>
      <c r="J353">
        <v>2</v>
      </c>
      <c r="K353" t="s">
        <v>43</v>
      </c>
      <c r="L353" t="s">
        <v>44</v>
      </c>
      <c r="M353" t="s">
        <v>45</v>
      </c>
      <c r="N353" s="7">
        <v>1</v>
      </c>
      <c r="O353" s="8">
        <v>45536.753159722219</v>
      </c>
      <c r="P353" s="9">
        <v>45539</v>
      </c>
      <c r="Q353" t="s">
        <v>46</v>
      </c>
      <c r="R353" t="s">
        <v>47</v>
      </c>
      <c r="S353" t="s">
        <v>48</v>
      </c>
      <c r="T353" t="s">
        <v>104</v>
      </c>
      <c r="U353" t="s">
        <v>1174</v>
      </c>
      <c r="V353">
        <v>77100</v>
      </c>
      <c r="W353" t="s">
        <v>47</v>
      </c>
      <c r="X353" t="s">
        <v>1175</v>
      </c>
      <c r="Y353" t="s">
        <v>52</v>
      </c>
      <c r="Z353" s="10">
        <f t="shared" si="50"/>
        <v>9</v>
      </c>
      <c r="AA353" s="11">
        <v>-2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47"/>
        <v>0.42</v>
      </c>
      <c r="AG353" s="11">
        <f t="shared" si="43"/>
        <v>7.42</v>
      </c>
      <c r="AH353" s="11">
        <v>0</v>
      </c>
      <c r="AI353" s="11">
        <f t="shared" si="44"/>
        <v>7.42</v>
      </c>
      <c r="AJ353" t="s">
        <v>53</v>
      </c>
    </row>
    <row r="354" spans="1:36" ht="15" customHeight="1" x14ac:dyDescent="0.35">
      <c r="A354">
        <v>7547676</v>
      </c>
      <c r="B354" t="s">
        <v>36</v>
      </c>
      <c r="C354" t="s">
        <v>37</v>
      </c>
      <c r="D354" s="6" t="s">
        <v>36</v>
      </c>
      <c r="E354" t="s">
        <v>1176</v>
      </c>
      <c r="F354" t="s">
        <v>39</v>
      </c>
      <c r="G354" t="s">
        <v>40</v>
      </c>
      <c r="H354" t="s">
        <v>1177</v>
      </c>
      <c r="I354" t="s">
        <v>42</v>
      </c>
      <c r="J354">
        <v>2</v>
      </c>
      <c r="K354" t="s">
        <v>43</v>
      </c>
      <c r="L354" t="s">
        <v>44</v>
      </c>
      <c r="M354" t="s">
        <v>45</v>
      </c>
      <c r="N354" s="7">
        <v>1</v>
      </c>
      <c r="O354" s="8">
        <v>45538.441261574073</v>
      </c>
      <c r="P354" s="9">
        <v>45539</v>
      </c>
      <c r="Q354" t="s">
        <v>46</v>
      </c>
      <c r="R354" t="s">
        <v>47</v>
      </c>
      <c r="S354" t="s">
        <v>48</v>
      </c>
      <c r="T354" t="s">
        <v>75</v>
      </c>
      <c r="U354" t="s">
        <v>1178</v>
      </c>
      <c r="V354">
        <v>18500</v>
      </c>
      <c r="W354" t="s">
        <v>47</v>
      </c>
      <c r="X354" t="s">
        <v>145</v>
      </c>
      <c r="Y354" t="s">
        <v>52</v>
      </c>
      <c r="Z354" s="10">
        <f t="shared" si="50"/>
        <v>9</v>
      </c>
      <c r="AA354" s="11">
        <v>-2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47"/>
        <v>0.42</v>
      </c>
      <c r="AG354" s="11">
        <f t="shared" si="43"/>
        <v>7.42</v>
      </c>
      <c r="AH354" s="11">
        <v>0</v>
      </c>
      <c r="AI354" s="11">
        <f t="shared" si="44"/>
        <v>7.42</v>
      </c>
      <c r="AJ354" t="s">
        <v>53</v>
      </c>
    </row>
    <row r="355" spans="1:36" ht="15" customHeight="1" x14ac:dyDescent="0.35">
      <c r="A355">
        <v>7547676</v>
      </c>
      <c r="B355" t="s">
        <v>36</v>
      </c>
      <c r="C355" t="s">
        <v>37</v>
      </c>
      <c r="D355" s="6" t="s">
        <v>36</v>
      </c>
      <c r="E355" t="s">
        <v>1179</v>
      </c>
      <c r="F355" t="s">
        <v>39</v>
      </c>
      <c r="G355" t="s">
        <v>40</v>
      </c>
      <c r="H355" t="s">
        <v>1180</v>
      </c>
      <c r="I355" t="s">
        <v>42</v>
      </c>
      <c r="J355">
        <v>2</v>
      </c>
      <c r="K355" t="s">
        <v>43</v>
      </c>
      <c r="L355" t="s">
        <v>44</v>
      </c>
      <c r="M355" t="s">
        <v>45</v>
      </c>
      <c r="N355" s="7">
        <v>1</v>
      </c>
      <c r="O355" s="8">
        <v>45536.66369212963</v>
      </c>
      <c r="P355" s="9">
        <v>45539</v>
      </c>
      <c r="Q355" t="s">
        <v>46</v>
      </c>
      <c r="R355" t="s">
        <v>47</v>
      </c>
      <c r="S355" t="s">
        <v>48</v>
      </c>
      <c r="T355" t="s">
        <v>136</v>
      </c>
      <c r="U355" t="s">
        <v>1181</v>
      </c>
      <c r="V355">
        <v>31200</v>
      </c>
      <c r="W355" t="s">
        <v>47</v>
      </c>
      <c r="X355" t="s">
        <v>51</v>
      </c>
      <c r="Y355" t="s">
        <v>52</v>
      </c>
      <c r="Z355" s="10">
        <f t="shared" si="50"/>
        <v>9</v>
      </c>
      <c r="AA355" s="11">
        <v>-2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47"/>
        <v>0.42</v>
      </c>
      <c r="AG355" s="11">
        <f t="shared" si="43"/>
        <v>7.42</v>
      </c>
      <c r="AH355" s="11">
        <v>0</v>
      </c>
      <c r="AI355" s="11">
        <f t="shared" si="44"/>
        <v>7.42</v>
      </c>
      <c r="AJ355" t="s">
        <v>53</v>
      </c>
    </row>
    <row r="356" spans="1:36" ht="15" customHeight="1" x14ac:dyDescent="0.35">
      <c r="A356">
        <v>7547676</v>
      </c>
      <c r="B356" t="s">
        <v>36</v>
      </c>
      <c r="C356" t="s">
        <v>37</v>
      </c>
      <c r="D356" s="6" t="s">
        <v>36</v>
      </c>
      <c r="E356" t="s">
        <v>1182</v>
      </c>
      <c r="F356" t="s">
        <v>39</v>
      </c>
      <c r="G356" t="s">
        <v>40</v>
      </c>
      <c r="H356" t="s">
        <v>1183</v>
      </c>
      <c r="I356" t="s">
        <v>42</v>
      </c>
      <c r="J356">
        <v>2</v>
      </c>
      <c r="K356" t="s">
        <v>43</v>
      </c>
      <c r="L356" t="s">
        <v>44</v>
      </c>
      <c r="M356" t="s">
        <v>45</v>
      </c>
      <c r="N356" s="7">
        <v>12</v>
      </c>
      <c r="O356" s="8">
        <v>45536.872002314813</v>
      </c>
      <c r="P356" s="9">
        <v>45539</v>
      </c>
      <c r="Q356" t="s">
        <v>46</v>
      </c>
      <c r="R356" t="s">
        <v>47</v>
      </c>
      <c r="S356" t="s">
        <v>48</v>
      </c>
      <c r="T356" t="s">
        <v>136</v>
      </c>
      <c r="U356" t="s">
        <v>1184</v>
      </c>
      <c r="V356">
        <v>31700</v>
      </c>
      <c r="W356" t="s">
        <v>47</v>
      </c>
      <c r="X356" t="s">
        <v>286</v>
      </c>
      <c r="Y356" t="s">
        <v>52</v>
      </c>
      <c r="Z356" s="10">
        <f t="shared" si="50"/>
        <v>17.8</v>
      </c>
      <c r="AA356" s="11">
        <v>-2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47"/>
        <v>0.94799999999999995</v>
      </c>
      <c r="AG356" s="11">
        <f t="shared" si="43"/>
        <v>16.748000000000001</v>
      </c>
      <c r="AH356" s="11">
        <v>0</v>
      </c>
      <c r="AI356" s="11">
        <f t="shared" si="44"/>
        <v>16.748000000000001</v>
      </c>
      <c r="AJ356" t="s">
        <v>53</v>
      </c>
    </row>
    <row r="357" spans="1:36" ht="15" customHeight="1" x14ac:dyDescent="0.35">
      <c r="A357">
        <v>7547676</v>
      </c>
      <c r="B357" t="s">
        <v>36</v>
      </c>
      <c r="C357" t="s">
        <v>37</v>
      </c>
      <c r="D357" s="6" t="s">
        <v>36</v>
      </c>
      <c r="E357" t="s">
        <v>1185</v>
      </c>
      <c r="F357" t="s">
        <v>39</v>
      </c>
      <c r="G357" t="s">
        <v>40</v>
      </c>
      <c r="H357" t="s">
        <v>1186</v>
      </c>
      <c r="I357" t="s">
        <v>42</v>
      </c>
      <c r="J357">
        <v>2</v>
      </c>
      <c r="K357" t="s">
        <v>43</v>
      </c>
      <c r="L357" t="s">
        <v>44</v>
      </c>
      <c r="M357" t="s">
        <v>45</v>
      </c>
      <c r="N357" s="7">
        <v>1</v>
      </c>
      <c r="O357" s="8">
        <v>45537.713206018518</v>
      </c>
      <c r="P357" s="9">
        <v>45539</v>
      </c>
      <c r="Q357" t="s">
        <v>46</v>
      </c>
      <c r="R357" t="s">
        <v>47</v>
      </c>
      <c r="S357" t="s">
        <v>48</v>
      </c>
      <c r="T357" t="s">
        <v>136</v>
      </c>
      <c r="U357" t="s">
        <v>1187</v>
      </c>
      <c r="V357">
        <v>34700</v>
      </c>
      <c r="W357" t="s">
        <v>47</v>
      </c>
      <c r="X357" t="s">
        <v>51</v>
      </c>
      <c r="Y357" t="s">
        <v>52</v>
      </c>
      <c r="Z357" s="10">
        <f t="shared" si="50"/>
        <v>9</v>
      </c>
      <c r="AA357" s="11">
        <v>-2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47"/>
        <v>0.42</v>
      </c>
      <c r="AG357" s="11">
        <f t="shared" si="43"/>
        <v>7.42</v>
      </c>
      <c r="AH357" s="11">
        <v>0</v>
      </c>
      <c r="AI357" s="11">
        <f t="shared" si="44"/>
        <v>7.42</v>
      </c>
      <c r="AJ357" t="s">
        <v>53</v>
      </c>
    </row>
    <row r="358" spans="1:36" ht="15" customHeight="1" x14ac:dyDescent="0.35">
      <c r="A358">
        <v>7547676</v>
      </c>
      <c r="B358" t="s">
        <v>36</v>
      </c>
      <c r="C358" t="s">
        <v>37</v>
      </c>
      <c r="D358" s="6" t="s">
        <v>36</v>
      </c>
      <c r="E358" t="s">
        <v>1188</v>
      </c>
      <c r="F358" t="s">
        <v>39</v>
      </c>
      <c r="G358" t="s">
        <v>40</v>
      </c>
      <c r="H358" t="s">
        <v>147</v>
      </c>
      <c r="I358" t="s">
        <v>42</v>
      </c>
      <c r="J358">
        <v>2</v>
      </c>
      <c r="K358" t="s">
        <v>43</v>
      </c>
      <c r="L358" t="s">
        <v>44</v>
      </c>
      <c r="M358" t="s">
        <v>45</v>
      </c>
      <c r="N358" s="7">
        <v>4</v>
      </c>
      <c r="O358" s="8">
        <v>45537.663831018515</v>
      </c>
      <c r="P358" s="9">
        <v>45539</v>
      </c>
      <c r="Q358" t="s">
        <v>46</v>
      </c>
      <c r="R358" t="s">
        <v>47</v>
      </c>
      <c r="S358" t="s">
        <v>48</v>
      </c>
      <c r="T358" t="s">
        <v>123</v>
      </c>
      <c r="U358" t="s">
        <v>148</v>
      </c>
      <c r="V358">
        <v>40000</v>
      </c>
      <c r="W358" t="s">
        <v>47</v>
      </c>
      <c r="X358" t="s">
        <v>51</v>
      </c>
      <c r="Y358" t="s">
        <v>52</v>
      </c>
      <c r="Z358" s="10">
        <f t="shared" si="50"/>
        <v>11.4</v>
      </c>
      <c r="AA358" s="11">
        <v>-2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47"/>
        <v>0.56399999999999995</v>
      </c>
      <c r="AG358" s="11">
        <f t="shared" si="43"/>
        <v>9.9640000000000004</v>
      </c>
      <c r="AH358" s="11">
        <v>0</v>
      </c>
      <c r="AI358" s="11">
        <f t="shared" si="44"/>
        <v>9.9640000000000004</v>
      </c>
      <c r="AJ358" t="s">
        <v>53</v>
      </c>
    </row>
    <row r="359" spans="1:36" ht="15" customHeight="1" x14ac:dyDescent="0.35">
      <c r="A359">
        <v>7547676</v>
      </c>
      <c r="B359" t="s">
        <v>36</v>
      </c>
      <c r="C359" t="s">
        <v>37</v>
      </c>
      <c r="D359" s="6" t="s">
        <v>36</v>
      </c>
      <c r="E359" t="s">
        <v>1189</v>
      </c>
      <c r="F359" t="s">
        <v>39</v>
      </c>
      <c r="G359" t="s">
        <v>40</v>
      </c>
      <c r="H359" t="s">
        <v>1190</v>
      </c>
      <c r="I359" t="s">
        <v>42</v>
      </c>
      <c r="J359">
        <v>2</v>
      </c>
      <c r="K359" t="s">
        <v>43</v>
      </c>
      <c r="L359" t="s">
        <v>44</v>
      </c>
      <c r="M359" t="s">
        <v>45</v>
      </c>
      <c r="N359" s="7">
        <v>1</v>
      </c>
      <c r="O359" s="8">
        <v>45537.551053240742</v>
      </c>
      <c r="P359" s="9">
        <v>45539</v>
      </c>
      <c r="Q359" t="s">
        <v>46</v>
      </c>
      <c r="R359" t="s">
        <v>47</v>
      </c>
      <c r="S359" t="s">
        <v>48</v>
      </c>
      <c r="T359" t="s">
        <v>128</v>
      </c>
      <c r="U359" t="s">
        <v>1191</v>
      </c>
      <c r="V359">
        <v>51000</v>
      </c>
      <c r="W359" t="s">
        <v>47</v>
      </c>
      <c r="X359" t="s">
        <v>688</v>
      </c>
      <c r="Y359" t="s">
        <v>52</v>
      </c>
      <c r="Z359" s="10">
        <f t="shared" si="50"/>
        <v>9</v>
      </c>
      <c r="AA359" s="11">
        <v>-2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47"/>
        <v>0.42</v>
      </c>
      <c r="AG359" s="11">
        <f t="shared" si="43"/>
        <v>7.42</v>
      </c>
      <c r="AH359" s="11">
        <v>0</v>
      </c>
      <c r="AI359" s="11">
        <f t="shared" si="44"/>
        <v>7.42</v>
      </c>
      <c r="AJ359" t="s">
        <v>53</v>
      </c>
    </row>
    <row r="360" spans="1:36" ht="15" customHeight="1" x14ac:dyDescent="0.35">
      <c r="A360">
        <v>7547676</v>
      </c>
      <c r="B360" t="s">
        <v>36</v>
      </c>
      <c r="C360" t="s">
        <v>37</v>
      </c>
      <c r="D360" s="6" t="s">
        <v>36</v>
      </c>
      <c r="E360" t="s">
        <v>1192</v>
      </c>
      <c r="F360" t="s">
        <v>39</v>
      </c>
      <c r="G360" t="s">
        <v>40</v>
      </c>
      <c r="H360" t="s">
        <v>1193</v>
      </c>
      <c r="I360" t="s">
        <v>42</v>
      </c>
      <c r="J360">
        <v>2</v>
      </c>
      <c r="K360" t="s">
        <v>43</v>
      </c>
      <c r="L360" t="s">
        <v>44</v>
      </c>
      <c r="M360" t="s">
        <v>45</v>
      </c>
      <c r="N360" s="7">
        <v>1</v>
      </c>
      <c r="O360" s="8">
        <v>45538.487986111111</v>
      </c>
      <c r="P360" s="9">
        <v>45539</v>
      </c>
      <c r="Q360" t="s">
        <v>46</v>
      </c>
      <c r="R360" t="s">
        <v>47</v>
      </c>
      <c r="S360" t="s">
        <v>48</v>
      </c>
      <c r="T360" t="s">
        <v>278</v>
      </c>
      <c r="U360" t="s">
        <v>1194</v>
      </c>
      <c r="V360">
        <v>26400</v>
      </c>
      <c r="W360" t="s">
        <v>47</v>
      </c>
      <c r="X360" t="s">
        <v>188</v>
      </c>
      <c r="Y360" t="s">
        <v>52</v>
      </c>
      <c r="Z360" s="10">
        <f t="shared" si="50"/>
        <v>9</v>
      </c>
      <c r="AA360" s="11">
        <v>-2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47"/>
        <v>0.42</v>
      </c>
      <c r="AG360" s="11">
        <f t="shared" si="43"/>
        <v>7.42</v>
      </c>
      <c r="AH360" s="11">
        <v>0</v>
      </c>
      <c r="AI360" s="11">
        <f t="shared" si="44"/>
        <v>7.42</v>
      </c>
      <c r="AJ360" t="s">
        <v>53</v>
      </c>
    </row>
    <row r="361" spans="1:36" ht="15" customHeight="1" x14ac:dyDescent="0.35">
      <c r="A361">
        <v>7547676</v>
      </c>
      <c r="B361" t="s">
        <v>36</v>
      </c>
      <c r="C361" t="s">
        <v>37</v>
      </c>
      <c r="D361" s="6" t="s">
        <v>36</v>
      </c>
      <c r="E361" t="s">
        <v>1195</v>
      </c>
      <c r="F361" t="s">
        <v>39</v>
      </c>
      <c r="G361" t="s">
        <v>40</v>
      </c>
      <c r="H361" t="s">
        <v>1196</v>
      </c>
      <c r="I361" t="s">
        <v>42</v>
      </c>
      <c r="J361">
        <v>2</v>
      </c>
      <c r="K361" t="s">
        <v>43</v>
      </c>
      <c r="L361" t="s">
        <v>44</v>
      </c>
      <c r="M361" t="s">
        <v>45</v>
      </c>
      <c r="N361" s="7">
        <v>2</v>
      </c>
      <c r="O361" s="8">
        <v>45538.642523148148</v>
      </c>
      <c r="P361" s="9">
        <v>45539</v>
      </c>
      <c r="Q361" t="s">
        <v>46</v>
      </c>
      <c r="R361" t="s">
        <v>47</v>
      </c>
      <c r="S361" t="s">
        <v>48</v>
      </c>
      <c r="T361" t="s">
        <v>123</v>
      </c>
      <c r="U361" t="s">
        <v>1197</v>
      </c>
      <c r="V361">
        <v>43000</v>
      </c>
      <c r="W361" t="s">
        <v>47</v>
      </c>
      <c r="X361" t="s">
        <v>461</v>
      </c>
      <c r="Y361" t="s">
        <v>52</v>
      </c>
      <c r="Z361" s="10">
        <f t="shared" si="50"/>
        <v>9.8000000000000007</v>
      </c>
      <c r="AA361" s="11">
        <v>-2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47"/>
        <v>0.46800000000000003</v>
      </c>
      <c r="AG361" s="11">
        <f t="shared" si="43"/>
        <v>8.2680000000000007</v>
      </c>
      <c r="AH361" s="11">
        <v>0</v>
      </c>
      <c r="AI361" s="11">
        <f t="shared" si="44"/>
        <v>8.2680000000000007</v>
      </c>
      <c r="AJ361" t="s">
        <v>53</v>
      </c>
    </row>
    <row r="362" spans="1:36" ht="15" customHeight="1" x14ac:dyDescent="0.35">
      <c r="A362">
        <v>7547676</v>
      </c>
      <c r="B362" t="s">
        <v>36</v>
      </c>
      <c r="C362" t="s">
        <v>37</v>
      </c>
      <c r="D362" s="6" t="s">
        <v>36</v>
      </c>
      <c r="E362" t="s">
        <v>1198</v>
      </c>
      <c r="F362" t="s">
        <v>39</v>
      </c>
      <c r="G362" t="s">
        <v>40</v>
      </c>
      <c r="H362" t="s">
        <v>1199</v>
      </c>
      <c r="I362" t="s">
        <v>42</v>
      </c>
      <c r="J362">
        <v>2</v>
      </c>
      <c r="K362" t="s">
        <v>43</v>
      </c>
      <c r="L362" t="s">
        <v>44</v>
      </c>
      <c r="M362" t="s">
        <v>45</v>
      </c>
      <c r="N362" s="7">
        <v>1</v>
      </c>
      <c r="O362" s="8">
        <v>45538.695856481485</v>
      </c>
      <c r="P362" s="9">
        <v>45539</v>
      </c>
      <c r="Q362" t="s">
        <v>46</v>
      </c>
      <c r="R362" t="s">
        <v>47</v>
      </c>
      <c r="S362" t="s">
        <v>48</v>
      </c>
      <c r="T362" t="s">
        <v>123</v>
      </c>
      <c r="U362" t="s">
        <v>1200</v>
      </c>
      <c r="V362">
        <v>43000</v>
      </c>
      <c r="W362" t="s">
        <v>47</v>
      </c>
      <c r="X362" t="s">
        <v>290</v>
      </c>
      <c r="Y362" t="s">
        <v>52</v>
      </c>
      <c r="Z362" s="10">
        <f t="shared" si="50"/>
        <v>9</v>
      </c>
      <c r="AA362" s="11">
        <v>-2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47"/>
        <v>0.42</v>
      </c>
      <c r="AG362" s="11">
        <f t="shared" si="43"/>
        <v>7.42</v>
      </c>
      <c r="AH362" s="11">
        <v>0</v>
      </c>
      <c r="AI362" s="11">
        <f t="shared" si="44"/>
        <v>7.42</v>
      </c>
      <c r="AJ362" t="s">
        <v>53</v>
      </c>
    </row>
    <row r="363" spans="1:36" ht="15" customHeight="1" x14ac:dyDescent="0.35">
      <c r="A363">
        <v>7547676</v>
      </c>
      <c r="B363" t="s">
        <v>36</v>
      </c>
      <c r="C363" t="s">
        <v>37</v>
      </c>
      <c r="D363" s="6" t="s">
        <v>36</v>
      </c>
      <c r="E363" t="s">
        <v>1201</v>
      </c>
      <c r="F363" t="s">
        <v>39</v>
      </c>
      <c r="G363" t="s">
        <v>40</v>
      </c>
      <c r="H363" t="s">
        <v>1202</v>
      </c>
      <c r="I363" t="s">
        <v>42</v>
      </c>
      <c r="J363">
        <v>2</v>
      </c>
      <c r="K363" t="s">
        <v>43</v>
      </c>
      <c r="L363" t="s">
        <v>44</v>
      </c>
      <c r="M363" t="s">
        <v>45</v>
      </c>
      <c r="N363" s="7">
        <v>1</v>
      </c>
      <c r="O363" s="8">
        <v>45536.749930555554</v>
      </c>
      <c r="P363" s="9">
        <v>45539</v>
      </c>
      <c r="Q363" t="s">
        <v>46</v>
      </c>
      <c r="R363" t="s">
        <v>47</v>
      </c>
      <c r="S363" t="s">
        <v>48</v>
      </c>
      <c r="T363" t="s">
        <v>66</v>
      </c>
      <c r="U363" t="s">
        <v>1203</v>
      </c>
      <c r="V363">
        <v>81000</v>
      </c>
      <c r="W363" t="s">
        <v>47</v>
      </c>
      <c r="X363" t="s">
        <v>51</v>
      </c>
      <c r="Y363" t="s">
        <v>52</v>
      </c>
      <c r="Z363" s="10">
        <f t="shared" si="50"/>
        <v>9</v>
      </c>
      <c r="AA363" s="11">
        <v>-2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47"/>
        <v>0.42</v>
      </c>
      <c r="AG363" s="11">
        <f t="shared" si="43"/>
        <v>7.42</v>
      </c>
      <c r="AH363" s="11">
        <v>0</v>
      </c>
      <c r="AI363" s="11">
        <f t="shared" si="44"/>
        <v>7.42</v>
      </c>
      <c r="AJ363" t="s">
        <v>53</v>
      </c>
    </row>
    <row r="364" spans="1:36" ht="15" customHeight="1" x14ac:dyDescent="0.35">
      <c r="A364">
        <v>7547676</v>
      </c>
      <c r="B364" t="s">
        <v>36</v>
      </c>
      <c r="C364" t="s">
        <v>37</v>
      </c>
      <c r="D364" s="6" t="s">
        <v>36</v>
      </c>
      <c r="E364" t="s">
        <v>1204</v>
      </c>
      <c r="F364" t="s">
        <v>39</v>
      </c>
      <c r="G364" t="s">
        <v>40</v>
      </c>
      <c r="H364" t="s">
        <v>1205</v>
      </c>
      <c r="I364" t="s">
        <v>42</v>
      </c>
      <c r="J364">
        <v>2</v>
      </c>
      <c r="K364" t="s">
        <v>43</v>
      </c>
      <c r="L364" t="s">
        <v>44</v>
      </c>
      <c r="M364" t="s">
        <v>45</v>
      </c>
      <c r="N364" s="7">
        <v>1</v>
      </c>
      <c r="O364" s="8">
        <v>45536.62599537037</v>
      </c>
      <c r="P364" s="9">
        <v>45539</v>
      </c>
      <c r="Q364" t="s">
        <v>46</v>
      </c>
      <c r="R364" t="s">
        <v>47</v>
      </c>
      <c r="S364" t="s">
        <v>48</v>
      </c>
      <c r="T364" t="s">
        <v>128</v>
      </c>
      <c r="U364" t="s">
        <v>1206</v>
      </c>
      <c r="V364">
        <v>54100</v>
      </c>
      <c r="W364" t="s">
        <v>47</v>
      </c>
      <c r="X364" t="s">
        <v>698</v>
      </c>
      <c r="Y364" t="s">
        <v>52</v>
      </c>
      <c r="Z364" s="10">
        <f t="shared" si="50"/>
        <v>9</v>
      </c>
      <c r="AA364" s="11">
        <v>-2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47"/>
        <v>0.42</v>
      </c>
      <c r="AG364" s="11">
        <f t="shared" si="43"/>
        <v>7.42</v>
      </c>
      <c r="AH364" s="11">
        <v>0</v>
      </c>
      <c r="AI364" s="11">
        <f t="shared" si="44"/>
        <v>7.42</v>
      </c>
      <c r="AJ364" t="s">
        <v>53</v>
      </c>
    </row>
    <row r="365" spans="1:36" ht="15" customHeight="1" x14ac:dyDescent="0.35">
      <c r="A365">
        <v>7547676</v>
      </c>
      <c r="B365" t="s">
        <v>36</v>
      </c>
      <c r="C365" t="s">
        <v>37</v>
      </c>
      <c r="D365" s="6" t="s">
        <v>36</v>
      </c>
      <c r="E365" t="s">
        <v>1207</v>
      </c>
      <c r="F365" t="s">
        <v>39</v>
      </c>
      <c r="G365" t="s">
        <v>40</v>
      </c>
      <c r="H365" t="s">
        <v>1208</v>
      </c>
      <c r="I365" t="s">
        <v>42</v>
      </c>
      <c r="J365">
        <v>2</v>
      </c>
      <c r="K365" t="s">
        <v>43</v>
      </c>
      <c r="L365" t="s">
        <v>44</v>
      </c>
      <c r="M365" t="s">
        <v>45</v>
      </c>
      <c r="N365" s="7">
        <v>1</v>
      </c>
      <c r="O365" s="8">
        <v>45537.705231481479</v>
      </c>
      <c r="P365" s="9">
        <v>45539</v>
      </c>
      <c r="Q365" t="s">
        <v>46</v>
      </c>
      <c r="R365" t="s">
        <v>47</v>
      </c>
      <c r="S365" t="s">
        <v>48</v>
      </c>
      <c r="T365" t="s">
        <v>66</v>
      </c>
      <c r="U365" t="s">
        <v>1209</v>
      </c>
      <c r="V365">
        <v>81750</v>
      </c>
      <c r="W365" t="s">
        <v>47</v>
      </c>
      <c r="X365" t="s">
        <v>51</v>
      </c>
      <c r="Y365" t="s">
        <v>52</v>
      </c>
      <c r="Z365" s="10">
        <f t="shared" si="50"/>
        <v>9</v>
      </c>
      <c r="AA365" s="11">
        <v>-2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47"/>
        <v>0.42</v>
      </c>
      <c r="AG365" s="11">
        <f t="shared" si="43"/>
        <v>7.42</v>
      </c>
      <c r="AH365" s="11">
        <v>0</v>
      </c>
      <c r="AI365" s="11">
        <f t="shared" si="44"/>
        <v>7.42</v>
      </c>
      <c r="AJ365" t="s">
        <v>53</v>
      </c>
    </row>
    <row r="366" spans="1:36" ht="15" customHeight="1" x14ac:dyDescent="0.35">
      <c r="A366">
        <v>7547676</v>
      </c>
      <c r="B366" t="s">
        <v>36</v>
      </c>
      <c r="C366" t="s">
        <v>37</v>
      </c>
      <c r="D366" s="6" t="s">
        <v>36</v>
      </c>
      <c r="E366" t="s">
        <v>1210</v>
      </c>
      <c r="F366" t="s">
        <v>39</v>
      </c>
      <c r="G366" t="s">
        <v>40</v>
      </c>
      <c r="H366" t="s">
        <v>1211</v>
      </c>
      <c r="I366" t="s">
        <v>42</v>
      </c>
      <c r="J366">
        <v>2</v>
      </c>
      <c r="K366" t="s">
        <v>43</v>
      </c>
      <c r="L366" t="s">
        <v>44</v>
      </c>
      <c r="M366" t="s">
        <v>45</v>
      </c>
      <c r="N366" s="7">
        <v>1</v>
      </c>
      <c r="O366" s="8">
        <v>45537.508194444446</v>
      </c>
      <c r="P366" s="9">
        <v>45539</v>
      </c>
      <c r="Q366" t="s">
        <v>46</v>
      </c>
      <c r="R366" t="s">
        <v>47</v>
      </c>
      <c r="S366" t="s">
        <v>48</v>
      </c>
      <c r="T366" t="s">
        <v>241</v>
      </c>
      <c r="U366" t="s">
        <v>1212</v>
      </c>
      <c r="V366">
        <v>2400</v>
      </c>
      <c r="W366" t="s">
        <v>47</v>
      </c>
      <c r="X366" t="s">
        <v>51</v>
      </c>
      <c r="Y366" t="s">
        <v>52</v>
      </c>
      <c r="Z366" s="10">
        <f t="shared" si="50"/>
        <v>9</v>
      </c>
      <c r="AA366" s="11">
        <v>-2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47"/>
        <v>0.42</v>
      </c>
      <c r="AG366" s="11">
        <f t="shared" si="43"/>
        <v>7.42</v>
      </c>
      <c r="AH366" s="11">
        <v>0</v>
      </c>
      <c r="AI366" s="11">
        <f t="shared" si="44"/>
        <v>7.42</v>
      </c>
      <c r="AJ366" t="s">
        <v>53</v>
      </c>
    </row>
    <row r="367" spans="1:36" ht="15" customHeight="1" x14ac:dyDescent="0.35">
      <c r="A367">
        <v>7547676</v>
      </c>
      <c r="B367" t="s">
        <v>36</v>
      </c>
      <c r="C367" t="s">
        <v>37</v>
      </c>
      <c r="D367" s="6" t="s">
        <v>36</v>
      </c>
      <c r="E367" t="s">
        <v>1213</v>
      </c>
      <c r="F367" t="s">
        <v>39</v>
      </c>
      <c r="G367" t="s">
        <v>40</v>
      </c>
      <c r="H367" t="s">
        <v>1214</v>
      </c>
      <c r="I367" t="s">
        <v>42</v>
      </c>
      <c r="J367">
        <v>2</v>
      </c>
      <c r="K367" t="s">
        <v>43</v>
      </c>
      <c r="L367" t="s">
        <v>44</v>
      </c>
      <c r="M367" t="s">
        <v>45</v>
      </c>
      <c r="N367" s="7">
        <v>1</v>
      </c>
      <c r="O367" s="8">
        <v>45538.749502314815</v>
      </c>
      <c r="P367" s="9">
        <v>45539</v>
      </c>
      <c r="Q367" t="s">
        <v>46</v>
      </c>
      <c r="R367" t="s">
        <v>47</v>
      </c>
      <c r="S367" t="s">
        <v>48</v>
      </c>
      <c r="T367" t="s">
        <v>75</v>
      </c>
      <c r="U367" t="s">
        <v>1215</v>
      </c>
      <c r="V367">
        <v>18400</v>
      </c>
      <c r="W367" t="s">
        <v>47</v>
      </c>
      <c r="X367" t="s">
        <v>145</v>
      </c>
      <c r="Y367" t="s">
        <v>52</v>
      </c>
      <c r="Z367" s="10">
        <f t="shared" si="50"/>
        <v>9</v>
      </c>
      <c r="AA367" s="11">
        <v>-2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47"/>
        <v>0.42</v>
      </c>
      <c r="AG367" s="11">
        <f t="shared" si="43"/>
        <v>7.42</v>
      </c>
      <c r="AH367" s="11">
        <v>0</v>
      </c>
      <c r="AI367" s="11">
        <f t="shared" si="44"/>
        <v>7.42</v>
      </c>
      <c r="AJ367" t="s">
        <v>53</v>
      </c>
    </row>
    <row r="368" spans="1:36" ht="15" customHeight="1" x14ac:dyDescent="0.35">
      <c r="A368">
        <v>7547676</v>
      </c>
      <c r="B368" t="s">
        <v>36</v>
      </c>
      <c r="C368" t="s">
        <v>37</v>
      </c>
      <c r="D368" s="6" t="s">
        <v>36</v>
      </c>
      <c r="E368" t="s">
        <v>1216</v>
      </c>
      <c r="F368" t="s">
        <v>39</v>
      </c>
      <c r="G368" t="s">
        <v>40</v>
      </c>
      <c r="H368" t="s">
        <v>1217</v>
      </c>
      <c r="I368" t="s">
        <v>42</v>
      </c>
      <c r="J368">
        <v>2</v>
      </c>
      <c r="K368" t="s">
        <v>43</v>
      </c>
      <c r="L368" t="s">
        <v>44</v>
      </c>
      <c r="M368" t="s">
        <v>45</v>
      </c>
      <c r="N368" s="7">
        <v>2</v>
      </c>
      <c r="O368" s="8">
        <v>45538.650601851848</v>
      </c>
      <c r="P368" s="9">
        <v>45539</v>
      </c>
      <c r="Q368" t="s">
        <v>46</v>
      </c>
      <c r="R368" t="s">
        <v>47</v>
      </c>
      <c r="S368" t="s">
        <v>48</v>
      </c>
      <c r="T368" t="s">
        <v>123</v>
      </c>
      <c r="U368" t="s">
        <v>1218</v>
      </c>
      <c r="V368">
        <v>48000</v>
      </c>
      <c r="W368" t="s">
        <v>47</v>
      </c>
      <c r="X368" t="s">
        <v>684</v>
      </c>
      <c r="Y368" t="s">
        <v>52</v>
      </c>
      <c r="Z368" s="10">
        <f t="shared" si="50"/>
        <v>9.8000000000000007</v>
      </c>
      <c r="AA368" s="11">
        <v>-2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47"/>
        <v>0.46800000000000003</v>
      </c>
      <c r="AG368" s="11">
        <f t="shared" si="43"/>
        <v>8.2680000000000007</v>
      </c>
      <c r="AH368" s="11">
        <v>0</v>
      </c>
      <c r="AI368" s="11">
        <f t="shared" si="44"/>
        <v>8.2680000000000007</v>
      </c>
      <c r="AJ368" t="s">
        <v>53</v>
      </c>
    </row>
    <row r="369" spans="1:36" ht="15" customHeight="1" x14ac:dyDescent="0.35">
      <c r="A369">
        <v>7547676</v>
      </c>
      <c r="B369" t="s">
        <v>36</v>
      </c>
      <c r="C369" t="s">
        <v>37</v>
      </c>
      <c r="D369" s="6" t="s">
        <v>36</v>
      </c>
      <c r="E369" t="s">
        <v>1219</v>
      </c>
      <c r="F369" t="s">
        <v>39</v>
      </c>
      <c r="G369" t="s">
        <v>40</v>
      </c>
      <c r="H369" t="s">
        <v>147</v>
      </c>
      <c r="I369" t="s">
        <v>42</v>
      </c>
      <c r="J369">
        <v>2</v>
      </c>
      <c r="K369" t="s">
        <v>43</v>
      </c>
      <c r="L369" t="s">
        <v>44</v>
      </c>
      <c r="M369" t="s">
        <v>45</v>
      </c>
      <c r="N369" s="7">
        <v>1</v>
      </c>
      <c r="O369" s="8">
        <v>45539.533136574071</v>
      </c>
      <c r="P369" s="9">
        <v>45540</v>
      </c>
      <c r="Q369" t="s">
        <v>46</v>
      </c>
      <c r="R369" t="s">
        <v>47</v>
      </c>
      <c r="S369" t="s">
        <v>48</v>
      </c>
      <c r="T369" t="s">
        <v>123</v>
      </c>
      <c r="U369" t="s">
        <v>148</v>
      </c>
      <c r="V369">
        <v>40000</v>
      </c>
      <c r="W369" t="s">
        <v>47</v>
      </c>
      <c r="X369" t="s">
        <v>149</v>
      </c>
      <c r="Y369" t="s">
        <v>52</v>
      </c>
      <c r="Z369" s="10">
        <f t="shared" si="50"/>
        <v>9</v>
      </c>
      <c r="AA369" s="11">
        <v>-2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47"/>
        <v>0.42</v>
      </c>
      <c r="AG369" s="11">
        <f t="shared" si="43"/>
        <v>7.42</v>
      </c>
      <c r="AH369" s="11">
        <v>0</v>
      </c>
      <c r="AI369" s="11">
        <f t="shared" si="44"/>
        <v>7.42</v>
      </c>
      <c r="AJ369" t="s">
        <v>53</v>
      </c>
    </row>
    <row r="370" spans="1:36" ht="15" customHeight="1" x14ac:dyDescent="0.35">
      <c r="A370">
        <v>7547676</v>
      </c>
      <c r="B370" t="s">
        <v>36</v>
      </c>
      <c r="C370" t="s">
        <v>37</v>
      </c>
      <c r="D370" s="6" t="s">
        <v>36</v>
      </c>
      <c r="E370" t="s">
        <v>1220</v>
      </c>
      <c r="F370" t="s">
        <v>39</v>
      </c>
      <c r="G370" t="s">
        <v>40</v>
      </c>
      <c r="H370" t="s">
        <v>1221</v>
      </c>
      <c r="I370" t="s">
        <v>42</v>
      </c>
      <c r="J370">
        <v>2</v>
      </c>
      <c r="K370" t="s">
        <v>43</v>
      </c>
      <c r="L370" t="s">
        <v>44</v>
      </c>
      <c r="M370" t="s">
        <v>45</v>
      </c>
      <c r="N370" s="7">
        <v>1</v>
      </c>
      <c r="O370" s="8">
        <v>45538.46056712963</v>
      </c>
      <c r="P370" s="9">
        <v>45540</v>
      </c>
      <c r="Q370" t="s">
        <v>46</v>
      </c>
      <c r="R370" t="s">
        <v>47</v>
      </c>
      <c r="S370" t="s">
        <v>48</v>
      </c>
      <c r="T370" t="s">
        <v>128</v>
      </c>
      <c r="U370" t="s">
        <v>1222</v>
      </c>
      <c r="V370">
        <v>50586</v>
      </c>
      <c r="W370" t="s">
        <v>47</v>
      </c>
      <c r="X370" t="s">
        <v>51</v>
      </c>
      <c r="Y370" t="s">
        <v>52</v>
      </c>
      <c r="Z370" s="10">
        <f t="shared" si="50"/>
        <v>9</v>
      </c>
      <c r="AA370" s="11">
        <v>-2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47"/>
        <v>0.42</v>
      </c>
      <c r="AG370" s="11">
        <f t="shared" si="43"/>
        <v>7.42</v>
      </c>
      <c r="AH370" s="11">
        <v>0</v>
      </c>
      <c r="AI370" s="11">
        <f t="shared" si="44"/>
        <v>7.42</v>
      </c>
      <c r="AJ370" t="s">
        <v>53</v>
      </c>
    </row>
    <row r="371" spans="1:36" ht="15" customHeight="1" x14ac:dyDescent="0.35">
      <c r="A371">
        <v>7547676</v>
      </c>
      <c r="B371" t="s">
        <v>36</v>
      </c>
      <c r="C371" t="s">
        <v>37</v>
      </c>
      <c r="D371" s="6" t="s">
        <v>36</v>
      </c>
      <c r="E371" t="s">
        <v>1223</v>
      </c>
      <c r="F371" t="s">
        <v>39</v>
      </c>
      <c r="G371" t="s">
        <v>40</v>
      </c>
      <c r="H371" t="s">
        <v>520</v>
      </c>
      <c r="I371" t="s">
        <v>42</v>
      </c>
      <c r="J371">
        <v>2</v>
      </c>
      <c r="K371" t="s">
        <v>43</v>
      </c>
      <c r="L371" t="s">
        <v>44</v>
      </c>
      <c r="M371" t="s">
        <v>45</v>
      </c>
      <c r="N371" s="7">
        <v>1</v>
      </c>
      <c r="O371" s="8">
        <v>45538.487986111111</v>
      </c>
      <c r="P371" s="9">
        <v>45540</v>
      </c>
      <c r="Q371" t="s">
        <v>46</v>
      </c>
      <c r="R371" t="s">
        <v>47</v>
      </c>
      <c r="S371" t="s">
        <v>48</v>
      </c>
      <c r="T371" t="s">
        <v>210</v>
      </c>
      <c r="U371" t="s">
        <v>521</v>
      </c>
      <c r="V371">
        <v>71450</v>
      </c>
      <c r="W371" t="s">
        <v>47</v>
      </c>
      <c r="X371" t="s">
        <v>931</v>
      </c>
      <c r="Y371" t="s">
        <v>52</v>
      </c>
      <c r="Z371" s="10">
        <f t="shared" si="50"/>
        <v>9</v>
      </c>
      <c r="AA371" s="11">
        <v>-2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47"/>
        <v>0.42</v>
      </c>
      <c r="AG371" s="11">
        <f t="shared" si="43"/>
        <v>7.42</v>
      </c>
      <c r="AH371" s="11">
        <v>0</v>
      </c>
      <c r="AI371" s="11">
        <f t="shared" si="44"/>
        <v>7.42</v>
      </c>
      <c r="AJ371" t="s">
        <v>53</v>
      </c>
    </row>
    <row r="372" spans="1:36" ht="15" customHeight="1" x14ac:dyDescent="0.35">
      <c r="A372">
        <v>7547676</v>
      </c>
      <c r="B372" t="s">
        <v>36</v>
      </c>
      <c r="C372" t="s">
        <v>37</v>
      </c>
      <c r="D372" s="6" t="s">
        <v>36</v>
      </c>
      <c r="E372" t="s">
        <v>1224</v>
      </c>
      <c r="F372" t="s">
        <v>39</v>
      </c>
      <c r="G372" t="s">
        <v>40</v>
      </c>
      <c r="H372" t="s">
        <v>1225</v>
      </c>
      <c r="I372" t="s">
        <v>42</v>
      </c>
      <c r="J372">
        <v>2</v>
      </c>
      <c r="K372" t="s">
        <v>43</v>
      </c>
      <c r="L372" t="s">
        <v>44</v>
      </c>
      <c r="M372" t="s">
        <v>45</v>
      </c>
      <c r="N372" s="7">
        <v>1</v>
      </c>
      <c r="O372" s="8">
        <v>45539.564016203702</v>
      </c>
      <c r="P372" s="9">
        <v>45540</v>
      </c>
      <c r="Q372" t="s">
        <v>46</v>
      </c>
      <c r="R372" t="s">
        <v>47</v>
      </c>
      <c r="S372" t="s">
        <v>48</v>
      </c>
      <c r="T372" t="s">
        <v>123</v>
      </c>
      <c r="U372" t="s">
        <v>1226</v>
      </c>
      <c r="V372">
        <v>68000</v>
      </c>
      <c r="W372" t="s">
        <v>47</v>
      </c>
      <c r="X372" t="s">
        <v>555</v>
      </c>
      <c r="Y372" t="s">
        <v>52</v>
      </c>
      <c r="Z372" s="10">
        <f t="shared" si="50"/>
        <v>9</v>
      </c>
      <c r="AA372" s="11">
        <v>-2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47"/>
        <v>0.42</v>
      </c>
      <c r="AG372" s="11">
        <f t="shared" si="43"/>
        <v>7.42</v>
      </c>
      <c r="AH372" s="11">
        <v>0</v>
      </c>
      <c r="AI372" s="11">
        <f t="shared" si="44"/>
        <v>7.42</v>
      </c>
      <c r="AJ372" t="s">
        <v>53</v>
      </c>
    </row>
    <row r="373" spans="1:36" ht="15" customHeight="1" x14ac:dyDescent="0.35">
      <c r="A373">
        <v>7547676</v>
      </c>
      <c r="B373" t="s">
        <v>36</v>
      </c>
      <c r="C373" t="s">
        <v>37</v>
      </c>
      <c r="D373" s="6" t="s">
        <v>36</v>
      </c>
      <c r="E373" t="s">
        <v>1227</v>
      </c>
      <c r="F373" t="s">
        <v>39</v>
      </c>
      <c r="G373" t="s">
        <v>40</v>
      </c>
      <c r="H373" t="s">
        <v>1202</v>
      </c>
      <c r="I373" t="s">
        <v>42</v>
      </c>
      <c r="J373">
        <v>2</v>
      </c>
      <c r="K373" t="s">
        <v>43</v>
      </c>
      <c r="L373" t="s">
        <v>44</v>
      </c>
      <c r="M373" t="s">
        <v>45</v>
      </c>
      <c r="N373" s="7">
        <v>1</v>
      </c>
      <c r="O373" s="8">
        <v>45538.465254629627</v>
      </c>
      <c r="P373" s="9">
        <v>45540</v>
      </c>
      <c r="Q373" t="s">
        <v>46</v>
      </c>
      <c r="R373" t="s">
        <v>47</v>
      </c>
      <c r="S373" t="s">
        <v>48</v>
      </c>
      <c r="T373" t="s">
        <v>66</v>
      </c>
      <c r="U373" t="s">
        <v>1228</v>
      </c>
      <c r="V373">
        <v>81000</v>
      </c>
      <c r="W373" t="s">
        <v>47</v>
      </c>
      <c r="X373" t="s">
        <v>1229</v>
      </c>
      <c r="Y373" t="s">
        <v>52</v>
      </c>
      <c r="Z373" s="10">
        <f t="shared" si="50"/>
        <v>9</v>
      </c>
      <c r="AA373" s="11">
        <v>-2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47"/>
        <v>0.42</v>
      </c>
      <c r="AG373" s="11">
        <f t="shared" si="43"/>
        <v>7.42</v>
      </c>
      <c r="AH373" s="11">
        <v>0</v>
      </c>
      <c r="AI373" s="11">
        <f t="shared" si="44"/>
        <v>7.42</v>
      </c>
      <c r="AJ373" t="s">
        <v>53</v>
      </c>
    </row>
    <row r="374" spans="1:36" ht="15" customHeight="1" x14ac:dyDescent="0.35">
      <c r="A374">
        <v>7547676</v>
      </c>
      <c r="B374" t="s">
        <v>36</v>
      </c>
      <c r="C374" t="s">
        <v>37</v>
      </c>
      <c r="D374" s="6" t="s">
        <v>36</v>
      </c>
      <c r="E374" t="s">
        <v>1230</v>
      </c>
      <c r="F374" t="s">
        <v>39</v>
      </c>
      <c r="G374" t="s">
        <v>40</v>
      </c>
      <c r="H374" t="s">
        <v>1231</v>
      </c>
      <c r="I374" t="s">
        <v>42</v>
      </c>
      <c r="J374">
        <v>2</v>
      </c>
      <c r="K374" t="s">
        <v>43</v>
      </c>
      <c r="L374" t="s">
        <v>44</v>
      </c>
      <c r="M374" t="s">
        <v>45</v>
      </c>
      <c r="N374" s="7">
        <v>1</v>
      </c>
      <c r="O374" s="8">
        <v>45538.487986111111</v>
      </c>
      <c r="P374" s="9">
        <v>45540</v>
      </c>
      <c r="Q374" t="s">
        <v>46</v>
      </c>
      <c r="R374" t="s">
        <v>47</v>
      </c>
      <c r="S374" t="s">
        <v>48</v>
      </c>
      <c r="T374" t="s">
        <v>56</v>
      </c>
      <c r="U374" t="s">
        <v>1232</v>
      </c>
      <c r="V374">
        <v>9410</v>
      </c>
      <c r="W374" t="s">
        <v>47</v>
      </c>
      <c r="X374" t="s">
        <v>538</v>
      </c>
      <c r="Y374" t="s">
        <v>52</v>
      </c>
      <c r="Z374" s="10">
        <f t="shared" si="50"/>
        <v>9</v>
      </c>
      <c r="AA374" s="11">
        <v>-2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47"/>
        <v>0.42</v>
      </c>
      <c r="AG374" s="11">
        <f t="shared" si="43"/>
        <v>7.42</v>
      </c>
      <c r="AH374" s="11">
        <v>0</v>
      </c>
      <c r="AI374" s="11">
        <f t="shared" si="44"/>
        <v>7.42</v>
      </c>
      <c r="AJ374" t="s">
        <v>53</v>
      </c>
    </row>
    <row r="375" spans="1:36" ht="15" customHeight="1" x14ac:dyDescent="0.35">
      <c r="A375">
        <v>7547676</v>
      </c>
      <c r="B375" t="s">
        <v>36</v>
      </c>
      <c r="C375" t="s">
        <v>37</v>
      </c>
      <c r="D375" s="6" t="s">
        <v>36</v>
      </c>
      <c r="E375" t="s">
        <v>1233</v>
      </c>
      <c r="F375" t="s">
        <v>39</v>
      </c>
      <c r="G375" t="s">
        <v>40</v>
      </c>
      <c r="H375" t="s">
        <v>1234</v>
      </c>
      <c r="I375" t="s">
        <v>42</v>
      </c>
      <c r="J375">
        <v>2</v>
      </c>
      <c r="K375" t="s">
        <v>43</v>
      </c>
      <c r="L375" t="s">
        <v>44</v>
      </c>
      <c r="M375" t="s">
        <v>45</v>
      </c>
      <c r="N375" s="7">
        <v>2</v>
      </c>
      <c r="O375" s="8">
        <v>45539.713425925926</v>
      </c>
      <c r="P375" s="9">
        <v>45540</v>
      </c>
      <c r="Q375" t="s">
        <v>46</v>
      </c>
      <c r="R375" t="s">
        <v>47</v>
      </c>
      <c r="S375" t="s">
        <v>48</v>
      </c>
      <c r="T375" t="s">
        <v>123</v>
      </c>
      <c r="U375" t="s">
        <v>1235</v>
      </c>
      <c r="V375">
        <v>42300</v>
      </c>
      <c r="W375" t="s">
        <v>47</v>
      </c>
      <c r="X375" t="s">
        <v>51</v>
      </c>
      <c r="Y375" t="s">
        <v>52</v>
      </c>
      <c r="Z375" s="10">
        <f t="shared" si="50"/>
        <v>9.8000000000000007</v>
      </c>
      <c r="AA375" s="11">
        <v>-2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47"/>
        <v>0.46800000000000003</v>
      </c>
      <c r="AG375" s="11">
        <f t="shared" si="43"/>
        <v>8.2680000000000007</v>
      </c>
      <c r="AH375" s="11">
        <v>0</v>
      </c>
      <c r="AI375" s="11">
        <f t="shared" si="44"/>
        <v>8.2680000000000007</v>
      </c>
      <c r="AJ375" t="s">
        <v>53</v>
      </c>
    </row>
    <row r="376" spans="1:36" ht="15" customHeight="1" x14ac:dyDescent="0.35">
      <c r="A376">
        <v>7547676</v>
      </c>
      <c r="B376" t="s">
        <v>36</v>
      </c>
      <c r="C376" t="s">
        <v>37</v>
      </c>
      <c r="D376" s="6" t="s">
        <v>36</v>
      </c>
      <c r="E376" t="s">
        <v>1236</v>
      </c>
      <c r="F376" t="s">
        <v>39</v>
      </c>
      <c r="G376" t="s">
        <v>40</v>
      </c>
      <c r="H376" t="s">
        <v>1237</v>
      </c>
      <c r="I376" t="s">
        <v>42</v>
      </c>
      <c r="J376">
        <v>2</v>
      </c>
      <c r="K376" t="s">
        <v>43</v>
      </c>
      <c r="L376" t="s">
        <v>44</v>
      </c>
      <c r="M376" t="s">
        <v>45</v>
      </c>
      <c r="N376" s="7">
        <v>1</v>
      </c>
      <c r="O376" s="8">
        <v>45538.751759259256</v>
      </c>
      <c r="P376" s="9">
        <v>45540</v>
      </c>
      <c r="Q376" t="s">
        <v>46</v>
      </c>
      <c r="R376" t="s">
        <v>47</v>
      </c>
      <c r="S376" t="s">
        <v>48</v>
      </c>
      <c r="T376" t="s">
        <v>210</v>
      </c>
      <c r="U376" t="s">
        <v>1238</v>
      </c>
      <c r="V376">
        <v>73200</v>
      </c>
      <c r="W376" t="s">
        <v>47</v>
      </c>
      <c r="X376" t="s">
        <v>1239</v>
      </c>
      <c r="Y376" t="s">
        <v>52</v>
      </c>
      <c r="Z376" s="10">
        <f t="shared" si="50"/>
        <v>9</v>
      </c>
      <c r="AA376" s="11">
        <v>-2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47"/>
        <v>0.42</v>
      </c>
      <c r="AG376" s="11">
        <f t="shared" si="43"/>
        <v>7.42</v>
      </c>
      <c r="AH376" s="11">
        <v>0</v>
      </c>
      <c r="AI376" s="11">
        <f t="shared" si="44"/>
        <v>7.42</v>
      </c>
      <c r="AJ376" t="s">
        <v>53</v>
      </c>
    </row>
    <row r="377" spans="1:36" ht="15" customHeight="1" x14ac:dyDescent="0.35">
      <c r="A377">
        <v>7547676</v>
      </c>
      <c r="B377" t="s">
        <v>36</v>
      </c>
      <c r="C377" t="s">
        <v>37</v>
      </c>
      <c r="D377" s="6" t="s">
        <v>36</v>
      </c>
      <c r="E377" t="s">
        <v>1240</v>
      </c>
      <c r="F377" t="s">
        <v>39</v>
      </c>
      <c r="G377" t="s">
        <v>40</v>
      </c>
      <c r="H377" t="s">
        <v>1241</v>
      </c>
      <c r="I377" t="s">
        <v>42</v>
      </c>
      <c r="J377">
        <v>2</v>
      </c>
      <c r="K377" t="s">
        <v>43</v>
      </c>
      <c r="L377" t="s">
        <v>44</v>
      </c>
      <c r="M377" t="s">
        <v>45</v>
      </c>
      <c r="N377" s="7">
        <v>17</v>
      </c>
      <c r="O377" s="8">
        <v>45538.448900462965</v>
      </c>
      <c r="P377" s="9">
        <v>45540</v>
      </c>
      <c r="Q377" t="s">
        <v>46</v>
      </c>
      <c r="R377" t="s">
        <v>47</v>
      </c>
      <c r="S377" t="s">
        <v>48</v>
      </c>
      <c r="T377" t="s">
        <v>123</v>
      </c>
      <c r="U377" t="s">
        <v>1242</v>
      </c>
      <c r="V377">
        <v>43300</v>
      </c>
      <c r="W377" t="s">
        <v>47</v>
      </c>
      <c r="X377" t="s">
        <v>51</v>
      </c>
      <c r="Y377" t="s">
        <v>52</v>
      </c>
      <c r="Z377" s="10">
        <f t="shared" si="50"/>
        <v>21.8</v>
      </c>
      <c r="AA377" s="11">
        <v>-2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47"/>
        <v>1.1879999999999999</v>
      </c>
      <c r="AG377" s="11">
        <f t="shared" si="43"/>
        <v>20.988</v>
      </c>
      <c r="AH377" s="11">
        <v>0</v>
      </c>
      <c r="AI377" s="11">
        <f t="shared" si="44"/>
        <v>20.988</v>
      </c>
      <c r="AJ377" t="s">
        <v>53</v>
      </c>
    </row>
    <row r="378" spans="1:36" ht="15" customHeight="1" x14ac:dyDescent="0.35">
      <c r="A378">
        <v>7547676</v>
      </c>
      <c r="B378" t="s">
        <v>36</v>
      </c>
      <c r="C378" t="s">
        <v>37</v>
      </c>
      <c r="D378" s="6" t="s">
        <v>36</v>
      </c>
      <c r="E378" t="s">
        <v>1243</v>
      </c>
      <c r="F378" t="s">
        <v>39</v>
      </c>
      <c r="G378" t="s">
        <v>40</v>
      </c>
      <c r="H378" t="s">
        <v>1244</v>
      </c>
      <c r="I378" t="s">
        <v>42</v>
      </c>
      <c r="J378">
        <v>2</v>
      </c>
      <c r="K378" t="s">
        <v>43</v>
      </c>
      <c r="L378" t="s">
        <v>44</v>
      </c>
      <c r="M378" t="s">
        <v>45</v>
      </c>
      <c r="N378" s="7">
        <v>1</v>
      </c>
      <c r="O378" s="8">
        <v>45538.534467592595</v>
      </c>
      <c r="P378" s="9">
        <v>45540</v>
      </c>
      <c r="Q378" t="s">
        <v>46</v>
      </c>
      <c r="R378" t="s">
        <v>47</v>
      </c>
      <c r="S378" t="s">
        <v>48</v>
      </c>
      <c r="T378" t="s">
        <v>56</v>
      </c>
      <c r="U378" t="s">
        <v>1245</v>
      </c>
      <c r="V378">
        <v>8200</v>
      </c>
      <c r="W378" t="s">
        <v>47</v>
      </c>
      <c r="X378" t="s">
        <v>58</v>
      </c>
      <c r="Y378" t="s">
        <v>52</v>
      </c>
      <c r="Z378" s="10">
        <f t="shared" si="50"/>
        <v>9</v>
      </c>
      <c r="AA378" s="11">
        <v>-2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47"/>
        <v>0.42</v>
      </c>
      <c r="AG378" s="11">
        <f t="shared" si="43"/>
        <v>7.42</v>
      </c>
      <c r="AH378" s="11">
        <v>0</v>
      </c>
      <c r="AI378" s="11">
        <f t="shared" si="44"/>
        <v>7.42</v>
      </c>
      <c r="AJ378" t="s">
        <v>53</v>
      </c>
    </row>
    <row r="379" spans="1:36" ht="15" customHeight="1" x14ac:dyDescent="0.35">
      <c r="A379">
        <v>7547676</v>
      </c>
      <c r="B379" t="s">
        <v>36</v>
      </c>
      <c r="C379" t="s">
        <v>37</v>
      </c>
      <c r="D379" s="6" t="s">
        <v>36</v>
      </c>
      <c r="E379" t="s">
        <v>1246</v>
      </c>
      <c r="F379" t="s">
        <v>39</v>
      </c>
      <c r="G379" t="s">
        <v>40</v>
      </c>
      <c r="H379" t="s">
        <v>1247</v>
      </c>
      <c r="I379" t="s">
        <v>42</v>
      </c>
      <c r="J379">
        <v>2</v>
      </c>
      <c r="K379" t="s">
        <v>43</v>
      </c>
      <c r="L379" t="s">
        <v>44</v>
      </c>
      <c r="M379" t="s">
        <v>45</v>
      </c>
      <c r="N379" s="7">
        <v>1</v>
      </c>
      <c r="O379" s="8">
        <v>45539.585462962961</v>
      </c>
      <c r="P379" s="9">
        <v>45540</v>
      </c>
      <c r="Q379" t="s">
        <v>46</v>
      </c>
      <c r="R379" t="s">
        <v>47</v>
      </c>
      <c r="S379" t="s">
        <v>48</v>
      </c>
      <c r="T379" t="s">
        <v>104</v>
      </c>
      <c r="U379" t="s">
        <v>1248</v>
      </c>
      <c r="V379">
        <v>75450</v>
      </c>
      <c r="W379" t="s">
        <v>47</v>
      </c>
      <c r="X379" t="s">
        <v>302</v>
      </c>
      <c r="Y379" t="s">
        <v>52</v>
      </c>
      <c r="Z379" s="10">
        <f t="shared" si="50"/>
        <v>9</v>
      </c>
      <c r="AA379" s="11">
        <v>-2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47"/>
        <v>0.42</v>
      </c>
      <c r="AG379" s="11">
        <f t="shared" si="43"/>
        <v>7.42</v>
      </c>
      <c r="AH379" s="11">
        <v>0</v>
      </c>
      <c r="AI379" s="11">
        <f t="shared" si="44"/>
        <v>7.42</v>
      </c>
      <c r="AJ379" t="s">
        <v>53</v>
      </c>
    </row>
    <row r="380" spans="1:36" ht="15" customHeight="1" x14ac:dyDescent="0.35">
      <c r="A380">
        <v>7547676</v>
      </c>
      <c r="B380" t="s">
        <v>36</v>
      </c>
      <c r="C380" t="s">
        <v>37</v>
      </c>
      <c r="D380" s="6" t="s">
        <v>36</v>
      </c>
      <c r="E380" t="s">
        <v>1249</v>
      </c>
      <c r="F380" t="s">
        <v>39</v>
      </c>
      <c r="G380" t="s">
        <v>40</v>
      </c>
      <c r="H380" t="s">
        <v>1250</v>
      </c>
      <c r="I380" t="s">
        <v>42</v>
      </c>
      <c r="J380">
        <v>2</v>
      </c>
      <c r="K380" t="s">
        <v>43</v>
      </c>
      <c r="L380" t="s">
        <v>44</v>
      </c>
      <c r="M380" t="s">
        <v>45</v>
      </c>
      <c r="N380" s="7">
        <v>1</v>
      </c>
      <c r="O380" s="8">
        <v>45539.676701388889</v>
      </c>
      <c r="P380" s="9">
        <v>45540</v>
      </c>
      <c r="Q380" t="s">
        <v>46</v>
      </c>
      <c r="R380" t="s">
        <v>47</v>
      </c>
      <c r="S380" t="s">
        <v>48</v>
      </c>
      <c r="T380" t="s">
        <v>128</v>
      </c>
      <c r="U380" t="s">
        <v>1251</v>
      </c>
      <c r="V380">
        <v>50300</v>
      </c>
      <c r="W380" t="s">
        <v>47</v>
      </c>
      <c r="X380" t="s">
        <v>833</v>
      </c>
      <c r="Y380" t="s">
        <v>52</v>
      </c>
      <c r="Z380" s="10">
        <f t="shared" si="50"/>
        <v>9</v>
      </c>
      <c r="AA380" s="11">
        <v>-2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47"/>
        <v>0.42</v>
      </c>
      <c r="AG380" s="11">
        <f t="shared" si="43"/>
        <v>7.42</v>
      </c>
      <c r="AH380" s="11">
        <v>0</v>
      </c>
      <c r="AI380" s="11">
        <f t="shared" si="44"/>
        <v>7.42</v>
      </c>
      <c r="AJ380" t="s">
        <v>53</v>
      </c>
    </row>
    <row r="381" spans="1:36" ht="15" customHeight="1" x14ac:dyDescent="0.35">
      <c r="A381">
        <v>7547676</v>
      </c>
      <c r="B381" t="s">
        <v>36</v>
      </c>
      <c r="C381" t="s">
        <v>37</v>
      </c>
      <c r="D381" s="6" t="s">
        <v>36</v>
      </c>
      <c r="E381" t="s">
        <v>1252</v>
      </c>
      <c r="F381" t="s">
        <v>39</v>
      </c>
      <c r="G381" t="s">
        <v>40</v>
      </c>
      <c r="H381" t="s">
        <v>1253</v>
      </c>
      <c r="I381" t="s">
        <v>42</v>
      </c>
      <c r="J381">
        <v>2</v>
      </c>
      <c r="K381" t="s">
        <v>43</v>
      </c>
      <c r="L381" t="s">
        <v>44</v>
      </c>
      <c r="M381" t="s">
        <v>45</v>
      </c>
      <c r="N381" s="7">
        <v>1</v>
      </c>
      <c r="O381" s="8">
        <v>45539.463136574072</v>
      </c>
      <c r="P381" s="9">
        <v>45540</v>
      </c>
      <c r="Q381" t="s">
        <v>46</v>
      </c>
      <c r="R381" t="s">
        <v>47</v>
      </c>
      <c r="S381" t="s">
        <v>48</v>
      </c>
      <c r="T381" t="s">
        <v>278</v>
      </c>
      <c r="U381" t="s">
        <v>1254</v>
      </c>
      <c r="V381">
        <v>28600</v>
      </c>
      <c r="W381" t="s">
        <v>47</v>
      </c>
      <c r="X381" t="s">
        <v>188</v>
      </c>
      <c r="Y381" t="s">
        <v>52</v>
      </c>
      <c r="Z381" s="10">
        <f t="shared" si="50"/>
        <v>9</v>
      </c>
      <c r="AA381" s="11">
        <v>-2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47"/>
        <v>0.42</v>
      </c>
      <c r="AG381" s="11">
        <f t="shared" si="43"/>
        <v>7.42</v>
      </c>
      <c r="AH381" s="11">
        <v>0</v>
      </c>
      <c r="AI381" s="11">
        <f t="shared" si="44"/>
        <v>7.42</v>
      </c>
      <c r="AJ381" t="s">
        <v>53</v>
      </c>
    </row>
    <row r="382" spans="1:36" ht="15" customHeight="1" x14ac:dyDescent="0.35">
      <c r="A382">
        <v>7547676</v>
      </c>
      <c r="B382" t="s">
        <v>36</v>
      </c>
      <c r="C382" t="s">
        <v>37</v>
      </c>
      <c r="D382" s="6" t="s">
        <v>36</v>
      </c>
      <c r="E382" t="s">
        <v>1255</v>
      </c>
      <c r="F382" t="s">
        <v>39</v>
      </c>
      <c r="G382" t="s">
        <v>40</v>
      </c>
      <c r="H382" t="s">
        <v>1256</v>
      </c>
      <c r="I382" t="s">
        <v>42</v>
      </c>
      <c r="J382">
        <v>2</v>
      </c>
      <c r="K382" t="s">
        <v>43</v>
      </c>
      <c r="L382" t="s">
        <v>44</v>
      </c>
      <c r="M382" t="s">
        <v>45</v>
      </c>
      <c r="N382" s="7">
        <v>2</v>
      </c>
      <c r="O382" s="8">
        <v>45538.739479166667</v>
      </c>
      <c r="P382" s="9">
        <v>45540</v>
      </c>
      <c r="Q382" t="s">
        <v>46</v>
      </c>
      <c r="R382" t="s">
        <v>47</v>
      </c>
      <c r="S382" t="s">
        <v>48</v>
      </c>
      <c r="T382" t="s">
        <v>123</v>
      </c>
      <c r="U382" t="s">
        <v>1257</v>
      </c>
      <c r="V382">
        <v>40170</v>
      </c>
      <c r="W382" t="s">
        <v>47</v>
      </c>
      <c r="X382" t="s">
        <v>192</v>
      </c>
      <c r="Y382" t="s">
        <v>52</v>
      </c>
      <c r="Z382" s="10">
        <f t="shared" si="50"/>
        <v>9.8000000000000007</v>
      </c>
      <c r="AA382" s="11">
        <v>-2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47"/>
        <v>0.46800000000000003</v>
      </c>
      <c r="AG382" s="11">
        <f t="shared" si="43"/>
        <v>8.2680000000000007</v>
      </c>
      <c r="AH382" s="11">
        <v>0</v>
      </c>
      <c r="AI382" s="11">
        <f t="shared" si="44"/>
        <v>8.2680000000000007</v>
      </c>
      <c r="AJ382" t="s">
        <v>53</v>
      </c>
    </row>
    <row r="383" spans="1:36" ht="15" customHeight="1" x14ac:dyDescent="0.35">
      <c r="A383">
        <v>7547676</v>
      </c>
      <c r="B383" t="s">
        <v>36</v>
      </c>
      <c r="C383" t="s">
        <v>37</v>
      </c>
      <c r="D383" s="6" t="s">
        <v>36</v>
      </c>
      <c r="E383" t="s">
        <v>1258</v>
      </c>
      <c r="F383" t="s">
        <v>39</v>
      </c>
      <c r="G383" t="s">
        <v>40</v>
      </c>
      <c r="H383" t="s">
        <v>1259</v>
      </c>
      <c r="I383" t="s">
        <v>42</v>
      </c>
      <c r="J383">
        <v>2</v>
      </c>
      <c r="K383" t="s">
        <v>43</v>
      </c>
      <c r="L383" t="s">
        <v>44</v>
      </c>
      <c r="M383" t="s">
        <v>45</v>
      </c>
      <c r="N383" s="7">
        <v>3</v>
      </c>
      <c r="O383" s="8">
        <v>45538.749502314815</v>
      </c>
      <c r="P383" s="9">
        <v>45540</v>
      </c>
      <c r="Q383" t="s">
        <v>46</v>
      </c>
      <c r="R383" t="s">
        <v>47</v>
      </c>
      <c r="S383" t="s">
        <v>48</v>
      </c>
      <c r="T383" t="s">
        <v>56</v>
      </c>
      <c r="U383" t="s">
        <v>1260</v>
      </c>
      <c r="V383">
        <v>5400</v>
      </c>
      <c r="W383" t="s">
        <v>47</v>
      </c>
      <c r="X383" t="s">
        <v>227</v>
      </c>
      <c r="Y383" t="s">
        <v>52</v>
      </c>
      <c r="Z383" s="10">
        <f t="shared" si="50"/>
        <v>10.6</v>
      </c>
      <c r="AA383" s="11">
        <v>-2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47"/>
        <v>0.51600000000000001</v>
      </c>
      <c r="AG383" s="11">
        <f t="shared" si="43"/>
        <v>9.1159999999999997</v>
      </c>
      <c r="AH383" s="11">
        <v>0</v>
      </c>
      <c r="AI383" s="11">
        <f t="shared" si="44"/>
        <v>9.1159999999999997</v>
      </c>
      <c r="AJ383" t="s">
        <v>53</v>
      </c>
    </row>
    <row r="384" spans="1:36" ht="15" customHeight="1" x14ac:dyDescent="0.35">
      <c r="A384">
        <v>7547676</v>
      </c>
      <c r="B384" t="s">
        <v>36</v>
      </c>
      <c r="C384" t="s">
        <v>37</v>
      </c>
      <c r="D384" s="6" t="s">
        <v>36</v>
      </c>
      <c r="E384" t="s">
        <v>1261</v>
      </c>
      <c r="F384" t="s">
        <v>39</v>
      </c>
      <c r="G384" t="s">
        <v>40</v>
      </c>
      <c r="H384" t="s">
        <v>1262</v>
      </c>
      <c r="I384" t="s">
        <v>42</v>
      </c>
      <c r="J384">
        <v>2</v>
      </c>
      <c r="K384" t="s">
        <v>43</v>
      </c>
      <c r="L384" t="s">
        <v>44</v>
      </c>
      <c r="M384" t="s">
        <v>45</v>
      </c>
      <c r="N384" s="7">
        <v>1</v>
      </c>
      <c r="O384" s="8">
        <v>45538.499490740738</v>
      </c>
      <c r="P384" s="9">
        <v>45540</v>
      </c>
      <c r="Q384" t="s">
        <v>46</v>
      </c>
      <c r="R384" t="s">
        <v>47</v>
      </c>
      <c r="S384" t="s">
        <v>48</v>
      </c>
      <c r="T384" t="s">
        <v>136</v>
      </c>
      <c r="U384" t="s">
        <v>1263</v>
      </c>
      <c r="V384">
        <v>33100</v>
      </c>
      <c r="W384" t="s">
        <v>47</v>
      </c>
      <c r="X384" t="s">
        <v>51</v>
      </c>
      <c r="Y384" t="s">
        <v>52</v>
      </c>
      <c r="Z384" s="10">
        <f t="shared" si="50"/>
        <v>9</v>
      </c>
      <c r="AA384" s="11">
        <v>-2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47"/>
        <v>0.42</v>
      </c>
      <c r="AG384" s="11">
        <f t="shared" si="43"/>
        <v>7.42</v>
      </c>
      <c r="AH384" s="11">
        <v>0</v>
      </c>
      <c r="AI384" s="11">
        <f t="shared" si="44"/>
        <v>7.42</v>
      </c>
      <c r="AJ384" t="s">
        <v>53</v>
      </c>
    </row>
    <row r="385" spans="1:36" ht="15" customHeight="1" x14ac:dyDescent="0.35">
      <c r="A385">
        <v>7547676</v>
      </c>
      <c r="B385" t="s">
        <v>36</v>
      </c>
      <c r="C385" t="s">
        <v>37</v>
      </c>
      <c r="D385" s="6" t="s">
        <v>36</v>
      </c>
      <c r="E385" t="s">
        <v>1264</v>
      </c>
      <c r="F385" t="s">
        <v>39</v>
      </c>
      <c r="G385" t="s">
        <v>40</v>
      </c>
      <c r="H385" t="s">
        <v>1265</v>
      </c>
      <c r="I385" t="s">
        <v>42</v>
      </c>
      <c r="J385">
        <v>2</v>
      </c>
      <c r="K385" t="s">
        <v>43</v>
      </c>
      <c r="L385" t="s">
        <v>44</v>
      </c>
      <c r="M385" t="s">
        <v>45</v>
      </c>
      <c r="N385" s="7">
        <v>1</v>
      </c>
      <c r="O385" s="8">
        <v>45538.46056712963</v>
      </c>
      <c r="P385" s="9">
        <v>45540</v>
      </c>
      <c r="Q385" t="s">
        <v>46</v>
      </c>
      <c r="R385" t="s">
        <v>47</v>
      </c>
      <c r="S385" t="s">
        <v>48</v>
      </c>
      <c r="T385" t="s">
        <v>136</v>
      </c>
      <c r="U385" t="s">
        <v>1266</v>
      </c>
      <c r="V385">
        <v>31250</v>
      </c>
      <c r="W385" t="s">
        <v>47</v>
      </c>
      <c r="X385" t="s">
        <v>138</v>
      </c>
      <c r="Y385" t="s">
        <v>52</v>
      </c>
      <c r="Z385" s="10">
        <f t="shared" si="50"/>
        <v>9</v>
      </c>
      <c r="AA385" s="11">
        <v>-2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47"/>
        <v>0.42</v>
      </c>
      <c r="AG385" s="11">
        <f t="shared" si="43"/>
        <v>7.42</v>
      </c>
      <c r="AH385" s="11">
        <v>0</v>
      </c>
      <c r="AI385" s="11">
        <f t="shared" si="44"/>
        <v>7.42</v>
      </c>
      <c r="AJ385" t="s">
        <v>53</v>
      </c>
    </row>
    <row r="386" spans="1:36" ht="15" customHeight="1" x14ac:dyDescent="0.35">
      <c r="A386">
        <v>7547676</v>
      </c>
      <c r="B386" t="s">
        <v>36</v>
      </c>
      <c r="C386" t="s">
        <v>37</v>
      </c>
      <c r="D386" s="6" t="s">
        <v>36</v>
      </c>
      <c r="E386" t="s">
        <v>1267</v>
      </c>
      <c r="F386" t="s">
        <v>39</v>
      </c>
      <c r="G386" t="s">
        <v>40</v>
      </c>
      <c r="H386" t="s">
        <v>1268</v>
      </c>
      <c r="I386" t="s">
        <v>42</v>
      </c>
      <c r="J386">
        <v>2</v>
      </c>
      <c r="K386" t="s">
        <v>43</v>
      </c>
      <c r="L386" t="s">
        <v>44</v>
      </c>
      <c r="M386" t="s">
        <v>45</v>
      </c>
      <c r="N386" s="7">
        <v>1</v>
      </c>
      <c r="O386" s="8">
        <v>45538.468425925923</v>
      </c>
      <c r="P386" s="9">
        <v>45540</v>
      </c>
      <c r="Q386" t="s">
        <v>46</v>
      </c>
      <c r="R386" t="s">
        <v>47</v>
      </c>
      <c r="S386" t="s">
        <v>48</v>
      </c>
      <c r="T386" t="s">
        <v>123</v>
      </c>
      <c r="U386" t="s">
        <v>1269</v>
      </c>
      <c r="V386">
        <v>47650</v>
      </c>
      <c r="W386" t="s">
        <v>47</v>
      </c>
      <c r="X386" t="s">
        <v>823</v>
      </c>
      <c r="Y386" t="s">
        <v>52</v>
      </c>
      <c r="Z386" s="10">
        <f t="shared" si="50"/>
        <v>9</v>
      </c>
      <c r="AA386" s="11">
        <v>-2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si="47"/>
        <v>0.42</v>
      </c>
      <c r="AG386" s="11">
        <f t="shared" ref="AG386:AG449" si="51">Z386+AA386+AC386+AE386+AF386</f>
        <v>7.42</v>
      </c>
      <c r="AH386" s="11">
        <v>0</v>
      </c>
      <c r="AI386" s="11">
        <f t="shared" ref="AI386:AI449" si="52">AG386+AH386</f>
        <v>7.42</v>
      </c>
      <c r="AJ386" t="s">
        <v>53</v>
      </c>
    </row>
    <row r="387" spans="1:36" ht="15" customHeight="1" x14ac:dyDescent="0.35">
      <c r="A387">
        <v>7547676</v>
      </c>
      <c r="B387" t="s">
        <v>36</v>
      </c>
      <c r="C387" t="s">
        <v>37</v>
      </c>
      <c r="D387" s="6" t="s">
        <v>36</v>
      </c>
      <c r="E387" t="s">
        <v>1270</v>
      </c>
      <c r="F387" t="s">
        <v>39</v>
      </c>
      <c r="G387" t="s">
        <v>40</v>
      </c>
      <c r="H387" t="s">
        <v>1271</v>
      </c>
      <c r="I387" t="s">
        <v>42</v>
      </c>
      <c r="J387">
        <v>2</v>
      </c>
      <c r="K387" t="s">
        <v>43</v>
      </c>
      <c r="L387" t="s">
        <v>44</v>
      </c>
      <c r="M387" t="s">
        <v>45</v>
      </c>
      <c r="N387" s="7">
        <v>2</v>
      </c>
      <c r="O387" s="8">
        <v>45539.709131944444</v>
      </c>
      <c r="P387" s="9">
        <v>45540</v>
      </c>
      <c r="Q387" t="s">
        <v>46</v>
      </c>
      <c r="R387" t="s">
        <v>47</v>
      </c>
      <c r="S387" t="s">
        <v>48</v>
      </c>
      <c r="T387" t="s">
        <v>75</v>
      </c>
      <c r="U387" t="s">
        <v>1272</v>
      </c>
      <c r="V387">
        <v>15100</v>
      </c>
      <c r="W387" t="s">
        <v>47</v>
      </c>
      <c r="X387" t="s">
        <v>1273</v>
      </c>
      <c r="Y387" t="s">
        <v>52</v>
      </c>
      <c r="Z387" s="10">
        <f t="shared" si="50"/>
        <v>9.8000000000000007</v>
      </c>
      <c r="AA387" s="11">
        <v>-2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47"/>
        <v>0.46800000000000003</v>
      </c>
      <c r="AG387" s="11">
        <f t="shared" si="51"/>
        <v>8.2680000000000007</v>
      </c>
      <c r="AH387" s="11">
        <v>0</v>
      </c>
      <c r="AI387" s="11">
        <f t="shared" si="52"/>
        <v>8.2680000000000007</v>
      </c>
      <c r="AJ387" t="s">
        <v>53</v>
      </c>
    </row>
    <row r="388" spans="1:36" ht="15" customHeight="1" x14ac:dyDescent="0.35">
      <c r="A388">
        <v>7547676</v>
      </c>
      <c r="B388" t="s">
        <v>36</v>
      </c>
      <c r="C388" t="s">
        <v>37</v>
      </c>
      <c r="D388" s="6" t="s">
        <v>36</v>
      </c>
      <c r="E388" t="s">
        <v>1274</v>
      </c>
      <c r="F388" t="s">
        <v>39</v>
      </c>
      <c r="G388" t="s">
        <v>40</v>
      </c>
      <c r="H388" t="s">
        <v>1275</v>
      </c>
      <c r="I388" t="s">
        <v>42</v>
      </c>
      <c r="J388">
        <v>2</v>
      </c>
      <c r="K388" t="s">
        <v>43</v>
      </c>
      <c r="L388" t="s">
        <v>44</v>
      </c>
      <c r="M388" t="s">
        <v>45</v>
      </c>
      <c r="N388" s="7">
        <v>1</v>
      </c>
      <c r="O388" s="8">
        <v>45538.465254629627</v>
      </c>
      <c r="P388" s="9">
        <v>45540</v>
      </c>
      <c r="Q388" t="s">
        <v>46</v>
      </c>
      <c r="R388" t="s">
        <v>47</v>
      </c>
      <c r="S388" t="s">
        <v>48</v>
      </c>
      <c r="T388" t="s">
        <v>104</v>
      </c>
      <c r="U388" t="s">
        <v>1276</v>
      </c>
      <c r="V388">
        <v>76100</v>
      </c>
      <c r="W388" t="s">
        <v>47</v>
      </c>
      <c r="X388" t="s">
        <v>435</v>
      </c>
      <c r="Y388" t="s">
        <v>52</v>
      </c>
      <c r="Z388" s="10">
        <f t="shared" si="50"/>
        <v>9</v>
      </c>
      <c r="AA388" s="11">
        <v>-2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47"/>
        <v>0.42</v>
      </c>
      <c r="AG388" s="11">
        <f t="shared" si="51"/>
        <v>7.42</v>
      </c>
      <c r="AH388" s="11">
        <v>0</v>
      </c>
      <c r="AI388" s="11">
        <f t="shared" si="52"/>
        <v>7.42</v>
      </c>
      <c r="AJ388" t="s">
        <v>53</v>
      </c>
    </row>
    <row r="389" spans="1:36" ht="15" customHeight="1" x14ac:dyDescent="0.35">
      <c r="A389">
        <v>7547676</v>
      </c>
      <c r="B389" t="s">
        <v>36</v>
      </c>
      <c r="C389" t="s">
        <v>37</v>
      </c>
      <c r="D389" s="6" t="s">
        <v>36</v>
      </c>
      <c r="E389" t="s">
        <v>1277</v>
      </c>
      <c r="F389" t="s">
        <v>39</v>
      </c>
      <c r="G389" t="s">
        <v>40</v>
      </c>
      <c r="H389" t="s">
        <v>1278</v>
      </c>
      <c r="I389" t="s">
        <v>42</v>
      </c>
      <c r="J389">
        <v>2</v>
      </c>
      <c r="K389" t="s">
        <v>43</v>
      </c>
      <c r="L389" t="s">
        <v>44</v>
      </c>
      <c r="M389" t="s">
        <v>45</v>
      </c>
      <c r="N389" s="7">
        <v>1</v>
      </c>
      <c r="O389" s="8">
        <v>45538.534467592595</v>
      </c>
      <c r="P389" s="9">
        <v>45540</v>
      </c>
      <c r="Q389" t="s">
        <v>46</v>
      </c>
      <c r="R389" t="s">
        <v>47</v>
      </c>
      <c r="S389" t="s">
        <v>48</v>
      </c>
      <c r="T389" t="s">
        <v>56</v>
      </c>
      <c r="U389" t="s">
        <v>1279</v>
      </c>
      <c r="V389">
        <v>8000</v>
      </c>
      <c r="W389" t="s">
        <v>47</v>
      </c>
      <c r="X389" t="s">
        <v>965</v>
      </c>
      <c r="Y389" t="s">
        <v>52</v>
      </c>
      <c r="Z389" s="10">
        <f t="shared" si="50"/>
        <v>9</v>
      </c>
      <c r="AA389" s="11">
        <v>-2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47"/>
        <v>0.42</v>
      </c>
      <c r="AG389" s="11">
        <f t="shared" si="51"/>
        <v>7.42</v>
      </c>
      <c r="AH389" s="11">
        <v>0</v>
      </c>
      <c r="AI389" s="11">
        <f t="shared" si="52"/>
        <v>7.42</v>
      </c>
      <c r="AJ389" t="s">
        <v>53</v>
      </c>
    </row>
    <row r="390" spans="1:36" ht="15" customHeight="1" x14ac:dyDescent="0.35">
      <c r="A390">
        <v>7547676</v>
      </c>
      <c r="B390" t="s">
        <v>36</v>
      </c>
      <c r="C390" t="s">
        <v>37</v>
      </c>
      <c r="D390" s="6" t="s">
        <v>36</v>
      </c>
      <c r="E390" t="s">
        <v>1280</v>
      </c>
      <c r="F390" t="s">
        <v>39</v>
      </c>
      <c r="G390" t="s">
        <v>40</v>
      </c>
      <c r="H390" t="s">
        <v>1281</v>
      </c>
      <c r="I390" t="s">
        <v>42</v>
      </c>
      <c r="J390">
        <v>2</v>
      </c>
      <c r="K390" t="s">
        <v>43</v>
      </c>
      <c r="L390" t="s">
        <v>44</v>
      </c>
      <c r="M390" t="s">
        <v>45</v>
      </c>
      <c r="N390" s="7">
        <v>1</v>
      </c>
      <c r="O390" s="8">
        <v>45538.465254629627</v>
      </c>
      <c r="P390" s="9">
        <v>45540</v>
      </c>
      <c r="Q390" t="s">
        <v>46</v>
      </c>
      <c r="R390" t="s">
        <v>47</v>
      </c>
      <c r="S390" t="s">
        <v>48</v>
      </c>
      <c r="T390" t="s">
        <v>56</v>
      </c>
      <c r="U390" t="s">
        <v>1282</v>
      </c>
      <c r="V390">
        <v>8200</v>
      </c>
      <c r="W390" t="s">
        <v>47</v>
      </c>
      <c r="X390" t="s">
        <v>58</v>
      </c>
      <c r="Y390" t="s">
        <v>52</v>
      </c>
      <c r="Z390" s="10">
        <f t="shared" si="50"/>
        <v>9</v>
      </c>
      <c r="AA390" s="11">
        <v>-2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47"/>
        <v>0.42</v>
      </c>
      <c r="AG390" s="11">
        <f t="shared" si="51"/>
        <v>7.42</v>
      </c>
      <c r="AH390" s="11">
        <v>0</v>
      </c>
      <c r="AI390" s="11">
        <f t="shared" si="52"/>
        <v>7.42</v>
      </c>
      <c r="AJ390" t="s">
        <v>53</v>
      </c>
    </row>
    <row r="391" spans="1:36" ht="15" customHeight="1" x14ac:dyDescent="0.35">
      <c r="A391">
        <v>7547676</v>
      </c>
      <c r="B391" t="s">
        <v>36</v>
      </c>
      <c r="C391" t="s">
        <v>37</v>
      </c>
      <c r="D391" s="6" t="s">
        <v>36</v>
      </c>
      <c r="E391" t="s">
        <v>1283</v>
      </c>
      <c r="F391" t="s">
        <v>39</v>
      </c>
      <c r="G391" t="s">
        <v>40</v>
      </c>
      <c r="H391" t="s">
        <v>1284</v>
      </c>
      <c r="I391" t="s">
        <v>42</v>
      </c>
      <c r="J391">
        <v>2</v>
      </c>
      <c r="K391" t="s">
        <v>43</v>
      </c>
      <c r="L391" t="s">
        <v>44</v>
      </c>
      <c r="M391" t="s">
        <v>45</v>
      </c>
      <c r="N391" s="7">
        <v>1</v>
      </c>
      <c r="O391" s="8">
        <v>45538.626562500001</v>
      </c>
      <c r="P391" s="9">
        <v>45540</v>
      </c>
      <c r="Q391" t="s">
        <v>46</v>
      </c>
      <c r="R391" t="s">
        <v>47</v>
      </c>
      <c r="S391" t="s">
        <v>48</v>
      </c>
      <c r="T391" t="s">
        <v>123</v>
      </c>
      <c r="U391" t="s">
        <v>1285</v>
      </c>
      <c r="V391">
        <v>40000</v>
      </c>
      <c r="W391" t="s">
        <v>47</v>
      </c>
      <c r="X391" t="s">
        <v>51</v>
      </c>
      <c r="Y391" t="s">
        <v>52</v>
      </c>
      <c r="Z391" s="10">
        <f t="shared" si="50"/>
        <v>9</v>
      </c>
      <c r="AA391" s="11">
        <v>-2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47"/>
        <v>0.42</v>
      </c>
      <c r="AG391" s="11">
        <f t="shared" si="51"/>
        <v>7.42</v>
      </c>
      <c r="AH391" s="11">
        <v>0</v>
      </c>
      <c r="AI391" s="11">
        <f t="shared" si="52"/>
        <v>7.42</v>
      </c>
      <c r="AJ391" t="s">
        <v>53</v>
      </c>
    </row>
    <row r="392" spans="1:36" ht="15" customHeight="1" x14ac:dyDescent="0.35">
      <c r="A392">
        <v>7547676</v>
      </c>
      <c r="B392" t="s">
        <v>36</v>
      </c>
      <c r="C392" t="s">
        <v>37</v>
      </c>
      <c r="D392" s="6" t="s">
        <v>36</v>
      </c>
      <c r="E392" t="s">
        <v>1286</v>
      </c>
      <c r="F392" t="s">
        <v>39</v>
      </c>
      <c r="G392" t="s">
        <v>40</v>
      </c>
      <c r="H392" t="s">
        <v>1287</v>
      </c>
      <c r="I392" t="s">
        <v>42</v>
      </c>
      <c r="J392">
        <v>2</v>
      </c>
      <c r="K392" t="s">
        <v>43</v>
      </c>
      <c r="L392" t="s">
        <v>44</v>
      </c>
      <c r="M392" t="s">
        <v>45</v>
      </c>
      <c r="N392" s="7">
        <v>1</v>
      </c>
      <c r="O392" s="8">
        <v>45539.733148148145</v>
      </c>
      <c r="P392" s="9">
        <v>45540</v>
      </c>
      <c r="Q392" t="s">
        <v>46</v>
      </c>
      <c r="R392" t="s">
        <v>47</v>
      </c>
      <c r="S392" t="s">
        <v>48</v>
      </c>
      <c r="T392" t="s">
        <v>278</v>
      </c>
      <c r="U392" t="s">
        <v>1288</v>
      </c>
      <c r="V392">
        <v>25200</v>
      </c>
      <c r="W392" t="s">
        <v>47</v>
      </c>
      <c r="X392" t="s">
        <v>188</v>
      </c>
      <c r="Y392" t="s">
        <v>52</v>
      </c>
      <c r="Z392" s="10">
        <f t="shared" si="50"/>
        <v>9</v>
      </c>
      <c r="AA392" s="11">
        <v>-2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47"/>
        <v>0.42</v>
      </c>
      <c r="AG392" s="11">
        <f t="shared" si="51"/>
        <v>7.42</v>
      </c>
      <c r="AH392" s="11">
        <v>0</v>
      </c>
      <c r="AI392" s="11">
        <f t="shared" si="52"/>
        <v>7.42</v>
      </c>
      <c r="AJ392" t="s">
        <v>53</v>
      </c>
    </row>
    <row r="393" spans="1:36" ht="15" customHeight="1" x14ac:dyDescent="0.35">
      <c r="A393">
        <v>7547676</v>
      </c>
      <c r="B393" t="s">
        <v>36</v>
      </c>
      <c r="C393" t="s">
        <v>37</v>
      </c>
      <c r="D393" s="6" t="s">
        <v>36</v>
      </c>
      <c r="E393" t="s">
        <v>1289</v>
      </c>
      <c r="F393" t="s">
        <v>39</v>
      </c>
      <c r="G393" t="s">
        <v>40</v>
      </c>
      <c r="H393" t="s">
        <v>1290</v>
      </c>
      <c r="I393" t="s">
        <v>42</v>
      </c>
      <c r="J393">
        <v>2</v>
      </c>
      <c r="K393" t="s">
        <v>43</v>
      </c>
      <c r="L393" t="s">
        <v>44</v>
      </c>
      <c r="M393" t="s">
        <v>45</v>
      </c>
      <c r="N393" s="7">
        <v>1</v>
      </c>
      <c r="O393" s="8">
        <v>45539.616574074076</v>
      </c>
      <c r="P393" s="9">
        <v>45540</v>
      </c>
      <c r="Q393" t="s">
        <v>46</v>
      </c>
      <c r="R393" t="s">
        <v>47</v>
      </c>
      <c r="S393" t="s">
        <v>48</v>
      </c>
      <c r="T393" t="s">
        <v>123</v>
      </c>
      <c r="U393" t="s">
        <v>1291</v>
      </c>
      <c r="V393">
        <v>63000</v>
      </c>
      <c r="W393" t="s">
        <v>47</v>
      </c>
      <c r="X393" t="s">
        <v>162</v>
      </c>
      <c r="Y393" t="s">
        <v>52</v>
      </c>
      <c r="Z393" s="10">
        <f t="shared" si="50"/>
        <v>9</v>
      </c>
      <c r="AA393" s="11">
        <v>-2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47"/>
        <v>0.42</v>
      </c>
      <c r="AG393" s="11">
        <f t="shared" si="51"/>
        <v>7.42</v>
      </c>
      <c r="AH393" s="11">
        <v>0</v>
      </c>
      <c r="AI393" s="11">
        <f t="shared" si="52"/>
        <v>7.42</v>
      </c>
      <c r="AJ393" t="s">
        <v>53</v>
      </c>
    </row>
    <row r="394" spans="1:36" ht="15" customHeight="1" x14ac:dyDescent="0.35">
      <c r="A394">
        <v>7547676</v>
      </c>
      <c r="B394" t="s">
        <v>36</v>
      </c>
      <c r="C394" t="s">
        <v>37</v>
      </c>
      <c r="D394" s="6" t="s">
        <v>36</v>
      </c>
      <c r="E394" t="s">
        <v>1292</v>
      </c>
      <c r="F394" t="s">
        <v>39</v>
      </c>
      <c r="G394" t="s">
        <v>40</v>
      </c>
      <c r="H394" t="s">
        <v>1293</v>
      </c>
      <c r="I394" t="s">
        <v>42</v>
      </c>
      <c r="J394">
        <v>2</v>
      </c>
      <c r="K394" t="s">
        <v>43</v>
      </c>
      <c r="L394" t="s">
        <v>44</v>
      </c>
      <c r="M394" t="s">
        <v>45</v>
      </c>
      <c r="N394" s="7">
        <v>1</v>
      </c>
      <c r="O394" s="8">
        <v>45538.601631944446</v>
      </c>
      <c r="P394" s="9">
        <v>45540</v>
      </c>
      <c r="Q394" t="s">
        <v>46</v>
      </c>
      <c r="R394" t="s">
        <v>47</v>
      </c>
      <c r="S394" t="s">
        <v>48</v>
      </c>
      <c r="T394" t="s">
        <v>66</v>
      </c>
      <c r="U394" t="s">
        <v>1294</v>
      </c>
      <c r="V394">
        <v>81150</v>
      </c>
      <c r="W394" t="s">
        <v>47</v>
      </c>
      <c r="X394" t="s">
        <v>217</v>
      </c>
      <c r="Y394" t="s">
        <v>52</v>
      </c>
      <c r="Z394" s="10">
        <f t="shared" si="50"/>
        <v>9</v>
      </c>
      <c r="AA394" s="11">
        <v>-2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47"/>
        <v>0.42</v>
      </c>
      <c r="AG394" s="11">
        <f t="shared" si="51"/>
        <v>7.42</v>
      </c>
      <c r="AH394" s="11">
        <v>0</v>
      </c>
      <c r="AI394" s="11">
        <f t="shared" si="52"/>
        <v>7.42</v>
      </c>
      <c r="AJ394" t="s">
        <v>53</v>
      </c>
    </row>
    <row r="395" spans="1:36" ht="15" customHeight="1" x14ac:dyDescent="0.35">
      <c r="A395">
        <v>7547676</v>
      </c>
      <c r="B395" t="s">
        <v>36</v>
      </c>
      <c r="C395" t="s">
        <v>37</v>
      </c>
      <c r="D395" s="6" t="s">
        <v>36</v>
      </c>
      <c r="E395" t="s">
        <v>1295</v>
      </c>
      <c r="F395" t="s">
        <v>39</v>
      </c>
      <c r="G395" t="s">
        <v>40</v>
      </c>
      <c r="H395" t="s">
        <v>1296</v>
      </c>
      <c r="I395" t="s">
        <v>42</v>
      </c>
      <c r="J395">
        <v>2</v>
      </c>
      <c r="K395" t="s">
        <v>43</v>
      </c>
      <c r="L395" t="s">
        <v>44</v>
      </c>
      <c r="M395" t="s">
        <v>45</v>
      </c>
      <c r="N395" s="7">
        <v>1</v>
      </c>
      <c r="O395" s="8">
        <v>45538.468425925923</v>
      </c>
      <c r="P395" s="9">
        <v>45540</v>
      </c>
      <c r="Q395" t="s">
        <v>46</v>
      </c>
      <c r="R395" t="s">
        <v>47</v>
      </c>
      <c r="S395" t="s">
        <v>48</v>
      </c>
      <c r="T395" t="s">
        <v>80</v>
      </c>
      <c r="U395" t="s">
        <v>1297</v>
      </c>
      <c r="V395">
        <v>13210</v>
      </c>
      <c r="W395" t="s">
        <v>47</v>
      </c>
      <c r="X395" t="s">
        <v>1298</v>
      </c>
      <c r="Y395" t="s">
        <v>52</v>
      </c>
      <c r="Z395" s="10">
        <f t="shared" si="50"/>
        <v>9</v>
      </c>
      <c r="AA395" s="11">
        <v>-2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47"/>
        <v>0.42</v>
      </c>
      <c r="AG395" s="11">
        <f t="shared" si="51"/>
        <v>7.42</v>
      </c>
      <c r="AH395" s="11">
        <v>0</v>
      </c>
      <c r="AI395" s="11">
        <f t="shared" si="52"/>
        <v>7.42</v>
      </c>
      <c r="AJ395" t="s">
        <v>53</v>
      </c>
    </row>
    <row r="396" spans="1:36" ht="15" customHeight="1" x14ac:dyDescent="0.35">
      <c r="A396">
        <v>7547676</v>
      </c>
      <c r="B396" t="s">
        <v>36</v>
      </c>
      <c r="C396" t="s">
        <v>37</v>
      </c>
      <c r="D396" s="6" t="s">
        <v>36</v>
      </c>
      <c r="E396" t="s">
        <v>1299</v>
      </c>
      <c r="F396" t="s">
        <v>39</v>
      </c>
      <c r="G396" t="s">
        <v>40</v>
      </c>
      <c r="H396" t="s">
        <v>1300</v>
      </c>
      <c r="I396" t="s">
        <v>42</v>
      </c>
      <c r="J396">
        <v>2</v>
      </c>
      <c r="K396" t="s">
        <v>43</v>
      </c>
      <c r="L396" t="s">
        <v>44</v>
      </c>
      <c r="M396" t="s">
        <v>45</v>
      </c>
      <c r="N396" s="7">
        <v>1</v>
      </c>
      <c r="O396" s="8">
        <v>45536.761261574073</v>
      </c>
      <c r="P396" s="9">
        <v>45540</v>
      </c>
      <c r="Q396" t="s">
        <v>46</v>
      </c>
      <c r="R396" t="s">
        <v>47</v>
      </c>
      <c r="S396" t="s">
        <v>48</v>
      </c>
      <c r="T396" t="s">
        <v>644</v>
      </c>
      <c r="U396" t="s">
        <v>1301</v>
      </c>
      <c r="V396">
        <v>96300</v>
      </c>
      <c r="W396" t="s">
        <v>92</v>
      </c>
      <c r="X396" t="s">
        <v>51</v>
      </c>
      <c r="Y396" t="s">
        <v>52</v>
      </c>
      <c r="Z396" s="12">
        <f>IF(N396&lt;=1,13,IF(N396&lt;=2,23,IF(N396&lt;=3,35,IF(N396&lt;=4,43,IF(N396&lt;=5,53,IF(N396&lt;=6,63,IF(N396&lt;=7,71,IF(N396&lt;=8,79,IF(N396&lt;=9,87,IF(N396&lt;=10,95,IF(N396&lt;=11,105,IF(N396&lt;=12,114,IF(N396&lt;=13,119,IF(N396&lt;=14,127,IF(N396&lt;=15,135,IF(N396&lt;=16,143,IF(N396&lt;=17,153,IF(N396&lt;=18,163,IF(N396&lt;=19,171,IF(N396&lt;=20,185,IF(N396&lt;=21,193,IF(N396&lt;=22,201,IF(N396&lt;=23,210,IF(N396&lt;=24,220,IF(N396&lt;=25,230,IF(N396&lt;=26,240,IF(N396&lt;=27,250,IF(N396&lt;=28,260,IF(N396&lt;=29,270,IF(N396&lt;=30,280,280+10*ROUNDUP(N396-30,0)))))))))))))))))))))))))))))))</f>
        <v>13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47"/>
        <v>0.78</v>
      </c>
      <c r="AG396" s="11">
        <f t="shared" si="51"/>
        <v>13.78</v>
      </c>
      <c r="AH396" s="11">
        <v>0</v>
      </c>
      <c r="AI396" s="11">
        <f t="shared" si="52"/>
        <v>13.78</v>
      </c>
      <c r="AJ396" t="s">
        <v>94</v>
      </c>
    </row>
    <row r="397" spans="1:36" ht="15" customHeight="1" x14ac:dyDescent="0.35">
      <c r="A397">
        <v>7547676</v>
      </c>
      <c r="B397" t="s">
        <v>36</v>
      </c>
      <c r="C397" t="s">
        <v>37</v>
      </c>
      <c r="D397" s="6" t="s">
        <v>36</v>
      </c>
      <c r="E397" t="s">
        <v>1302</v>
      </c>
      <c r="F397" t="s">
        <v>39</v>
      </c>
      <c r="G397" t="s">
        <v>40</v>
      </c>
      <c r="H397" t="s">
        <v>345</v>
      </c>
      <c r="I397" t="s">
        <v>42</v>
      </c>
      <c r="J397">
        <v>2</v>
      </c>
      <c r="K397" t="s">
        <v>43</v>
      </c>
      <c r="L397" t="s">
        <v>44</v>
      </c>
      <c r="M397" t="s">
        <v>45</v>
      </c>
      <c r="N397" s="7">
        <v>2</v>
      </c>
      <c r="O397" s="8">
        <v>45538.482905092591</v>
      </c>
      <c r="P397" s="9">
        <v>45540</v>
      </c>
      <c r="Q397" t="s">
        <v>46</v>
      </c>
      <c r="R397" t="s">
        <v>47</v>
      </c>
      <c r="S397" t="s">
        <v>48</v>
      </c>
      <c r="T397" t="s">
        <v>80</v>
      </c>
      <c r="U397" t="s">
        <v>1303</v>
      </c>
      <c r="V397">
        <v>13100</v>
      </c>
      <c r="W397" t="s">
        <v>47</v>
      </c>
      <c r="X397" t="s">
        <v>1298</v>
      </c>
      <c r="Y397" t="s">
        <v>52</v>
      </c>
      <c r="Z397" s="10">
        <f t="shared" ref="Z397" si="53">IF(N397&lt;=1,9,9+0.8*ROUNDUP(N397-1,0))</f>
        <v>9.8000000000000007</v>
      </c>
      <c r="AA397" s="11">
        <v>-2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47"/>
        <v>0.46800000000000003</v>
      </c>
      <c r="AG397" s="11">
        <f t="shared" si="51"/>
        <v>8.2680000000000007</v>
      </c>
      <c r="AH397" s="11">
        <v>0</v>
      </c>
      <c r="AI397" s="11">
        <f t="shared" si="52"/>
        <v>8.2680000000000007</v>
      </c>
      <c r="AJ397" t="s">
        <v>53</v>
      </c>
    </row>
    <row r="398" spans="1:36" ht="15" customHeight="1" x14ac:dyDescent="0.35">
      <c r="A398">
        <v>7547676</v>
      </c>
      <c r="B398" t="s">
        <v>36</v>
      </c>
      <c r="C398" t="s">
        <v>37</v>
      </c>
      <c r="D398" s="6" t="s">
        <v>36</v>
      </c>
      <c r="E398" t="s">
        <v>1304</v>
      </c>
      <c r="F398" t="s">
        <v>39</v>
      </c>
      <c r="G398" t="s">
        <v>40</v>
      </c>
      <c r="H398" t="s">
        <v>643</v>
      </c>
      <c r="I398" t="s">
        <v>42</v>
      </c>
      <c r="J398">
        <v>2</v>
      </c>
      <c r="K398" t="s">
        <v>43</v>
      </c>
      <c r="L398" t="s">
        <v>44</v>
      </c>
      <c r="M398" t="s">
        <v>45</v>
      </c>
      <c r="N398" s="7">
        <v>3</v>
      </c>
      <c r="O398" s="8">
        <v>45536.761261574073</v>
      </c>
      <c r="P398" s="9">
        <v>45540</v>
      </c>
      <c r="Q398" t="s">
        <v>46</v>
      </c>
      <c r="R398" t="s">
        <v>47</v>
      </c>
      <c r="S398" t="s">
        <v>48</v>
      </c>
      <c r="T398" t="s">
        <v>644</v>
      </c>
      <c r="U398" t="s">
        <v>645</v>
      </c>
      <c r="V398">
        <v>94650</v>
      </c>
      <c r="W398" t="s">
        <v>92</v>
      </c>
      <c r="X398" t="s">
        <v>646</v>
      </c>
      <c r="Y398" t="s">
        <v>52</v>
      </c>
      <c r="Z398" s="12">
        <f>IF(N398&lt;=1,13,IF(N398&lt;=2,23,IF(N398&lt;=3,35,IF(N398&lt;=4,43,IF(N398&lt;=5,53,IF(N398&lt;=6,63,IF(N398&lt;=7,71,IF(N398&lt;=8,79,IF(N398&lt;=9,87,IF(N398&lt;=10,95,IF(N398&lt;=11,105,IF(N398&lt;=12,114,IF(N398&lt;=13,119,IF(N398&lt;=14,127,IF(N398&lt;=15,135,IF(N398&lt;=16,143,IF(N398&lt;=17,153,IF(N398&lt;=18,163,IF(N398&lt;=19,171,IF(N398&lt;=20,185,IF(N398&lt;=21,193,IF(N398&lt;=22,201,IF(N398&lt;=23,210,IF(N398&lt;=24,220,IF(N398&lt;=25,230,IF(N398&lt;=26,240,IF(N398&lt;=27,250,IF(N398&lt;=28,260,IF(N398&lt;=29,270,IF(N398&lt;=30,280,280+10*ROUNDUP(N398-30,0)))))))))))))))))))))))))))))))</f>
        <v>35</v>
      </c>
      <c r="AA398" s="11">
        <v>0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ref="AF398:AF461" si="54">(Z398+AA398+AC398+AE398)*6%</f>
        <v>2.1</v>
      </c>
      <c r="AG398" s="11">
        <f t="shared" si="51"/>
        <v>37.1</v>
      </c>
      <c r="AH398" s="11">
        <v>0</v>
      </c>
      <c r="AI398" s="11">
        <f t="shared" si="52"/>
        <v>37.1</v>
      </c>
      <c r="AJ398" t="s">
        <v>94</v>
      </c>
    </row>
    <row r="399" spans="1:36" ht="15" customHeight="1" x14ac:dyDescent="0.35">
      <c r="A399">
        <v>7547676</v>
      </c>
      <c r="B399" t="s">
        <v>36</v>
      </c>
      <c r="C399" t="s">
        <v>37</v>
      </c>
      <c r="D399" s="6" t="s">
        <v>36</v>
      </c>
      <c r="E399" t="s">
        <v>1305</v>
      </c>
      <c r="F399" t="s">
        <v>39</v>
      </c>
      <c r="G399" t="s">
        <v>40</v>
      </c>
      <c r="H399" t="s">
        <v>1306</v>
      </c>
      <c r="I399" t="s">
        <v>42</v>
      </c>
      <c r="J399">
        <v>2</v>
      </c>
      <c r="K399" t="s">
        <v>43</v>
      </c>
      <c r="L399" t="s">
        <v>44</v>
      </c>
      <c r="M399" t="s">
        <v>45</v>
      </c>
      <c r="N399" s="7">
        <v>1</v>
      </c>
      <c r="O399" s="8">
        <v>45539.733136574076</v>
      </c>
      <c r="P399" s="9">
        <v>45540</v>
      </c>
      <c r="Q399" t="s">
        <v>46</v>
      </c>
      <c r="R399" t="s">
        <v>47</v>
      </c>
      <c r="S399" t="s">
        <v>48</v>
      </c>
      <c r="T399" t="s">
        <v>278</v>
      </c>
      <c r="U399" t="s">
        <v>1307</v>
      </c>
      <c r="V399">
        <v>27600</v>
      </c>
      <c r="W399" t="s">
        <v>47</v>
      </c>
      <c r="X399" t="s">
        <v>188</v>
      </c>
      <c r="Y399" t="s">
        <v>52</v>
      </c>
      <c r="Z399" s="10">
        <f t="shared" ref="Z399:Z413" si="55">IF(N399&lt;=1,9,9+0.8*ROUNDUP(N399-1,0))</f>
        <v>9</v>
      </c>
      <c r="AA399" s="11">
        <v>-2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54"/>
        <v>0.42</v>
      </c>
      <c r="AG399" s="11">
        <f t="shared" si="51"/>
        <v>7.42</v>
      </c>
      <c r="AH399" s="11">
        <v>0</v>
      </c>
      <c r="AI399" s="11">
        <f t="shared" si="52"/>
        <v>7.42</v>
      </c>
      <c r="AJ399" t="s">
        <v>53</v>
      </c>
    </row>
    <row r="400" spans="1:36" ht="15" customHeight="1" x14ac:dyDescent="0.35">
      <c r="A400">
        <v>7547676</v>
      </c>
      <c r="B400" t="s">
        <v>36</v>
      </c>
      <c r="C400" t="s">
        <v>37</v>
      </c>
      <c r="D400" s="6" t="s">
        <v>36</v>
      </c>
      <c r="E400" t="s">
        <v>1308</v>
      </c>
      <c r="F400" t="s">
        <v>39</v>
      </c>
      <c r="G400" t="s">
        <v>40</v>
      </c>
      <c r="H400" t="s">
        <v>1309</v>
      </c>
      <c r="I400" t="s">
        <v>42</v>
      </c>
      <c r="J400">
        <v>2</v>
      </c>
      <c r="K400" t="s">
        <v>43</v>
      </c>
      <c r="L400" t="s">
        <v>44</v>
      </c>
      <c r="M400" t="s">
        <v>45</v>
      </c>
      <c r="N400" s="7">
        <v>1</v>
      </c>
      <c r="O400" s="8">
        <v>45538.499236111114</v>
      </c>
      <c r="P400" s="9">
        <v>45540</v>
      </c>
      <c r="Q400" t="s">
        <v>46</v>
      </c>
      <c r="R400" t="s">
        <v>47</v>
      </c>
      <c r="S400" t="s">
        <v>48</v>
      </c>
      <c r="T400" t="s">
        <v>123</v>
      </c>
      <c r="U400" t="s">
        <v>1310</v>
      </c>
      <c r="V400">
        <v>41000</v>
      </c>
      <c r="W400" t="s">
        <v>47</v>
      </c>
      <c r="X400" t="s">
        <v>51</v>
      </c>
      <c r="Y400" t="s">
        <v>52</v>
      </c>
      <c r="Z400" s="10">
        <f t="shared" si="55"/>
        <v>9</v>
      </c>
      <c r="AA400" s="11">
        <v>-2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54"/>
        <v>0.42</v>
      </c>
      <c r="AG400" s="11">
        <f t="shared" si="51"/>
        <v>7.42</v>
      </c>
      <c r="AH400" s="11">
        <v>0</v>
      </c>
      <c r="AI400" s="11">
        <f t="shared" si="52"/>
        <v>7.42</v>
      </c>
      <c r="AJ400" t="s">
        <v>53</v>
      </c>
    </row>
    <row r="401" spans="1:36" ht="15" customHeight="1" x14ac:dyDescent="0.35">
      <c r="A401">
        <v>7547676</v>
      </c>
      <c r="B401" t="s">
        <v>36</v>
      </c>
      <c r="C401" t="s">
        <v>37</v>
      </c>
      <c r="D401" s="6" t="s">
        <v>36</v>
      </c>
      <c r="E401" t="s">
        <v>1311</v>
      </c>
      <c r="F401" t="s">
        <v>39</v>
      </c>
      <c r="G401" t="s">
        <v>40</v>
      </c>
      <c r="H401" t="s">
        <v>1312</v>
      </c>
      <c r="I401" t="s">
        <v>42</v>
      </c>
      <c r="J401">
        <v>2</v>
      </c>
      <c r="K401" t="s">
        <v>43</v>
      </c>
      <c r="L401" t="s">
        <v>44</v>
      </c>
      <c r="M401" t="s">
        <v>45</v>
      </c>
      <c r="N401" s="7">
        <v>1</v>
      </c>
      <c r="O401" s="8">
        <v>45538.486701388887</v>
      </c>
      <c r="P401" s="9">
        <v>45540</v>
      </c>
      <c r="Q401" t="s">
        <v>46</v>
      </c>
      <c r="R401" t="s">
        <v>47</v>
      </c>
      <c r="S401" t="s">
        <v>48</v>
      </c>
      <c r="T401" t="s">
        <v>123</v>
      </c>
      <c r="U401" t="s">
        <v>1313</v>
      </c>
      <c r="V401">
        <v>47170</v>
      </c>
      <c r="W401" t="s">
        <v>47</v>
      </c>
      <c r="X401" t="s">
        <v>262</v>
      </c>
      <c r="Y401" t="s">
        <v>52</v>
      </c>
      <c r="Z401" s="10">
        <f t="shared" si="55"/>
        <v>9</v>
      </c>
      <c r="AA401" s="11">
        <v>-2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54"/>
        <v>0.42</v>
      </c>
      <c r="AG401" s="11">
        <f t="shared" si="51"/>
        <v>7.42</v>
      </c>
      <c r="AH401" s="11">
        <v>0</v>
      </c>
      <c r="AI401" s="11">
        <f t="shared" si="52"/>
        <v>7.42</v>
      </c>
      <c r="AJ401" t="s">
        <v>53</v>
      </c>
    </row>
    <row r="402" spans="1:36" ht="15" customHeight="1" x14ac:dyDescent="0.35">
      <c r="A402">
        <v>7547676</v>
      </c>
      <c r="B402" t="s">
        <v>36</v>
      </c>
      <c r="C402" t="s">
        <v>37</v>
      </c>
      <c r="D402" s="6" t="s">
        <v>36</v>
      </c>
      <c r="E402" t="s">
        <v>1314</v>
      </c>
      <c r="F402" t="s">
        <v>39</v>
      </c>
      <c r="G402" t="s">
        <v>40</v>
      </c>
      <c r="H402" t="s">
        <v>1315</v>
      </c>
      <c r="I402" t="s">
        <v>42</v>
      </c>
      <c r="J402">
        <v>2</v>
      </c>
      <c r="K402" t="s">
        <v>43</v>
      </c>
      <c r="L402" t="s">
        <v>44</v>
      </c>
      <c r="M402" t="s">
        <v>45</v>
      </c>
      <c r="N402" s="7">
        <v>1</v>
      </c>
      <c r="O402" s="8">
        <v>45539.713425925926</v>
      </c>
      <c r="P402" s="9">
        <v>45540</v>
      </c>
      <c r="Q402" t="s">
        <v>46</v>
      </c>
      <c r="R402" t="s">
        <v>47</v>
      </c>
      <c r="S402" t="s">
        <v>48</v>
      </c>
      <c r="T402" t="s">
        <v>75</v>
      </c>
      <c r="U402" t="s">
        <v>1316</v>
      </c>
      <c r="V402">
        <v>15200</v>
      </c>
      <c r="W402" t="s">
        <v>47</v>
      </c>
      <c r="X402" t="s">
        <v>145</v>
      </c>
      <c r="Y402" t="s">
        <v>52</v>
      </c>
      <c r="Z402" s="10">
        <f t="shared" si="55"/>
        <v>9</v>
      </c>
      <c r="AA402" s="11">
        <v>-2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54"/>
        <v>0.42</v>
      </c>
      <c r="AG402" s="11">
        <f t="shared" si="51"/>
        <v>7.42</v>
      </c>
      <c r="AH402" s="11">
        <v>0</v>
      </c>
      <c r="AI402" s="11">
        <f t="shared" si="52"/>
        <v>7.42</v>
      </c>
      <c r="AJ402" t="s">
        <v>53</v>
      </c>
    </row>
    <row r="403" spans="1:36" ht="15" customHeight="1" x14ac:dyDescent="0.35">
      <c r="A403">
        <v>7547676</v>
      </c>
      <c r="B403" t="s">
        <v>36</v>
      </c>
      <c r="C403" t="s">
        <v>37</v>
      </c>
      <c r="D403" s="6" t="s">
        <v>36</v>
      </c>
      <c r="E403" t="s">
        <v>1317</v>
      </c>
      <c r="F403" t="s">
        <v>39</v>
      </c>
      <c r="G403" t="s">
        <v>40</v>
      </c>
      <c r="H403" t="s">
        <v>1318</v>
      </c>
      <c r="I403" t="s">
        <v>42</v>
      </c>
      <c r="J403">
        <v>2</v>
      </c>
      <c r="K403" t="s">
        <v>43</v>
      </c>
      <c r="L403" t="s">
        <v>44</v>
      </c>
      <c r="M403" t="s">
        <v>45</v>
      </c>
      <c r="N403" s="7">
        <v>6</v>
      </c>
      <c r="O403" s="8">
        <v>45539.579050925924</v>
      </c>
      <c r="P403" s="9">
        <v>45541</v>
      </c>
      <c r="Q403" t="s">
        <v>46</v>
      </c>
      <c r="R403" t="s">
        <v>47</v>
      </c>
      <c r="S403" t="s">
        <v>48</v>
      </c>
      <c r="T403" t="s">
        <v>136</v>
      </c>
      <c r="U403" t="s">
        <v>1319</v>
      </c>
      <c r="V403">
        <v>31550</v>
      </c>
      <c r="W403" t="s">
        <v>47</v>
      </c>
      <c r="X403" t="s">
        <v>286</v>
      </c>
      <c r="Y403" t="s">
        <v>52</v>
      </c>
      <c r="Z403" s="10">
        <f t="shared" si="55"/>
        <v>13</v>
      </c>
      <c r="AA403" s="11">
        <v>-2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54"/>
        <v>0.65999999999999992</v>
      </c>
      <c r="AG403" s="11">
        <f t="shared" si="51"/>
        <v>11.66</v>
      </c>
      <c r="AH403" s="11">
        <v>0</v>
      </c>
      <c r="AI403" s="11">
        <f t="shared" si="52"/>
        <v>11.66</v>
      </c>
      <c r="AJ403" t="s">
        <v>53</v>
      </c>
    </row>
    <row r="404" spans="1:36" ht="15" customHeight="1" x14ac:dyDescent="0.35">
      <c r="A404">
        <v>7547676</v>
      </c>
      <c r="B404" t="s">
        <v>36</v>
      </c>
      <c r="C404" t="s">
        <v>37</v>
      </c>
      <c r="D404" s="6" t="s">
        <v>36</v>
      </c>
      <c r="E404" t="s">
        <v>1320</v>
      </c>
      <c r="F404" t="s">
        <v>39</v>
      </c>
      <c r="G404" t="s">
        <v>40</v>
      </c>
      <c r="H404" t="s">
        <v>1321</v>
      </c>
      <c r="I404" t="s">
        <v>42</v>
      </c>
      <c r="J404">
        <v>2</v>
      </c>
      <c r="K404" t="s">
        <v>43</v>
      </c>
      <c r="L404" t="s">
        <v>44</v>
      </c>
      <c r="M404" t="s">
        <v>45</v>
      </c>
      <c r="N404" s="7">
        <v>1</v>
      </c>
      <c r="O404" s="8">
        <v>45540.552048611113</v>
      </c>
      <c r="P404" s="9">
        <v>45541</v>
      </c>
      <c r="Q404" t="s">
        <v>46</v>
      </c>
      <c r="R404" t="s">
        <v>47</v>
      </c>
      <c r="S404" t="s">
        <v>48</v>
      </c>
      <c r="T404" t="s">
        <v>278</v>
      </c>
      <c r="U404" t="s">
        <v>1322</v>
      </c>
      <c r="V404">
        <v>28700</v>
      </c>
      <c r="W404" t="s">
        <v>47</v>
      </c>
      <c r="X404" t="s">
        <v>188</v>
      </c>
      <c r="Y404" t="s">
        <v>52</v>
      </c>
      <c r="Z404" s="10">
        <f t="shared" si="55"/>
        <v>9</v>
      </c>
      <c r="AA404" s="11">
        <v>-2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54"/>
        <v>0.42</v>
      </c>
      <c r="AG404" s="11">
        <f t="shared" si="51"/>
        <v>7.42</v>
      </c>
      <c r="AH404" s="11">
        <v>0</v>
      </c>
      <c r="AI404" s="11">
        <f t="shared" si="52"/>
        <v>7.42</v>
      </c>
      <c r="AJ404" t="s">
        <v>53</v>
      </c>
    </row>
    <row r="405" spans="1:36" ht="15" customHeight="1" x14ac:dyDescent="0.35">
      <c r="A405">
        <v>7547676</v>
      </c>
      <c r="B405" t="s">
        <v>36</v>
      </c>
      <c r="C405" t="s">
        <v>37</v>
      </c>
      <c r="D405" s="6" t="s">
        <v>36</v>
      </c>
      <c r="E405" t="s">
        <v>1323</v>
      </c>
      <c r="F405" t="s">
        <v>39</v>
      </c>
      <c r="G405" t="s">
        <v>40</v>
      </c>
      <c r="H405" t="s">
        <v>1324</v>
      </c>
      <c r="I405" t="s">
        <v>42</v>
      </c>
      <c r="J405">
        <v>2</v>
      </c>
      <c r="K405" t="s">
        <v>43</v>
      </c>
      <c r="L405" t="s">
        <v>44</v>
      </c>
      <c r="M405" t="s">
        <v>45</v>
      </c>
      <c r="N405" s="7">
        <v>2</v>
      </c>
      <c r="O405" s="8">
        <v>45538.852326388886</v>
      </c>
      <c r="P405" s="9">
        <v>45541</v>
      </c>
      <c r="Q405" t="s">
        <v>46</v>
      </c>
      <c r="R405" t="s">
        <v>47</v>
      </c>
      <c r="S405" t="s">
        <v>48</v>
      </c>
      <c r="T405" t="s">
        <v>210</v>
      </c>
      <c r="U405" t="s">
        <v>1325</v>
      </c>
      <c r="V405">
        <v>71450</v>
      </c>
      <c r="W405" t="s">
        <v>47</v>
      </c>
      <c r="X405" t="s">
        <v>51</v>
      </c>
      <c r="Y405" t="s">
        <v>52</v>
      </c>
      <c r="Z405" s="10">
        <f t="shared" si="55"/>
        <v>9.8000000000000007</v>
      </c>
      <c r="AA405" s="11">
        <v>-2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54"/>
        <v>0.46800000000000003</v>
      </c>
      <c r="AG405" s="11">
        <f t="shared" si="51"/>
        <v>8.2680000000000007</v>
      </c>
      <c r="AH405" s="11">
        <v>0</v>
      </c>
      <c r="AI405" s="11">
        <f t="shared" si="52"/>
        <v>8.2680000000000007</v>
      </c>
      <c r="AJ405" t="s">
        <v>53</v>
      </c>
    </row>
    <row r="406" spans="1:36" ht="15" customHeight="1" x14ac:dyDescent="0.35">
      <c r="A406">
        <v>7547676</v>
      </c>
      <c r="B406" t="s">
        <v>36</v>
      </c>
      <c r="C406" t="s">
        <v>37</v>
      </c>
      <c r="D406" s="6" t="s">
        <v>36</v>
      </c>
      <c r="E406" t="s">
        <v>1326</v>
      </c>
      <c r="F406" t="s">
        <v>39</v>
      </c>
      <c r="G406" t="s">
        <v>40</v>
      </c>
      <c r="H406" t="s">
        <v>1327</v>
      </c>
      <c r="I406" t="s">
        <v>42</v>
      </c>
      <c r="J406">
        <v>2</v>
      </c>
      <c r="K406" t="s">
        <v>43</v>
      </c>
      <c r="L406" t="s">
        <v>44</v>
      </c>
      <c r="M406" t="s">
        <v>45</v>
      </c>
      <c r="N406" s="7">
        <v>1</v>
      </c>
      <c r="O406" s="8">
        <v>45540.713263888887</v>
      </c>
      <c r="P406" s="9">
        <v>45541</v>
      </c>
      <c r="Q406" t="s">
        <v>46</v>
      </c>
      <c r="R406" t="s">
        <v>47</v>
      </c>
      <c r="S406" t="s">
        <v>48</v>
      </c>
      <c r="T406" t="s">
        <v>61</v>
      </c>
      <c r="U406" t="s">
        <v>733</v>
      </c>
      <c r="V406">
        <v>21300</v>
      </c>
      <c r="W406" t="s">
        <v>47</v>
      </c>
      <c r="X406" t="s">
        <v>1328</v>
      </c>
      <c r="Y406" t="s">
        <v>52</v>
      </c>
      <c r="Z406" s="10">
        <f t="shared" si="55"/>
        <v>9</v>
      </c>
      <c r="AA406" s="11">
        <v>-2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54"/>
        <v>0.42</v>
      </c>
      <c r="AG406" s="11">
        <f t="shared" si="51"/>
        <v>7.42</v>
      </c>
      <c r="AH406" s="11">
        <v>0</v>
      </c>
      <c r="AI406" s="11">
        <f t="shared" si="52"/>
        <v>7.42</v>
      </c>
      <c r="AJ406" t="s">
        <v>53</v>
      </c>
    </row>
    <row r="407" spans="1:36" ht="15" customHeight="1" x14ac:dyDescent="0.35">
      <c r="A407">
        <v>7547676</v>
      </c>
      <c r="B407" t="s">
        <v>36</v>
      </c>
      <c r="C407" t="s">
        <v>37</v>
      </c>
      <c r="D407" s="6" t="s">
        <v>36</v>
      </c>
      <c r="E407" t="s">
        <v>1329</v>
      </c>
      <c r="F407" t="s">
        <v>39</v>
      </c>
      <c r="G407" t="s">
        <v>40</v>
      </c>
      <c r="H407" t="s">
        <v>1330</v>
      </c>
      <c r="I407" t="s">
        <v>42</v>
      </c>
      <c r="J407">
        <v>2</v>
      </c>
      <c r="K407" t="s">
        <v>43</v>
      </c>
      <c r="L407" t="s">
        <v>44</v>
      </c>
      <c r="M407" t="s">
        <v>45</v>
      </c>
      <c r="N407" s="7">
        <v>1</v>
      </c>
      <c r="O407" s="8">
        <v>45538.499236111114</v>
      </c>
      <c r="P407" s="9">
        <v>45541</v>
      </c>
      <c r="Q407" t="s">
        <v>46</v>
      </c>
      <c r="R407" t="s">
        <v>47</v>
      </c>
      <c r="S407" t="s">
        <v>48</v>
      </c>
      <c r="T407" t="s">
        <v>56</v>
      </c>
      <c r="U407" t="s">
        <v>1331</v>
      </c>
      <c r="V407">
        <v>34950</v>
      </c>
      <c r="W407" t="s">
        <v>47</v>
      </c>
      <c r="X407" t="s">
        <v>51</v>
      </c>
      <c r="Y407" t="s">
        <v>52</v>
      </c>
      <c r="Z407" s="10">
        <f t="shared" si="55"/>
        <v>9</v>
      </c>
      <c r="AA407" s="11">
        <v>-2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54"/>
        <v>0.42</v>
      </c>
      <c r="AG407" s="11">
        <f t="shared" si="51"/>
        <v>7.42</v>
      </c>
      <c r="AH407" s="11">
        <v>0</v>
      </c>
      <c r="AI407" s="11">
        <f t="shared" si="52"/>
        <v>7.42</v>
      </c>
      <c r="AJ407" t="s">
        <v>53</v>
      </c>
    </row>
    <row r="408" spans="1:36" ht="15" customHeight="1" x14ac:dyDescent="0.35">
      <c r="A408">
        <v>7547676</v>
      </c>
      <c r="B408" t="s">
        <v>36</v>
      </c>
      <c r="C408" t="s">
        <v>37</v>
      </c>
      <c r="D408" s="6" t="s">
        <v>36</v>
      </c>
      <c r="E408" t="s">
        <v>1332</v>
      </c>
      <c r="F408" t="s">
        <v>39</v>
      </c>
      <c r="G408" t="s">
        <v>40</v>
      </c>
      <c r="H408" t="s">
        <v>1333</v>
      </c>
      <c r="I408" t="s">
        <v>42</v>
      </c>
      <c r="J408">
        <v>2</v>
      </c>
      <c r="K408" t="s">
        <v>43</v>
      </c>
      <c r="L408" t="s">
        <v>44</v>
      </c>
      <c r="M408" t="s">
        <v>45</v>
      </c>
      <c r="N408" s="7">
        <v>1</v>
      </c>
      <c r="O408" s="8">
        <v>45539.719178240739</v>
      </c>
      <c r="P408" s="9">
        <v>45541</v>
      </c>
      <c r="Q408" t="s">
        <v>46</v>
      </c>
      <c r="R408" t="s">
        <v>47</v>
      </c>
      <c r="S408" t="s">
        <v>48</v>
      </c>
      <c r="T408" t="s">
        <v>49</v>
      </c>
      <c r="U408" t="s">
        <v>1334</v>
      </c>
      <c r="V408">
        <v>62250</v>
      </c>
      <c r="W408" t="s">
        <v>47</v>
      </c>
      <c r="X408" t="s">
        <v>162</v>
      </c>
      <c r="Y408" t="s">
        <v>52</v>
      </c>
      <c r="Z408" s="10">
        <f t="shared" si="55"/>
        <v>9</v>
      </c>
      <c r="AA408" s="11">
        <v>-2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54"/>
        <v>0.42</v>
      </c>
      <c r="AG408" s="11">
        <f t="shared" si="51"/>
        <v>7.42</v>
      </c>
      <c r="AH408" s="11">
        <v>0</v>
      </c>
      <c r="AI408" s="11">
        <f t="shared" si="52"/>
        <v>7.42</v>
      </c>
      <c r="AJ408" t="s">
        <v>53</v>
      </c>
    </row>
    <row r="409" spans="1:36" ht="15" customHeight="1" x14ac:dyDescent="0.35">
      <c r="A409">
        <v>7547676</v>
      </c>
      <c r="B409" t="s">
        <v>36</v>
      </c>
      <c r="C409" t="s">
        <v>37</v>
      </c>
      <c r="D409" s="6" t="s">
        <v>36</v>
      </c>
      <c r="E409" t="s">
        <v>1335</v>
      </c>
      <c r="F409" t="s">
        <v>39</v>
      </c>
      <c r="G409" t="s">
        <v>40</v>
      </c>
      <c r="H409" t="s">
        <v>1336</v>
      </c>
      <c r="I409" t="s">
        <v>42</v>
      </c>
      <c r="J409">
        <v>2</v>
      </c>
      <c r="K409" t="s">
        <v>43</v>
      </c>
      <c r="L409" t="s">
        <v>44</v>
      </c>
      <c r="M409" t="s">
        <v>45</v>
      </c>
      <c r="N409" s="7">
        <v>3</v>
      </c>
      <c r="O409" s="8">
        <v>45538.751770833333</v>
      </c>
      <c r="P409" s="9">
        <v>45541</v>
      </c>
      <c r="Q409" t="s">
        <v>46</v>
      </c>
      <c r="R409" t="s">
        <v>47</v>
      </c>
      <c r="S409" t="s">
        <v>48</v>
      </c>
      <c r="T409" t="s">
        <v>241</v>
      </c>
      <c r="U409" t="s">
        <v>1337</v>
      </c>
      <c r="V409">
        <v>1000</v>
      </c>
      <c r="W409" t="s">
        <v>47</v>
      </c>
      <c r="X409" t="s">
        <v>1338</v>
      </c>
      <c r="Y409" t="s">
        <v>52</v>
      </c>
      <c r="Z409" s="10">
        <f t="shared" si="55"/>
        <v>10.6</v>
      </c>
      <c r="AA409" s="11">
        <v>-2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54"/>
        <v>0.51600000000000001</v>
      </c>
      <c r="AG409" s="11">
        <f t="shared" si="51"/>
        <v>9.1159999999999997</v>
      </c>
      <c r="AH409" s="11">
        <v>0</v>
      </c>
      <c r="AI409" s="11">
        <f t="shared" si="52"/>
        <v>9.1159999999999997</v>
      </c>
      <c r="AJ409" t="s">
        <v>53</v>
      </c>
    </row>
    <row r="410" spans="1:36" ht="15" customHeight="1" x14ac:dyDescent="0.35">
      <c r="A410">
        <v>7547676</v>
      </c>
      <c r="B410" t="s">
        <v>36</v>
      </c>
      <c r="C410" t="s">
        <v>37</v>
      </c>
      <c r="D410" s="6" t="s">
        <v>36</v>
      </c>
      <c r="E410" t="s">
        <v>1339</v>
      </c>
      <c r="F410" t="s">
        <v>39</v>
      </c>
      <c r="G410" t="s">
        <v>40</v>
      </c>
      <c r="H410" t="s">
        <v>1340</v>
      </c>
      <c r="I410" t="s">
        <v>42</v>
      </c>
      <c r="J410">
        <v>2</v>
      </c>
      <c r="K410" t="s">
        <v>43</v>
      </c>
      <c r="L410" t="s">
        <v>44</v>
      </c>
      <c r="M410" t="s">
        <v>45</v>
      </c>
      <c r="N410" s="7">
        <v>1</v>
      </c>
      <c r="O410" s="8">
        <v>45538.730173611111</v>
      </c>
      <c r="P410" s="9">
        <v>45541</v>
      </c>
      <c r="Q410" t="s">
        <v>46</v>
      </c>
      <c r="R410" t="s">
        <v>47</v>
      </c>
      <c r="S410" t="s">
        <v>48</v>
      </c>
      <c r="T410" t="s">
        <v>123</v>
      </c>
      <c r="U410" t="s">
        <v>1341</v>
      </c>
      <c r="V410">
        <v>40150</v>
      </c>
      <c r="W410" t="s">
        <v>47</v>
      </c>
      <c r="X410" t="s">
        <v>51</v>
      </c>
      <c r="Y410" t="s">
        <v>52</v>
      </c>
      <c r="Z410" s="10">
        <f t="shared" si="55"/>
        <v>9</v>
      </c>
      <c r="AA410" s="11">
        <v>-2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54"/>
        <v>0.42</v>
      </c>
      <c r="AG410" s="11">
        <f t="shared" si="51"/>
        <v>7.42</v>
      </c>
      <c r="AH410" s="11">
        <v>0</v>
      </c>
      <c r="AI410" s="11">
        <f t="shared" si="52"/>
        <v>7.42</v>
      </c>
      <c r="AJ410" t="s">
        <v>53</v>
      </c>
    </row>
    <row r="411" spans="1:36" ht="15" customHeight="1" x14ac:dyDescent="0.35">
      <c r="A411">
        <v>7547676</v>
      </c>
      <c r="B411" t="s">
        <v>36</v>
      </c>
      <c r="C411" t="s">
        <v>37</v>
      </c>
      <c r="D411" s="6" t="s">
        <v>36</v>
      </c>
      <c r="E411" t="s">
        <v>1342</v>
      </c>
      <c r="F411" t="s">
        <v>39</v>
      </c>
      <c r="G411" t="s">
        <v>40</v>
      </c>
      <c r="H411" t="s">
        <v>1343</v>
      </c>
      <c r="I411" t="s">
        <v>42</v>
      </c>
      <c r="J411">
        <v>2</v>
      </c>
      <c r="K411" t="s">
        <v>43</v>
      </c>
      <c r="L411" t="s">
        <v>44</v>
      </c>
      <c r="M411" t="s">
        <v>45</v>
      </c>
      <c r="N411" s="7">
        <v>1</v>
      </c>
      <c r="O411" s="8">
        <v>45539.851122685184</v>
      </c>
      <c r="P411" s="9">
        <v>45541</v>
      </c>
      <c r="Q411" t="s">
        <v>46</v>
      </c>
      <c r="R411" t="s">
        <v>47</v>
      </c>
      <c r="S411" t="s">
        <v>48</v>
      </c>
      <c r="T411" t="s">
        <v>278</v>
      </c>
      <c r="U411" t="s">
        <v>1344</v>
      </c>
      <c r="V411">
        <v>25150</v>
      </c>
      <c r="W411" t="s">
        <v>47</v>
      </c>
      <c r="X411" t="s">
        <v>188</v>
      </c>
      <c r="Y411" t="s">
        <v>52</v>
      </c>
      <c r="Z411" s="10">
        <f t="shared" si="55"/>
        <v>9</v>
      </c>
      <c r="AA411" s="11">
        <v>-2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54"/>
        <v>0.42</v>
      </c>
      <c r="AG411" s="11">
        <f t="shared" si="51"/>
        <v>7.42</v>
      </c>
      <c r="AH411" s="11">
        <v>0</v>
      </c>
      <c r="AI411" s="11">
        <f t="shared" si="52"/>
        <v>7.42</v>
      </c>
      <c r="AJ411" t="s">
        <v>53</v>
      </c>
    </row>
    <row r="412" spans="1:36" ht="15" customHeight="1" x14ac:dyDescent="0.35">
      <c r="A412">
        <v>7547676</v>
      </c>
      <c r="B412" t="s">
        <v>36</v>
      </c>
      <c r="C412" t="s">
        <v>37</v>
      </c>
      <c r="D412" s="6" t="s">
        <v>36</v>
      </c>
      <c r="E412" t="s">
        <v>1345</v>
      </c>
      <c r="F412" t="s">
        <v>39</v>
      </c>
      <c r="G412" t="s">
        <v>40</v>
      </c>
      <c r="H412" t="s">
        <v>1346</v>
      </c>
      <c r="I412" t="s">
        <v>42</v>
      </c>
      <c r="J412">
        <v>2</v>
      </c>
      <c r="K412" t="s">
        <v>43</v>
      </c>
      <c r="L412" t="s">
        <v>44</v>
      </c>
      <c r="M412" t="s">
        <v>45</v>
      </c>
      <c r="N412" s="7">
        <v>1</v>
      </c>
      <c r="O412" s="8">
        <v>45540.732222222221</v>
      </c>
      <c r="P412" s="9">
        <v>45541</v>
      </c>
      <c r="Q412" t="s">
        <v>46</v>
      </c>
      <c r="R412" t="s">
        <v>47</v>
      </c>
      <c r="S412" t="s">
        <v>48</v>
      </c>
      <c r="T412" t="s">
        <v>278</v>
      </c>
      <c r="U412" t="s">
        <v>1347</v>
      </c>
      <c r="V412">
        <v>26400</v>
      </c>
      <c r="W412" t="s">
        <v>47</v>
      </c>
      <c r="X412" t="s">
        <v>188</v>
      </c>
      <c r="Y412" t="s">
        <v>52</v>
      </c>
      <c r="Z412" s="10">
        <f t="shared" si="55"/>
        <v>9</v>
      </c>
      <c r="AA412" s="11">
        <v>-2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54"/>
        <v>0.42</v>
      </c>
      <c r="AG412" s="11">
        <f t="shared" si="51"/>
        <v>7.42</v>
      </c>
      <c r="AH412" s="11">
        <v>0</v>
      </c>
      <c r="AI412" s="11">
        <f t="shared" si="52"/>
        <v>7.42</v>
      </c>
      <c r="AJ412" t="s">
        <v>53</v>
      </c>
    </row>
    <row r="413" spans="1:36" ht="15" customHeight="1" x14ac:dyDescent="0.35">
      <c r="A413">
        <v>7547676</v>
      </c>
      <c r="B413" t="s">
        <v>36</v>
      </c>
      <c r="C413" t="s">
        <v>37</v>
      </c>
      <c r="D413" s="6" t="s">
        <v>36</v>
      </c>
      <c r="E413" t="s">
        <v>1348</v>
      </c>
      <c r="F413" t="s">
        <v>39</v>
      </c>
      <c r="G413" t="s">
        <v>40</v>
      </c>
      <c r="H413" t="s">
        <v>583</v>
      </c>
      <c r="I413" t="s">
        <v>42</v>
      </c>
      <c r="J413">
        <v>2</v>
      </c>
      <c r="K413" t="s">
        <v>43</v>
      </c>
      <c r="L413" t="s">
        <v>44</v>
      </c>
      <c r="M413" t="s">
        <v>45</v>
      </c>
      <c r="N413" s="7">
        <v>1</v>
      </c>
      <c r="O413" s="8">
        <v>45538.780312499999</v>
      </c>
      <c r="P413" s="9">
        <v>45541</v>
      </c>
      <c r="Q413" t="s">
        <v>46</v>
      </c>
      <c r="R413" t="s">
        <v>47</v>
      </c>
      <c r="S413" t="s">
        <v>48</v>
      </c>
      <c r="T413" t="s">
        <v>123</v>
      </c>
      <c r="U413" t="s">
        <v>584</v>
      </c>
      <c r="V413">
        <v>62604</v>
      </c>
      <c r="W413" t="s">
        <v>47</v>
      </c>
      <c r="X413" t="s">
        <v>162</v>
      </c>
      <c r="Y413" t="s">
        <v>52</v>
      </c>
      <c r="Z413" s="10">
        <f t="shared" si="55"/>
        <v>9</v>
      </c>
      <c r="AA413" s="11">
        <v>-2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54"/>
        <v>0.42</v>
      </c>
      <c r="AG413" s="11">
        <f t="shared" si="51"/>
        <v>7.42</v>
      </c>
      <c r="AH413" s="11">
        <v>0</v>
      </c>
      <c r="AI413" s="11">
        <f t="shared" si="52"/>
        <v>7.42</v>
      </c>
      <c r="AJ413" t="s">
        <v>53</v>
      </c>
    </row>
    <row r="414" spans="1:36" ht="15" customHeight="1" x14ac:dyDescent="0.35">
      <c r="A414">
        <v>7547676</v>
      </c>
      <c r="B414" t="s">
        <v>36</v>
      </c>
      <c r="C414" t="s">
        <v>37</v>
      </c>
      <c r="D414" s="6" t="s">
        <v>36</v>
      </c>
      <c r="E414" t="s">
        <v>1349</v>
      </c>
      <c r="F414" t="s">
        <v>39</v>
      </c>
      <c r="G414" t="s">
        <v>40</v>
      </c>
      <c r="H414" t="s">
        <v>1350</v>
      </c>
      <c r="I414" t="s">
        <v>42</v>
      </c>
      <c r="J414">
        <v>2</v>
      </c>
      <c r="K414" t="s">
        <v>43</v>
      </c>
      <c r="L414" t="s">
        <v>44</v>
      </c>
      <c r="M414" t="s">
        <v>45</v>
      </c>
      <c r="N414" s="7">
        <v>2</v>
      </c>
      <c r="O414" s="8">
        <v>45537.816701388889</v>
      </c>
      <c r="P414" s="9">
        <v>45541</v>
      </c>
      <c r="Q414" t="s">
        <v>46</v>
      </c>
      <c r="R414" t="s">
        <v>47</v>
      </c>
      <c r="S414" t="s">
        <v>48</v>
      </c>
      <c r="T414" t="s">
        <v>66</v>
      </c>
      <c r="U414" t="s">
        <v>1351</v>
      </c>
      <c r="V414">
        <v>84200</v>
      </c>
      <c r="W414" t="s">
        <v>47</v>
      </c>
      <c r="X414" t="s">
        <v>1352</v>
      </c>
      <c r="Y414" t="s">
        <v>52</v>
      </c>
      <c r="Z414" s="10">
        <f>IF(N414&lt;=1,9,9+0.8*ROUNDUP(N414-1,0))</f>
        <v>9.8000000000000007</v>
      </c>
      <c r="AA414" s="11">
        <v>-2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54"/>
        <v>0.46800000000000003</v>
      </c>
      <c r="AG414" s="11">
        <f t="shared" si="51"/>
        <v>8.2680000000000007</v>
      </c>
      <c r="AH414" s="11">
        <v>0</v>
      </c>
      <c r="AI414" s="11">
        <f t="shared" si="52"/>
        <v>8.2680000000000007</v>
      </c>
      <c r="AJ414" t="s">
        <v>53</v>
      </c>
    </row>
    <row r="415" spans="1:36" ht="15" customHeight="1" x14ac:dyDescent="0.35">
      <c r="A415">
        <v>7547676</v>
      </c>
      <c r="B415" t="s">
        <v>36</v>
      </c>
      <c r="C415" t="s">
        <v>37</v>
      </c>
      <c r="D415" s="6" t="s">
        <v>36</v>
      </c>
      <c r="E415" t="s">
        <v>1353</v>
      </c>
      <c r="F415" t="s">
        <v>39</v>
      </c>
      <c r="G415" t="s">
        <v>40</v>
      </c>
      <c r="H415" t="s">
        <v>1354</v>
      </c>
      <c r="I415" t="s">
        <v>42</v>
      </c>
      <c r="J415">
        <v>2</v>
      </c>
      <c r="K415" t="s">
        <v>43</v>
      </c>
      <c r="L415" t="s">
        <v>44</v>
      </c>
      <c r="M415" t="s">
        <v>45</v>
      </c>
      <c r="N415" s="7">
        <v>2</v>
      </c>
      <c r="O415" s="8">
        <v>45538.634814814817</v>
      </c>
      <c r="P415" s="9">
        <v>45541</v>
      </c>
      <c r="Q415" t="s">
        <v>46</v>
      </c>
      <c r="R415" t="s">
        <v>47</v>
      </c>
      <c r="S415" t="s">
        <v>48</v>
      </c>
      <c r="T415" t="s">
        <v>123</v>
      </c>
      <c r="U415" t="s">
        <v>1355</v>
      </c>
      <c r="V415">
        <v>47830</v>
      </c>
      <c r="W415" t="s">
        <v>47</v>
      </c>
      <c r="X415" t="s">
        <v>357</v>
      </c>
      <c r="Y415" t="s">
        <v>52</v>
      </c>
      <c r="Z415" s="10">
        <f t="shared" ref="Z415:Z435" si="56">IF(N415&lt;=1,9,9+0.8*ROUNDUP(N415-1,0))</f>
        <v>9.8000000000000007</v>
      </c>
      <c r="AA415" s="11">
        <v>-2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54"/>
        <v>0.46800000000000003</v>
      </c>
      <c r="AG415" s="11">
        <f t="shared" si="51"/>
        <v>8.2680000000000007</v>
      </c>
      <c r="AH415" s="11">
        <v>0</v>
      </c>
      <c r="AI415" s="11">
        <f t="shared" si="52"/>
        <v>8.2680000000000007</v>
      </c>
      <c r="AJ415" t="s">
        <v>53</v>
      </c>
    </row>
    <row r="416" spans="1:36" ht="15" customHeight="1" x14ac:dyDescent="0.35">
      <c r="A416">
        <v>7547676</v>
      </c>
      <c r="B416" t="s">
        <v>36</v>
      </c>
      <c r="C416" t="s">
        <v>37</v>
      </c>
      <c r="D416" s="6" t="s">
        <v>36</v>
      </c>
      <c r="E416" t="s">
        <v>1356</v>
      </c>
      <c r="F416" t="s">
        <v>39</v>
      </c>
      <c r="G416" t="s">
        <v>40</v>
      </c>
      <c r="H416" t="s">
        <v>1284</v>
      </c>
      <c r="I416" t="s">
        <v>42</v>
      </c>
      <c r="J416">
        <v>2</v>
      </c>
      <c r="K416" t="s">
        <v>43</v>
      </c>
      <c r="L416" t="s">
        <v>44</v>
      </c>
      <c r="M416" t="s">
        <v>45</v>
      </c>
      <c r="N416" s="7">
        <v>1</v>
      </c>
      <c r="O416" s="8">
        <v>45540.613969907405</v>
      </c>
      <c r="P416" s="9">
        <v>45541</v>
      </c>
      <c r="Q416" t="s">
        <v>46</v>
      </c>
      <c r="R416" t="s">
        <v>47</v>
      </c>
      <c r="S416" t="s">
        <v>48</v>
      </c>
      <c r="T416" t="s">
        <v>123</v>
      </c>
      <c r="U416" t="s">
        <v>1285</v>
      </c>
      <c r="V416">
        <v>40000</v>
      </c>
      <c r="W416" t="s">
        <v>47</v>
      </c>
      <c r="X416" t="s">
        <v>855</v>
      </c>
      <c r="Y416" t="s">
        <v>52</v>
      </c>
      <c r="Z416" s="10">
        <f t="shared" si="56"/>
        <v>9</v>
      </c>
      <c r="AA416" s="11">
        <v>-2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54"/>
        <v>0.42</v>
      </c>
      <c r="AG416" s="11">
        <f t="shared" si="51"/>
        <v>7.42</v>
      </c>
      <c r="AH416" s="11">
        <v>0</v>
      </c>
      <c r="AI416" s="11">
        <f t="shared" si="52"/>
        <v>7.42</v>
      </c>
      <c r="AJ416" t="s">
        <v>53</v>
      </c>
    </row>
    <row r="417" spans="1:36" ht="15" customHeight="1" x14ac:dyDescent="0.35">
      <c r="A417">
        <v>7547676</v>
      </c>
      <c r="B417" t="s">
        <v>36</v>
      </c>
      <c r="C417" t="s">
        <v>37</v>
      </c>
      <c r="D417" s="6" t="s">
        <v>36</v>
      </c>
      <c r="E417" t="s">
        <v>1357</v>
      </c>
      <c r="F417" t="s">
        <v>39</v>
      </c>
      <c r="G417" t="s">
        <v>40</v>
      </c>
      <c r="H417" t="s">
        <v>1358</v>
      </c>
      <c r="I417" t="s">
        <v>42</v>
      </c>
      <c r="J417">
        <v>2</v>
      </c>
      <c r="K417" t="s">
        <v>43</v>
      </c>
      <c r="L417" t="s">
        <v>44</v>
      </c>
      <c r="M417" t="s">
        <v>45</v>
      </c>
      <c r="N417" s="7">
        <v>8</v>
      </c>
      <c r="O417" s="8">
        <v>45539.579050925924</v>
      </c>
      <c r="P417" s="9">
        <v>45541</v>
      </c>
      <c r="Q417" t="s">
        <v>46</v>
      </c>
      <c r="R417" t="s">
        <v>47</v>
      </c>
      <c r="S417" t="s">
        <v>48</v>
      </c>
      <c r="T417" t="s">
        <v>80</v>
      </c>
      <c r="U417" t="s">
        <v>1359</v>
      </c>
      <c r="V417">
        <v>10050</v>
      </c>
      <c r="W417" t="s">
        <v>47</v>
      </c>
      <c r="X417" t="s">
        <v>113</v>
      </c>
      <c r="Y417" t="s">
        <v>52</v>
      </c>
      <c r="Z417" s="10">
        <f t="shared" si="56"/>
        <v>14.600000000000001</v>
      </c>
      <c r="AA417" s="11">
        <v>-2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54"/>
        <v>0.75600000000000001</v>
      </c>
      <c r="AG417" s="11">
        <f t="shared" si="51"/>
        <v>13.356000000000002</v>
      </c>
      <c r="AH417" s="11">
        <v>0</v>
      </c>
      <c r="AI417" s="11">
        <f t="shared" si="52"/>
        <v>13.356000000000002</v>
      </c>
      <c r="AJ417" t="s">
        <v>53</v>
      </c>
    </row>
    <row r="418" spans="1:36" ht="15" customHeight="1" x14ac:dyDescent="0.35">
      <c r="A418">
        <v>7547676</v>
      </c>
      <c r="B418" t="s">
        <v>36</v>
      </c>
      <c r="C418" t="s">
        <v>37</v>
      </c>
      <c r="D418" s="6" t="s">
        <v>36</v>
      </c>
      <c r="E418" t="s">
        <v>1360</v>
      </c>
      <c r="F418" t="s">
        <v>39</v>
      </c>
      <c r="G418" t="s">
        <v>40</v>
      </c>
      <c r="H418" t="s">
        <v>1361</v>
      </c>
      <c r="I418" t="s">
        <v>42</v>
      </c>
      <c r="J418">
        <v>2</v>
      </c>
      <c r="K418" t="s">
        <v>43</v>
      </c>
      <c r="L418" t="s">
        <v>44</v>
      </c>
      <c r="M418" t="s">
        <v>45</v>
      </c>
      <c r="N418" s="7">
        <v>1</v>
      </c>
      <c r="O418" s="8">
        <v>45539.726481481484</v>
      </c>
      <c r="P418" s="9">
        <v>45541</v>
      </c>
      <c r="Q418" t="s">
        <v>46</v>
      </c>
      <c r="R418" t="s">
        <v>47</v>
      </c>
      <c r="S418" t="s">
        <v>48</v>
      </c>
      <c r="T418" t="s">
        <v>210</v>
      </c>
      <c r="U418" t="s">
        <v>1362</v>
      </c>
      <c r="V418">
        <v>71760</v>
      </c>
      <c r="W418" t="s">
        <v>47</v>
      </c>
      <c r="X418" t="s">
        <v>1065</v>
      </c>
      <c r="Y418" t="s">
        <v>52</v>
      </c>
      <c r="Z418" s="10">
        <f t="shared" si="56"/>
        <v>9</v>
      </c>
      <c r="AA418" s="11">
        <v>-2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54"/>
        <v>0.42</v>
      </c>
      <c r="AG418" s="11">
        <f t="shared" si="51"/>
        <v>7.42</v>
      </c>
      <c r="AH418" s="11">
        <v>0</v>
      </c>
      <c r="AI418" s="11">
        <f t="shared" si="52"/>
        <v>7.42</v>
      </c>
      <c r="AJ418" t="s">
        <v>53</v>
      </c>
    </row>
    <row r="419" spans="1:36" ht="15" customHeight="1" x14ac:dyDescent="0.35">
      <c r="A419">
        <v>7547676</v>
      </c>
      <c r="B419" t="s">
        <v>36</v>
      </c>
      <c r="C419" t="s">
        <v>37</v>
      </c>
      <c r="D419" s="6" t="s">
        <v>36</v>
      </c>
      <c r="E419" t="s">
        <v>1363</v>
      </c>
      <c r="F419" t="s">
        <v>39</v>
      </c>
      <c r="G419" t="s">
        <v>40</v>
      </c>
      <c r="H419" t="s">
        <v>1364</v>
      </c>
      <c r="I419" t="s">
        <v>42</v>
      </c>
      <c r="J419">
        <v>2</v>
      </c>
      <c r="K419" t="s">
        <v>43</v>
      </c>
      <c r="L419" t="s">
        <v>44</v>
      </c>
      <c r="M419" t="s">
        <v>45</v>
      </c>
      <c r="N419" s="7">
        <v>1</v>
      </c>
      <c r="O419" s="8">
        <v>45539.466168981482</v>
      </c>
      <c r="P419" s="9">
        <v>45541</v>
      </c>
      <c r="Q419" t="s">
        <v>46</v>
      </c>
      <c r="R419" t="s">
        <v>47</v>
      </c>
      <c r="S419" t="s">
        <v>48</v>
      </c>
      <c r="T419" t="s">
        <v>123</v>
      </c>
      <c r="U419" t="s">
        <v>1365</v>
      </c>
      <c r="V419">
        <v>43300</v>
      </c>
      <c r="W419" t="s">
        <v>47</v>
      </c>
      <c r="X419" t="s">
        <v>51</v>
      </c>
      <c r="Y419" t="s">
        <v>52</v>
      </c>
      <c r="Z419" s="10">
        <f t="shared" si="56"/>
        <v>9</v>
      </c>
      <c r="AA419" s="11">
        <v>-2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54"/>
        <v>0.42</v>
      </c>
      <c r="AG419" s="11">
        <f t="shared" si="51"/>
        <v>7.42</v>
      </c>
      <c r="AH419" s="11">
        <v>0</v>
      </c>
      <c r="AI419" s="11">
        <f t="shared" si="52"/>
        <v>7.42</v>
      </c>
      <c r="AJ419" t="s">
        <v>53</v>
      </c>
    </row>
    <row r="420" spans="1:36" ht="15" customHeight="1" x14ac:dyDescent="0.35">
      <c r="A420">
        <v>7547676</v>
      </c>
      <c r="B420" t="s">
        <v>36</v>
      </c>
      <c r="C420" t="s">
        <v>37</v>
      </c>
      <c r="D420" s="6" t="s">
        <v>36</v>
      </c>
      <c r="E420" t="s">
        <v>1366</v>
      </c>
      <c r="F420" t="s">
        <v>39</v>
      </c>
      <c r="G420" t="s">
        <v>40</v>
      </c>
      <c r="H420" t="s">
        <v>1367</v>
      </c>
      <c r="I420" t="s">
        <v>42</v>
      </c>
      <c r="J420">
        <v>2</v>
      </c>
      <c r="K420" t="s">
        <v>43</v>
      </c>
      <c r="L420" t="s">
        <v>44</v>
      </c>
      <c r="M420" t="s">
        <v>45</v>
      </c>
      <c r="N420" s="7">
        <v>1</v>
      </c>
      <c r="O420" s="8">
        <v>45540.713263888887</v>
      </c>
      <c r="P420" s="9">
        <v>45541</v>
      </c>
      <c r="Q420" t="s">
        <v>46</v>
      </c>
      <c r="R420" t="s">
        <v>47</v>
      </c>
      <c r="S420" t="s">
        <v>48</v>
      </c>
      <c r="T420" t="s">
        <v>123</v>
      </c>
      <c r="U420" t="s">
        <v>1368</v>
      </c>
      <c r="V420">
        <v>43900</v>
      </c>
      <c r="W420" t="s">
        <v>47</v>
      </c>
      <c r="X420" t="s">
        <v>650</v>
      </c>
      <c r="Y420" t="s">
        <v>52</v>
      </c>
      <c r="Z420" s="10">
        <f t="shared" si="56"/>
        <v>9</v>
      </c>
      <c r="AA420" s="11">
        <v>-2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54"/>
        <v>0.42</v>
      </c>
      <c r="AG420" s="11">
        <f t="shared" si="51"/>
        <v>7.42</v>
      </c>
      <c r="AH420" s="11">
        <v>0</v>
      </c>
      <c r="AI420" s="11">
        <f t="shared" si="52"/>
        <v>7.42</v>
      </c>
      <c r="AJ420" t="s">
        <v>53</v>
      </c>
    </row>
    <row r="421" spans="1:36" ht="15" customHeight="1" x14ac:dyDescent="0.35">
      <c r="A421">
        <v>7547676</v>
      </c>
      <c r="B421" t="s">
        <v>36</v>
      </c>
      <c r="C421" t="s">
        <v>37</v>
      </c>
      <c r="D421" s="6" t="s">
        <v>36</v>
      </c>
      <c r="E421" t="s">
        <v>1369</v>
      </c>
      <c r="F421" t="s">
        <v>39</v>
      </c>
      <c r="G421" t="s">
        <v>40</v>
      </c>
      <c r="H421" t="s">
        <v>1370</v>
      </c>
      <c r="I421" t="s">
        <v>42</v>
      </c>
      <c r="J421">
        <v>2</v>
      </c>
      <c r="K421" t="s">
        <v>43</v>
      </c>
      <c r="L421" t="s">
        <v>44</v>
      </c>
      <c r="M421" t="s">
        <v>45</v>
      </c>
      <c r="N421" s="7">
        <v>1</v>
      </c>
      <c r="O421" s="8">
        <v>45540.578935185185</v>
      </c>
      <c r="P421" s="9">
        <v>45541</v>
      </c>
      <c r="Q421" t="s">
        <v>46</v>
      </c>
      <c r="R421" t="s">
        <v>47</v>
      </c>
      <c r="S421" t="s">
        <v>48</v>
      </c>
      <c r="T421" t="s">
        <v>123</v>
      </c>
      <c r="U421" t="s">
        <v>1371</v>
      </c>
      <c r="V421">
        <v>52000</v>
      </c>
      <c r="W421" t="s">
        <v>47</v>
      </c>
      <c r="X421" t="s">
        <v>357</v>
      </c>
      <c r="Y421" t="s">
        <v>52</v>
      </c>
      <c r="Z421" s="10">
        <f t="shared" si="56"/>
        <v>9</v>
      </c>
      <c r="AA421" s="11">
        <v>-2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54"/>
        <v>0.42</v>
      </c>
      <c r="AG421" s="11">
        <f t="shared" si="51"/>
        <v>7.42</v>
      </c>
      <c r="AH421" s="11">
        <v>0</v>
      </c>
      <c r="AI421" s="11">
        <f t="shared" si="52"/>
        <v>7.42</v>
      </c>
      <c r="AJ421" t="s">
        <v>53</v>
      </c>
    </row>
    <row r="422" spans="1:36" ht="15" customHeight="1" x14ac:dyDescent="0.35">
      <c r="A422">
        <v>7547676</v>
      </c>
      <c r="B422" t="s">
        <v>36</v>
      </c>
      <c r="C422" t="s">
        <v>37</v>
      </c>
      <c r="D422" s="6" t="s">
        <v>36</v>
      </c>
      <c r="E422" t="s">
        <v>1372</v>
      </c>
      <c r="F422" t="s">
        <v>39</v>
      </c>
      <c r="G422" t="s">
        <v>40</v>
      </c>
      <c r="H422" t="s">
        <v>1373</v>
      </c>
      <c r="I422" t="s">
        <v>42</v>
      </c>
      <c r="J422">
        <v>2</v>
      </c>
      <c r="K422" t="s">
        <v>43</v>
      </c>
      <c r="L422" t="s">
        <v>44</v>
      </c>
      <c r="M422" t="s">
        <v>45</v>
      </c>
      <c r="N422" s="7">
        <v>1</v>
      </c>
      <c r="O422" s="8">
        <v>45539.719178240739</v>
      </c>
      <c r="P422" s="9">
        <v>45541</v>
      </c>
      <c r="Q422" t="s">
        <v>46</v>
      </c>
      <c r="R422" t="s">
        <v>47</v>
      </c>
      <c r="S422" t="s">
        <v>48</v>
      </c>
      <c r="T422" t="s">
        <v>56</v>
      </c>
      <c r="U422" t="s">
        <v>1374</v>
      </c>
      <c r="V422">
        <v>8300</v>
      </c>
      <c r="W422" t="s">
        <v>47</v>
      </c>
      <c r="X422" t="s">
        <v>891</v>
      </c>
      <c r="Y422" t="s">
        <v>52</v>
      </c>
      <c r="Z422" s="10">
        <f t="shared" si="56"/>
        <v>9</v>
      </c>
      <c r="AA422" s="11">
        <v>-2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54"/>
        <v>0.42</v>
      </c>
      <c r="AG422" s="11">
        <f t="shared" si="51"/>
        <v>7.42</v>
      </c>
      <c r="AH422" s="11">
        <v>0</v>
      </c>
      <c r="AI422" s="11">
        <f t="shared" si="52"/>
        <v>7.42</v>
      </c>
      <c r="AJ422" t="s">
        <v>53</v>
      </c>
    </row>
    <row r="423" spans="1:36" ht="15" customHeight="1" x14ac:dyDescent="0.35">
      <c r="A423">
        <v>7547676</v>
      </c>
      <c r="B423" t="s">
        <v>36</v>
      </c>
      <c r="C423" t="s">
        <v>37</v>
      </c>
      <c r="D423" s="6" t="s">
        <v>36</v>
      </c>
      <c r="E423" t="s">
        <v>1375</v>
      </c>
      <c r="F423" t="s">
        <v>39</v>
      </c>
      <c r="G423" t="s">
        <v>40</v>
      </c>
      <c r="H423" t="s">
        <v>1376</v>
      </c>
      <c r="I423" t="s">
        <v>42</v>
      </c>
      <c r="J423">
        <v>2</v>
      </c>
      <c r="K423" t="s">
        <v>43</v>
      </c>
      <c r="L423" t="s">
        <v>44</v>
      </c>
      <c r="M423" t="s">
        <v>45</v>
      </c>
      <c r="N423" s="7">
        <v>2</v>
      </c>
      <c r="O423" s="8">
        <v>45539.851122685184</v>
      </c>
      <c r="P423" s="9">
        <v>45541</v>
      </c>
      <c r="Q423" t="s">
        <v>46</v>
      </c>
      <c r="R423" t="s">
        <v>47</v>
      </c>
      <c r="S423" t="s">
        <v>48</v>
      </c>
      <c r="T423" t="s">
        <v>61</v>
      </c>
      <c r="U423" t="s">
        <v>1377</v>
      </c>
      <c r="V423">
        <v>21600</v>
      </c>
      <c r="W423" t="s">
        <v>47</v>
      </c>
      <c r="X423" t="s">
        <v>63</v>
      </c>
      <c r="Y423" t="s">
        <v>52</v>
      </c>
      <c r="Z423" s="10">
        <f t="shared" si="56"/>
        <v>9.8000000000000007</v>
      </c>
      <c r="AA423" s="11">
        <v>-2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54"/>
        <v>0.46800000000000003</v>
      </c>
      <c r="AG423" s="11">
        <f t="shared" si="51"/>
        <v>8.2680000000000007</v>
      </c>
      <c r="AH423" s="11">
        <v>0</v>
      </c>
      <c r="AI423" s="11">
        <f t="shared" si="52"/>
        <v>8.2680000000000007</v>
      </c>
      <c r="AJ423" t="s">
        <v>53</v>
      </c>
    </row>
    <row r="424" spans="1:36" ht="15" customHeight="1" x14ac:dyDescent="0.35">
      <c r="A424">
        <v>7547676</v>
      </c>
      <c r="B424" t="s">
        <v>36</v>
      </c>
      <c r="C424" t="s">
        <v>37</v>
      </c>
      <c r="D424" s="6" t="s">
        <v>36</v>
      </c>
      <c r="E424" t="s">
        <v>1378</v>
      </c>
      <c r="F424" t="s">
        <v>39</v>
      </c>
      <c r="G424" t="s">
        <v>40</v>
      </c>
      <c r="H424" t="s">
        <v>1379</v>
      </c>
      <c r="I424" t="s">
        <v>42</v>
      </c>
      <c r="J424">
        <v>2</v>
      </c>
      <c r="K424" t="s">
        <v>43</v>
      </c>
      <c r="L424" t="s">
        <v>44</v>
      </c>
      <c r="M424" t="s">
        <v>45</v>
      </c>
      <c r="N424" s="7">
        <v>1</v>
      </c>
      <c r="O424" s="8">
        <v>45538.499236111114</v>
      </c>
      <c r="P424" s="9">
        <v>45541</v>
      </c>
      <c r="Q424" t="s">
        <v>46</v>
      </c>
      <c r="R424" t="s">
        <v>47</v>
      </c>
      <c r="S424" t="s">
        <v>48</v>
      </c>
      <c r="T424" t="s">
        <v>123</v>
      </c>
      <c r="U424" t="s">
        <v>1380</v>
      </c>
      <c r="V424">
        <v>42100</v>
      </c>
      <c r="W424" t="s">
        <v>47</v>
      </c>
      <c r="X424" t="s">
        <v>51</v>
      </c>
      <c r="Y424" t="s">
        <v>52</v>
      </c>
      <c r="Z424" s="10">
        <f t="shared" si="56"/>
        <v>9</v>
      </c>
      <c r="AA424" s="11">
        <v>-2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54"/>
        <v>0.42</v>
      </c>
      <c r="AG424" s="11">
        <f t="shared" si="51"/>
        <v>7.42</v>
      </c>
      <c r="AH424" s="11">
        <v>0</v>
      </c>
      <c r="AI424" s="11">
        <f t="shared" si="52"/>
        <v>7.42</v>
      </c>
      <c r="AJ424" t="s">
        <v>53</v>
      </c>
    </row>
    <row r="425" spans="1:36" ht="15" customHeight="1" x14ac:dyDescent="0.35">
      <c r="A425">
        <v>7547676</v>
      </c>
      <c r="B425" t="s">
        <v>36</v>
      </c>
      <c r="C425" t="s">
        <v>37</v>
      </c>
      <c r="D425" s="6" t="s">
        <v>36</v>
      </c>
      <c r="E425" t="s">
        <v>1381</v>
      </c>
      <c r="F425" t="s">
        <v>39</v>
      </c>
      <c r="G425" t="s">
        <v>40</v>
      </c>
      <c r="H425" t="s">
        <v>1382</v>
      </c>
      <c r="I425" t="s">
        <v>42</v>
      </c>
      <c r="J425">
        <v>2</v>
      </c>
      <c r="K425" t="s">
        <v>43</v>
      </c>
      <c r="L425" t="s">
        <v>44</v>
      </c>
      <c r="M425" t="s">
        <v>45</v>
      </c>
      <c r="N425" s="7">
        <v>3</v>
      </c>
      <c r="O425" s="8">
        <v>45540.691053240742</v>
      </c>
      <c r="P425" s="9">
        <v>45541</v>
      </c>
      <c r="Q425" t="s">
        <v>46</v>
      </c>
      <c r="R425" t="s">
        <v>47</v>
      </c>
      <c r="S425" t="s">
        <v>48</v>
      </c>
      <c r="T425" t="s">
        <v>61</v>
      </c>
      <c r="U425" t="s">
        <v>1383</v>
      </c>
      <c r="V425">
        <v>24000</v>
      </c>
      <c r="W425" t="s">
        <v>47</v>
      </c>
      <c r="X425" t="s">
        <v>740</v>
      </c>
      <c r="Y425" t="s">
        <v>52</v>
      </c>
      <c r="Z425" s="10">
        <f t="shared" si="56"/>
        <v>10.6</v>
      </c>
      <c r="AA425" s="11">
        <v>-2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54"/>
        <v>0.51600000000000001</v>
      </c>
      <c r="AG425" s="11">
        <f t="shared" si="51"/>
        <v>9.1159999999999997</v>
      </c>
      <c r="AH425" s="11">
        <v>0</v>
      </c>
      <c r="AI425" s="11">
        <f t="shared" si="52"/>
        <v>9.1159999999999997</v>
      </c>
      <c r="AJ425" t="s">
        <v>53</v>
      </c>
    </row>
    <row r="426" spans="1:36" ht="15" customHeight="1" x14ac:dyDescent="0.35">
      <c r="A426">
        <v>7547676</v>
      </c>
      <c r="B426" t="s">
        <v>36</v>
      </c>
      <c r="C426" t="s">
        <v>37</v>
      </c>
      <c r="D426" s="6" t="s">
        <v>36</v>
      </c>
      <c r="E426" t="s">
        <v>1384</v>
      </c>
      <c r="F426" t="s">
        <v>39</v>
      </c>
      <c r="G426" t="s">
        <v>40</v>
      </c>
      <c r="H426" t="s">
        <v>1385</v>
      </c>
      <c r="I426" t="s">
        <v>42</v>
      </c>
      <c r="J426">
        <v>2</v>
      </c>
      <c r="K426" t="s">
        <v>43</v>
      </c>
      <c r="L426" t="s">
        <v>44</v>
      </c>
      <c r="M426" t="s">
        <v>45</v>
      </c>
      <c r="N426" s="7">
        <v>1</v>
      </c>
      <c r="O426" s="8">
        <v>45540.732222222221</v>
      </c>
      <c r="P426" s="9">
        <v>45541</v>
      </c>
      <c r="Q426" t="s">
        <v>46</v>
      </c>
      <c r="R426" t="s">
        <v>47</v>
      </c>
      <c r="S426" t="s">
        <v>48</v>
      </c>
      <c r="T426" t="s">
        <v>75</v>
      </c>
      <c r="U426" t="s">
        <v>1386</v>
      </c>
      <c r="V426">
        <v>17020</v>
      </c>
      <c r="W426" t="s">
        <v>47</v>
      </c>
      <c r="X426" t="s">
        <v>145</v>
      </c>
      <c r="Y426" t="s">
        <v>52</v>
      </c>
      <c r="Z426" s="10">
        <f t="shared" si="56"/>
        <v>9</v>
      </c>
      <c r="AA426" s="11">
        <v>-2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54"/>
        <v>0.42</v>
      </c>
      <c r="AG426" s="11">
        <f t="shared" si="51"/>
        <v>7.42</v>
      </c>
      <c r="AH426" s="11">
        <v>0</v>
      </c>
      <c r="AI426" s="11">
        <f t="shared" si="52"/>
        <v>7.42</v>
      </c>
      <c r="AJ426" t="s">
        <v>53</v>
      </c>
    </row>
    <row r="427" spans="1:36" ht="15" customHeight="1" x14ac:dyDescent="0.35">
      <c r="A427">
        <v>7547676</v>
      </c>
      <c r="B427" t="s">
        <v>36</v>
      </c>
      <c r="C427" t="s">
        <v>37</v>
      </c>
      <c r="D427" s="6" t="s">
        <v>36</v>
      </c>
      <c r="E427" t="s">
        <v>1387</v>
      </c>
      <c r="F427" t="s">
        <v>39</v>
      </c>
      <c r="G427" t="s">
        <v>40</v>
      </c>
      <c r="H427" t="s">
        <v>1388</v>
      </c>
      <c r="I427" t="s">
        <v>42</v>
      </c>
      <c r="J427">
        <v>2</v>
      </c>
      <c r="K427" t="s">
        <v>43</v>
      </c>
      <c r="L427" t="s">
        <v>44</v>
      </c>
      <c r="M427" t="s">
        <v>45</v>
      </c>
      <c r="N427" s="7">
        <v>1</v>
      </c>
      <c r="O427" s="8">
        <v>45538.499224537038</v>
      </c>
      <c r="P427" s="9">
        <v>45541</v>
      </c>
      <c r="Q427" t="s">
        <v>46</v>
      </c>
      <c r="R427" t="s">
        <v>47</v>
      </c>
      <c r="S427" t="s">
        <v>48</v>
      </c>
      <c r="T427" t="s">
        <v>123</v>
      </c>
      <c r="U427" t="s">
        <v>1389</v>
      </c>
      <c r="V427">
        <v>40000</v>
      </c>
      <c r="W427" t="s">
        <v>47</v>
      </c>
      <c r="X427" t="s">
        <v>51</v>
      </c>
      <c r="Y427" t="s">
        <v>52</v>
      </c>
      <c r="Z427" s="10">
        <f t="shared" si="56"/>
        <v>9</v>
      </c>
      <c r="AA427" s="11">
        <v>-2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54"/>
        <v>0.42</v>
      </c>
      <c r="AG427" s="11">
        <f t="shared" si="51"/>
        <v>7.42</v>
      </c>
      <c r="AH427" s="11">
        <v>0</v>
      </c>
      <c r="AI427" s="11">
        <f t="shared" si="52"/>
        <v>7.42</v>
      </c>
      <c r="AJ427" t="s">
        <v>53</v>
      </c>
    </row>
    <row r="428" spans="1:36" ht="15" customHeight="1" x14ac:dyDescent="0.35">
      <c r="A428">
        <v>7547676</v>
      </c>
      <c r="B428" t="s">
        <v>36</v>
      </c>
      <c r="C428" t="s">
        <v>37</v>
      </c>
      <c r="D428" s="6" t="s">
        <v>36</v>
      </c>
      <c r="E428" t="s">
        <v>1390</v>
      </c>
      <c r="F428" t="s">
        <v>39</v>
      </c>
      <c r="G428" t="s">
        <v>40</v>
      </c>
      <c r="H428" t="s">
        <v>1391</v>
      </c>
      <c r="I428" t="s">
        <v>42</v>
      </c>
      <c r="J428">
        <v>2</v>
      </c>
      <c r="K428" t="s">
        <v>43</v>
      </c>
      <c r="L428" t="s">
        <v>44</v>
      </c>
      <c r="M428" t="s">
        <v>45</v>
      </c>
      <c r="N428" s="7">
        <v>1</v>
      </c>
      <c r="O428" s="8">
        <v>45540.732222222221</v>
      </c>
      <c r="P428" s="9">
        <v>45541</v>
      </c>
      <c r="Q428" t="s">
        <v>46</v>
      </c>
      <c r="R428" t="s">
        <v>47</v>
      </c>
      <c r="S428" t="s">
        <v>48</v>
      </c>
      <c r="T428" t="s">
        <v>123</v>
      </c>
      <c r="U428" t="s">
        <v>1392</v>
      </c>
      <c r="V428">
        <v>47000</v>
      </c>
      <c r="W428" t="s">
        <v>47</v>
      </c>
      <c r="X428" t="s">
        <v>818</v>
      </c>
      <c r="Y428" t="s">
        <v>52</v>
      </c>
      <c r="Z428" s="10">
        <f t="shared" si="56"/>
        <v>9</v>
      </c>
      <c r="AA428" s="11">
        <v>-2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54"/>
        <v>0.42</v>
      </c>
      <c r="AG428" s="11">
        <f t="shared" si="51"/>
        <v>7.42</v>
      </c>
      <c r="AH428" s="11">
        <v>0</v>
      </c>
      <c r="AI428" s="11">
        <f t="shared" si="52"/>
        <v>7.42</v>
      </c>
      <c r="AJ428" t="s">
        <v>53</v>
      </c>
    </row>
    <row r="429" spans="1:36" ht="15" customHeight="1" x14ac:dyDescent="0.35">
      <c r="A429">
        <v>7547676</v>
      </c>
      <c r="B429" t="s">
        <v>36</v>
      </c>
      <c r="C429" t="s">
        <v>37</v>
      </c>
      <c r="D429" s="6" t="s">
        <v>36</v>
      </c>
      <c r="E429" t="s">
        <v>1393</v>
      </c>
      <c r="F429" t="s">
        <v>39</v>
      </c>
      <c r="G429" t="s">
        <v>40</v>
      </c>
      <c r="H429" t="s">
        <v>1394</v>
      </c>
      <c r="I429" t="s">
        <v>42</v>
      </c>
      <c r="J429">
        <v>2</v>
      </c>
      <c r="K429" t="s">
        <v>43</v>
      </c>
      <c r="L429" t="s">
        <v>44</v>
      </c>
      <c r="M429" t="s">
        <v>45</v>
      </c>
      <c r="N429" s="7">
        <v>1</v>
      </c>
      <c r="O429" s="8">
        <v>45538.499236111114</v>
      </c>
      <c r="P429" s="9">
        <v>45541</v>
      </c>
      <c r="Q429" t="s">
        <v>46</v>
      </c>
      <c r="R429" t="s">
        <v>47</v>
      </c>
      <c r="S429" t="s">
        <v>48</v>
      </c>
      <c r="T429" t="s">
        <v>128</v>
      </c>
      <c r="U429" t="s">
        <v>1395</v>
      </c>
      <c r="V429">
        <v>47820</v>
      </c>
      <c r="W429" t="s">
        <v>47</v>
      </c>
      <c r="X429" t="s">
        <v>51</v>
      </c>
      <c r="Y429" t="s">
        <v>52</v>
      </c>
      <c r="Z429" s="10">
        <f t="shared" si="56"/>
        <v>9</v>
      </c>
      <c r="AA429" s="11">
        <v>-2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54"/>
        <v>0.42</v>
      </c>
      <c r="AG429" s="11">
        <f t="shared" si="51"/>
        <v>7.42</v>
      </c>
      <c r="AH429" s="11">
        <v>0</v>
      </c>
      <c r="AI429" s="11">
        <f t="shared" si="52"/>
        <v>7.42</v>
      </c>
      <c r="AJ429" t="s">
        <v>53</v>
      </c>
    </row>
    <row r="430" spans="1:36" ht="15" customHeight="1" x14ac:dyDescent="0.35">
      <c r="A430">
        <v>7547676</v>
      </c>
      <c r="B430" t="s">
        <v>36</v>
      </c>
      <c r="C430" t="s">
        <v>37</v>
      </c>
      <c r="D430" s="6" t="s">
        <v>36</v>
      </c>
      <c r="E430" t="s">
        <v>1396</v>
      </c>
      <c r="F430" t="s">
        <v>39</v>
      </c>
      <c r="G430" t="s">
        <v>40</v>
      </c>
      <c r="H430" t="s">
        <v>1397</v>
      </c>
      <c r="I430" t="s">
        <v>42</v>
      </c>
      <c r="J430">
        <v>2</v>
      </c>
      <c r="K430" t="s">
        <v>43</v>
      </c>
      <c r="L430" t="s">
        <v>44</v>
      </c>
      <c r="M430" t="s">
        <v>45</v>
      </c>
      <c r="N430" s="7">
        <v>1</v>
      </c>
      <c r="O430" s="8">
        <v>45540.660127314812</v>
      </c>
      <c r="P430" s="9">
        <v>45541</v>
      </c>
      <c r="Q430" t="s">
        <v>46</v>
      </c>
      <c r="R430" t="s">
        <v>47</v>
      </c>
      <c r="S430" t="s">
        <v>48</v>
      </c>
      <c r="T430" t="s">
        <v>123</v>
      </c>
      <c r="U430" t="s">
        <v>1398</v>
      </c>
      <c r="V430">
        <v>48020</v>
      </c>
      <c r="W430" t="s">
        <v>47</v>
      </c>
      <c r="X430" t="s">
        <v>849</v>
      </c>
      <c r="Y430" t="s">
        <v>52</v>
      </c>
      <c r="Z430" s="10">
        <f t="shared" si="56"/>
        <v>9</v>
      </c>
      <c r="AA430" s="11">
        <v>-2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54"/>
        <v>0.42</v>
      </c>
      <c r="AG430" s="11">
        <f t="shared" si="51"/>
        <v>7.42</v>
      </c>
      <c r="AH430" s="11">
        <v>0</v>
      </c>
      <c r="AI430" s="11">
        <f t="shared" si="52"/>
        <v>7.42</v>
      </c>
      <c r="AJ430" t="s">
        <v>53</v>
      </c>
    </row>
    <row r="431" spans="1:36" ht="15" customHeight="1" x14ac:dyDescent="0.35">
      <c r="A431">
        <v>7547676</v>
      </c>
      <c r="B431" t="s">
        <v>36</v>
      </c>
      <c r="C431" t="s">
        <v>37</v>
      </c>
      <c r="D431" s="6" t="s">
        <v>36</v>
      </c>
      <c r="E431" t="s">
        <v>1399</v>
      </c>
      <c r="F431" t="s">
        <v>39</v>
      </c>
      <c r="G431" t="s">
        <v>40</v>
      </c>
      <c r="H431" t="s">
        <v>1400</v>
      </c>
      <c r="I431" t="s">
        <v>42</v>
      </c>
      <c r="J431">
        <v>2</v>
      </c>
      <c r="K431" t="s">
        <v>43</v>
      </c>
      <c r="L431" t="s">
        <v>44</v>
      </c>
      <c r="M431" t="s">
        <v>45</v>
      </c>
      <c r="N431" s="7">
        <v>1</v>
      </c>
      <c r="O431" s="8">
        <v>45539.719178240739</v>
      </c>
      <c r="P431" s="9">
        <v>45541</v>
      </c>
      <c r="Q431" t="s">
        <v>46</v>
      </c>
      <c r="R431" t="s">
        <v>47</v>
      </c>
      <c r="S431" t="s">
        <v>48</v>
      </c>
      <c r="T431" t="s">
        <v>49</v>
      </c>
      <c r="U431" t="s">
        <v>1401</v>
      </c>
      <c r="V431">
        <v>62250</v>
      </c>
      <c r="W431" t="s">
        <v>47</v>
      </c>
      <c r="X431" t="s">
        <v>162</v>
      </c>
      <c r="Y431" t="s">
        <v>52</v>
      </c>
      <c r="Z431" s="10">
        <f t="shared" si="56"/>
        <v>9</v>
      </c>
      <c r="AA431" s="11">
        <v>-2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54"/>
        <v>0.42</v>
      </c>
      <c r="AG431" s="11">
        <f t="shared" si="51"/>
        <v>7.42</v>
      </c>
      <c r="AH431" s="11">
        <v>0</v>
      </c>
      <c r="AI431" s="11">
        <f t="shared" si="52"/>
        <v>7.42</v>
      </c>
      <c r="AJ431" t="s">
        <v>53</v>
      </c>
    </row>
    <row r="432" spans="1:36" ht="15" customHeight="1" x14ac:dyDescent="0.35">
      <c r="A432">
        <v>7547676</v>
      </c>
      <c r="B432" t="s">
        <v>36</v>
      </c>
      <c r="C432" t="s">
        <v>37</v>
      </c>
      <c r="D432" s="6" t="s">
        <v>36</v>
      </c>
      <c r="E432" t="s">
        <v>1402</v>
      </c>
      <c r="F432" t="s">
        <v>39</v>
      </c>
      <c r="G432" t="s">
        <v>40</v>
      </c>
      <c r="H432" t="s">
        <v>147</v>
      </c>
      <c r="I432" t="s">
        <v>42</v>
      </c>
      <c r="J432">
        <v>2</v>
      </c>
      <c r="K432" t="s">
        <v>43</v>
      </c>
      <c r="L432" t="s">
        <v>44</v>
      </c>
      <c r="M432" t="s">
        <v>45</v>
      </c>
      <c r="N432" s="7">
        <v>5</v>
      </c>
      <c r="O432" s="8">
        <v>45540.659039351849</v>
      </c>
      <c r="P432" s="9">
        <v>45542</v>
      </c>
      <c r="Q432" t="s">
        <v>46</v>
      </c>
      <c r="R432" t="s">
        <v>47</v>
      </c>
      <c r="S432" t="s">
        <v>48</v>
      </c>
      <c r="T432" t="s">
        <v>123</v>
      </c>
      <c r="U432" t="s">
        <v>148</v>
      </c>
      <c r="V432">
        <v>40000</v>
      </c>
      <c r="W432" t="s">
        <v>47</v>
      </c>
      <c r="X432" t="s">
        <v>149</v>
      </c>
      <c r="Y432" t="s">
        <v>52</v>
      </c>
      <c r="Z432" s="10">
        <f t="shared" si="56"/>
        <v>12.2</v>
      </c>
      <c r="AA432" s="11">
        <v>-2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54"/>
        <v>0.61199999999999999</v>
      </c>
      <c r="AG432" s="11">
        <f t="shared" si="51"/>
        <v>10.811999999999999</v>
      </c>
      <c r="AH432" s="11">
        <v>0</v>
      </c>
      <c r="AI432" s="11">
        <f t="shared" si="52"/>
        <v>10.811999999999999</v>
      </c>
      <c r="AJ432" t="s">
        <v>53</v>
      </c>
    </row>
    <row r="433" spans="1:36" ht="15" customHeight="1" x14ac:dyDescent="0.35">
      <c r="A433">
        <v>7547676</v>
      </c>
      <c r="B433" t="s">
        <v>36</v>
      </c>
      <c r="C433" t="s">
        <v>37</v>
      </c>
      <c r="D433" s="6" t="s">
        <v>36</v>
      </c>
      <c r="E433" t="s">
        <v>1403</v>
      </c>
      <c r="F433" t="s">
        <v>39</v>
      </c>
      <c r="G433" t="s">
        <v>40</v>
      </c>
      <c r="H433" t="s">
        <v>1404</v>
      </c>
      <c r="I433" t="s">
        <v>42</v>
      </c>
      <c r="J433">
        <v>2</v>
      </c>
      <c r="K433" t="s">
        <v>43</v>
      </c>
      <c r="L433" t="s">
        <v>44</v>
      </c>
      <c r="M433" t="s">
        <v>45</v>
      </c>
      <c r="N433" s="7">
        <v>1</v>
      </c>
      <c r="O433" s="8">
        <v>45541.411087962966</v>
      </c>
      <c r="P433" s="9">
        <v>45542</v>
      </c>
      <c r="Q433" t="s">
        <v>89</v>
      </c>
      <c r="R433" t="s">
        <v>47</v>
      </c>
      <c r="S433" t="s">
        <v>48</v>
      </c>
      <c r="T433" t="s">
        <v>75</v>
      </c>
      <c r="U433" t="s">
        <v>1405</v>
      </c>
      <c r="V433">
        <v>16800</v>
      </c>
      <c r="W433" t="s">
        <v>47</v>
      </c>
      <c r="X433" t="s">
        <v>145</v>
      </c>
      <c r="Y433" t="s">
        <v>52</v>
      </c>
      <c r="Z433" s="10">
        <f t="shared" si="56"/>
        <v>9</v>
      </c>
      <c r="AA433" s="11">
        <v>-2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54"/>
        <v>0.42</v>
      </c>
      <c r="AG433" s="11">
        <f t="shared" si="51"/>
        <v>7.42</v>
      </c>
      <c r="AH433" s="11">
        <v>0</v>
      </c>
      <c r="AI433" s="11">
        <f t="shared" si="52"/>
        <v>7.42</v>
      </c>
      <c r="AJ433" t="s">
        <v>53</v>
      </c>
    </row>
    <row r="434" spans="1:36" ht="15" customHeight="1" x14ac:dyDescent="0.35">
      <c r="A434">
        <v>7547676</v>
      </c>
      <c r="B434" t="s">
        <v>36</v>
      </c>
      <c r="C434" t="s">
        <v>37</v>
      </c>
      <c r="D434" s="6" t="s">
        <v>36</v>
      </c>
      <c r="E434" t="s">
        <v>1406</v>
      </c>
      <c r="F434" t="s">
        <v>39</v>
      </c>
      <c r="G434" t="s">
        <v>40</v>
      </c>
      <c r="H434" t="s">
        <v>1407</v>
      </c>
      <c r="I434" t="s">
        <v>42</v>
      </c>
      <c r="J434">
        <v>2</v>
      </c>
      <c r="K434" t="s">
        <v>43</v>
      </c>
      <c r="L434" t="s">
        <v>44</v>
      </c>
      <c r="M434" t="s">
        <v>45</v>
      </c>
      <c r="N434" s="7">
        <v>1</v>
      </c>
      <c r="O434" s="8">
        <v>45540.469456018516</v>
      </c>
      <c r="P434" s="9">
        <v>45542</v>
      </c>
      <c r="Q434" t="s">
        <v>46</v>
      </c>
      <c r="R434" t="s">
        <v>47</v>
      </c>
      <c r="S434" t="s">
        <v>48</v>
      </c>
      <c r="T434" t="s">
        <v>123</v>
      </c>
      <c r="U434" t="s">
        <v>1408</v>
      </c>
      <c r="V434">
        <v>40200</v>
      </c>
      <c r="W434" t="s">
        <v>47</v>
      </c>
      <c r="X434" t="s">
        <v>51</v>
      </c>
      <c r="Y434" t="s">
        <v>52</v>
      </c>
      <c r="Z434" s="10">
        <f t="shared" si="56"/>
        <v>9</v>
      </c>
      <c r="AA434" s="11">
        <v>-2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54"/>
        <v>0.42</v>
      </c>
      <c r="AG434" s="11">
        <f t="shared" si="51"/>
        <v>7.42</v>
      </c>
      <c r="AH434" s="11">
        <v>0</v>
      </c>
      <c r="AI434" s="11">
        <f t="shared" si="52"/>
        <v>7.42</v>
      </c>
      <c r="AJ434" t="s">
        <v>53</v>
      </c>
    </row>
    <row r="435" spans="1:36" ht="15" customHeight="1" x14ac:dyDescent="0.35">
      <c r="A435">
        <v>7547676</v>
      </c>
      <c r="B435" t="s">
        <v>36</v>
      </c>
      <c r="C435" t="s">
        <v>37</v>
      </c>
      <c r="D435" s="6" t="s">
        <v>36</v>
      </c>
      <c r="E435" t="s">
        <v>1409</v>
      </c>
      <c r="F435" t="s">
        <v>39</v>
      </c>
      <c r="G435" t="s">
        <v>40</v>
      </c>
      <c r="H435" t="s">
        <v>147</v>
      </c>
      <c r="I435" t="s">
        <v>42</v>
      </c>
      <c r="J435">
        <v>2</v>
      </c>
      <c r="K435" t="s">
        <v>43</v>
      </c>
      <c r="L435" t="s">
        <v>44</v>
      </c>
      <c r="M435" t="s">
        <v>45</v>
      </c>
      <c r="N435" s="7">
        <v>7</v>
      </c>
      <c r="O435" s="8">
        <v>45540.648958333331</v>
      </c>
      <c r="P435" s="9">
        <v>45542</v>
      </c>
      <c r="Q435" t="s">
        <v>46</v>
      </c>
      <c r="R435" t="s">
        <v>47</v>
      </c>
      <c r="S435" t="s">
        <v>48</v>
      </c>
      <c r="T435" t="s">
        <v>123</v>
      </c>
      <c r="U435" t="s">
        <v>148</v>
      </c>
      <c r="V435">
        <v>40000</v>
      </c>
      <c r="W435" t="s">
        <v>47</v>
      </c>
      <c r="X435" t="s">
        <v>149</v>
      </c>
      <c r="Y435" t="s">
        <v>52</v>
      </c>
      <c r="Z435" s="10">
        <f t="shared" si="56"/>
        <v>13.8</v>
      </c>
      <c r="AA435" s="11">
        <v>-2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54"/>
        <v>0.70799999999999996</v>
      </c>
      <c r="AG435" s="11">
        <f t="shared" si="51"/>
        <v>12.508000000000001</v>
      </c>
      <c r="AH435" s="11">
        <v>0</v>
      </c>
      <c r="AI435" s="11">
        <f t="shared" si="52"/>
        <v>12.508000000000001</v>
      </c>
      <c r="AJ435" t="s">
        <v>53</v>
      </c>
    </row>
    <row r="436" spans="1:36" ht="15" customHeight="1" x14ac:dyDescent="0.35">
      <c r="A436">
        <v>7547676</v>
      </c>
      <c r="B436" t="s">
        <v>36</v>
      </c>
      <c r="C436" t="s">
        <v>37</v>
      </c>
      <c r="D436" s="6" t="s">
        <v>36</v>
      </c>
      <c r="E436" t="s">
        <v>1410</v>
      </c>
      <c r="F436" t="s">
        <v>39</v>
      </c>
      <c r="G436" t="s">
        <v>40</v>
      </c>
      <c r="H436" t="s">
        <v>929</v>
      </c>
      <c r="I436" t="s">
        <v>42</v>
      </c>
      <c r="J436">
        <v>2</v>
      </c>
      <c r="K436" t="s">
        <v>43</v>
      </c>
      <c r="L436" t="s">
        <v>44</v>
      </c>
      <c r="M436" t="s">
        <v>45</v>
      </c>
      <c r="N436" s="7">
        <v>4</v>
      </c>
      <c r="O436" s="8">
        <v>45540.607314814813</v>
      </c>
      <c r="P436" s="9">
        <v>45542</v>
      </c>
      <c r="Q436" t="s">
        <v>46</v>
      </c>
      <c r="R436" t="s">
        <v>47</v>
      </c>
      <c r="S436" t="s">
        <v>48</v>
      </c>
      <c r="T436" t="s">
        <v>210</v>
      </c>
      <c r="U436" t="s">
        <v>930</v>
      </c>
      <c r="V436">
        <v>70450</v>
      </c>
      <c r="W436" t="s">
        <v>47</v>
      </c>
      <c r="X436" t="s">
        <v>51</v>
      </c>
      <c r="Y436" t="s">
        <v>52</v>
      </c>
      <c r="Z436" s="10">
        <f>IF(N436&lt;=1,9,9+0.8*ROUNDUP(N436-1,0))</f>
        <v>11.4</v>
      </c>
      <c r="AA436" s="11">
        <v>-2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54"/>
        <v>0.56399999999999995</v>
      </c>
      <c r="AG436" s="11">
        <f t="shared" si="51"/>
        <v>9.9640000000000004</v>
      </c>
      <c r="AH436" s="11">
        <v>0</v>
      </c>
      <c r="AI436" s="11">
        <f t="shared" si="52"/>
        <v>9.9640000000000004</v>
      </c>
      <c r="AJ436" t="s">
        <v>53</v>
      </c>
    </row>
    <row r="437" spans="1:36" ht="15" customHeight="1" x14ac:dyDescent="0.35">
      <c r="A437">
        <v>7547676</v>
      </c>
      <c r="B437" t="s">
        <v>36</v>
      </c>
      <c r="C437" t="s">
        <v>37</v>
      </c>
      <c r="D437" s="6" t="s">
        <v>36</v>
      </c>
      <c r="E437" t="s">
        <v>1411</v>
      </c>
      <c r="F437" t="s">
        <v>39</v>
      </c>
      <c r="G437" t="s">
        <v>40</v>
      </c>
      <c r="H437" t="s">
        <v>995</v>
      </c>
      <c r="I437" t="s">
        <v>42</v>
      </c>
      <c r="J437">
        <v>2</v>
      </c>
      <c r="K437" t="s">
        <v>43</v>
      </c>
      <c r="L437" t="s">
        <v>44</v>
      </c>
      <c r="M437" t="s">
        <v>45</v>
      </c>
      <c r="N437" s="7">
        <v>1</v>
      </c>
      <c r="O437" s="8">
        <v>45540.472696759258</v>
      </c>
      <c r="P437" s="9">
        <v>45542</v>
      </c>
      <c r="Q437" t="s">
        <v>46</v>
      </c>
      <c r="R437" t="s">
        <v>47</v>
      </c>
      <c r="S437" t="s">
        <v>48</v>
      </c>
      <c r="T437" t="s">
        <v>66</v>
      </c>
      <c r="U437" t="s">
        <v>1412</v>
      </c>
      <c r="V437">
        <v>86100</v>
      </c>
      <c r="W437" t="s">
        <v>47</v>
      </c>
      <c r="X437" t="s">
        <v>51</v>
      </c>
      <c r="Y437" t="s">
        <v>52</v>
      </c>
      <c r="Z437" s="10">
        <f t="shared" ref="Z437:Z444" si="57">IF(N437&lt;=1,9,9+0.8*ROUNDUP(N437-1,0))</f>
        <v>9</v>
      </c>
      <c r="AA437" s="11">
        <v>-2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54"/>
        <v>0.42</v>
      </c>
      <c r="AG437" s="11">
        <f t="shared" si="51"/>
        <v>7.42</v>
      </c>
      <c r="AH437" s="11">
        <v>0</v>
      </c>
      <c r="AI437" s="11">
        <f t="shared" si="52"/>
        <v>7.42</v>
      </c>
      <c r="AJ437" t="s">
        <v>53</v>
      </c>
    </row>
    <row r="438" spans="1:36" ht="15" customHeight="1" x14ac:dyDescent="0.35">
      <c r="A438">
        <v>7547676</v>
      </c>
      <c r="B438" t="s">
        <v>36</v>
      </c>
      <c r="C438" t="s">
        <v>37</v>
      </c>
      <c r="D438" s="6" t="s">
        <v>36</v>
      </c>
      <c r="E438" t="s">
        <v>1413</v>
      </c>
      <c r="F438" t="s">
        <v>39</v>
      </c>
      <c r="G438" t="s">
        <v>40</v>
      </c>
      <c r="H438" t="s">
        <v>1414</v>
      </c>
      <c r="I438" t="s">
        <v>42</v>
      </c>
      <c r="J438">
        <v>2</v>
      </c>
      <c r="K438" t="s">
        <v>43</v>
      </c>
      <c r="L438" t="s">
        <v>44</v>
      </c>
      <c r="M438" t="s">
        <v>45</v>
      </c>
      <c r="N438" s="7">
        <v>1</v>
      </c>
      <c r="O438" s="8">
        <v>45540.702349537038</v>
      </c>
      <c r="P438" s="9">
        <v>45542</v>
      </c>
      <c r="Q438" t="s">
        <v>46</v>
      </c>
      <c r="R438" t="s">
        <v>47</v>
      </c>
      <c r="S438" t="s">
        <v>48</v>
      </c>
      <c r="T438" t="s">
        <v>210</v>
      </c>
      <c r="U438" t="s">
        <v>1415</v>
      </c>
      <c r="V438">
        <v>71800</v>
      </c>
      <c r="W438" t="s">
        <v>47</v>
      </c>
      <c r="X438" t="s">
        <v>51</v>
      </c>
      <c r="Y438" t="s">
        <v>52</v>
      </c>
      <c r="Z438" s="10">
        <f t="shared" si="57"/>
        <v>9</v>
      </c>
      <c r="AA438" s="11">
        <v>-2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54"/>
        <v>0.42</v>
      </c>
      <c r="AG438" s="11">
        <f t="shared" si="51"/>
        <v>7.42</v>
      </c>
      <c r="AH438" s="11">
        <v>0</v>
      </c>
      <c r="AI438" s="11">
        <f t="shared" si="52"/>
        <v>7.42</v>
      </c>
      <c r="AJ438" t="s">
        <v>53</v>
      </c>
    </row>
    <row r="439" spans="1:36" ht="15" customHeight="1" x14ac:dyDescent="0.35">
      <c r="A439">
        <v>7547676</v>
      </c>
      <c r="B439" t="s">
        <v>36</v>
      </c>
      <c r="C439" t="s">
        <v>37</v>
      </c>
      <c r="D439" s="6" t="s">
        <v>36</v>
      </c>
      <c r="E439" t="s">
        <v>1416</v>
      </c>
      <c r="F439" t="s">
        <v>39</v>
      </c>
      <c r="G439" t="s">
        <v>40</v>
      </c>
      <c r="H439" t="s">
        <v>1417</v>
      </c>
      <c r="I439" t="s">
        <v>42</v>
      </c>
      <c r="J439">
        <v>2</v>
      </c>
      <c r="K439" t="s">
        <v>43</v>
      </c>
      <c r="L439" t="s">
        <v>44</v>
      </c>
      <c r="M439" t="s">
        <v>45</v>
      </c>
      <c r="N439" s="7">
        <v>7</v>
      </c>
      <c r="O439" s="8">
        <v>45540.545902777776</v>
      </c>
      <c r="P439" s="9">
        <v>45542</v>
      </c>
      <c r="Q439" t="s">
        <v>46</v>
      </c>
      <c r="R439" t="s">
        <v>47</v>
      </c>
      <c r="S439" t="s">
        <v>48</v>
      </c>
      <c r="T439" t="s">
        <v>66</v>
      </c>
      <c r="U439" t="s">
        <v>1418</v>
      </c>
      <c r="V439">
        <v>81000</v>
      </c>
      <c r="W439" t="s">
        <v>47</v>
      </c>
      <c r="X439" t="s">
        <v>1229</v>
      </c>
      <c r="Y439" t="s">
        <v>52</v>
      </c>
      <c r="Z439" s="10">
        <f t="shared" si="57"/>
        <v>13.8</v>
      </c>
      <c r="AA439" s="11">
        <v>-2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54"/>
        <v>0.70799999999999996</v>
      </c>
      <c r="AG439" s="11">
        <f t="shared" si="51"/>
        <v>12.508000000000001</v>
      </c>
      <c r="AH439" s="11">
        <v>0</v>
      </c>
      <c r="AI439" s="11">
        <f t="shared" si="52"/>
        <v>12.508000000000001</v>
      </c>
      <c r="AJ439" t="s">
        <v>53</v>
      </c>
    </row>
    <row r="440" spans="1:36" ht="15" customHeight="1" x14ac:dyDescent="0.35">
      <c r="A440">
        <v>7547676</v>
      </c>
      <c r="B440" t="s">
        <v>36</v>
      </c>
      <c r="C440" t="s">
        <v>37</v>
      </c>
      <c r="D440" s="6" t="s">
        <v>36</v>
      </c>
      <c r="E440" t="s">
        <v>1419</v>
      </c>
      <c r="F440" t="s">
        <v>39</v>
      </c>
      <c r="G440" t="s">
        <v>40</v>
      </c>
      <c r="H440" t="s">
        <v>1420</v>
      </c>
      <c r="I440" t="s">
        <v>42</v>
      </c>
      <c r="J440">
        <v>2</v>
      </c>
      <c r="K440" t="s">
        <v>43</v>
      </c>
      <c r="L440" t="s">
        <v>44</v>
      </c>
      <c r="M440" t="s">
        <v>45</v>
      </c>
      <c r="N440" s="7">
        <v>3.5</v>
      </c>
      <c r="O440" s="8">
        <v>45540.713263888887</v>
      </c>
      <c r="P440" s="9">
        <v>45542</v>
      </c>
      <c r="Q440" t="s">
        <v>89</v>
      </c>
      <c r="R440" t="s">
        <v>47</v>
      </c>
      <c r="S440" t="s">
        <v>48</v>
      </c>
      <c r="T440" t="s">
        <v>123</v>
      </c>
      <c r="U440" t="s">
        <v>1421</v>
      </c>
      <c r="V440">
        <v>55100</v>
      </c>
      <c r="W440" t="s">
        <v>47</v>
      </c>
      <c r="X440" t="s">
        <v>555</v>
      </c>
      <c r="Y440" t="s">
        <v>52</v>
      </c>
      <c r="Z440" s="10">
        <f t="shared" si="57"/>
        <v>11.4</v>
      </c>
      <c r="AA440" s="11">
        <v>-2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54"/>
        <v>0.56399999999999995</v>
      </c>
      <c r="AG440" s="11">
        <f t="shared" si="51"/>
        <v>9.9640000000000004</v>
      </c>
      <c r="AH440" s="11">
        <v>0</v>
      </c>
      <c r="AI440" s="11">
        <f t="shared" si="52"/>
        <v>9.9640000000000004</v>
      </c>
      <c r="AJ440" t="s">
        <v>53</v>
      </c>
    </row>
    <row r="441" spans="1:36" ht="15" customHeight="1" x14ac:dyDescent="0.35">
      <c r="A441">
        <v>7547676</v>
      </c>
      <c r="B441" t="s">
        <v>36</v>
      </c>
      <c r="C441" t="s">
        <v>37</v>
      </c>
      <c r="D441" s="6" t="s">
        <v>36</v>
      </c>
      <c r="E441" t="s">
        <v>1422</v>
      </c>
      <c r="F441" t="s">
        <v>39</v>
      </c>
      <c r="G441" t="s">
        <v>40</v>
      </c>
      <c r="H441" t="s">
        <v>1423</v>
      </c>
      <c r="I441" t="s">
        <v>42</v>
      </c>
      <c r="J441">
        <v>2</v>
      </c>
      <c r="K441" t="s">
        <v>43</v>
      </c>
      <c r="L441" t="s">
        <v>44</v>
      </c>
      <c r="M441" t="s">
        <v>45</v>
      </c>
      <c r="N441" s="7">
        <v>3</v>
      </c>
      <c r="O441" s="8">
        <v>45540.602488425924</v>
      </c>
      <c r="P441" s="9">
        <v>45542</v>
      </c>
      <c r="Q441" t="s">
        <v>46</v>
      </c>
      <c r="R441" t="s">
        <v>47</v>
      </c>
      <c r="S441" t="s">
        <v>48</v>
      </c>
      <c r="T441" t="s">
        <v>66</v>
      </c>
      <c r="U441" t="s">
        <v>1424</v>
      </c>
      <c r="V441">
        <v>81750</v>
      </c>
      <c r="W441" t="s">
        <v>47</v>
      </c>
      <c r="X441" t="s">
        <v>169</v>
      </c>
      <c r="Y441" t="s">
        <v>52</v>
      </c>
      <c r="Z441" s="10">
        <f t="shared" si="57"/>
        <v>10.6</v>
      </c>
      <c r="AA441" s="11">
        <v>-2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54"/>
        <v>0.51600000000000001</v>
      </c>
      <c r="AG441" s="11">
        <f t="shared" si="51"/>
        <v>9.1159999999999997</v>
      </c>
      <c r="AH441" s="11">
        <v>0</v>
      </c>
      <c r="AI441" s="11">
        <f t="shared" si="52"/>
        <v>9.1159999999999997</v>
      </c>
      <c r="AJ441" t="s">
        <v>53</v>
      </c>
    </row>
    <row r="442" spans="1:36" ht="15" customHeight="1" x14ac:dyDescent="0.35">
      <c r="A442">
        <v>7547676</v>
      </c>
      <c r="B442" t="s">
        <v>36</v>
      </c>
      <c r="C442" t="s">
        <v>37</v>
      </c>
      <c r="D442" s="6" t="s">
        <v>36</v>
      </c>
      <c r="E442" t="s">
        <v>1425</v>
      </c>
      <c r="F442" t="s">
        <v>39</v>
      </c>
      <c r="G442" t="s">
        <v>40</v>
      </c>
      <c r="H442" t="s">
        <v>1426</v>
      </c>
      <c r="I442" t="s">
        <v>42</v>
      </c>
      <c r="J442">
        <v>2</v>
      </c>
      <c r="K442" t="s">
        <v>43</v>
      </c>
      <c r="L442" t="s">
        <v>44</v>
      </c>
      <c r="M442" t="s">
        <v>45</v>
      </c>
      <c r="N442" s="7">
        <v>9</v>
      </c>
      <c r="O442" s="8">
        <v>45539.728182870371</v>
      </c>
      <c r="P442" s="9">
        <v>45542</v>
      </c>
      <c r="Q442" t="s">
        <v>46</v>
      </c>
      <c r="R442" t="s">
        <v>47</v>
      </c>
      <c r="S442" t="s">
        <v>48</v>
      </c>
      <c r="T442" t="s">
        <v>56</v>
      </c>
      <c r="U442" t="s">
        <v>1427</v>
      </c>
      <c r="V442">
        <v>7000</v>
      </c>
      <c r="W442" t="s">
        <v>47</v>
      </c>
      <c r="X442" t="s">
        <v>51</v>
      </c>
      <c r="Y442" t="s">
        <v>52</v>
      </c>
      <c r="Z442" s="10">
        <f t="shared" si="57"/>
        <v>15.4</v>
      </c>
      <c r="AA442" s="11">
        <v>-2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54"/>
        <v>0.80399999999999994</v>
      </c>
      <c r="AG442" s="11">
        <f t="shared" si="51"/>
        <v>14.204000000000001</v>
      </c>
      <c r="AH442" s="11">
        <v>0</v>
      </c>
      <c r="AI442" s="11">
        <f t="shared" si="52"/>
        <v>14.204000000000001</v>
      </c>
      <c r="AJ442" t="s">
        <v>53</v>
      </c>
    </row>
    <row r="443" spans="1:36" ht="15" customHeight="1" x14ac:dyDescent="0.35">
      <c r="A443">
        <v>7547676</v>
      </c>
      <c r="B443" t="s">
        <v>36</v>
      </c>
      <c r="C443" t="s">
        <v>37</v>
      </c>
      <c r="D443" s="6" t="s">
        <v>36</v>
      </c>
      <c r="E443" t="s">
        <v>1428</v>
      </c>
      <c r="F443" t="s">
        <v>39</v>
      </c>
      <c r="G443" t="s">
        <v>40</v>
      </c>
      <c r="H443" t="s">
        <v>1429</v>
      </c>
      <c r="I443" t="s">
        <v>42</v>
      </c>
      <c r="J443">
        <v>2</v>
      </c>
      <c r="K443" t="s">
        <v>43</v>
      </c>
      <c r="L443" t="s">
        <v>44</v>
      </c>
      <c r="M443" t="s">
        <v>45</v>
      </c>
      <c r="N443" s="7">
        <v>1</v>
      </c>
      <c r="O443" s="8">
        <v>45540.713263888887</v>
      </c>
      <c r="P443" s="9">
        <v>45542</v>
      </c>
      <c r="Q443" t="s">
        <v>46</v>
      </c>
      <c r="R443" t="s">
        <v>47</v>
      </c>
      <c r="S443" t="s">
        <v>48</v>
      </c>
      <c r="T443" t="s">
        <v>128</v>
      </c>
      <c r="U443" t="s">
        <v>1430</v>
      </c>
      <c r="V443">
        <v>51200</v>
      </c>
      <c r="W443" t="s">
        <v>47</v>
      </c>
      <c r="X443" t="s">
        <v>688</v>
      </c>
      <c r="Y443" t="s">
        <v>52</v>
      </c>
      <c r="Z443" s="10">
        <f t="shared" si="57"/>
        <v>9</v>
      </c>
      <c r="AA443" s="11">
        <v>-2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54"/>
        <v>0.42</v>
      </c>
      <c r="AG443" s="11">
        <f t="shared" si="51"/>
        <v>7.42</v>
      </c>
      <c r="AH443" s="11">
        <v>0</v>
      </c>
      <c r="AI443" s="11">
        <f t="shared" si="52"/>
        <v>7.42</v>
      </c>
      <c r="AJ443" t="s">
        <v>53</v>
      </c>
    </row>
    <row r="444" spans="1:36" ht="15" customHeight="1" x14ac:dyDescent="0.35">
      <c r="A444">
        <v>7547676</v>
      </c>
      <c r="B444" t="s">
        <v>36</v>
      </c>
      <c r="C444" t="s">
        <v>37</v>
      </c>
      <c r="D444" s="6" t="s">
        <v>36</v>
      </c>
      <c r="E444" t="s">
        <v>1431</v>
      </c>
      <c r="F444" t="s">
        <v>39</v>
      </c>
      <c r="G444" t="s">
        <v>40</v>
      </c>
      <c r="H444" t="s">
        <v>1432</v>
      </c>
      <c r="I444" t="s">
        <v>42</v>
      </c>
      <c r="J444">
        <v>2</v>
      </c>
      <c r="K444" t="s">
        <v>43</v>
      </c>
      <c r="L444" t="s">
        <v>44</v>
      </c>
      <c r="M444" t="s">
        <v>45</v>
      </c>
      <c r="N444" s="7">
        <v>1</v>
      </c>
      <c r="O444" s="8">
        <v>45540.816736111112</v>
      </c>
      <c r="P444" s="9">
        <v>45542</v>
      </c>
      <c r="Q444" t="s">
        <v>89</v>
      </c>
      <c r="R444" t="s">
        <v>47</v>
      </c>
      <c r="S444" t="s">
        <v>48</v>
      </c>
      <c r="T444" t="s">
        <v>123</v>
      </c>
      <c r="U444" t="s">
        <v>1433</v>
      </c>
      <c r="V444">
        <v>43000</v>
      </c>
      <c r="W444" t="s">
        <v>47</v>
      </c>
      <c r="X444" t="s">
        <v>461</v>
      </c>
      <c r="Y444" t="s">
        <v>52</v>
      </c>
      <c r="Z444" s="10">
        <f t="shared" si="57"/>
        <v>9</v>
      </c>
      <c r="AA444" s="11">
        <v>-2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54"/>
        <v>0.42</v>
      </c>
      <c r="AG444" s="11">
        <f t="shared" si="51"/>
        <v>7.42</v>
      </c>
      <c r="AH444" s="11">
        <v>0</v>
      </c>
      <c r="AI444" s="11">
        <f t="shared" si="52"/>
        <v>7.42</v>
      </c>
      <c r="AJ444" t="s">
        <v>53</v>
      </c>
    </row>
    <row r="445" spans="1:36" ht="15" customHeight="1" x14ac:dyDescent="0.35">
      <c r="A445">
        <v>7547676</v>
      </c>
      <c r="B445" t="s">
        <v>36</v>
      </c>
      <c r="C445" t="s">
        <v>37</v>
      </c>
      <c r="D445" s="6" t="s">
        <v>36</v>
      </c>
      <c r="E445" t="s">
        <v>1434</v>
      </c>
      <c r="F445" t="s">
        <v>39</v>
      </c>
      <c r="G445" t="s">
        <v>40</v>
      </c>
      <c r="H445" t="s">
        <v>1435</v>
      </c>
      <c r="I445" t="s">
        <v>42</v>
      </c>
      <c r="J445">
        <v>2</v>
      </c>
      <c r="K445" t="s">
        <v>43</v>
      </c>
      <c r="L445" t="s">
        <v>44</v>
      </c>
      <c r="M445" t="s">
        <v>45</v>
      </c>
      <c r="N445" s="7">
        <v>2</v>
      </c>
      <c r="O445" s="8">
        <v>45539.585462962961</v>
      </c>
      <c r="P445" s="9">
        <v>45542</v>
      </c>
      <c r="Q445" t="s">
        <v>46</v>
      </c>
      <c r="R445" t="s">
        <v>47</v>
      </c>
      <c r="S445" t="s">
        <v>48</v>
      </c>
      <c r="T445" t="s">
        <v>644</v>
      </c>
      <c r="U445" t="s">
        <v>1436</v>
      </c>
      <c r="V445">
        <v>93050</v>
      </c>
      <c r="W445" t="s">
        <v>92</v>
      </c>
      <c r="X445" t="s">
        <v>51</v>
      </c>
      <c r="Y445" t="s">
        <v>52</v>
      </c>
      <c r="Z445" s="12">
        <f>IF(N445&lt;=1,13,IF(N445&lt;=2,23,IF(N445&lt;=3,35,IF(N445&lt;=4,43,IF(N445&lt;=5,53,IF(N445&lt;=6,63,IF(N445&lt;=7,71,IF(N445&lt;=8,79,IF(N445&lt;=9,87,IF(N445&lt;=10,95,IF(N445&lt;=11,105,IF(N445&lt;=12,114,IF(N445&lt;=13,119,IF(N445&lt;=14,127,IF(N445&lt;=15,135,IF(N445&lt;=16,143,IF(N445&lt;=17,153,IF(N445&lt;=18,163,IF(N445&lt;=19,171,IF(N445&lt;=20,185,IF(N445&lt;=21,193,IF(N445&lt;=22,201,IF(N445&lt;=23,210,IF(N445&lt;=24,220,IF(N445&lt;=25,230,IF(N445&lt;=26,240,IF(N445&lt;=27,250,IF(N445&lt;=28,260,IF(N445&lt;=29,270,IF(N445&lt;=30,280,280+10*ROUNDUP(N445-30,0)))))))))))))))))))))))))))))))</f>
        <v>23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54"/>
        <v>1.38</v>
      </c>
      <c r="AG445" s="11">
        <f t="shared" si="51"/>
        <v>24.38</v>
      </c>
      <c r="AH445" s="11">
        <v>0</v>
      </c>
      <c r="AI445" s="11">
        <f t="shared" si="52"/>
        <v>24.38</v>
      </c>
      <c r="AJ445" t="s">
        <v>94</v>
      </c>
    </row>
    <row r="446" spans="1:36" ht="15" customHeight="1" x14ac:dyDescent="0.35">
      <c r="A446">
        <v>7547676</v>
      </c>
      <c r="B446" t="s">
        <v>36</v>
      </c>
      <c r="C446" t="s">
        <v>37</v>
      </c>
      <c r="D446" s="6" t="s">
        <v>36</v>
      </c>
      <c r="E446" t="s">
        <v>1437</v>
      </c>
      <c r="F446" t="s">
        <v>39</v>
      </c>
      <c r="G446" t="s">
        <v>40</v>
      </c>
      <c r="H446" t="s">
        <v>1438</v>
      </c>
      <c r="I446" t="s">
        <v>42</v>
      </c>
      <c r="J446">
        <v>2</v>
      </c>
      <c r="K446" t="s">
        <v>43</v>
      </c>
      <c r="L446" t="s">
        <v>44</v>
      </c>
      <c r="M446" t="s">
        <v>45</v>
      </c>
      <c r="N446" s="7">
        <v>1</v>
      </c>
      <c r="O446" s="8">
        <v>45539.83997685185</v>
      </c>
      <c r="P446" s="9">
        <v>45542</v>
      </c>
      <c r="Q446" t="s">
        <v>46</v>
      </c>
      <c r="R446" t="s">
        <v>47</v>
      </c>
      <c r="S446" t="s">
        <v>48</v>
      </c>
      <c r="T446" t="s">
        <v>136</v>
      </c>
      <c r="U446" t="s">
        <v>1439</v>
      </c>
      <c r="V446">
        <v>31350</v>
      </c>
      <c r="W446" t="s">
        <v>47</v>
      </c>
      <c r="X446" t="s">
        <v>754</v>
      </c>
      <c r="Y446" t="s">
        <v>52</v>
      </c>
      <c r="Z446" s="10">
        <f t="shared" ref="Z446" si="58">IF(N446&lt;=1,9,9+0.8*ROUNDUP(N446-1,0))</f>
        <v>9</v>
      </c>
      <c r="AA446" s="11">
        <v>-2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54"/>
        <v>0.42</v>
      </c>
      <c r="AG446" s="11">
        <f t="shared" si="51"/>
        <v>7.42</v>
      </c>
      <c r="AH446" s="11">
        <v>0</v>
      </c>
      <c r="AI446" s="11">
        <f t="shared" si="52"/>
        <v>7.42</v>
      </c>
      <c r="AJ446" t="s">
        <v>53</v>
      </c>
    </row>
    <row r="447" spans="1:36" ht="15" customHeight="1" x14ac:dyDescent="0.35">
      <c r="A447">
        <v>7547676</v>
      </c>
      <c r="B447" t="s">
        <v>36</v>
      </c>
      <c r="C447" t="s">
        <v>37</v>
      </c>
      <c r="D447" s="6" t="s">
        <v>36</v>
      </c>
      <c r="E447" t="s">
        <v>1440</v>
      </c>
      <c r="F447" t="s">
        <v>39</v>
      </c>
      <c r="G447" t="s">
        <v>40</v>
      </c>
      <c r="H447" t="s">
        <v>1441</v>
      </c>
      <c r="I447" t="s">
        <v>42</v>
      </c>
      <c r="J447">
        <v>2</v>
      </c>
      <c r="K447" t="s">
        <v>43</v>
      </c>
      <c r="L447" t="s">
        <v>44</v>
      </c>
      <c r="M447" t="s">
        <v>45</v>
      </c>
      <c r="N447" s="7">
        <v>2</v>
      </c>
      <c r="O447" s="8">
        <v>45539.722384259258</v>
      </c>
      <c r="P447" s="9">
        <v>45542</v>
      </c>
      <c r="Q447" t="s">
        <v>46</v>
      </c>
      <c r="R447" t="s">
        <v>47</v>
      </c>
      <c r="S447" t="s">
        <v>48</v>
      </c>
      <c r="T447" t="s">
        <v>90</v>
      </c>
      <c r="U447" t="s">
        <v>1442</v>
      </c>
      <c r="V447">
        <v>89908</v>
      </c>
      <c r="W447" t="s">
        <v>92</v>
      </c>
      <c r="X447" t="s">
        <v>51</v>
      </c>
      <c r="Y447" t="s">
        <v>52</v>
      </c>
      <c r="Z447" s="12">
        <f>IF(N447&lt;=1,13,IF(N447&lt;=2,23,IF(N447&lt;=3,35,IF(N447&lt;=4,43,IF(N447&lt;=5,53,IF(N447&lt;=6,63,IF(N447&lt;=7,71,IF(N447&lt;=8,79,IF(N447&lt;=9,87,IF(N447&lt;=10,95,IF(N447&lt;=11,105,IF(N447&lt;=12,114,IF(N447&lt;=13,119,IF(N447&lt;=14,127,IF(N447&lt;=15,135,IF(N447&lt;=16,143,IF(N447&lt;=17,153,IF(N447&lt;=18,163,IF(N447&lt;=19,171,IF(N447&lt;=20,185,IF(N447&lt;=21,193,IF(N447&lt;=22,201,IF(N447&lt;=23,210,IF(N447&lt;=24,220,IF(N447&lt;=25,230,IF(N447&lt;=26,240,IF(N447&lt;=27,250,IF(N447&lt;=28,260,IF(N447&lt;=29,270,IF(N447&lt;=30,280,280+10*ROUNDUP(N447-30,0)))))))))))))))))))))))))))))))</f>
        <v>23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54"/>
        <v>1.38</v>
      </c>
      <c r="AG447" s="11">
        <f t="shared" si="51"/>
        <v>24.38</v>
      </c>
      <c r="AH447" s="11">
        <v>0</v>
      </c>
      <c r="AI447" s="11">
        <f t="shared" si="52"/>
        <v>24.38</v>
      </c>
      <c r="AJ447" t="s">
        <v>94</v>
      </c>
    </row>
    <row r="448" spans="1:36" ht="15" customHeight="1" x14ac:dyDescent="0.35">
      <c r="A448">
        <v>7547676</v>
      </c>
      <c r="B448" t="s">
        <v>36</v>
      </c>
      <c r="C448" t="s">
        <v>37</v>
      </c>
      <c r="D448" s="6" t="s">
        <v>36</v>
      </c>
      <c r="E448" t="s">
        <v>1443</v>
      </c>
      <c r="F448" t="s">
        <v>39</v>
      </c>
      <c r="G448" t="s">
        <v>40</v>
      </c>
      <c r="H448" t="s">
        <v>1444</v>
      </c>
      <c r="I448" t="s">
        <v>42</v>
      </c>
      <c r="J448">
        <v>2</v>
      </c>
      <c r="K448" t="s">
        <v>43</v>
      </c>
      <c r="L448" t="s">
        <v>44</v>
      </c>
      <c r="M448" t="s">
        <v>45</v>
      </c>
      <c r="N448" s="7">
        <v>4</v>
      </c>
      <c r="O448" s="8">
        <v>45540.613969907405</v>
      </c>
      <c r="P448" s="9">
        <v>45542</v>
      </c>
      <c r="Q448" t="s">
        <v>46</v>
      </c>
      <c r="R448" t="s">
        <v>47</v>
      </c>
      <c r="S448" t="s">
        <v>48</v>
      </c>
      <c r="T448" t="s">
        <v>123</v>
      </c>
      <c r="U448" t="s">
        <v>1445</v>
      </c>
      <c r="V448">
        <v>43650</v>
      </c>
      <c r="W448" t="s">
        <v>47</v>
      </c>
      <c r="X448" t="s">
        <v>51</v>
      </c>
      <c r="Y448" t="s">
        <v>52</v>
      </c>
      <c r="Z448" s="10">
        <f t="shared" ref="Z448" si="59">IF(N448&lt;=1,9,9+0.8*ROUNDUP(N448-1,0))</f>
        <v>11.4</v>
      </c>
      <c r="AA448" s="11">
        <v>-2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54"/>
        <v>0.56399999999999995</v>
      </c>
      <c r="AG448" s="11">
        <f t="shared" si="51"/>
        <v>9.9640000000000004</v>
      </c>
      <c r="AH448" s="11">
        <v>0</v>
      </c>
      <c r="AI448" s="11">
        <f t="shared" si="52"/>
        <v>9.9640000000000004</v>
      </c>
      <c r="AJ448" t="s">
        <v>53</v>
      </c>
    </row>
    <row r="449" spans="1:36" ht="15" customHeight="1" x14ac:dyDescent="0.35">
      <c r="A449">
        <v>7547676</v>
      </c>
      <c r="B449" t="s">
        <v>36</v>
      </c>
      <c r="C449" t="s">
        <v>37</v>
      </c>
      <c r="D449" s="6" t="s">
        <v>36</v>
      </c>
      <c r="E449" t="s">
        <v>1446</v>
      </c>
      <c r="F449" t="s">
        <v>39</v>
      </c>
      <c r="G449" t="s">
        <v>40</v>
      </c>
      <c r="H449" t="s">
        <v>1447</v>
      </c>
      <c r="I449" t="s">
        <v>42</v>
      </c>
      <c r="J449">
        <v>2</v>
      </c>
      <c r="K449" t="s">
        <v>43</v>
      </c>
      <c r="L449" t="s">
        <v>44</v>
      </c>
      <c r="M449" t="s">
        <v>45</v>
      </c>
      <c r="N449" s="7">
        <v>1</v>
      </c>
      <c r="O449" s="8">
        <v>45538.487986111111</v>
      </c>
      <c r="P449" s="9">
        <v>45542</v>
      </c>
      <c r="Q449" t="s">
        <v>46</v>
      </c>
      <c r="R449" t="s">
        <v>47</v>
      </c>
      <c r="S449" t="s">
        <v>48</v>
      </c>
      <c r="T449" t="s">
        <v>90</v>
      </c>
      <c r="U449" t="s">
        <v>1448</v>
      </c>
      <c r="V449">
        <v>90000</v>
      </c>
      <c r="W449" t="s">
        <v>92</v>
      </c>
      <c r="X449" t="s">
        <v>51</v>
      </c>
      <c r="Y449" t="s">
        <v>52</v>
      </c>
      <c r="Z449" s="12">
        <f>IF(N449&lt;=1,13,IF(N449&lt;=2,23,IF(N449&lt;=3,35,IF(N449&lt;=4,43,IF(N449&lt;=5,53,IF(N449&lt;=6,63,IF(N449&lt;=7,71,IF(N449&lt;=8,79,IF(N449&lt;=9,87,IF(N449&lt;=10,95,IF(N449&lt;=11,105,IF(N449&lt;=12,114,IF(N449&lt;=13,119,IF(N449&lt;=14,127,IF(N449&lt;=15,135,IF(N449&lt;=16,143,IF(N449&lt;=17,153,IF(N449&lt;=18,163,IF(N449&lt;=19,171,IF(N449&lt;=20,185,IF(N449&lt;=21,193,IF(N449&lt;=22,201,IF(N449&lt;=23,210,IF(N449&lt;=24,220,IF(N449&lt;=25,230,IF(N449&lt;=26,240,IF(N449&lt;=27,250,IF(N449&lt;=28,260,IF(N449&lt;=29,270,IF(N449&lt;=30,280,280+10*ROUNDUP(N449-30,0)))))))))))))))))))))))))))))))</f>
        <v>13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54"/>
        <v>0.78</v>
      </c>
      <c r="AG449" s="11">
        <f t="shared" si="51"/>
        <v>13.78</v>
      </c>
      <c r="AH449" s="11">
        <v>0</v>
      </c>
      <c r="AI449" s="11">
        <f t="shared" si="52"/>
        <v>13.78</v>
      </c>
      <c r="AJ449" t="s">
        <v>94</v>
      </c>
    </row>
    <row r="450" spans="1:36" ht="15" customHeight="1" x14ac:dyDescent="0.35">
      <c r="A450">
        <v>7547676</v>
      </c>
      <c r="B450" t="s">
        <v>36</v>
      </c>
      <c r="C450" t="s">
        <v>37</v>
      </c>
      <c r="D450" s="6" t="s">
        <v>36</v>
      </c>
      <c r="E450" t="s">
        <v>1449</v>
      </c>
      <c r="F450" t="s">
        <v>39</v>
      </c>
      <c r="G450" t="s">
        <v>40</v>
      </c>
      <c r="H450" t="s">
        <v>1450</v>
      </c>
      <c r="I450" t="s">
        <v>42</v>
      </c>
      <c r="J450">
        <v>2</v>
      </c>
      <c r="K450" t="s">
        <v>43</v>
      </c>
      <c r="L450" t="s">
        <v>44</v>
      </c>
      <c r="M450" t="s">
        <v>45</v>
      </c>
      <c r="N450" s="7">
        <v>5</v>
      </c>
      <c r="O450" s="8">
        <v>45539.839768518519</v>
      </c>
      <c r="P450" s="9">
        <v>45542</v>
      </c>
      <c r="Q450" t="s">
        <v>46</v>
      </c>
      <c r="R450" t="s">
        <v>47</v>
      </c>
      <c r="S450" t="s">
        <v>48</v>
      </c>
      <c r="T450" t="s">
        <v>128</v>
      </c>
      <c r="U450" t="s">
        <v>1451</v>
      </c>
      <c r="V450">
        <v>50400</v>
      </c>
      <c r="W450" t="s">
        <v>47</v>
      </c>
      <c r="X450" t="s">
        <v>833</v>
      </c>
      <c r="Y450" t="s">
        <v>52</v>
      </c>
      <c r="Z450" s="10">
        <f t="shared" ref="Z450:Z454" si="60">IF(N450&lt;=1,9,9+0.8*ROUNDUP(N450-1,0))</f>
        <v>12.2</v>
      </c>
      <c r="AA450" s="11">
        <v>-2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si="54"/>
        <v>0.61199999999999999</v>
      </c>
      <c r="AG450" s="11">
        <f t="shared" ref="AG450:AG513" si="61">Z450+AA450+AC450+AE450+AF450</f>
        <v>10.811999999999999</v>
      </c>
      <c r="AH450" s="11">
        <v>0</v>
      </c>
      <c r="AI450" s="11">
        <f t="shared" ref="AI450:AI513" si="62">AG450+AH450</f>
        <v>10.811999999999999</v>
      </c>
      <c r="AJ450" t="s">
        <v>53</v>
      </c>
    </row>
    <row r="451" spans="1:36" ht="15" customHeight="1" x14ac:dyDescent="0.35">
      <c r="A451">
        <v>7547676</v>
      </c>
      <c r="B451" t="s">
        <v>36</v>
      </c>
      <c r="C451" t="s">
        <v>37</v>
      </c>
      <c r="D451" s="6" t="s">
        <v>36</v>
      </c>
      <c r="E451" t="s">
        <v>1452</v>
      </c>
      <c r="F451" t="s">
        <v>39</v>
      </c>
      <c r="G451" t="s">
        <v>40</v>
      </c>
      <c r="H451" t="s">
        <v>1453</v>
      </c>
      <c r="I451" t="s">
        <v>42</v>
      </c>
      <c r="J451">
        <v>2</v>
      </c>
      <c r="K451" t="s">
        <v>43</v>
      </c>
      <c r="L451" t="s">
        <v>44</v>
      </c>
      <c r="M451" t="s">
        <v>45</v>
      </c>
      <c r="N451" s="7">
        <v>1</v>
      </c>
      <c r="O451" s="8">
        <v>45540.713263888887</v>
      </c>
      <c r="P451" s="9">
        <v>45542</v>
      </c>
      <c r="Q451" t="s">
        <v>46</v>
      </c>
      <c r="R451" t="s">
        <v>47</v>
      </c>
      <c r="S451" t="s">
        <v>48</v>
      </c>
      <c r="T451" t="s">
        <v>128</v>
      </c>
      <c r="U451" t="s">
        <v>1454</v>
      </c>
      <c r="V451">
        <v>55100</v>
      </c>
      <c r="W451" t="s">
        <v>47</v>
      </c>
      <c r="X451" t="s">
        <v>680</v>
      </c>
      <c r="Y451" t="s">
        <v>52</v>
      </c>
      <c r="Z451" s="10">
        <f t="shared" si="60"/>
        <v>9</v>
      </c>
      <c r="AA451" s="11">
        <v>-2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54"/>
        <v>0.42</v>
      </c>
      <c r="AG451" s="11">
        <f t="shared" si="61"/>
        <v>7.42</v>
      </c>
      <c r="AH451" s="11">
        <v>0</v>
      </c>
      <c r="AI451" s="11">
        <f t="shared" si="62"/>
        <v>7.42</v>
      </c>
      <c r="AJ451" t="s">
        <v>53</v>
      </c>
    </row>
    <row r="452" spans="1:36" ht="15" customHeight="1" x14ac:dyDescent="0.35">
      <c r="A452">
        <v>7547676</v>
      </c>
      <c r="B452" t="s">
        <v>36</v>
      </c>
      <c r="C452" t="s">
        <v>37</v>
      </c>
      <c r="D452" s="6" t="s">
        <v>36</v>
      </c>
      <c r="E452" t="s">
        <v>1455</v>
      </c>
      <c r="F452" t="s">
        <v>39</v>
      </c>
      <c r="G452" t="s">
        <v>40</v>
      </c>
      <c r="H452" t="s">
        <v>1456</v>
      </c>
      <c r="I452" t="s">
        <v>42</v>
      </c>
      <c r="J452">
        <v>2</v>
      </c>
      <c r="K452" t="s">
        <v>43</v>
      </c>
      <c r="L452" t="s">
        <v>44</v>
      </c>
      <c r="M452" t="s">
        <v>45</v>
      </c>
      <c r="N452" s="7">
        <v>1</v>
      </c>
      <c r="O452" s="8">
        <v>45540.738865740743</v>
      </c>
      <c r="P452" s="9">
        <v>45542</v>
      </c>
      <c r="Q452" t="s">
        <v>46</v>
      </c>
      <c r="R452" t="s">
        <v>47</v>
      </c>
      <c r="S452" t="s">
        <v>48</v>
      </c>
      <c r="T452" t="s">
        <v>56</v>
      </c>
      <c r="U452" t="s">
        <v>1457</v>
      </c>
      <c r="V452">
        <v>8000</v>
      </c>
      <c r="W452" t="s">
        <v>47</v>
      </c>
      <c r="X452" t="s">
        <v>891</v>
      </c>
      <c r="Y452" t="s">
        <v>52</v>
      </c>
      <c r="Z452" s="10">
        <f t="shared" si="60"/>
        <v>9</v>
      </c>
      <c r="AA452" s="11">
        <v>-2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54"/>
        <v>0.42</v>
      </c>
      <c r="AG452" s="11">
        <f t="shared" si="61"/>
        <v>7.42</v>
      </c>
      <c r="AH452" s="11">
        <v>0</v>
      </c>
      <c r="AI452" s="11">
        <f t="shared" si="62"/>
        <v>7.42</v>
      </c>
      <c r="AJ452" t="s">
        <v>53</v>
      </c>
    </row>
    <row r="453" spans="1:36" ht="15" customHeight="1" x14ac:dyDescent="0.35">
      <c r="A453">
        <v>7547676</v>
      </c>
      <c r="B453" t="s">
        <v>36</v>
      </c>
      <c r="C453" t="s">
        <v>37</v>
      </c>
      <c r="D453" s="6" t="s">
        <v>36</v>
      </c>
      <c r="E453" t="s">
        <v>1458</v>
      </c>
      <c r="F453" t="s">
        <v>39</v>
      </c>
      <c r="G453" t="s">
        <v>40</v>
      </c>
      <c r="H453" t="s">
        <v>1459</v>
      </c>
      <c r="I453" t="s">
        <v>42</v>
      </c>
      <c r="J453">
        <v>2</v>
      </c>
      <c r="K453" t="s">
        <v>43</v>
      </c>
      <c r="L453" t="s">
        <v>44</v>
      </c>
      <c r="M453" t="s">
        <v>45</v>
      </c>
      <c r="N453" s="7">
        <v>1</v>
      </c>
      <c r="O453" s="8">
        <v>45540.713263888887</v>
      </c>
      <c r="P453" s="9">
        <v>45542</v>
      </c>
      <c r="Q453" t="s">
        <v>46</v>
      </c>
      <c r="R453" t="s">
        <v>47</v>
      </c>
      <c r="S453" t="s">
        <v>48</v>
      </c>
      <c r="T453" t="s">
        <v>123</v>
      </c>
      <c r="U453" t="s">
        <v>1460</v>
      </c>
      <c r="V453">
        <v>42610</v>
      </c>
      <c r="W453" t="s">
        <v>47</v>
      </c>
      <c r="X453" t="s">
        <v>51</v>
      </c>
      <c r="Y453" t="s">
        <v>52</v>
      </c>
      <c r="Z453" s="10">
        <f t="shared" si="60"/>
        <v>9</v>
      </c>
      <c r="AA453" s="11">
        <v>-2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54"/>
        <v>0.42</v>
      </c>
      <c r="AG453" s="11">
        <f t="shared" si="61"/>
        <v>7.42</v>
      </c>
      <c r="AH453" s="11">
        <v>0</v>
      </c>
      <c r="AI453" s="11">
        <f t="shared" si="62"/>
        <v>7.42</v>
      </c>
      <c r="AJ453" t="s">
        <v>53</v>
      </c>
    </row>
    <row r="454" spans="1:36" ht="15" customHeight="1" x14ac:dyDescent="0.35">
      <c r="A454">
        <v>7547676</v>
      </c>
      <c r="B454" t="s">
        <v>36</v>
      </c>
      <c r="C454" t="s">
        <v>37</v>
      </c>
      <c r="D454" s="6" t="s">
        <v>36</v>
      </c>
      <c r="E454" t="s">
        <v>1461</v>
      </c>
      <c r="F454" t="s">
        <v>39</v>
      </c>
      <c r="G454" t="s">
        <v>40</v>
      </c>
      <c r="H454" t="s">
        <v>1462</v>
      </c>
      <c r="I454" t="s">
        <v>42</v>
      </c>
      <c r="J454">
        <v>2</v>
      </c>
      <c r="K454" t="s">
        <v>43</v>
      </c>
      <c r="L454" t="s">
        <v>44</v>
      </c>
      <c r="M454" t="s">
        <v>45</v>
      </c>
      <c r="N454" s="7">
        <v>1</v>
      </c>
      <c r="O454" s="8">
        <v>45540.622499999998</v>
      </c>
      <c r="P454" s="9">
        <v>45542</v>
      </c>
      <c r="Q454" t="s">
        <v>46</v>
      </c>
      <c r="R454" t="s">
        <v>47</v>
      </c>
      <c r="S454" t="s">
        <v>48</v>
      </c>
      <c r="T454" t="s">
        <v>66</v>
      </c>
      <c r="U454" t="s">
        <v>1463</v>
      </c>
      <c r="V454">
        <v>81800</v>
      </c>
      <c r="W454" t="s">
        <v>47</v>
      </c>
      <c r="X454" t="s">
        <v>1464</v>
      </c>
      <c r="Y454" t="s">
        <v>52</v>
      </c>
      <c r="Z454" s="10">
        <f t="shared" si="60"/>
        <v>9</v>
      </c>
      <c r="AA454" s="11">
        <v>-2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54"/>
        <v>0.42</v>
      </c>
      <c r="AG454" s="11">
        <f t="shared" si="61"/>
        <v>7.42</v>
      </c>
      <c r="AH454" s="11">
        <v>0</v>
      </c>
      <c r="AI454" s="11">
        <f t="shared" si="62"/>
        <v>7.42</v>
      </c>
      <c r="AJ454" t="s">
        <v>53</v>
      </c>
    </row>
    <row r="455" spans="1:36" ht="15" customHeight="1" x14ac:dyDescent="0.35">
      <c r="A455">
        <v>7547676</v>
      </c>
      <c r="B455" t="s">
        <v>36</v>
      </c>
      <c r="C455" t="s">
        <v>37</v>
      </c>
      <c r="D455" s="6" t="s">
        <v>36</v>
      </c>
      <c r="E455" t="s">
        <v>1465</v>
      </c>
      <c r="F455" t="s">
        <v>39</v>
      </c>
      <c r="G455" t="s">
        <v>40</v>
      </c>
      <c r="H455" t="s">
        <v>1466</v>
      </c>
      <c r="I455" t="s">
        <v>42</v>
      </c>
      <c r="J455">
        <v>2</v>
      </c>
      <c r="K455" t="s">
        <v>43</v>
      </c>
      <c r="L455" t="s">
        <v>44</v>
      </c>
      <c r="M455" t="s">
        <v>45</v>
      </c>
      <c r="N455" s="7">
        <v>11</v>
      </c>
      <c r="O455" s="8">
        <v>45538.448900462965</v>
      </c>
      <c r="P455" s="9">
        <v>45542</v>
      </c>
      <c r="Q455" t="s">
        <v>46</v>
      </c>
      <c r="R455" t="s">
        <v>47</v>
      </c>
      <c r="S455" t="s">
        <v>48</v>
      </c>
      <c r="T455" t="s">
        <v>90</v>
      </c>
      <c r="U455" t="s">
        <v>1467</v>
      </c>
      <c r="V455">
        <v>89700</v>
      </c>
      <c r="W455" t="s">
        <v>92</v>
      </c>
      <c r="X455" t="s">
        <v>51</v>
      </c>
      <c r="Y455" t="s">
        <v>52</v>
      </c>
      <c r="Z455" s="12">
        <f>IF(N455&lt;=1,13,IF(N455&lt;=2,23,IF(N455&lt;=3,35,IF(N455&lt;=4,43,IF(N455&lt;=5,53,IF(N455&lt;=6,63,IF(N455&lt;=7,71,IF(N455&lt;=8,79,IF(N455&lt;=9,87,IF(N455&lt;=10,95,IF(N455&lt;=11,105,IF(N455&lt;=12,114,IF(N455&lt;=13,119,IF(N455&lt;=14,127,IF(N455&lt;=15,135,IF(N455&lt;=16,143,IF(N455&lt;=17,153,IF(N455&lt;=18,163,IF(N455&lt;=19,171,IF(N455&lt;=20,185,IF(N455&lt;=21,193,IF(N455&lt;=22,201,IF(N455&lt;=23,210,IF(N455&lt;=24,220,IF(N455&lt;=25,230,IF(N455&lt;=26,240,IF(N455&lt;=27,250,IF(N455&lt;=28,260,IF(N455&lt;=29,270,IF(N455&lt;=30,280,280+10*ROUNDUP(N455-30,0)))))))))))))))))))))))))))))))</f>
        <v>105</v>
      </c>
      <c r="AA455" s="11">
        <v>0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54"/>
        <v>6.3</v>
      </c>
      <c r="AG455" s="11">
        <f t="shared" si="61"/>
        <v>111.3</v>
      </c>
      <c r="AH455" s="11">
        <v>0</v>
      </c>
      <c r="AI455" s="11">
        <f t="shared" si="62"/>
        <v>111.3</v>
      </c>
      <c r="AJ455" t="s">
        <v>94</v>
      </c>
    </row>
    <row r="456" spans="1:36" ht="15" customHeight="1" x14ac:dyDescent="0.35">
      <c r="A456">
        <v>7547676</v>
      </c>
      <c r="B456" t="s">
        <v>36</v>
      </c>
      <c r="C456" t="s">
        <v>37</v>
      </c>
      <c r="D456" s="6" t="s">
        <v>36</v>
      </c>
      <c r="E456" t="s">
        <v>1468</v>
      </c>
      <c r="F456" t="s">
        <v>39</v>
      </c>
      <c r="G456" t="s">
        <v>40</v>
      </c>
      <c r="H456" t="s">
        <v>1469</v>
      </c>
      <c r="I456" t="s">
        <v>42</v>
      </c>
      <c r="J456">
        <v>2</v>
      </c>
      <c r="K456" t="s">
        <v>43</v>
      </c>
      <c r="L456" t="s">
        <v>44</v>
      </c>
      <c r="M456" t="s">
        <v>45</v>
      </c>
      <c r="N456" s="7">
        <v>2</v>
      </c>
      <c r="O456" s="8">
        <v>45540.816736111112</v>
      </c>
      <c r="P456" s="9">
        <v>45543</v>
      </c>
      <c r="Q456" t="s">
        <v>89</v>
      </c>
      <c r="R456" t="s">
        <v>47</v>
      </c>
      <c r="S456" t="s">
        <v>48</v>
      </c>
      <c r="T456" t="s">
        <v>66</v>
      </c>
      <c r="U456" t="s">
        <v>1470</v>
      </c>
      <c r="V456">
        <v>84800</v>
      </c>
      <c r="W456" t="s">
        <v>47</v>
      </c>
      <c r="X456" t="s">
        <v>51</v>
      </c>
      <c r="Y456" t="s">
        <v>52</v>
      </c>
      <c r="Z456" s="10">
        <f t="shared" ref="Z456:Z475" si="63">IF(N456&lt;=1,9,9+0.8*ROUNDUP(N456-1,0))</f>
        <v>9.8000000000000007</v>
      </c>
      <c r="AA456" s="11">
        <v>-2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54"/>
        <v>0.46800000000000003</v>
      </c>
      <c r="AG456" s="11">
        <f t="shared" si="61"/>
        <v>8.2680000000000007</v>
      </c>
      <c r="AH456" s="11">
        <v>0</v>
      </c>
      <c r="AI456" s="11">
        <f t="shared" si="62"/>
        <v>8.2680000000000007</v>
      </c>
      <c r="AJ456" t="s">
        <v>53</v>
      </c>
    </row>
    <row r="457" spans="1:36" ht="15" customHeight="1" x14ac:dyDescent="0.35">
      <c r="A457">
        <v>7547676</v>
      </c>
      <c r="B457" t="s">
        <v>36</v>
      </c>
      <c r="C457" t="s">
        <v>37</v>
      </c>
      <c r="D457" s="6" t="s">
        <v>36</v>
      </c>
      <c r="E457" t="s">
        <v>1471</v>
      </c>
      <c r="F457" t="s">
        <v>39</v>
      </c>
      <c r="G457" t="s">
        <v>40</v>
      </c>
      <c r="H457" t="s">
        <v>1472</v>
      </c>
      <c r="I457" t="s">
        <v>42</v>
      </c>
      <c r="J457">
        <v>2</v>
      </c>
      <c r="K457" t="s">
        <v>43</v>
      </c>
      <c r="L457" t="s">
        <v>44</v>
      </c>
      <c r="M457" t="s">
        <v>45</v>
      </c>
      <c r="N457" s="7">
        <v>1</v>
      </c>
      <c r="O457" s="8">
        <v>45540.818576388891</v>
      </c>
      <c r="P457" s="9">
        <v>45543</v>
      </c>
      <c r="Q457" t="s">
        <v>89</v>
      </c>
      <c r="R457" t="s">
        <v>47</v>
      </c>
      <c r="S457" t="s">
        <v>48</v>
      </c>
      <c r="T457" t="s">
        <v>241</v>
      </c>
      <c r="U457" t="s">
        <v>1473</v>
      </c>
      <c r="V457">
        <v>2600</v>
      </c>
      <c r="W457" t="s">
        <v>47</v>
      </c>
      <c r="X457" t="s">
        <v>1338</v>
      </c>
      <c r="Y457" t="s">
        <v>52</v>
      </c>
      <c r="Z457" s="10">
        <f t="shared" si="63"/>
        <v>9</v>
      </c>
      <c r="AA457" s="11">
        <v>-2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54"/>
        <v>0.42</v>
      </c>
      <c r="AG457" s="11">
        <f t="shared" si="61"/>
        <v>7.42</v>
      </c>
      <c r="AH457" s="11">
        <v>0</v>
      </c>
      <c r="AI457" s="11">
        <f t="shared" si="62"/>
        <v>7.42</v>
      </c>
      <c r="AJ457" t="s">
        <v>53</v>
      </c>
    </row>
    <row r="458" spans="1:36" ht="15" customHeight="1" x14ac:dyDescent="0.35">
      <c r="A458">
        <v>7547676</v>
      </c>
      <c r="B458" t="s">
        <v>36</v>
      </c>
      <c r="C458" t="s">
        <v>37</v>
      </c>
      <c r="D458" s="6" t="s">
        <v>36</v>
      </c>
      <c r="E458" t="s">
        <v>1474</v>
      </c>
      <c r="F458" t="s">
        <v>39</v>
      </c>
      <c r="G458" t="s">
        <v>40</v>
      </c>
      <c r="H458" t="s">
        <v>1475</v>
      </c>
      <c r="I458" t="s">
        <v>42</v>
      </c>
      <c r="J458">
        <v>2</v>
      </c>
      <c r="K458" t="s">
        <v>43</v>
      </c>
      <c r="L458" t="s">
        <v>44</v>
      </c>
      <c r="M458" t="s">
        <v>45</v>
      </c>
      <c r="N458" s="7">
        <v>1</v>
      </c>
      <c r="O458" s="8">
        <v>45541.439780092594</v>
      </c>
      <c r="P458" s="9">
        <v>45543</v>
      </c>
      <c r="Q458" t="s">
        <v>89</v>
      </c>
      <c r="R458" t="s">
        <v>47</v>
      </c>
      <c r="S458" t="s">
        <v>48</v>
      </c>
      <c r="T458" t="s">
        <v>136</v>
      </c>
      <c r="U458" t="s">
        <v>1476</v>
      </c>
      <c r="V458">
        <v>33400</v>
      </c>
      <c r="W458" t="s">
        <v>47</v>
      </c>
      <c r="X458" t="s">
        <v>406</v>
      </c>
      <c r="Y458" t="s">
        <v>52</v>
      </c>
      <c r="Z458" s="10">
        <f t="shared" si="63"/>
        <v>9</v>
      </c>
      <c r="AA458" s="11">
        <v>-2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54"/>
        <v>0.42</v>
      </c>
      <c r="AG458" s="11">
        <f t="shared" si="61"/>
        <v>7.42</v>
      </c>
      <c r="AH458" s="11">
        <v>0</v>
      </c>
      <c r="AI458" s="11">
        <f t="shared" si="62"/>
        <v>7.42</v>
      </c>
      <c r="AJ458" t="s">
        <v>53</v>
      </c>
    </row>
    <row r="459" spans="1:36" ht="15" customHeight="1" x14ac:dyDescent="0.35">
      <c r="A459">
        <v>7547676</v>
      </c>
      <c r="B459" t="s">
        <v>36</v>
      </c>
      <c r="C459" t="s">
        <v>37</v>
      </c>
      <c r="D459" s="6" t="s">
        <v>36</v>
      </c>
      <c r="E459" t="s">
        <v>1477</v>
      </c>
      <c r="F459" t="s">
        <v>39</v>
      </c>
      <c r="G459" t="s">
        <v>40</v>
      </c>
      <c r="H459" t="s">
        <v>1478</v>
      </c>
      <c r="I459" t="s">
        <v>42</v>
      </c>
      <c r="J459">
        <v>2</v>
      </c>
      <c r="K459" t="s">
        <v>43</v>
      </c>
      <c r="L459" t="s">
        <v>44</v>
      </c>
      <c r="M459" t="s">
        <v>45</v>
      </c>
      <c r="N459" s="7">
        <v>1</v>
      </c>
      <c r="O459" s="8">
        <v>45541.804016203707</v>
      </c>
      <c r="P459" s="9">
        <v>45543</v>
      </c>
      <c r="Q459" t="s">
        <v>46</v>
      </c>
      <c r="R459" t="s">
        <v>47</v>
      </c>
      <c r="S459" t="s">
        <v>48</v>
      </c>
      <c r="T459" t="s">
        <v>61</v>
      </c>
      <c r="U459" t="s">
        <v>1479</v>
      </c>
      <c r="V459">
        <v>21600</v>
      </c>
      <c r="W459" t="s">
        <v>47</v>
      </c>
      <c r="X459" t="s">
        <v>63</v>
      </c>
      <c r="Y459" t="s">
        <v>52</v>
      </c>
      <c r="Z459" s="10">
        <f t="shared" si="63"/>
        <v>9</v>
      </c>
      <c r="AA459" s="11">
        <v>-2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54"/>
        <v>0.42</v>
      </c>
      <c r="AG459" s="11">
        <f t="shared" si="61"/>
        <v>7.42</v>
      </c>
      <c r="AH459" s="11">
        <v>0</v>
      </c>
      <c r="AI459" s="11">
        <f t="shared" si="62"/>
        <v>7.42</v>
      </c>
      <c r="AJ459" t="s">
        <v>53</v>
      </c>
    </row>
    <row r="460" spans="1:36" ht="15" customHeight="1" x14ac:dyDescent="0.35">
      <c r="A460">
        <v>7547676</v>
      </c>
      <c r="B460" t="s">
        <v>36</v>
      </c>
      <c r="C460" t="s">
        <v>37</v>
      </c>
      <c r="D460" s="6" t="s">
        <v>36</v>
      </c>
      <c r="E460" t="s">
        <v>1480</v>
      </c>
      <c r="F460" t="s">
        <v>39</v>
      </c>
      <c r="G460" t="s">
        <v>40</v>
      </c>
      <c r="H460" t="s">
        <v>1481</v>
      </c>
      <c r="I460" t="s">
        <v>42</v>
      </c>
      <c r="J460">
        <v>2</v>
      </c>
      <c r="K460" t="s">
        <v>43</v>
      </c>
      <c r="L460" t="s">
        <v>44</v>
      </c>
      <c r="M460" t="s">
        <v>45</v>
      </c>
      <c r="N460" s="7">
        <v>1</v>
      </c>
      <c r="O460" s="8">
        <v>45541.804016203707</v>
      </c>
      <c r="P460" s="9">
        <v>45543</v>
      </c>
      <c r="Q460" t="s">
        <v>46</v>
      </c>
      <c r="R460" t="s">
        <v>47</v>
      </c>
      <c r="S460" t="s">
        <v>48</v>
      </c>
      <c r="T460" t="s">
        <v>278</v>
      </c>
      <c r="U460" t="s">
        <v>1482</v>
      </c>
      <c r="V460">
        <v>26690</v>
      </c>
      <c r="W460" t="s">
        <v>47</v>
      </c>
      <c r="X460" t="s">
        <v>188</v>
      </c>
      <c r="Y460" t="s">
        <v>52</v>
      </c>
      <c r="Z460" s="10">
        <f t="shared" si="63"/>
        <v>9</v>
      </c>
      <c r="AA460" s="11">
        <v>-2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54"/>
        <v>0.42</v>
      </c>
      <c r="AG460" s="11">
        <f t="shared" si="61"/>
        <v>7.42</v>
      </c>
      <c r="AH460" s="11">
        <v>0</v>
      </c>
      <c r="AI460" s="11">
        <f t="shared" si="62"/>
        <v>7.42</v>
      </c>
      <c r="AJ460" t="s">
        <v>53</v>
      </c>
    </row>
    <row r="461" spans="1:36" ht="15" customHeight="1" x14ac:dyDescent="0.35">
      <c r="A461">
        <v>7547676</v>
      </c>
      <c r="B461" t="s">
        <v>36</v>
      </c>
      <c r="C461" t="s">
        <v>37</v>
      </c>
      <c r="D461" s="6" t="s">
        <v>36</v>
      </c>
      <c r="E461" t="s">
        <v>1483</v>
      </c>
      <c r="F461" t="s">
        <v>39</v>
      </c>
      <c r="G461" t="s">
        <v>40</v>
      </c>
      <c r="H461" t="s">
        <v>1484</v>
      </c>
      <c r="I461" t="s">
        <v>42</v>
      </c>
      <c r="J461">
        <v>2</v>
      </c>
      <c r="K461" t="s">
        <v>43</v>
      </c>
      <c r="L461" t="s">
        <v>44</v>
      </c>
      <c r="M461" t="s">
        <v>45</v>
      </c>
      <c r="N461" s="7">
        <v>1</v>
      </c>
      <c r="O461" s="8">
        <v>45541.804016203707</v>
      </c>
      <c r="P461" s="9">
        <v>45543</v>
      </c>
      <c r="Q461" t="s">
        <v>46</v>
      </c>
      <c r="R461" t="s">
        <v>47</v>
      </c>
      <c r="S461" t="s">
        <v>48</v>
      </c>
      <c r="T461" t="s">
        <v>75</v>
      </c>
      <c r="U461" t="s">
        <v>1485</v>
      </c>
      <c r="V461">
        <v>18300</v>
      </c>
      <c r="W461" t="s">
        <v>47</v>
      </c>
      <c r="X461" t="s">
        <v>145</v>
      </c>
      <c r="Y461" t="s">
        <v>52</v>
      </c>
      <c r="Z461" s="10">
        <f t="shared" si="63"/>
        <v>9</v>
      </c>
      <c r="AA461" s="11">
        <v>-2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54"/>
        <v>0.42</v>
      </c>
      <c r="AG461" s="11">
        <f t="shared" si="61"/>
        <v>7.42</v>
      </c>
      <c r="AH461" s="11">
        <v>0</v>
      </c>
      <c r="AI461" s="11">
        <f t="shared" si="62"/>
        <v>7.42</v>
      </c>
      <c r="AJ461" t="s">
        <v>53</v>
      </c>
    </row>
    <row r="462" spans="1:36" ht="15" customHeight="1" x14ac:dyDescent="0.35">
      <c r="A462">
        <v>7547676</v>
      </c>
      <c r="B462" t="s">
        <v>36</v>
      </c>
      <c r="C462" t="s">
        <v>37</v>
      </c>
      <c r="D462" s="6" t="s">
        <v>36</v>
      </c>
      <c r="E462" t="s">
        <v>1486</v>
      </c>
      <c r="F462" t="s">
        <v>39</v>
      </c>
      <c r="G462" t="s">
        <v>40</v>
      </c>
      <c r="H462" t="s">
        <v>1487</v>
      </c>
      <c r="I462" t="s">
        <v>42</v>
      </c>
      <c r="J462">
        <v>2</v>
      </c>
      <c r="K462" t="s">
        <v>43</v>
      </c>
      <c r="L462" t="s">
        <v>44</v>
      </c>
      <c r="M462" t="s">
        <v>45</v>
      </c>
      <c r="N462" s="7">
        <v>1</v>
      </c>
      <c r="O462" s="8">
        <v>45541.710289351853</v>
      </c>
      <c r="P462" s="9">
        <v>45543</v>
      </c>
      <c r="Q462" t="s">
        <v>46</v>
      </c>
      <c r="R462" t="s">
        <v>47</v>
      </c>
      <c r="S462" t="s">
        <v>48</v>
      </c>
      <c r="T462" t="s">
        <v>75</v>
      </c>
      <c r="U462" t="s">
        <v>1488</v>
      </c>
      <c r="V462">
        <v>17610</v>
      </c>
      <c r="W462" t="s">
        <v>47</v>
      </c>
      <c r="X462" t="s">
        <v>145</v>
      </c>
      <c r="Y462" t="s">
        <v>52</v>
      </c>
      <c r="Z462" s="10">
        <f t="shared" si="63"/>
        <v>9</v>
      </c>
      <c r="AA462" s="11">
        <v>-2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ref="AF462:AF508" si="64">(Z462+AA462+AC462+AE462)*6%</f>
        <v>0.42</v>
      </c>
      <c r="AG462" s="11">
        <f t="shared" si="61"/>
        <v>7.42</v>
      </c>
      <c r="AH462" s="11">
        <v>0</v>
      </c>
      <c r="AI462" s="11">
        <f t="shared" si="62"/>
        <v>7.42</v>
      </c>
      <c r="AJ462" t="s">
        <v>53</v>
      </c>
    </row>
    <row r="463" spans="1:36" ht="15" customHeight="1" x14ac:dyDescent="0.35">
      <c r="A463">
        <v>7547676</v>
      </c>
      <c r="B463" t="s">
        <v>36</v>
      </c>
      <c r="C463" t="s">
        <v>37</v>
      </c>
      <c r="D463" s="6" t="s">
        <v>36</v>
      </c>
      <c r="E463" t="s">
        <v>1489</v>
      </c>
      <c r="F463" t="s">
        <v>39</v>
      </c>
      <c r="G463" t="s">
        <v>40</v>
      </c>
      <c r="H463" t="s">
        <v>1490</v>
      </c>
      <c r="I463" t="s">
        <v>42</v>
      </c>
      <c r="J463">
        <v>2</v>
      </c>
      <c r="K463" t="s">
        <v>43</v>
      </c>
      <c r="L463" t="s">
        <v>44</v>
      </c>
      <c r="M463" t="s">
        <v>45</v>
      </c>
      <c r="N463" s="7">
        <v>3</v>
      </c>
      <c r="O463" s="8">
        <v>45542.583090277774</v>
      </c>
      <c r="P463" s="9">
        <v>45544</v>
      </c>
      <c r="Q463" t="s">
        <v>46</v>
      </c>
      <c r="R463" t="s">
        <v>47</v>
      </c>
      <c r="S463" t="s">
        <v>48</v>
      </c>
      <c r="T463" t="s">
        <v>128</v>
      </c>
      <c r="U463" t="s">
        <v>1491</v>
      </c>
      <c r="V463">
        <v>50470</v>
      </c>
      <c r="W463" t="s">
        <v>47</v>
      </c>
      <c r="X463" t="s">
        <v>863</v>
      </c>
      <c r="Y463" t="s">
        <v>52</v>
      </c>
      <c r="Z463" s="10">
        <f t="shared" si="63"/>
        <v>10.6</v>
      </c>
      <c r="AA463" s="11">
        <v>-2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64"/>
        <v>0.51600000000000001</v>
      </c>
      <c r="AG463" s="11">
        <f t="shared" si="61"/>
        <v>9.1159999999999997</v>
      </c>
      <c r="AH463" s="11">
        <v>0</v>
      </c>
      <c r="AI463" s="11">
        <f t="shared" si="62"/>
        <v>9.1159999999999997</v>
      </c>
      <c r="AJ463" t="s">
        <v>53</v>
      </c>
    </row>
    <row r="464" spans="1:36" ht="15" customHeight="1" x14ac:dyDescent="0.35">
      <c r="A464">
        <v>7547676</v>
      </c>
      <c r="B464" t="s">
        <v>36</v>
      </c>
      <c r="C464" t="s">
        <v>37</v>
      </c>
      <c r="D464" s="6" t="s">
        <v>36</v>
      </c>
      <c r="E464" t="s">
        <v>1492</v>
      </c>
      <c r="F464" t="s">
        <v>39</v>
      </c>
      <c r="G464" t="s">
        <v>40</v>
      </c>
      <c r="H464" t="s">
        <v>1493</v>
      </c>
      <c r="I464" t="s">
        <v>42</v>
      </c>
      <c r="J464">
        <v>2</v>
      </c>
      <c r="K464" t="s">
        <v>43</v>
      </c>
      <c r="L464" t="s">
        <v>44</v>
      </c>
      <c r="M464" t="s">
        <v>45</v>
      </c>
      <c r="N464" s="7">
        <v>1</v>
      </c>
      <c r="O464" s="8">
        <v>45539.669293981482</v>
      </c>
      <c r="P464" s="9">
        <v>45544</v>
      </c>
      <c r="Q464" t="s">
        <v>46</v>
      </c>
      <c r="R464" t="s">
        <v>47</v>
      </c>
      <c r="S464" t="s">
        <v>48</v>
      </c>
      <c r="T464" t="s">
        <v>123</v>
      </c>
      <c r="U464" t="s">
        <v>1494</v>
      </c>
      <c r="V464">
        <v>47100</v>
      </c>
      <c r="W464" t="s">
        <v>47</v>
      </c>
      <c r="X464" t="s">
        <v>51</v>
      </c>
      <c r="Y464" t="s">
        <v>52</v>
      </c>
      <c r="Z464" s="10">
        <f t="shared" si="63"/>
        <v>9</v>
      </c>
      <c r="AA464" s="11">
        <v>-2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64"/>
        <v>0.42</v>
      </c>
      <c r="AG464" s="11">
        <f t="shared" si="61"/>
        <v>7.42</v>
      </c>
      <c r="AH464" s="11">
        <v>0</v>
      </c>
      <c r="AI464" s="11">
        <f t="shared" si="62"/>
        <v>7.42</v>
      </c>
      <c r="AJ464" t="s">
        <v>53</v>
      </c>
    </row>
    <row r="465" spans="1:36" ht="15" customHeight="1" x14ac:dyDescent="0.35">
      <c r="A465">
        <v>7547676</v>
      </c>
      <c r="B465" t="s">
        <v>36</v>
      </c>
      <c r="C465" t="s">
        <v>37</v>
      </c>
      <c r="D465" s="6" t="s">
        <v>36</v>
      </c>
      <c r="E465" t="s">
        <v>1495</v>
      </c>
      <c r="F465" t="s">
        <v>39</v>
      </c>
      <c r="G465" t="s">
        <v>40</v>
      </c>
      <c r="H465" t="s">
        <v>1496</v>
      </c>
      <c r="I465" t="s">
        <v>42</v>
      </c>
      <c r="J465">
        <v>2</v>
      </c>
      <c r="K465" t="s">
        <v>43</v>
      </c>
      <c r="L465" t="s">
        <v>44</v>
      </c>
      <c r="M465" t="s">
        <v>45</v>
      </c>
      <c r="N465" s="7">
        <v>5</v>
      </c>
      <c r="O465" s="8">
        <v>45542.714942129627</v>
      </c>
      <c r="P465" s="9">
        <v>45544</v>
      </c>
      <c r="Q465" t="s">
        <v>46</v>
      </c>
      <c r="R465" t="s">
        <v>47</v>
      </c>
      <c r="S465" t="s">
        <v>48</v>
      </c>
      <c r="T465" t="s">
        <v>123</v>
      </c>
      <c r="U465" t="s">
        <v>1497</v>
      </c>
      <c r="V465">
        <v>47610</v>
      </c>
      <c r="W465" t="s">
        <v>47</v>
      </c>
      <c r="X465" t="s">
        <v>149</v>
      </c>
      <c r="Y465" t="s">
        <v>52</v>
      </c>
      <c r="Z465" s="10">
        <f t="shared" si="63"/>
        <v>12.2</v>
      </c>
      <c r="AA465" s="11">
        <v>-2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64"/>
        <v>0.61199999999999999</v>
      </c>
      <c r="AG465" s="11">
        <f t="shared" si="61"/>
        <v>10.811999999999999</v>
      </c>
      <c r="AH465" s="11">
        <v>0</v>
      </c>
      <c r="AI465" s="11">
        <f t="shared" si="62"/>
        <v>10.811999999999999</v>
      </c>
      <c r="AJ465" t="s">
        <v>53</v>
      </c>
    </row>
    <row r="466" spans="1:36" ht="15" customHeight="1" x14ac:dyDescent="0.35">
      <c r="A466">
        <v>7547676</v>
      </c>
      <c r="B466" t="s">
        <v>36</v>
      </c>
      <c r="C466" t="s">
        <v>37</v>
      </c>
      <c r="D466" s="6" t="s">
        <v>36</v>
      </c>
      <c r="E466" t="s">
        <v>1498</v>
      </c>
      <c r="F466" t="s">
        <v>39</v>
      </c>
      <c r="G466" t="s">
        <v>40</v>
      </c>
      <c r="H466" t="s">
        <v>1499</v>
      </c>
      <c r="I466" t="s">
        <v>42</v>
      </c>
      <c r="J466">
        <v>2</v>
      </c>
      <c r="K466" t="s">
        <v>43</v>
      </c>
      <c r="L466" t="s">
        <v>44</v>
      </c>
      <c r="M466" t="s">
        <v>45</v>
      </c>
      <c r="N466" s="7">
        <v>6</v>
      </c>
      <c r="O466" s="8">
        <v>45542.734513888892</v>
      </c>
      <c r="P466" s="9">
        <v>45544</v>
      </c>
      <c r="Q466" t="s">
        <v>46</v>
      </c>
      <c r="R466" t="s">
        <v>47</v>
      </c>
      <c r="S466" t="s">
        <v>48</v>
      </c>
      <c r="T466" t="s">
        <v>80</v>
      </c>
      <c r="U466" t="s">
        <v>1500</v>
      </c>
      <c r="V466">
        <v>14400</v>
      </c>
      <c r="W466" t="s">
        <v>47</v>
      </c>
      <c r="X466" t="s">
        <v>581</v>
      </c>
      <c r="Y466" t="s">
        <v>52</v>
      </c>
      <c r="Z466" s="10">
        <f t="shared" si="63"/>
        <v>13</v>
      </c>
      <c r="AA466" s="11">
        <v>-2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64"/>
        <v>0.65999999999999992</v>
      </c>
      <c r="AG466" s="11">
        <f t="shared" si="61"/>
        <v>11.66</v>
      </c>
      <c r="AH466" s="11">
        <v>0</v>
      </c>
      <c r="AI466" s="11">
        <f t="shared" si="62"/>
        <v>11.66</v>
      </c>
      <c r="AJ466" t="s">
        <v>53</v>
      </c>
    </row>
    <row r="467" spans="1:36" ht="15" customHeight="1" x14ac:dyDescent="0.35">
      <c r="A467">
        <v>7547676</v>
      </c>
      <c r="B467" t="s">
        <v>36</v>
      </c>
      <c r="C467" t="s">
        <v>37</v>
      </c>
      <c r="D467" s="6" t="s">
        <v>36</v>
      </c>
      <c r="E467" t="s">
        <v>1501</v>
      </c>
      <c r="F467" t="s">
        <v>39</v>
      </c>
      <c r="G467" t="s">
        <v>40</v>
      </c>
      <c r="H467" t="s">
        <v>1502</v>
      </c>
      <c r="I467" t="s">
        <v>42</v>
      </c>
      <c r="J467">
        <v>2</v>
      </c>
      <c r="K467" t="s">
        <v>43</v>
      </c>
      <c r="L467" t="s">
        <v>44</v>
      </c>
      <c r="M467" t="s">
        <v>45</v>
      </c>
      <c r="N467" s="7">
        <v>1</v>
      </c>
      <c r="O467" s="8">
        <v>45542.474733796298</v>
      </c>
      <c r="P467" s="9">
        <v>45544</v>
      </c>
      <c r="Q467" t="s">
        <v>46</v>
      </c>
      <c r="R467" t="s">
        <v>47</v>
      </c>
      <c r="S467" t="s">
        <v>48</v>
      </c>
      <c r="T467" t="s">
        <v>80</v>
      </c>
      <c r="U467" t="s">
        <v>1503</v>
      </c>
      <c r="V467">
        <v>11900</v>
      </c>
      <c r="W467" t="s">
        <v>47</v>
      </c>
      <c r="X467" t="s">
        <v>82</v>
      </c>
      <c r="Y467" t="s">
        <v>52</v>
      </c>
      <c r="Z467" s="10">
        <f t="shared" si="63"/>
        <v>9</v>
      </c>
      <c r="AA467" s="11">
        <v>-2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64"/>
        <v>0.42</v>
      </c>
      <c r="AG467" s="11">
        <f t="shared" si="61"/>
        <v>7.42</v>
      </c>
      <c r="AH467" s="11">
        <v>0</v>
      </c>
      <c r="AI467" s="11">
        <f t="shared" si="62"/>
        <v>7.42</v>
      </c>
      <c r="AJ467" t="s">
        <v>53</v>
      </c>
    </row>
    <row r="468" spans="1:36" ht="15" customHeight="1" x14ac:dyDescent="0.35">
      <c r="A468">
        <v>7547676</v>
      </c>
      <c r="B468" t="s">
        <v>36</v>
      </c>
      <c r="C468" t="s">
        <v>37</v>
      </c>
      <c r="D468" s="6" t="s">
        <v>36</v>
      </c>
      <c r="E468" t="s">
        <v>1504</v>
      </c>
      <c r="F468" t="s">
        <v>39</v>
      </c>
      <c r="G468" t="s">
        <v>40</v>
      </c>
      <c r="H468" t="s">
        <v>1505</v>
      </c>
      <c r="I468" t="s">
        <v>42</v>
      </c>
      <c r="J468">
        <v>2</v>
      </c>
      <c r="K468" t="s">
        <v>43</v>
      </c>
      <c r="L468" t="s">
        <v>44</v>
      </c>
      <c r="M468" t="s">
        <v>45</v>
      </c>
      <c r="N468" s="7">
        <v>1</v>
      </c>
      <c r="O468" s="8">
        <v>45542.742418981485</v>
      </c>
      <c r="P468" s="9">
        <v>45544</v>
      </c>
      <c r="Q468" t="s">
        <v>46</v>
      </c>
      <c r="R468" t="s">
        <v>47</v>
      </c>
      <c r="S468" t="s">
        <v>48</v>
      </c>
      <c r="T468" t="s">
        <v>128</v>
      </c>
      <c r="U468" t="s">
        <v>1506</v>
      </c>
      <c r="V468">
        <v>59100</v>
      </c>
      <c r="W468" t="s">
        <v>47</v>
      </c>
      <c r="X468" t="s">
        <v>863</v>
      </c>
      <c r="Y468" t="s">
        <v>52</v>
      </c>
      <c r="Z468" s="10">
        <f t="shared" si="63"/>
        <v>9</v>
      </c>
      <c r="AA468" s="11">
        <v>-2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64"/>
        <v>0.42</v>
      </c>
      <c r="AG468" s="11">
        <f t="shared" si="61"/>
        <v>7.42</v>
      </c>
      <c r="AH468" s="11">
        <v>0</v>
      </c>
      <c r="AI468" s="11">
        <f t="shared" si="62"/>
        <v>7.42</v>
      </c>
      <c r="AJ468" t="s">
        <v>53</v>
      </c>
    </row>
    <row r="469" spans="1:36" ht="15" customHeight="1" x14ac:dyDescent="0.35">
      <c r="A469">
        <v>7547676</v>
      </c>
      <c r="B469" t="s">
        <v>36</v>
      </c>
      <c r="C469" t="s">
        <v>37</v>
      </c>
      <c r="D469" s="6" t="s">
        <v>36</v>
      </c>
      <c r="E469" t="s">
        <v>1507</v>
      </c>
      <c r="F469" t="s">
        <v>39</v>
      </c>
      <c r="G469" t="s">
        <v>40</v>
      </c>
      <c r="H469" t="s">
        <v>1508</v>
      </c>
      <c r="I469" t="s">
        <v>42</v>
      </c>
      <c r="J469">
        <v>2</v>
      </c>
      <c r="K469" t="s">
        <v>43</v>
      </c>
      <c r="L469" t="s">
        <v>44</v>
      </c>
      <c r="M469" t="s">
        <v>45</v>
      </c>
      <c r="N469" s="7">
        <v>1</v>
      </c>
      <c r="O469" s="8">
        <v>45542.79310185185</v>
      </c>
      <c r="P469" s="9">
        <v>45544</v>
      </c>
      <c r="Q469" t="s">
        <v>46</v>
      </c>
      <c r="R469" t="s">
        <v>47</v>
      </c>
      <c r="S469" t="s">
        <v>48</v>
      </c>
      <c r="T469" t="s">
        <v>278</v>
      </c>
      <c r="U469" t="s">
        <v>1509</v>
      </c>
      <c r="V469">
        <v>25150</v>
      </c>
      <c r="W469" t="s">
        <v>47</v>
      </c>
      <c r="X469" t="s">
        <v>1510</v>
      </c>
      <c r="Y469" t="s">
        <v>52</v>
      </c>
      <c r="Z469" s="10">
        <f t="shared" si="63"/>
        <v>9</v>
      </c>
      <c r="AA469" s="11">
        <v>-2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64"/>
        <v>0.42</v>
      </c>
      <c r="AG469" s="11">
        <f t="shared" si="61"/>
        <v>7.42</v>
      </c>
      <c r="AH469" s="11">
        <v>0</v>
      </c>
      <c r="AI469" s="11">
        <f t="shared" si="62"/>
        <v>7.42</v>
      </c>
      <c r="AJ469" t="s">
        <v>53</v>
      </c>
    </row>
    <row r="470" spans="1:36" ht="15" customHeight="1" x14ac:dyDescent="0.35">
      <c r="A470">
        <v>7547676</v>
      </c>
      <c r="B470" t="s">
        <v>36</v>
      </c>
      <c r="C470" t="s">
        <v>37</v>
      </c>
      <c r="D470" s="6" t="s">
        <v>36</v>
      </c>
      <c r="E470" t="s">
        <v>1511</v>
      </c>
      <c r="F470" t="s">
        <v>39</v>
      </c>
      <c r="G470" t="s">
        <v>40</v>
      </c>
      <c r="H470" t="s">
        <v>1512</v>
      </c>
      <c r="I470" t="s">
        <v>42</v>
      </c>
      <c r="J470">
        <v>2</v>
      </c>
      <c r="K470" t="s">
        <v>43</v>
      </c>
      <c r="L470" t="s">
        <v>44</v>
      </c>
      <c r="M470" t="s">
        <v>45</v>
      </c>
      <c r="N470" s="7">
        <v>1</v>
      </c>
      <c r="O470" s="8">
        <v>45542.714942129627</v>
      </c>
      <c r="P470" s="9">
        <v>45544</v>
      </c>
      <c r="Q470" t="s">
        <v>46</v>
      </c>
      <c r="R470" t="s">
        <v>47</v>
      </c>
      <c r="S470" t="s">
        <v>48</v>
      </c>
      <c r="T470" t="s">
        <v>210</v>
      </c>
      <c r="U470" t="s">
        <v>1513</v>
      </c>
      <c r="V470">
        <v>70450</v>
      </c>
      <c r="W470" t="s">
        <v>47</v>
      </c>
      <c r="X470" t="s">
        <v>931</v>
      </c>
      <c r="Y470" t="s">
        <v>52</v>
      </c>
      <c r="Z470" s="10">
        <f t="shared" si="63"/>
        <v>9</v>
      </c>
      <c r="AA470" s="11">
        <v>-2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64"/>
        <v>0.42</v>
      </c>
      <c r="AG470" s="11">
        <f t="shared" si="61"/>
        <v>7.42</v>
      </c>
      <c r="AH470" s="11">
        <v>0</v>
      </c>
      <c r="AI470" s="11">
        <f t="shared" si="62"/>
        <v>7.42</v>
      </c>
      <c r="AJ470" t="s">
        <v>53</v>
      </c>
    </row>
    <row r="471" spans="1:36" ht="15" customHeight="1" x14ac:dyDescent="0.35">
      <c r="A471">
        <v>7547676</v>
      </c>
      <c r="B471" t="s">
        <v>36</v>
      </c>
      <c r="C471" t="s">
        <v>37</v>
      </c>
      <c r="D471" s="6" t="s">
        <v>36</v>
      </c>
      <c r="E471" t="s">
        <v>1514</v>
      </c>
      <c r="F471" t="s">
        <v>39</v>
      </c>
      <c r="G471" t="s">
        <v>40</v>
      </c>
      <c r="H471" t="s">
        <v>1515</v>
      </c>
      <c r="I471" t="s">
        <v>42</v>
      </c>
      <c r="J471">
        <v>2</v>
      </c>
      <c r="K471" t="s">
        <v>43</v>
      </c>
      <c r="L471" t="s">
        <v>44</v>
      </c>
      <c r="M471" t="s">
        <v>45</v>
      </c>
      <c r="N471" s="7">
        <v>1</v>
      </c>
      <c r="O471" s="8">
        <v>45543.621192129627</v>
      </c>
      <c r="P471" s="9">
        <v>45544</v>
      </c>
      <c r="Q471" t="s">
        <v>46</v>
      </c>
      <c r="R471" t="s">
        <v>47</v>
      </c>
      <c r="S471" t="s">
        <v>48</v>
      </c>
      <c r="T471" t="s">
        <v>75</v>
      </c>
      <c r="U471" t="s">
        <v>1516</v>
      </c>
      <c r="V471">
        <v>17500</v>
      </c>
      <c r="W471" t="s">
        <v>47</v>
      </c>
      <c r="X471" t="s">
        <v>145</v>
      </c>
      <c r="Y471" t="s">
        <v>52</v>
      </c>
      <c r="Z471" s="10">
        <f t="shared" si="63"/>
        <v>9</v>
      </c>
      <c r="AA471" s="11">
        <v>-2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64"/>
        <v>0.42</v>
      </c>
      <c r="AG471" s="11">
        <f t="shared" si="61"/>
        <v>7.42</v>
      </c>
      <c r="AH471" s="11">
        <v>0</v>
      </c>
      <c r="AI471" s="11">
        <f t="shared" si="62"/>
        <v>7.42</v>
      </c>
      <c r="AJ471" t="s">
        <v>53</v>
      </c>
    </row>
    <row r="472" spans="1:36" ht="15" customHeight="1" x14ac:dyDescent="0.35">
      <c r="A472">
        <v>7547676</v>
      </c>
      <c r="B472" t="s">
        <v>36</v>
      </c>
      <c r="C472" t="s">
        <v>37</v>
      </c>
      <c r="D472" s="6" t="s">
        <v>36</v>
      </c>
      <c r="E472" t="s">
        <v>1517</v>
      </c>
      <c r="F472" t="s">
        <v>39</v>
      </c>
      <c r="G472" t="s">
        <v>40</v>
      </c>
      <c r="H472" t="s">
        <v>1518</v>
      </c>
      <c r="I472" t="s">
        <v>42</v>
      </c>
      <c r="J472">
        <v>2</v>
      </c>
      <c r="K472" t="s">
        <v>43</v>
      </c>
      <c r="L472" t="s">
        <v>44</v>
      </c>
      <c r="M472" t="s">
        <v>45</v>
      </c>
      <c r="N472" s="7">
        <v>1</v>
      </c>
      <c r="O472" s="8">
        <v>45541.804016203707</v>
      </c>
      <c r="P472" s="9">
        <v>45544</v>
      </c>
      <c r="Q472" t="s">
        <v>46</v>
      </c>
      <c r="R472" t="s">
        <v>47</v>
      </c>
      <c r="S472" t="s">
        <v>48</v>
      </c>
      <c r="T472" t="s">
        <v>123</v>
      </c>
      <c r="U472" t="s">
        <v>1519</v>
      </c>
      <c r="V472">
        <v>48100</v>
      </c>
      <c r="W472" t="s">
        <v>47</v>
      </c>
      <c r="X472" t="s">
        <v>849</v>
      </c>
      <c r="Y472" t="s">
        <v>52</v>
      </c>
      <c r="Z472" s="10">
        <f t="shared" si="63"/>
        <v>9</v>
      </c>
      <c r="AA472" s="11">
        <v>-2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64"/>
        <v>0.42</v>
      </c>
      <c r="AG472" s="11">
        <f t="shared" si="61"/>
        <v>7.42</v>
      </c>
      <c r="AH472" s="11">
        <v>0</v>
      </c>
      <c r="AI472" s="11">
        <f t="shared" si="62"/>
        <v>7.42</v>
      </c>
      <c r="AJ472" t="s">
        <v>53</v>
      </c>
    </row>
    <row r="473" spans="1:36" ht="15" customHeight="1" x14ac:dyDescent="0.35">
      <c r="A473">
        <v>7547676</v>
      </c>
      <c r="B473" t="s">
        <v>36</v>
      </c>
      <c r="C473" t="s">
        <v>37</v>
      </c>
      <c r="D473" s="6" t="s">
        <v>36</v>
      </c>
      <c r="E473" t="s">
        <v>1520</v>
      </c>
      <c r="F473" t="s">
        <v>39</v>
      </c>
      <c r="G473" t="s">
        <v>40</v>
      </c>
      <c r="H473" t="s">
        <v>1521</v>
      </c>
      <c r="I473" t="s">
        <v>42</v>
      </c>
      <c r="J473">
        <v>2</v>
      </c>
      <c r="K473" t="s">
        <v>43</v>
      </c>
      <c r="L473" t="s">
        <v>44</v>
      </c>
      <c r="M473" t="s">
        <v>45</v>
      </c>
      <c r="N473" s="7">
        <v>1</v>
      </c>
      <c r="O473" s="8">
        <v>45543.74795138889</v>
      </c>
      <c r="P473" s="9">
        <v>45544</v>
      </c>
      <c r="Q473" t="s">
        <v>46</v>
      </c>
      <c r="R473" t="s">
        <v>47</v>
      </c>
      <c r="S473" t="s">
        <v>48</v>
      </c>
      <c r="T473" t="s">
        <v>75</v>
      </c>
      <c r="U473" t="s">
        <v>1522</v>
      </c>
      <c r="V473">
        <v>16250</v>
      </c>
      <c r="W473" t="s">
        <v>47</v>
      </c>
      <c r="X473" t="s">
        <v>145</v>
      </c>
      <c r="Y473" t="s">
        <v>52</v>
      </c>
      <c r="Z473" s="10">
        <f t="shared" si="63"/>
        <v>9</v>
      </c>
      <c r="AA473" s="11">
        <v>-2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64"/>
        <v>0.42</v>
      </c>
      <c r="AG473" s="11">
        <f t="shared" si="61"/>
        <v>7.42</v>
      </c>
      <c r="AH473" s="11">
        <v>0</v>
      </c>
      <c r="AI473" s="11">
        <f t="shared" si="62"/>
        <v>7.42</v>
      </c>
      <c r="AJ473" t="s">
        <v>53</v>
      </c>
    </row>
    <row r="474" spans="1:36" ht="15" customHeight="1" x14ac:dyDescent="0.35">
      <c r="A474">
        <v>7547676</v>
      </c>
      <c r="B474" t="s">
        <v>36</v>
      </c>
      <c r="C474" t="s">
        <v>37</v>
      </c>
      <c r="D474" s="6" t="s">
        <v>36</v>
      </c>
      <c r="E474" t="s">
        <v>1523</v>
      </c>
      <c r="F474" t="s">
        <v>39</v>
      </c>
      <c r="G474" t="s">
        <v>40</v>
      </c>
      <c r="H474" t="s">
        <v>1515</v>
      </c>
      <c r="I474" t="s">
        <v>42</v>
      </c>
      <c r="J474">
        <v>2</v>
      </c>
      <c r="K474" t="s">
        <v>43</v>
      </c>
      <c r="L474" t="s">
        <v>44</v>
      </c>
      <c r="M474" t="s">
        <v>45</v>
      </c>
      <c r="N474" s="7">
        <v>1</v>
      </c>
      <c r="O474" s="8">
        <v>45543.621192129627</v>
      </c>
      <c r="P474" s="9">
        <v>45544</v>
      </c>
      <c r="Q474" t="s">
        <v>46</v>
      </c>
      <c r="R474" t="s">
        <v>47</v>
      </c>
      <c r="S474" t="s">
        <v>48</v>
      </c>
      <c r="T474" t="s">
        <v>75</v>
      </c>
      <c r="U474" t="s">
        <v>1516</v>
      </c>
      <c r="V474">
        <v>17500</v>
      </c>
      <c r="W474" t="s">
        <v>47</v>
      </c>
      <c r="X474" t="s">
        <v>145</v>
      </c>
      <c r="Y474" t="s">
        <v>52</v>
      </c>
      <c r="Z474" s="10">
        <f t="shared" si="63"/>
        <v>9</v>
      </c>
      <c r="AA474" s="11">
        <v>-2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64"/>
        <v>0.42</v>
      </c>
      <c r="AG474" s="11">
        <f t="shared" si="61"/>
        <v>7.42</v>
      </c>
      <c r="AH474" s="11">
        <v>0</v>
      </c>
      <c r="AI474" s="11">
        <f t="shared" si="62"/>
        <v>7.42</v>
      </c>
      <c r="AJ474" t="s">
        <v>53</v>
      </c>
    </row>
    <row r="475" spans="1:36" ht="15" customHeight="1" x14ac:dyDescent="0.35">
      <c r="A475">
        <v>7547676</v>
      </c>
      <c r="B475" t="s">
        <v>36</v>
      </c>
      <c r="C475" t="s">
        <v>37</v>
      </c>
      <c r="D475" s="6" t="s">
        <v>36</v>
      </c>
      <c r="E475" t="s">
        <v>1524</v>
      </c>
      <c r="F475" t="s">
        <v>39</v>
      </c>
      <c r="G475" t="s">
        <v>40</v>
      </c>
      <c r="H475" t="s">
        <v>1525</v>
      </c>
      <c r="I475" t="s">
        <v>42</v>
      </c>
      <c r="J475">
        <v>2</v>
      </c>
      <c r="K475" t="s">
        <v>43</v>
      </c>
      <c r="L475" t="s">
        <v>44</v>
      </c>
      <c r="M475" t="s">
        <v>45</v>
      </c>
      <c r="N475" s="7">
        <v>1</v>
      </c>
      <c r="O475" s="8">
        <v>45543.74795138889</v>
      </c>
      <c r="P475" s="9">
        <v>45544</v>
      </c>
      <c r="Q475" t="s">
        <v>46</v>
      </c>
      <c r="R475" t="s">
        <v>47</v>
      </c>
      <c r="S475" t="s">
        <v>48</v>
      </c>
      <c r="T475" t="s">
        <v>75</v>
      </c>
      <c r="U475" t="s">
        <v>1526</v>
      </c>
      <c r="V475">
        <v>17500</v>
      </c>
      <c r="W475" t="s">
        <v>47</v>
      </c>
      <c r="X475" t="s">
        <v>145</v>
      </c>
      <c r="Y475" t="s">
        <v>52</v>
      </c>
      <c r="Z475" s="10">
        <f t="shared" si="63"/>
        <v>9</v>
      </c>
      <c r="AA475" s="11">
        <v>-2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64"/>
        <v>0.42</v>
      </c>
      <c r="AG475" s="11">
        <f t="shared" si="61"/>
        <v>7.42</v>
      </c>
      <c r="AH475" s="11">
        <v>0</v>
      </c>
      <c r="AI475" s="11">
        <f t="shared" si="62"/>
        <v>7.42</v>
      </c>
      <c r="AJ475" t="s">
        <v>53</v>
      </c>
    </row>
    <row r="476" spans="1:36" ht="15" customHeight="1" x14ac:dyDescent="0.35">
      <c r="A476">
        <v>7547676</v>
      </c>
      <c r="B476" t="s">
        <v>36</v>
      </c>
      <c r="C476" t="s">
        <v>37</v>
      </c>
      <c r="D476" s="6" t="s">
        <v>36</v>
      </c>
      <c r="E476" t="s">
        <v>1527</v>
      </c>
      <c r="F476" t="s">
        <v>39</v>
      </c>
      <c r="G476" t="s">
        <v>40</v>
      </c>
      <c r="H476" t="s">
        <v>1528</v>
      </c>
      <c r="I476" t="s">
        <v>42</v>
      </c>
      <c r="J476">
        <v>2</v>
      </c>
      <c r="K476" t="s">
        <v>43</v>
      </c>
      <c r="L476" t="s">
        <v>44</v>
      </c>
      <c r="M476" t="s">
        <v>45</v>
      </c>
      <c r="N476" s="7">
        <v>1</v>
      </c>
      <c r="O476" s="8">
        <v>45539.828935185185</v>
      </c>
      <c r="P476" s="9">
        <v>45544</v>
      </c>
      <c r="Q476" t="s">
        <v>46</v>
      </c>
      <c r="R476" t="s">
        <v>47</v>
      </c>
      <c r="S476" t="s">
        <v>48</v>
      </c>
      <c r="T476" t="s">
        <v>90</v>
      </c>
      <c r="U476" t="s">
        <v>1529</v>
      </c>
      <c r="V476">
        <v>88450</v>
      </c>
      <c r="W476" t="s">
        <v>92</v>
      </c>
      <c r="X476" t="s">
        <v>51</v>
      </c>
      <c r="Y476" t="s">
        <v>52</v>
      </c>
      <c r="Z476" s="12">
        <f>IF(N476&lt;=1,13,IF(N476&lt;=2,23,IF(N476&lt;=3,35,IF(N476&lt;=4,43,IF(N476&lt;=5,53,IF(N476&lt;=6,63,IF(N476&lt;=7,71,IF(N476&lt;=8,79,IF(N476&lt;=9,87,IF(N476&lt;=10,95,IF(N476&lt;=11,105,IF(N476&lt;=12,114,IF(N476&lt;=13,119,IF(N476&lt;=14,127,IF(N476&lt;=15,135,IF(N476&lt;=16,143,IF(N476&lt;=17,153,IF(N476&lt;=18,163,IF(N476&lt;=19,171,IF(N476&lt;=20,185,IF(N476&lt;=21,193,IF(N476&lt;=22,201,IF(N476&lt;=23,210,IF(N476&lt;=24,220,IF(N476&lt;=25,230,IF(N476&lt;=26,240,IF(N476&lt;=27,250,IF(N476&lt;=28,260,IF(N476&lt;=29,270,IF(N476&lt;=30,280,280+10*ROUNDUP(N476-30,0)))))))))))))))))))))))))))))))</f>
        <v>13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64"/>
        <v>0.78</v>
      </c>
      <c r="AG476" s="11">
        <f t="shared" si="61"/>
        <v>13.78</v>
      </c>
      <c r="AH476" s="11">
        <v>0</v>
      </c>
      <c r="AI476" s="11">
        <f t="shared" si="62"/>
        <v>13.78</v>
      </c>
      <c r="AJ476" t="s">
        <v>94</v>
      </c>
    </row>
    <row r="477" spans="1:36" ht="15" customHeight="1" x14ac:dyDescent="0.35">
      <c r="A477">
        <v>7547676</v>
      </c>
      <c r="B477" t="s">
        <v>36</v>
      </c>
      <c r="C477" t="s">
        <v>37</v>
      </c>
      <c r="D477" s="6" t="s">
        <v>36</v>
      </c>
      <c r="E477" t="s">
        <v>1530</v>
      </c>
      <c r="F477" t="s">
        <v>39</v>
      </c>
      <c r="G477" t="s">
        <v>40</v>
      </c>
      <c r="H477" t="s">
        <v>1531</v>
      </c>
      <c r="I477" t="s">
        <v>42</v>
      </c>
      <c r="J477">
        <v>2</v>
      </c>
      <c r="K477" t="s">
        <v>43</v>
      </c>
      <c r="L477" t="s">
        <v>44</v>
      </c>
      <c r="M477" t="s">
        <v>45</v>
      </c>
      <c r="N477" s="7">
        <v>1</v>
      </c>
      <c r="O477" s="8">
        <v>45541.804016203707</v>
      </c>
      <c r="P477" s="9">
        <v>45544</v>
      </c>
      <c r="Q477" t="s">
        <v>46</v>
      </c>
      <c r="R477" t="s">
        <v>47</v>
      </c>
      <c r="S477" t="s">
        <v>48</v>
      </c>
      <c r="T477" t="s">
        <v>123</v>
      </c>
      <c r="U477" t="s">
        <v>1532</v>
      </c>
      <c r="V477">
        <v>68100</v>
      </c>
      <c r="W477" t="s">
        <v>47</v>
      </c>
      <c r="X477" t="s">
        <v>474</v>
      </c>
      <c r="Y477" t="s">
        <v>52</v>
      </c>
      <c r="Z477" s="10">
        <f t="shared" ref="Z477:Z495" si="65">IF(N477&lt;=1,9,9+0.8*ROUNDUP(N477-1,0))</f>
        <v>9</v>
      </c>
      <c r="AA477" s="11">
        <v>-2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64"/>
        <v>0.42</v>
      </c>
      <c r="AG477" s="11">
        <f t="shared" si="61"/>
        <v>7.42</v>
      </c>
      <c r="AH477" s="11">
        <v>0</v>
      </c>
      <c r="AI477" s="11">
        <f t="shared" si="62"/>
        <v>7.42</v>
      </c>
      <c r="AJ477" t="s">
        <v>53</v>
      </c>
    </row>
    <row r="478" spans="1:36" ht="15" customHeight="1" x14ac:dyDescent="0.35">
      <c r="A478">
        <v>7547676</v>
      </c>
      <c r="B478" t="s">
        <v>36</v>
      </c>
      <c r="C478" t="s">
        <v>37</v>
      </c>
      <c r="D478" s="6" t="s">
        <v>36</v>
      </c>
      <c r="E478" t="s">
        <v>1533</v>
      </c>
      <c r="F478" t="s">
        <v>39</v>
      </c>
      <c r="G478" t="s">
        <v>40</v>
      </c>
      <c r="H478" t="s">
        <v>1534</v>
      </c>
      <c r="I478" t="s">
        <v>42</v>
      </c>
      <c r="J478">
        <v>2</v>
      </c>
      <c r="K478" t="s">
        <v>43</v>
      </c>
      <c r="L478" t="s">
        <v>44</v>
      </c>
      <c r="M478" t="s">
        <v>45</v>
      </c>
      <c r="N478" s="7">
        <v>1</v>
      </c>
      <c r="O478" s="8">
        <v>45543.553078703706</v>
      </c>
      <c r="P478" s="9">
        <v>45544</v>
      </c>
      <c r="Q478" t="s">
        <v>46</v>
      </c>
      <c r="R478" t="s">
        <v>47</v>
      </c>
      <c r="S478" t="s">
        <v>48</v>
      </c>
      <c r="T478" t="s">
        <v>123</v>
      </c>
      <c r="U478" t="s">
        <v>1535</v>
      </c>
      <c r="V478">
        <v>43600</v>
      </c>
      <c r="W478" t="s">
        <v>47</v>
      </c>
      <c r="X478" t="s">
        <v>454</v>
      </c>
      <c r="Y478" t="s">
        <v>52</v>
      </c>
      <c r="Z478" s="10">
        <f t="shared" si="65"/>
        <v>9</v>
      </c>
      <c r="AA478" s="11">
        <v>-2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64"/>
        <v>0.42</v>
      </c>
      <c r="AG478" s="11">
        <f t="shared" si="61"/>
        <v>7.42</v>
      </c>
      <c r="AH478" s="11">
        <v>0</v>
      </c>
      <c r="AI478" s="11">
        <f t="shared" si="62"/>
        <v>7.42</v>
      </c>
      <c r="AJ478" t="s">
        <v>53</v>
      </c>
    </row>
    <row r="479" spans="1:36" ht="15" customHeight="1" x14ac:dyDescent="0.35">
      <c r="A479">
        <v>7547676</v>
      </c>
      <c r="B479" t="s">
        <v>36</v>
      </c>
      <c r="C479" t="s">
        <v>37</v>
      </c>
      <c r="D479" s="6" t="s">
        <v>36</v>
      </c>
      <c r="E479" t="s">
        <v>1536</v>
      </c>
      <c r="F479" t="s">
        <v>39</v>
      </c>
      <c r="G479" t="s">
        <v>40</v>
      </c>
      <c r="H479" t="s">
        <v>1537</v>
      </c>
      <c r="I479" t="s">
        <v>42</v>
      </c>
      <c r="J479">
        <v>2</v>
      </c>
      <c r="K479" t="s">
        <v>43</v>
      </c>
      <c r="L479" t="s">
        <v>44</v>
      </c>
      <c r="M479" t="s">
        <v>45</v>
      </c>
      <c r="N479" s="7">
        <v>1</v>
      </c>
      <c r="O479" s="8">
        <v>45543.553078703706</v>
      </c>
      <c r="P479" s="9">
        <v>45544</v>
      </c>
      <c r="Q479" t="s">
        <v>46</v>
      </c>
      <c r="R479" t="s">
        <v>47</v>
      </c>
      <c r="S479" t="s">
        <v>48</v>
      </c>
      <c r="T479" t="s">
        <v>61</v>
      </c>
      <c r="U479" t="s">
        <v>1538</v>
      </c>
      <c r="V479">
        <v>20050</v>
      </c>
      <c r="W479" t="s">
        <v>47</v>
      </c>
      <c r="X479" t="s">
        <v>63</v>
      </c>
      <c r="Y479" t="s">
        <v>52</v>
      </c>
      <c r="Z479" s="10">
        <f t="shared" si="65"/>
        <v>9</v>
      </c>
      <c r="AA479" s="11">
        <v>-2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64"/>
        <v>0.42</v>
      </c>
      <c r="AG479" s="11">
        <f t="shared" si="61"/>
        <v>7.42</v>
      </c>
      <c r="AH479" s="11">
        <v>0</v>
      </c>
      <c r="AI479" s="11">
        <f t="shared" si="62"/>
        <v>7.42</v>
      </c>
      <c r="AJ479" t="s">
        <v>53</v>
      </c>
    </row>
    <row r="480" spans="1:36" ht="15" customHeight="1" x14ac:dyDescent="0.35">
      <c r="A480">
        <v>7547676</v>
      </c>
      <c r="B480" t="s">
        <v>36</v>
      </c>
      <c r="C480" t="s">
        <v>37</v>
      </c>
      <c r="D480" s="6" t="s">
        <v>36</v>
      </c>
      <c r="E480" t="s">
        <v>1539</v>
      </c>
      <c r="F480" t="s">
        <v>39</v>
      </c>
      <c r="G480" t="s">
        <v>40</v>
      </c>
      <c r="H480" t="s">
        <v>1540</v>
      </c>
      <c r="I480" t="s">
        <v>42</v>
      </c>
      <c r="J480">
        <v>2</v>
      </c>
      <c r="K480" t="s">
        <v>43</v>
      </c>
      <c r="L480" t="s">
        <v>44</v>
      </c>
      <c r="M480" t="s">
        <v>45</v>
      </c>
      <c r="N480" s="7">
        <v>1</v>
      </c>
      <c r="O480" s="8">
        <v>45543.74795138889</v>
      </c>
      <c r="P480" s="9">
        <v>45544</v>
      </c>
      <c r="Q480" t="s">
        <v>46</v>
      </c>
      <c r="R480" t="s">
        <v>47</v>
      </c>
      <c r="S480" t="s">
        <v>48</v>
      </c>
      <c r="T480" t="s">
        <v>75</v>
      </c>
      <c r="U480" t="s">
        <v>1541</v>
      </c>
      <c r="V480">
        <v>17060</v>
      </c>
      <c r="W480" t="s">
        <v>47</v>
      </c>
      <c r="X480" t="s">
        <v>145</v>
      </c>
      <c r="Y480" t="s">
        <v>52</v>
      </c>
      <c r="Z480" s="10">
        <f t="shared" si="65"/>
        <v>9</v>
      </c>
      <c r="AA480" s="11">
        <v>-2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64"/>
        <v>0.42</v>
      </c>
      <c r="AG480" s="11">
        <f t="shared" si="61"/>
        <v>7.42</v>
      </c>
      <c r="AH480" s="11">
        <v>0</v>
      </c>
      <c r="AI480" s="11">
        <f t="shared" si="62"/>
        <v>7.42</v>
      </c>
      <c r="AJ480" t="s">
        <v>53</v>
      </c>
    </row>
    <row r="481" spans="1:36" ht="15" customHeight="1" x14ac:dyDescent="0.35">
      <c r="A481">
        <v>7547676</v>
      </c>
      <c r="B481" t="s">
        <v>36</v>
      </c>
      <c r="C481" t="s">
        <v>37</v>
      </c>
      <c r="D481" s="6" t="s">
        <v>36</v>
      </c>
      <c r="E481" t="s">
        <v>1542</v>
      </c>
      <c r="F481" t="s">
        <v>39</v>
      </c>
      <c r="G481" t="s">
        <v>40</v>
      </c>
      <c r="H481" t="s">
        <v>1543</v>
      </c>
      <c r="I481" t="s">
        <v>42</v>
      </c>
      <c r="J481">
        <v>2</v>
      </c>
      <c r="K481" t="s">
        <v>43</v>
      </c>
      <c r="L481" t="s">
        <v>44</v>
      </c>
      <c r="M481" t="s">
        <v>45</v>
      </c>
      <c r="N481" s="7">
        <v>1</v>
      </c>
      <c r="O481" s="8">
        <v>45542.714942129627</v>
      </c>
      <c r="P481" s="9">
        <v>45544</v>
      </c>
      <c r="Q481" t="s">
        <v>46</v>
      </c>
      <c r="R481" t="s">
        <v>47</v>
      </c>
      <c r="S481" t="s">
        <v>48</v>
      </c>
      <c r="T481" t="s">
        <v>104</v>
      </c>
      <c r="U481" t="s">
        <v>1544</v>
      </c>
      <c r="V481">
        <v>76450</v>
      </c>
      <c r="W481" t="s">
        <v>47</v>
      </c>
      <c r="X481" t="s">
        <v>350</v>
      </c>
      <c r="Y481" t="s">
        <v>52</v>
      </c>
      <c r="Z481" s="10">
        <f t="shared" si="65"/>
        <v>9</v>
      </c>
      <c r="AA481" s="11">
        <v>-2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64"/>
        <v>0.42</v>
      </c>
      <c r="AG481" s="11">
        <f t="shared" si="61"/>
        <v>7.42</v>
      </c>
      <c r="AH481" s="11">
        <v>0</v>
      </c>
      <c r="AI481" s="11">
        <f t="shared" si="62"/>
        <v>7.42</v>
      </c>
      <c r="AJ481" t="s">
        <v>53</v>
      </c>
    </row>
    <row r="482" spans="1:36" ht="15" customHeight="1" x14ac:dyDescent="0.35">
      <c r="A482">
        <v>7547676</v>
      </c>
      <c r="B482" t="s">
        <v>36</v>
      </c>
      <c r="C482" t="s">
        <v>37</v>
      </c>
      <c r="D482" s="6" t="s">
        <v>36</v>
      </c>
      <c r="E482" t="s">
        <v>1545</v>
      </c>
      <c r="F482" t="s">
        <v>39</v>
      </c>
      <c r="G482" t="s">
        <v>40</v>
      </c>
      <c r="H482" t="s">
        <v>1546</v>
      </c>
      <c r="I482" t="s">
        <v>42</v>
      </c>
      <c r="J482">
        <v>2</v>
      </c>
      <c r="K482" t="s">
        <v>43</v>
      </c>
      <c r="L482" t="s">
        <v>44</v>
      </c>
      <c r="M482" t="s">
        <v>45</v>
      </c>
      <c r="N482" s="7">
        <v>6</v>
      </c>
      <c r="O482" s="8">
        <v>45538.622870370367</v>
      </c>
      <c r="P482" s="9">
        <v>45544</v>
      </c>
      <c r="Q482" t="s">
        <v>46</v>
      </c>
      <c r="R482" t="s">
        <v>47</v>
      </c>
      <c r="S482" t="s">
        <v>48</v>
      </c>
      <c r="T482" t="s">
        <v>128</v>
      </c>
      <c r="U482" t="s">
        <v>1547</v>
      </c>
      <c r="V482">
        <v>51100</v>
      </c>
      <c r="W482" t="s">
        <v>47</v>
      </c>
      <c r="X482" t="s">
        <v>51</v>
      </c>
      <c r="Y482" t="s">
        <v>52</v>
      </c>
      <c r="Z482" s="10">
        <f t="shared" si="65"/>
        <v>13</v>
      </c>
      <c r="AA482" s="11">
        <v>-2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64"/>
        <v>0.65999999999999992</v>
      </c>
      <c r="AG482" s="11">
        <f t="shared" si="61"/>
        <v>11.66</v>
      </c>
      <c r="AH482" s="11">
        <v>0</v>
      </c>
      <c r="AI482" s="11">
        <f t="shared" si="62"/>
        <v>11.66</v>
      </c>
      <c r="AJ482" t="s">
        <v>53</v>
      </c>
    </row>
    <row r="483" spans="1:36" ht="15" customHeight="1" x14ac:dyDescent="0.35">
      <c r="A483">
        <v>7547676</v>
      </c>
      <c r="B483" t="s">
        <v>36</v>
      </c>
      <c r="C483" t="s">
        <v>37</v>
      </c>
      <c r="D483" s="6" t="s">
        <v>36</v>
      </c>
      <c r="E483" t="s">
        <v>1548</v>
      </c>
      <c r="F483" t="s">
        <v>39</v>
      </c>
      <c r="G483" t="s">
        <v>40</v>
      </c>
      <c r="H483" t="s">
        <v>1549</v>
      </c>
      <c r="I483" t="s">
        <v>42</v>
      </c>
      <c r="J483">
        <v>2</v>
      </c>
      <c r="K483" t="s">
        <v>43</v>
      </c>
      <c r="L483" t="s">
        <v>44</v>
      </c>
      <c r="M483" t="s">
        <v>45</v>
      </c>
      <c r="N483" s="7">
        <v>22</v>
      </c>
      <c r="O483" s="8">
        <v>45542.541076388887</v>
      </c>
      <c r="P483" s="9">
        <v>45544</v>
      </c>
      <c r="Q483" t="s">
        <v>46</v>
      </c>
      <c r="R483" t="s">
        <v>47</v>
      </c>
      <c r="S483" t="s">
        <v>48</v>
      </c>
      <c r="T483" t="s">
        <v>136</v>
      </c>
      <c r="U483" t="s">
        <v>1550</v>
      </c>
      <c r="V483">
        <v>36000</v>
      </c>
      <c r="W483" t="s">
        <v>47</v>
      </c>
      <c r="X483" t="s">
        <v>1551</v>
      </c>
      <c r="Y483" t="s">
        <v>52</v>
      </c>
      <c r="Z483" s="10">
        <f t="shared" si="65"/>
        <v>25.8</v>
      </c>
      <c r="AA483" s="11">
        <v>-2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64"/>
        <v>1.4279999999999999</v>
      </c>
      <c r="AG483" s="11">
        <f t="shared" si="61"/>
        <v>25.228000000000002</v>
      </c>
      <c r="AH483" s="11">
        <v>0</v>
      </c>
      <c r="AI483" s="11">
        <f t="shared" si="62"/>
        <v>25.228000000000002</v>
      </c>
      <c r="AJ483" t="s">
        <v>53</v>
      </c>
    </row>
    <row r="484" spans="1:36" ht="15" customHeight="1" x14ac:dyDescent="0.35">
      <c r="A484">
        <v>7547676</v>
      </c>
      <c r="B484" t="s">
        <v>36</v>
      </c>
      <c r="C484" t="s">
        <v>37</v>
      </c>
      <c r="D484" s="6" t="s">
        <v>36</v>
      </c>
      <c r="E484" t="s">
        <v>1552</v>
      </c>
      <c r="F484" t="s">
        <v>39</v>
      </c>
      <c r="G484" t="s">
        <v>40</v>
      </c>
      <c r="H484" t="s">
        <v>1549</v>
      </c>
      <c r="I484" t="s">
        <v>42</v>
      </c>
      <c r="J484">
        <v>2</v>
      </c>
      <c r="K484" t="s">
        <v>43</v>
      </c>
      <c r="L484" t="s">
        <v>44</v>
      </c>
      <c r="M484" t="s">
        <v>45</v>
      </c>
      <c r="N484" s="7">
        <v>8</v>
      </c>
      <c r="O484" s="8">
        <v>45542.541076388887</v>
      </c>
      <c r="P484" s="9">
        <v>45544</v>
      </c>
      <c r="Q484" t="s">
        <v>46</v>
      </c>
      <c r="R484" t="s">
        <v>47</v>
      </c>
      <c r="S484" t="s">
        <v>48</v>
      </c>
      <c r="T484" t="s">
        <v>136</v>
      </c>
      <c r="U484" t="s">
        <v>1550</v>
      </c>
      <c r="V484">
        <v>36000</v>
      </c>
      <c r="W484" t="s">
        <v>47</v>
      </c>
      <c r="X484" t="s">
        <v>1551</v>
      </c>
      <c r="Y484" t="s">
        <v>52</v>
      </c>
      <c r="Z484" s="10">
        <f t="shared" si="65"/>
        <v>14.600000000000001</v>
      </c>
      <c r="AA484" s="11">
        <v>-2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64"/>
        <v>0.75600000000000001</v>
      </c>
      <c r="AG484" s="11">
        <f t="shared" si="61"/>
        <v>13.356000000000002</v>
      </c>
      <c r="AH484" s="11">
        <v>0</v>
      </c>
      <c r="AI484" s="11">
        <f t="shared" si="62"/>
        <v>13.356000000000002</v>
      </c>
      <c r="AJ484" t="s">
        <v>53</v>
      </c>
    </row>
    <row r="485" spans="1:36" ht="15" customHeight="1" x14ac:dyDescent="0.35">
      <c r="A485">
        <v>7547676</v>
      </c>
      <c r="B485" t="s">
        <v>36</v>
      </c>
      <c r="C485" t="s">
        <v>37</v>
      </c>
      <c r="D485" s="6" t="s">
        <v>36</v>
      </c>
      <c r="E485" t="s">
        <v>1553</v>
      </c>
      <c r="F485" t="s">
        <v>39</v>
      </c>
      <c r="G485" t="s">
        <v>40</v>
      </c>
      <c r="H485" t="s">
        <v>1554</v>
      </c>
      <c r="I485" t="s">
        <v>42</v>
      </c>
      <c r="J485">
        <v>2</v>
      </c>
      <c r="K485" t="s">
        <v>43</v>
      </c>
      <c r="L485" t="s">
        <v>44</v>
      </c>
      <c r="M485" t="s">
        <v>45</v>
      </c>
      <c r="N485" s="7">
        <v>1</v>
      </c>
      <c r="O485" s="8">
        <v>45543.599849537037</v>
      </c>
      <c r="P485" s="9">
        <v>45544</v>
      </c>
      <c r="Q485" t="s">
        <v>46</v>
      </c>
      <c r="R485" t="s">
        <v>47</v>
      </c>
      <c r="S485" t="s">
        <v>48</v>
      </c>
      <c r="T485" t="s">
        <v>75</v>
      </c>
      <c r="U485" t="s">
        <v>1555</v>
      </c>
      <c r="V485">
        <v>18300</v>
      </c>
      <c r="W485" t="s">
        <v>47</v>
      </c>
      <c r="X485" t="s">
        <v>145</v>
      </c>
      <c r="Y485" t="s">
        <v>52</v>
      </c>
      <c r="Z485" s="10">
        <f t="shared" si="65"/>
        <v>9</v>
      </c>
      <c r="AA485" s="11">
        <v>-2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64"/>
        <v>0.42</v>
      </c>
      <c r="AG485" s="11">
        <f t="shared" si="61"/>
        <v>7.42</v>
      </c>
      <c r="AH485" s="11">
        <v>0</v>
      </c>
      <c r="AI485" s="11">
        <f t="shared" si="62"/>
        <v>7.42</v>
      </c>
      <c r="AJ485" t="s">
        <v>53</v>
      </c>
    </row>
    <row r="486" spans="1:36" ht="15" customHeight="1" x14ac:dyDescent="0.35">
      <c r="A486">
        <v>7547676</v>
      </c>
      <c r="B486" t="s">
        <v>36</v>
      </c>
      <c r="C486" t="s">
        <v>37</v>
      </c>
      <c r="D486" s="6" t="s">
        <v>36</v>
      </c>
      <c r="E486" t="s">
        <v>1556</v>
      </c>
      <c r="F486" t="s">
        <v>39</v>
      </c>
      <c r="G486" t="s">
        <v>40</v>
      </c>
      <c r="H486" t="s">
        <v>1557</v>
      </c>
      <c r="I486" t="s">
        <v>42</v>
      </c>
      <c r="J486">
        <v>2</v>
      </c>
      <c r="K486" t="s">
        <v>43</v>
      </c>
      <c r="L486" t="s">
        <v>44</v>
      </c>
      <c r="M486" t="s">
        <v>45</v>
      </c>
      <c r="N486" s="7">
        <v>1</v>
      </c>
      <c r="O486" s="8">
        <v>45542.72216435185</v>
      </c>
      <c r="P486" s="9">
        <v>45544</v>
      </c>
      <c r="Q486" t="s">
        <v>46</v>
      </c>
      <c r="R486" t="s">
        <v>47</v>
      </c>
      <c r="S486" t="s">
        <v>48</v>
      </c>
      <c r="T486" t="s">
        <v>80</v>
      </c>
      <c r="U486" t="s">
        <v>1558</v>
      </c>
      <c r="V486">
        <v>12000</v>
      </c>
      <c r="W486" t="s">
        <v>47</v>
      </c>
      <c r="X486" t="s">
        <v>525</v>
      </c>
      <c r="Y486" t="s">
        <v>52</v>
      </c>
      <c r="Z486" s="10">
        <f t="shared" si="65"/>
        <v>9</v>
      </c>
      <c r="AA486" s="11">
        <v>-2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64"/>
        <v>0.42</v>
      </c>
      <c r="AG486" s="11">
        <f t="shared" si="61"/>
        <v>7.42</v>
      </c>
      <c r="AH486" s="11">
        <v>0</v>
      </c>
      <c r="AI486" s="11">
        <f t="shared" si="62"/>
        <v>7.42</v>
      </c>
      <c r="AJ486" t="s">
        <v>53</v>
      </c>
    </row>
    <row r="487" spans="1:36" ht="15" customHeight="1" x14ac:dyDescent="0.35">
      <c r="A487">
        <v>7547676</v>
      </c>
      <c r="B487" t="s">
        <v>36</v>
      </c>
      <c r="C487" t="s">
        <v>37</v>
      </c>
      <c r="D487" s="6" t="s">
        <v>36</v>
      </c>
      <c r="E487" t="s">
        <v>1559</v>
      </c>
      <c r="F487" t="s">
        <v>39</v>
      </c>
      <c r="G487" t="s">
        <v>40</v>
      </c>
      <c r="H487" t="s">
        <v>1560</v>
      </c>
      <c r="I487" t="s">
        <v>42</v>
      </c>
      <c r="J487">
        <v>2</v>
      </c>
      <c r="K487" t="s">
        <v>43</v>
      </c>
      <c r="L487" t="s">
        <v>44</v>
      </c>
      <c r="M487" t="s">
        <v>45</v>
      </c>
      <c r="N487" s="7">
        <v>3</v>
      </c>
      <c r="O487" s="8">
        <v>45539.839768518519</v>
      </c>
      <c r="P487" s="9">
        <v>45544</v>
      </c>
      <c r="Q487" t="s">
        <v>46</v>
      </c>
      <c r="R487" t="s">
        <v>47</v>
      </c>
      <c r="S487" t="s">
        <v>48</v>
      </c>
      <c r="T487" t="s">
        <v>123</v>
      </c>
      <c r="U487" t="s">
        <v>1561</v>
      </c>
      <c r="V487">
        <v>42500</v>
      </c>
      <c r="W487" t="s">
        <v>47</v>
      </c>
      <c r="X487" t="s">
        <v>235</v>
      </c>
      <c r="Y487" t="s">
        <v>52</v>
      </c>
      <c r="Z487" s="10">
        <f t="shared" si="65"/>
        <v>10.6</v>
      </c>
      <c r="AA487" s="11">
        <v>-2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64"/>
        <v>0.51600000000000001</v>
      </c>
      <c r="AG487" s="11">
        <f t="shared" si="61"/>
        <v>9.1159999999999997</v>
      </c>
      <c r="AH487" s="11">
        <v>0</v>
      </c>
      <c r="AI487" s="11">
        <f t="shared" si="62"/>
        <v>9.1159999999999997</v>
      </c>
      <c r="AJ487" t="s">
        <v>53</v>
      </c>
    </row>
    <row r="488" spans="1:36" ht="15" customHeight="1" x14ac:dyDescent="0.35">
      <c r="A488">
        <v>7547676</v>
      </c>
      <c r="B488" t="s">
        <v>36</v>
      </c>
      <c r="C488" t="s">
        <v>37</v>
      </c>
      <c r="D488" s="6" t="s">
        <v>36</v>
      </c>
      <c r="E488" t="s">
        <v>1562</v>
      </c>
      <c r="F488" t="s">
        <v>39</v>
      </c>
      <c r="G488" t="s">
        <v>40</v>
      </c>
      <c r="H488" t="s">
        <v>1563</v>
      </c>
      <c r="I488" t="s">
        <v>42</v>
      </c>
      <c r="J488">
        <v>2</v>
      </c>
      <c r="K488" t="s">
        <v>43</v>
      </c>
      <c r="L488" t="s">
        <v>44</v>
      </c>
      <c r="M488" t="s">
        <v>45</v>
      </c>
      <c r="N488" s="7">
        <v>23</v>
      </c>
      <c r="O488" s="8">
        <v>45542.661979166667</v>
      </c>
      <c r="P488" s="9">
        <v>45544</v>
      </c>
      <c r="Q488" t="s">
        <v>46</v>
      </c>
      <c r="R488" t="s">
        <v>47</v>
      </c>
      <c r="S488" t="s">
        <v>48</v>
      </c>
      <c r="T488" t="s">
        <v>66</v>
      </c>
      <c r="U488" t="s">
        <v>1564</v>
      </c>
      <c r="V488">
        <v>81800</v>
      </c>
      <c r="W488" t="s">
        <v>47</v>
      </c>
      <c r="X488" t="s">
        <v>1464</v>
      </c>
      <c r="Y488" t="s">
        <v>52</v>
      </c>
      <c r="Z488" s="10">
        <f t="shared" si="65"/>
        <v>26.6</v>
      </c>
      <c r="AA488" s="11">
        <v>-2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64"/>
        <v>1.476</v>
      </c>
      <c r="AG488" s="11">
        <f t="shared" si="61"/>
        <v>26.076000000000001</v>
      </c>
      <c r="AH488" s="11">
        <v>0</v>
      </c>
      <c r="AI488" s="11">
        <f t="shared" si="62"/>
        <v>26.076000000000001</v>
      </c>
      <c r="AJ488" t="s">
        <v>53</v>
      </c>
    </row>
    <row r="489" spans="1:36" ht="15" customHeight="1" x14ac:dyDescent="0.35">
      <c r="A489">
        <v>7547676</v>
      </c>
      <c r="B489" t="s">
        <v>36</v>
      </c>
      <c r="C489" t="s">
        <v>37</v>
      </c>
      <c r="D489" s="6" t="s">
        <v>36</v>
      </c>
      <c r="E489" t="s">
        <v>1565</v>
      </c>
      <c r="F489" t="s">
        <v>39</v>
      </c>
      <c r="G489" t="s">
        <v>40</v>
      </c>
      <c r="H489" t="s">
        <v>1566</v>
      </c>
      <c r="I489" t="s">
        <v>42</v>
      </c>
      <c r="J489">
        <v>2</v>
      </c>
      <c r="K489" t="s">
        <v>43</v>
      </c>
      <c r="L489" t="s">
        <v>44</v>
      </c>
      <c r="M489" t="s">
        <v>45</v>
      </c>
      <c r="N489" s="7">
        <v>3</v>
      </c>
      <c r="O489" s="8">
        <v>45541.782256944447</v>
      </c>
      <c r="P489" s="9">
        <v>45544</v>
      </c>
      <c r="Q489" t="s">
        <v>46</v>
      </c>
      <c r="R489" t="s">
        <v>47</v>
      </c>
      <c r="S489" t="s">
        <v>48</v>
      </c>
      <c r="T489" t="s">
        <v>123</v>
      </c>
      <c r="U489" t="s">
        <v>1567</v>
      </c>
      <c r="V489">
        <v>68100</v>
      </c>
      <c r="W489" t="s">
        <v>47</v>
      </c>
      <c r="X489" t="s">
        <v>474</v>
      </c>
      <c r="Y489" t="s">
        <v>52</v>
      </c>
      <c r="Z489" s="10">
        <f t="shared" si="65"/>
        <v>10.6</v>
      </c>
      <c r="AA489" s="11">
        <v>-2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64"/>
        <v>0.51600000000000001</v>
      </c>
      <c r="AG489" s="11">
        <f t="shared" si="61"/>
        <v>9.1159999999999997</v>
      </c>
      <c r="AH489" s="11">
        <v>0</v>
      </c>
      <c r="AI489" s="11">
        <f t="shared" si="62"/>
        <v>9.1159999999999997</v>
      </c>
      <c r="AJ489" t="s">
        <v>53</v>
      </c>
    </row>
    <row r="490" spans="1:36" ht="15" customHeight="1" x14ac:dyDescent="0.35">
      <c r="A490">
        <v>7547676</v>
      </c>
      <c r="B490" t="s">
        <v>36</v>
      </c>
      <c r="C490" t="s">
        <v>37</v>
      </c>
      <c r="D490" s="6" t="s">
        <v>36</v>
      </c>
      <c r="E490" t="s">
        <v>1568</v>
      </c>
      <c r="F490" t="s">
        <v>39</v>
      </c>
      <c r="G490" t="s">
        <v>40</v>
      </c>
      <c r="H490" t="s">
        <v>1569</v>
      </c>
      <c r="I490" t="s">
        <v>42</v>
      </c>
      <c r="J490">
        <v>2</v>
      </c>
      <c r="K490" t="s">
        <v>43</v>
      </c>
      <c r="L490" t="s">
        <v>44</v>
      </c>
      <c r="M490" t="s">
        <v>45</v>
      </c>
      <c r="N490" s="7">
        <v>20</v>
      </c>
      <c r="O490" s="8">
        <v>45542.488506944443</v>
      </c>
      <c r="P490" s="9">
        <v>45544</v>
      </c>
      <c r="Q490" t="s">
        <v>46</v>
      </c>
      <c r="R490" t="s">
        <v>47</v>
      </c>
      <c r="S490" t="s">
        <v>48</v>
      </c>
      <c r="T490" t="s">
        <v>278</v>
      </c>
      <c r="U490" t="s">
        <v>1570</v>
      </c>
      <c r="V490">
        <v>25350</v>
      </c>
      <c r="W490" t="s">
        <v>47</v>
      </c>
      <c r="X490" t="s">
        <v>1571</v>
      </c>
      <c r="Y490" t="s">
        <v>52</v>
      </c>
      <c r="Z490" s="10">
        <f t="shared" si="65"/>
        <v>24.200000000000003</v>
      </c>
      <c r="AA490" s="11">
        <v>-2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64"/>
        <v>1.3320000000000001</v>
      </c>
      <c r="AG490" s="11">
        <f t="shared" si="61"/>
        <v>23.532000000000004</v>
      </c>
      <c r="AH490" s="11">
        <v>0</v>
      </c>
      <c r="AI490" s="11">
        <f t="shared" si="62"/>
        <v>23.532000000000004</v>
      </c>
      <c r="AJ490" t="s">
        <v>53</v>
      </c>
    </row>
    <row r="491" spans="1:36" ht="15" customHeight="1" x14ac:dyDescent="0.35">
      <c r="A491">
        <v>7547676</v>
      </c>
      <c r="B491" t="s">
        <v>36</v>
      </c>
      <c r="C491" t="s">
        <v>37</v>
      </c>
      <c r="D491" s="6" t="s">
        <v>36</v>
      </c>
      <c r="E491" t="s">
        <v>1572</v>
      </c>
      <c r="F491" t="s">
        <v>39</v>
      </c>
      <c r="G491" t="s">
        <v>40</v>
      </c>
      <c r="H491" t="s">
        <v>1573</v>
      </c>
      <c r="I491" t="s">
        <v>42</v>
      </c>
      <c r="J491">
        <v>2</v>
      </c>
      <c r="K491" t="s">
        <v>43</v>
      </c>
      <c r="L491" t="s">
        <v>44</v>
      </c>
      <c r="M491" t="s">
        <v>45</v>
      </c>
      <c r="N491" s="7">
        <v>16</v>
      </c>
      <c r="O491" s="8">
        <v>45542.714942129627</v>
      </c>
      <c r="P491" s="9">
        <v>45544</v>
      </c>
      <c r="Q491" t="s">
        <v>46</v>
      </c>
      <c r="R491" t="s">
        <v>47</v>
      </c>
      <c r="S491" t="s">
        <v>48</v>
      </c>
      <c r="T491" t="s">
        <v>80</v>
      </c>
      <c r="U491" t="s">
        <v>1574</v>
      </c>
      <c r="V491">
        <v>11010</v>
      </c>
      <c r="W491" t="s">
        <v>47</v>
      </c>
      <c r="X491" t="s">
        <v>82</v>
      </c>
      <c r="Y491" t="s">
        <v>52</v>
      </c>
      <c r="Z491" s="10">
        <f t="shared" si="65"/>
        <v>21</v>
      </c>
      <c r="AA491" s="11">
        <v>-2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64"/>
        <v>1.1399999999999999</v>
      </c>
      <c r="AG491" s="11">
        <f t="shared" si="61"/>
        <v>20.14</v>
      </c>
      <c r="AH491" s="11">
        <v>0</v>
      </c>
      <c r="AI491" s="11">
        <f t="shared" si="62"/>
        <v>20.14</v>
      </c>
      <c r="AJ491" t="s">
        <v>53</v>
      </c>
    </row>
    <row r="492" spans="1:36" ht="15" customHeight="1" x14ac:dyDescent="0.35">
      <c r="A492">
        <v>7547676</v>
      </c>
      <c r="B492" t="s">
        <v>36</v>
      </c>
      <c r="C492" t="s">
        <v>37</v>
      </c>
      <c r="D492" s="6" t="s">
        <v>36</v>
      </c>
      <c r="E492" t="s">
        <v>1575</v>
      </c>
      <c r="F492" t="s">
        <v>39</v>
      </c>
      <c r="G492" t="s">
        <v>40</v>
      </c>
      <c r="H492" t="s">
        <v>1576</v>
      </c>
      <c r="I492" t="s">
        <v>42</v>
      </c>
      <c r="J492">
        <v>2</v>
      </c>
      <c r="K492" t="s">
        <v>43</v>
      </c>
      <c r="L492" t="s">
        <v>44</v>
      </c>
      <c r="M492" t="s">
        <v>45</v>
      </c>
      <c r="N492" s="7">
        <v>5</v>
      </c>
      <c r="O492" s="8">
        <v>45541.725335648145</v>
      </c>
      <c r="P492" s="9">
        <v>45544</v>
      </c>
      <c r="Q492" t="s">
        <v>46</v>
      </c>
      <c r="R492" t="s">
        <v>47</v>
      </c>
      <c r="S492" t="s">
        <v>48</v>
      </c>
      <c r="T492" t="s">
        <v>123</v>
      </c>
      <c r="U492" t="s">
        <v>1577</v>
      </c>
      <c r="V492">
        <v>40160</v>
      </c>
      <c r="W492" t="s">
        <v>47</v>
      </c>
      <c r="X492" t="s">
        <v>1578</v>
      </c>
      <c r="Y492" t="s">
        <v>52</v>
      </c>
      <c r="Z492" s="10">
        <f t="shared" si="65"/>
        <v>12.2</v>
      </c>
      <c r="AA492" s="11">
        <v>-2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64"/>
        <v>0.61199999999999999</v>
      </c>
      <c r="AG492" s="11">
        <f t="shared" si="61"/>
        <v>10.811999999999999</v>
      </c>
      <c r="AH492" s="11">
        <v>0</v>
      </c>
      <c r="AI492" s="11">
        <f t="shared" si="62"/>
        <v>10.811999999999999</v>
      </c>
      <c r="AJ492" t="s">
        <v>53</v>
      </c>
    </row>
    <row r="493" spans="1:36" ht="15" customHeight="1" x14ac:dyDescent="0.35">
      <c r="A493">
        <v>7547676</v>
      </c>
      <c r="B493" t="s">
        <v>36</v>
      </c>
      <c r="C493" t="s">
        <v>37</v>
      </c>
      <c r="D493" s="6" t="s">
        <v>36</v>
      </c>
      <c r="E493" t="s">
        <v>1579</v>
      </c>
      <c r="F493" t="s">
        <v>39</v>
      </c>
      <c r="G493" t="s">
        <v>40</v>
      </c>
      <c r="H493" t="s">
        <v>1569</v>
      </c>
      <c r="I493" t="s">
        <v>42</v>
      </c>
      <c r="J493">
        <v>2</v>
      </c>
      <c r="K493" t="s">
        <v>43</v>
      </c>
      <c r="L493" t="s">
        <v>44</v>
      </c>
      <c r="M493" t="s">
        <v>45</v>
      </c>
      <c r="N493" s="7">
        <v>17</v>
      </c>
      <c r="O493" s="8">
        <v>45542.488506944443</v>
      </c>
      <c r="P493" s="9">
        <v>45544</v>
      </c>
      <c r="Q493" t="s">
        <v>46</v>
      </c>
      <c r="R493" t="s">
        <v>47</v>
      </c>
      <c r="S493" t="s">
        <v>48</v>
      </c>
      <c r="T493" t="s">
        <v>278</v>
      </c>
      <c r="U493" t="s">
        <v>1570</v>
      </c>
      <c r="V493">
        <v>25350</v>
      </c>
      <c r="W493" t="s">
        <v>47</v>
      </c>
      <c r="X493" t="s">
        <v>1571</v>
      </c>
      <c r="Y493" t="s">
        <v>52</v>
      </c>
      <c r="Z493" s="10">
        <f t="shared" si="65"/>
        <v>21.8</v>
      </c>
      <c r="AA493" s="11">
        <v>-2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64"/>
        <v>1.1879999999999999</v>
      </c>
      <c r="AG493" s="11">
        <f t="shared" si="61"/>
        <v>20.988</v>
      </c>
      <c r="AH493" s="11">
        <v>0</v>
      </c>
      <c r="AI493" s="11">
        <f t="shared" si="62"/>
        <v>20.988</v>
      </c>
      <c r="AJ493" t="s">
        <v>53</v>
      </c>
    </row>
    <row r="494" spans="1:36" ht="15" customHeight="1" x14ac:dyDescent="0.35">
      <c r="A494">
        <v>7547676</v>
      </c>
      <c r="B494" t="s">
        <v>36</v>
      </c>
      <c r="C494" t="s">
        <v>37</v>
      </c>
      <c r="D494" s="6" t="s">
        <v>36</v>
      </c>
      <c r="E494" t="s">
        <v>1580</v>
      </c>
      <c r="F494" t="s">
        <v>39</v>
      </c>
      <c r="G494" t="s">
        <v>40</v>
      </c>
      <c r="H494" t="s">
        <v>1581</v>
      </c>
      <c r="I494" t="s">
        <v>42</v>
      </c>
      <c r="J494">
        <v>2</v>
      </c>
      <c r="K494" t="s">
        <v>43</v>
      </c>
      <c r="L494" t="s">
        <v>44</v>
      </c>
      <c r="M494" t="s">
        <v>45</v>
      </c>
      <c r="N494" s="7">
        <v>1</v>
      </c>
      <c r="O494" s="8">
        <v>45540.732222222221</v>
      </c>
      <c r="P494" s="9">
        <v>45544</v>
      </c>
      <c r="Q494" t="s">
        <v>46</v>
      </c>
      <c r="R494" t="s">
        <v>47</v>
      </c>
      <c r="S494" t="s">
        <v>48</v>
      </c>
      <c r="T494" t="s">
        <v>56</v>
      </c>
      <c r="U494" t="s">
        <v>1582</v>
      </c>
      <c r="V494">
        <v>9800</v>
      </c>
      <c r="W494" t="s">
        <v>47</v>
      </c>
      <c r="X494" t="s">
        <v>538</v>
      </c>
      <c r="Y494" t="s">
        <v>52</v>
      </c>
      <c r="Z494" s="10">
        <f t="shared" si="65"/>
        <v>9</v>
      </c>
      <c r="AA494" s="11">
        <v>-2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64"/>
        <v>0.42</v>
      </c>
      <c r="AG494" s="11">
        <f t="shared" si="61"/>
        <v>7.42</v>
      </c>
      <c r="AH494" s="11">
        <v>0</v>
      </c>
      <c r="AI494" s="11">
        <f t="shared" si="62"/>
        <v>7.42</v>
      </c>
      <c r="AJ494" t="s">
        <v>53</v>
      </c>
    </row>
    <row r="495" spans="1:36" ht="15" customHeight="1" x14ac:dyDescent="0.35">
      <c r="A495">
        <v>7547676</v>
      </c>
      <c r="B495" t="s">
        <v>36</v>
      </c>
      <c r="C495" t="s">
        <v>37</v>
      </c>
      <c r="D495" s="6" t="s">
        <v>36</v>
      </c>
      <c r="E495" t="s">
        <v>1583</v>
      </c>
      <c r="F495" t="s">
        <v>39</v>
      </c>
      <c r="G495" t="s">
        <v>40</v>
      </c>
      <c r="H495" t="s">
        <v>1584</v>
      </c>
      <c r="I495" t="s">
        <v>42</v>
      </c>
      <c r="J495">
        <v>2</v>
      </c>
      <c r="K495" t="s">
        <v>43</v>
      </c>
      <c r="L495" t="s">
        <v>44</v>
      </c>
      <c r="M495" t="s">
        <v>45</v>
      </c>
      <c r="N495" s="7">
        <v>2</v>
      </c>
      <c r="O495" s="8">
        <v>45542.485150462962</v>
      </c>
      <c r="P495" s="9">
        <v>45544</v>
      </c>
      <c r="Q495" t="s">
        <v>46</v>
      </c>
      <c r="R495" t="s">
        <v>47</v>
      </c>
      <c r="S495" t="s">
        <v>48</v>
      </c>
      <c r="T495" t="s">
        <v>136</v>
      </c>
      <c r="U495" t="s">
        <v>1585</v>
      </c>
      <c r="V495">
        <v>33000</v>
      </c>
      <c r="W495" t="s">
        <v>47</v>
      </c>
      <c r="X495" t="s">
        <v>1586</v>
      </c>
      <c r="Y495" t="s">
        <v>52</v>
      </c>
      <c r="Z495" s="10">
        <f t="shared" si="65"/>
        <v>9.8000000000000007</v>
      </c>
      <c r="AA495" s="11">
        <v>-2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64"/>
        <v>0.46800000000000003</v>
      </c>
      <c r="AG495" s="11">
        <f t="shared" si="61"/>
        <v>8.2680000000000007</v>
      </c>
      <c r="AH495" s="11">
        <v>0</v>
      </c>
      <c r="AI495" s="11">
        <f t="shared" si="62"/>
        <v>8.2680000000000007</v>
      </c>
      <c r="AJ495" t="s">
        <v>53</v>
      </c>
    </row>
    <row r="496" spans="1:36" ht="15" customHeight="1" x14ac:dyDescent="0.35">
      <c r="A496">
        <v>7547676</v>
      </c>
      <c r="B496" t="s">
        <v>36</v>
      </c>
      <c r="C496" t="s">
        <v>37</v>
      </c>
      <c r="D496" s="6" t="s">
        <v>36</v>
      </c>
      <c r="E496" t="s">
        <v>1587</v>
      </c>
      <c r="F496" t="s">
        <v>39</v>
      </c>
      <c r="G496" t="s">
        <v>40</v>
      </c>
      <c r="H496" t="s">
        <v>1588</v>
      </c>
      <c r="I496" t="s">
        <v>42</v>
      </c>
      <c r="J496">
        <v>2</v>
      </c>
      <c r="K496" t="s">
        <v>43</v>
      </c>
      <c r="L496" t="s">
        <v>44</v>
      </c>
      <c r="M496" t="s">
        <v>45</v>
      </c>
      <c r="N496" s="7">
        <v>1</v>
      </c>
      <c r="O496" s="8">
        <v>45544.747106481482</v>
      </c>
      <c r="P496" s="9">
        <v>45545</v>
      </c>
      <c r="Q496" t="s">
        <v>46</v>
      </c>
      <c r="R496" t="s">
        <v>47</v>
      </c>
      <c r="S496" t="s">
        <v>48</v>
      </c>
      <c r="T496" t="s">
        <v>278</v>
      </c>
      <c r="U496" t="s">
        <v>1589</v>
      </c>
      <c r="V496">
        <v>26100</v>
      </c>
      <c r="W496" t="s">
        <v>47</v>
      </c>
      <c r="X496" t="s">
        <v>188</v>
      </c>
      <c r="Y496" t="s">
        <v>52</v>
      </c>
      <c r="Z496" s="10">
        <f>IF(N496&lt;=1,9,9+0.8*ROUNDUP(N496-1,0))</f>
        <v>9</v>
      </c>
      <c r="AA496" s="11">
        <v>-2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64"/>
        <v>0.42</v>
      </c>
      <c r="AG496" s="11">
        <f t="shared" si="61"/>
        <v>7.42</v>
      </c>
      <c r="AH496" s="11">
        <v>0</v>
      </c>
      <c r="AI496" s="11">
        <f t="shared" si="62"/>
        <v>7.42</v>
      </c>
      <c r="AJ496" t="s">
        <v>53</v>
      </c>
    </row>
    <row r="497" spans="1:36" ht="15" customHeight="1" x14ac:dyDescent="0.35">
      <c r="A497">
        <v>7547676</v>
      </c>
      <c r="B497" t="s">
        <v>36</v>
      </c>
      <c r="C497" t="s">
        <v>37</v>
      </c>
      <c r="D497" s="6" t="s">
        <v>36</v>
      </c>
      <c r="E497" t="s">
        <v>1590</v>
      </c>
      <c r="F497" t="s">
        <v>39</v>
      </c>
      <c r="G497" t="s">
        <v>40</v>
      </c>
      <c r="H497" t="s">
        <v>1591</v>
      </c>
      <c r="I497" t="s">
        <v>42</v>
      </c>
      <c r="J497">
        <v>2</v>
      </c>
      <c r="K497" t="s">
        <v>43</v>
      </c>
      <c r="L497" t="s">
        <v>44</v>
      </c>
      <c r="M497" t="s">
        <v>45</v>
      </c>
      <c r="N497" s="7">
        <v>2</v>
      </c>
      <c r="O497" s="8">
        <v>45543.738449074073</v>
      </c>
      <c r="P497" s="9">
        <v>45545</v>
      </c>
      <c r="Q497" t="s">
        <v>46</v>
      </c>
      <c r="R497" t="s">
        <v>47</v>
      </c>
      <c r="S497" t="s">
        <v>48</v>
      </c>
      <c r="T497" t="s">
        <v>104</v>
      </c>
      <c r="U497" t="s">
        <v>1592</v>
      </c>
      <c r="V497">
        <v>75250</v>
      </c>
      <c r="W497" t="s">
        <v>47</v>
      </c>
      <c r="X497" t="s">
        <v>350</v>
      </c>
      <c r="Y497" t="s">
        <v>52</v>
      </c>
      <c r="Z497" s="10">
        <f t="shared" ref="Z497:Z507" si="66">IF(N497&lt;=1,9,9+0.8*ROUNDUP(N497-1,0))</f>
        <v>9.8000000000000007</v>
      </c>
      <c r="AA497" s="11">
        <v>-2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64"/>
        <v>0.46800000000000003</v>
      </c>
      <c r="AG497" s="11">
        <f t="shared" si="61"/>
        <v>8.2680000000000007</v>
      </c>
      <c r="AH497" s="11">
        <v>0</v>
      </c>
      <c r="AI497" s="11">
        <f t="shared" si="62"/>
        <v>8.2680000000000007</v>
      </c>
      <c r="AJ497" t="s">
        <v>53</v>
      </c>
    </row>
    <row r="498" spans="1:36" ht="15" customHeight="1" x14ac:dyDescent="0.35">
      <c r="A498">
        <v>7547676</v>
      </c>
      <c r="B498" t="s">
        <v>36</v>
      </c>
      <c r="C498" t="s">
        <v>37</v>
      </c>
      <c r="D498" s="6" t="s">
        <v>36</v>
      </c>
      <c r="E498" t="s">
        <v>1593</v>
      </c>
      <c r="F498" t="s">
        <v>39</v>
      </c>
      <c r="G498" t="s">
        <v>40</v>
      </c>
      <c r="H498" t="s">
        <v>1594</v>
      </c>
      <c r="I498" t="s">
        <v>42</v>
      </c>
      <c r="J498">
        <v>2</v>
      </c>
      <c r="K498" t="s">
        <v>43</v>
      </c>
      <c r="L498" t="s">
        <v>44</v>
      </c>
      <c r="M498" t="s">
        <v>45</v>
      </c>
      <c r="N498" s="7">
        <v>16</v>
      </c>
      <c r="O498" s="8">
        <v>45543.536956018521</v>
      </c>
      <c r="P498" s="9">
        <v>45545</v>
      </c>
      <c r="Q498" t="s">
        <v>46</v>
      </c>
      <c r="R498" t="s">
        <v>47</v>
      </c>
      <c r="S498" t="s">
        <v>48</v>
      </c>
      <c r="T498" t="s">
        <v>136</v>
      </c>
      <c r="U498" t="s">
        <v>1595</v>
      </c>
      <c r="V498">
        <v>31200</v>
      </c>
      <c r="W498" t="s">
        <v>47</v>
      </c>
      <c r="X498" t="s">
        <v>138</v>
      </c>
      <c r="Y498" t="s">
        <v>52</v>
      </c>
      <c r="Z498" s="10">
        <f t="shared" si="66"/>
        <v>21</v>
      </c>
      <c r="AA498" s="11">
        <v>-2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64"/>
        <v>1.1399999999999999</v>
      </c>
      <c r="AG498" s="11">
        <f t="shared" si="61"/>
        <v>20.14</v>
      </c>
      <c r="AH498" s="11">
        <v>0</v>
      </c>
      <c r="AI498" s="11">
        <f t="shared" si="62"/>
        <v>20.14</v>
      </c>
      <c r="AJ498" t="s">
        <v>53</v>
      </c>
    </row>
    <row r="499" spans="1:36" ht="15" customHeight="1" x14ac:dyDescent="0.35">
      <c r="A499">
        <v>7547676</v>
      </c>
      <c r="B499" t="s">
        <v>36</v>
      </c>
      <c r="C499" t="s">
        <v>37</v>
      </c>
      <c r="D499" s="6" t="s">
        <v>36</v>
      </c>
      <c r="E499" t="s">
        <v>1596</v>
      </c>
      <c r="F499" t="s">
        <v>39</v>
      </c>
      <c r="G499" t="s">
        <v>40</v>
      </c>
      <c r="H499" t="s">
        <v>1597</v>
      </c>
      <c r="I499" t="s">
        <v>42</v>
      </c>
      <c r="J499">
        <v>2</v>
      </c>
      <c r="K499" t="s">
        <v>43</v>
      </c>
      <c r="L499" t="s">
        <v>44</v>
      </c>
      <c r="M499" t="s">
        <v>45</v>
      </c>
      <c r="N499" s="7">
        <v>1</v>
      </c>
      <c r="O499" s="8">
        <v>45544.747106481482</v>
      </c>
      <c r="P499" s="9">
        <v>45545</v>
      </c>
      <c r="Q499" t="s">
        <v>46</v>
      </c>
      <c r="R499" t="s">
        <v>47</v>
      </c>
      <c r="S499" t="s">
        <v>48</v>
      </c>
      <c r="T499" t="s">
        <v>75</v>
      </c>
      <c r="U499" t="s">
        <v>1598</v>
      </c>
      <c r="V499">
        <v>18500</v>
      </c>
      <c r="W499" t="s">
        <v>47</v>
      </c>
      <c r="X499" t="s">
        <v>145</v>
      </c>
      <c r="Y499" t="s">
        <v>52</v>
      </c>
      <c r="Z499" s="10">
        <f t="shared" si="66"/>
        <v>9</v>
      </c>
      <c r="AA499" s="11">
        <v>-2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64"/>
        <v>0.42</v>
      </c>
      <c r="AG499" s="11">
        <f t="shared" si="61"/>
        <v>7.42</v>
      </c>
      <c r="AH499" s="11">
        <v>0</v>
      </c>
      <c r="AI499" s="11">
        <f t="shared" si="62"/>
        <v>7.42</v>
      </c>
      <c r="AJ499" t="s">
        <v>53</v>
      </c>
    </row>
    <row r="500" spans="1:36" ht="15" customHeight="1" x14ac:dyDescent="0.35">
      <c r="A500">
        <v>7547676</v>
      </c>
      <c r="B500" t="s">
        <v>36</v>
      </c>
      <c r="C500" t="s">
        <v>37</v>
      </c>
      <c r="D500" s="6" t="s">
        <v>36</v>
      </c>
      <c r="E500" t="s">
        <v>1599</v>
      </c>
      <c r="F500" t="s">
        <v>39</v>
      </c>
      <c r="G500" t="s">
        <v>40</v>
      </c>
      <c r="H500" t="s">
        <v>1594</v>
      </c>
      <c r="I500" t="s">
        <v>42</v>
      </c>
      <c r="J500">
        <v>2</v>
      </c>
      <c r="K500" t="s">
        <v>43</v>
      </c>
      <c r="L500" t="s">
        <v>44</v>
      </c>
      <c r="M500" t="s">
        <v>45</v>
      </c>
      <c r="N500" s="7">
        <v>16</v>
      </c>
      <c r="O500" s="8">
        <v>45543.536956018521</v>
      </c>
      <c r="P500" s="9">
        <v>45545</v>
      </c>
      <c r="Q500" t="s">
        <v>46</v>
      </c>
      <c r="R500" t="s">
        <v>47</v>
      </c>
      <c r="S500" t="s">
        <v>48</v>
      </c>
      <c r="T500" t="s">
        <v>136</v>
      </c>
      <c r="U500" t="s">
        <v>1595</v>
      </c>
      <c r="V500">
        <v>31200</v>
      </c>
      <c r="W500" t="s">
        <v>47</v>
      </c>
      <c r="X500" t="s">
        <v>138</v>
      </c>
      <c r="Y500" t="s">
        <v>52</v>
      </c>
      <c r="Z500" s="10">
        <f t="shared" si="66"/>
        <v>21</v>
      </c>
      <c r="AA500" s="11">
        <v>-2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64"/>
        <v>1.1399999999999999</v>
      </c>
      <c r="AG500" s="11">
        <f t="shared" si="61"/>
        <v>20.14</v>
      </c>
      <c r="AH500" s="11">
        <v>0</v>
      </c>
      <c r="AI500" s="11">
        <f t="shared" si="62"/>
        <v>20.14</v>
      </c>
      <c r="AJ500" t="s">
        <v>53</v>
      </c>
    </row>
    <row r="501" spans="1:36" ht="15" customHeight="1" x14ac:dyDescent="0.35">
      <c r="A501">
        <v>7547676</v>
      </c>
      <c r="B501" t="s">
        <v>36</v>
      </c>
      <c r="C501" t="s">
        <v>37</v>
      </c>
      <c r="D501" s="6" t="s">
        <v>36</v>
      </c>
      <c r="E501" t="s">
        <v>1600</v>
      </c>
      <c r="F501" t="s">
        <v>39</v>
      </c>
      <c r="G501" t="s">
        <v>40</v>
      </c>
      <c r="H501" t="s">
        <v>1594</v>
      </c>
      <c r="I501" t="s">
        <v>42</v>
      </c>
      <c r="J501">
        <v>2</v>
      </c>
      <c r="K501" t="s">
        <v>43</v>
      </c>
      <c r="L501" t="s">
        <v>44</v>
      </c>
      <c r="M501" t="s">
        <v>45</v>
      </c>
      <c r="N501" s="7">
        <v>16</v>
      </c>
      <c r="O501" s="8">
        <v>45543.536956018521</v>
      </c>
      <c r="P501" s="9">
        <v>45545</v>
      </c>
      <c r="Q501" t="s">
        <v>46</v>
      </c>
      <c r="R501" t="s">
        <v>47</v>
      </c>
      <c r="S501" t="s">
        <v>48</v>
      </c>
      <c r="T501" t="s">
        <v>136</v>
      </c>
      <c r="U501" t="s">
        <v>1595</v>
      </c>
      <c r="V501">
        <v>31200</v>
      </c>
      <c r="W501" t="s">
        <v>47</v>
      </c>
      <c r="X501" t="s">
        <v>138</v>
      </c>
      <c r="Y501" t="s">
        <v>52</v>
      </c>
      <c r="Z501" s="10">
        <f t="shared" si="66"/>
        <v>21</v>
      </c>
      <c r="AA501" s="11">
        <v>-2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64"/>
        <v>1.1399999999999999</v>
      </c>
      <c r="AG501" s="11">
        <f t="shared" si="61"/>
        <v>20.14</v>
      </c>
      <c r="AH501" s="11">
        <v>0</v>
      </c>
      <c r="AI501" s="11">
        <f t="shared" si="62"/>
        <v>20.14</v>
      </c>
      <c r="AJ501" t="s">
        <v>53</v>
      </c>
    </row>
    <row r="502" spans="1:36" ht="15" customHeight="1" x14ac:dyDescent="0.35">
      <c r="A502">
        <v>7547676</v>
      </c>
      <c r="B502" t="s">
        <v>36</v>
      </c>
      <c r="C502" t="s">
        <v>37</v>
      </c>
      <c r="D502" s="6" t="s">
        <v>36</v>
      </c>
      <c r="E502" t="s">
        <v>1601</v>
      </c>
      <c r="F502" t="s">
        <v>39</v>
      </c>
      <c r="G502" t="s">
        <v>40</v>
      </c>
      <c r="H502" t="s">
        <v>1602</v>
      </c>
      <c r="I502" t="s">
        <v>42</v>
      </c>
      <c r="J502">
        <v>2</v>
      </c>
      <c r="K502" t="s">
        <v>43</v>
      </c>
      <c r="L502" t="s">
        <v>44</v>
      </c>
      <c r="M502" t="s">
        <v>45</v>
      </c>
      <c r="N502" s="7">
        <v>1</v>
      </c>
      <c r="O502" s="8">
        <v>45544.747106481482</v>
      </c>
      <c r="P502" s="9">
        <v>45545</v>
      </c>
      <c r="Q502" t="s">
        <v>46</v>
      </c>
      <c r="R502" t="s">
        <v>47</v>
      </c>
      <c r="S502" t="s">
        <v>48</v>
      </c>
      <c r="T502" t="s">
        <v>75</v>
      </c>
      <c r="U502" t="s">
        <v>1603</v>
      </c>
      <c r="V502">
        <v>18500</v>
      </c>
      <c r="W502" t="s">
        <v>47</v>
      </c>
      <c r="X502" t="s">
        <v>145</v>
      </c>
      <c r="Y502" t="s">
        <v>52</v>
      </c>
      <c r="Z502" s="10">
        <f t="shared" si="66"/>
        <v>9</v>
      </c>
      <c r="AA502" s="11">
        <v>-2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64"/>
        <v>0.42</v>
      </c>
      <c r="AG502" s="11">
        <f t="shared" si="61"/>
        <v>7.42</v>
      </c>
      <c r="AH502" s="11">
        <v>0</v>
      </c>
      <c r="AI502" s="11">
        <f t="shared" si="62"/>
        <v>7.42</v>
      </c>
      <c r="AJ502" t="s">
        <v>53</v>
      </c>
    </row>
    <row r="503" spans="1:36" ht="15" customHeight="1" x14ac:dyDescent="0.35">
      <c r="A503">
        <v>7547676</v>
      </c>
      <c r="B503" t="s">
        <v>36</v>
      </c>
      <c r="C503" t="s">
        <v>37</v>
      </c>
      <c r="D503" s="6" t="s">
        <v>36</v>
      </c>
      <c r="E503" t="s">
        <v>1604</v>
      </c>
      <c r="F503" t="s">
        <v>39</v>
      </c>
      <c r="G503" t="s">
        <v>40</v>
      </c>
      <c r="H503" t="s">
        <v>147</v>
      </c>
      <c r="I503" t="s">
        <v>42</v>
      </c>
      <c r="J503">
        <v>2</v>
      </c>
      <c r="K503" t="s">
        <v>43</v>
      </c>
      <c r="L503" t="s">
        <v>44</v>
      </c>
      <c r="M503" t="s">
        <v>45</v>
      </c>
      <c r="N503" s="7">
        <v>5</v>
      </c>
      <c r="O503" s="8">
        <v>45544.674907407411</v>
      </c>
      <c r="P503" s="9">
        <v>45545</v>
      </c>
      <c r="Q503" t="s">
        <v>46</v>
      </c>
      <c r="R503" t="s">
        <v>47</v>
      </c>
      <c r="S503" t="s">
        <v>48</v>
      </c>
      <c r="T503" t="s">
        <v>123</v>
      </c>
      <c r="U503" t="s">
        <v>148</v>
      </c>
      <c r="V503">
        <v>40000</v>
      </c>
      <c r="W503" t="s">
        <v>47</v>
      </c>
      <c r="X503" t="s">
        <v>149</v>
      </c>
      <c r="Y503" t="s">
        <v>52</v>
      </c>
      <c r="Z503" s="10">
        <f t="shared" si="66"/>
        <v>12.2</v>
      </c>
      <c r="AA503" s="11">
        <v>-2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64"/>
        <v>0.61199999999999999</v>
      </c>
      <c r="AG503" s="11">
        <f t="shared" si="61"/>
        <v>10.811999999999999</v>
      </c>
      <c r="AH503" s="11">
        <v>0</v>
      </c>
      <c r="AI503" s="11">
        <f t="shared" si="62"/>
        <v>10.811999999999999</v>
      </c>
      <c r="AJ503" t="s">
        <v>53</v>
      </c>
    </row>
    <row r="504" spans="1:36" ht="15" customHeight="1" x14ac:dyDescent="0.35">
      <c r="A504">
        <v>7547676</v>
      </c>
      <c r="B504" t="s">
        <v>36</v>
      </c>
      <c r="C504" t="s">
        <v>37</v>
      </c>
      <c r="D504" s="6" t="s">
        <v>36</v>
      </c>
      <c r="E504" t="s">
        <v>1605</v>
      </c>
      <c r="F504" t="s">
        <v>39</v>
      </c>
      <c r="G504" t="s">
        <v>40</v>
      </c>
      <c r="H504" t="s">
        <v>1606</v>
      </c>
      <c r="I504" t="s">
        <v>42</v>
      </c>
      <c r="J504">
        <v>2</v>
      </c>
      <c r="K504" t="s">
        <v>43</v>
      </c>
      <c r="L504" t="s">
        <v>44</v>
      </c>
      <c r="M504" t="s">
        <v>45</v>
      </c>
      <c r="N504" s="7">
        <v>1</v>
      </c>
      <c r="O504" s="8">
        <v>45544.500300925924</v>
      </c>
      <c r="P504" s="9">
        <v>45545</v>
      </c>
      <c r="Q504" t="s">
        <v>46</v>
      </c>
      <c r="R504" t="s">
        <v>47</v>
      </c>
      <c r="S504" t="s">
        <v>48</v>
      </c>
      <c r="T504" t="s">
        <v>61</v>
      </c>
      <c r="U504" t="s">
        <v>1607</v>
      </c>
      <c r="V504">
        <v>22010</v>
      </c>
      <c r="W504" t="s">
        <v>47</v>
      </c>
      <c r="X504" t="s">
        <v>145</v>
      </c>
      <c r="Y504" t="s">
        <v>52</v>
      </c>
      <c r="Z504" s="10">
        <f t="shared" si="66"/>
        <v>9</v>
      </c>
      <c r="AA504" s="11">
        <v>-2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64"/>
        <v>0.42</v>
      </c>
      <c r="AG504" s="11">
        <f t="shared" si="61"/>
        <v>7.42</v>
      </c>
      <c r="AH504" s="11">
        <v>0</v>
      </c>
      <c r="AI504" s="11">
        <f t="shared" si="62"/>
        <v>7.42</v>
      </c>
      <c r="AJ504" t="s">
        <v>53</v>
      </c>
    </row>
    <row r="505" spans="1:36" ht="15" customHeight="1" x14ac:dyDescent="0.35">
      <c r="A505">
        <v>7547676</v>
      </c>
      <c r="B505" t="s">
        <v>36</v>
      </c>
      <c r="C505" t="s">
        <v>37</v>
      </c>
      <c r="D505" s="6" t="s">
        <v>36</v>
      </c>
      <c r="E505" t="s">
        <v>1608</v>
      </c>
      <c r="F505" t="s">
        <v>39</v>
      </c>
      <c r="G505" t="s">
        <v>40</v>
      </c>
      <c r="H505" t="s">
        <v>782</v>
      </c>
      <c r="I505" t="s">
        <v>42</v>
      </c>
      <c r="J505">
        <v>2</v>
      </c>
      <c r="K505" t="s">
        <v>43</v>
      </c>
      <c r="L505" t="s">
        <v>44</v>
      </c>
      <c r="M505" t="s">
        <v>45</v>
      </c>
      <c r="N505" s="7">
        <v>1</v>
      </c>
      <c r="O505" s="8">
        <v>45543.695868055554</v>
      </c>
      <c r="P505" s="9">
        <v>45545</v>
      </c>
      <c r="Q505" t="s">
        <v>46</v>
      </c>
      <c r="R505" t="s">
        <v>47</v>
      </c>
      <c r="S505" t="s">
        <v>48</v>
      </c>
      <c r="T505" t="s">
        <v>123</v>
      </c>
      <c r="U505" t="s">
        <v>1609</v>
      </c>
      <c r="V505">
        <v>53100</v>
      </c>
      <c r="W505" t="s">
        <v>47</v>
      </c>
      <c r="X505" t="s">
        <v>750</v>
      </c>
      <c r="Y505" t="s">
        <v>52</v>
      </c>
      <c r="Z505" s="10">
        <f t="shared" si="66"/>
        <v>9</v>
      </c>
      <c r="AA505" s="11">
        <v>-2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64"/>
        <v>0.42</v>
      </c>
      <c r="AG505" s="11">
        <f t="shared" si="61"/>
        <v>7.42</v>
      </c>
      <c r="AH505" s="11">
        <v>0</v>
      </c>
      <c r="AI505" s="11">
        <f t="shared" si="62"/>
        <v>7.42</v>
      </c>
      <c r="AJ505" t="s">
        <v>53</v>
      </c>
    </row>
    <row r="506" spans="1:36" ht="15" customHeight="1" x14ac:dyDescent="0.35">
      <c r="A506">
        <v>7547676</v>
      </c>
      <c r="B506" t="s">
        <v>36</v>
      </c>
      <c r="C506" t="s">
        <v>37</v>
      </c>
      <c r="D506" s="6" t="s">
        <v>36</v>
      </c>
      <c r="E506" t="s">
        <v>1610</v>
      </c>
      <c r="F506" t="s">
        <v>39</v>
      </c>
      <c r="G506" t="s">
        <v>40</v>
      </c>
      <c r="H506" t="s">
        <v>1611</v>
      </c>
      <c r="I506" t="s">
        <v>42</v>
      </c>
      <c r="J506">
        <v>2</v>
      </c>
      <c r="K506" t="s">
        <v>43</v>
      </c>
      <c r="L506" t="s">
        <v>44</v>
      </c>
      <c r="M506" t="s">
        <v>45</v>
      </c>
      <c r="N506" s="7">
        <v>1</v>
      </c>
      <c r="O506" s="8">
        <v>45542.79310185185</v>
      </c>
      <c r="P506" s="9">
        <v>45545</v>
      </c>
      <c r="Q506" t="s">
        <v>46</v>
      </c>
      <c r="R506" t="s">
        <v>47</v>
      </c>
      <c r="S506" t="s">
        <v>48</v>
      </c>
      <c r="T506" t="s">
        <v>210</v>
      </c>
      <c r="U506" t="s">
        <v>1612</v>
      </c>
      <c r="V506">
        <v>72000</v>
      </c>
      <c r="W506" t="s">
        <v>47</v>
      </c>
      <c r="X506" t="s">
        <v>641</v>
      </c>
      <c r="Y506" t="s">
        <v>52</v>
      </c>
      <c r="Z506" s="10">
        <f t="shared" si="66"/>
        <v>9</v>
      </c>
      <c r="AA506" s="11">
        <v>-2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64"/>
        <v>0.42</v>
      </c>
      <c r="AG506" s="11">
        <f t="shared" si="61"/>
        <v>7.42</v>
      </c>
      <c r="AH506" s="11">
        <v>0</v>
      </c>
      <c r="AI506" s="11">
        <f t="shared" si="62"/>
        <v>7.42</v>
      </c>
      <c r="AJ506" t="s">
        <v>53</v>
      </c>
    </row>
    <row r="507" spans="1:36" ht="15" customHeight="1" x14ac:dyDescent="0.35">
      <c r="A507">
        <v>7547676</v>
      </c>
      <c r="B507" t="s">
        <v>36</v>
      </c>
      <c r="C507" t="s">
        <v>37</v>
      </c>
      <c r="D507" s="6" t="s">
        <v>36</v>
      </c>
      <c r="E507" t="s">
        <v>1613</v>
      </c>
      <c r="F507" t="s">
        <v>39</v>
      </c>
      <c r="G507" t="s">
        <v>40</v>
      </c>
      <c r="H507" t="s">
        <v>1614</v>
      </c>
      <c r="I507" t="s">
        <v>42</v>
      </c>
      <c r="J507">
        <v>2</v>
      </c>
      <c r="K507" t="s">
        <v>43</v>
      </c>
      <c r="L507" t="s">
        <v>44</v>
      </c>
      <c r="M507" t="s">
        <v>45</v>
      </c>
      <c r="N507" s="7">
        <v>1</v>
      </c>
      <c r="O507" s="8">
        <v>45542.474733796298</v>
      </c>
      <c r="P507" s="9">
        <v>45545</v>
      </c>
      <c r="Q507" t="s">
        <v>46</v>
      </c>
      <c r="R507" t="s">
        <v>47</v>
      </c>
      <c r="S507" t="s">
        <v>48</v>
      </c>
      <c r="T507" t="s">
        <v>123</v>
      </c>
      <c r="U507" t="s">
        <v>1615</v>
      </c>
      <c r="V507">
        <v>46000</v>
      </c>
      <c r="W507" t="s">
        <v>47</v>
      </c>
      <c r="X507" t="s">
        <v>51</v>
      </c>
      <c r="Y507" t="s">
        <v>52</v>
      </c>
      <c r="Z507" s="10">
        <f t="shared" si="66"/>
        <v>9</v>
      </c>
      <c r="AA507" s="11">
        <v>-2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64"/>
        <v>0.42</v>
      </c>
      <c r="AG507" s="11">
        <f t="shared" si="61"/>
        <v>7.42</v>
      </c>
      <c r="AH507" s="11">
        <v>0</v>
      </c>
      <c r="AI507" s="11">
        <f t="shared" si="62"/>
        <v>7.42</v>
      </c>
      <c r="AJ507" t="s">
        <v>53</v>
      </c>
    </row>
    <row r="508" spans="1:36" ht="15" customHeight="1" x14ac:dyDescent="0.35">
      <c r="A508">
        <v>7547676</v>
      </c>
      <c r="B508" t="s">
        <v>36</v>
      </c>
      <c r="C508" t="s">
        <v>37</v>
      </c>
      <c r="D508" s="6" t="s">
        <v>36</v>
      </c>
      <c r="E508" t="s">
        <v>1616</v>
      </c>
      <c r="F508" t="s">
        <v>39</v>
      </c>
      <c r="G508" t="s">
        <v>40</v>
      </c>
      <c r="H508" t="s">
        <v>1617</v>
      </c>
      <c r="I508" t="s">
        <v>42</v>
      </c>
      <c r="J508">
        <v>2</v>
      </c>
      <c r="K508" t="s">
        <v>43</v>
      </c>
      <c r="L508" t="s">
        <v>44</v>
      </c>
      <c r="M508" t="s">
        <v>45</v>
      </c>
      <c r="N508" s="7">
        <v>1</v>
      </c>
      <c r="O508" s="8">
        <v>45541.785960648151</v>
      </c>
      <c r="P508" s="9">
        <v>45545</v>
      </c>
      <c r="Q508" t="s">
        <v>46</v>
      </c>
      <c r="R508" t="s">
        <v>47</v>
      </c>
      <c r="S508" t="s">
        <v>48</v>
      </c>
      <c r="T508" t="s">
        <v>644</v>
      </c>
      <c r="U508" t="s">
        <v>1618</v>
      </c>
      <c r="V508">
        <v>96400</v>
      </c>
      <c r="W508" t="s">
        <v>92</v>
      </c>
      <c r="X508" t="s">
        <v>51</v>
      </c>
      <c r="Y508" t="s">
        <v>52</v>
      </c>
      <c r="Z508" s="12">
        <f>IF(N508&lt;=1,13,IF(N508&lt;=2,23,IF(N508&lt;=3,35,IF(N508&lt;=4,43,IF(N508&lt;=5,53,IF(N508&lt;=6,63,IF(N508&lt;=7,71,IF(N508&lt;=8,79,IF(N508&lt;=9,87,IF(N508&lt;=10,95,IF(N508&lt;=11,105,IF(N508&lt;=12,114,IF(N508&lt;=13,119,IF(N508&lt;=14,127,IF(N508&lt;=15,135,IF(N508&lt;=16,143,IF(N508&lt;=17,153,IF(N508&lt;=18,163,IF(N508&lt;=19,171,IF(N508&lt;=20,185,IF(N508&lt;=21,193,IF(N508&lt;=22,201,IF(N508&lt;=23,210,IF(N508&lt;=24,220,IF(N508&lt;=25,230,IF(N508&lt;=26,240,IF(N508&lt;=27,250,IF(N508&lt;=28,260,IF(N508&lt;=29,270,IF(N508&lt;=30,280,280+10*ROUNDUP(N508-30,0)))))))))))))))))))))))))))))))</f>
        <v>13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64"/>
        <v>0.78</v>
      </c>
      <c r="AG508" s="11">
        <f t="shared" si="61"/>
        <v>13.78</v>
      </c>
      <c r="AH508" s="11">
        <v>0</v>
      </c>
      <c r="AI508" s="11">
        <f t="shared" si="62"/>
        <v>13.78</v>
      </c>
      <c r="AJ508" t="s">
        <v>94</v>
      </c>
    </row>
    <row r="509" spans="1:36" ht="15" customHeight="1" x14ac:dyDescent="0.35">
      <c r="A509">
        <v>7547676</v>
      </c>
      <c r="B509" t="s">
        <v>36</v>
      </c>
      <c r="C509" t="s">
        <v>37</v>
      </c>
      <c r="D509" s="6" t="s">
        <v>36</v>
      </c>
      <c r="E509" t="s">
        <v>1619</v>
      </c>
      <c r="F509" t="s">
        <v>39</v>
      </c>
      <c r="G509" t="s">
        <v>40</v>
      </c>
      <c r="H509" t="s">
        <v>1620</v>
      </c>
      <c r="I509" t="s">
        <v>42</v>
      </c>
      <c r="J509">
        <v>2</v>
      </c>
      <c r="K509" t="s">
        <v>43</v>
      </c>
      <c r="L509" t="s">
        <v>44</v>
      </c>
      <c r="M509" t="s">
        <v>45</v>
      </c>
      <c r="N509" s="7">
        <v>1</v>
      </c>
      <c r="O509" s="8">
        <v>45543.644826388889</v>
      </c>
      <c r="P509" s="9">
        <v>45545</v>
      </c>
      <c r="Q509" t="s">
        <v>46</v>
      </c>
      <c r="R509" t="s">
        <v>47</v>
      </c>
      <c r="S509" t="s">
        <v>48</v>
      </c>
      <c r="T509" t="s">
        <v>123</v>
      </c>
      <c r="U509" t="s">
        <v>1621</v>
      </c>
      <c r="V509">
        <v>47650</v>
      </c>
      <c r="W509" t="s">
        <v>47</v>
      </c>
      <c r="X509" t="s">
        <v>823</v>
      </c>
      <c r="Y509" t="s">
        <v>52</v>
      </c>
      <c r="Z509" s="10">
        <f>IF(N509&lt;=1,9,9+0.8*ROUNDUP(N509-1,0))</f>
        <v>9</v>
      </c>
      <c r="AA509" s="11">
        <v>-2</v>
      </c>
      <c r="AB509" s="11">
        <v>0</v>
      </c>
      <c r="AC509" s="11">
        <v>0</v>
      </c>
      <c r="AD509" s="11">
        <v>0</v>
      </c>
      <c r="AE509" s="11">
        <v>0</v>
      </c>
      <c r="AF509" s="11">
        <f>(Z509+AA509+AC509+AE509)*6%</f>
        <v>0.42</v>
      </c>
      <c r="AG509" s="11">
        <f t="shared" si="61"/>
        <v>7.42</v>
      </c>
      <c r="AH509" s="11">
        <v>0</v>
      </c>
      <c r="AI509" s="11">
        <f t="shared" si="62"/>
        <v>7.42</v>
      </c>
      <c r="AJ509" t="s">
        <v>53</v>
      </c>
    </row>
    <row r="510" spans="1:36" ht="15" customHeight="1" x14ac:dyDescent="0.35">
      <c r="A510">
        <v>7547676</v>
      </c>
      <c r="B510" t="s">
        <v>36</v>
      </c>
      <c r="C510" t="s">
        <v>37</v>
      </c>
      <c r="D510" s="6" t="s">
        <v>36</v>
      </c>
      <c r="E510" t="s">
        <v>1622</v>
      </c>
      <c r="F510" t="s">
        <v>39</v>
      </c>
      <c r="G510" t="s">
        <v>40</v>
      </c>
      <c r="H510" t="s">
        <v>1623</v>
      </c>
      <c r="I510" t="s">
        <v>42</v>
      </c>
      <c r="J510">
        <v>2</v>
      </c>
      <c r="K510" t="s">
        <v>43</v>
      </c>
      <c r="L510" t="s">
        <v>44</v>
      </c>
      <c r="M510" t="s">
        <v>45</v>
      </c>
      <c r="N510" s="7">
        <v>4</v>
      </c>
      <c r="O510" s="8">
        <v>45542.474733796298</v>
      </c>
      <c r="P510" s="9">
        <v>45545</v>
      </c>
      <c r="Q510" t="s">
        <v>46</v>
      </c>
      <c r="R510" t="s">
        <v>47</v>
      </c>
      <c r="S510" t="s">
        <v>48</v>
      </c>
      <c r="T510" t="s">
        <v>123</v>
      </c>
      <c r="U510" t="s">
        <v>1624</v>
      </c>
      <c r="V510">
        <v>47000</v>
      </c>
      <c r="W510" t="s">
        <v>47</v>
      </c>
      <c r="X510" t="s">
        <v>818</v>
      </c>
      <c r="Y510" t="s">
        <v>52</v>
      </c>
      <c r="Z510" s="10">
        <f t="shared" ref="Z510:Z521" si="67">IF(N510&lt;=1,9,9+0.8*ROUNDUP(N510-1,0))</f>
        <v>11.4</v>
      </c>
      <c r="AA510" s="11">
        <v>-2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ref="AF510:AF573" si="68">(Z510+AA510+AC510+AE510)*6%</f>
        <v>0.56399999999999995</v>
      </c>
      <c r="AG510" s="11">
        <f t="shared" si="61"/>
        <v>9.9640000000000004</v>
      </c>
      <c r="AH510" s="11">
        <v>0</v>
      </c>
      <c r="AI510" s="11">
        <f t="shared" si="62"/>
        <v>9.9640000000000004</v>
      </c>
      <c r="AJ510" t="s">
        <v>53</v>
      </c>
    </row>
    <row r="511" spans="1:36" ht="15" customHeight="1" x14ac:dyDescent="0.35">
      <c r="A511">
        <v>7547676</v>
      </c>
      <c r="B511" t="s">
        <v>36</v>
      </c>
      <c r="C511" t="s">
        <v>37</v>
      </c>
      <c r="D511" s="6" t="s">
        <v>36</v>
      </c>
      <c r="E511" t="s">
        <v>1625</v>
      </c>
      <c r="F511" t="s">
        <v>39</v>
      </c>
      <c r="G511" t="s">
        <v>40</v>
      </c>
      <c r="H511" t="s">
        <v>1626</v>
      </c>
      <c r="I511" t="s">
        <v>42</v>
      </c>
      <c r="J511">
        <v>2</v>
      </c>
      <c r="K511" t="s">
        <v>43</v>
      </c>
      <c r="L511" t="s">
        <v>44</v>
      </c>
      <c r="M511" t="s">
        <v>45</v>
      </c>
      <c r="N511" s="7">
        <v>4</v>
      </c>
      <c r="O511" s="8">
        <v>45541.782256944447</v>
      </c>
      <c r="P511" s="9">
        <v>45545</v>
      </c>
      <c r="Q511" t="s">
        <v>46</v>
      </c>
      <c r="R511" t="s">
        <v>47</v>
      </c>
      <c r="S511" t="s">
        <v>48</v>
      </c>
      <c r="T511" t="s">
        <v>123</v>
      </c>
      <c r="U511" t="s">
        <v>1627</v>
      </c>
      <c r="V511">
        <v>42920</v>
      </c>
      <c r="W511" t="s">
        <v>47</v>
      </c>
      <c r="X511" t="s">
        <v>51</v>
      </c>
      <c r="Y511" t="s">
        <v>52</v>
      </c>
      <c r="Z511" s="10">
        <f t="shared" si="67"/>
        <v>11.4</v>
      </c>
      <c r="AA511" s="11">
        <v>-2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68"/>
        <v>0.56399999999999995</v>
      </c>
      <c r="AG511" s="11">
        <f t="shared" si="61"/>
        <v>9.9640000000000004</v>
      </c>
      <c r="AH511" s="11">
        <v>0</v>
      </c>
      <c r="AI511" s="11">
        <f t="shared" si="62"/>
        <v>9.9640000000000004</v>
      </c>
      <c r="AJ511" t="s">
        <v>53</v>
      </c>
    </row>
    <row r="512" spans="1:36" ht="15" customHeight="1" x14ac:dyDescent="0.35">
      <c r="A512">
        <v>7547676</v>
      </c>
      <c r="B512" t="s">
        <v>36</v>
      </c>
      <c r="C512" t="s">
        <v>37</v>
      </c>
      <c r="D512" s="6" t="s">
        <v>36</v>
      </c>
      <c r="E512" t="s">
        <v>1628</v>
      </c>
      <c r="F512" t="s">
        <v>39</v>
      </c>
      <c r="G512" t="s">
        <v>40</v>
      </c>
      <c r="H512" t="s">
        <v>1629</v>
      </c>
      <c r="I512" t="s">
        <v>42</v>
      </c>
      <c r="J512">
        <v>2</v>
      </c>
      <c r="K512" t="s">
        <v>43</v>
      </c>
      <c r="L512" t="s">
        <v>44</v>
      </c>
      <c r="M512" t="s">
        <v>45</v>
      </c>
      <c r="N512" s="7">
        <v>1</v>
      </c>
      <c r="O512" s="8">
        <v>45543.663680555554</v>
      </c>
      <c r="P512" s="9">
        <v>45545</v>
      </c>
      <c r="Q512" t="s">
        <v>46</v>
      </c>
      <c r="R512" t="s">
        <v>47</v>
      </c>
      <c r="S512" t="s">
        <v>48</v>
      </c>
      <c r="T512" t="s">
        <v>123</v>
      </c>
      <c r="U512" t="s">
        <v>1630</v>
      </c>
      <c r="V512">
        <v>62000</v>
      </c>
      <c r="W512" t="s">
        <v>47</v>
      </c>
      <c r="X512" t="s">
        <v>51</v>
      </c>
      <c r="Y512" t="s">
        <v>52</v>
      </c>
      <c r="Z512" s="10">
        <f t="shared" si="67"/>
        <v>9</v>
      </c>
      <c r="AA512" s="11">
        <v>-2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68"/>
        <v>0.42</v>
      </c>
      <c r="AG512" s="11">
        <f t="shared" si="61"/>
        <v>7.42</v>
      </c>
      <c r="AH512" s="11">
        <v>0</v>
      </c>
      <c r="AI512" s="11">
        <f t="shared" si="62"/>
        <v>7.42</v>
      </c>
      <c r="AJ512" t="s">
        <v>53</v>
      </c>
    </row>
    <row r="513" spans="1:36" ht="15" customHeight="1" x14ac:dyDescent="0.35">
      <c r="A513">
        <v>7547676</v>
      </c>
      <c r="B513" t="s">
        <v>36</v>
      </c>
      <c r="C513" t="s">
        <v>37</v>
      </c>
      <c r="D513" s="6" t="s">
        <v>36</v>
      </c>
      <c r="E513" t="s">
        <v>1631</v>
      </c>
      <c r="F513" t="s">
        <v>39</v>
      </c>
      <c r="G513" t="s">
        <v>40</v>
      </c>
      <c r="H513" t="s">
        <v>1632</v>
      </c>
      <c r="I513" t="s">
        <v>42</v>
      </c>
      <c r="J513">
        <v>2</v>
      </c>
      <c r="K513" t="s">
        <v>43</v>
      </c>
      <c r="L513" t="s">
        <v>44</v>
      </c>
      <c r="M513" t="s">
        <v>45</v>
      </c>
      <c r="N513" s="7">
        <v>1</v>
      </c>
      <c r="O513" s="8">
        <v>45543.738449074073</v>
      </c>
      <c r="P513" s="9">
        <v>45545</v>
      </c>
      <c r="Q513" t="s">
        <v>46</v>
      </c>
      <c r="R513" t="s">
        <v>47</v>
      </c>
      <c r="S513" t="s">
        <v>48</v>
      </c>
      <c r="T513" t="s">
        <v>104</v>
      </c>
      <c r="U513" t="s">
        <v>1633</v>
      </c>
      <c r="V513">
        <v>77000</v>
      </c>
      <c r="W513" t="s">
        <v>47</v>
      </c>
      <c r="X513" t="s">
        <v>1175</v>
      </c>
      <c r="Y513" t="s">
        <v>52</v>
      </c>
      <c r="Z513" s="10">
        <f t="shared" si="67"/>
        <v>9</v>
      </c>
      <c r="AA513" s="11">
        <v>-2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68"/>
        <v>0.42</v>
      </c>
      <c r="AG513" s="11">
        <f t="shared" si="61"/>
        <v>7.42</v>
      </c>
      <c r="AH513" s="11">
        <v>0</v>
      </c>
      <c r="AI513" s="11">
        <f t="shared" si="62"/>
        <v>7.42</v>
      </c>
      <c r="AJ513" t="s">
        <v>53</v>
      </c>
    </row>
    <row r="514" spans="1:36" ht="15" customHeight="1" x14ac:dyDescent="0.35">
      <c r="A514">
        <v>7547676</v>
      </c>
      <c r="B514" t="s">
        <v>36</v>
      </c>
      <c r="C514" t="s">
        <v>37</v>
      </c>
      <c r="D514" s="6" t="s">
        <v>36</v>
      </c>
      <c r="E514" t="s">
        <v>1634</v>
      </c>
      <c r="F514" t="s">
        <v>39</v>
      </c>
      <c r="G514" t="s">
        <v>40</v>
      </c>
      <c r="H514" t="s">
        <v>1635</v>
      </c>
      <c r="I514" t="s">
        <v>42</v>
      </c>
      <c r="J514">
        <v>2</v>
      </c>
      <c r="K514" t="s">
        <v>43</v>
      </c>
      <c r="L514" t="s">
        <v>44</v>
      </c>
      <c r="M514" t="s">
        <v>45</v>
      </c>
      <c r="N514" s="7">
        <v>1</v>
      </c>
      <c r="O514" s="8">
        <v>45543.539270833331</v>
      </c>
      <c r="P514" s="9">
        <v>45545</v>
      </c>
      <c r="Q514" t="s">
        <v>46</v>
      </c>
      <c r="R514" t="s">
        <v>47</v>
      </c>
      <c r="S514" t="s">
        <v>48</v>
      </c>
      <c r="T514" t="s">
        <v>104</v>
      </c>
      <c r="U514" t="s">
        <v>1136</v>
      </c>
      <c r="V514">
        <v>75450</v>
      </c>
      <c r="W514" t="s">
        <v>47</v>
      </c>
      <c r="X514" t="s">
        <v>302</v>
      </c>
      <c r="Y514" t="s">
        <v>52</v>
      </c>
      <c r="Z514" s="10">
        <f t="shared" si="67"/>
        <v>9</v>
      </c>
      <c r="AA514" s="11">
        <v>-2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si="68"/>
        <v>0.42</v>
      </c>
      <c r="AG514" s="11">
        <f t="shared" ref="AG514:AG577" si="69">Z514+AA514+AC514+AE514+AF514</f>
        <v>7.42</v>
      </c>
      <c r="AH514" s="11">
        <v>0</v>
      </c>
      <c r="AI514" s="11">
        <f t="shared" ref="AI514:AI577" si="70">AG514+AH514</f>
        <v>7.42</v>
      </c>
      <c r="AJ514" t="s">
        <v>53</v>
      </c>
    </row>
    <row r="515" spans="1:36" ht="15" customHeight="1" x14ac:dyDescent="0.35">
      <c r="A515">
        <v>7547676</v>
      </c>
      <c r="B515" t="s">
        <v>36</v>
      </c>
      <c r="C515" t="s">
        <v>37</v>
      </c>
      <c r="D515" s="6" t="s">
        <v>36</v>
      </c>
      <c r="E515" t="s">
        <v>1636</v>
      </c>
      <c r="F515" t="s">
        <v>39</v>
      </c>
      <c r="G515" t="s">
        <v>40</v>
      </c>
      <c r="H515" t="s">
        <v>1637</v>
      </c>
      <c r="I515" t="s">
        <v>42</v>
      </c>
      <c r="J515">
        <v>2</v>
      </c>
      <c r="K515" t="s">
        <v>43</v>
      </c>
      <c r="L515" t="s">
        <v>44</v>
      </c>
      <c r="M515" t="s">
        <v>45</v>
      </c>
      <c r="N515" s="7">
        <v>1</v>
      </c>
      <c r="O515" s="8">
        <v>45544.747106481482</v>
      </c>
      <c r="P515" s="9">
        <v>45545</v>
      </c>
      <c r="Q515" t="s">
        <v>46</v>
      </c>
      <c r="R515" t="s">
        <v>47</v>
      </c>
      <c r="S515" t="s">
        <v>48</v>
      </c>
      <c r="T515" t="s">
        <v>278</v>
      </c>
      <c r="U515" t="s">
        <v>1638</v>
      </c>
      <c r="V515">
        <v>26060</v>
      </c>
      <c r="W515" t="s">
        <v>47</v>
      </c>
      <c r="X515" t="s">
        <v>188</v>
      </c>
      <c r="Y515" t="s">
        <v>52</v>
      </c>
      <c r="Z515" s="10">
        <f t="shared" si="67"/>
        <v>9</v>
      </c>
      <c r="AA515" s="11">
        <v>-2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68"/>
        <v>0.42</v>
      </c>
      <c r="AG515" s="11">
        <f t="shared" si="69"/>
        <v>7.42</v>
      </c>
      <c r="AH515" s="11">
        <v>0</v>
      </c>
      <c r="AI515" s="11">
        <f t="shared" si="70"/>
        <v>7.42</v>
      </c>
      <c r="AJ515" t="s">
        <v>53</v>
      </c>
    </row>
    <row r="516" spans="1:36" ht="15" customHeight="1" x14ac:dyDescent="0.35">
      <c r="A516">
        <v>7547676</v>
      </c>
      <c r="B516" t="s">
        <v>36</v>
      </c>
      <c r="C516" t="s">
        <v>37</v>
      </c>
      <c r="D516" s="6" t="s">
        <v>36</v>
      </c>
      <c r="E516" t="s">
        <v>1639</v>
      </c>
      <c r="F516" t="s">
        <v>39</v>
      </c>
      <c r="G516" t="s">
        <v>40</v>
      </c>
      <c r="H516" t="s">
        <v>1640</v>
      </c>
      <c r="I516" t="s">
        <v>42</v>
      </c>
      <c r="J516">
        <v>2</v>
      </c>
      <c r="K516" t="s">
        <v>43</v>
      </c>
      <c r="L516" t="s">
        <v>44</v>
      </c>
      <c r="M516" t="s">
        <v>45</v>
      </c>
      <c r="N516" s="7">
        <v>1</v>
      </c>
      <c r="O516" s="8">
        <v>45542.477476851855</v>
      </c>
      <c r="P516" s="9">
        <v>45545</v>
      </c>
      <c r="Q516" t="s">
        <v>46</v>
      </c>
      <c r="R516" t="s">
        <v>47</v>
      </c>
      <c r="S516" t="s">
        <v>48</v>
      </c>
      <c r="T516" t="s">
        <v>136</v>
      </c>
      <c r="U516" t="s">
        <v>1641</v>
      </c>
      <c r="V516">
        <v>33000</v>
      </c>
      <c r="W516" t="s">
        <v>47</v>
      </c>
      <c r="X516" t="s">
        <v>51</v>
      </c>
      <c r="Y516" t="s">
        <v>52</v>
      </c>
      <c r="Z516" s="10">
        <f t="shared" si="67"/>
        <v>9</v>
      </c>
      <c r="AA516" s="11">
        <v>-2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68"/>
        <v>0.42</v>
      </c>
      <c r="AG516" s="11">
        <f t="shared" si="69"/>
        <v>7.42</v>
      </c>
      <c r="AH516" s="11">
        <v>0</v>
      </c>
      <c r="AI516" s="11">
        <f t="shared" si="70"/>
        <v>7.42</v>
      </c>
      <c r="AJ516" t="s">
        <v>53</v>
      </c>
    </row>
    <row r="517" spans="1:36" ht="15" customHeight="1" x14ac:dyDescent="0.35">
      <c r="A517">
        <v>7547676</v>
      </c>
      <c r="B517" t="s">
        <v>36</v>
      </c>
      <c r="C517" t="s">
        <v>37</v>
      </c>
      <c r="D517" s="6" t="s">
        <v>36</v>
      </c>
      <c r="E517" t="s">
        <v>1642</v>
      </c>
      <c r="F517" t="s">
        <v>39</v>
      </c>
      <c r="G517" t="s">
        <v>40</v>
      </c>
      <c r="H517" t="s">
        <v>765</v>
      </c>
      <c r="I517" t="s">
        <v>42</v>
      </c>
      <c r="J517">
        <v>2</v>
      </c>
      <c r="K517" t="s">
        <v>43</v>
      </c>
      <c r="L517" t="s">
        <v>44</v>
      </c>
      <c r="M517" t="s">
        <v>45</v>
      </c>
      <c r="N517" s="7">
        <v>7</v>
      </c>
      <c r="O517" s="8">
        <v>45543.61309027778</v>
      </c>
      <c r="P517" s="9">
        <v>45545</v>
      </c>
      <c r="Q517" t="s">
        <v>46</v>
      </c>
      <c r="R517" t="s">
        <v>47</v>
      </c>
      <c r="S517" t="s">
        <v>48</v>
      </c>
      <c r="T517" t="s">
        <v>66</v>
      </c>
      <c r="U517" t="s">
        <v>1643</v>
      </c>
      <c r="V517">
        <v>81750</v>
      </c>
      <c r="W517" t="s">
        <v>47</v>
      </c>
      <c r="X517" t="s">
        <v>169</v>
      </c>
      <c r="Y517" t="s">
        <v>52</v>
      </c>
      <c r="Z517" s="10">
        <f t="shared" si="67"/>
        <v>13.8</v>
      </c>
      <c r="AA517" s="11">
        <v>-2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68"/>
        <v>0.70799999999999996</v>
      </c>
      <c r="AG517" s="11">
        <f t="shared" si="69"/>
        <v>12.508000000000001</v>
      </c>
      <c r="AH517" s="11">
        <v>0</v>
      </c>
      <c r="AI517" s="11">
        <f t="shared" si="70"/>
        <v>12.508000000000001</v>
      </c>
      <c r="AJ517" t="s">
        <v>53</v>
      </c>
    </row>
    <row r="518" spans="1:36" ht="15" customHeight="1" x14ac:dyDescent="0.35">
      <c r="A518">
        <v>7547676</v>
      </c>
      <c r="B518" t="s">
        <v>36</v>
      </c>
      <c r="C518" t="s">
        <v>37</v>
      </c>
      <c r="D518" s="6" t="s">
        <v>36</v>
      </c>
      <c r="E518" t="s">
        <v>1644</v>
      </c>
      <c r="F518" t="s">
        <v>39</v>
      </c>
      <c r="G518" t="s">
        <v>40</v>
      </c>
      <c r="H518" t="s">
        <v>1645</v>
      </c>
      <c r="I518" t="s">
        <v>42</v>
      </c>
      <c r="J518">
        <v>2</v>
      </c>
      <c r="K518" t="s">
        <v>43</v>
      </c>
      <c r="L518" t="s">
        <v>44</v>
      </c>
      <c r="M518" t="s">
        <v>45</v>
      </c>
      <c r="N518" s="7">
        <v>1</v>
      </c>
      <c r="O518" s="8">
        <v>45543.738449074073</v>
      </c>
      <c r="P518" s="9">
        <v>45545</v>
      </c>
      <c r="Q518" t="s">
        <v>46</v>
      </c>
      <c r="R518" t="s">
        <v>47</v>
      </c>
      <c r="S518" t="s">
        <v>48</v>
      </c>
      <c r="T518" t="s">
        <v>104</v>
      </c>
      <c r="U518" t="s">
        <v>1646</v>
      </c>
      <c r="V518">
        <v>75260</v>
      </c>
      <c r="W518" t="s">
        <v>47</v>
      </c>
      <c r="X518" t="s">
        <v>302</v>
      </c>
      <c r="Y518" t="s">
        <v>52</v>
      </c>
      <c r="Z518" s="10">
        <f t="shared" si="67"/>
        <v>9</v>
      </c>
      <c r="AA518" s="11">
        <v>-2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68"/>
        <v>0.42</v>
      </c>
      <c r="AG518" s="11">
        <f t="shared" si="69"/>
        <v>7.42</v>
      </c>
      <c r="AH518" s="11">
        <v>0</v>
      </c>
      <c r="AI518" s="11">
        <f t="shared" si="70"/>
        <v>7.42</v>
      </c>
      <c r="AJ518" t="s">
        <v>53</v>
      </c>
    </row>
    <row r="519" spans="1:36" ht="15" customHeight="1" x14ac:dyDescent="0.35">
      <c r="A519">
        <v>7547676</v>
      </c>
      <c r="B519" t="s">
        <v>36</v>
      </c>
      <c r="C519" t="s">
        <v>37</v>
      </c>
      <c r="D519" s="6" t="s">
        <v>36</v>
      </c>
      <c r="E519" t="s">
        <v>1647</v>
      </c>
      <c r="F519" t="s">
        <v>39</v>
      </c>
      <c r="G519" t="s">
        <v>40</v>
      </c>
      <c r="H519" t="s">
        <v>1648</v>
      </c>
      <c r="I519" t="s">
        <v>42</v>
      </c>
      <c r="J519">
        <v>2</v>
      </c>
      <c r="K519" t="s">
        <v>43</v>
      </c>
      <c r="L519" t="s">
        <v>44</v>
      </c>
      <c r="M519" t="s">
        <v>45</v>
      </c>
      <c r="N519" s="7">
        <v>1</v>
      </c>
      <c r="O519" s="8">
        <v>45543.621192129627</v>
      </c>
      <c r="P519" s="9">
        <v>45545</v>
      </c>
      <c r="Q519" t="s">
        <v>46</v>
      </c>
      <c r="R519" t="s">
        <v>47</v>
      </c>
      <c r="S519" t="s">
        <v>48</v>
      </c>
      <c r="T519" t="s">
        <v>210</v>
      </c>
      <c r="U519" t="s">
        <v>1649</v>
      </c>
      <c r="V519">
        <v>71950</v>
      </c>
      <c r="W519" t="s">
        <v>47</v>
      </c>
      <c r="X519" t="s">
        <v>51</v>
      </c>
      <c r="Y519" t="s">
        <v>52</v>
      </c>
      <c r="Z519" s="10">
        <f t="shared" si="67"/>
        <v>9</v>
      </c>
      <c r="AA519" s="11">
        <v>-2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68"/>
        <v>0.42</v>
      </c>
      <c r="AG519" s="11">
        <f t="shared" si="69"/>
        <v>7.42</v>
      </c>
      <c r="AH519" s="11">
        <v>0</v>
      </c>
      <c r="AI519" s="11">
        <f t="shared" si="70"/>
        <v>7.42</v>
      </c>
      <c r="AJ519" t="s">
        <v>53</v>
      </c>
    </row>
    <row r="520" spans="1:36" ht="15" customHeight="1" x14ac:dyDescent="0.35">
      <c r="A520">
        <v>7547676</v>
      </c>
      <c r="B520" t="s">
        <v>36</v>
      </c>
      <c r="C520" t="s">
        <v>37</v>
      </c>
      <c r="D520" s="6" t="s">
        <v>36</v>
      </c>
      <c r="E520" t="s">
        <v>1650</v>
      </c>
      <c r="F520" t="s">
        <v>39</v>
      </c>
      <c r="G520" t="s">
        <v>40</v>
      </c>
      <c r="H520" t="s">
        <v>1651</v>
      </c>
      <c r="I520" t="s">
        <v>42</v>
      </c>
      <c r="J520">
        <v>2</v>
      </c>
      <c r="K520" t="s">
        <v>43</v>
      </c>
      <c r="L520" t="s">
        <v>44</v>
      </c>
      <c r="M520" t="s">
        <v>45</v>
      </c>
      <c r="N520" s="7">
        <v>1</v>
      </c>
      <c r="O520" s="8">
        <v>45544.747106481482</v>
      </c>
      <c r="P520" s="9">
        <v>45545</v>
      </c>
      <c r="Q520" t="s">
        <v>46</v>
      </c>
      <c r="R520" t="s">
        <v>47</v>
      </c>
      <c r="S520" t="s">
        <v>48</v>
      </c>
      <c r="T520" t="s">
        <v>75</v>
      </c>
      <c r="U520" t="s">
        <v>1652</v>
      </c>
      <c r="V520">
        <v>17000</v>
      </c>
      <c r="W520" t="s">
        <v>47</v>
      </c>
      <c r="X520" t="s">
        <v>145</v>
      </c>
      <c r="Y520" t="s">
        <v>52</v>
      </c>
      <c r="Z520" s="10">
        <f t="shared" si="67"/>
        <v>9</v>
      </c>
      <c r="AA520" s="11">
        <v>-2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68"/>
        <v>0.42</v>
      </c>
      <c r="AG520" s="11">
        <f t="shared" si="69"/>
        <v>7.42</v>
      </c>
      <c r="AH520" s="11">
        <v>0</v>
      </c>
      <c r="AI520" s="11">
        <f t="shared" si="70"/>
        <v>7.42</v>
      </c>
      <c r="AJ520" t="s">
        <v>53</v>
      </c>
    </row>
    <row r="521" spans="1:36" ht="15" customHeight="1" x14ac:dyDescent="0.35">
      <c r="A521">
        <v>7547676</v>
      </c>
      <c r="B521" t="s">
        <v>36</v>
      </c>
      <c r="C521" t="s">
        <v>37</v>
      </c>
      <c r="D521" s="6" t="s">
        <v>36</v>
      </c>
      <c r="E521" t="s">
        <v>1653</v>
      </c>
      <c r="F521" t="s">
        <v>39</v>
      </c>
      <c r="G521" t="s">
        <v>40</v>
      </c>
      <c r="H521" t="s">
        <v>1654</v>
      </c>
      <c r="I521" t="s">
        <v>42</v>
      </c>
      <c r="J521">
        <v>2</v>
      </c>
      <c r="K521" t="s">
        <v>43</v>
      </c>
      <c r="L521" t="s">
        <v>44</v>
      </c>
      <c r="M521" t="s">
        <v>45</v>
      </c>
      <c r="N521" s="7">
        <v>1</v>
      </c>
      <c r="O521" s="8">
        <v>45543.429282407407</v>
      </c>
      <c r="P521" s="9">
        <v>45545</v>
      </c>
      <c r="Q521" t="s">
        <v>46</v>
      </c>
      <c r="R521" t="s">
        <v>47</v>
      </c>
      <c r="S521" t="s">
        <v>48</v>
      </c>
      <c r="T521" t="s">
        <v>128</v>
      </c>
      <c r="U521" t="s">
        <v>1655</v>
      </c>
      <c r="V521">
        <v>50400</v>
      </c>
      <c r="W521" t="s">
        <v>47</v>
      </c>
      <c r="X521" t="s">
        <v>833</v>
      </c>
      <c r="Y521" t="s">
        <v>52</v>
      </c>
      <c r="Z521" s="10">
        <f t="shared" si="67"/>
        <v>9</v>
      </c>
      <c r="AA521" s="11">
        <v>-2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68"/>
        <v>0.42</v>
      </c>
      <c r="AG521" s="11">
        <f t="shared" si="69"/>
        <v>7.42</v>
      </c>
      <c r="AH521" s="11">
        <v>0</v>
      </c>
      <c r="AI521" s="11">
        <f t="shared" si="70"/>
        <v>7.42</v>
      </c>
      <c r="AJ521" t="s">
        <v>53</v>
      </c>
    </row>
    <row r="522" spans="1:36" ht="15" customHeight="1" x14ac:dyDescent="0.35">
      <c r="A522">
        <v>7547676</v>
      </c>
      <c r="B522" t="s">
        <v>36</v>
      </c>
      <c r="C522" t="s">
        <v>37</v>
      </c>
      <c r="D522" s="6" t="s">
        <v>36</v>
      </c>
      <c r="E522" t="s">
        <v>1656</v>
      </c>
      <c r="F522" t="s">
        <v>39</v>
      </c>
      <c r="G522" t="s">
        <v>40</v>
      </c>
      <c r="H522" t="s">
        <v>1657</v>
      </c>
      <c r="I522" t="s">
        <v>42</v>
      </c>
      <c r="J522">
        <v>2</v>
      </c>
      <c r="K522" t="s">
        <v>43</v>
      </c>
      <c r="L522" t="s">
        <v>44</v>
      </c>
      <c r="M522" t="s">
        <v>45</v>
      </c>
      <c r="N522" s="7">
        <v>1</v>
      </c>
      <c r="O522" s="8">
        <v>45544.456724537034</v>
      </c>
      <c r="P522" s="9">
        <v>45546</v>
      </c>
      <c r="Q522" t="s">
        <v>46</v>
      </c>
      <c r="R522" t="s">
        <v>47</v>
      </c>
      <c r="S522" t="s">
        <v>48</v>
      </c>
      <c r="T522" t="s">
        <v>123</v>
      </c>
      <c r="U522" t="s">
        <v>1658</v>
      </c>
      <c r="V522">
        <v>41050</v>
      </c>
      <c r="W522" t="s">
        <v>47</v>
      </c>
      <c r="X522" t="s">
        <v>392</v>
      </c>
      <c r="Y522" t="s">
        <v>52</v>
      </c>
      <c r="Z522" s="10">
        <f>IF(N522&lt;=1,9,9+0.8*ROUNDUP(N522-1,0))</f>
        <v>9</v>
      </c>
      <c r="AA522" s="11">
        <v>-2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68"/>
        <v>0.42</v>
      </c>
      <c r="AG522" s="11">
        <f t="shared" si="69"/>
        <v>7.42</v>
      </c>
      <c r="AH522" s="11">
        <v>0</v>
      </c>
      <c r="AI522" s="11">
        <f t="shared" si="70"/>
        <v>7.42</v>
      </c>
      <c r="AJ522" t="s">
        <v>53</v>
      </c>
    </row>
    <row r="523" spans="1:36" ht="15" customHeight="1" x14ac:dyDescent="0.35">
      <c r="A523">
        <v>7547676</v>
      </c>
      <c r="B523" t="s">
        <v>36</v>
      </c>
      <c r="C523" t="s">
        <v>37</v>
      </c>
      <c r="D523" s="6" t="s">
        <v>36</v>
      </c>
      <c r="E523" t="s">
        <v>1659</v>
      </c>
      <c r="F523" t="s">
        <v>39</v>
      </c>
      <c r="G523" t="s">
        <v>40</v>
      </c>
      <c r="H523" t="s">
        <v>147</v>
      </c>
      <c r="I523" t="s">
        <v>42</v>
      </c>
      <c r="J523">
        <v>2</v>
      </c>
      <c r="K523" t="s">
        <v>43</v>
      </c>
      <c r="L523" t="s">
        <v>44</v>
      </c>
      <c r="M523" t="s">
        <v>45</v>
      </c>
      <c r="N523" s="7">
        <v>2</v>
      </c>
      <c r="O523" s="8">
        <v>45543.608726851853</v>
      </c>
      <c r="P523" s="9">
        <v>45546</v>
      </c>
      <c r="Q523" t="s">
        <v>46</v>
      </c>
      <c r="R523" t="s">
        <v>47</v>
      </c>
      <c r="S523" t="s">
        <v>48</v>
      </c>
      <c r="T523" t="s">
        <v>123</v>
      </c>
      <c r="U523" t="s">
        <v>148</v>
      </c>
      <c r="V523">
        <v>40000</v>
      </c>
      <c r="W523" t="s">
        <v>47</v>
      </c>
      <c r="X523" t="s">
        <v>149</v>
      </c>
      <c r="Y523" t="s">
        <v>52</v>
      </c>
      <c r="Z523" s="10">
        <f t="shared" ref="Z523:Z542" si="71">IF(N523&lt;=1,9,9+0.8*ROUNDUP(N523-1,0))</f>
        <v>9.8000000000000007</v>
      </c>
      <c r="AA523" s="11">
        <v>-2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68"/>
        <v>0.46800000000000003</v>
      </c>
      <c r="AG523" s="11">
        <f t="shared" si="69"/>
        <v>8.2680000000000007</v>
      </c>
      <c r="AH523" s="11">
        <v>0</v>
      </c>
      <c r="AI523" s="11">
        <f t="shared" si="70"/>
        <v>8.2680000000000007</v>
      </c>
      <c r="AJ523" t="s">
        <v>53</v>
      </c>
    </row>
    <row r="524" spans="1:36" ht="15" customHeight="1" x14ac:dyDescent="0.35">
      <c r="A524">
        <v>7547676</v>
      </c>
      <c r="B524" t="s">
        <v>36</v>
      </c>
      <c r="C524" t="s">
        <v>37</v>
      </c>
      <c r="D524" s="6" t="s">
        <v>36</v>
      </c>
      <c r="E524" t="s">
        <v>1660</v>
      </c>
      <c r="F524" t="s">
        <v>39</v>
      </c>
      <c r="G524" t="s">
        <v>40</v>
      </c>
      <c r="H524" t="s">
        <v>1661</v>
      </c>
      <c r="I524" t="s">
        <v>42</v>
      </c>
      <c r="J524">
        <v>2</v>
      </c>
      <c r="K524" t="s">
        <v>43</v>
      </c>
      <c r="L524" t="s">
        <v>44</v>
      </c>
      <c r="M524" t="s">
        <v>45</v>
      </c>
      <c r="N524" s="7">
        <v>1</v>
      </c>
      <c r="O524" s="8">
        <v>45544.707592592589</v>
      </c>
      <c r="P524" s="9">
        <v>45546</v>
      </c>
      <c r="Q524" t="s">
        <v>46</v>
      </c>
      <c r="R524" t="s">
        <v>47</v>
      </c>
      <c r="S524" t="s">
        <v>48</v>
      </c>
      <c r="T524" t="s">
        <v>128</v>
      </c>
      <c r="U524" t="s">
        <v>1662</v>
      </c>
      <c r="V524">
        <v>50300</v>
      </c>
      <c r="W524" t="s">
        <v>47</v>
      </c>
      <c r="X524" t="s">
        <v>833</v>
      </c>
      <c r="Y524" t="s">
        <v>52</v>
      </c>
      <c r="Z524" s="10">
        <f t="shared" si="71"/>
        <v>9</v>
      </c>
      <c r="AA524" s="11">
        <v>-2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68"/>
        <v>0.42</v>
      </c>
      <c r="AG524" s="11">
        <f t="shared" si="69"/>
        <v>7.42</v>
      </c>
      <c r="AH524" s="11">
        <v>0</v>
      </c>
      <c r="AI524" s="11">
        <f t="shared" si="70"/>
        <v>7.42</v>
      </c>
      <c r="AJ524" t="s">
        <v>53</v>
      </c>
    </row>
    <row r="525" spans="1:36" ht="15" customHeight="1" x14ac:dyDescent="0.35">
      <c r="A525">
        <v>7547676</v>
      </c>
      <c r="B525" t="s">
        <v>36</v>
      </c>
      <c r="C525" t="s">
        <v>37</v>
      </c>
      <c r="D525" s="6" t="s">
        <v>36</v>
      </c>
      <c r="E525" t="s">
        <v>1663</v>
      </c>
      <c r="F525" t="s">
        <v>39</v>
      </c>
      <c r="G525" t="s">
        <v>40</v>
      </c>
      <c r="H525" t="s">
        <v>1664</v>
      </c>
      <c r="I525" t="s">
        <v>42</v>
      </c>
      <c r="J525">
        <v>2</v>
      </c>
      <c r="K525" t="s">
        <v>43</v>
      </c>
      <c r="L525" t="s">
        <v>44</v>
      </c>
      <c r="M525" t="s">
        <v>45</v>
      </c>
      <c r="N525" s="7">
        <v>1</v>
      </c>
      <c r="O525" s="8">
        <v>45545.448379629626</v>
      </c>
      <c r="P525" s="9">
        <v>45546</v>
      </c>
      <c r="Q525" t="s">
        <v>46</v>
      </c>
      <c r="R525" t="s">
        <v>47</v>
      </c>
      <c r="S525" t="s">
        <v>48</v>
      </c>
      <c r="T525" t="s">
        <v>61</v>
      </c>
      <c r="U525" t="s">
        <v>1665</v>
      </c>
      <c r="V525">
        <v>21700</v>
      </c>
      <c r="W525" t="s">
        <v>47</v>
      </c>
      <c r="X525" t="s">
        <v>63</v>
      </c>
      <c r="Y525" t="s">
        <v>52</v>
      </c>
      <c r="Z525" s="10">
        <f t="shared" si="71"/>
        <v>9</v>
      </c>
      <c r="AA525" s="11">
        <v>-2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68"/>
        <v>0.42</v>
      </c>
      <c r="AG525" s="11">
        <f t="shared" si="69"/>
        <v>7.42</v>
      </c>
      <c r="AH525" s="11">
        <v>0</v>
      </c>
      <c r="AI525" s="11">
        <f t="shared" si="70"/>
        <v>7.42</v>
      </c>
      <c r="AJ525" t="s">
        <v>53</v>
      </c>
    </row>
    <row r="526" spans="1:36" ht="15" customHeight="1" x14ac:dyDescent="0.35">
      <c r="A526">
        <v>7547676</v>
      </c>
      <c r="B526" t="s">
        <v>36</v>
      </c>
      <c r="C526" t="s">
        <v>37</v>
      </c>
      <c r="D526" s="6" t="s">
        <v>36</v>
      </c>
      <c r="E526" t="s">
        <v>1666</v>
      </c>
      <c r="F526" t="s">
        <v>39</v>
      </c>
      <c r="G526" t="s">
        <v>40</v>
      </c>
      <c r="H526" t="s">
        <v>115</v>
      </c>
      <c r="I526" t="s">
        <v>42</v>
      </c>
      <c r="J526">
        <v>2</v>
      </c>
      <c r="K526" t="s">
        <v>43</v>
      </c>
      <c r="L526" t="s">
        <v>44</v>
      </c>
      <c r="M526" t="s">
        <v>45</v>
      </c>
      <c r="N526" s="7">
        <v>1</v>
      </c>
      <c r="O526" s="8">
        <v>45544.7422337963</v>
      </c>
      <c r="P526" s="9">
        <v>45546</v>
      </c>
      <c r="Q526" t="s">
        <v>46</v>
      </c>
      <c r="R526" t="s">
        <v>47</v>
      </c>
      <c r="S526" t="s">
        <v>48</v>
      </c>
      <c r="T526" t="s">
        <v>104</v>
      </c>
      <c r="U526" t="s">
        <v>1667</v>
      </c>
      <c r="V526">
        <v>75450</v>
      </c>
      <c r="W526" t="s">
        <v>47</v>
      </c>
      <c r="X526" t="s">
        <v>51</v>
      </c>
      <c r="Y526" t="s">
        <v>52</v>
      </c>
      <c r="Z526" s="10">
        <f t="shared" si="71"/>
        <v>9</v>
      </c>
      <c r="AA526" s="11">
        <v>-2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68"/>
        <v>0.42</v>
      </c>
      <c r="AG526" s="11">
        <f t="shared" si="69"/>
        <v>7.42</v>
      </c>
      <c r="AH526" s="11">
        <v>0</v>
      </c>
      <c r="AI526" s="11">
        <f t="shared" si="70"/>
        <v>7.42</v>
      </c>
      <c r="AJ526" t="s">
        <v>53</v>
      </c>
    </row>
    <row r="527" spans="1:36" ht="15" customHeight="1" x14ac:dyDescent="0.35">
      <c r="A527">
        <v>7547676</v>
      </c>
      <c r="B527" t="s">
        <v>36</v>
      </c>
      <c r="C527" t="s">
        <v>37</v>
      </c>
      <c r="D527" s="6" t="s">
        <v>36</v>
      </c>
      <c r="E527" t="s">
        <v>1668</v>
      </c>
      <c r="F527" t="s">
        <v>39</v>
      </c>
      <c r="G527" t="s">
        <v>40</v>
      </c>
      <c r="H527" t="s">
        <v>1669</v>
      </c>
      <c r="I527" t="s">
        <v>42</v>
      </c>
      <c r="J527">
        <v>2</v>
      </c>
      <c r="K527" t="s">
        <v>43</v>
      </c>
      <c r="L527" t="s">
        <v>44</v>
      </c>
      <c r="M527" t="s">
        <v>45</v>
      </c>
      <c r="N527" s="7">
        <v>1</v>
      </c>
      <c r="O527" s="8">
        <v>45544.500300925924</v>
      </c>
      <c r="P527" s="9">
        <v>45546</v>
      </c>
      <c r="Q527" t="s">
        <v>46</v>
      </c>
      <c r="R527" t="s">
        <v>47</v>
      </c>
      <c r="S527" t="s">
        <v>48</v>
      </c>
      <c r="T527" t="s">
        <v>136</v>
      </c>
      <c r="U527" t="s">
        <v>1670</v>
      </c>
      <c r="V527">
        <v>31750</v>
      </c>
      <c r="W527" t="s">
        <v>47</v>
      </c>
      <c r="X527" t="s">
        <v>286</v>
      </c>
      <c r="Y527" t="s">
        <v>52</v>
      </c>
      <c r="Z527" s="10">
        <f t="shared" si="71"/>
        <v>9</v>
      </c>
      <c r="AA527" s="11">
        <v>-2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68"/>
        <v>0.42</v>
      </c>
      <c r="AG527" s="11">
        <f t="shared" si="69"/>
        <v>7.42</v>
      </c>
      <c r="AH527" s="11">
        <v>0</v>
      </c>
      <c r="AI527" s="11">
        <f t="shared" si="70"/>
        <v>7.42</v>
      </c>
      <c r="AJ527" t="s">
        <v>53</v>
      </c>
    </row>
    <row r="528" spans="1:36" ht="15" customHeight="1" x14ac:dyDescent="0.35">
      <c r="A528">
        <v>7547676</v>
      </c>
      <c r="B528" t="s">
        <v>36</v>
      </c>
      <c r="C528" t="s">
        <v>37</v>
      </c>
      <c r="D528" s="6" t="s">
        <v>36</v>
      </c>
      <c r="E528" t="s">
        <v>1671</v>
      </c>
      <c r="F528" t="s">
        <v>39</v>
      </c>
      <c r="G528" t="s">
        <v>40</v>
      </c>
      <c r="H528" t="s">
        <v>1672</v>
      </c>
      <c r="I528" t="s">
        <v>42</v>
      </c>
      <c r="J528">
        <v>2</v>
      </c>
      <c r="K528" t="s">
        <v>43</v>
      </c>
      <c r="L528" t="s">
        <v>44</v>
      </c>
      <c r="M528" t="s">
        <v>45</v>
      </c>
      <c r="N528" s="7">
        <v>1</v>
      </c>
      <c r="O528" s="8">
        <v>45545.550810185188</v>
      </c>
      <c r="P528" s="9">
        <v>45546</v>
      </c>
      <c r="Q528" t="s">
        <v>46</v>
      </c>
      <c r="R528" t="s">
        <v>47</v>
      </c>
      <c r="S528" t="s">
        <v>48</v>
      </c>
      <c r="T528" t="s">
        <v>61</v>
      </c>
      <c r="U528" t="s">
        <v>1673</v>
      </c>
      <c r="V528">
        <v>20050</v>
      </c>
      <c r="W528" t="s">
        <v>47</v>
      </c>
      <c r="X528" t="s">
        <v>63</v>
      </c>
      <c r="Y528" t="s">
        <v>52</v>
      </c>
      <c r="Z528" s="10">
        <f t="shared" si="71"/>
        <v>9</v>
      </c>
      <c r="AA528" s="11">
        <v>-2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68"/>
        <v>0.42</v>
      </c>
      <c r="AG528" s="11">
        <f t="shared" si="69"/>
        <v>7.42</v>
      </c>
      <c r="AH528" s="11">
        <v>0</v>
      </c>
      <c r="AI528" s="11">
        <f t="shared" si="70"/>
        <v>7.42</v>
      </c>
      <c r="AJ528" t="s">
        <v>53</v>
      </c>
    </row>
    <row r="529" spans="1:36" ht="15" customHeight="1" x14ac:dyDescent="0.35">
      <c r="A529">
        <v>7547676</v>
      </c>
      <c r="B529" t="s">
        <v>36</v>
      </c>
      <c r="C529" t="s">
        <v>37</v>
      </c>
      <c r="D529" s="6" t="s">
        <v>36</v>
      </c>
      <c r="E529" t="s">
        <v>1674</v>
      </c>
      <c r="F529" t="s">
        <v>39</v>
      </c>
      <c r="G529" t="s">
        <v>40</v>
      </c>
      <c r="H529" t="s">
        <v>1675</v>
      </c>
      <c r="I529" t="s">
        <v>42</v>
      </c>
      <c r="J529">
        <v>2</v>
      </c>
      <c r="K529" t="s">
        <v>43</v>
      </c>
      <c r="L529" t="s">
        <v>44</v>
      </c>
      <c r="M529" t="s">
        <v>45</v>
      </c>
      <c r="N529" s="7">
        <v>1</v>
      </c>
      <c r="O529" s="8">
        <v>45544.443368055552</v>
      </c>
      <c r="P529" s="9">
        <v>45546</v>
      </c>
      <c r="Q529" t="s">
        <v>46</v>
      </c>
      <c r="R529" t="s">
        <v>47</v>
      </c>
      <c r="S529" t="s">
        <v>48</v>
      </c>
      <c r="T529" t="s">
        <v>80</v>
      </c>
      <c r="U529" t="s">
        <v>1676</v>
      </c>
      <c r="V529">
        <v>14000</v>
      </c>
      <c r="W529" t="s">
        <v>47</v>
      </c>
      <c r="X529" t="s">
        <v>581</v>
      </c>
      <c r="Y529" t="s">
        <v>52</v>
      </c>
      <c r="Z529" s="10">
        <f t="shared" si="71"/>
        <v>9</v>
      </c>
      <c r="AA529" s="11">
        <v>-2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68"/>
        <v>0.42</v>
      </c>
      <c r="AG529" s="11">
        <f t="shared" si="69"/>
        <v>7.42</v>
      </c>
      <c r="AH529" s="11">
        <v>0</v>
      </c>
      <c r="AI529" s="11">
        <f t="shared" si="70"/>
        <v>7.42</v>
      </c>
      <c r="AJ529" t="s">
        <v>53</v>
      </c>
    </row>
    <row r="530" spans="1:36" ht="15" customHeight="1" x14ac:dyDescent="0.35">
      <c r="A530">
        <v>7547676</v>
      </c>
      <c r="B530" t="s">
        <v>36</v>
      </c>
      <c r="C530" t="s">
        <v>37</v>
      </c>
      <c r="D530" s="6" t="s">
        <v>36</v>
      </c>
      <c r="E530" t="s">
        <v>1677</v>
      </c>
      <c r="F530" t="s">
        <v>39</v>
      </c>
      <c r="G530" t="s">
        <v>40</v>
      </c>
      <c r="H530" t="s">
        <v>1678</v>
      </c>
      <c r="I530" t="s">
        <v>42</v>
      </c>
      <c r="J530">
        <v>2</v>
      </c>
      <c r="K530" t="s">
        <v>43</v>
      </c>
      <c r="L530" t="s">
        <v>44</v>
      </c>
      <c r="M530" t="s">
        <v>45</v>
      </c>
      <c r="N530" s="7">
        <v>1</v>
      </c>
      <c r="O530" s="8">
        <v>45544.427812499998</v>
      </c>
      <c r="P530" s="9">
        <v>45546</v>
      </c>
      <c r="Q530" t="s">
        <v>46</v>
      </c>
      <c r="R530" t="s">
        <v>47</v>
      </c>
      <c r="S530" t="s">
        <v>48</v>
      </c>
      <c r="T530" t="s">
        <v>128</v>
      </c>
      <c r="U530" t="s">
        <v>1679</v>
      </c>
      <c r="V530">
        <v>50450</v>
      </c>
      <c r="W530" t="s">
        <v>47</v>
      </c>
      <c r="X530" t="s">
        <v>833</v>
      </c>
      <c r="Y530" t="s">
        <v>52</v>
      </c>
      <c r="Z530" s="10">
        <f t="shared" si="71"/>
        <v>9</v>
      </c>
      <c r="AA530" s="11">
        <v>-2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68"/>
        <v>0.42</v>
      </c>
      <c r="AG530" s="11">
        <f t="shared" si="69"/>
        <v>7.42</v>
      </c>
      <c r="AH530" s="11">
        <v>0</v>
      </c>
      <c r="AI530" s="11">
        <f t="shared" si="70"/>
        <v>7.42</v>
      </c>
      <c r="AJ530" t="s">
        <v>53</v>
      </c>
    </row>
    <row r="531" spans="1:36" ht="15" customHeight="1" x14ac:dyDescent="0.35">
      <c r="A531">
        <v>7547676</v>
      </c>
      <c r="B531" t="s">
        <v>36</v>
      </c>
      <c r="C531" t="s">
        <v>37</v>
      </c>
      <c r="D531" s="6" t="s">
        <v>36</v>
      </c>
      <c r="E531" t="s">
        <v>1680</v>
      </c>
      <c r="F531" t="s">
        <v>39</v>
      </c>
      <c r="G531" t="s">
        <v>40</v>
      </c>
      <c r="H531" t="s">
        <v>1681</v>
      </c>
      <c r="I531" t="s">
        <v>42</v>
      </c>
      <c r="J531">
        <v>2</v>
      </c>
      <c r="K531" t="s">
        <v>43</v>
      </c>
      <c r="L531" t="s">
        <v>44</v>
      </c>
      <c r="M531" t="s">
        <v>45</v>
      </c>
      <c r="N531" s="7">
        <v>1</v>
      </c>
      <c r="O531" s="8">
        <v>45545.647245370368</v>
      </c>
      <c r="P531" s="9">
        <v>45546</v>
      </c>
      <c r="Q531" t="s">
        <v>46</v>
      </c>
      <c r="R531" t="s">
        <v>47</v>
      </c>
      <c r="S531" t="s">
        <v>48</v>
      </c>
      <c r="T531" t="s">
        <v>278</v>
      </c>
      <c r="U531" t="s">
        <v>1682</v>
      </c>
      <c r="V531">
        <v>26050</v>
      </c>
      <c r="W531" t="s">
        <v>47</v>
      </c>
      <c r="X531" t="s">
        <v>188</v>
      </c>
      <c r="Y531" t="s">
        <v>52</v>
      </c>
      <c r="Z531" s="10">
        <f t="shared" si="71"/>
        <v>9</v>
      </c>
      <c r="AA531" s="11">
        <v>-2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68"/>
        <v>0.42</v>
      </c>
      <c r="AG531" s="11">
        <f t="shared" si="69"/>
        <v>7.42</v>
      </c>
      <c r="AH531" s="11">
        <v>0</v>
      </c>
      <c r="AI531" s="11">
        <f t="shared" si="70"/>
        <v>7.42</v>
      </c>
      <c r="AJ531" t="s">
        <v>53</v>
      </c>
    </row>
    <row r="532" spans="1:36" ht="15" customHeight="1" x14ac:dyDescent="0.35">
      <c r="A532">
        <v>7547676</v>
      </c>
      <c r="B532" t="s">
        <v>36</v>
      </c>
      <c r="C532" t="s">
        <v>37</v>
      </c>
      <c r="D532" s="6" t="s">
        <v>36</v>
      </c>
      <c r="E532" t="s">
        <v>1683</v>
      </c>
      <c r="F532" t="s">
        <v>39</v>
      </c>
      <c r="G532" t="s">
        <v>40</v>
      </c>
      <c r="H532" t="s">
        <v>1684</v>
      </c>
      <c r="I532" t="s">
        <v>42</v>
      </c>
      <c r="J532">
        <v>2</v>
      </c>
      <c r="K532" t="s">
        <v>43</v>
      </c>
      <c r="L532" t="s">
        <v>44</v>
      </c>
      <c r="M532" t="s">
        <v>45</v>
      </c>
      <c r="N532" s="7">
        <v>3</v>
      </c>
      <c r="O532" s="8">
        <v>45544.709687499999</v>
      </c>
      <c r="P532" s="9">
        <v>45546</v>
      </c>
      <c r="Q532" t="s">
        <v>46</v>
      </c>
      <c r="R532" t="s">
        <v>47</v>
      </c>
      <c r="S532" t="s">
        <v>48</v>
      </c>
      <c r="T532" t="s">
        <v>241</v>
      </c>
      <c r="U532" t="s">
        <v>1685</v>
      </c>
      <c r="V532">
        <v>2000</v>
      </c>
      <c r="W532" t="s">
        <v>47</v>
      </c>
      <c r="X532" t="s">
        <v>1338</v>
      </c>
      <c r="Y532" t="s">
        <v>52</v>
      </c>
      <c r="Z532" s="10">
        <f t="shared" si="71"/>
        <v>10.6</v>
      </c>
      <c r="AA532" s="11">
        <v>-2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68"/>
        <v>0.51600000000000001</v>
      </c>
      <c r="AG532" s="11">
        <f t="shared" si="69"/>
        <v>9.1159999999999997</v>
      </c>
      <c r="AH532" s="11">
        <v>0</v>
      </c>
      <c r="AI532" s="11">
        <f t="shared" si="70"/>
        <v>9.1159999999999997</v>
      </c>
      <c r="AJ532" t="s">
        <v>53</v>
      </c>
    </row>
    <row r="533" spans="1:36" ht="15" customHeight="1" x14ac:dyDescent="0.35">
      <c r="A533">
        <v>7547676</v>
      </c>
      <c r="B533" t="s">
        <v>36</v>
      </c>
      <c r="C533" t="s">
        <v>37</v>
      </c>
      <c r="D533" s="6" t="s">
        <v>36</v>
      </c>
      <c r="E533" t="s">
        <v>1686</v>
      </c>
      <c r="F533" t="s">
        <v>39</v>
      </c>
      <c r="G533" t="s">
        <v>40</v>
      </c>
      <c r="H533" t="s">
        <v>1687</v>
      </c>
      <c r="I533" t="s">
        <v>42</v>
      </c>
      <c r="J533">
        <v>2</v>
      </c>
      <c r="K533" t="s">
        <v>43</v>
      </c>
      <c r="L533" t="s">
        <v>44</v>
      </c>
      <c r="M533" t="s">
        <v>45</v>
      </c>
      <c r="N533" s="7">
        <v>1</v>
      </c>
      <c r="O533" s="8">
        <v>45544.500300925924</v>
      </c>
      <c r="P533" s="9">
        <v>45546</v>
      </c>
      <c r="Q533" t="s">
        <v>46</v>
      </c>
      <c r="R533" t="s">
        <v>47</v>
      </c>
      <c r="S533" t="s">
        <v>48</v>
      </c>
      <c r="T533" t="s">
        <v>123</v>
      </c>
      <c r="U533" t="s">
        <v>1688</v>
      </c>
      <c r="V533">
        <v>44300</v>
      </c>
      <c r="W533" t="s">
        <v>47</v>
      </c>
      <c r="X533" t="s">
        <v>1689</v>
      </c>
      <c r="Y533" t="s">
        <v>52</v>
      </c>
      <c r="Z533" s="10">
        <f t="shared" si="71"/>
        <v>9</v>
      </c>
      <c r="AA533" s="11">
        <v>-2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68"/>
        <v>0.42</v>
      </c>
      <c r="AG533" s="11">
        <f t="shared" si="69"/>
        <v>7.42</v>
      </c>
      <c r="AH533" s="11">
        <v>0</v>
      </c>
      <c r="AI533" s="11">
        <f t="shared" si="70"/>
        <v>7.42</v>
      </c>
      <c r="AJ533" t="s">
        <v>53</v>
      </c>
    </row>
    <row r="534" spans="1:36" ht="15" customHeight="1" x14ac:dyDescent="0.35">
      <c r="A534">
        <v>7547676</v>
      </c>
      <c r="B534" t="s">
        <v>36</v>
      </c>
      <c r="C534" t="s">
        <v>37</v>
      </c>
      <c r="D534" s="6" t="s">
        <v>36</v>
      </c>
      <c r="E534" t="s">
        <v>1690</v>
      </c>
      <c r="F534" t="s">
        <v>39</v>
      </c>
      <c r="G534" t="s">
        <v>40</v>
      </c>
      <c r="H534" t="s">
        <v>1691</v>
      </c>
      <c r="I534" t="s">
        <v>42</v>
      </c>
      <c r="J534">
        <v>2</v>
      </c>
      <c r="K534" t="s">
        <v>43</v>
      </c>
      <c r="L534" t="s">
        <v>44</v>
      </c>
      <c r="M534" t="s">
        <v>45</v>
      </c>
      <c r="N534" s="7">
        <v>1</v>
      </c>
      <c r="O534" s="8">
        <v>45544.747708333336</v>
      </c>
      <c r="P534" s="9">
        <v>45546</v>
      </c>
      <c r="Q534" t="s">
        <v>46</v>
      </c>
      <c r="R534" t="s">
        <v>47</v>
      </c>
      <c r="S534" t="s">
        <v>48</v>
      </c>
      <c r="T534" t="s">
        <v>56</v>
      </c>
      <c r="U534" t="s">
        <v>1692</v>
      </c>
      <c r="V534">
        <v>5400</v>
      </c>
      <c r="W534" t="s">
        <v>47</v>
      </c>
      <c r="X534" t="s">
        <v>227</v>
      </c>
      <c r="Y534" t="s">
        <v>52</v>
      </c>
      <c r="Z534" s="10">
        <f t="shared" si="71"/>
        <v>9</v>
      </c>
      <c r="AA534" s="11">
        <v>-2</v>
      </c>
      <c r="AB534" s="11">
        <v>0</v>
      </c>
      <c r="AC534" s="11">
        <v>0</v>
      </c>
      <c r="AD534" s="11">
        <v>0</v>
      </c>
      <c r="AE534" s="11">
        <v>0</v>
      </c>
      <c r="AF534" s="11">
        <f t="shared" si="68"/>
        <v>0.42</v>
      </c>
      <c r="AG534" s="11">
        <f t="shared" si="69"/>
        <v>7.42</v>
      </c>
      <c r="AH534" s="11">
        <v>0</v>
      </c>
      <c r="AI534" s="11">
        <f t="shared" si="70"/>
        <v>7.42</v>
      </c>
      <c r="AJ534" t="s">
        <v>53</v>
      </c>
    </row>
    <row r="535" spans="1:36" ht="15" customHeight="1" x14ac:dyDescent="0.35">
      <c r="A535">
        <v>7547676</v>
      </c>
      <c r="B535" t="s">
        <v>36</v>
      </c>
      <c r="C535" t="s">
        <v>37</v>
      </c>
      <c r="D535" s="6" t="s">
        <v>36</v>
      </c>
      <c r="E535" t="s">
        <v>1693</v>
      </c>
      <c r="F535" t="s">
        <v>39</v>
      </c>
      <c r="G535" t="s">
        <v>40</v>
      </c>
      <c r="H535" t="s">
        <v>1694</v>
      </c>
      <c r="I535" t="s">
        <v>42</v>
      </c>
      <c r="J535">
        <v>2</v>
      </c>
      <c r="K535" t="s">
        <v>43</v>
      </c>
      <c r="L535" t="s">
        <v>44</v>
      </c>
      <c r="M535" t="s">
        <v>45</v>
      </c>
      <c r="N535" s="7">
        <v>1</v>
      </c>
      <c r="O535" s="8">
        <v>45544.500300925924</v>
      </c>
      <c r="P535" s="9">
        <v>45546</v>
      </c>
      <c r="Q535" t="s">
        <v>46</v>
      </c>
      <c r="R535" t="s">
        <v>47</v>
      </c>
      <c r="S535" t="s">
        <v>48</v>
      </c>
      <c r="T535" t="s">
        <v>123</v>
      </c>
      <c r="U535" t="s">
        <v>1695</v>
      </c>
      <c r="V535">
        <v>43900</v>
      </c>
      <c r="W535" t="s">
        <v>47</v>
      </c>
      <c r="X535" t="s">
        <v>51</v>
      </c>
      <c r="Y535" t="s">
        <v>52</v>
      </c>
      <c r="Z535" s="10">
        <f t="shared" si="71"/>
        <v>9</v>
      </c>
      <c r="AA535" s="11">
        <v>-2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68"/>
        <v>0.42</v>
      </c>
      <c r="AG535" s="11">
        <f t="shared" si="69"/>
        <v>7.42</v>
      </c>
      <c r="AH535" s="11">
        <v>0</v>
      </c>
      <c r="AI535" s="11">
        <f t="shared" si="70"/>
        <v>7.42</v>
      </c>
      <c r="AJ535" t="s">
        <v>53</v>
      </c>
    </row>
    <row r="536" spans="1:36" ht="15" customHeight="1" x14ac:dyDescent="0.35">
      <c r="A536">
        <v>7547676</v>
      </c>
      <c r="B536" t="s">
        <v>36</v>
      </c>
      <c r="C536" t="s">
        <v>37</v>
      </c>
      <c r="D536" s="6" t="s">
        <v>36</v>
      </c>
      <c r="E536" t="s">
        <v>1696</v>
      </c>
      <c r="F536" t="s">
        <v>39</v>
      </c>
      <c r="G536" t="s">
        <v>40</v>
      </c>
      <c r="H536" t="s">
        <v>1183</v>
      </c>
      <c r="I536" t="s">
        <v>42</v>
      </c>
      <c r="J536">
        <v>2</v>
      </c>
      <c r="K536" t="s">
        <v>43</v>
      </c>
      <c r="L536" t="s">
        <v>44</v>
      </c>
      <c r="M536" t="s">
        <v>45</v>
      </c>
      <c r="N536" s="7">
        <v>5</v>
      </c>
      <c r="O536" s="8">
        <v>45544.676805555559</v>
      </c>
      <c r="P536" s="9">
        <v>45546</v>
      </c>
      <c r="Q536" t="s">
        <v>46</v>
      </c>
      <c r="R536" t="s">
        <v>47</v>
      </c>
      <c r="S536" t="s">
        <v>48</v>
      </c>
      <c r="T536" t="s">
        <v>136</v>
      </c>
      <c r="U536" t="s">
        <v>1184</v>
      </c>
      <c r="V536">
        <v>31700</v>
      </c>
      <c r="W536" t="s">
        <v>47</v>
      </c>
      <c r="X536" t="s">
        <v>286</v>
      </c>
      <c r="Y536" t="s">
        <v>52</v>
      </c>
      <c r="Z536" s="10">
        <f t="shared" si="71"/>
        <v>12.2</v>
      </c>
      <c r="AA536" s="11">
        <v>-2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68"/>
        <v>0.61199999999999999</v>
      </c>
      <c r="AG536" s="11">
        <f t="shared" si="69"/>
        <v>10.811999999999999</v>
      </c>
      <c r="AH536" s="11">
        <v>0</v>
      </c>
      <c r="AI536" s="11">
        <f t="shared" si="70"/>
        <v>10.811999999999999</v>
      </c>
      <c r="AJ536" t="s">
        <v>53</v>
      </c>
    </row>
    <row r="537" spans="1:36" ht="15" customHeight="1" x14ac:dyDescent="0.35">
      <c r="A537">
        <v>7547676</v>
      </c>
      <c r="B537" t="s">
        <v>36</v>
      </c>
      <c r="C537" t="s">
        <v>37</v>
      </c>
      <c r="D537" s="6" t="s">
        <v>36</v>
      </c>
      <c r="E537" t="s">
        <v>1697</v>
      </c>
      <c r="F537" t="s">
        <v>39</v>
      </c>
      <c r="G537" t="s">
        <v>40</v>
      </c>
      <c r="H537" t="s">
        <v>1698</v>
      </c>
      <c r="I537" t="s">
        <v>42</v>
      </c>
      <c r="J537">
        <v>2</v>
      </c>
      <c r="K537" t="s">
        <v>43</v>
      </c>
      <c r="L537" t="s">
        <v>44</v>
      </c>
      <c r="M537" t="s">
        <v>45</v>
      </c>
      <c r="N537" s="7">
        <v>1</v>
      </c>
      <c r="O537" s="8">
        <v>45544.723796296297</v>
      </c>
      <c r="P537" s="9">
        <v>45546</v>
      </c>
      <c r="Q537" t="s">
        <v>46</v>
      </c>
      <c r="R537" t="s">
        <v>47</v>
      </c>
      <c r="S537" t="s">
        <v>48</v>
      </c>
      <c r="T537" t="s">
        <v>210</v>
      </c>
      <c r="U537" t="s">
        <v>1699</v>
      </c>
      <c r="V537">
        <v>72100</v>
      </c>
      <c r="W537" t="s">
        <v>47</v>
      </c>
      <c r="X537" t="s">
        <v>641</v>
      </c>
      <c r="Y537" t="s">
        <v>52</v>
      </c>
      <c r="Z537" s="10">
        <f t="shared" si="71"/>
        <v>9</v>
      </c>
      <c r="AA537" s="11">
        <v>-2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68"/>
        <v>0.42</v>
      </c>
      <c r="AG537" s="11">
        <f t="shared" si="69"/>
        <v>7.42</v>
      </c>
      <c r="AH537" s="11">
        <v>0</v>
      </c>
      <c r="AI537" s="11">
        <f t="shared" si="70"/>
        <v>7.42</v>
      </c>
      <c r="AJ537" t="s">
        <v>53</v>
      </c>
    </row>
    <row r="538" spans="1:36" ht="15" customHeight="1" x14ac:dyDescent="0.35">
      <c r="A538">
        <v>7547676</v>
      </c>
      <c r="B538" t="s">
        <v>36</v>
      </c>
      <c r="C538" t="s">
        <v>37</v>
      </c>
      <c r="D538" s="6" t="s">
        <v>36</v>
      </c>
      <c r="E538" t="s">
        <v>1700</v>
      </c>
      <c r="F538" t="s">
        <v>39</v>
      </c>
      <c r="G538" t="s">
        <v>40</v>
      </c>
      <c r="H538" t="s">
        <v>1701</v>
      </c>
      <c r="I538" t="s">
        <v>42</v>
      </c>
      <c r="J538">
        <v>2</v>
      </c>
      <c r="K538" t="s">
        <v>43</v>
      </c>
      <c r="L538" t="s">
        <v>44</v>
      </c>
      <c r="M538" t="s">
        <v>45</v>
      </c>
      <c r="N538" s="7">
        <v>1</v>
      </c>
      <c r="O538" s="8">
        <v>45544.500300925924</v>
      </c>
      <c r="P538" s="9">
        <v>45546</v>
      </c>
      <c r="Q538" t="s">
        <v>46</v>
      </c>
      <c r="R538" t="s">
        <v>47</v>
      </c>
      <c r="S538" t="s">
        <v>48</v>
      </c>
      <c r="T538" t="s">
        <v>123</v>
      </c>
      <c r="U538" t="s">
        <v>1702</v>
      </c>
      <c r="V538">
        <v>40160</v>
      </c>
      <c r="W538" t="s">
        <v>47</v>
      </c>
      <c r="X538" t="s">
        <v>1578</v>
      </c>
      <c r="Y538" t="s">
        <v>52</v>
      </c>
      <c r="Z538" s="10">
        <f t="shared" si="71"/>
        <v>9</v>
      </c>
      <c r="AA538" s="11">
        <v>-2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68"/>
        <v>0.42</v>
      </c>
      <c r="AG538" s="11">
        <f t="shared" si="69"/>
        <v>7.42</v>
      </c>
      <c r="AH538" s="11">
        <v>0</v>
      </c>
      <c r="AI538" s="11">
        <f t="shared" si="70"/>
        <v>7.42</v>
      </c>
      <c r="AJ538" t="s">
        <v>53</v>
      </c>
    </row>
    <row r="539" spans="1:36" ht="15" customHeight="1" x14ac:dyDescent="0.35">
      <c r="A539">
        <v>7547676</v>
      </c>
      <c r="B539" t="s">
        <v>36</v>
      </c>
      <c r="C539" t="s">
        <v>37</v>
      </c>
      <c r="D539" s="6" t="s">
        <v>36</v>
      </c>
      <c r="E539" t="s">
        <v>1703</v>
      </c>
      <c r="F539" t="s">
        <v>39</v>
      </c>
      <c r="G539" t="s">
        <v>40</v>
      </c>
      <c r="H539" t="s">
        <v>1704</v>
      </c>
      <c r="I539" t="s">
        <v>42</v>
      </c>
      <c r="J539">
        <v>2</v>
      </c>
      <c r="K539" t="s">
        <v>43</v>
      </c>
      <c r="L539" t="s">
        <v>44</v>
      </c>
      <c r="M539" t="s">
        <v>45</v>
      </c>
      <c r="N539" s="7">
        <v>1</v>
      </c>
      <c r="O539" s="8">
        <v>45544.500300925924</v>
      </c>
      <c r="P539" s="9">
        <v>45546</v>
      </c>
      <c r="Q539" t="s">
        <v>46</v>
      </c>
      <c r="R539" t="s">
        <v>47</v>
      </c>
      <c r="S539" t="s">
        <v>48</v>
      </c>
      <c r="T539" t="s">
        <v>123</v>
      </c>
      <c r="U539" t="s">
        <v>1705</v>
      </c>
      <c r="V539">
        <v>68100</v>
      </c>
      <c r="W539" t="s">
        <v>47</v>
      </c>
      <c r="X539" t="s">
        <v>474</v>
      </c>
      <c r="Y539" t="s">
        <v>52</v>
      </c>
      <c r="Z539" s="10">
        <f t="shared" si="71"/>
        <v>9</v>
      </c>
      <c r="AA539" s="11">
        <v>-2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68"/>
        <v>0.42</v>
      </c>
      <c r="AG539" s="11">
        <f t="shared" si="69"/>
        <v>7.42</v>
      </c>
      <c r="AH539" s="11">
        <v>0</v>
      </c>
      <c r="AI539" s="11">
        <f t="shared" si="70"/>
        <v>7.42</v>
      </c>
      <c r="AJ539" t="s">
        <v>53</v>
      </c>
    </row>
    <row r="540" spans="1:36" ht="15" customHeight="1" x14ac:dyDescent="0.35">
      <c r="A540">
        <v>7547676</v>
      </c>
      <c r="B540" t="s">
        <v>36</v>
      </c>
      <c r="C540" t="s">
        <v>37</v>
      </c>
      <c r="D540" s="6" t="s">
        <v>36</v>
      </c>
      <c r="E540" t="s">
        <v>1706</v>
      </c>
      <c r="F540" t="s">
        <v>39</v>
      </c>
      <c r="G540" t="s">
        <v>40</v>
      </c>
      <c r="H540" t="s">
        <v>1707</v>
      </c>
      <c r="I540" t="s">
        <v>42</v>
      </c>
      <c r="J540">
        <v>2</v>
      </c>
      <c r="K540" t="s">
        <v>43</v>
      </c>
      <c r="L540" t="s">
        <v>44</v>
      </c>
      <c r="M540" t="s">
        <v>45</v>
      </c>
      <c r="N540" s="7">
        <v>1</v>
      </c>
      <c r="O540" s="8">
        <v>45542.844317129631</v>
      </c>
      <c r="P540" s="9">
        <v>45546</v>
      </c>
      <c r="Q540" t="s">
        <v>46</v>
      </c>
      <c r="R540" t="s">
        <v>47</v>
      </c>
      <c r="S540" t="s">
        <v>48</v>
      </c>
      <c r="T540" t="s">
        <v>80</v>
      </c>
      <c r="U540" t="s">
        <v>1708</v>
      </c>
      <c r="V540">
        <v>13220</v>
      </c>
      <c r="W540" t="s">
        <v>47</v>
      </c>
      <c r="X540" t="s">
        <v>1298</v>
      </c>
      <c r="Y540" t="s">
        <v>52</v>
      </c>
      <c r="Z540" s="10">
        <f t="shared" si="71"/>
        <v>9</v>
      </c>
      <c r="AA540" s="11">
        <v>-2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68"/>
        <v>0.42</v>
      </c>
      <c r="AG540" s="11">
        <f t="shared" si="69"/>
        <v>7.42</v>
      </c>
      <c r="AH540" s="11">
        <v>0</v>
      </c>
      <c r="AI540" s="11">
        <f t="shared" si="70"/>
        <v>7.42</v>
      </c>
      <c r="AJ540" t="s">
        <v>53</v>
      </c>
    </row>
    <row r="541" spans="1:36" ht="15" customHeight="1" x14ac:dyDescent="0.35">
      <c r="A541">
        <v>7547676</v>
      </c>
      <c r="B541" t="s">
        <v>36</v>
      </c>
      <c r="C541" t="s">
        <v>37</v>
      </c>
      <c r="D541" s="6" t="s">
        <v>36</v>
      </c>
      <c r="E541" t="s">
        <v>1709</v>
      </c>
      <c r="F541" t="s">
        <v>39</v>
      </c>
      <c r="G541" t="s">
        <v>40</v>
      </c>
      <c r="H541" t="s">
        <v>1710</v>
      </c>
      <c r="I541" t="s">
        <v>42</v>
      </c>
      <c r="J541">
        <v>2</v>
      </c>
      <c r="K541" t="s">
        <v>43</v>
      </c>
      <c r="L541" t="s">
        <v>44</v>
      </c>
      <c r="M541" t="s">
        <v>45</v>
      </c>
      <c r="N541" s="7">
        <v>1</v>
      </c>
      <c r="O541" s="8">
        <v>45545.619062500002</v>
      </c>
      <c r="P541" s="9">
        <v>45546</v>
      </c>
      <c r="Q541" t="s">
        <v>46</v>
      </c>
      <c r="R541" t="s">
        <v>47</v>
      </c>
      <c r="S541" t="s">
        <v>48</v>
      </c>
      <c r="T541" t="s">
        <v>61</v>
      </c>
      <c r="U541" t="s">
        <v>1711</v>
      </c>
      <c r="V541">
        <v>22200</v>
      </c>
      <c r="W541" t="s">
        <v>47</v>
      </c>
      <c r="X541" t="s">
        <v>145</v>
      </c>
      <c r="Y541" t="s">
        <v>52</v>
      </c>
      <c r="Z541" s="10">
        <f t="shared" si="71"/>
        <v>9</v>
      </c>
      <c r="AA541" s="11">
        <v>-2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68"/>
        <v>0.42</v>
      </c>
      <c r="AG541" s="11">
        <f t="shared" si="69"/>
        <v>7.42</v>
      </c>
      <c r="AH541" s="11">
        <v>0</v>
      </c>
      <c r="AI541" s="11">
        <f t="shared" si="70"/>
        <v>7.42</v>
      </c>
      <c r="AJ541" t="s">
        <v>53</v>
      </c>
    </row>
    <row r="542" spans="1:36" ht="15" customHeight="1" x14ac:dyDescent="0.35">
      <c r="A542">
        <v>7547676</v>
      </c>
      <c r="B542" t="s">
        <v>36</v>
      </c>
      <c r="C542" t="s">
        <v>37</v>
      </c>
      <c r="D542" s="6" t="s">
        <v>36</v>
      </c>
      <c r="E542" t="s">
        <v>1712</v>
      </c>
      <c r="F542" t="s">
        <v>39</v>
      </c>
      <c r="G542" t="s">
        <v>40</v>
      </c>
      <c r="H542" t="s">
        <v>1713</v>
      </c>
      <c r="I542" t="s">
        <v>42</v>
      </c>
      <c r="J542">
        <v>2</v>
      </c>
      <c r="K542" t="s">
        <v>43</v>
      </c>
      <c r="L542" t="s">
        <v>44</v>
      </c>
      <c r="M542" t="s">
        <v>45</v>
      </c>
      <c r="N542" s="7">
        <v>1</v>
      </c>
      <c r="O542" s="8">
        <v>45543.688750000001</v>
      </c>
      <c r="P542" s="9">
        <v>45546</v>
      </c>
      <c r="Q542" t="s">
        <v>46</v>
      </c>
      <c r="R542" t="s">
        <v>47</v>
      </c>
      <c r="S542" t="s">
        <v>48</v>
      </c>
      <c r="T542" t="s">
        <v>123</v>
      </c>
      <c r="U542" t="s">
        <v>1714</v>
      </c>
      <c r="V542">
        <v>41050</v>
      </c>
      <c r="W542" t="s">
        <v>47</v>
      </c>
      <c r="X542" t="s">
        <v>51</v>
      </c>
      <c r="Y542" t="s">
        <v>52</v>
      </c>
      <c r="Z542" s="10">
        <f t="shared" si="71"/>
        <v>9</v>
      </c>
      <c r="AA542" s="11">
        <v>-2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68"/>
        <v>0.42</v>
      </c>
      <c r="AG542" s="11">
        <f t="shared" si="69"/>
        <v>7.42</v>
      </c>
      <c r="AH542" s="11">
        <v>0</v>
      </c>
      <c r="AI542" s="11">
        <f t="shared" si="70"/>
        <v>7.42</v>
      </c>
      <c r="AJ542" t="s">
        <v>53</v>
      </c>
    </row>
    <row r="543" spans="1:36" ht="15" customHeight="1" x14ac:dyDescent="0.35">
      <c r="A543">
        <v>7547676</v>
      </c>
      <c r="B543" t="s">
        <v>36</v>
      </c>
      <c r="C543" t="s">
        <v>37</v>
      </c>
      <c r="D543" s="6" t="s">
        <v>36</v>
      </c>
      <c r="E543" t="s">
        <v>1715</v>
      </c>
      <c r="F543" t="s">
        <v>39</v>
      </c>
      <c r="G543" t="s">
        <v>40</v>
      </c>
      <c r="H543" t="s">
        <v>1716</v>
      </c>
      <c r="I543" t="s">
        <v>42</v>
      </c>
      <c r="J543">
        <v>2</v>
      </c>
      <c r="K543" t="s">
        <v>43</v>
      </c>
      <c r="L543" t="s">
        <v>44</v>
      </c>
      <c r="M543" t="s">
        <v>45</v>
      </c>
      <c r="N543" s="7">
        <v>1</v>
      </c>
      <c r="O543" s="8">
        <v>45543.621192129627</v>
      </c>
      <c r="P543" s="9">
        <v>45546</v>
      </c>
      <c r="Q543" t="s">
        <v>46</v>
      </c>
      <c r="R543" t="s">
        <v>47</v>
      </c>
      <c r="S543" t="s">
        <v>48</v>
      </c>
      <c r="T543" t="s">
        <v>90</v>
      </c>
      <c r="U543" t="s">
        <v>1717</v>
      </c>
      <c r="V543">
        <v>88200</v>
      </c>
      <c r="W543" t="s">
        <v>92</v>
      </c>
      <c r="X543" t="s">
        <v>51</v>
      </c>
      <c r="Y543" t="s">
        <v>52</v>
      </c>
      <c r="Z543" s="12">
        <f>IF(N543&lt;=1,13,IF(N543&lt;=2,23,IF(N543&lt;=3,35,IF(N543&lt;=4,43,IF(N543&lt;=5,53,IF(N543&lt;=6,63,IF(N543&lt;=7,71,IF(N543&lt;=8,79,IF(N543&lt;=9,87,IF(N543&lt;=10,95,IF(N543&lt;=11,105,IF(N543&lt;=12,114,IF(N543&lt;=13,119,IF(N543&lt;=14,127,IF(N543&lt;=15,135,IF(N543&lt;=16,143,IF(N543&lt;=17,153,IF(N543&lt;=18,163,IF(N543&lt;=19,171,IF(N543&lt;=20,185,IF(N543&lt;=21,193,IF(N543&lt;=22,201,IF(N543&lt;=23,210,IF(N543&lt;=24,220,IF(N543&lt;=25,230,IF(N543&lt;=26,240,IF(N543&lt;=27,250,IF(N543&lt;=28,260,IF(N543&lt;=29,270,IF(N543&lt;=30,280,280+10*ROUNDUP(N543-30,0)))))))))))))))))))))))))))))))</f>
        <v>13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68"/>
        <v>0.78</v>
      </c>
      <c r="AG543" s="11">
        <f t="shared" si="69"/>
        <v>13.78</v>
      </c>
      <c r="AH543" s="11">
        <v>0</v>
      </c>
      <c r="AI543" s="11">
        <f t="shared" si="70"/>
        <v>13.78</v>
      </c>
      <c r="AJ543" t="s">
        <v>94</v>
      </c>
    </row>
    <row r="544" spans="1:36" ht="15" customHeight="1" x14ac:dyDescent="0.35">
      <c r="A544">
        <v>7547676</v>
      </c>
      <c r="B544" t="s">
        <v>36</v>
      </c>
      <c r="C544" t="s">
        <v>37</v>
      </c>
      <c r="D544" s="6" t="s">
        <v>36</v>
      </c>
      <c r="E544" t="s">
        <v>1718</v>
      </c>
      <c r="F544" t="s">
        <v>39</v>
      </c>
      <c r="G544" t="s">
        <v>40</v>
      </c>
      <c r="H544" t="s">
        <v>1719</v>
      </c>
      <c r="I544" t="s">
        <v>42</v>
      </c>
      <c r="J544">
        <v>2</v>
      </c>
      <c r="K544" t="s">
        <v>43</v>
      </c>
      <c r="L544" t="s">
        <v>44</v>
      </c>
      <c r="M544" t="s">
        <v>45</v>
      </c>
      <c r="N544" s="7">
        <v>3</v>
      </c>
      <c r="O544" s="8">
        <v>45544.727569444447</v>
      </c>
      <c r="P544" s="9">
        <v>45546</v>
      </c>
      <c r="Q544" t="s">
        <v>46</v>
      </c>
      <c r="R544" t="s">
        <v>47</v>
      </c>
      <c r="S544" t="s">
        <v>48</v>
      </c>
      <c r="T544" t="s">
        <v>210</v>
      </c>
      <c r="U544" t="s">
        <v>1720</v>
      </c>
      <c r="V544">
        <v>70400</v>
      </c>
      <c r="W544" t="s">
        <v>47</v>
      </c>
      <c r="X544" t="s">
        <v>1721</v>
      </c>
      <c r="Y544" t="s">
        <v>52</v>
      </c>
      <c r="Z544" s="10">
        <f t="shared" ref="Z544:Z549" si="72">IF(N544&lt;=1,9,9+0.8*ROUNDUP(N544-1,0))</f>
        <v>10.6</v>
      </c>
      <c r="AA544" s="11">
        <v>-2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68"/>
        <v>0.51600000000000001</v>
      </c>
      <c r="AG544" s="11">
        <f t="shared" si="69"/>
        <v>9.1159999999999997</v>
      </c>
      <c r="AH544" s="11">
        <v>0</v>
      </c>
      <c r="AI544" s="11">
        <f t="shared" si="70"/>
        <v>9.1159999999999997</v>
      </c>
      <c r="AJ544" t="s">
        <v>53</v>
      </c>
    </row>
    <row r="545" spans="1:36" ht="15" customHeight="1" x14ac:dyDescent="0.35">
      <c r="A545">
        <v>7547676</v>
      </c>
      <c r="B545" t="s">
        <v>36</v>
      </c>
      <c r="C545" t="s">
        <v>37</v>
      </c>
      <c r="D545" s="6" t="s">
        <v>36</v>
      </c>
      <c r="E545" t="s">
        <v>1722</v>
      </c>
      <c r="F545" t="s">
        <v>39</v>
      </c>
      <c r="G545" t="s">
        <v>40</v>
      </c>
      <c r="H545" t="s">
        <v>1723</v>
      </c>
      <c r="I545" t="s">
        <v>42</v>
      </c>
      <c r="J545">
        <v>2</v>
      </c>
      <c r="K545" t="s">
        <v>43</v>
      </c>
      <c r="L545" t="s">
        <v>44</v>
      </c>
      <c r="M545" t="s">
        <v>45</v>
      </c>
      <c r="N545" s="7">
        <v>1</v>
      </c>
      <c r="O545" s="8">
        <v>45545.716747685183</v>
      </c>
      <c r="P545" s="9">
        <v>45546</v>
      </c>
      <c r="Q545" t="s">
        <v>46</v>
      </c>
      <c r="R545" t="s">
        <v>47</v>
      </c>
      <c r="S545" t="s">
        <v>48</v>
      </c>
      <c r="T545" t="s">
        <v>123</v>
      </c>
      <c r="U545" t="s">
        <v>1724</v>
      </c>
      <c r="V545">
        <v>42920</v>
      </c>
      <c r="W545" t="s">
        <v>47</v>
      </c>
      <c r="X545" t="s">
        <v>1010</v>
      </c>
      <c r="Y545" t="s">
        <v>52</v>
      </c>
      <c r="Z545" s="10">
        <f t="shared" si="72"/>
        <v>9</v>
      </c>
      <c r="AA545" s="11">
        <v>-2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68"/>
        <v>0.42</v>
      </c>
      <c r="AG545" s="11">
        <f t="shared" si="69"/>
        <v>7.42</v>
      </c>
      <c r="AH545" s="11">
        <v>0</v>
      </c>
      <c r="AI545" s="11">
        <f t="shared" si="70"/>
        <v>7.42</v>
      </c>
      <c r="AJ545" t="s">
        <v>53</v>
      </c>
    </row>
    <row r="546" spans="1:36" ht="15" customHeight="1" x14ac:dyDescent="0.35">
      <c r="A546">
        <v>7547676</v>
      </c>
      <c r="B546" t="s">
        <v>36</v>
      </c>
      <c r="C546" t="s">
        <v>37</v>
      </c>
      <c r="D546" s="6" t="s">
        <v>36</v>
      </c>
      <c r="E546" t="s">
        <v>1725</v>
      </c>
      <c r="F546" t="s">
        <v>39</v>
      </c>
      <c r="G546" t="s">
        <v>40</v>
      </c>
      <c r="H546" t="s">
        <v>1726</v>
      </c>
      <c r="I546" t="s">
        <v>42</v>
      </c>
      <c r="J546">
        <v>2</v>
      </c>
      <c r="K546" t="s">
        <v>43</v>
      </c>
      <c r="L546" t="s">
        <v>44</v>
      </c>
      <c r="M546" t="s">
        <v>45</v>
      </c>
      <c r="N546" s="7">
        <v>1</v>
      </c>
      <c r="O546" s="8">
        <v>45545.448379629626</v>
      </c>
      <c r="P546" s="9">
        <v>45546</v>
      </c>
      <c r="Q546" t="s">
        <v>46</v>
      </c>
      <c r="R546" t="s">
        <v>47</v>
      </c>
      <c r="S546" t="s">
        <v>48</v>
      </c>
      <c r="T546" t="s">
        <v>123</v>
      </c>
      <c r="U546" t="s">
        <v>1727</v>
      </c>
      <c r="V546">
        <v>53100</v>
      </c>
      <c r="W546" t="s">
        <v>47</v>
      </c>
      <c r="X546" t="s">
        <v>750</v>
      </c>
      <c r="Y546" t="s">
        <v>52</v>
      </c>
      <c r="Z546" s="10">
        <f t="shared" si="72"/>
        <v>9</v>
      </c>
      <c r="AA546" s="11">
        <v>-2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68"/>
        <v>0.42</v>
      </c>
      <c r="AG546" s="11">
        <f t="shared" si="69"/>
        <v>7.42</v>
      </c>
      <c r="AH546" s="11">
        <v>0</v>
      </c>
      <c r="AI546" s="11">
        <f t="shared" si="70"/>
        <v>7.42</v>
      </c>
      <c r="AJ546" t="s">
        <v>53</v>
      </c>
    </row>
    <row r="547" spans="1:36" ht="15" customHeight="1" x14ac:dyDescent="0.35">
      <c r="A547">
        <v>7547676</v>
      </c>
      <c r="B547" t="s">
        <v>36</v>
      </c>
      <c r="C547" t="s">
        <v>37</v>
      </c>
      <c r="D547" s="6" t="s">
        <v>36</v>
      </c>
      <c r="E547" t="s">
        <v>1728</v>
      </c>
      <c r="F547" t="s">
        <v>39</v>
      </c>
      <c r="G547" t="s">
        <v>40</v>
      </c>
      <c r="H547" t="s">
        <v>1729</v>
      </c>
      <c r="I547" t="s">
        <v>42</v>
      </c>
      <c r="J547">
        <v>2</v>
      </c>
      <c r="K547" t="s">
        <v>43</v>
      </c>
      <c r="L547" t="s">
        <v>44</v>
      </c>
      <c r="M547" t="s">
        <v>45</v>
      </c>
      <c r="N547" s="7">
        <v>1</v>
      </c>
      <c r="O547" s="8">
        <v>45544.489722222221</v>
      </c>
      <c r="P547" s="9">
        <v>45546</v>
      </c>
      <c r="Q547" t="s">
        <v>46</v>
      </c>
      <c r="R547" t="s">
        <v>47</v>
      </c>
      <c r="S547" t="s">
        <v>48</v>
      </c>
      <c r="T547" t="s">
        <v>80</v>
      </c>
      <c r="U547" t="s">
        <v>1730</v>
      </c>
      <c r="V547">
        <v>11700</v>
      </c>
      <c r="W547" t="s">
        <v>47</v>
      </c>
      <c r="X547" t="s">
        <v>325</v>
      </c>
      <c r="Y547" t="s">
        <v>52</v>
      </c>
      <c r="Z547" s="10">
        <f t="shared" si="72"/>
        <v>9</v>
      </c>
      <c r="AA547" s="11">
        <v>-2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68"/>
        <v>0.42</v>
      </c>
      <c r="AG547" s="11">
        <f t="shared" si="69"/>
        <v>7.42</v>
      </c>
      <c r="AH547" s="11">
        <v>0</v>
      </c>
      <c r="AI547" s="11">
        <f t="shared" si="70"/>
        <v>7.42</v>
      </c>
      <c r="AJ547" t="s">
        <v>53</v>
      </c>
    </row>
    <row r="548" spans="1:36" ht="15" customHeight="1" x14ac:dyDescent="0.35">
      <c r="A548">
        <v>7547676</v>
      </c>
      <c r="B548" t="s">
        <v>36</v>
      </c>
      <c r="C548" t="s">
        <v>37</v>
      </c>
      <c r="D548" s="6" t="s">
        <v>36</v>
      </c>
      <c r="E548" t="s">
        <v>1731</v>
      </c>
      <c r="F548" t="s">
        <v>39</v>
      </c>
      <c r="G548" t="s">
        <v>40</v>
      </c>
      <c r="H548" t="s">
        <v>1732</v>
      </c>
      <c r="I548" t="s">
        <v>42</v>
      </c>
      <c r="J548">
        <v>2</v>
      </c>
      <c r="K548" t="s">
        <v>43</v>
      </c>
      <c r="L548" t="s">
        <v>44</v>
      </c>
      <c r="M548" t="s">
        <v>45</v>
      </c>
      <c r="N548" s="7">
        <v>1</v>
      </c>
      <c r="O548" s="8">
        <v>45544.747106481482</v>
      </c>
      <c r="P548" s="9">
        <v>45546</v>
      </c>
      <c r="Q548" t="s">
        <v>46</v>
      </c>
      <c r="R548" t="s">
        <v>47</v>
      </c>
      <c r="S548" t="s">
        <v>48</v>
      </c>
      <c r="T548" t="s">
        <v>66</v>
      </c>
      <c r="U548" t="s">
        <v>1733</v>
      </c>
      <c r="V548">
        <v>84900</v>
      </c>
      <c r="W548" t="s">
        <v>47</v>
      </c>
      <c r="X548" t="s">
        <v>883</v>
      </c>
      <c r="Y548" t="s">
        <v>52</v>
      </c>
      <c r="Z548" s="10">
        <f t="shared" si="72"/>
        <v>9</v>
      </c>
      <c r="AA548" s="11">
        <v>-2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68"/>
        <v>0.42</v>
      </c>
      <c r="AG548" s="11">
        <f t="shared" si="69"/>
        <v>7.42</v>
      </c>
      <c r="AH548" s="11">
        <v>0</v>
      </c>
      <c r="AI548" s="11">
        <f t="shared" si="70"/>
        <v>7.42</v>
      </c>
      <c r="AJ548" t="s">
        <v>53</v>
      </c>
    </row>
    <row r="549" spans="1:36" ht="15" customHeight="1" x14ac:dyDescent="0.35">
      <c r="A549">
        <v>7547676</v>
      </c>
      <c r="B549" t="s">
        <v>36</v>
      </c>
      <c r="C549" t="s">
        <v>37</v>
      </c>
      <c r="D549" s="6" t="s">
        <v>36</v>
      </c>
      <c r="E549" t="s">
        <v>1734</v>
      </c>
      <c r="F549" t="s">
        <v>39</v>
      </c>
      <c r="G549" t="s">
        <v>40</v>
      </c>
      <c r="H549" t="s">
        <v>1735</v>
      </c>
      <c r="I549" t="s">
        <v>42</v>
      </c>
      <c r="J549">
        <v>2</v>
      </c>
      <c r="K549" t="s">
        <v>43</v>
      </c>
      <c r="L549" t="s">
        <v>44</v>
      </c>
      <c r="M549" t="s">
        <v>45</v>
      </c>
      <c r="N549" s="7">
        <v>1</v>
      </c>
      <c r="O549" s="8">
        <v>45544.617789351854</v>
      </c>
      <c r="P549" s="9">
        <v>45546</v>
      </c>
      <c r="Q549" t="s">
        <v>46</v>
      </c>
      <c r="R549" t="s">
        <v>47</v>
      </c>
      <c r="S549" t="s">
        <v>48</v>
      </c>
      <c r="T549" t="s">
        <v>136</v>
      </c>
      <c r="U549" t="s">
        <v>1736</v>
      </c>
      <c r="V549">
        <v>32200</v>
      </c>
      <c r="W549" t="s">
        <v>47</v>
      </c>
      <c r="X549" t="s">
        <v>51</v>
      </c>
      <c r="Y549" t="s">
        <v>52</v>
      </c>
      <c r="Z549" s="10">
        <f t="shared" si="72"/>
        <v>9</v>
      </c>
      <c r="AA549" s="11">
        <v>-2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68"/>
        <v>0.42</v>
      </c>
      <c r="AG549" s="11">
        <f t="shared" si="69"/>
        <v>7.42</v>
      </c>
      <c r="AH549" s="11">
        <v>0</v>
      </c>
      <c r="AI549" s="11">
        <f t="shared" si="70"/>
        <v>7.42</v>
      </c>
      <c r="AJ549" t="s">
        <v>53</v>
      </c>
    </row>
    <row r="550" spans="1:36" ht="15" customHeight="1" x14ac:dyDescent="0.35">
      <c r="A550">
        <v>7547676</v>
      </c>
      <c r="B550" t="s">
        <v>36</v>
      </c>
      <c r="C550" t="s">
        <v>37</v>
      </c>
      <c r="D550" s="6" t="s">
        <v>36</v>
      </c>
      <c r="E550" t="s">
        <v>1737</v>
      </c>
      <c r="F550" t="s">
        <v>39</v>
      </c>
      <c r="G550" t="s">
        <v>40</v>
      </c>
      <c r="H550" t="s">
        <v>1738</v>
      </c>
      <c r="I550" t="s">
        <v>42</v>
      </c>
      <c r="J550">
        <v>2</v>
      </c>
      <c r="K550" t="s">
        <v>43</v>
      </c>
      <c r="L550" t="s">
        <v>44</v>
      </c>
      <c r="M550" t="s">
        <v>45</v>
      </c>
      <c r="N550" s="7">
        <v>2</v>
      </c>
      <c r="O550" s="8">
        <v>45542.790069444447</v>
      </c>
      <c r="P550" s="9">
        <v>45547</v>
      </c>
      <c r="Q550" t="s">
        <v>46</v>
      </c>
      <c r="R550" t="s">
        <v>47</v>
      </c>
      <c r="S550" t="s">
        <v>48</v>
      </c>
      <c r="T550" t="s">
        <v>532</v>
      </c>
      <c r="U550" t="s">
        <v>1739</v>
      </c>
      <c r="V550">
        <v>87000</v>
      </c>
      <c r="W550" t="s">
        <v>92</v>
      </c>
      <c r="X550" t="s">
        <v>51</v>
      </c>
      <c r="Y550" t="s">
        <v>52</v>
      </c>
      <c r="Z550" s="12">
        <f>IF(N550&lt;=1,13,IF(N550&lt;=2,23,IF(N550&lt;=3,35,IF(N550&lt;=4,43,IF(N550&lt;=5,53,IF(N550&lt;=6,63,IF(N550&lt;=7,71,IF(N550&lt;=8,79,IF(N550&lt;=9,87,IF(N550&lt;=10,95,IF(N550&lt;=11,105,IF(N550&lt;=12,114,IF(N550&lt;=13,119,IF(N550&lt;=14,127,IF(N550&lt;=15,135,IF(N550&lt;=16,143,IF(N550&lt;=17,153,IF(N550&lt;=18,163,IF(N550&lt;=19,171,IF(N550&lt;=20,185,IF(N550&lt;=21,193,IF(N550&lt;=22,201,IF(N550&lt;=23,210,IF(N550&lt;=24,220,IF(N550&lt;=25,230,IF(N550&lt;=26,240,IF(N550&lt;=27,250,IF(N550&lt;=28,260,IF(N550&lt;=29,270,IF(N550&lt;=30,280,280+10*ROUNDUP(N550-30,0)))))))))))))))))))))))))))))))</f>
        <v>23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68"/>
        <v>1.38</v>
      </c>
      <c r="AG550" s="11">
        <f t="shared" si="69"/>
        <v>24.38</v>
      </c>
      <c r="AH550" s="11">
        <v>0</v>
      </c>
      <c r="AI550" s="11">
        <f t="shared" si="70"/>
        <v>24.38</v>
      </c>
      <c r="AJ550" t="s">
        <v>94</v>
      </c>
    </row>
    <row r="551" spans="1:36" ht="15" customHeight="1" x14ac:dyDescent="0.35">
      <c r="A551">
        <v>7547676</v>
      </c>
      <c r="B551" t="s">
        <v>36</v>
      </c>
      <c r="C551" t="s">
        <v>37</v>
      </c>
      <c r="D551" s="6" t="s">
        <v>36</v>
      </c>
      <c r="E551" t="s">
        <v>1740</v>
      </c>
      <c r="F551" t="s">
        <v>39</v>
      </c>
      <c r="G551" t="s">
        <v>40</v>
      </c>
      <c r="H551" t="s">
        <v>1741</v>
      </c>
      <c r="I551" t="s">
        <v>42</v>
      </c>
      <c r="J551">
        <v>2</v>
      </c>
      <c r="K551" t="s">
        <v>43</v>
      </c>
      <c r="L551" t="s">
        <v>44</v>
      </c>
      <c r="M551" t="s">
        <v>45</v>
      </c>
      <c r="N551" s="7">
        <v>1</v>
      </c>
      <c r="O551" s="8">
        <v>45544.504363425927</v>
      </c>
      <c r="P551" s="9">
        <v>45546</v>
      </c>
      <c r="Q551" t="s">
        <v>46</v>
      </c>
      <c r="R551" t="s">
        <v>47</v>
      </c>
      <c r="S551" t="s">
        <v>48</v>
      </c>
      <c r="T551" t="s">
        <v>128</v>
      </c>
      <c r="U551" t="s">
        <v>1742</v>
      </c>
      <c r="V551">
        <v>58100</v>
      </c>
      <c r="W551" t="s">
        <v>47</v>
      </c>
      <c r="X551" t="s">
        <v>1743</v>
      </c>
      <c r="Y551" t="s">
        <v>52</v>
      </c>
      <c r="Z551" s="10">
        <f t="shared" ref="Z551:Z570" si="73">IF(N551&lt;=1,9,9+0.8*ROUNDUP(N551-1,0))</f>
        <v>9</v>
      </c>
      <c r="AA551" s="11">
        <v>-2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68"/>
        <v>0.42</v>
      </c>
      <c r="AG551" s="11">
        <f t="shared" si="69"/>
        <v>7.42</v>
      </c>
      <c r="AH551" s="11">
        <v>0</v>
      </c>
      <c r="AI551" s="11">
        <f t="shared" si="70"/>
        <v>7.42</v>
      </c>
      <c r="AJ551" t="s">
        <v>53</v>
      </c>
    </row>
    <row r="552" spans="1:36" ht="15" customHeight="1" x14ac:dyDescent="0.35">
      <c r="A552">
        <v>7547676</v>
      </c>
      <c r="B552" t="s">
        <v>36</v>
      </c>
      <c r="C552" t="s">
        <v>37</v>
      </c>
      <c r="D552" s="6" t="s">
        <v>36</v>
      </c>
      <c r="E552" t="s">
        <v>1744</v>
      </c>
      <c r="F552" t="s">
        <v>39</v>
      </c>
      <c r="G552" t="s">
        <v>40</v>
      </c>
      <c r="H552" t="s">
        <v>1745</v>
      </c>
      <c r="I552" t="s">
        <v>42</v>
      </c>
      <c r="J552">
        <v>2</v>
      </c>
      <c r="K552" t="s">
        <v>43</v>
      </c>
      <c r="L552" t="s">
        <v>44</v>
      </c>
      <c r="M552" t="s">
        <v>45</v>
      </c>
      <c r="N552" s="7">
        <v>1</v>
      </c>
      <c r="O552" s="8">
        <v>45546.699444444443</v>
      </c>
      <c r="P552" s="9">
        <v>45547</v>
      </c>
      <c r="Q552" t="s">
        <v>46</v>
      </c>
      <c r="R552" t="s">
        <v>47</v>
      </c>
      <c r="S552" t="s">
        <v>48</v>
      </c>
      <c r="T552" t="s">
        <v>75</v>
      </c>
      <c r="U552" t="s">
        <v>1746</v>
      </c>
      <c r="V552">
        <v>16500</v>
      </c>
      <c r="W552" t="s">
        <v>47</v>
      </c>
      <c r="X552" t="s">
        <v>145</v>
      </c>
      <c r="Y552" t="s">
        <v>52</v>
      </c>
      <c r="Z552" s="10">
        <f t="shared" si="73"/>
        <v>9</v>
      </c>
      <c r="AA552" s="11">
        <v>-2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68"/>
        <v>0.42</v>
      </c>
      <c r="AG552" s="11">
        <f t="shared" si="69"/>
        <v>7.42</v>
      </c>
      <c r="AH552" s="11">
        <v>0</v>
      </c>
      <c r="AI552" s="11">
        <f t="shared" si="70"/>
        <v>7.42</v>
      </c>
      <c r="AJ552" t="s">
        <v>53</v>
      </c>
    </row>
    <row r="553" spans="1:36" ht="15" customHeight="1" x14ac:dyDescent="0.35">
      <c r="A553">
        <v>7547676</v>
      </c>
      <c r="B553" t="s">
        <v>36</v>
      </c>
      <c r="C553" t="s">
        <v>37</v>
      </c>
      <c r="D553" s="6" t="s">
        <v>36</v>
      </c>
      <c r="E553" t="s">
        <v>1747</v>
      </c>
      <c r="F553" t="s">
        <v>39</v>
      </c>
      <c r="G553" t="s">
        <v>40</v>
      </c>
      <c r="H553" t="s">
        <v>1748</v>
      </c>
      <c r="I553" t="s">
        <v>42</v>
      </c>
      <c r="J553">
        <v>2</v>
      </c>
      <c r="K553" t="s">
        <v>43</v>
      </c>
      <c r="L553" t="s">
        <v>44</v>
      </c>
      <c r="M553" t="s">
        <v>45</v>
      </c>
      <c r="N553" s="7">
        <v>1</v>
      </c>
      <c r="O553" s="8">
        <v>45546.71979166667</v>
      </c>
      <c r="P553" s="9">
        <v>45547</v>
      </c>
      <c r="Q553" t="s">
        <v>46</v>
      </c>
      <c r="R553" t="s">
        <v>47</v>
      </c>
      <c r="S553" t="s">
        <v>48</v>
      </c>
      <c r="T553" t="s">
        <v>104</v>
      </c>
      <c r="U553" t="s">
        <v>1749</v>
      </c>
      <c r="V553">
        <v>77200</v>
      </c>
      <c r="W553" t="s">
        <v>47</v>
      </c>
      <c r="X553" t="s">
        <v>1175</v>
      </c>
      <c r="Y553" t="s">
        <v>52</v>
      </c>
      <c r="Z553" s="10">
        <f t="shared" si="73"/>
        <v>9</v>
      </c>
      <c r="AA553" s="11">
        <v>-2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68"/>
        <v>0.42</v>
      </c>
      <c r="AG553" s="11">
        <f t="shared" si="69"/>
        <v>7.42</v>
      </c>
      <c r="AH553" s="11">
        <v>0</v>
      </c>
      <c r="AI553" s="11">
        <f t="shared" si="70"/>
        <v>7.42</v>
      </c>
      <c r="AJ553" t="s">
        <v>53</v>
      </c>
    </row>
    <row r="554" spans="1:36" ht="15" customHeight="1" x14ac:dyDescent="0.35">
      <c r="A554">
        <v>7547676</v>
      </c>
      <c r="B554" t="s">
        <v>36</v>
      </c>
      <c r="C554" t="s">
        <v>37</v>
      </c>
      <c r="D554" s="6" t="s">
        <v>36</v>
      </c>
      <c r="E554" t="s">
        <v>1750</v>
      </c>
      <c r="F554" t="s">
        <v>39</v>
      </c>
      <c r="G554" t="s">
        <v>40</v>
      </c>
      <c r="H554" t="s">
        <v>1751</v>
      </c>
      <c r="I554" t="s">
        <v>42</v>
      </c>
      <c r="J554">
        <v>2</v>
      </c>
      <c r="K554" t="s">
        <v>43</v>
      </c>
      <c r="L554" t="s">
        <v>44</v>
      </c>
      <c r="M554" t="s">
        <v>45</v>
      </c>
      <c r="N554" s="7">
        <v>1</v>
      </c>
      <c r="O554" s="8">
        <v>45546.415960648148</v>
      </c>
      <c r="P554" s="9">
        <v>45547</v>
      </c>
      <c r="Q554" t="s">
        <v>46</v>
      </c>
      <c r="R554" t="s">
        <v>47</v>
      </c>
      <c r="S554" t="s">
        <v>48</v>
      </c>
      <c r="T554" t="s">
        <v>123</v>
      </c>
      <c r="U554" t="s">
        <v>1752</v>
      </c>
      <c r="V554">
        <v>47000</v>
      </c>
      <c r="W554" t="s">
        <v>47</v>
      </c>
      <c r="X554" t="s">
        <v>51</v>
      </c>
      <c r="Y554" t="s">
        <v>52</v>
      </c>
      <c r="Z554" s="10">
        <f t="shared" si="73"/>
        <v>9</v>
      </c>
      <c r="AA554" s="11">
        <v>-2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68"/>
        <v>0.42</v>
      </c>
      <c r="AG554" s="11">
        <f t="shared" si="69"/>
        <v>7.42</v>
      </c>
      <c r="AH554" s="11">
        <v>0</v>
      </c>
      <c r="AI554" s="11">
        <f t="shared" si="70"/>
        <v>7.42</v>
      </c>
      <c r="AJ554" t="s">
        <v>53</v>
      </c>
    </row>
    <row r="555" spans="1:36" ht="15" customHeight="1" x14ac:dyDescent="0.35">
      <c r="A555">
        <v>7547676</v>
      </c>
      <c r="B555" t="s">
        <v>36</v>
      </c>
      <c r="C555" t="s">
        <v>37</v>
      </c>
      <c r="D555" s="6" t="s">
        <v>36</v>
      </c>
      <c r="E555" t="s">
        <v>1753</v>
      </c>
      <c r="F555" t="s">
        <v>39</v>
      </c>
      <c r="G555" t="s">
        <v>40</v>
      </c>
      <c r="H555" t="s">
        <v>1754</v>
      </c>
      <c r="I555" t="s">
        <v>42</v>
      </c>
      <c r="J555">
        <v>2</v>
      </c>
      <c r="K555" t="s">
        <v>43</v>
      </c>
      <c r="L555" t="s">
        <v>44</v>
      </c>
      <c r="M555" t="s">
        <v>45</v>
      </c>
      <c r="N555" s="7">
        <v>1</v>
      </c>
      <c r="O555" s="8">
        <v>45545.848703703705</v>
      </c>
      <c r="P555" s="9">
        <v>45547</v>
      </c>
      <c r="Q555" t="s">
        <v>46</v>
      </c>
      <c r="R555" t="s">
        <v>47</v>
      </c>
      <c r="S555" t="s">
        <v>48</v>
      </c>
      <c r="T555" t="s">
        <v>61</v>
      </c>
      <c r="U555" t="s">
        <v>1755</v>
      </c>
      <c r="V555">
        <v>21700</v>
      </c>
      <c r="W555" t="s">
        <v>47</v>
      </c>
      <c r="X555" t="s">
        <v>63</v>
      </c>
      <c r="Y555" t="s">
        <v>52</v>
      </c>
      <c r="Z555" s="10">
        <f t="shared" si="73"/>
        <v>9</v>
      </c>
      <c r="AA555" s="11">
        <v>-2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68"/>
        <v>0.42</v>
      </c>
      <c r="AG555" s="11">
        <f t="shared" si="69"/>
        <v>7.42</v>
      </c>
      <c r="AH555" s="11">
        <v>0</v>
      </c>
      <c r="AI555" s="11">
        <f t="shared" si="70"/>
        <v>7.42</v>
      </c>
      <c r="AJ555" t="s">
        <v>53</v>
      </c>
    </row>
    <row r="556" spans="1:36" ht="15" customHeight="1" x14ac:dyDescent="0.35">
      <c r="A556">
        <v>7547676</v>
      </c>
      <c r="B556" t="s">
        <v>36</v>
      </c>
      <c r="C556" t="s">
        <v>37</v>
      </c>
      <c r="D556" s="6" t="s">
        <v>36</v>
      </c>
      <c r="E556" t="s">
        <v>1756</v>
      </c>
      <c r="F556" t="s">
        <v>39</v>
      </c>
      <c r="G556" t="s">
        <v>40</v>
      </c>
      <c r="H556" t="s">
        <v>1757</v>
      </c>
      <c r="I556" t="s">
        <v>42</v>
      </c>
      <c r="J556">
        <v>2</v>
      </c>
      <c r="K556" t="s">
        <v>43</v>
      </c>
      <c r="L556" t="s">
        <v>44</v>
      </c>
      <c r="M556" t="s">
        <v>45</v>
      </c>
      <c r="N556" s="7">
        <v>1</v>
      </c>
      <c r="O556" s="8">
        <v>45544.786527777775</v>
      </c>
      <c r="P556" s="9">
        <v>45547</v>
      </c>
      <c r="Q556" t="s">
        <v>46</v>
      </c>
      <c r="R556" t="s">
        <v>47</v>
      </c>
      <c r="S556" t="s">
        <v>48</v>
      </c>
      <c r="T556" t="s">
        <v>123</v>
      </c>
      <c r="U556" t="s">
        <v>1758</v>
      </c>
      <c r="V556">
        <v>62590</v>
      </c>
      <c r="W556" t="s">
        <v>47</v>
      </c>
      <c r="X556" t="s">
        <v>51</v>
      </c>
      <c r="Y556" t="s">
        <v>52</v>
      </c>
      <c r="Z556" s="10">
        <f t="shared" si="73"/>
        <v>9</v>
      </c>
      <c r="AA556" s="11">
        <v>-2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68"/>
        <v>0.42</v>
      </c>
      <c r="AG556" s="11">
        <f t="shared" si="69"/>
        <v>7.42</v>
      </c>
      <c r="AH556" s="11">
        <v>0</v>
      </c>
      <c r="AI556" s="11">
        <f t="shared" si="70"/>
        <v>7.42</v>
      </c>
      <c r="AJ556" t="s">
        <v>53</v>
      </c>
    </row>
    <row r="557" spans="1:36" ht="15" customHeight="1" x14ac:dyDescent="0.35">
      <c r="A557">
        <v>7547676</v>
      </c>
      <c r="B557" t="s">
        <v>36</v>
      </c>
      <c r="C557" t="s">
        <v>37</v>
      </c>
      <c r="D557" s="6" t="s">
        <v>36</v>
      </c>
      <c r="E557" t="s">
        <v>1759</v>
      </c>
      <c r="F557" t="s">
        <v>39</v>
      </c>
      <c r="G557" t="s">
        <v>40</v>
      </c>
      <c r="H557" t="s">
        <v>1760</v>
      </c>
      <c r="I557" t="s">
        <v>42</v>
      </c>
      <c r="J557">
        <v>2</v>
      </c>
      <c r="K557" t="s">
        <v>43</v>
      </c>
      <c r="L557" t="s">
        <v>44</v>
      </c>
      <c r="M557" t="s">
        <v>45</v>
      </c>
      <c r="N557" s="7">
        <v>1</v>
      </c>
      <c r="O557" s="8">
        <v>45546.748645833337</v>
      </c>
      <c r="P557" s="9">
        <v>45547</v>
      </c>
      <c r="Q557" t="s">
        <v>46</v>
      </c>
      <c r="R557" t="s">
        <v>47</v>
      </c>
      <c r="S557" t="s">
        <v>48</v>
      </c>
      <c r="T557" t="s">
        <v>75</v>
      </c>
      <c r="U557" t="s">
        <v>1761</v>
      </c>
      <c r="V557">
        <v>16150</v>
      </c>
      <c r="W557" t="s">
        <v>47</v>
      </c>
      <c r="X557" t="s">
        <v>145</v>
      </c>
      <c r="Y557" t="s">
        <v>52</v>
      </c>
      <c r="Z557" s="10">
        <f t="shared" si="73"/>
        <v>9</v>
      </c>
      <c r="AA557" s="11">
        <v>-2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68"/>
        <v>0.42</v>
      </c>
      <c r="AG557" s="11">
        <f t="shared" si="69"/>
        <v>7.42</v>
      </c>
      <c r="AH557" s="11">
        <v>0</v>
      </c>
      <c r="AI557" s="11">
        <f t="shared" si="70"/>
        <v>7.42</v>
      </c>
      <c r="AJ557" t="s">
        <v>53</v>
      </c>
    </row>
    <row r="558" spans="1:36" ht="15" customHeight="1" x14ac:dyDescent="0.35">
      <c r="A558">
        <v>7547676</v>
      </c>
      <c r="B558" t="s">
        <v>36</v>
      </c>
      <c r="C558" t="s">
        <v>37</v>
      </c>
      <c r="D558" s="6" t="s">
        <v>36</v>
      </c>
      <c r="E558" t="s">
        <v>1762</v>
      </c>
      <c r="F558" t="s">
        <v>39</v>
      </c>
      <c r="G558" t="s">
        <v>40</v>
      </c>
      <c r="H558" t="s">
        <v>1763</v>
      </c>
      <c r="I558" t="s">
        <v>42</v>
      </c>
      <c r="J558">
        <v>2</v>
      </c>
      <c r="K558" t="s">
        <v>43</v>
      </c>
      <c r="L558" t="s">
        <v>44</v>
      </c>
      <c r="M558" t="s">
        <v>45</v>
      </c>
      <c r="N558" s="7">
        <v>1</v>
      </c>
      <c r="O558" s="8">
        <v>45546.741215277776</v>
      </c>
      <c r="P558" s="9">
        <v>45547</v>
      </c>
      <c r="Q558" t="s">
        <v>46</v>
      </c>
      <c r="R558" t="s">
        <v>47</v>
      </c>
      <c r="S558" t="s">
        <v>48</v>
      </c>
      <c r="T558" t="s">
        <v>49</v>
      </c>
      <c r="U558" t="s">
        <v>1764</v>
      </c>
      <c r="V558">
        <v>43000</v>
      </c>
      <c r="W558" t="s">
        <v>47</v>
      </c>
      <c r="X558" t="s">
        <v>162</v>
      </c>
      <c r="Y558" t="s">
        <v>52</v>
      </c>
      <c r="Z558" s="10">
        <f t="shared" si="73"/>
        <v>9</v>
      </c>
      <c r="AA558" s="11">
        <v>-2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68"/>
        <v>0.42</v>
      </c>
      <c r="AG558" s="11">
        <f t="shared" si="69"/>
        <v>7.42</v>
      </c>
      <c r="AH558" s="11">
        <v>0</v>
      </c>
      <c r="AI558" s="11">
        <f t="shared" si="70"/>
        <v>7.42</v>
      </c>
      <c r="AJ558" t="s">
        <v>53</v>
      </c>
    </row>
    <row r="559" spans="1:36" ht="15" customHeight="1" x14ac:dyDescent="0.35">
      <c r="A559">
        <v>7547676</v>
      </c>
      <c r="B559" t="s">
        <v>36</v>
      </c>
      <c r="C559" t="s">
        <v>37</v>
      </c>
      <c r="D559" s="6" t="s">
        <v>36</v>
      </c>
      <c r="E559" t="s">
        <v>1765</v>
      </c>
      <c r="F559" t="s">
        <v>39</v>
      </c>
      <c r="G559" t="s">
        <v>40</v>
      </c>
      <c r="H559" t="s">
        <v>1512</v>
      </c>
      <c r="I559" t="s">
        <v>42</v>
      </c>
      <c r="J559">
        <v>2</v>
      </c>
      <c r="K559" t="s">
        <v>43</v>
      </c>
      <c r="L559" t="s">
        <v>44</v>
      </c>
      <c r="M559" t="s">
        <v>45</v>
      </c>
      <c r="N559" s="7">
        <v>1</v>
      </c>
      <c r="O559" s="8">
        <v>45546.734907407408</v>
      </c>
      <c r="P559" s="9">
        <v>45547</v>
      </c>
      <c r="Q559" t="s">
        <v>46</v>
      </c>
      <c r="R559" t="s">
        <v>47</v>
      </c>
      <c r="S559" t="s">
        <v>48</v>
      </c>
      <c r="T559" t="s">
        <v>210</v>
      </c>
      <c r="U559" t="s">
        <v>1513</v>
      </c>
      <c r="V559">
        <v>70450</v>
      </c>
      <c r="W559" t="s">
        <v>47</v>
      </c>
      <c r="X559" t="s">
        <v>931</v>
      </c>
      <c r="Y559" t="s">
        <v>52</v>
      </c>
      <c r="Z559" s="10">
        <f t="shared" si="73"/>
        <v>9</v>
      </c>
      <c r="AA559" s="11">
        <v>-2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68"/>
        <v>0.42</v>
      </c>
      <c r="AG559" s="11">
        <f t="shared" si="69"/>
        <v>7.42</v>
      </c>
      <c r="AH559" s="11">
        <v>0</v>
      </c>
      <c r="AI559" s="11">
        <f t="shared" si="70"/>
        <v>7.42</v>
      </c>
      <c r="AJ559" t="s">
        <v>53</v>
      </c>
    </row>
    <row r="560" spans="1:36" ht="15" customHeight="1" x14ac:dyDescent="0.35">
      <c r="A560">
        <v>7547676</v>
      </c>
      <c r="B560" t="s">
        <v>36</v>
      </c>
      <c r="C560" t="s">
        <v>37</v>
      </c>
      <c r="D560" s="6" t="s">
        <v>36</v>
      </c>
      <c r="E560" t="s">
        <v>1766</v>
      </c>
      <c r="F560" t="s">
        <v>39</v>
      </c>
      <c r="G560" t="s">
        <v>40</v>
      </c>
      <c r="H560" t="s">
        <v>1767</v>
      </c>
      <c r="I560" t="s">
        <v>42</v>
      </c>
      <c r="J560">
        <v>2</v>
      </c>
      <c r="K560" t="s">
        <v>43</v>
      </c>
      <c r="L560" t="s">
        <v>44</v>
      </c>
      <c r="M560" t="s">
        <v>45</v>
      </c>
      <c r="N560" s="7">
        <v>1</v>
      </c>
      <c r="O560" s="8">
        <v>45546.591747685183</v>
      </c>
      <c r="P560" s="9">
        <v>45547</v>
      </c>
      <c r="Q560" t="s">
        <v>46</v>
      </c>
      <c r="R560" t="s">
        <v>47</v>
      </c>
      <c r="S560" t="s">
        <v>48</v>
      </c>
      <c r="T560" t="s">
        <v>128</v>
      </c>
      <c r="U560" t="s">
        <v>1768</v>
      </c>
      <c r="V560">
        <v>46100</v>
      </c>
      <c r="W560" t="s">
        <v>47</v>
      </c>
      <c r="X560" t="s">
        <v>184</v>
      </c>
      <c r="Y560" t="s">
        <v>52</v>
      </c>
      <c r="Z560" s="10">
        <f t="shared" si="73"/>
        <v>9</v>
      </c>
      <c r="AA560" s="11">
        <v>-2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68"/>
        <v>0.42</v>
      </c>
      <c r="AG560" s="11">
        <f t="shared" si="69"/>
        <v>7.42</v>
      </c>
      <c r="AH560" s="11">
        <v>0</v>
      </c>
      <c r="AI560" s="11">
        <f t="shared" si="70"/>
        <v>7.42</v>
      </c>
      <c r="AJ560" t="s">
        <v>53</v>
      </c>
    </row>
    <row r="561" spans="1:36" ht="15" customHeight="1" x14ac:dyDescent="0.35">
      <c r="A561">
        <v>7547676</v>
      </c>
      <c r="B561" t="s">
        <v>36</v>
      </c>
      <c r="C561" t="s">
        <v>37</v>
      </c>
      <c r="D561" s="6" t="s">
        <v>36</v>
      </c>
      <c r="E561" t="s">
        <v>1769</v>
      </c>
      <c r="F561" t="s">
        <v>39</v>
      </c>
      <c r="G561" t="s">
        <v>40</v>
      </c>
      <c r="H561" t="s">
        <v>1284</v>
      </c>
      <c r="I561" t="s">
        <v>42</v>
      </c>
      <c r="J561">
        <v>2</v>
      </c>
      <c r="K561" t="s">
        <v>43</v>
      </c>
      <c r="L561" t="s">
        <v>44</v>
      </c>
      <c r="M561" t="s">
        <v>45</v>
      </c>
      <c r="N561" s="7">
        <v>1</v>
      </c>
      <c r="O561" s="8">
        <v>45546.610243055555</v>
      </c>
      <c r="P561" s="9">
        <v>45547</v>
      </c>
      <c r="Q561" t="s">
        <v>46</v>
      </c>
      <c r="R561" t="s">
        <v>47</v>
      </c>
      <c r="S561" t="s">
        <v>48</v>
      </c>
      <c r="T561" t="s">
        <v>123</v>
      </c>
      <c r="U561" t="s">
        <v>1770</v>
      </c>
      <c r="V561">
        <v>40000</v>
      </c>
      <c r="W561" t="s">
        <v>47</v>
      </c>
      <c r="X561" t="s">
        <v>855</v>
      </c>
      <c r="Y561" t="s">
        <v>52</v>
      </c>
      <c r="Z561" s="10">
        <f t="shared" si="73"/>
        <v>9</v>
      </c>
      <c r="AA561" s="11">
        <v>-2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68"/>
        <v>0.42</v>
      </c>
      <c r="AG561" s="11">
        <f t="shared" si="69"/>
        <v>7.42</v>
      </c>
      <c r="AH561" s="11">
        <v>0</v>
      </c>
      <c r="AI561" s="11">
        <f t="shared" si="70"/>
        <v>7.42</v>
      </c>
      <c r="AJ561" t="s">
        <v>53</v>
      </c>
    </row>
    <row r="562" spans="1:36" ht="15" customHeight="1" x14ac:dyDescent="0.35">
      <c r="A562">
        <v>7547676</v>
      </c>
      <c r="B562" t="s">
        <v>36</v>
      </c>
      <c r="C562" t="s">
        <v>37</v>
      </c>
      <c r="D562" s="6" t="s">
        <v>36</v>
      </c>
      <c r="E562" t="s">
        <v>1771</v>
      </c>
      <c r="F562" t="s">
        <v>39</v>
      </c>
      <c r="G562" t="s">
        <v>40</v>
      </c>
      <c r="H562" t="s">
        <v>1772</v>
      </c>
      <c r="I562" t="s">
        <v>42</v>
      </c>
      <c r="J562">
        <v>2</v>
      </c>
      <c r="K562" t="s">
        <v>43</v>
      </c>
      <c r="L562" t="s">
        <v>44</v>
      </c>
      <c r="M562" t="s">
        <v>45</v>
      </c>
      <c r="N562" s="7">
        <v>1</v>
      </c>
      <c r="O562" s="8">
        <v>45546.728009259263</v>
      </c>
      <c r="P562" s="9">
        <v>45547</v>
      </c>
      <c r="Q562" t="s">
        <v>46</v>
      </c>
      <c r="R562" t="s">
        <v>47</v>
      </c>
      <c r="S562" t="s">
        <v>48</v>
      </c>
      <c r="T562" t="s">
        <v>278</v>
      </c>
      <c r="U562" t="s">
        <v>1773</v>
      </c>
      <c r="V562">
        <v>25150</v>
      </c>
      <c r="W562" t="s">
        <v>47</v>
      </c>
      <c r="X562" t="s">
        <v>188</v>
      </c>
      <c r="Y562" t="s">
        <v>52</v>
      </c>
      <c r="Z562" s="10">
        <f t="shared" si="73"/>
        <v>9</v>
      </c>
      <c r="AA562" s="11">
        <v>-2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68"/>
        <v>0.42</v>
      </c>
      <c r="AG562" s="11">
        <f t="shared" si="69"/>
        <v>7.42</v>
      </c>
      <c r="AH562" s="11">
        <v>0</v>
      </c>
      <c r="AI562" s="11">
        <f t="shared" si="70"/>
        <v>7.42</v>
      </c>
      <c r="AJ562" t="s">
        <v>53</v>
      </c>
    </row>
    <row r="563" spans="1:36" ht="15" customHeight="1" x14ac:dyDescent="0.35">
      <c r="A563">
        <v>7547676</v>
      </c>
      <c r="B563" t="s">
        <v>36</v>
      </c>
      <c r="C563" t="s">
        <v>37</v>
      </c>
      <c r="D563" s="6" t="s">
        <v>36</v>
      </c>
      <c r="E563" t="s">
        <v>1774</v>
      </c>
      <c r="F563" t="s">
        <v>39</v>
      </c>
      <c r="G563" t="s">
        <v>40</v>
      </c>
      <c r="H563" t="s">
        <v>1775</v>
      </c>
      <c r="I563" t="s">
        <v>42</v>
      </c>
      <c r="J563">
        <v>2</v>
      </c>
      <c r="K563" t="s">
        <v>43</v>
      </c>
      <c r="L563" t="s">
        <v>44</v>
      </c>
      <c r="M563" t="s">
        <v>45</v>
      </c>
      <c r="N563" s="7">
        <v>1</v>
      </c>
      <c r="O563" s="8">
        <v>45546.734907407408</v>
      </c>
      <c r="P563" s="9">
        <v>45547</v>
      </c>
      <c r="Q563" t="s">
        <v>46</v>
      </c>
      <c r="R563" t="s">
        <v>47</v>
      </c>
      <c r="S563" t="s">
        <v>48</v>
      </c>
      <c r="T563" t="s">
        <v>123</v>
      </c>
      <c r="U563" t="s">
        <v>1776</v>
      </c>
      <c r="V563">
        <v>56000</v>
      </c>
      <c r="W563" t="s">
        <v>47</v>
      </c>
      <c r="X563" t="s">
        <v>787</v>
      </c>
      <c r="Y563" t="s">
        <v>52</v>
      </c>
      <c r="Z563" s="10">
        <f t="shared" si="73"/>
        <v>9</v>
      </c>
      <c r="AA563" s="11">
        <v>-2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68"/>
        <v>0.42</v>
      </c>
      <c r="AG563" s="11">
        <f t="shared" si="69"/>
        <v>7.42</v>
      </c>
      <c r="AH563" s="11">
        <v>0</v>
      </c>
      <c r="AI563" s="11">
        <f t="shared" si="70"/>
        <v>7.42</v>
      </c>
      <c r="AJ563" t="s">
        <v>53</v>
      </c>
    </row>
    <row r="564" spans="1:36" ht="15" customHeight="1" x14ac:dyDescent="0.35">
      <c r="A564">
        <v>7547676</v>
      </c>
      <c r="B564" t="s">
        <v>36</v>
      </c>
      <c r="C564" t="s">
        <v>37</v>
      </c>
      <c r="D564" s="6" t="s">
        <v>36</v>
      </c>
      <c r="E564" t="s">
        <v>1777</v>
      </c>
      <c r="F564" t="s">
        <v>39</v>
      </c>
      <c r="G564" t="s">
        <v>40</v>
      </c>
      <c r="H564" t="s">
        <v>1778</v>
      </c>
      <c r="I564" t="s">
        <v>42</v>
      </c>
      <c r="J564">
        <v>2</v>
      </c>
      <c r="K564" t="s">
        <v>43</v>
      </c>
      <c r="L564" t="s">
        <v>44</v>
      </c>
      <c r="M564" t="s">
        <v>45</v>
      </c>
      <c r="N564" s="7">
        <v>1</v>
      </c>
      <c r="O564" s="8">
        <v>45546.702499999999</v>
      </c>
      <c r="P564" s="9">
        <v>45547</v>
      </c>
      <c r="Q564" t="s">
        <v>46</v>
      </c>
      <c r="R564" t="s">
        <v>47</v>
      </c>
      <c r="S564" t="s">
        <v>48</v>
      </c>
      <c r="T564" t="s">
        <v>128</v>
      </c>
      <c r="U564" t="s">
        <v>1779</v>
      </c>
      <c r="V564">
        <v>59100</v>
      </c>
      <c r="W564" t="s">
        <v>47</v>
      </c>
      <c r="X564" t="s">
        <v>51</v>
      </c>
      <c r="Y564" t="s">
        <v>52</v>
      </c>
      <c r="Z564" s="10">
        <f t="shared" si="73"/>
        <v>9</v>
      </c>
      <c r="AA564" s="11">
        <v>-2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68"/>
        <v>0.42</v>
      </c>
      <c r="AG564" s="11">
        <f t="shared" si="69"/>
        <v>7.42</v>
      </c>
      <c r="AH564" s="11">
        <v>0</v>
      </c>
      <c r="AI564" s="11">
        <f t="shared" si="70"/>
        <v>7.42</v>
      </c>
      <c r="AJ564" t="s">
        <v>53</v>
      </c>
    </row>
    <row r="565" spans="1:36" ht="15" customHeight="1" x14ac:dyDescent="0.35">
      <c r="A565">
        <v>7547676</v>
      </c>
      <c r="B565" t="s">
        <v>36</v>
      </c>
      <c r="C565" t="s">
        <v>37</v>
      </c>
      <c r="D565" s="6" t="s">
        <v>36</v>
      </c>
      <c r="E565" t="s">
        <v>1780</v>
      </c>
      <c r="F565" t="s">
        <v>39</v>
      </c>
      <c r="G565" t="s">
        <v>40</v>
      </c>
      <c r="H565" t="s">
        <v>147</v>
      </c>
      <c r="I565" t="s">
        <v>42</v>
      </c>
      <c r="J565">
        <v>2</v>
      </c>
      <c r="K565" t="s">
        <v>43</v>
      </c>
      <c r="L565" t="s">
        <v>44</v>
      </c>
      <c r="M565" t="s">
        <v>45</v>
      </c>
      <c r="N565" s="7">
        <v>13</v>
      </c>
      <c r="O565" s="8">
        <v>45546.579745370371</v>
      </c>
      <c r="P565" s="9">
        <v>45547</v>
      </c>
      <c r="Q565" t="s">
        <v>46</v>
      </c>
      <c r="R565" t="s">
        <v>47</v>
      </c>
      <c r="S565" t="s">
        <v>48</v>
      </c>
      <c r="T565" t="s">
        <v>123</v>
      </c>
      <c r="U565" t="s">
        <v>148</v>
      </c>
      <c r="V565">
        <v>40000</v>
      </c>
      <c r="W565" t="s">
        <v>47</v>
      </c>
      <c r="X565" t="s">
        <v>149</v>
      </c>
      <c r="Y565" t="s">
        <v>52</v>
      </c>
      <c r="Z565" s="10">
        <f t="shared" si="73"/>
        <v>18.600000000000001</v>
      </c>
      <c r="AA565" s="11">
        <v>-2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68"/>
        <v>0.996</v>
      </c>
      <c r="AG565" s="11">
        <f t="shared" si="69"/>
        <v>17.596</v>
      </c>
      <c r="AH565" s="11">
        <v>0</v>
      </c>
      <c r="AI565" s="11">
        <f t="shared" si="70"/>
        <v>17.596</v>
      </c>
      <c r="AJ565" t="s">
        <v>53</v>
      </c>
    </row>
    <row r="566" spans="1:36" ht="15" customHeight="1" x14ac:dyDescent="0.35">
      <c r="A566">
        <v>7547676</v>
      </c>
      <c r="B566" t="s">
        <v>36</v>
      </c>
      <c r="C566" t="s">
        <v>37</v>
      </c>
      <c r="D566" s="6" t="s">
        <v>36</v>
      </c>
      <c r="E566" t="s">
        <v>1781</v>
      </c>
      <c r="F566" t="s">
        <v>39</v>
      </c>
      <c r="G566" t="s">
        <v>40</v>
      </c>
      <c r="H566" t="s">
        <v>147</v>
      </c>
      <c r="I566" t="s">
        <v>42</v>
      </c>
      <c r="J566">
        <v>2</v>
      </c>
      <c r="K566" t="s">
        <v>43</v>
      </c>
      <c r="L566" t="s">
        <v>44</v>
      </c>
      <c r="M566" t="s">
        <v>45</v>
      </c>
      <c r="N566" s="7">
        <v>6</v>
      </c>
      <c r="O566" s="8">
        <v>45546.636053240742</v>
      </c>
      <c r="P566" s="9">
        <v>45547</v>
      </c>
      <c r="Q566" t="s">
        <v>46</v>
      </c>
      <c r="R566" t="s">
        <v>47</v>
      </c>
      <c r="S566" t="s">
        <v>48</v>
      </c>
      <c r="T566" t="s">
        <v>123</v>
      </c>
      <c r="U566" t="s">
        <v>148</v>
      </c>
      <c r="V566">
        <v>40000</v>
      </c>
      <c r="W566" t="s">
        <v>47</v>
      </c>
      <c r="X566" t="s">
        <v>149</v>
      </c>
      <c r="Y566" t="s">
        <v>52</v>
      </c>
      <c r="Z566" s="10">
        <f t="shared" si="73"/>
        <v>13</v>
      </c>
      <c r="AA566" s="11">
        <v>-2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68"/>
        <v>0.65999999999999992</v>
      </c>
      <c r="AG566" s="11">
        <f t="shared" si="69"/>
        <v>11.66</v>
      </c>
      <c r="AH566" s="11">
        <v>0</v>
      </c>
      <c r="AI566" s="11">
        <f t="shared" si="70"/>
        <v>11.66</v>
      </c>
      <c r="AJ566" t="s">
        <v>53</v>
      </c>
    </row>
    <row r="567" spans="1:36" ht="15" customHeight="1" x14ac:dyDescent="0.35">
      <c r="A567">
        <v>7547676</v>
      </c>
      <c r="B567" t="s">
        <v>36</v>
      </c>
      <c r="C567" t="s">
        <v>37</v>
      </c>
      <c r="D567" s="6" t="s">
        <v>36</v>
      </c>
      <c r="E567" t="s">
        <v>1782</v>
      </c>
      <c r="F567" t="s">
        <v>39</v>
      </c>
      <c r="G567" t="s">
        <v>40</v>
      </c>
      <c r="H567" t="s">
        <v>1783</v>
      </c>
      <c r="I567" t="s">
        <v>42</v>
      </c>
      <c r="J567">
        <v>2</v>
      </c>
      <c r="K567" t="s">
        <v>43</v>
      </c>
      <c r="L567" t="s">
        <v>44</v>
      </c>
      <c r="M567" t="s">
        <v>45</v>
      </c>
      <c r="N567" s="7">
        <v>1</v>
      </c>
      <c r="O567" s="8">
        <v>45545.852372685185</v>
      </c>
      <c r="P567" s="9">
        <v>45547</v>
      </c>
      <c r="Q567" t="s">
        <v>46</v>
      </c>
      <c r="R567" t="s">
        <v>47</v>
      </c>
      <c r="S567" t="s">
        <v>48</v>
      </c>
      <c r="T567" t="s">
        <v>61</v>
      </c>
      <c r="U567" t="s">
        <v>1784</v>
      </c>
      <c r="V567">
        <v>24100</v>
      </c>
      <c r="W567" t="s">
        <v>47</v>
      </c>
      <c r="X567" t="s">
        <v>188</v>
      </c>
      <c r="Y567" t="s">
        <v>52</v>
      </c>
      <c r="Z567" s="10">
        <f t="shared" si="73"/>
        <v>9</v>
      </c>
      <c r="AA567" s="11">
        <v>-2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68"/>
        <v>0.42</v>
      </c>
      <c r="AG567" s="11">
        <f t="shared" si="69"/>
        <v>7.42</v>
      </c>
      <c r="AH567" s="11">
        <v>0</v>
      </c>
      <c r="AI567" s="11">
        <f t="shared" si="70"/>
        <v>7.42</v>
      </c>
      <c r="AJ567" t="s">
        <v>53</v>
      </c>
    </row>
    <row r="568" spans="1:36" ht="15" customHeight="1" x14ac:dyDescent="0.35">
      <c r="A568">
        <v>7547676</v>
      </c>
      <c r="B568" t="s">
        <v>36</v>
      </c>
      <c r="C568" t="s">
        <v>37</v>
      </c>
      <c r="D568" s="6" t="s">
        <v>36</v>
      </c>
      <c r="E568" t="s">
        <v>1785</v>
      </c>
      <c r="F568" t="s">
        <v>39</v>
      </c>
      <c r="G568" t="s">
        <v>40</v>
      </c>
      <c r="H568" t="s">
        <v>1786</v>
      </c>
      <c r="I568" t="s">
        <v>42</v>
      </c>
      <c r="J568">
        <v>2</v>
      </c>
      <c r="K568" t="s">
        <v>43</v>
      </c>
      <c r="L568" t="s">
        <v>44</v>
      </c>
      <c r="M568" t="s">
        <v>45</v>
      </c>
      <c r="N568" s="7">
        <v>1</v>
      </c>
      <c r="O568" s="8">
        <v>45545.424722222226</v>
      </c>
      <c r="P568" s="9">
        <v>45547</v>
      </c>
      <c r="Q568" t="s">
        <v>46</v>
      </c>
      <c r="R568" t="s">
        <v>47</v>
      </c>
      <c r="S568" t="s">
        <v>48</v>
      </c>
      <c r="T568" t="s">
        <v>128</v>
      </c>
      <c r="U568" t="s">
        <v>1787</v>
      </c>
      <c r="V568">
        <v>50100</v>
      </c>
      <c r="W568" t="s">
        <v>47</v>
      </c>
      <c r="X568" t="s">
        <v>833</v>
      </c>
      <c r="Y568" t="s">
        <v>52</v>
      </c>
      <c r="Z568" s="10">
        <f t="shared" si="73"/>
        <v>9</v>
      </c>
      <c r="AA568" s="11">
        <v>-2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68"/>
        <v>0.42</v>
      </c>
      <c r="AG568" s="11">
        <f t="shared" si="69"/>
        <v>7.42</v>
      </c>
      <c r="AH568" s="11">
        <v>0</v>
      </c>
      <c r="AI568" s="11">
        <f t="shared" si="70"/>
        <v>7.42</v>
      </c>
      <c r="AJ568" t="s">
        <v>53</v>
      </c>
    </row>
    <row r="569" spans="1:36" ht="15" customHeight="1" x14ac:dyDescent="0.35">
      <c r="A569">
        <v>7547676</v>
      </c>
      <c r="B569" t="s">
        <v>36</v>
      </c>
      <c r="C569" t="s">
        <v>37</v>
      </c>
      <c r="D569" s="6" t="s">
        <v>36</v>
      </c>
      <c r="E569" t="s">
        <v>1788</v>
      </c>
      <c r="F569" t="s">
        <v>39</v>
      </c>
      <c r="G569" t="s">
        <v>40</v>
      </c>
      <c r="H569" t="s">
        <v>1789</v>
      </c>
      <c r="I569" t="s">
        <v>42</v>
      </c>
      <c r="J569">
        <v>2</v>
      </c>
      <c r="K569" t="s">
        <v>43</v>
      </c>
      <c r="L569" t="s">
        <v>44</v>
      </c>
      <c r="M569" t="s">
        <v>45</v>
      </c>
      <c r="N569" s="7">
        <v>1</v>
      </c>
      <c r="O569" s="8">
        <v>45545.831319444442</v>
      </c>
      <c r="P569" s="9">
        <v>45547</v>
      </c>
      <c r="Q569" t="s">
        <v>46</v>
      </c>
      <c r="R569" t="s">
        <v>47</v>
      </c>
      <c r="S569" t="s">
        <v>48</v>
      </c>
      <c r="T569" t="s">
        <v>75</v>
      </c>
      <c r="U569" t="s">
        <v>1790</v>
      </c>
      <c r="V569">
        <v>17000</v>
      </c>
      <c r="W569" t="s">
        <v>47</v>
      </c>
      <c r="X569" t="s">
        <v>145</v>
      </c>
      <c r="Y569" t="s">
        <v>52</v>
      </c>
      <c r="Z569" s="10">
        <f t="shared" si="73"/>
        <v>9</v>
      </c>
      <c r="AA569" s="11">
        <v>-2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68"/>
        <v>0.42</v>
      </c>
      <c r="AG569" s="11">
        <f t="shared" si="69"/>
        <v>7.42</v>
      </c>
      <c r="AH569" s="11">
        <v>0</v>
      </c>
      <c r="AI569" s="11">
        <f t="shared" si="70"/>
        <v>7.42</v>
      </c>
      <c r="AJ569" t="s">
        <v>53</v>
      </c>
    </row>
    <row r="570" spans="1:36" ht="15" customHeight="1" x14ac:dyDescent="0.35">
      <c r="A570">
        <v>7547676</v>
      </c>
      <c r="B570" t="s">
        <v>36</v>
      </c>
      <c r="C570" t="s">
        <v>37</v>
      </c>
      <c r="D570" s="6" t="s">
        <v>36</v>
      </c>
      <c r="E570" t="s">
        <v>1791</v>
      </c>
      <c r="F570" t="s">
        <v>39</v>
      </c>
      <c r="G570" t="s">
        <v>40</v>
      </c>
      <c r="H570" t="s">
        <v>1792</v>
      </c>
      <c r="I570" t="s">
        <v>42</v>
      </c>
      <c r="J570">
        <v>2</v>
      </c>
      <c r="K570" t="s">
        <v>43</v>
      </c>
      <c r="L570" t="s">
        <v>44</v>
      </c>
      <c r="M570" t="s">
        <v>45</v>
      </c>
      <c r="N570" s="7">
        <v>10</v>
      </c>
      <c r="O570" s="8">
        <v>45545.484710648147</v>
      </c>
      <c r="P570" s="9">
        <v>45547</v>
      </c>
      <c r="Q570" t="s">
        <v>46</v>
      </c>
      <c r="R570" t="s">
        <v>47</v>
      </c>
      <c r="S570" t="s">
        <v>48</v>
      </c>
      <c r="T570" t="s">
        <v>123</v>
      </c>
      <c r="U570" t="s">
        <v>1793</v>
      </c>
      <c r="V570">
        <v>43300</v>
      </c>
      <c r="W570" t="s">
        <v>47</v>
      </c>
      <c r="X570" t="s">
        <v>806</v>
      </c>
      <c r="Y570" t="s">
        <v>52</v>
      </c>
      <c r="Z570" s="10">
        <f t="shared" si="73"/>
        <v>16.2</v>
      </c>
      <c r="AA570" s="11">
        <v>-2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68"/>
        <v>0.85199999999999998</v>
      </c>
      <c r="AG570" s="11">
        <f t="shared" si="69"/>
        <v>15.052</v>
      </c>
      <c r="AH570" s="11">
        <v>0</v>
      </c>
      <c r="AI570" s="11">
        <f t="shared" si="70"/>
        <v>15.052</v>
      </c>
      <c r="AJ570" t="s">
        <v>53</v>
      </c>
    </row>
    <row r="571" spans="1:36" ht="15" customHeight="1" x14ac:dyDescent="0.35">
      <c r="A571">
        <v>7547676</v>
      </c>
      <c r="B571" t="s">
        <v>36</v>
      </c>
      <c r="C571" t="s">
        <v>37</v>
      </c>
      <c r="D571" s="6" t="s">
        <v>36</v>
      </c>
      <c r="E571" t="s">
        <v>1794</v>
      </c>
      <c r="F571" t="s">
        <v>39</v>
      </c>
      <c r="G571" t="s">
        <v>40</v>
      </c>
      <c r="H571" t="s">
        <v>1795</v>
      </c>
      <c r="I571" t="s">
        <v>42</v>
      </c>
      <c r="J571">
        <v>2</v>
      </c>
      <c r="K571" t="s">
        <v>43</v>
      </c>
      <c r="L571" t="s">
        <v>44</v>
      </c>
      <c r="M571" t="s">
        <v>45</v>
      </c>
      <c r="N571" s="7">
        <v>3</v>
      </c>
      <c r="O571" s="8">
        <v>45544.697523148148</v>
      </c>
      <c r="P571" s="9">
        <v>45547</v>
      </c>
      <c r="Q571" t="s">
        <v>46</v>
      </c>
      <c r="R571" t="s">
        <v>47</v>
      </c>
      <c r="S571" t="s">
        <v>48</v>
      </c>
      <c r="T571" t="s">
        <v>90</v>
      </c>
      <c r="U571" t="s">
        <v>1796</v>
      </c>
      <c r="V571">
        <v>89320</v>
      </c>
      <c r="W571" t="s">
        <v>92</v>
      </c>
      <c r="X571" t="s">
        <v>51</v>
      </c>
      <c r="Y571" t="s">
        <v>52</v>
      </c>
      <c r="Z571" s="12">
        <f>IF(N571&lt;=1,13,IF(N571&lt;=2,23,IF(N571&lt;=3,35,IF(N571&lt;=4,43,IF(N571&lt;=5,53,IF(N571&lt;=6,63,IF(N571&lt;=7,71,IF(N571&lt;=8,79,IF(N571&lt;=9,87,IF(N571&lt;=10,95,IF(N571&lt;=11,105,IF(N571&lt;=12,114,IF(N571&lt;=13,119,IF(N571&lt;=14,127,IF(N571&lt;=15,135,IF(N571&lt;=16,143,IF(N571&lt;=17,153,IF(N571&lt;=18,163,IF(N571&lt;=19,171,IF(N571&lt;=20,185,IF(N571&lt;=21,193,IF(N571&lt;=22,201,IF(N571&lt;=23,210,IF(N571&lt;=24,220,IF(N571&lt;=25,230,IF(N571&lt;=26,240,IF(N571&lt;=27,250,IF(N571&lt;=28,260,IF(N571&lt;=29,270,IF(N571&lt;=30,280,280+10*ROUNDUP(N571-30,0)))))))))))))))))))))))))))))))</f>
        <v>35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68"/>
        <v>2.1</v>
      </c>
      <c r="AG571" s="11">
        <f t="shared" si="69"/>
        <v>37.1</v>
      </c>
      <c r="AH571" s="11">
        <v>0</v>
      </c>
      <c r="AI571" s="11">
        <f t="shared" si="70"/>
        <v>37.1</v>
      </c>
      <c r="AJ571" t="s">
        <v>94</v>
      </c>
    </row>
    <row r="572" spans="1:36" ht="15" customHeight="1" x14ac:dyDescent="0.35">
      <c r="A572">
        <v>7547676</v>
      </c>
      <c r="B572" t="s">
        <v>36</v>
      </c>
      <c r="C572" t="s">
        <v>37</v>
      </c>
      <c r="D572" s="6" t="s">
        <v>36</v>
      </c>
      <c r="E572" t="s">
        <v>1797</v>
      </c>
      <c r="F572" t="s">
        <v>39</v>
      </c>
      <c r="G572" t="s">
        <v>40</v>
      </c>
      <c r="H572" t="s">
        <v>1798</v>
      </c>
      <c r="I572" t="s">
        <v>42</v>
      </c>
      <c r="J572">
        <v>2</v>
      </c>
      <c r="K572" t="s">
        <v>43</v>
      </c>
      <c r="L572" t="s">
        <v>44</v>
      </c>
      <c r="M572" t="s">
        <v>45</v>
      </c>
      <c r="N572" s="7">
        <v>1</v>
      </c>
      <c r="O572" s="8">
        <v>45545.405370370368</v>
      </c>
      <c r="P572" s="9">
        <v>45547</v>
      </c>
      <c r="Q572" t="s">
        <v>46</v>
      </c>
      <c r="R572" t="s">
        <v>47</v>
      </c>
      <c r="S572" t="s">
        <v>48</v>
      </c>
      <c r="T572" t="s">
        <v>128</v>
      </c>
      <c r="U572" t="s">
        <v>1799</v>
      </c>
      <c r="V572">
        <v>57000</v>
      </c>
      <c r="W572" t="s">
        <v>47</v>
      </c>
      <c r="X572" t="s">
        <v>51</v>
      </c>
      <c r="Y572" t="s">
        <v>52</v>
      </c>
      <c r="Z572" s="10">
        <f t="shared" ref="Z572" si="74">IF(N572&lt;=1,9,9+0.8*ROUNDUP(N572-1,0))</f>
        <v>9</v>
      </c>
      <c r="AA572" s="11">
        <v>-2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68"/>
        <v>0.42</v>
      </c>
      <c r="AG572" s="11">
        <f t="shared" si="69"/>
        <v>7.42</v>
      </c>
      <c r="AH572" s="11">
        <v>0</v>
      </c>
      <c r="AI572" s="11">
        <f t="shared" si="70"/>
        <v>7.42</v>
      </c>
      <c r="AJ572" t="s">
        <v>53</v>
      </c>
    </row>
    <row r="573" spans="1:36" ht="15" customHeight="1" x14ac:dyDescent="0.35">
      <c r="A573">
        <v>7547676</v>
      </c>
      <c r="B573" t="s">
        <v>36</v>
      </c>
      <c r="C573" t="s">
        <v>37</v>
      </c>
      <c r="D573" s="6" t="s">
        <v>36</v>
      </c>
      <c r="E573" t="s">
        <v>1800</v>
      </c>
      <c r="F573" t="s">
        <v>39</v>
      </c>
      <c r="G573" t="s">
        <v>40</v>
      </c>
      <c r="H573" t="s">
        <v>1801</v>
      </c>
      <c r="I573" t="s">
        <v>42</v>
      </c>
      <c r="J573">
        <v>2</v>
      </c>
      <c r="K573" t="s">
        <v>43</v>
      </c>
      <c r="L573" t="s">
        <v>44</v>
      </c>
      <c r="M573" t="s">
        <v>45</v>
      </c>
      <c r="N573" s="7">
        <v>1</v>
      </c>
      <c r="O573" s="8">
        <v>45546.748645833337</v>
      </c>
      <c r="P573" s="9">
        <v>45547</v>
      </c>
      <c r="Q573" t="s">
        <v>46</v>
      </c>
      <c r="R573" t="s">
        <v>47</v>
      </c>
      <c r="S573" t="s">
        <v>48</v>
      </c>
      <c r="T573" t="s">
        <v>49</v>
      </c>
      <c r="U573" t="s">
        <v>1802</v>
      </c>
      <c r="V573">
        <v>43800</v>
      </c>
      <c r="W573" t="s">
        <v>47</v>
      </c>
      <c r="X573" t="s">
        <v>290</v>
      </c>
      <c r="Y573" t="s">
        <v>52</v>
      </c>
      <c r="Z573" s="10">
        <f>IF(N573&lt;=1,9,9+0.8*ROUNDUP(N573-1,0))</f>
        <v>9</v>
      </c>
      <c r="AA573" s="11">
        <v>-2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68"/>
        <v>0.42</v>
      </c>
      <c r="AG573" s="11">
        <f t="shared" si="69"/>
        <v>7.42</v>
      </c>
      <c r="AH573" s="11">
        <v>0</v>
      </c>
      <c r="AI573" s="11">
        <f t="shared" si="70"/>
        <v>7.42</v>
      </c>
      <c r="AJ573" t="s">
        <v>53</v>
      </c>
    </row>
    <row r="574" spans="1:36" ht="15" customHeight="1" x14ac:dyDescent="0.35">
      <c r="A574">
        <v>7547676</v>
      </c>
      <c r="B574" t="s">
        <v>36</v>
      </c>
      <c r="C574" t="s">
        <v>37</v>
      </c>
      <c r="D574" s="6" t="s">
        <v>36</v>
      </c>
      <c r="E574" t="s">
        <v>1803</v>
      </c>
      <c r="F574" t="s">
        <v>39</v>
      </c>
      <c r="G574" t="s">
        <v>40</v>
      </c>
      <c r="H574" t="s">
        <v>1804</v>
      </c>
      <c r="I574" t="s">
        <v>42</v>
      </c>
      <c r="J574">
        <v>2</v>
      </c>
      <c r="K574" t="s">
        <v>43</v>
      </c>
      <c r="L574" t="s">
        <v>44</v>
      </c>
      <c r="M574" t="s">
        <v>45</v>
      </c>
      <c r="N574" s="7">
        <v>1</v>
      </c>
      <c r="O574" s="8">
        <v>45546.734907407408</v>
      </c>
      <c r="P574" s="9">
        <v>45547</v>
      </c>
      <c r="Q574" t="s">
        <v>46</v>
      </c>
      <c r="R574" t="s">
        <v>47</v>
      </c>
      <c r="S574" t="s">
        <v>48</v>
      </c>
      <c r="T574" t="s">
        <v>75</v>
      </c>
      <c r="U574" t="s">
        <v>1805</v>
      </c>
      <c r="V574">
        <v>16450</v>
      </c>
      <c r="W574" t="s">
        <v>47</v>
      </c>
      <c r="X574" t="s">
        <v>145</v>
      </c>
      <c r="Y574" t="s">
        <v>52</v>
      </c>
      <c r="Z574" s="10">
        <f t="shared" ref="Z574:Z592" si="75">IF(N574&lt;=1,9,9+0.8*ROUNDUP(N574-1,0))</f>
        <v>9</v>
      </c>
      <c r="AA574" s="11">
        <v>-2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ref="AF574:AF602" si="76">(Z574+AA574+AC574+AE574)*6%</f>
        <v>0.42</v>
      </c>
      <c r="AG574" s="11">
        <f t="shared" si="69"/>
        <v>7.42</v>
      </c>
      <c r="AH574" s="11">
        <v>0</v>
      </c>
      <c r="AI574" s="11">
        <f t="shared" si="70"/>
        <v>7.42</v>
      </c>
      <c r="AJ574" t="s">
        <v>53</v>
      </c>
    </row>
    <row r="575" spans="1:36" ht="15" customHeight="1" x14ac:dyDescent="0.35">
      <c r="A575">
        <v>7547676</v>
      </c>
      <c r="B575" t="s">
        <v>36</v>
      </c>
      <c r="C575" t="s">
        <v>37</v>
      </c>
      <c r="D575" s="6" t="s">
        <v>36</v>
      </c>
      <c r="E575" t="s">
        <v>1806</v>
      </c>
      <c r="F575" t="s">
        <v>39</v>
      </c>
      <c r="G575" t="s">
        <v>40</v>
      </c>
      <c r="H575" t="s">
        <v>1807</v>
      </c>
      <c r="I575" t="s">
        <v>42</v>
      </c>
      <c r="J575">
        <v>2</v>
      </c>
      <c r="K575" t="s">
        <v>43</v>
      </c>
      <c r="L575" t="s">
        <v>44</v>
      </c>
      <c r="M575" t="s">
        <v>45</v>
      </c>
      <c r="N575" s="7">
        <v>2</v>
      </c>
      <c r="O575" s="8">
        <v>45546.743958333333</v>
      </c>
      <c r="P575" s="9">
        <v>45548</v>
      </c>
      <c r="Q575" t="s">
        <v>46</v>
      </c>
      <c r="R575" t="s">
        <v>47</v>
      </c>
      <c r="S575" t="s">
        <v>48</v>
      </c>
      <c r="T575" t="s">
        <v>123</v>
      </c>
      <c r="U575" t="s">
        <v>1808</v>
      </c>
      <c r="V575">
        <v>41000</v>
      </c>
      <c r="W575" t="s">
        <v>47</v>
      </c>
      <c r="X575" t="s">
        <v>855</v>
      </c>
      <c r="Y575" t="s">
        <v>52</v>
      </c>
      <c r="Z575" s="10">
        <f t="shared" si="75"/>
        <v>9.8000000000000007</v>
      </c>
      <c r="AA575" s="11">
        <v>-2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76"/>
        <v>0.46800000000000003</v>
      </c>
      <c r="AG575" s="11">
        <f t="shared" si="69"/>
        <v>8.2680000000000007</v>
      </c>
      <c r="AH575" s="11">
        <v>0</v>
      </c>
      <c r="AI575" s="11">
        <f t="shared" si="70"/>
        <v>8.2680000000000007</v>
      </c>
      <c r="AJ575" t="s">
        <v>53</v>
      </c>
    </row>
    <row r="576" spans="1:36" ht="15" customHeight="1" x14ac:dyDescent="0.35">
      <c r="A576">
        <v>7547676</v>
      </c>
      <c r="B576" t="s">
        <v>36</v>
      </c>
      <c r="C576" t="s">
        <v>37</v>
      </c>
      <c r="D576" s="6" t="s">
        <v>36</v>
      </c>
      <c r="E576" t="s">
        <v>1809</v>
      </c>
      <c r="F576" t="s">
        <v>39</v>
      </c>
      <c r="G576" t="s">
        <v>40</v>
      </c>
      <c r="H576" t="s">
        <v>1810</v>
      </c>
      <c r="I576" t="s">
        <v>42</v>
      </c>
      <c r="J576">
        <v>2</v>
      </c>
      <c r="K576" t="s">
        <v>43</v>
      </c>
      <c r="L576" t="s">
        <v>44</v>
      </c>
      <c r="M576" t="s">
        <v>45</v>
      </c>
      <c r="N576" s="7">
        <v>1</v>
      </c>
      <c r="O576" s="8">
        <v>45547.756053240744</v>
      </c>
      <c r="P576" s="9">
        <v>45548</v>
      </c>
      <c r="Q576" t="s">
        <v>46</v>
      </c>
      <c r="R576" t="s">
        <v>47</v>
      </c>
      <c r="S576" t="s">
        <v>48</v>
      </c>
      <c r="T576" t="s">
        <v>61</v>
      </c>
      <c r="U576" t="s">
        <v>1811</v>
      </c>
      <c r="V576">
        <v>21450</v>
      </c>
      <c r="W576" t="s">
        <v>47</v>
      </c>
      <c r="X576" t="s">
        <v>63</v>
      </c>
      <c r="Y576" t="s">
        <v>52</v>
      </c>
      <c r="Z576" s="10">
        <f t="shared" si="75"/>
        <v>9</v>
      </c>
      <c r="AA576" s="11">
        <v>-2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76"/>
        <v>0.42</v>
      </c>
      <c r="AG576" s="11">
        <f t="shared" si="69"/>
        <v>7.42</v>
      </c>
      <c r="AH576" s="11">
        <v>0</v>
      </c>
      <c r="AI576" s="11">
        <f t="shared" si="70"/>
        <v>7.42</v>
      </c>
      <c r="AJ576" t="s">
        <v>53</v>
      </c>
    </row>
    <row r="577" spans="1:36" ht="15" customHeight="1" x14ac:dyDescent="0.35">
      <c r="A577">
        <v>7547676</v>
      </c>
      <c r="B577" t="s">
        <v>36</v>
      </c>
      <c r="C577" t="s">
        <v>37</v>
      </c>
      <c r="D577" s="6" t="s">
        <v>36</v>
      </c>
      <c r="E577" t="s">
        <v>1812</v>
      </c>
      <c r="F577" t="s">
        <v>39</v>
      </c>
      <c r="G577" t="s">
        <v>40</v>
      </c>
      <c r="H577" t="s">
        <v>147</v>
      </c>
      <c r="I577" t="s">
        <v>42</v>
      </c>
      <c r="J577">
        <v>2</v>
      </c>
      <c r="K577" t="s">
        <v>43</v>
      </c>
      <c r="L577" t="s">
        <v>44</v>
      </c>
      <c r="M577" t="s">
        <v>45</v>
      </c>
      <c r="N577" s="7">
        <v>4</v>
      </c>
      <c r="O577" s="8">
        <v>45547.675902777781</v>
      </c>
      <c r="P577" s="9">
        <v>45548</v>
      </c>
      <c r="Q577" t="s">
        <v>46</v>
      </c>
      <c r="R577" t="s">
        <v>47</v>
      </c>
      <c r="S577" t="s">
        <v>48</v>
      </c>
      <c r="T577" t="s">
        <v>123</v>
      </c>
      <c r="U577" t="s">
        <v>148</v>
      </c>
      <c r="V577">
        <v>40000</v>
      </c>
      <c r="W577" t="s">
        <v>47</v>
      </c>
      <c r="X577" t="s">
        <v>149</v>
      </c>
      <c r="Y577" t="s">
        <v>52</v>
      </c>
      <c r="Z577" s="10">
        <f t="shared" si="75"/>
        <v>11.4</v>
      </c>
      <c r="AA577" s="11">
        <v>-2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76"/>
        <v>0.56399999999999995</v>
      </c>
      <c r="AG577" s="11">
        <f t="shared" si="69"/>
        <v>9.9640000000000004</v>
      </c>
      <c r="AH577" s="11">
        <v>0</v>
      </c>
      <c r="AI577" s="11">
        <f t="shared" si="70"/>
        <v>9.9640000000000004</v>
      </c>
      <c r="AJ577" t="s">
        <v>53</v>
      </c>
    </row>
    <row r="578" spans="1:36" ht="15" customHeight="1" x14ac:dyDescent="0.35">
      <c r="A578">
        <v>7547676</v>
      </c>
      <c r="B578" t="s">
        <v>36</v>
      </c>
      <c r="C578" t="s">
        <v>37</v>
      </c>
      <c r="D578" s="6" t="s">
        <v>36</v>
      </c>
      <c r="E578" t="s">
        <v>1813</v>
      </c>
      <c r="F578" t="s">
        <v>39</v>
      </c>
      <c r="G578" t="s">
        <v>40</v>
      </c>
      <c r="H578" t="s">
        <v>147</v>
      </c>
      <c r="I578" t="s">
        <v>42</v>
      </c>
      <c r="J578">
        <v>2</v>
      </c>
      <c r="K578" t="s">
        <v>43</v>
      </c>
      <c r="L578" t="s">
        <v>44</v>
      </c>
      <c r="M578" t="s">
        <v>45</v>
      </c>
      <c r="N578" s="7">
        <v>3</v>
      </c>
      <c r="O578" s="8">
        <v>45547.667997685188</v>
      </c>
      <c r="P578" s="9">
        <v>45548</v>
      </c>
      <c r="Q578" t="s">
        <v>46</v>
      </c>
      <c r="R578" t="s">
        <v>47</v>
      </c>
      <c r="S578" t="s">
        <v>48</v>
      </c>
      <c r="T578" t="s">
        <v>123</v>
      </c>
      <c r="U578" t="s">
        <v>148</v>
      </c>
      <c r="V578">
        <v>40000</v>
      </c>
      <c r="W578" t="s">
        <v>47</v>
      </c>
      <c r="X578" t="s">
        <v>149</v>
      </c>
      <c r="Y578" t="s">
        <v>52</v>
      </c>
      <c r="Z578" s="10">
        <f t="shared" si="75"/>
        <v>10.6</v>
      </c>
      <c r="AA578" s="11">
        <v>-2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si="76"/>
        <v>0.51600000000000001</v>
      </c>
      <c r="AG578" s="11">
        <f t="shared" ref="AG578:AG602" si="77">Z578+AA578+AC578+AE578+AF578</f>
        <v>9.1159999999999997</v>
      </c>
      <c r="AH578" s="11">
        <v>0</v>
      </c>
      <c r="AI578" s="11">
        <f t="shared" ref="AI578:AI602" si="78">AG578+AH578</f>
        <v>9.1159999999999997</v>
      </c>
      <c r="AJ578" t="s">
        <v>53</v>
      </c>
    </row>
    <row r="579" spans="1:36" ht="15" customHeight="1" x14ac:dyDescent="0.35">
      <c r="A579">
        <v>7547676</v>
      </c>
      <c r="B579" t="s">
        <v>36</v>
      </c>
      <c r="C579" t="s">
        <v>37</v>
      </c>
      <c r="D579" s="6" t="s">
        <v>36</v>
      </c>
      <c r="E579" t="s">
        <v>1814</v>
      </c>
      <c r="F579" t="s">
        <v>39</v>
      </c>
      <c r="G579" t="s">
        <v>40</v>
      </c>
      <c r="H579" t="s">
        <v>1815</v>
      </c>
      <c r="I579" t="s">
        <v>42</v>
      </c>
      <c r="J579">
        <v>2</v>
      </c>
      <c r="K579" t="s">
        <v>43</v>
      </c>
      <c r="L579" t="s">
        <v>44</v>
      </c>
      <c r="M579" t="s">
        <v>45</v>
      </c>
      <c r="N579" s="7">
        <v>1</v>
      </c>
      <c r="O579" s="8">
        <v>45546.581909722219</v>
      </c>
      <c r="P579" s="9">
        <v>45548</v>
      </c>
      <c r="Q579" t="s">
        <v>46</v>
      </c>
      <c r="R579" t="s">
        <v>47</v>
      </c>
      <c r="S579" t="s">
        <v>48</v>
      </c>
      <c r="T579" t="s">
        <v>136</v>
      </c>
      <c r="U579" t="s">
        <v>1816</v>
      </c>
      <c r="V579">
        <v>31200</v>
      </c>
      <c r="W579" t="s">
        <v>47</v>
      </c>
      <c r="X579" t="s">
        <v>138</v>
      </c>
      <c r="Y579" t="s">
        <v>52</v>
      </c>
      <c r="Z579" s="10">
        <f t="shared" si="75"/>
        <v>9</v>
      </c>
      <c r="AA579" s="11">
        <v>-2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76"/>
        <v>0.42</v>
      </c>
      <c r="AG579" s="11">
        <f t="shared" si="77"/>
        <v>7.42</v>
      </c>
      <c r="AH579" s="11">
        <v>0</v>
      </c>
      <c r="AI579" s="11">
        <f t="shared" si="78"/>
        <v>7.42</v>
      </c>
      <c r="AJ579" t="s">
        <v>53</v>
      </c>
    </row>
    <row r="580" spans="1:36" ht="15" customHeight="1" x14ac:dyDescent="0.35">
      <c r="A580">
        <v>7547676</v>
      </c>
      <c r="B580" t="s">
        <v>36</v>
      </c>
      <c r="C580" t="s">
        <v>37</v>
      </c>
      <c r="D580" s="6" t="s">
        <v>36</v>
      </c>
      <c r="E580" t="s">
        <v>1817</v>
      </c>
      <c r="F580" t="s">
        <v>39</v>
      </c>
      <c r="G580" t="s">
        <v>40</v>
      </c>
      <c r="H580" t="s">
        <v>1751</v>
      </c>
      <c r="I580" t="s">
        <v>42</v>
      </c>
      <c r="J580">
        <v>2</v>
      </c>
      <c r="K580" t="s">
        <v>43</v>
      </c>
      <c r="L580" t="s">
        <v>44</v>
      </c>
      <c r="M580" t="s">
        <v>45</v>
      </c>
      <c r="N580" s="7">
        <v>1</v>
      </c>
      <c r="O580" s="8">
        <v>45546.474803240744</v>
      </c>
      <c r="P580" s="9">
        <v>45548</v>
      </c>
      <c r="Q580" t="s">
        <v>46</v>
      </c>
      <c r="R580" t="s">
        <v>47</v>
      </c>
      <c r="S580" t="s">
        <v>48</v>
      </c>
      <c r="T580" t="s">
        <v>123</v>
      </c>
      <c r="U580" t="s">
        <v>1818</v>
      </c>
      <c r="V580">
        <v>47000</v>
      </c>
      <c r="W580" t="s">
        <v>47</v>
      </c>
      <c r="X580" t="s">
        <v>818</v>
      </c>
      <c r="Y580" t="s">
        <v>52</v>
      </c>
      <c r="Z580" s="10">
        <f t="shared" si="75"/>
        <v>9</v>
      </c>
      <c r="AA580" s="11">
        <v>-2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76"/>
        <v>0.42</v>
      </c>
      <c r="AG580" s="11">
        <f t="shared" si="77"/>
        <v>7.42</v>
      </c>
      <c r="AH580" s="11">
        <v>0</v>
      </c>
      <c r="AI580" s="11">
        <f t="shared" si="78"/>
        <v>7.42</v>
      </c>
      <c r="AJ580" t="s">
        <v>53</v>
      </c>
    </row>
    <row r="581" spans="1:36" ht="15" customHeight="1" x14ac:dyDescent="0.35">
      <c r="A581">
        <v>7547676</v>
      </c>
      <c r="B581" t="s">
        <v>36</v>
      </c>
      <c r="C581" t="s">
        <v>37</v>
      </c>
      <c r="D581" s="6" t="s">
        <v>36</v>
      </c>
      <c r="E581" t="s">
        <v>1819</v>
      </c>
      <c r="F581" t="s">
        <v>39</v>
      </c>
      <c r="G581" t="s">
        <v>40</v>
      </c>
      <c r="H581" t="s">
        <v>1820</v>
      </c>
      <c r="I581" t="s">
        <v>42</v>
      </c>
      <c r="J581">
        <v>2</v>
      </c>
      <c r="K581" t="s">
        <v>43</v>
      </c>
      <c r="L581" t="s">
        <v>44</v>
      </c>
      <c r="M581" t="s">
        <v>45</v>
      </c>
      <c r="N581" s="7">
        <v>1</v>
      </c>
      <c r="O581" s="8">
        <v>45545.83761574074</v>
      </c>
      <c r="P581" s="9">
        <v>45548</v>
      </c>
      <c r="Q581" t="s">
        <v>46</v>
      </c>
      <c r="R581" t="s">
        <v>47</v>
      </c>
      <c r="S581" t="s">
        <v>48</v>
      </c>
      <c r="T581" t="s">
        <v>123</v>
      </c>
      <c r="U581" t="s">
        <v>1821</v>
      </c>
      <c r="V581">
        <v>47000</v>
      </c>
      <c r="W581" t="s">
        <v>47</v>
      </c>
      <c r="X581" t="s">
        <v>51</v>
      </c>
      <c r="Y581" t="s">
        <v>52</v>
      </c>
      <c r="Z581" s="10">
        <f t="shared" si="75"/>
        <v>9</v>
      </c>
      <c r="AA581" s="11">
        <v>-2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76"/>
        <v>0.42</v>
      </c>
      <c r="AG581" s="11">
        <f t="shared" si="77"/>
        <v>7.42</v>
      </c>
      <c r="AH581" s="11">
        <v>0</v>
      </c>
      <c r="AI581" s="11">
        <f t="shared" si="78"/>
        <v>7.42</v>
      </c>
      <c r="AJ581" t="s">
        <v>53</v>
      </c>
    </row>
    <row r="582" spans="1:36" ht="15" customHeight="1" x14ac:dyDescent="0.35">
      <c r="A582">
        <v>7547676</v>
      </c>
      <c r="B582" t="s">
        <v>36</v>
      </c>
      <c r="C582" t="s">
        <v>37</v>
      </c>
      <c r="D582" s="6" t="s">
        <v>36</v>
      </c>
      <c r="E582" t="s">
        <v>1822</v>
      </c>
      <c r="F582" t="s">
        <v>39</v>
      </c>
      <c r="G582" t="s">
        <v>40</v>
      </c>
      <c r="H582" t="s">
        <v>1823</v>
      </c>
      <c r="I582" t="s">
        <v>42</v>
      </c>
      <c r="J582">
        <v>2</v>
      </c>
      <c r="K582" t="s">
        <v>43</v>
      </c>
      <c r="L582" t="s">
        <v>44</v>
      </c>
      <c r="M582" t="s">
        <v>45</v>
      </c>
      <c r="N582" s="7">
        <v>1</v>
      </c>
      <c r="O582" s="8">
        <v>45546.748645833337</v>
      </c>
      <c r="P582" s="9">
        <v>45548</v>
      </c>
      <c r="Q582" t="s">
        <v>46</v>
      </c>
      <c r="R582" t="s">
        <v>47</v>
      </c>
      <c r="S582" t="s">
        <v>48</v>
      </c>
      <c r="T582" t="s">
        <v>56</v>
      </c>
      <c r="U582" t="s">
        <v>1824</v>
      </c>
      <c r="V582">
        <v>8000</v>
      </c>
      <c r="W582" t="s">
        <v>47</v>
      </c>
      <c r="X582" t="s">
        <v>965</v>
      </c>
      <c r="Y582" t="s">
        <v>52</v>
      </c>
      <c r="Z582" s="10">
        <f t="shared" si="75"/>
        <v>9</v>
      </c>
      <c r="AA582" s="11">
        <v>-2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76"/>
        <v>0.42</v>
      </c>
      <c r="AG582" s="11">
        <f t="shared" si="77"/>
        <v>7.42</v>
      </c>
      <c r="AH582" s="11">
        <v>0</v>
      </c>
      <c r="AI582" s="11">
        <f t="shared" si="78"/>
        <v>7.42</v>
      </c>
      <c r="AJ582" t="s">
        <v>53</v>
      </c>
    </row>
    <row r="583" spans="1:36" ht="15" customHeight="1" x14ac:dyDescent="0.35">
      <c r="A583">
        <v>7547676</v>
      </c>
      <c r="B583" t="s">
        <v>36</v>
      </c>
      <c r="C583" t="s">
        <v>37</v>
      </c>
      <c r="D583" s="6" t="s">
        <v>36</v>
      </c>
      <c r="E583" t="s">
        <v>1825</v>
      </c>
      <c r="F583" t="s">
        <v>39</v>
      </c>
      <c r="G583" t="s">
        <v>40</v>
      </c>
      <c r="H583" t="s">
        <v>1826</v>
      </c>
      <c r="I583" t="s">
        <v>42</v>
      </c>
      <c r="J583">
        <v>2</v>
      </c>
      <c r="K583" t="s">
        <v>43</v>
      </c>
      <c r="L583" t="s">
        <v>44</v>
      </c>
      <c r="M583" t="s">
        <v>45</v>
      </c>
      <c r="N583" s="7">
        <v>5</v>
      </c>
      <c r="O583" s="8">
        <v>45547.648599537039</v>
      </c>
      <c r="P583" s="9">
        <v>45548</v>
      </c>
      <c r="Q583" t="s">
        <v>46</v>
      </c>
      <c r="R583" t="s">
        <v>47</v>
      </c>
      <c r="S583" t="s">
        <v>48</v>
      </c>
      <c r="T583" t="s">
        <v>75</v>
      </c>
      <c r="U583" t="s">
        <v>1827</v>
      </c>
      <c r="V583">
        <v>17000</v>
      </c>
      <c r="W583" t="s">
        <v>47</v>
      </c>
      <c r="X583" t="s">
        <v>1828</v>
      </c>
      <c r="Y583" t="s">
        <v>52</v>
      </c>
      <c r="Z583" s="10">
        <f t="shared" si="75"/>
        <v>12.2</v>
      </c>
      <c r="AA583" s="11">
        <v>-2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76"/>
        <v>0.61199999999999999</v>
      </c>
      <c r="AG583" s="11">
        <f t="shared" si="77"/>
        <v>10.811999999999999</v>
      </c>
      <c r="AH583" s="11">
        <v>0</v>
      </c>
      <c r="AI583" s="11">
        <f t="shared" si="78"/>
        <v>10.811999999999999</v>
      </c>
      <c r="AJ583" t="s">
        <v>53</v>
      </c>
    </row>
    <row r="584" spans="1:36" ht="15" customHeight="1" x14ac:dyDescent="0.35">
      <c r="A584">
        <v>7547676</v>
      </c>
      <c r="B584" t="s">
        <v>36</v>
      </c>
      <c r="C584" t="s">
        <v>37</v>
      </c>
      <c r="D584" s="6" t="s">
        <v>36</v>
      </c>
      <c r="E584" t="s">
        <v>1829</v>
      </c>
      <c r="F584" t="s">
        <v>39</v>
      </c>
      <c r="G584" t="s">
        <v>40</v>
      </c>
      <c r="H584" t="s">
        <v>1830</v>
      </c>
      <c r="I584" t="s">
        <v>42</v>
      </c>
      <c r="J584">
        <v>2</v>
      </c>
      <c r="K584" t="s">
        <v>43</v>
      </c>
      <c r="L584" t="s">
        <v>44</v>
      </c>
      <c r="M584" t="s">
        <v>45</v>
      </c>
      <c r="N584" s="7">
        <v>1</v>
      </c>
      <c r="O584" s="8">
        <v>45546.734907407408</v>
      </c>
      <c r="P584" s="9">
        <v>45548</v>
      </c>
      <c r="Q584" t="s">
        <v>46</v>
      </c>
      <c r="R584" t="s">
        <v>47</v>
      </c>
      <c r="S584" t="s">
        <v>48</v>
      </c>
      <c r="T584" t="s">
        <v>136</v>
      </c>
      <c r="U584" t="s">
        <v>1831</v>
      </c>
      <c r="V584">
        <v>32040</v>
      </c>
      <c r="W584" t="s">
        <v>47</v>
      </c>
      <c r="X584" t="s">
        <v>1832</v>
      </c>
      <c r="Y584" t="s">
        <v>52</v>
      </c>
      <c r="Z584" s="10">
        <f t="shared" si="75"/>
        <v>9</v>
      </c>
      <c r="AA584" s="11">
        <v>-2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76"/>
        <v>0.42</v>
      </c>
      <c r="AG584" s="11">
        <f t="shared" si="77"/>
        <v>7.42</v>
      </c>
      <c r="AH584" s="11">
        <v>0</v>
      </c>
      <c r="AI584" s="11">
        <f t="shared" si="78"/>
        <v>7.42</v>
      </c>
      <c r="AJ584" t="s">
        <v>53</v>
      </c>
    </row>
    <row r="585" spans="1:36" ht="15" customHeight="1" x14ac:dyDescent="0.35">
      <c r="A585">
        <v>7547676</v>
      </c>
      <c r="B585" t="s">
        <v>36</v>
      </c>
      <c r="C585" t="s">
        <v>37</v>
      </c>
      <c r="D585" s="6" t="s">
        <v>36</v>
      </c>
      <c r="E585" t="s">
        <v>1833</v>
      </c>
      <c r="F585" t="s">
        <v>39</v>
      </c>
      <c r="G585" t="s">
        <v>40</v>
      </c>
      <c r="H585" t="s">
        <v>1834</v>
      </c>
      <c r="I585" t="s">
        <v>42</v>
      </c>
      <c r="J585">
        <v>2</v>
      </c>
      <c r="K585" t="s">
        <v>43</v>
      </c>
      <c r="L585" t="s">
        <v>44</v>
      </c>
      <c r="M585" t="s">
        <v>45</v>
      </c>
      <c r="N585" s="7">
        <v>1</v>
      </c>
      <c r="O585" s="8">
        <v>45547.564432870371</v>
      </c>
      <c r="P585" s="9">
        <v>45548</v>
      </c>
      <c r="Q585" t="s">
        <v>46</v>
      </c>
      <c r="R585" t="s">
        <v>47</v>
      </c>
      <c r="S585" t="s">
        <v>48</v>
      </c>
      <c r="T585" t="s">
        <v>123</v>
      </c>
      <c r="U585" t="s">
        <v>1835</v>
      </c>
      <c r="V585">
        <v>43600</v>
      </c>
      <c r="W585" t="s">
        <v>47</v>
      </c>
      <c r="X585" t="s">
        <v>51</v>
      </c>
      <c r="Y585" t="s">
        <v>52</v>
      </c>
      <c r="Z585" s="10">
        <f t="shared" si="75"/>
        <v>9</v>
      </c>
      <c r="AA585" s="11">
        <v>-2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76"/>
        <v>0.42</v>
      </c>
      <c r="AG585" s="11">
        <f t="shared" si="77"/>
        <v>7.42</v>
      </c>
      <c r="AH585" s="11">
        <v>0</v>
      </c>
      <c r="AI585" s="11">
        <f t="shared" si="78"/>
        <v>7.42</v>
      </c>
      <c r="AJ585" t="s">
        <v>53</v>
      </c>
    </row>
    <row r="586" spans="1:36" ht="15" customHeight="1" x14ac:dyDescent="0.35">
      <c r="A586">
        <v>7547676</v>
      </c>
      <c r="B586" t="s">
        <v>36</v>
      </c>
      <c r="C586" t="s">
        <v>37</v>
      </c>
      <c r="D586" s="6" t="s">
        <v>36</v>
      </c>
      <c r="E586" t="s">
        <v>1836</v>
      </c>
      <c r="F586" t="s">
        <v>39</v>
      </c>
      <c r="G586" t="s">
        <v>40</v>
      </c>
      <c r="H586" t="s">
        <v>1837</v>
      </c>
      <c r="I586" t="s">
        <v>42</v>
      </c>
      <c r="J586">
        <v>2</v>
      </c>
      <c r="K586" t="s">
        <v>43</v>
      </c>
      <c r="L586" t="s">
        <v>44</v>
      </c>
      <c r="M586" t="s">
        <v>45</v>
      </c>
      <c r="N586" s="7">
        <v>1</v>
      </c>
      <c r="O586" s="8">
        <v>45546.45584490741</v>
      </c>
      <c r="P586" s="9">
        <v>45548</v>
      </c>
      <c r="Q586" t="s">
        <v>46</v>
      </c>
      <c r="R586" t="s">
        <v>47</v>
      </c>
      <c r="S586" t="s">
        <v>48</v>
      </c>
      <c r="T586" t="s">
        <v>123</v>
      </c>
      <c r="U586" t="s">
        <v>1838</v>
      </c>
      <c r="V586">
        <v>40150</v>
      </c>
      <c r="W586" t="s">
        <v>47</v>
      </c>
      <c r="X586" t="s">
        <v>51</v>
      </c>
      <c r="Y586" t="s">
        <v>52</v>
      </c>
      <c r="Z586" s="10">
        <f t="shared" si="75"/>
        <v>9</v>
      </c>
      <c r="AA586" s="11">
        <v>-2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76"/>
        <v>0.42</v>
      </c>
      <c r="AG586" s="11">
        <f t="shared" si="77"/>
        <v>7.42</v>
      </c>
      <c r="AH586" s="11">
        <v>0</v>
      </c>
      <c r="AI586" s="11">
        <f t="shared" si="78"/>
        <v>7.42</v>
      </c>
      <c r="AJ586" t="s">
        <v>53</v>
      </c>
    </row>
    <row r="587" spans="1:36" ht="15" customHeight="1" x14ac:dyDescent="0.35">
      <c r="A587">
        <v>7547676</v>
      </c>
      <c r="B587" t="s">
        <v>36</v>
      </c>
      <c r="C587" t="s">
        <v>37</v>
      </c>
      <c r="D587" s="6" t="s">
        <v>36</v>
      </c>
      <c r="E587" t="s">
        <v>1839</v>
      </c>
      <c r="F587" t="s">
        <v>39</v>
      </c>
      <c r="G587" t="s">
        <v>40</v>
      </c>
      <c r="H587" t="s">
        <v>1840</v>
      </c>
      <c r="I587" t="s">
        <v>42</v>
      </c>
      <c r="J587">
        <v>2</v>
      </c>
      <c r="K587" t="s">
        <v>43</v>
      </c>
      <c r="L587" t="s">
        <v>44</v>
      </c>
      <c r="M587" t="s">
        <v>45</v>
      </c>
      <c r="N587" s="7">
        <v>1</v>
      </c>
      <c r="O587" s="8">
        <v>45546.734907407408</v>
      </c>
      <c r="P587" s="9">
        <v>45548</v>
      </c>
      <c r="Q587" t="s">
        <v>46</v>
      </c>
      <c r="R587" t="s">
        <v>47</v>
      </c>
      <c r="S587" t="s">
        <v>48</v>
      </c>
      <c r="T587" t="s">
        <v>136</v>
      </c>
      <c r="U587" t="s">
        <v>1841</v>
      </c>
      <c r="V587">
        <v>34600</v>
      </c>
      <c r="W587" t="s">
        <v>47</v>
      </c>
      <c r="X587" t="s">
        <v>379</v>
      </c>
      <c r="Y587" t="s">
        <v>52</v>
      </c>
      <c r="Z587" s="10">
        <f t="shared" si="75"/>
        <v>9</v>
      </c>
      <c r="AA587" s="11">
        <v>-2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76"/>
        <v>0.42</v>
      </c>
      <c r="AG587" s="11">
        <f t="shared" si="77"/>
        <v>7.42</v>
      </c>
      <c r="AH587" s="11">
        <v>0</v>
      </c>
      <c r="AI587" s="11">
        <f t="shared" si="78"/>
        <v>7.42</v>
      </c>
      <c r="AJ587" t="s">
        <v>53</v>
      </c>
    </row>
    <row r="588" spans="1:36" ht="15" customHeight="1" x14ac:dyDescent="0.35">
      <c r="A588">
        <v>7547676</v>
      </c>
      <c r="B588" t="s">
        <v>36</v>
      </c>
      <c r="C588" t="s">
        <v>37</v>
      </c>
      <c r="D588" s="6" t="s">
        <v>36</v>
      </c>
      <c r="E588" t="s">
        <v>1842</v>
      </c>
      <c r="F588" t="s">
        <v>39</v>
      </c>
      <c r="G588" t="s">
        <v>40</v>
      </c>
      <c r="H588" t="s">
        <v>1843</v>
      </c>
      <c r="I588" t="s">
        <v>42</v>
      </c>
      <c r="J588">
        <v>2</v>
      </c>
      <c r="K588" t="s">
        <v>43</v>
      </c>
      <c r="L588" t="s">
        <v>44</v>
      </c>
      <c r="M588" t="s">
        <v>45</v>
      </c>
      <c r="N588" s="7">
        <v>1</v>
      </c>
      <c r="O588" s="8">
        <v>45545.834652777776</v>
      </c>
      <c r="P588" s="9">
        <v>45548</v>
      </c>
      <c r="Q588" t="s">
        <v>46</v>
      </c>
      <c r="R588" t="s">
        <v>47</v>
      </c>
      <c r="S588" t="s">
        <v>48</v>
      </c>
      <c r="T588" t="s">
        <v>123</v>
      </c>
      <c r="U588" t="s">
        <v>1844</v>
      </c>
      <c r="V588">
        <v>35900</v>
      </c>
      <c r="W588" t="s">
        <v>47</v>
      </c>
      <c r="X588" t="s">
        <v>1689</v>
      </c>
      <c r="Y588" t="s">
        <v>52</v>
      </c>
      <c r="Z588" s="10">
        <f t="shared" si="75"/>
        <v>9</v>
      </c>
      <c r="AA588" s="11">
        <v>-2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76"/>
        <v>0.42</v>
      </c>
      <c r="AG588" s="11">
        <f t="shared" si="77"/>
        <v>7.42</v>
      </c>
      <c r="AH588" s="11">
        <v>0</v>
      </c>
      <c r="AI588" s="11">
        <f t="shared" si="78"/>
        <v>7.42</v>
      </c>
      <c r="AJ588" t="s">
        <v>53</v>
      </c>
    </row>
    <row r="589" spans="1:36" ht="15" customHeight="1" x14ac:dyDescent="0.35">
      <c r="A589">
        <v>7547676</v>
      </c>
      <c r="B589" t="s">
        <v>36</v>
      </c>
      <c r="C589" t="s">
        <v>37</v>
      </c>
      <c r="D589" s="6" t="s">
        <v>36</v>
      </c>
      <c r="E589" t="s">
        <v>1845</v>
      </c>
      <c r="F589" t="s">
        <v>39</v>
      </c>
      <c r="G589" t="s">
        <v>40</v>
      </c>
      <c r="H589" t="s">
        <v>1846</v>
      </c>
      <c r="I589" t="s">
        <v>42</v>
      </c>
      <c r="J589">
        <v>2</v>
      </c>
      <c r="K589" t="s">
        <v>43</v>
      </c>
      <c r="L589" t="s">
        <v>44</v>
      </c>
      <c r="M589" t="s">
        <v>45</v>
      </c>
      <c r="N589" s="7">
        <v>3</v>
      </c>
      <c r="O589" s="8">
        <v>45545.854062500002</v>
      </c>
      <c r="P589" s="9">
        <v>45548</v>
      </c>
      <c r="Q589" t="s">
        <v>46</v>
      </c>
      <c r="R589" t="s">
        <v>47</v>
      </c>
      <c r="S589" t="s">
        <v>48</v>
      </c>
      <c r="T589" t="s">
        <v>80</v>
      </c>
      <c r="U589" t="s">
        <v>1847</v>
      </c>
      <c r="V589">
        <v>13300</v>
      </c>
      <c r="W589" t="s">
        <v>47</v>
      </c>
      <c r="X589" t="s">
        <v>1298</v>
      </c>
      <c r="Y589" t="s">
        <v>52</v>
      </c>
      <c r="Z589" s="10">
        <f t="shared" si="75"/>
        <v>10.6</v>
      </c>
      <c r="AA589" s="11">
        <v>-2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76"/>
        <v>0.51600000000000001</v>
      </c>
      <c r="AG589" s="11">
        <f t="shared" si="77"/>
        <v>9.1159999999999997</v>
      </c>
      <c r="AH589" s="11">
        <v>0</v>
      </c>
      <c r="AI589" s="11">
        <f t="shared" si="78"/>
        <v>9.1159999999999997</v>
      </c>
      <c r="AJ589" t="s">
        <v>53</v>
      </c>
    </row>
    <row r="590" spans="1:36" ht="15" customHeight="1" x14ac:dyDescent="0.35">
      <c r="A590">
        <v>7547676</v>
      </c>
      <c r="B590" t="s">
        <v>36</v>
      </c>
      <c r="C590" t="s">
        <v>37</v>
      </c>
      <c r="D590" s="6" t="s">
        <v>36</v>
      </c>
      <c r="E590" t="s">
        <v>1848</v>
      </c>
      <c r="F590" t="s">
        <v>39</v>
      </c>
      <c r="G590" t="s">
        <v>40</v>
      </c>
      <c r="H590" t="s">
        <v>1849</v>
      </c>
      <c r="I590" t="s">
        <v>42</v>
      </c>
      <c r="J590">
        <v>2</v>
      </c>
      <c r="K590" t="s">
        <v>43</v>
      </c>
      <c r="L590" t="s">
        <v>44</v>
      </c>
      <c r="M590" t="s">
        <v>45</v>
      </c>
      <c r="N590" s="7">
        <v>13</v>
      </c>
      <c r="O590" s="8">
        <v>45547.694166666668</v>
      </c>
      <c r="P590" s="9">
        <v>45548</v>
      </c>
      <c r="Q590" t="s">
        <v>46</v>
      </c>
      <c r="R590" t="s">
        <v>47</v>
      </c>
      <c r="S590" t="s">
        <v>48</v>
      </c>
      <c r="T590" t="s">
        <v>278</v>
      </c>
      <c r="U590" t="s">
        <v>1850</v>
      </c>
      <c r="V590">
        <v>25150</v>
      </c>
      <c r="W590" t="s">
        <v>47</v>
      </c>
      <c r="X590" t="s">
        <v>1571</v>
      </c>
      <c r="Y590" t="s">
        <v>52</v>
      </c>
      <c r="Z590" s="10">
        <f t="shared" si="75"/>
        <v>18.600000000000001</v>
      </c>
      <c r="AA590" s="11">
        <v>-2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76"/>
        <v>0.996</v>
      </c>
      <c r="AG590" s="11">
        <f t="shared" si="77"/>
        <v>17.596</v>
      </c>
      <c r="AH590" s="11">
        <v>0</v>
      </c>
      <c r="AI590" s="11">
        <f t="shared" si="78"/>
        <v>17.596</v>
      </c>
      <c r="AJ590" t="s">
        <v>53</v>
      </c>
    </row>
    <row r="591" spans="1:36" ht="15" customHeight="1" x14ac:dyDescent="0.35">
      <c r="A591">
        <v>7547676</v>
      </c>
      <c r="B591" t="s">
        <v>36</v>
      </c>
      <c r="C591" t="s">
        <v>37</v>
      </c>
      <c r="D591" s="6" t="s">
        <v>36</v>
      </c>
      <c r="E591" t="s">
        <v>1851</v>
      </c>
      <c r="F591" t="s">
        <v>39</v>
      </c>
      <c r="G591" t="s">
        <v>40</v>
      </c>
      <c r="H591" t="s">
        <v>1852</v>
      </c>
      <c r="I591" t="s">
        <v>42</v>
      </c>
      <c r="J591">
        <v>2</v>
      </c>
      <c r="K591" t="s">
        <v>43</v>
      </c>
      <c r="L591" t="s">
        <v>44</v>
      </c>
      <c r="M591" t="s">
        <v>45</v>
      </c>
      <c r="N591" s="7">
        <v>3</v>
      </c>
      <c r="O591" s="8">
        <v>45547.612083333333</v>
      </c>
      <c r="P591" s="9">
        <v>45548</v>
      </c>
      <c r="Q591" t="s">
        <v>46</v>
      </c>
      <c r="R591" t="s">
        <v>47</v>
      </c>
      <c r="S591" t="s">
        <v>48</v>
      </c>
      <c r="T591" t="s">
        <v>123</v>
      </c>
      <c r="U591" t="s">
        <v>1853</v>
      </c>
      <c r="V591">
        <v>40000</v>
      </c>
      <c r="W591" t="s">
        <v>47</v>
      </c>
      <c r="X591" t="s">
        <v>855</v>
      </c>
      <c r="Y591" t="s">
        <v>52</v>
      </c>
      <c r="Z591" s="10">
        <f t="shared" si="75"/>
        <v>10.6</v>
      </c>
      <c r="AA591" s="11">
        <v>-2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76"/>
        <v>0.51600000000000001</v>
      </c>
      <c r="AG591" s="11">
        <f t="shared" si="77"/>
        <v>9.1159999999999997</v>
      </c>
      <c r="AH591" s="11">
        <v>0</v>
      </c>
      <c r="AI591" s="11">
        <f t="shared" si="78"/>
        <v>9.1159999999999997</v>
      </c>
      <c r="AJ591" t="s">
        <v>53</v>
      </c>
    </row>
    <row r="592" spans="1:36" ht="15" customHeight="1" x14ac:dyDescent="0.35">
      <c r="A592">
        <v>7547676</v>
      </c>
      <c r="B592" t="s">
        <v>36</v>
      </c>
      <c r="C592" t="s">
        <v>37</v>
      </c>
      <c r="D592" s="6" t="s">
        <v>36</v>
      </c>
      <c r="E592" t="s">
        <v>1854</v>
      </c>
      <c r="F592" t="s">
        <v>39</v>
      </c>
      <c r="G592" t="s">
        <v>40</v>
      </c>
      <c r="H592" t="s">
        <v>1855</v>
      </c>
      <c r="I592" t="s">
        <v>42</v>
      </c>
      <c r="J592">
        <v>2</v>
      </c>
      <c r="K592" t="s">
        <v>43</v>
      </c>
      <c r="L592" t="s">
        <v>44</v>
      </c>
      <c r="M592" t="s">
        <v>45</v>
      </c>
      <c r="N592" s="7">
        <v>1</v>
      </c>
      <c r="O592" s="8">
        <v>45547.756053240744</v>
      </c>
      <c r="P592" s="9">
        <v>45548</v>
      </c>
      <c r="Q592" t="s">
        <v>46</v>
      </c>
      <c r="R592" t="s">
        <v>47</v>
      </c>
      <c r="S592" t="s">
        <v>48</v>
      </c>
      <c r="T592" t="s">
        <v>123</v>
      </c>
      <c r="U592" t="s">
        <v>1856</v>
      </c>
      <c r="V592">
        <v>43000</v>
      </c>
      <c r="W592" t="s">
        <v>47</v>
      </c>
      <c r="X592" t="s">
        <v>1857</v>
      </c>
      <c r="Y592" t="s">
        <v>52</v>
      </c>
      <c r="Z592" s="10">
        <f t="shared" si="75"/>
        <v>9</v>
      </c>
      <c r="AA592" s="11">
        <v>-2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76"/>
        <v>0.42</v>
      </c>
      <c r="AG592" s="11">
        <f t="shared" si="77"/>
        <v>7.42</v>
      </c>
      <c r="AH592" s="11">
        <v>0</v>
      </c>
      <c r="AI592" s="11">
        <f t="shared" si="78"/>
        <v>7.42</v>
      </c>
      <c r="AJ592" t="s">
        <v>53</v>
      </c>
    </row>
    <row r="593" spans="1:36" ht="15" customHeight="1" x14ac:dyDescent="0.35">
      <c r="A593">
        <v>7547676</v>
      </c>
      <c r="B593" t="s">
        <v>36</v>
      </c>
      <c r="C593" t="s">
        <v>37</v>
      </c>
      <c r="D593" s="6" t="s">
        <v>36</v>
      </c>
      <c r="E593" t="s">
        <v>1858</v>
      </c>
      <c r="F593" t="s">
        <v>39</v>
      </c>
      <c r="G593" t="s">
        <v>40</v>
      </c>
      <c r="H593" t="s">
        <v>1859</v>
      </c>
      <c r="I593" t="s">
        <v>42</v>
      </c>
      <c r="J593">
        <v>2</v>
      </c>
      <c r="K593" t="s">
        <v>43</v>
      </c>
      <c r="L593" t="s">
        <v>44</v>
      </c>
      <c r="M593" t="s">
        <v>45</v>
      </c>
      <c r="N593" s="7">
        <v>1</v>
      </c>
      <c r="O593" s="8">
        <v>45545.837754629632</v>
      </c>
      <c r="P593" s="9">
        <v>45548</v>
      </c>
      <c r="Q593" t="s">
        <v>46</v>
      </c>
      <c r="R593" t="s">
        <v>47</v>
      </c>
      <c r="S593" t="s">
        <v>48</v>
      </c>
      <c r="T593" t="s">
        <v>56</v>
      </c>
      <c r="U593" t="s">
        <v>1860</v>
      </c>
      <c r="V593">
        <v>8700</v>
      </c>
      <c r="W593" t="s">
        <v>47</v>
      </c>
      <c r="X593" t="s">
        <v>58</v>
      </c>
      <c r="Y593" t="s">
        <v>52</v>
      </c>
      <c r="Z593" s="10">
        <f>IF(N593&lt;=1,9,9+0.8*ROUNDUP(N593-1,0))</f>
        <v>9</v>
      </c>
      <c r="AA593" s="11">
        <v>-2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76"/>
        <v>0.42</v>
      </c>
      <c r="AG593" s="11">
        <f t="shared" si="77"/>
        <v>7.42</v>
      </c>
      <c r="AH593" s="11">
        <v>0</v>
      </c>
      <c r="AI593" s="11">
        <f t="shared" si="78"/>
        <v>7.42</v>
      </c>
      <c r="AJ593" t="s">
        <v>53</v>
      </c>
    </row>
    <row r="594" spans="1:36" ht="15" customHeight="1" x14ac:dyDescent="0.35">
      <c r="A594">
        <v>7547676</v>
      </c>
      <c r="B594" t="s">
        <v>36</v>
      </c>
      <c r="C594" t="s">
        <v>37</v>
      </c>
      <c r="D594" s="6" t="s">
        <v>36</v>
      </c>
      <c r="E594" t="s">
        <v>1861</v>
      </c>
      <c r="F594" t="s">
        <v>39</v>
      </c>
      <c r="G594" t="s">
        <v>40</v>
      </c>
      <c r="H594" t="s">
        <v>1862</v>
      </c>
      <c r="I594" t="s">
        <v>42</v>
      </c>
      <c r="J594">
        <v>2</v>
      </c>
      <c r="K594" t="s">
        <v>43</v>
      </c>
      <c r="L594" t="s">
        <v>44</v>
      </c>
      <c r="M594" t="s">
        <v>45</v>
      </c>
      <c r="N594" s="7">
        <v>1</v>
      </c>
      <c r="O594" s="8">
        <v>45547.691828703704</v>
      </c>
      <c r="P594" s="9">
        <v>45548</v>
      </c>
      <c r="Q594" t="s">
        <v>46</v>
      </c>
      <c r="R594" t="s">
        <v>47</v>
      </c>
      <c r="S594" t="s">
        <v>48</v>
      </c>
      <c r="T594" t="s">
        <v>123</v>
      </c>
      <c r="U594" t="s">
        <v>1863</v>
      </c>
      <c r="V594">
        <v>41200</v>
      </c>
      <c r="W594" t="s">
        <v>47</v>
      </c>
      <c r="X594" t="s">
        <v>396</v>
      </c>
      <c r="Y594" t="s">
        <v>52</v>
      </c>
      <c r="Z594" s="10">
        <f t="shared" ref="Z594:Z598" si="79">IF(N594&lt;=1,9,9+0.8*ROUNDUP(N594-1,0))</f>
        <v>9</v>
      </c>
      <c r="AA594" s="11">
        <v>-2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76"/>
        <v>0.42</v>
      </c>
      <c r="AG594" s="11">
        <f t="shared" si="77"/>
        <v>7.42</v>
      </c>
      <c r="AH594" s="11">
        <v>0</v>
      </c>
      <c r="AI594" s="11">
        <f t="shared" si="78"/>
        <v>7.42</v>
      </c>
      <c r="AJ594" t="s">
        <v>53</v>
      </c>
    </row>
    <row r="595" spans="1:36" ht="15" customHeight="1" x14ac:dyDescent="0.35">
      <c r="A595">
        <v>7547676</v>
      </c>
      <c r="B595" t="s">
        <v>36</v>
      </c>
      <c r="C595" t="s">
        <v>37</v>
      </c>
      <c r="D595" s="6" t="s">
        <v>36</v>
      </c>
      <c r="E595" t="s">
        <v>1864</v>
      </c>
      <c r="F595" t="s">
        <v>39</v>
      </c>
      <c r="G595" t="s">
        <v>40</v>
      </c>
      <c r="H595" t="s">
        <v>782</v>
      </c>
      <c r="I595" t="s">
        <v>42</v>
      </c>
      <c r="J595">
        <v>2</v>
      </c>
      <c r="K595" t="s">
        <v>43</v>
      </c>
      <c r="L595" t="s">
        <v>44</v>
      </c>
      <c r="M595" t="s">
        <v>45</v>
      </c>
      <c r="N595" s="7">
        <v>1</v>
      </c>
      <c r="O595" s="8">
        <v>45546.662326388891</v>
      </c>
      <c r="P595" s="9">
        <v>45548</v>
      </c>
      <c r="Q595" t="s">
        <v>46</v>
      </c>
      <c r="R595" t="s">
        <v>47</v>
      </c>
      <c r="S595" t="s">
        <v>48</v>
      </c>
      <c r="T595" t="s">
        <v>123</v>
      </c>
      <c r="U595" t="s">
        <v>783</v>
      </c>
      <c r="V595">
        <v>53100</v>
      </c>
      <c r="W595" t="s">
        <v>47</v>
      </c>
      <c r="X595" t="s">
        <v>51</v>
      </c>
      <c r="Y595" t="s">
        <v>52</v>
      </c>
      <c r="Z595" s="10">
        <f t="shared" si="79"/>
        <v>9</v>
      </c>
      <c r="AA595" s="11">
        <v>-2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76"/>
        <v>0.42</v>
      </c>
      <c r="AG595" s="11">
        <f t="shared" si="77"/>
        <v>7.42</v>
      </c>
      <c r="AH595" s="11">
        <v>0</v>
      </c>
      <c r="AI595" s="11">
        <f t="shared" si="78"/>
        <v>7.42</v>
      </c>
      <c r="AJ595" t="s">
        <v>53</v>
      </c>
    </row>
    <row r="596" spans="1:36" ht="15" customHeight="1" x14ac:dyDescent="0.35">
      <c r="A596">
        <v>7547676</v>
      </c>
      <c r="B596" t="s">
        <v>36</v>
      </c>
      <c r="C596" t="s">
        <v>37</v>
      </c>
      <c r="D596" s="6" t="s">
        <v>36</v>
      </c>
      <c r="E596" t="s">
        <v>1865</v>
      </c>
      <c r="G596" t="s">
        <v>40</v>
      </c>
      <c r="H596" t="s">
        <v>1866</v>
      </c>
      <c r="I596" t="s">
        <v>42</v>
      </c>
      <c r="J596">
        <v>2</v>
      </c>
      <c r="K596" t="s">
        <v>43</v>
      </c>
      <c r="L596" t="s">
        <v>44</v>
      </c>
      <c r="M596" t="s">
        <v>45</v>
      </c>
      <c r="N596" s="7">
        <v>1</v>
      </c>
      <c r="O596" s="8">
        <v>45559.612060185187</v>
      </c>
      <c r="P596" s="9">
        <v>45562</v>
      </c>
      <c r="Q596" t="s">
        <v>46</v>
      </c>
      <c r="R596" t="s">
        <v>47</v>
      </c>
      <c r="S596" t="s">
        <v>48</v>
      </c>
      <c r="T596" t="s">
        <v>66</v>
      </c>
      <c r="U596" t="s">
        <v>1867</v>
      </c>
      <c r="V596">
        <v>84600</v>
      </c>
      <c r="W596" t="s">
        <v>47</v>
      </c>
      <c r="X596" t="s">
        <v>883</v>
      </c>
      <c r="Y596" t="s">
        <v>52</v>
      </c>
      <c r="Z596" s="10">
        <f t="shared" si="79"/>
        <v>9</v>
      </c>
      <c r="AA596" s="11">
        <v>-2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76"/>
        <v>0.42</v>
      </c>
      <c r="AG596" s="11">
        <f t="shared" si="77"/>
        <v>7.42</v>
      </c>
      <c r="AH596" s="11">
        <v>0</v>
      </c>
      <c r="AI596" s="11">
        <f t="shared" si="78"/>
        <v>7.42</v>
      </c>
      <c r="AJ596" t="s">
        <v>53</v>
      </c>
    </row>
    <row r="597" spans="1:36" ht="15" customHeight="1" x14ac:dyDescent="0.35">
      <c r="A597">
        <v>7547676</v>
      </c>
      <c r="B597" t="s">
        <v>36</v>
      </c>
      <c r="C597" t="s">
        <v>37</v>
      </c>
      <c r="D597" s="6" t="s">
        <v>36</v>
      </c>
      <c r="E597" t="s">
        <v>1868</v>
      </c>
      <c r="G597" t="s">
        <v>40</v>
      </c>
      <c r="H597" t="s">
        <v>1869</v>
      </c>
      <c r="I597" t="s">
        <v>42</v>
      </c>
      <c r="J597">
        <v>2</v>
      </c>
      <c r="K597" t="s">
        <v>43</v>
      </c>
      <c r="L597" t="s">
        <v>44</v>
      </c>
      <c r="M597" t="s">
        <v>45</v>
      </c>
      <c r="N597" s="7">
        <v>1</v>
      </c>
      <c r="O597" s="8">
        <v>45559.784062500003</v>
      </c>
      <c r="P597" s="9">
        <v>45562</v>
      </c>
      <c r="Q597" t="s">
        <v>46</v>
      </c>
      <c r="R597" t="s">
        <v>47</v>
      </c>
      <c r="S597" t="s">
        <v>48</v>
      </c>
      <c r="T597" t="s">
        <v>80</v>
      </c>
      <c r="U597" t="s">
        <v>1870</v>
      </c>
      <c r="V597">
        <v>10150</v>
      </c>
      <c r="W597" t="s">
        <v>47</v>
      </c>
      <c r="X597" t="s">
        <v>113</v>
      </c>
      <c r="Y597" t="s">
        <v>52</v>
      </c>
      <c r="Z597" s="10">
        <f t="shared" si="79"/>
        <v>9</v>
      </c>
      <c r="AA597" s="11">
        <v>-2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76"/>
        <v>0.42</v>
      </c>
      <c r="AG597" s="11">
        <f t="shared" si="77"/>
        <v>7.42</v>
      </c>
      <c r="AH597" s="11">
        <v>0</v>
      </c>
      <c r="AI597" s="11">
        <f t="shared" si="78"/>
        <v>7.42</v>
      </c>
      <c r="AJ597" t="s">
        <v>53</v>
      </c>
    </row>
    <row r="598" spans="1:36" ht="15" customHeight="1" x14ac:dyDescent="0.35">
      <c r="A598">
        <v>7547676</v>
      </c>
      <c r="B598" t="s">
        <v>36</v>
      </c>
      <c r="C598" t="s">
        <v>37</v>
      </c>
      <c r="D598" s="6" t="s">
        <v>36</v>
      </c>
      <c r="E598" t="s">
        <v>1871</v>
      </c>
      <c r="G598" t="s">
        <v>40</v>
      </c>
      <c r="H598" t="s">
        <v>1872</v>
      </c>
      <c r="I598" t="s">
        <v>42</v>
      </c>
      <c r="J598">
        <v>2</v>
      </c>
      <c r="K598" t="s">
        <v>43</v>
      </c>
      <c r="L598" t="s">
        <v>44</v>
      </c>
      <c r="M598" t="s">
        <v>45</v>
      </c>
      <c r="N598" s="7">
        <v>12</v>
      </c>
      <c r="O598" s="8">
        <v>45561.617430555554</v>
      </c>
      <c r="P598" s="9">
        <v>45562</v>
      </c>
      <c r="Q598" t="s">
        <v>46</v>
      </c>
      <c r="R598" t="s">
        <v>47</v>
      </c>
      <c r="S598" t="s">
        <v>48</v>
      </c>
      <c r="T598" t="s">
        <v>123</v>
      </c>
      <c r="U598" t="s">
        <v>1873</v>
      </c>
      <c r="V598">
        <v>41050</v>
      </c>
      <c r="W598" t="s">
        <v>47</v>
      </c>
      <c r="X598" t="s">
        <v>192</v>
      </c>
      <c r="Y598" t="s">
        <v>52</v>
      </c>
      <c r="Z598" s="10">
        <f t="shared" si="79"/>
        <v>17.8</v>
      </c>
      <c r="AA598" s="11">
        <v>-2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76"/>
        <v>0.94799999999999995</v>
      </c>
      <c r="AG598" s="11">
        <f t="shared" si="77"/>
        <v>16.748000000000001</v>
      </c>
      <c r="AH598" s="11">
        <v>0</v>
      </c>
      <c r="AI598" s="11">
        <f t="shared" si="78"/>
        <v>16.748000000000001</v>
      </c>
      <c r="AJ598" t="s">
        <v>53</v>
      </c>
    </row>
    <row r="599" spans="1:36" ht="15" customHeight="1" x14ac:dyDescent="0.35">
      <c r="A599">
        <v>7547676</v>
      </c>
      <c r="B599" t="s">
        <v>36</v>
      </c>
      <c r="C599" t="s">
        <v>37</v>
      </c>
      <c r="D599" s="6" t="s">
        <v>36</v>
      </c>
      <c r="E599" t="s">
        <v>1874</v>
      </c>
      <c r="G599" t="s">
        <v>40</v>
      </c>
      <c r="H599" t="s">
        <v>1875</v>
      </c>
      <c r="I599" t="s">
        <v>42</v>
      </c>
      <c r="J599">
        <v>2</v>
      </c>
      <c r="K599" t="s">
        <v>43</v>
      </c>
      <c r="L599" t="s">
        <v>44</v>
      </c>
      <c r="M599" t="s">
        <v>45</v>
      </c>
      <c r="N599" s="7">
        <v>12</v>
      </c>
      <c r="O599" s="8">
        <v>45558.811909722222</v>
      </c>
      <c r="P599" s="9">
        <v>45563</v>
      </c>
      <c r="Q599" t="s">
        <v>46</v>
      </c>
      <c r="R599" t="s">
        <v>47</v>
      </c>
      <c r="S599" t="s">
        <v>48</v>
      </c>
      <c r="T599" t="s">
        <v>90</v>
      </c>
      <c r="U599" t="s">
        <v>1876</v>
      </c>
      <c r="V599">
        <v>91100</v>
      </c>
      <c r="W599" t="s">
        <v>92</v>
      </c>
      <c r="X599" t="s">
        <v>1877</v>
      </c>
      <c r="Y599" t="s">
        <v>52</v>
      </c>
      <c r="Z599" s="12">
        <f>IF(N599&lt;=1,13,IF(N599&lt;=2,23,IF(N599&lt;=3,35,IF(N599&lt;=4,43,IF(N599&lt;=5,53,IF(N599&lt;=6,63,IF(N599&lt;=7,71,IF(N599&lt;=8,79,IF(N599&lt;=9,87,IF(N599&lt;=10,95,IF(N599&lt;=11,105,IF(N599&lt;=12,114,IF(N599&lt;=13,119,IF(N599&lt;=14,127,IF(N599&lt;=15,135,IF(N599&lt;=16,143,IF(N599&lt;=17,153,IF(N599&lt;=18,163,IF(N599&lt;=19,171,IF(N599&lt;=20,185,IF(N599&lt;=21,193,IF(N599&lt;=22,201,IF(N599&lt;=23,210,IF(N599&lt;=24,220,IF(N599&lt;=25,230,IF(N599&lt;=26,240,IF(N599&lt;=27,250,IF(N599&lt;=28,260,IF(N599&lt;=29,270,IF(N599&lt;=30,280,280+10*ROUNDUP(N599-30,0)))))))))))))))))))))))))))))))</f>
        <v>114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76"/>
        <v>6.84</v>
      </c>
      <c r="AG599" s="11">
        <f t="shared" si="77"/>
        <v>120.84</v>
      </c>
      <c r="AH599" s="11">
        <v>0</v>
      </c>
      <c r="AI599" s="11">
        <f t="shared" si="78"/>
        <v>120.84</v>
      </c>
      <c r="AJ599" t="s">
        <v>94</v>
      </c>
    </row>
    <row r="600" spans="1:36" ht="15" customHeight="1" x14ac:dyDescent="0.35">
      <c r="A600">
        <v>7547676</v>
      </c>
      <c r="B600" t="s">
        <v>36</v>
      </c>
      <c r="C600" t="s">
        <v>37</v>
      </c>
      <c r="D600" s="6" t="s">
        <v>36</v>
      </c>
      <c r="E600" t="s">
        <v>1878</v>
      </c>
      <c r="G600" t="s">
        <v>40</v>
      </c>
      <c r="H600" t="s">
        <v>1748</v>
      </c>
      <c r="I600" t="s">
        <v>42</v>
      </c>
      <c r="J600">
        <v>2</v>
      </c>
      <c r="K600" t="s">
        <v>43</v>
      </c>
      <c r="L600" t="s">
        <v>44</v>
      </c>
      <c r="M600" t="s">
        <v>45</v>
      </c>
      <c r="N600" s="7">
        <v>1</v>
      </c>
      <c r="O600" s="8">
        <v>45561.8362037037</v>
      </c>
      <c r="P600" s="9">
        <v>45563</v>
      </c>
      <c r="Q600" t="s">
        <v>89</v>
      </c>
      <c r="R600" t="s">
        <v>47</v>
      </c>
      <c r="S600" t="s">
        <v>48</v>
      </c>
      <c r="T600" t="s">
        <v>104</v>
      </c>
      <c r="U600" t="s">
        <v>1879</v>
      </c>
      <c r="V600">
        <v>77200</v>
      </c>
      <c r="W600" t="s">
        <v>47</v>
      </c>
      <c r="X600" t="s">
        <v>1175</v>
      </c>
      <c r="Y600" t="s">
        <v>52</v>
      </c>
      <c r="Z600" s="10">
        <f t="shared" ref="Z600:Z602" si="80">IF(N600&lt;=1,9,9+0.8*ROUNDUP(N600-1,0))</f>
        <v>9</v>
      </c>
      <c r="AA600" s="11">
        <v>-2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76"/>
        <v>0.42</v>
      </c>
      <c r="AG600" s="11">
        <f t="shared" si="77"/>
        <v>7.42</v>
      </c>
      <c r="AH600" s="11">
        <v>0</v>
      </c>
      <c r="AI600" s="11">
        <f t="shared" si="78"/>
        <v>7.42</v>
      </c>
      <c r="AJ600" t="s">
        <v>53</v>
      </c>
    </row>
    <row r="601" spans="1:36" ht="15" customHeight="1" x14ac:dyDescent="0.35">
      <c r="A601">
        <v>7547676</v>
      </c>
      <c r="B601" t="s">
        <v>36</v>
      </c>
      <c r="C601" t="s">
        <v>37</v>
      </c>
      <c r="D601" s="6" t="s">
        <v>36</v>
      </c>
      <c r="E601" t="s">
        <v>1880</v>
      </c>
      <c r="G601" t="s">
        <v>40</v>
      </c>
      <c r="H601" t="s">
        <v>1881</v>
      </c>
      <c r="I601" t="s">
        <v>42</v>
      </c>
      <c r="J601">
        <v>2</v>
      </c>
      <c r="K601" t="s">
        <v>43</v>
      </c>
      <c r="L601" t="s">
        <v>44</v>
      </c>
      <c r="M601" t="s">
        <v>45</v>
      </c>
      <c r="N601" s="7">
        <v>1</v>
      </c>
      <c r="O601" s="8">
        <v>45559.732141203705</v>
      </c>
      <c r="P601" s="9">
        <v>45563</v>
      </c>
      <c r="Q601" t="s">
        <v>46</v>
      </c>
      <c r="R601" t="s">
        <v>47</v>
      </c>
      <c r="S601" t="s">
        <v>48</v>
      </c>
      <c r="T601" t="s">
        <v>128</v>
      </c>
      <c r="U601" t="s">
        <v>1882</v>
      </c>
      <c r="V601">
        <v>58200</v>
      </c>
      <c r="W601" t="s">
        <v>47</v>
      </c>
      <c r="X601" t="s">
        <v>51</v>
      </c>
      <c r="Y601" t="s">
        <v>52</v>
      </c>
      <c r="Z601" s="10">
        <f t="shared" si="80"/>
        <v>9</v>
      </c>
      <c r="AA601" s="11">
        <v>-2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76"/>
        <v>0.42</v>
      </c>
      <c r="AG601" s="11">
        <f t="shared" si="77"/>
        <v>7.42</v>
      </c>
      <c r="AH601" s="11">
        <v>0</v>
      </c>
      <c r="AI601" s="11">
        <f t="shared" si="78"/>
        <v>7.42</v>
      </c>
      <c r="AJ601" t="s">
        <v>53</v>
      </c>
    </row>
    <row r="602" spans="1:36" ht="15" customHeight="1" x14ac:dyDescent="0.35">
      <c r="A602">
        <v>7547676</v>
      </c>
      <c r="B602" t="s">
        <v>36</v>
      </c>
      <c r="C602" t="s">
        <v>37</v>
      </c>
      <c r="D602" s="6" t="s">
        <v>36</v>
      </c>
      <c r="E602" t="s">
        <v>1883</v>
      </c>
      <c r="G602" t="s">
        <v>40</v>
      </c>
      <c r="H602" t="s">
        <v>1884</v>
      </c>
      <c r="I602" t="s">
        <v>42</v>
      </c>
      <c r="J602">
        <v>2</v>
      </c>
      <c r="K602" t="s">
        <v>43</v>
      </c>
      <c r="L602" t="s">
        <v>44</v>
      </c>
      <c r="M602" t="s">
        <v>45</v>
      </c>
      <c r="N602" s="7">
        <v>1</v>
      </c>
      <c r="O602" s="8">
        <v>45563.595462962963</v>
      </c>
      <c r="P602" s="9">
        <v>45565</v>
      </c>
      <c r="Q602" t="s">
        <v>46</v>
      </c>
      <c r="R602" t="s">
        <v>47</v>
      </c>
      <c r="S602" t="s">
        <v>48</v>
      </c>
      <c r="T602" t="s">
        <v>75</v>
      </c>
      <c r="U602" t="s">
        <v>1885</v>
      </c>
      <c r="V602">
        <v>16210</v>
      </c>
      <c r="W602" t="s">
        <v>47</v>
      </c>
      <c r="X602" t="s">
        <v>145</v>
      </c>
      <c r="Y602" t="s">
        <v>52</v>
      </c>
      <c r="Z602" s="10">
        <f t="shared" si="80"/>
        <v>9</v>
      </c>
      <c r="AA602" s="11">
        <v>-2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76"/>
        <v>0.42</v>
      </c>
      <c r="AG602" s="11">
        <f t="shared" si="77"/>
        <v>7.42</v>
      </c>
      <c r="AH602" s="11">
        <v>0</v>
      </c>
      <c r="AI602" s="11">
        <f t="shared" si="78"/>
        <v>7.42</v>
      </c>
      <c r="AJ602" t="s">
        <v>53</v>
      </c>
    </row>
    <row r="604" spans="1:36" x14ac:dyDescent="0.35">
      <c r="Z604" s="13">
        <f>SUM(Z2:Z602)</f>
        <v>6630.4000000000069</v>
      </c>
      <c r="AA604" s="13">
        <f>SUM(AA2:AA602)</f>
        <v>-1142</v>
      </c>
      <c r="AB604" s="13">
        <f>SUM(AB2:AB602)</f>
        <v>0</v>
      </c>
      <c r="AC604" s="13">
        <f>SUM(AC2:AC602)</f>
        <v>0</v>
      </c>
      <c r="AD604" s="13">
        <f>SUM(AD2:AD602)</f>
        <v>0</v>
      </c>
      <c r="AE604" s="13">
        <f>SUM(AE2:AE602)</f>
        <v>0</v>
      </c>
      <c r="AF604" s="13">
        <f>SUM(AF2:AF602)</f>
        <v>329.30399999999923</v>
      </c>
      <c r="AG604" s="13">
        <f>SUM(AG2:AG602)</f>
        <v>5817.7040000000234</v>
      </c>
      <c r="AH604" s="13">
        <f>SUM(AH2:HG602)</f>
        <v>5817.7040000000234</v>
      </c>
      <c r="AI604" s="13">
        <f>SUM(AI2:AI602)</f>
        <v>5817.7040000000234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Kai Jun</dc:creator>
  <cp:lastModifiedBy>Cheng Kai Jun</cp:lastModifiedBy>
  <dcterms:created xsi:type="dcterms:W3CDTF">2024-10-04T04:01:28Z</dcterms:created>
  <dcterms:modified xsi:type="dcterms:W3CDTF">2024-10-04T04:01:28Z</dcterms:modified>
</cp:coreProperties>
</file>